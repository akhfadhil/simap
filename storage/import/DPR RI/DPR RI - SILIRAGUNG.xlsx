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" sheetId="1" r:id="rId4"/>
    <sheet state="visible" name="BARUREJO" sheetId="2" r:id="rId5"/>
    <sheet state="visible" name="BULUAGUNG" sheetId="3" r:id="rId6"/>
    <sheet state="visible" name="KESILIR" sheetId="4" r:id="rId7"/>
    <sheet state="visible" name="SENEPOREJO" sheetId="5" r:id="rId8"/>
    <sheet state="visible" name="SILIRAGUNG" sheetId="6" r:id="rId9"/>
  </sheets>
  <definedNames/>
  <calcPr/>
  <extLst>
    <ext uri="GoogleSheetsCustomDataVersion2">
      <go:sheetsCustomData xmlns:go="http://customooxmlschemas.google.com/" r:id="rId10" roundtripDataChecksum="+1BgQ2jf458/vctSG+LctnJ6I7aCJK2iPhaL1mcxl0A="/>
    </ext>
  </extLst>
</workbook>
</file>

<file path=xl/sharedStrings.xml><?xml version="1.0" encoding="utf-8"?>
<sst xmlns="http://schemas.openxmlformats.org/spreadsheetml/2006/main" count="1872" uniqueCount="248">
  <si>
    <t>Kecamatan</t>
  </si>
  <si>
    <t>SILIRAGUNG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</si>
  <si>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</si>
  <si>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</si>
  <si>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</si>
  <si>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</si>
  <si>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</si>
  <si>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</si>
  <si>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</si>
  <si>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</si>
  <si>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</si>
  <si>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</si>
  <si>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</si>
  <si>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</si>
  <si>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</si>
  <si>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</si>
  <si>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</si>
  <si>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</si>
  <si>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</si>
  <si>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</si>
  <si>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</si>
  <si>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</si>
  <si>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</si>
  <si>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</si>
  <si>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</si>
  <si>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</si>
  <si>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</si>
  <si>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</si>
  <si>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</si>
  <si>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</si>
  <si>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</si>
  <si>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</si>
  <si>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</si>
  <si>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</si>
  <si>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</si>
  <si>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</si>
  <si>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</si>
  <si>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</si>
  <si>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</si>
  <si>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</si>
  <si>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</si>
  <si>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</si>
  <si>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</si>
  <si>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</si>
  <si>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</si>
  <si>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</si>
  <si>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</si>
  <si>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</si>
  <si>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</si>
  <si>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</si>
  <si>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</si>
  <si>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</si>
  <si>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</si>
  <si>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</si>
  <si>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</si>
  <si>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</si>
  <si>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</si>
  <si>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</si>
  <si>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</si>
  <si>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</si>
  <si>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</si>
  <si>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</si>
  <si>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</si>
  <si>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</si>
  <si>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</si>
  <si>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</si>
  <si>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</si>
  <si>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</si>
  <si>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</si>
  <si>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</si>
  <si>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</si>
  <si>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</si>
  <si>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</si>
  <si>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</si>
  <si>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</si>
  <si>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</si>
  <si>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</si>
  <si>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</si>
  <si>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</si>
  <si>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</si>
  <si>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</si>
  <si>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</si>
  <si>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</si>
  <si>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</si>
  <si>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</si>
  <si>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</si>
  <si>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</si>
  <si>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</si>
  <si>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</si>
  <si>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</si>
  <si>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</si>
  <si>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</si>
  <si>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</si>
  <si>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</si>
  <si>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</si>
  <si>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</si>
  <si>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</si>
  <si>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</si>
  <si>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</si>
  <si>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</si>
  <si>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</si>
  <si>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</si>
  <si>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</si>
  <si>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</si>
  <si>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</si>
  <si>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</si>
  <si>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</si>
  <si>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</si>
  <si>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</si>
  <si>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</si>
  <si>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</si>
  <si>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</si>
  <si>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</si>
  <si>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</si>
  <si>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</si>
  <si>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</si>
  <si>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</si>
  <si>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</si>
  <si>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</si>
  <si>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</si>
  <si>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</si>
  <si>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</si>
  <si>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</si>
  <si>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</si>
  <si>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</si>
  <si>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</si>
  <si>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</si>
  <si>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</si>
  <si>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</si>
  <si>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</si>
  <si>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</si>
  <si>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</si>
  <si>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</si>
  <si>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</si>
  <si>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</si>
  <si>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</si>
  <si>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</si>
  <si>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</si>
  <si>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</si>
  <si>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</si>
  <si>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</si>
  <si>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</si>
  <si>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</si>
  <si>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</si>
  <si>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</si>
  <si>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</si>
  <si>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</si>
  <si>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</si>
  <si>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</si>
  <si>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</si>
  <si>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</si>
  <si>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</si>
  <si>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</si>
  <si>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</si>
  <si>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</si>
  <si>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</si>
  <si>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</si>
  <si>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</si>
  <si>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</si>
  <si>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</si>
  <si>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</si>
  <si>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</si>
  <si>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</si>
  <si>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</si>
  <si>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</si>
  <si>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</si>
  <si>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</si>
  <si>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</si>
  <si>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</si>
  <si>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</si>
  <si>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</si>
  <si>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</si>
  <si>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</si>
  <si>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</si>
  <si>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</si>
  <si>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</si>
  <si>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</si>
  <si>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</si>
  <si>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</si>
  <si>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</si>
  <si>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</si>
  <si>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</si>
  <si>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</si>
  <si>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</si>
  <si>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</si>
  <si>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</si>
  <si>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</si>
  <si>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</si>
  <si>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</si>
  <si>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</si>
  <si>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</si>
  <si>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</si>
  <si>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</si>
  <si>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</si>
  <si>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</si>
  <si>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</si>
  <si>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</si>
  <si>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</si>
  <si>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</si>
  <si>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BARUREJO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</si>
  <si>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</si>
  <si>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</si>
  <si>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</si>
  <si>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</si>
  <si>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</si>
  <si>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</si>
  <si>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</si>
  <si>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</si>
  <si>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</si>
  <si>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</si>
  <si>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</si>
  <si>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</si>
  <si>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</si>
  <si>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</si>
  <si>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</si>
  <si>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</si>
  <si>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</si>
  <si>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</si>
  <si>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</si>
  <si>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</si>
  <si>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</si>
  <si>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</si>
  <si>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</si>
  <si>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</si>
  <si>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</si>
  <si>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</si>
  <si>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</si>
  <si>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</si>
  <si>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</si>
  <si>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</si>
  <si>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</si>
  <si>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</si>
  <si>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</si>
  <si>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</si>
  <si>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</si>
  <si>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</si>
  <si>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</si>
  <si>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</si>
  <si>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</si>
  <si>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</si>
  <si>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</si>
  <si>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</si>
  <si>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</si>
  <si>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</si>
  <si>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</si>
  <si>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BULUAGUNG</t>
  </si>
  <si>
    <t>KESILIR</t>
  </si>
  <si>
    <t>SENEPOREJO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</si>
</sst>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  <scheme val="minor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20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shrinkToFit="0" vertical="top" wrapText="1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BARUREJO!AX14+BULUAGUNG!AC14+KESILIR!AJ14+SENEPOREJO!AB14+SILIRAGUNG!AB14</f>
        <v>19220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BARUREJO!AX15+BULUAGUNG!AC15+KESILIR!AJ15+SENEPOREJO!AB15+SILIRAGUNG!AB15</f>
        <v>18803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38023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BARUREJO!AX19+BULUAGUNG!AC19+KESILIR!AJ19+SENEPOREJO!AB19+SILIRAGUNG!AB19</f>
        <v>14553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BARUREJO!AX20+BULUAGUNG!AC20+KESILIR!AJ20+SENEPOREJO!AB20+SILIRAGUNG!AB20</f>
        <v>14882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29435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BARUREJO!AX22+BULUAGUNG!AC22+KESILIR!AJ22+SENEPOREJO!AB22+SILIRAGUNG!AB22</f>
        <v>10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BARUREJO!AX23+BULUAGUNG!AC23+KESILIR!AJ23+SENEPOREJO!AB23+SILIRAGUNG!AB23</f>
        <v>3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13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BARUREJO!AX25+BULUAGUNG!AC25+KESILIR!AJ25+SENEPOREJO!AB25+SILIRAGUNG!AB25</f>
        <v>272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BARUREJO!AX26+BULUAGUNG!AC26+KESILIR!AJ26+SENEPOREJO!AB26+SILIRAGUNG!AB26</f>
        <v>391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663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14835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15276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30111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BARUREJO!AX33+BULUAGUNG!AC33+KESILIR!AJ33+SENEPOREJO!AB33+SILIRAGUNG!AB33</f>
        <v>38901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BARUREJO!AX34+BULUAGUNG!AC34+KESILIR!AJ34+SENEPOREJO!AB34+SILIRAGUNG!AB34</f>
        <v>30111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BARUREJO!AX35+BULUAGUNG!AC35+KESILIR!AJ35+SENEPOREJO!AB35+SILIRAGUNG!AB35</f>
        <v>71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8719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BARUREJO!AX39+BULUAGUNG!AC39+KESILIR!AJ39+SENEPOREJO!AB39+SILIRAGUNG!AB39</f>
        <v>11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BARUREJO!AX40+BULUAGUNG!AC40+KESILIR!AJ40+SENEPOREJO!AB40+SILIRAGUNG!AB40</f>
        <v>22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BARUREJO!AX45+BULUAGUNG!AC45+KESILIR!AJ45+SENEPOREJO!AB45+SILIRAGUNG!AB45</f>
        <v>1041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BARUREJO!AX46+BULUAGUNG!AC46+KESILIR!AJ46+SENEPOREJO!AB46+SILIRAGUNG!AB46</f>
        <v>3894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BARUREJO!AX47+BULUAGUNG!AC47+KESILIR!AJ47+SENEPOREJO!AB47+SILIRAGUNG!AB47</f>
        <v>221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BARUREJO!AX48+BULUAGUNG!AC48+KESILIR!AJ48+SENEPOREJO!AB48+SILIRAGUNG!AB48</f>
        <v>104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BARUREJO!AX49+BULUAGUNG!AC49+KESILIR!AJ49+SENEPOREJO!AB49+SILIRAGUNG!AB49</f>
        <v>122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BARUREJO!AX50+BULUAGUNG!AC50+KESILIR!AJ50+SENEPOREJO!AB50+SILIRAGUNG!AB50</f>
        <v>107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BARUREJO!AX51+BULUAGUNG!AC51+KESILIR!AJ51+SENEPOREJO!AB51+SILIRAGUNG!AB51</f>
        <v>78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BARUREJO!AX52+BULUAGUNG!AC52+KESILIR!AJ52+SENEPOREJO!AB52+SILIRAGUNG!AB52</f>
        <v>63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57"/>
      <c r="E53" s="58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7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SUM(E45:E54)</f>
        <v>5630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BARUREJO!AX57+BULUAGUNG!AC57+KESILIR!AJ57+SENEPOREJO!AB57+SILIRAGUNG!AB57</f>
        <v>1396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9"/>
      <c r="E58" s="24">
        <f>BARUREJO!AX58+BULUAGUNG!AC58+KESILIR!AJ58+SENEPOREJO!AB58+SILIRAGUNG!AB58</f>
        <v>1202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9"/>
      <c r="E59" s="24">
        <f>BARUREJO!AX59+BULUAGUNG!AC59+KESILIR!AJ59+SENEPOREJO!AB59+SILIRAGUNG!AB59</f>
        <v>1926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9"/>
      <c r="E60" s="24">
        <f>BARUREJO!AX60+BULUAGUNG!AC60+KESILIR!AJ60+SENEPOREJO!AB60+SILIRAGUNG!AB60</f>
        <v>169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9"/>
      <c r="E61" s="24">
        <f>BARUREJO!AX61+BULUAGUNG!AC61+KESILIR!AJ61+SENEPOREJO!AB61+SILIRAGUNG!AB61</f>
        <v>329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9"/>
      <c r="E62" s="24">
        <f>BARUREJO!AX62+BULUAGUNG!AC62+KESILIR!AJ62+SENEPOREJO!AB62+SILIRAGUNG!AB62</f>
        <v>58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60"/>
      <c r="E63" s="24">
        <f>BARUREJO!AX63+BULUAGUNG!AC63+KESILIR!AJ63+SENEPOREJO!AB63+SILIRAGUNG!AB63</f>
        <v>276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9"/>
      <c r="E64" s="24">
        <f>BARUREJO!AX64+BULUAGUNG!AC64+KESILIR!AJ64+SENEPOREJO!AB64+SILIRAGUNG!AB64</f>
        <v>61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61"/>
      <c r="E65" s="58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61"/>
      <c r="E66" s="58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SUM(E57:E66)</f>
        <v>5417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BARUREJO!AX69+BULUAGUNG!AC69+KESILIR!AJ69+SENEPOREJO!AB69+SILIRAGUNG!AB69</f>
        <v>1090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60"/>
      <c r="E70" s="24">
        <f>BARUREJO!AX70+BULUAGUNG!AC70+KESILIR!AJ70+SENEPOREJO!AB70+SILIRAGUNG!AB70</f>
        <v>1227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60"/>
      <c r="E71" s="24">
        <f>BARUREJO!AX71+BULUAGUNG!AC71+KESILIR!AJ71+SENEPOREJO!AB71+SILIRAGUNG!AB71</f>
        <v>1026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60"/>
      <c r="E72" s="24">
        <f>BARUREJO!AX72+BULUAGUNG!AC72+KESILIR!AJ72+SENEPOREJO!AB72+SILIRAGUNG!AB72</f>
        <v>869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60"/>
      <c r="E73" s="24">
        <f>BARUREJO!AX73+BULUAGUNG!AC73+KESILIR!AJ73+SENEPOREJO!AB73+SILIRAGUNG!AB73</f>
        <v>412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60"/>
      <c r="E74" s="24">
        <f>BARUREJO!AX74+BULUAGUNG!AC74+KESILIR!AJ74+SENEPOREJO!AB74+SILIRAGUNG!AB74</f>
        <v>753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60"/>
      <c r="E75" s="24">
        <f>BARUREJO!AX75+BULUAGUNG!AC75+KESILIR!AJ75+SENEPOREJO!AB75+SILIRAGUNG!AB75</f>
        <v>218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60"/>
      <c r="E76" s="24">
        <f>BARUREJO!AX76+BULUAGUNG!AC76+KESILIR!AJ76+SENEPOREJO!AB76+SILIRAGUNG!AB76</f>
        <v>591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62"/>
      <c r="E77" s="58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62"/>
      <c r="E78" s="58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SUM(E69:E78)</f>
        <v>6186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BARUREJO!AX81+BULUAGUNG!AC81+KESILIR!AJ81+SENEPOREJO!AB81+SILIRAGUNG!AB81</f>
        <v>497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60"/>
      <c r="E82" s="24">
        <f>BARUREJO!AX82+BULUAGUNG!AC82+KESILIR!AJ82+SENEPOREJO!AB82+SILIRAGUNG!AB82</f>
        <v>1633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60"/>
      <c r="E83" s="24">
        <f>BARUREJO!AX83+BULUAGUNG!AC83+KESILIR!AJ83+SENEPOREJO!AB83+SILIRAGUNG!AB83</f>
        <v>719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60"/>
      <c r="E84" s="24">
        <f>BARUREJO!AX84+BULUAGUNG!AC84+KESILIR!AJ84+SENEPOREJO!AB84+SILIRAGUNG!AB84</f>
        <v>62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60"/>
      <c r="E85" s="24">
        <f>BARUREJO!AX85+BULUAGUNG!AC85+KESILIR!AJ85+SENEPOREJO!AB85+SILIRAGUNG!AB85</f>
        <v>185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60"/>
      <c r="E86" s="24">
        <f>BARUREJO!AX86+BULUAGUNG!AC86+KESILIR!AJ86+SENEPOREJO!AB86+SILIRAGUNG!AB86</f>
        <v>215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60"/>
      <c r="E87" s="24">
        <f>BARUREJO!AX87+BULUAGUNG!AC87+KESILIR!AJ87+SENEPOREJO!AB87+SILIRAGUNG!AB87</f>
        <v>29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60"/>
      <c r="E88" s="24">
        <f>BARUREJO!AX88+BULUAGUNG!AC88+KESILIR!AJ88+SENEPOREJO!AB88+SILIRAGUNG!AB88</f>
        <v>11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62"/>
      <c r="E89" s="58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62"/>
      <c r="E90" s="58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SUM(E81:E90)</f>
        <v>3351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BARUREJO!AX93+BULUAGUNG!AC93+KESILIR!AJ93+SENEPOREJO!AB93+SILIRAGUNG!AB93</f>
        <v>276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60"/>
      <c r="E94" s="24">
        <f>BARUREJO!AX94+BULUAGUNG!AC94+KESILIR!AJ94+SENEPOREJO!AB94+SILIRAGUNG!AB94</f>
        <v>206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60"/>
      <c r="E95" s="24">
        <f>BARUREJO!AX95+BULUAGUNG!AC95+KESILIR!AJ95+SENEPOREJO!AB95+SILIRAGUNG!AB95</f>
        <v>409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60"/>
      <c r="E96" s="24">
        <f>BARUREJO!AX96+BULUAGUNG!AC96+KESILIR!AJ96+SENEPOREJO!AB96+SILIRAGUNG!AB96</f>
        <v>53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60"/>
      <c r="E97" s="24">
        <f>BARUREJO!AX97+BULUAGUNG!AC97+KESILIR!AJ97+SENEPOREJO!AB97+SILIRAGUNG!AB97</f>
        <v>53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60"/>
      <c r="E98" s="24">
        <f>BARUREJO!AX98+BULUAGUNG!AC98+KESILIR!AJ98+SENEPOREJO!AB98+SILIRAGUNG!AB98</f>
        <v>31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60"/>
      <c r="E99" s="24">
        <f>BARUREJO!AX99+BULUAGUNG!AC99+KESILIR!AJ99+SENEPOREJO!AB99+SILIRAGUNG!AB99</f>
        <v>18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60"/>
      <c r="E100" s="24">
        <f>BARUREJO!AX100+BULUAGUNG!AC100+KESILIR!AJ100+SENEPOREJO!AB100+SILIRAGUNG!AB100</f>
        <v>27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2"/>
      <c r="E101" s="58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2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SUM(E93:E102)</f>
        <v>1073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BARUREJO!AX105+BULUAGUNG!AC105+KESILIR!AJ105+SENEPOREJO!AB105+SILIRAGUNG!AB105</f>
        <v>35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60"/>
      <c r="E106" s="24">
        <f>BARUREJO!AX106+BULUAGUNG!AC106+KESILIR!AJ106+SENEPOREJO!AB106+SILIRAGUNG!AB106</f>
        <v>31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60"/>
      <c r="E107" s="24">
        <f>BARUREJO!AX107+BULUAGUNG!AC107+KESILIR!AJ107+SENEPOREJO!AB107+SILIRAGUNG!AB107</f>
        <v>20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60"/>
      <c r="E108" s="24">
        <f>BARUREJO!AX108+BULUAGUNG!AC108+KESILIR!AJ108+SENEPOREJO!AB108+SILIRAGUNG!AB108</f>
        <v>3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60"/>
      <c r="E109" s="24">
        <f>BARUREJO!AX109+BULUAGUNG!AC109+KESILIR!AJ109+SENEPOREJO!AB109+SILIRAGUNG!AB109</f>
        <v>9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60"/>
      <c r="E110" s="24">
        <f>BARUREJO!AX110+BULUAGUNG!AC110+KESILIR!AJ110+SENEPOREJO!AB110+SILIRAGUNG!AB110</f>
        <v>3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60"/>
      <c r="E111" s="24">
        <f>BARUREJO!AX111+BULUAGUNG!AC111+KESILIR!AJ111+SENEPOREJO!AB111+SILIRAGUNG!AB111</f>
        <v>5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60"/>
      <c r="E112" s="24">
        <f>BARUREJO!AX112+BULUAGUNG!AC112+KESILIR!AJ112+SENEPOREJO!AB112+SILIRAGUNG!AB112</f>
        <v>5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62"/>
      <c r="E113" s="58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62"/>
      <c r="E114" s="58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SUM(E105:E114)</f>
        <v>111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BARUREJO!AX117+BULUAGUNG!AC117+KESILIR!AJ117+SENEPOREJO!AB117+SILIRAGUNG!AB117</f>
        <v>223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60"/>
      <c r="E118" s="24">
        <f>BARUREJO!AX118+BULUAGUNG!AC118+KESILIR!AJ118+SENEPOREJO!AB118+SILIRAGUNG!AB118</f>
        <v>36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60"/>
      <c r="E119" s="24">
        <f>BARUREJO!AX119+BULUAGUNG!AC119+KESILIR!AJ119+SENEPOREJO!AB119+SILIRAGUNG!AB119</f>
        <v>19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60"/>
      <c r="E120" s="24">
        <f>BARUREJO!AX120+BULUAGUNG!AC120+KESILIR!AJ120+SENEPOREJO!AB120+SILIRAGUNG!AB120</f>
        <v>22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61"/>
      <c r="E121" s="58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62"/>
      <c r="E122" s="58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62"/>
      <c r="E123" s="63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62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62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62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13">
        <f>SUM(E117:E126)</f>
        <v>300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BARUREJO!AX129+BULUAGUNG!AC129+KESILIR!AJ129+SENEPOREJO!AB129+SILIRAGUNG!AB129</f>
        <v>63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9"/>
      <c r="E130" s="24">
        <f>BARUREJO!AX130+BULUAGUNG!AC130+KESILIR!AJ130+SENEPOREJO!AB130+SILIRAGUNG!AB130</f>
        <v>191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9"/>
      <c r="E131" s="24">
        <f>BARUREJO!AX131+BULUAGUNG!AC131+KESILIR!AJ131+SENEPOREJO!AB131+SILIRAGUNG!AB131</f>
        <v>37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9"/>
      <c r="E132" s="24">
        <f>BARUREJO!AX132+BULUAGUNG!AC132+KESILIR!AJ132+SENEPOREJO!AB132+SILIRAGUNG!AB132</f>
        <v>11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9"/>
      <c r="E133" s="24">
        <f>BARUREJO!AX133+BULUAGUNG!AC133+KESILIR!AJ133+SENEPOREJO!AB133+SILIRAGUNG!AB133</f>
        <v>8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9"/>
      <c r="E134" s="24">
        <f>BARUREJO!AX134+BULUAGUNG!AC134+KESILIR!AJ134+SENEPOREJO!AB134+SILIRAGUNG!AB134</f>
        <v>3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60"/>
      <c r="E135" s="24">
        <f>BARUREJO!AX135+BULUAGUNG!AC135+KESILIR!AJ135+SENEPOREJO!AB135+SILIRAGUNG!AB135</f>
        <v>7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9"/>
      <c r="E136" s="24">
        <f>BARUREJO!AX136+BULUAGUNG!AC136+KESILIR!AJ136+SENEPOREJO!AB136+SILIRAGUNG!AB136</f>
        <v>5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61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61"/>
      <c r="E138" s="58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SUM(E129:E138)</f>
        <v>325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BARUREJO!AX141+BULUAGUNG!AC141+KESILIR!AJ141+SENEPOREJO!AB141+SILIRAGUNG!AB141</f>
        <v>9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60"/>
      <c r="E142" s="24">
        <f>BARUREJO!AX142+BULUAGUNG!AC142+KESILIR!AJ142+SENEPOREJO!AB142+SILIRAGUNG!AB142</f>
        <v>11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60"/>
      <c r="E143" s="24">
        <f>BARUREJO!AX143+BULUAGUNG!AC143+KESILIR!AJ143+SENEPOREJO!AB143+SILIRAGUNG!AB143</f>
        <v>1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60"/>
      <c r="E144" s="24">
        <f>BARUREJO!AX144+BULUAGUNG!AC144+KESILIR!AJ144+SENEPOREJO!AB144+SILIRAGUNG!AB144</f>
        <v>6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60"/>
      <c r="E145" s="24">
        <f>BARUREJO!AX145+BULUAGUNG!AC145+KESILIR!AJ145+SENEPOREJO!AB145+SILIRAGUNG!AB145</f>
        <v>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60"/>
      <c r="E146" s="24">
        <f>BARUREJO!AX146+BULUAGUNG!AC146+KESILIR!AJ146+SENEPOREJO!AB146+SILIRAGUNG!AB146</f>
        <v>2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60"/>
      <c r="E147" s="24">
        <f>BARUREJO!AX147+BULUAGUNG!AC147+KESILIR!AJ147+SENEPOREJO!AB147+SILIRAGUNG!AB147</f>
        <v>2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60"/>
      <c r="E148" s="24">
        <f>BARUREJO!AX148+BULUAGUNG!AC148+KESILIR!AJ148+SENEPOREJO!AB148+SILIRAGUNG!AB148</f>
        <v>1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62"/>
      <c r="E149" s="58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62"/>
      <c r="E150" s="58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SUM(E141:E150)</f>
        <v>32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113</v>
      </c>
      <c r="C153" s="64" t="s">
        <v>114</v>
      </c>
      <c r="D153" s="23"/>
      <c r="E153" s="24">
        <f>BARUREJO!AX153+BULUAGUNG!AC153+KESILIR!AJ153+SENEPOREJO!AB153+SILIRAGUNG!AB153</f>
        <v>17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>
        <v>1.0</v>
      </c>
      <c r="C154" s="66" t="s">
        <v>115</v>
      </c>
      <c r="D154" s="60"/>
      <c r="E154" s="24">
        <f>BARUREJO!AX154+BULUAGUNG!AC154+KESILIR!AJ154+SENEPOREJO!AB154+SILIRAGUNG!AB154</f>
        <v>18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66" t="s">
        <v>116</v>
      </c>
      <c r="D155" s="60"/>
      <c r="E155" s="24">
        <f>BARUREJO!AX155+BULUAGUNG!AC155+KESILIR!AJ155+SENEPOREJO!AB155+SILIRAGUNG!AB155</f>
        <v>5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66" t="s">
        <v>117</v>
      </c>
      <c r="D156" s="60"/>
      <c r="E156" s="24">
        <f>BARUREJO!AX156+BULUAGUNG!AC156+KESILIR!AJ156+SENEPOREJO!AB156+SILIRAGUNG!AB156</f>
        <v>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66" t="s">
        <v>118</v>
      </c>
      <c r="D157" s="60"/>
      <c r="E157" s="24">
        <f>BARUREJO!AX157+BULUAGUNG!AC157+KESILIR!AJ157+SENEPOREJO!AB157+SILIRAGUNG!AB157</f>
        <v>7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6"/>
      <c r="C158" s="57"/>
      <c r="D158" s="61"/>
      <c r="E158" s="58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6"/>
      <c r="C159" s="57"/>
      <c r="D159" s="61"/>
      <c r="E159" s="58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7"/>
      <c r="D160" s="61"/>
      <c r="E160" s="58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7"/>
      <c r="D161" s="62"/>
      <c r="E161" s="63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7"/>
      <c r="D162" s="62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8" t="s">
        <v>47</v>
      </c>
      <c r="C163" s="44"/>
      <c r="D163" s="28"/>
      <c r="E163" s="13">
        <f>SUM(E153:E162)</f>
        <v>51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BARUREJO!AX165+BULUAGUNG!AC165+KESILIR!AJ165+SENEPOREJO!AB165+SILIRAGUNG!AB165</f>
        <v>23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60"/>
      <c r="E166" s="24">
        <f>BARUREJO!AX166+BULUAGUNG!AC166+KESILIR!AJ166+SENEPOREJO!AB166+SILIRAGUNG!AB166</f>
        <v>19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60"/>
      <c r="E167" s="24">
        <f>BARUREJO!AX167+BULUAGUNG!AC167+KESILIR!AJ167+SENEPOREJO!AB167+SILIRAGUNG!AB167</f>
        <v>11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60"/>
      <c r="E168" s="24">
        <f>BARUREJO!AX168+BULUAGUNG!AC168+KESILIR!AJ168+SENEPOREJO!AB168+SILIRAGUNG!AB168</f>
        <v>9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60"/>
      <c r="E169" s="24">
        <f>BARUREJO!AX169+BULUAGUNG!AC169+KESILIR!AJ169+SENEPOREJO!AB169+SILIRAGUNG!AB169</f>
        <v>5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60"/>
      <c r="E170" s="24">
        <f>BARUREJO!AX170+BULUAGUNG!AC170+KESILIR!AJ170+SENEPOREJO!AB170+SILIRAGUNG!AB170</f>
        <v>5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60"/>
      <c r="E171" s="24">
        <f>BARUREJO!AX171+BULUAGUNG!AC171+KESILIR!AJ171+SENEPOREJO!AB171+SILIRAGUNG!AB171</f>
        <v>1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60"/>
      <c r="E172" s="24">
        <f>BARUREJO!AX172+BULUAGUNG!AC172+KESILIR!AJ172+SENEPOREJO!AB172+SILIRAGUNG!AB172</f>
        <v>4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62"/>
      <c r="E173" s="58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62"/>
      <c r="E174" s="58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SUM(E165:E174)</f>
        <v>77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BARUREJO!AX177+BULUAGUNG!AC177+KESILIR!AJ177+SENEPOREJO!AB177+SILIRAGUNG!AB177</f>
        <v>68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60"/>
      <c r="E178" s="24">
        <f>BARUREJO!AX178+BULUAGUNG!AC178+KESILIR!AJ178+SENEPOREJO!AB178+SILIRAGUNG!AB178</f>
        <v>36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60"/>
      <c r="E179" s="24">
        <f>BARUREJO!AX179+BULUAGUNG!AC179+KESILIR!AJ179+SENEPOREJO!AB179+SILIRAGUNG!AB179</f>
        <v>40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60"/>
      <c r="E180" s="24">
        <f>BARUREJO!AX180+BULUAGUNG!AC180+KESILIR!AJ180+SENEPOREJO!AB180+SILIRAGUNG!AB180</f>
        <v>13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60"/>
      <c r="E181" s="24">
        <f>BARUREJO!AX181+BULUAGUNG!AC181+KESILIR!AJ181+SENEPOREJO!AB181+SILIRAGUNG!AB181</f>
        <v>19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60"/>
      <c r="E182" s="24">
        <f>BARUREJO!AX182+BULUAGUNG!AC182+KESILIR!AJ182+SENEPOREJO!AB182+SILIRAGUNG!AB182</f>
        <v>4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60"/>
      <c r="E183" s="24">
        <f>BARUREJO!AX183+BULUAGUNG!AC183+KESILIR!AJ183+SENEPOREJO!AB183+SILIRAGUNG!AB183</f>
        <v>6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60"/>
      <c r="E184" s="24">
        <f>BARUREJO!AX184+BULUAGUNG!AC184+KESILIR!AJ184+SENEPOREJO!AB184+SILIRAGUNG!AB184</f>
        <v>9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62"/>
      <c r="E185" s="58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62"/>
      <c r="E186" s="58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SUM(E177:E186)</f>
        <v>195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BARUREJO!AX189+BULUAGUNG!AC189+KESILIR!AJ189+SENEPOREJO!AB189+SILIRAGUNG!AB189</f>
        <v>7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60"/>
      <c r="E190" s="24">
        <f>BARUREJO!AX190+BULUAGUNG!AC190+KESILIR!AJ190+SENEPOREJO!AB190+SILIRAGUNG!AB190</f>
        <v>5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60"/>
      <c r="E191" s="24">
        <f>BARUREJO!AX191+BULUAGUNG!AC191+KESILIR!AJ191+SENEPOREJO!AB191+SILIRAGUNG!AB191</f>
        <v>5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60"/>
      <c r="E192" s="24">
        <f>BARUREJO!AX192+BULUAGUNG!AC192+KESILIR!AJ192+SENEPOREJO!AB192+SILIRAGUNG!AB192</f>
        <v>4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60"/>
      <c r="E193" s="24">
        <f>BARUREJO!AX193+BULUAGUNG!AC193+KESILIR!AJ193+SENEPOREJO!AB193+SILIRAGUNG!AB193</f>
        <v>2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60"/>
      <c r="E194" s="24">
        <f>BARUREJO!AX194+BULUAGUNG!AC194+KESILIR!AJ194+SENEPOREJO!AB194+SILIRAGUNG!AB194</f>
        <v>11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60"/>
      <c r="E195" s="24">
        <f>BARUREJO!AX195+BULUAGUNG!AC195+KESILIR!AJ195+SENEPOREJO!AB195+SILIRAGUNG!AB195</f>
        <v>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60"/>
      <c r="E196" s="24">
        <f>BARUREJO!AX196+BULUAGUNG!AC196+KESILIR!AJ196+SENEPOREJO!AB196+SILIRAGUNG!AB196</f>
        <v>1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62"/>
      <c r="E197" s="58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62"/>
      <c r="E198" s="58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SUM(E189:E198)</f>
        <v>35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BARUREJO!AX201+BULUAGUNG!AC201+KESILIR!AJ201+SENEPOREJO!AB201+SILIRAGUNG!AB201</f>
        <v>377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60"/>
      <c r="E202" s="24">
        <f>BARUREJO!AX202+BULUAGUNG!AC202+KESILIR!AJ202+SENEPOREJO!AB202+SILIRAGUNG!AB202</f>
        <v>661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60"/>
      <c r="E203" s="24">
        <f>BARUREJO!AX203+BULUAGUNG!AC203+KESILIR!AJ203+SENEPOREJO!AB203+SILIRAGUNG!AB203</f>
        <v>398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60"/>
      <c r="E204" s="24">
        <f>BARUREJO!AX204+BULUAGUNG!AC204+KESILIR!AJ204+SENEPOREJO!AB204+SILIRAGUNG!AB204</f>
        <v>53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60"/>
      <c r="E205" s="24">
        <f>BARUREJO!AX205+BULUAGUNG!AC205+KESILIR!AJ205+SENEPOREJO!AB205+SILIRAGUNG!AB205</f>
        <v>154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60"/>
      <c r="E206" s="24">
        <f>BARUREJO!AX206+BULUAGUNG!AC206+KESILIR!AJ206+SENEPOREJO!AB206+SILIRAGUNG!AB206</f>
        <v>25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60"/>
      <c r="E207" s="24">
        <f>BARUREJO!AX207+BULUAGUNG!AC207+KESILIR!AJ207+SENEPOREJO!AB207+SILIRAGUNG!AB207</f>
        <v>5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60"/>
      <c r="E208" s="24">
        <f>BARUREJO!AX208+BULUAGUNG!AC208+KESILIR!AJ208+SENEPOREJO!AB208+SILIRAGUNG!AB208</f>
        <v>38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62"/>
      <c r="E209" s="58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62"/>
      <c r="E210" s="58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SUM(E201:E210)</f>
        <v>1711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BARUREJO!AX213+BULUAGUNG!AC213+KESILIR!AJ213+SENEPOREJO!AB213+SILIRAGUNG!AB213</f>
        <v>193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9"/>
      <c r="E214" s="24">
        <f>BARUREJO!AX214+BULUAGUNG!AC214+KESILIR!AJ214+SENEPOREJO!AB214+SILIRAGUNG!AB214</f>
        <v>240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9"/>
      <c r="E215" s="24">
        <f>BARUREJO!AX215+BULUAGUNG!AC215+KESILIR!AJ215+SENEPOREJO!AB215+SILIRAGUNG!AB215</f>
        <v>324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9" t="s">
        <v>159</v>
      </c>
      <c r="E216" s="24">
        <f>BARUREJO!AX216+BULUAGUNG!AC216+KESILIR!AJ216+SENEPOREJO!AB216+SILIRAGUNG!AB216</f>
        <v>40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9"/>
      <c r="E217" s="24">
        <f>BARUREJO!AX217+BULUAGUNG!AC217+KESILIR!AJ217+SENEPOREJO!AB217+SILIRAGUNG!AB217</f>
        <v>18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9"/>
      <c r="E218" s="24">
        <f>BARUREJO!AX218+BULUAGUNG!AC218+KESILIR!AJ218+SENEPOREJO!AB218+SILIRAGUNG!AB218</f>
        <v>18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9"/>
      <c r="E219" s="24">
        <f>BARUREJO!AX219+BULUAGUNG!AC219+KESILIR!AJ219+SENEPOREJO!AB219+SILIRAGUNG!AB219</f>
        <v>24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9"/>
      <c r="E220" s="24">
        <f>BARUREJO!AX220+BULUAGUNG!AC220+KESILIR!AJ220+SENEPOREJO!AB220+SILIRAGUNG!AB220</f>
        <v>15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61"/>
      <c r="E221" s="58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61"/>
      <c r="E222" s="58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SUM(E213:E222)</f>
        <v>872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BARUREJO!AX225+BULUAGUNG!AC225+KESILIR!AJ225+SENEPOREJO!AB225+SILIRAGUNG!AB225</f>
        <v>33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60"/>
      <c r="E226" s="24">
        <f>BARUREJO!AX226+BULUAGUNG!AC226+KESILIR!AJ226+SENEPOREJO!AB226+SILIRAGUNG!AB226</f>
        <v>122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60"/>
      <c r="E227" s="24">
        <f>BARUREJO!AX227+BULUAGUNG!AC227+KESILIR!AJ227+SENEPOREJO!AB227+SILIRAGUNG!AB227</f>
        <v>4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60"/>
      <c r="E228" s="24">
        <f>BARUREJO!AX228+BULUAGUNG!AC228+KESILIR!AJ228+SENEPOREJO!AB228+SILIRAGUNG!AB228</f>
        <v>3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60"/>
      <c r="E229" s="24">
        <f>BARUREJO!AX229+BULUAGUNG!AC229+KESILIR!AJ229+SENEPOREJO!AB229+SILIRAGUNG!AB229</f>
        <v>3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60"/>
      <c r="E230" s="24">
        <f>BARUREJO!AX230+BULUAGUNG!AC230+KESILIR!AJ230+SENEPOREJO!AB230+SILIRAGUNG!AB230</f>
        <v>5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60"/>
      <c r="E231" s="24">
        <f>BARUREJO!AX231+BULUAGUNG!AC231+KESILIR!AJ231+SENEPOREJO!AB231+SILIRAGUNG!AB231</f>
        <v>0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60"/>
      <c r="E232" s="24">
        <f>BARUREJO!AX232+BULUAGUNG!AC232+KESILIR!AJ232+SENEPOREJO!AB232+SILIRAGUNG!AB232</f>
        <v>397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62"/>
      <c r="E233" s="58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62"/>
      <c r="E234" s="58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SUM(E225:E234)</f>
        <v>567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BARUREJO!AX237+BULUAGUNG!AC237+KESILIR!AJ237+SENEPOREJO!AB237+SILIRAGUNG!AB237</f>
        <v>127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60"/>
      <c r="E238" s="24">
        <f>BARUREJO!AX238+BULUAGUNG!AC238+KESILIR!AJ238+SENEPOREJO!AB238+SILIRAGUNG!AB238</f>
        <v>147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60"/>
      <c r="E239" s="24">
        <f>BARUREJO!AX239+BULUAGUNG!AC239+KESILIR!AJ239+SENEPOREJO!AB239+SILIRAGUNG!AB239</f>
        <v>48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60"/>
      <c r="E240" s="24">
        <f>BARUREJO!AX240+BULUAGUNG!AC240+KESILIR!AJ240+SENEPOREJO!AB240+SILIRAGUNG!AB240</f>
        <v>14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60"/>
      <c r="E241" s="24">
        <f>BARUREJO!AX241+BULUAGUNG!AC241+KESILIR!AJ241+SENEPOREJO!AB241+SILIRAGUNG!AB241</f>
        <v>19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60"/>
      <c r="E242" s="24">
        <f>BARUREJO!AX242+BULUAGUNG!AC242+KESILIR!AJ242+SENEPOREJO!AB242+SILIRAGUNG!AB242</f>
        <v>7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60"/>
      <c r="E243" s="24">
        <f>BARUREJO!AX243+BULUAGUNG!AC243+KESILIR!AJ243+SENEPOREJO!AB243+SILIRAGUNG!AB243</f>
        <v>11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60"/>
      <c r="E244" s="24">
        <f>BARUREJO!AX244+BULUAGUNG!AC244+KESILIR!AJ244+SENEPOREJO!AB244+SILIRAGUNG!AB244</f>
        <v>535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62"/>
      <c r="E245" s="58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62"/>
      <c r="E246" s="58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SUM(E237:E246)</f>
        <v>908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BARUREJO!AX249+BULUAGUNG!AC249+KESILIR!AJ249+SENEPOREJO!AB249+SILIRAGUNG!AB249</f>
        <v>18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66" t="s">
        <v>184</v>
      </c>
      <c r="D250" s="60"/>
      <c r="E250" s="24">
        <f>BARUREJO!AX250+BULUAGUNG!AC250+KESILIR!AJ250+SENEPOREJO!AB250+SILIRAGUNG!AB250</f>
        <v>21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66" t="s">
        <v>185</v>
      </c>
      <c r="D251" s="60"/>
      <c r="E251" s="24">
        <f>BARUREJO!AX251+BULUAGUNG!AC251+KESILIR!AJ251+SENEPOREJO!AB251+SILIRAGUNG!AB251</f>
        <v>16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66" t="s">
        <v>186</v>
      </c>
      <c r="D252" s="60"/>
      <c r="E252" s="24">
        <f>BARUREJO!AX252+BULUAGUNG!AC252+KESILIR!AJ252+SENEPOREJO!AB252+SILIRAGUNG!AB252</f>
        <v>3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66" t="s">
        <v>187</v>
      </c>
      <c r="D253" s="60"/>
      <c r="E253" s="24">
        <f>BARUREJO!AX253+BULUAGUNG!AC253+KESILIR!AJ253+SENEPOREJO!AB253+SILIRAGUNG!AB253</f>
        <v>4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66" t="s">
        <v>188</v>
      </c>
      <c r="D254" s="60"/>
      <c r="E254" s="24">
        <f>BARUREJO!AX254+BULUAGUNG!AC254+KESILIR!AJ254+SENEPOREJO!AB254+SILIRAGUNG!AB254</f>
        <v>12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66" t="s">
        <v>189</v>
      </c>
      <c r="D255" s="60"/>
      <c r="E255" s="24">
        <f>BARUREJO!AX255+BULUAGUNG!AC255+KESILIR!AJ255+SENEPOREJO!AB255+SILIRAGUNG!AB255</f>
        <v>2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7"/>
      <c r="D256" s="62"/>
      <c r="E256" s="58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7"/>
      <c r="D257" s="62"/>
      <c r="E257" s="58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7"/>
      <c r="D258" s="62"/>
      <c r="E258" s="58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SUM(E249:E258)</f>
        <v>76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70" t="s">
        <v>192</v>
      </c>
      <c r="C262" s="71" t="s">
        <v>193</v>
      </c>
      <c r="D262" s="16"/>
      <c r="E262" s="24" t="str">
        <f>BARUREJO!AX262+BULUAGUNG!AC262+KESILIR!AJ262+SENEPOREJO!AB262+SILIRAGUNG!AB262+#REF!+#REF!+#REF!+#REF!+#REF!+#REF!</f>
        <v>#REF!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70" t="s">
        <v>194</v>
      </c>
      <c r="C263" s="71" t="s">
        <v>195</v>
      </c>
      <c r="D263" s="16"/>
      <c r="E263" s="24" t="str">
        <f>BARUREJO!AX263+BULUAGUNG!AC263+KESILIR!AJ263+SENEPOREJO!AB263+SILIRAGUNG!AB263+#REF!+#REF!+#REF!+#REF!+#REF!+#REF!</f>
        <v>#REF!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70" t="s">
        <v>196</v>
      </c>
      <c r="C264" s="71" t="s">
        <v>197</v>
      </c>
      <c r="D264" s="16"/>
      <c r="E264" s="13" t="str">
        <f>SUM(E262:E263)</f>
        <v>#REF!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2"/>
      <c r="C265" s="7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2"/>
      <c r="C266" s="7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2"/>
      <c r="C267" s="7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2"/>
      <c r="C268" s="7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2"/>
      <c r="C269" s="7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2"/>
      <c r="C270" s="7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2"/>
      <c r="C271" s="7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2"/>
      <c r="C272" s="7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2"/>
      <c r="C273" s="7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2"/>
      <c r="C274" s="7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2"/>
      <c r="C275" s="7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2"/>
      <c r="C276" s="7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2"/>
      <c r="C277" s="7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2"/>
      <c r="C278" s="7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2"/>
      <c r="C279" s="7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2"/>
      <c r="C280" s="7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2"/>
      <c r="C281" s="7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2"/>
      <c r="C282" s="7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2"/>
      <c r="C283" s="7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2"/>
      <c r="C284" s="7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2"/>
      <c r="C285" s="7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2"/>
      <c r="C286" s="7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2"/>
      <c r="C287" s="7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2"/>
      <c r="C288" s="7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2"/>
      <c r="C289" s="7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2"/>
      <c r="C290" s="7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2"/>
      <c r="C291" s="7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2"/>
      <c r="C292" s="7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2"/>
      <c r="C293" s="7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2"/>
      <c r="C294" s="7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2"/>
      <c r="C295" s="7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2"/>
      <c r="C296" s="7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2"/>
      <c r="C297" s="7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2"/>
      <c r="C298" s="7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2"/>
      <c r="C299" s="7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2"/>
      <c r="C300" s="7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2"/>
      <c r="C301" s="7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2"/>
      <c r="C302" s="7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2"/>
      <c r="C303" s="7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2"/>
      <c r="C304" s="7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2"/>
      <c r="C305" s="7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2"/>
      <c r="C306" s="7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2"/>
      <c r="C307" s="7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2"/>
      <c r="C308" s="7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2"/>
      <c r="C309" s="7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2"/>
      <c r="C310" s="7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2"/>
      <c r="C311" s="7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2"/>
      <c r="C312" s="7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2"/>
      <c r="C313" s="7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2"/>
      <c r="C314" s="7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2"/>
      <c r="C315" s="7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2"/>
      <c r="C316" s="7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2"/>
      <c r="C317" s="7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2"/>
      <c r="C318" s="7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2"/>
      <c r="C319" s="7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2"/>
      <c r="C320" s="7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2"/>
      <c r="C321" s="7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2"/>
      <c r="C322" s="7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2"/>
      <c r="C323" s="7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2"/>
      <c r="C324" s="7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2"/>
      <c r="C325" s="7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2"/>
      <c r="C326" s="7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2"/>
      <c r="C327" s="7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2"/>
      <c r="C328" s="7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2"/>
      <c r="C329" s="7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2"/>
      <c r="C330" s="7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2"/>
      <c r="C331" s="7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2"/>
      <c r="C332" s="7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2"/>
      <c r="C333" s="7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2"/>
      <c r="C334" s="7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2"/>
      <c r="C335" s="7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2"/>
      <c r="C336" s="7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2"/>
      <c r="C337" s="7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2"/>
      <c r="C338" s="7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2"/>
      <c r="C339" s="7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2"/>
      <c r="C340" s="7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2"/>
      <c r="C341" s="7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2"/>
      <c r="C342" s="7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2"/>
      <c r="C343" s="7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2"/>
      <c r="C344" s="7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2"/>
      <c r="C345" s="7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2"/>
      <c r="C346" s="7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2"/>
      <c r="C347" s="7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2"/>
      <c r="C348" s="7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2"/>
      <c r="C349" s="7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2"/>
      <c r="C350" s="7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2"/>
      <c r="C351" s="7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2"/>
      <c r="C352" s="7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2"/>
      <c r="C353" s="7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2"/>
      <c r="C354" s="7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2"/>
      <c r="C355" s="7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2"/>
      <c r="C356" s="7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2"/>
      <c r="C357" s="7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2"/>
      <c r="C358" s="7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2"/>
      <c r="C359" s="7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2"/>
      <c r="C360" s="7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2"/>
      <c r="C361" s="7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2"/>
      <c r="C362" s="7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2"/>
      <c r="C363" s="7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2"/>
      <c r="C364" s="7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2"/>
      <c r="C365" s="7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2"/>
      <c r="C366" s="7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2"/>
      <c r="C367" s="7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2"/>
      <c r="C368" s="7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2"/>
      <c r="C369" s="7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2"/>
      <c r="C370" s="7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2"/>
      <c r="C371" s="7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2"/>
      <c r="C372" s="7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2"/>
      <c r="C373" s="7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2"/>
      <c r="C374" s="7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2"/>
      <c r="C375" s="7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2"/>
      <c r="C376" s="7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2"/>
      <c r="C377" s="7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2"/>
      <c r="C378" s="7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2"/>
      <c r="C379" s="7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2"/>
      <c r="C380" s="7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2"/>
      <c r="C381" s="7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2"/>
      <c r="C382" s="7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2"/>
      <c r="C383" s="7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2"/>
      <c r="C384" s="7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2"/>
      <c r="C385" s="7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2"/>
      <c r="C386" s="7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2"/>
      <c r="C387" s="7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2"/>
      <c r="C388" s="7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2"/>
      <c r="C389" s="7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2"/>
      <c r="C390" s="7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2"/>
      <c r="C391" s="7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2"/>
      <c r="C392" s="7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2"/>
      <c r="C393" s="7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2"/>
      <c r="C394" s="7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2"/>
      <c r="C395" s="7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2"/>
      <c r="C396" s="7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2"/>
      <c r="C397" s="7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2"/>
      <c r="C398" s="7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2"/>
      <c r="C399" s="7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2"/>
      <c r="C400" s="7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2"/>
      <c r="C401" s="7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2"/>
      <c r="C402" s="7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2"/>
      <c r="C403" s="7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2"/>
      <c r="C404" s="7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2"/>
      <c r="C405" s="7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2"/>
      <c r="C406" s="7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2"/>
      <c r="C407" s="7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2"/>
      <c r="C408" s="7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2"/>
      <c r="C409" s="7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2"/>
      <c r="C410" s="7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2"/>
      <c r="C411" s="7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2"/>
      <c r="C412" s="7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2"/>
      <c r="C413" s="7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2"/>
      <c r="C414" s="7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2"/>
      <c r="C415" s="7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2"/>
      <c r="C416" s="7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2"/>
      <c r="C417" s="7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2"/>
      <c r="C418" s="7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2"/>
      <c r="C419" s="7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2"/>
      <c r="C420" s="7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2"/>
      <c r="C421" s="7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2"/>
      <c r="C422" s="7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2"/>
      <c r="C423" s="7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2"/>
      <c r="C424" s="7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2"/>
      <c r="C425" s="7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2"/>
      <c r="C426" s="7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2"/>
      <c r="C427" s="7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2"/>
      <c r="C428" s="7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2"/>
      <c r="C429" s="7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2"/>
      <c r="C430" s="7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2"/>
      <c r="C431" s="7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2"/>
      <c r="C432" s="7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2"/>
      <c r="C433" s="7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2"/>
      <c r="C434" s="7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2"/>
      <c r="C435" s="7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2"/>
      <c r="C436" s="7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2"/>
      <c r="C437" s="7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2"/>
      <c r="C438" s="7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2"/>
      <c r="C439" s="7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2"/>
      <c r="C440" s="7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2"/>
      <c r="C441" s="7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2"/>
      <c r="C442" s="7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2"/>
      <c r="C443" s="7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2"/>
      <c r="C444" s="7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2"/>
      <c r="C445" s="7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2"/>
      <c r="C446" s="7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2"/>
      <c r="C447" s="7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2"/>
      <c r="C448" s="7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2"/>
      <c r="C449" s="7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2"/>
      <c r="C450" s="7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2"/>
      <c r="C451" s="7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2"/>
      <c r="C452" s="7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2"/>
      <c r="C453" s="7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2"/>
      <c r="C454" s="7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2"/>
      <c r="C455" s="7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2"/>
      <c r="C456" s="7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2"/>
      <c r="C457" s="7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2"/>
      <c r="C458" s="7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2"/>
      <c r="C459" s="7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2"/>
      <c r="C460" s="7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2"/>
      <c r="C461" s="7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2"/>
      <c r="C462" s="73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2"/>
      <c r="C463" s="73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2"/>
      <c r="C464" s="73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55">
    <cfRule type="containsBlanks" dxfId="1" priority="3">
      <formula>LEN(TRIM(E55))=0</formula>
    </cfRule>
  </conditionalFormatting>
  <conditionalFormatting sqref="E67">
    <cfRule type="containsBlanks" dxfId="1" priority="4">
      <formula>LEN(TRIM(E67))=0</formula>
    </cfRule>
  </conditionalFormatting>
  <conditionalFormatting sqref="E79">
    <cfRule type="containsBlanks" dxfId="1" priority="5">
      <formula>LEN(TRIM(E79))=0</formula>
    </cfRule>
  </conditionalFormatting>
  <conditionalFormatting sqref="E91">
    <cfRule type="containsBlanks" dxfId="1" priority="6">
      <formula>LEN(TRIM(E91))=0</formula>
    </cfRule>
  </conditionalFormatting>
  <conditionalFormatting sqref="E103">
    <cfRule type="containsBlanks" dxfId="1" priority="7">
      <formula>LEN(TRIM(E103))=0</formula>
    </cfRule>
  </conditionalFormatting>
  <conditionalFormatting sqref="E115">
    <cfRule type="containsBlanks" dxfId="1" priority="8">
      <formula>LEN(TRIM(E115))=0</formula>
    </cfRule>
  </conditionalFormatting>
  <conditionalFormatting sqref="E127">
    <cfRule type="containsBlanks" dxfId="1" priority="9">
      <formula>LEN(TRIM(E127))=0</formula>
    </cfRule>
  </conditionalFormatting>
  <conditionalFormatting sqref="E139">
    <cfRule type="containsBlanks" dxfId="1" priority="10">
      <formula>LEN(TRIM(E139))=0</formula>
    </cfRule>
  </conditionalFormatting>
  <conditionalFormatting sqref="E151">
    <cfRule type="containsBlanks" dxfId="1" priority="11">
      <formula>LEN(TRIM(E151))=0</formula>
    </cfRule>
  </conditionalFormatting>
  <conditionalFormatting sqref="E163">
    <cfRule type="containsBlanks" dxfId="1" priority="12">
      <formula>LEN(TRIM(E163))=0</formula>
    </cfRule>
  </conditionalFormatting>
  <conditionalFormatting sqref="E175">
    <cfRule type="containsBlanks" dxfId="1" priority="13">
      <formula>LEN(TRIM(E175))=0</formula>
    </cfRule>
  </conditionalFormatting>
  <conditionalFormatting sqref="E187">
    <cfRule type="containsBlanks" dxfId="1" priority="14">
      <formula>LEN(TRIM(E187))=0</formula>
    </cfRule>
  </conditionalFormatting>
  <conditionalFormatting sqref="E199">
    <cfRule type="containsBlanks" dxfId="1" priority="15">
      <formula>LEN(TRIM(E199))=0</formula>
    </cfRule>
  </conditionalFormatting>
  <conditionalFormatting sqref="E211">
    <cfRule type="containsBlanks" dxfId="1" priority="16">
      <formula>LEN(TRIM(E211))=0</formula>
    </cfRule>
  </conditionalFormatting>
  <conditionalFormatting sqref="E223">
    <cfRule type="containsBlanks" dxfId="1" priority="17">
      <formula>LEN(TRIM(E223))=0</formula>
    </cfRule>
  </conditionalFormatting>
  <conditionalFormatting sqref="E235">
    <cfRule type="containsBlanks" dxfId="1" priority="18">
      <formula>LEN(TRIM(E235))=0</formula>
    </cfRule>
  </conditionalFormatting>
  <conditionalFormatting sqref="E247">
    <cfRule type="containsBlanks" dxfId="1" priority="19">
      <formula>LEN(TRIM(E247))=0</formula>
    </cfRule>
  </conditionalFormatting>
  <conditionalFormatting sqref="E259">
    <cfRule type="containsBlanks" dxfId="1" priority="20">
      <formula>LEN(TRIM(E259))=0</formula>
    </cfRule>
  </conditionalFormatting>
  <conditionalFormatting sqref="F259:O261">
    <cfRule type="cellIs" dxfId="0" priority="21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2"/>
      <c r="AQ11" s="1"/>
      <c r="AR11" s="1"/>
      <c r="AS11" s="1"/>
      <c r="AT11" s="1"/>
      <c r="AU11" s="1"/>
      <c r="AV11" s="1"/>
      <c r="A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140.0</v>
      </c>
      <c r="G14" s="19">
        <v>131.0</v>
      </c>
      <c r="H14" s="19">
        <v>134.0</v>
      </c>
      <c r="I14" s="19">
        <v>139.0</v>
      </c>
      <c r="J14" s="19">
        <v>143.0</v>
      </c>
      <c r="K14" s="19">
        <v>137.0</v>
      </c>
      <c r="L14" s="19">
        <v>144.0</v>
      </c>
      <c r="M14" s="19">
        <v>148.0</v>
      </c>
      <c r="N14" s="19">
        <v>142.0</v>
      </c>
      <c r="O14" s="19">
        <v>153.0</v>
      </c>
      <c r="P14" s="19">
        <v>138.0</v>
      </c>
      <c r="Q14" s="19">
        <v>148.0</v>
      </c>
      <c r="R14" s="19">
        <v>151.0</v>
      </c>
      <c r="S14" s="19">
        <v>122.0</v>
      </c>
      <c r="T14" s="19">
        <v>96.0</v>
      </c>
      <c r="U14" s="19">
        <v>104.0</v>
      </c>
      <c r="V14" s="19">
        <v>146.0</v>
      </c>
      <c r="W14" s="19">
        <v>135.0</v>
      </c>
      <c r="X14" s="19">
        <v>127.0</v>
      </c>
      <c r="Y14" s="19">
        <v>143.0</v>
      </c>
      <c r="Z14" s="19">
        <v>139.0</v>
      </c>
      <c r="AA14" s="19">
        <v>129.0</v>
      </c>
      <c r="AB14" s="19">
        <v>135.0</v>
      </c>
      <c r="AC14" s="19">
        <v>119.0</v>
      </c>
      <c r="AD14" s="19">
        <v>140.0</v>
      </c>
      <c r="AE14" s="19">
        <v>123.0</v>
      </c>
      <c r="AF14" s="19">
        <v>132.0</v>
      </c>
      <c r="AG14" s="19">
        <v>122.0</v>
      </c>
      <c r="AH14" s="19">
        <v>146.0</v>
      </c>
      <c r="AI14" s="19">
        <v>142.0</v>
      </c>
      <c r="AJ14" s="19">
        <v>153.0</v>
      </c>
      <c r="AK14" s="19">
        <v>119.0</v>
      </c>
      <c r="AL14" s="19">
        <v>102.0</v>
      </c>
      <c r="AM14" s="19">
        <v>84.0</v>
      </c>
      <c r="AN14" s="19">
        <v>152.0</v>
      </c>
      <c r="AO14" s="19">
        <v>142.0</v>
      </c>
      <c r="AP14" s="19">
        <v>154.0</v>
      </c>
      <c r="AQ14" s="19">
        <v>105.0</v>
      </c>
      <c r="AR14" s="19">
        <v>117.0</v>
      </c>
      <c r="AS14" s="19">
        <v>144.0</v>
      </c>
      <c r="AT14" s="19">
        <v>143.0</v>
      </c>
      <c r="AU14" s="19">
        <v>128.0</v>
      </c>
      <c r="AV14" s="19">
        <v>86.0</v>
      </c>
      <c r="AW14" s="19">
        <v>36.0</v>
      </c>
      <c r="AX14" s="13">
        <f t="shared" ref="AX14:AX16" si="1">SUM(E14:AW14)</f>
        <v>5852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121.0</v>
      </c>
      <c r="G15" s="19">
        <v>118.0</v>
      </c>
      <c r="H15" s="19">
        <v>129.0</v>
      </c>
      <c r="I15" s="19">
        <v>140.0</v>
      </c>
      <c r="J15" s="19">
        <v>137.0</v>
      </c>
      <c r="K15" s="19">
        <v>126.0</v>
      </c>
      <c r="L15" s="19">
        <v>148.0</v>
      </c>
      <c r="M15" s="19">
        <v>135.0</v>
      </c>
      <c r="N15" s="19">
        <v>142.0</v>
      </c>
      <c r="O15" s="19">
        <v>139.0</v>
      </c>
      <c r="P15" s="19">
        <v>128.0</v>
      </c>
      <c r="Q15" s="19">
        <v>140.0</v>
      </c>
      <c r="R15" s="19">
        <v>129.0</v>
      </c>
      <c r="S15" s="19">
        <v>121.0</v>
      </c>
      <c r="T15" s="19">
        <v>94.0</v>
      </c>
      <c r="U15" s="19">
        <v>119.0</v>
      </c>
      <c r="V15" s="19">
        <v>130.0</v>
      </c>
      <c r="W15" s="19">
        <v>127.0</v>
      </c>
      <c r="X15" s="19">
        <v>119.0</v>
      </c>
      <c r="Y15" s="19">
        <v>128.0</v>
      </c>
      <c r="Z15" s="19">
        <v>123.0</v>
      </c>
      <c r="AA15" s="19">
        <v>133.0</v>
      </c>
      <c r="AB15" s="19">
        <v>147.0</v>
      </c>
      <c r="AC15" s="19">
        <v>107.0</v>
      </c>
      <c r="AD15" s="19">
        <v>140.0</v>
      </c>
      <c r="AE15" s="19">
        <v>124.0</v>
      </c>
      <c r="AF15" s="19">
        <v>127.0</v>
      </c>
      <c r="AG15" s="19">
        <v>110.0</v>
      </c>
      <c r="AH15" s="19">
        <v>147.0</v>
      </c>
      <c r="AI15" s="19">
        <v>148.0</v>
      </c>
      <c r="AJ15" s="19">
        <v>142.0</v>
      </c>
      <c r="AK15" s="19">
        <v>136.0</v>
      </c>
      <c r="AL15" s="19">
        <v>87.0</v>
      </c>
      <c r="AM15" s="19">
        <v>61.0</v>
      </c>
      <c r="AN15" s="19">
        <v>138.0</v>
      </c>
      <c r="AO15" s="19">
        <v>130.0</v>
      </c>
      <c r="AP15" s="19">
        <v>144.0</v>
      </c>
      <c r="AQ15" s="19">
        <v>94.0</v>
      </c>
      <c r="AR15" s="19">
        <v>127.0</v>
      </c>
      <c r="AS15" s="19">
        <v>153.0</v>
      </c>
      <c r="AT15" s="19">
        <v>143.0</v>
      </c>
      <c r="AU15" s="19">
        <v>141.0</v>
      </c>
      <c r="AV15" s="19">
        <v>71.0</v>
      </c>
      <c r="AW15" s="19">
        <v>39.0</v>
      </c>
      <c r="AX15" s="13">
        <f t="shared" si="1"/>
        <v>5610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267</v>
      </c>
      <c r="F16" s="13">
        <f t="shared" si="2"/>
        <v>261</v>
      </c>
      <c r="G16" s="13">
        <f t="shared" si="2"/>
        <v>249</v>
      </c>
      <c r="H16" s="13">
        <f t="shared" si="2"/>
        <v>263</v>
      </c>
      <c r="I16" s="13">
        <f t="shared" si="2"/>
        <v>279</v>
      </c>
      <c r="J16" s="13">
        <f t="shared" si="2"/>
        <v>280</v>
      </c>
      <c r="K16" s="13">
        <f t="shared" si="2"/>
        <v>263</v>
      </c>
      <c r="L16" s="13">
        <f t="shared" si="2"/>
        <v>292</v>
      </c>
      <c r="M16" s="13">
        <f t="shared" si="2"/>
        <v>283</v>
      </c>
      <c r="N16" s="13">
        <f t="shared" si="2"/>
        <v>284</v>
      </c>
      <c r="O16" s="13">
        <f t="shared" si="2"/>
        <v>292</v>
      </c>
      <c r="P16" s="13">
        <f t="shared" si="2"/>
        <v>266</v>
      </c>
      <c r="Q16" s="13">
        <f t="shared" si="2"/>
        <v>288</v>
      </c>
      <c r="R16" s="13">
        <f t="shared" si="2"/>
        <v>280</v>
      </c>
      <c r="S16" s="13">
        <f t="shared" si="2"/>
        <v>243</v>
      </c>
      <c r="T16" s="13">
        <f t="shared" si="2"/>
        <v>190</v>
      </c>
      <c r="U16" s="13">
        <f t="shared" si="2"/>
        <v>223</v>
      </c>
      <c r="V16" s="13">
        <f t="shared" si="2"/>
        <v>276</v>
      </c>
      <c r="W16" s="13">
        <f t="shared" si="2"/>
        <v>262</v>
      </c>
      <c r="X16" s="13">
        <f t="shared" si="2"/>
        <v>246</v>
      </c>
      <c r="Y16" s="13">
        <f t="shared" si="2"/>
        <v>271</v>
      </c>
      <c r="Z16" s="13">
        <f t="shared" si="2"/>
        <v>262</v>
      </c>
      <c r="AA16" s="13">
        <f t="shared" si="2"/>
        <v>262</v>
      </c>
      <c r="AB16" s="13">
        <f t="shared" si="2"/>
        <v>282</v>
      </c>
      <c r="AC16" s="13">
        <f t="shared" si="2"/>
        <v>226</v>
      </c>
      <c r="AD16" s="13">
        <f t="shared" si="2"/>
        <v>280</v>
      </c>
      <c r="AE16" s="13">
        <f t="shared" si="2"/>
        <v>247</v>
      </c>
      <c r="AF16" s="13">
        <f t="shared" si="2"/>
        <v>259</v>
      </c>
      <c r="AG16" s="13">
        <f t="shared" si="2"/>
        <v>232</v>
      </c>
      <c r="AH16" s="13">
        <f t="shared" si="2"/>
        <v>293</v>
      </c>
      <c r="AI16" s="13">
        <f t="shared" si="2"/>
        <v>290</v>
      </c>
      <c r="AJ16" s="13">
        <f t="shared" si="2"/>
        <v>295</v>
      </c>
      <c r="AK16" s="13">
        <f t="shared" si="2"/>
        <v>255</v>
      </c>
      <c r="AL16" s="13">
        <f t="shared" si="2"/>
        <v>189</v>
      </c>
      <c r="AM16" s="13">
        <f t="shared" si="2"/>
        <v>145</v>
      </c>
      <c r="AN16" s="13">
        <f t="shared" si="2"/>
        <v>290</v>
      </c>
      <c r="AO16" s="13">
        <f t="shared" si="2"/>
        <v>272</v>
      </c>
      <c r="AP16" s="13">
        <f t="shared" si="2"/>
        <v>298</v>
      </c>
      <c r="AQ16" s="13">
        <f t="shared" si="2"/>
        <v>199</v>
      </c>
      <c r="AR16" s="13">
        <f t="shared" si="2"/>
        <v>244</v>
      </c>
      <c r="AS16" s="13">
        <f t="shared" si="2"/>
        <v>297</v>
      </c>
      <c r="AT16" s="13">
        <f t="shared" si="2"/>
        <v>286</v>
      </c>
      <c r="AU16" s="13">
        <f t="shared" si="2"/>
        <v>269</v>
      </c>
      <c r="AV16" s="13">
        <f t="shared" si="2"/>
        <v>157</v>
      </c>
      <c r="AW16" s="13">
        <f t="shared" si="2"/>
        <v>75</v>
      </c>
      <c r="AX16" s="13">
        <f t="shared" si="1"/>
        <v>11462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75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75"/>
      <c r="AQ17" s="19"/>
      <c r="AR17" s="19"/>
      <c r="AS17" s="19"/>
      <c r="AT17" s="19"/>
      <c r="AU17" s="19"/>
      <c r="AV17" s="19"/>
      <c r="AW17" s="19"/>
      <c r="AX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75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75"/>
      <c r="AQ18" s="19"/>
      <c r="AR18" s="19"/>
      <c r="AS18" s="19"/>
      <c r="AT18" s="19"/>
      <c r="AU18" s="19"/>
      <c r="AV18" s="19"/>
      <c r="AW18" s="19"/>
      <c r="AX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112.0</v>
      </c>
      <c r="G19" s="19">
        <v>114.0</v>
      </c>
      <c r="H19" s="19">
        <v>100.0</v>
      </c>
      <c r="I19" s="19">
        <v>100.0</v>
      </c>
      <c r="J19" s="19">
        <v>99.0</v>
      </c>
      <c r="K19" s="19">
        <v>117.0</v>
      </c>
      <c r="L19" s="19">
        <v>101.0</v>
      </c>
      <c r="M19" s="19">
        <v>93.0</v>
      </c>
      <c r="N19" s="19">
        <v>93.0</v>
      </c>
      <c r="O19" s="19">
        <v>114.0</v>
      </c>
      <c r="P19" s="19">
        <v>109.0</v>
      </c>
      <c r="Q19" s="19">
        <v>109.0</v>
      </c>
      <c r="R19" s="19">
        <v>114.0</v>
      </c>
      <c r="S19" s="19">
        <v>92.0</v>
      </c>
      <c r="T19" s="19">
        <v>69.0</v>
      </c>
      <c r="U19" s="19">
        <v>80.0</v>
      </c>
      <c r="V19" s="19">
        <v>104.0</v>
      </c>
      <c r="W19" s="19">
        <v>109.0</v>
      </c>
      <c r="X19" s="19">
        <v>89.0</v>
      </c>
      <c r="Y19" s="19">
        <v>102.0</v>
      </c>
      <c r="Z19" s="19">
        <v>117.0</v>
      </c>
      <c r="AA19" s="19">
        <v>99.0</v>
      </c>
      <c r="AB19" s="19">
        <v>105.0</v>
      </c>
      <c r="AC19" s="19">
        <v>71.0</v>
      </c>
      <c r="AD19" s="19">
        <v>96.0</v>
      </c>
      <c r="AE19" s="19">
        <v>82.0</v>
      </c>
      <c r="AF19" s="19">
        <v>92.0</v>
      </c>
      <c r="AG19" s="19">
        <v>92.0</v>
      </c>
      <c r="AH19" s="19">
        <v>106.0</v>
      </c>
      <c r="AI19" s="19">
        <v>95.0</v>
      </c>
      <c r="AJ19" s="19">
        <v>98.0</v>
      </c>
      <c r="AK19" s="19">
        <v>95.0</v>
      </c>
      <c r="AL19" s="19">
        <v>79.0</v>
      </c>
      <c r="AM19" s="19">
        <v>48.0</v>
      </c>
      <c r="AN19" s="19">
        <v>102.0</v>
      </c>
      <c r="AO19" s="19">
        <v>103.0</v>
      </c>
      <c r="AP19" s="19">
        <v>100.0</v>
      </c>
      <c r="AQ19" s="19">
        <v>77.0</v>
      </c>
      <c r="AR19" s="19">
        <v>81.0</v>
      </c>
      <c r="AS19" s="19">
        <v>96.0</v>
      </c>
      <c r="AT19" s="19">
        <v>90.0</v>
      </c>
      <c r="AU19" s="19">
        <v>100.0</v>
      </c>
      <c r="AV19" s="19">
        <v>74.0</v>
      </c>
      <c r="AW19" s="19">
        <v>23.0</v>
      </c>
      <c r="AX19" s="13">
        <f t="shared" ref="AX19:AX30" si="3">SUM(E19:AW19)</f>
        <v>4241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102.0</v>
      </c>
      <c r="G20" s="19">
        <v>87.0</v>
      </c>
      <c r="H20" s="19">
        <v>101.0</v>
      </c>
      <c r="I20" s="19">
        <v>100.0</v>
      </c>
      <c r="J20" s="19">
        <v>110.0</v>
      </c>
      <c r="K20" s="19">
        <v>98.0</v>
      </c>
      <c r="L20" s="19">
        <v>118.0</v>
      </c>
      <c r="M20" s="19">
        <v>113.0</v>
      </c>
      <c r="N20" s="19">
        <v>108.0</v>
      </c>
      <c r="O20" s="19">
        <v>114.0</v>
      </c>
      <c r="P20" s="19">
        <v>103.0</v>
      </c>
      <c r="Q20" s="19">
        <v>109.0</v>
      </c>
      <c r="R20" s="19">
        <v>98.0</v>
      </c>
      <c r="S20" s="19">
        <v>96.0</v>
      </c>
      <c r="T20" s="19">
        <v>69.0</v>
      </c>
      <c r="U20" s="19">
        <v>95.0</v>
      </c>
      <c r="V20" s="19">
        <v>106.0</v>
      </c>
      <c r="W20" s="19">
        <v>99.0</v>
      </c>
      <c r="X20" s="19">
        <v>95.0</v>
      </c>
      <c r="Y20" s="19">
        <v>100.0</v>
      </c>
      <c r="Z20" s="19">
        <v>105.0</v>
      </c>
      <c r="AA20" s="19">
        <v>100.0</v>
      </c>
      <c r="AB20" s="19">
        <v>119.0</v>
      </c>
      <c r="AC20" s="19">
        <v>81.0</v>
      </c>
      <c r="AD20" s="19">
        <v>112.0</v>
      </c>
      <c r="AE20" s="19">
        <v>97.0</v>
      </c>
      <c r="AF20" s="19">
        <v>95.0</v>
      </c>
      <c r="AG20" s="19">
        <v>89.0</v>
      </c>
      <c r="AH20" s="19">
        <v>115.0</v>
      </c>
      <c r="AI20" s="19">
        <v>113.0</v>
      </c>
      <c r="AJ20" s="19">
        <v>102.0</v>
      </c>
      <c r="AK20" s="19">
        <v>111.0</v>
      </c>
      <c r="AL20" s="19">
        <v>63.0</v>
      </c>
      <c r="AM20" s="19">
        <v>42.0</v>
      </c>
      <c r="AN20" s="19">
        <v>100.0</v>
      </c>
      <c r="AO20" s="19">
        <v>98.0</v>
      </c>
      <c r="AP20" s="19">
        <v>108.0</v>
      </c>
      <c r="AQ20" s="19">
        <v>72.0</v>
      </c>
      <c r="AR20" s="19">
        <v>97.0</v>
      </c>
      <c r="AS20" s="19">
        <v>103.0</v>
      </c>
      <c r="AT20" s="19">
        <v>100.0</v>
      </c>
      <c r="AU20" s="19">
        <v>109.0</v>
      </c>
      <c r="AV20" s="19">
        <v>58.0</v>
      </c>
      <c r="AW20" s="19">
        <v>28.0</v>
      </c>
      <c r="AX20" s="13">
        <f t="shared" si="3"/>
        <v>4331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193</v>
      </c>
      <c r="F21" s="13">
        <f t="shared" si="4"/>
        <v>214</v>
      </c>
      <c r="G21" s="13">
        <f t="shared" si="4"/>
        <v>201</v>
      </c>
      <c r="H21" s="13">
        <f t="shared" si="4"/>
        <v>201</v>
      </c>
      <c r="I21" s="13">
        <f t="shared" si="4"/>
        <v>200</v>
      </c>
      <c r="J21" s="13">
        <f t="shared" si="4"/>
        <v>209</v>
      </c>
      <c r="K21" s="13">
        <f t="shared" si="4"/>
        <v>215</v>
      </c>
      <c r="L21" s="13">
        <f t="shared" si="4"/>
        <v>219</v>
      </c>
      <c r="M21" s="13">
        <f t="shared" si="4"/>
        <v>206</v>
      </c>
      <c r="N21" s="13">
        <f t="shared" si="4"/>
        <v>201</v>
      </c>
      <c r="O21" s="13">
        <f t="shared" si="4"/>
        <v>228</v>
      </c>
      <c r="P21" s="13">
        <f t="shared" si="4"/>
        <v>212</v>
      </c>
      <c r="Q21" s="13">
        <f t="shared" si="4"/>
        <v>218</v>
      </c>
      <c r="R21" s="13">
        <f t="shared" si="4"/>
        <v>212</v>
      </c>
      <c r="S21" s="13">
        <f t="shared" si="4"/>
        <v>188</v>
      </c>
      <c r="T21" s="13">
        <f t="shared" si="4"/>
        <v>138</v>
      </c>
      <c r="U21" s="13">
        <f t="shared" si="4"/>
        <v>175</v>
      </c>
      <c r="V21" s="13">
        <f t="shared" si="4"/>
        <v>210</v>
      </c>
      <c r="W21" s="13">
        <f t="shared" si="4"/>
        <v>208</v>
      </c>
      <c r="X21" s="13">
        <f t="shared" si="4"/>
        <v>184</v>
      </c>
      <c r="Y21" s="13">
        <f t="shared" si="4"/>
        <v>202</v>
      </c>
      <c r="Z21" s="13">
        <f t="shared" si="4"/>
        <v>222</v>
      </c>
      <c r="AA21" s="13">
        <f t="shared" si="4"/>
        <v>199</v>
      </c>
      <c r="AB21" s="13">
        <f t="shared" si="4"/>
        <v>224</v>
      </c>
      <c r="AC21" s="13">
        <f t="shared" si="4"/>
        <v>152</v>
      </c>
      <c r="AD21" s="13">
        <f t="shared" si="4"/>
        <v>208</v>
      </c>
      <c r="AE21" s="13">
        <f t="shared" si="4"/>
        <v>179</v>
      </c>
      <c r="AF21" s="13">
        <f t="shared" si="4"/>
        <v>187</v>
      </c>
      <c r="AG21" s="13">
        <f t="shared" si="4"/>
        <v>181</v>
      </c>
      <c r="AH21" s="13">
        <f t="shared" si="4"/>
        <v>221</v>
      </c>
      <c r="AI21" s="13">
        <f t="shared" si="4"/>
        <v>208</v>
      </c>
      <c r="AJ21" s="13">
        <f t="shared" si="4"/>
        <v>200</v>
      </c>
      <c r="AK21" s="13">
        <f t="shared" si="4"/>
        <v>206</v>
      </c>
      <c r="AL21" s="13">
        <f t="shared" si="4"/>
        <v>142</v>
      </c>
      <c r="AM21" s="13">
        <f t="shared" si="4"/>
        <v>90</v>
      </c>
      <c r="AN21" s="13">
        <f t="shared" si="4"/>
        <v>202</v>
      </c>
      <c r="AO21" s="13">
        <f t="shared" si="4"/>
        <v>201</v>
      </c>
      <c r="AP21" s="13">
        <f t="shared" si="4"/>
        <v>208</v>
      </c>
      <c r="AQ21" s="13">
        <f t="shared" si="4"/>
        <v>149</v>
      </c>
      <c r="AR21" s="13">
        <f t="shared" si="4"/>
        <v>178</v>
      </c>
      <c r="AS21" s="13">
        <f t="shared" si="4"/>
        <v>199</v>
      </c>
      <c r="AT21" s="13">
        <f t="shared" si="4"/>
        <v>190</v>
      </c>
      <c r="AU21" s="13">
        <f t="shared" si="4"/>
        <v>209</v>
      </c>
      <c r="AV21" s="13">
        <f t="shared" si="4"/>
        <v>132</v>
      </c>
      <c r="AW21" s="13">
        <f t="shared" si="4"/>
        <v>51</v>
      </c>
      <c r="AX21" s="13">
        <f t="shared" si="3"/>
        <v>8572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0.0</v>
      </c>
      <c r="G25" s="19">
        <v>4.0</v>
      </c>
      <c r="H25" s="19">
        <v>3.0</v>
      </c>
      <c r="I25" s="19">
        <v>1.0</v>
      </c>
      <c r="J25" s="19">
        <v>3.0</v>
      </c>
      <c r="K25" s="19">
        <v>4.0</v>
      </c>
      <c r="L25" s="19">
        <v>2.0</v>
      </c>
      <c r="M25" s="19">
        <v>3.0</v>
      </c>
      <c r="N25" s="19">
        <v>1.0</v>
      </c>
      <c r="O25" s="19">
        <v>5.0</v>
      </c>
      <c r="P25" s="19">
        <v>0.0</v>
      </c>
      <c r="Q25" s="19">
        <v>3.0</v>
      </c>
      <c r="R25" s="19">
        <v>4.0</v>
      </c>
      <c r="S25" s="19">
        <v>6.0</v>
      </c>
      <c r="T25" s="19">
        <v>5.0</v>
      </c>
      <c r="U25" s="19">
        <v>8.0</v>
      </c>
      <c r="V25" s="19">
        <v>3.0</v>
      </c>
      <c r="W25" s="19">
        <v>1.0</v>
      </c>
      <c r="X25" s="19">
        <v>2.0</v>
      </c>
      <c r="Y25" s="19">
        <v>1.0</v>
      </c>
      <c r="Z25" s="19">
        <v>2.0</v>
      </c>
      <c r="AA25" s="19">
        <v>2.0</v>
      </c>
      <c r="AB25" s="19">
        <v>0.0</v>
      </c>
      <c r="AC25" s="19">
        <v>3.0</v>
      </c>
      <c r="AD25" s="19">
        <v>3.0</v>
      </c>
      <c r="AE25" s="19">
        <v>5.0</v>
      </c>
      <c r="AF25" s="19">
        <v>6.0</v>
      </c>
      <c r="AG25" s="19">
        <v>0.0</v>
      </c>
      <c r="AH25" s="19">
        <v>1.0</v>
      </c>
      <c r="AI25" s="19">
        <v>0.0</v>
      </c>
      <c r="AJ25" s="19">
        <v>2.0</v>
      </c>
      <c r="AK25" s="19">
        <v>3.0</v>
      </c>
      <c r="AL25" s="19">
        <v>4.0</v>
      </c>
      <c r="AM25" s="19">
        <v>1.0</v>
      </c>
      <c r="AN25" s="19">
        <v>2.0</v>
      </c>
      <c r="AO25" s="19">
        <v>0.0</v>
      </c>
      <c r="AP25" s="19">
        <v>0.0</v>
      </c>
      <c r="AQ25" s="19">
        <v>1.0</v>
      </c>
      <c r="AR25" s="19">
        <v>1.0</v>
      </c>
      <c r="AS25" s="19">
        <v>1.0</v>
      </c>
      <c r="AT25" s="19">
        <v>4.0</v>
      </c>
      <c r="AU25" s="19">
        <v>3.0</v>
      </c>
      <c r="AV25" s="19">
        <v>0.0</v>
      </c>
      <c r="AW25" s="19">
        <v>0.0</v>
      </c>
      <c r="AX25" s="13">
        <f t="shared" si="3"/>
        <v>107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1.0</v>
      </c>
      <c r="G26" s="19">
        <v>7.0</v>
      </c>
      <c r="H26" s="19">
        <v>10.0</v>
      </c>
      <c r="I26" s="19">
        <v>4.0</v>
      </c>
      <c r="J26" s="19">
        <v>3.0</v>
      </c>
      <c r="K26" s="19">
        <v>2.0</v>
      </c>
      <c r="L26" s="19">
        <v>2.0</v>
      </c>
      <c r="M26" s="19">
        <v>3.0</v>
      </c>
      <c r="N26" s="19">
        <v>3.0</v>
      </c>
      <c r="O26" s="19">
        <v>5.0</v>
      </c>
      <c r="P26" s="19">
        <v>0.0</v>
      </c>
      <c r="Q26" s="19">
        <v>5.0</v>
      </c>
      <c r="R26" s="19">
        <v>7.0</v>
      </c>
      <c r="S26" s="19">
        <v>3.0</v>
      </c>
      <c r="T26" s="19">
        <v>6.0</v>
      </c>
      <c r="U26" s="19">
        <v>9.0</v>
      </c>
      <c r="V26" s="19">
        <v>3.0</v>
      </c>
      <c r="W26" s="19">
        <v>2.0</v>
      </c>
      <c r="X26" s="19">
        <v>2.0</v>
      </c>
      <c r="Y26" s="19">
        <v>1.0</v>
      </c>
      <c r="Z26" s="19">
        <v>3.0</v>
      </c>
      <c r="AA26" s="19">
        <v>2.0</v>
      </c>
      <c r="AB26" s="19">
        <v>4.0</v>
      </c>
      <c r="AC26" s="19">
        <v>5.0</v>
      </c>
      <c r="AD26" s="19">
        <v>1.0</v>
      </c>
      <c r="AE26" s="19">
        <v>4.0</v>
      </c>
      <c r="AF26" s="19">
        <v>5.0</v>
      </c>
      <c r="AG26" s="19">
        <v>2.0</v>
      </c>
      <c r="AH26" s="19">
        <v>6.0</v>
      </c>
      <c r="AI26" s="19">
        <v>0.0</v>
      </c>
      <c r="AJ26" s="19">
        <v>7.0</v>
      </c>
      <c r="AK26" s="19">
        <v>3.0</v>
      </c>
      <c r="AL26" s="19">
        <v>3.0</v>
      </c>
      <c r="AM26" s="19">
        <v>3.0</v>
      </c>
      <c r="AN26" s="19">
        <v>1.0</v>
      </c>
      <c r="AO26" s="19">
        <v>2.0</v>
      </c>
      <c r="AP26" s="19">
        <v>0.0</v>
      </c>
      <c r="AQ26" s="19">
        <v>2.0</v>
      </c>
      <c r="AR26" s="19">
        <v>0.0</v>
      </c>
      <c r="AS26" s="19">
        <v>5.0</v>
      </c>
      <c r="AT26" s="19">
        <v>9.0</v>
      </c>
      <c r="AU26" s="19">
        <v>6.0</v>
      </c>
      <c r="AV26" s="19">
        <v>0.0</v>
      </c>
      <c r="AW26" s="19">
        <v>0.0</v>
      </c>
      <c r="AX26" s="13">
        <f t="shared" si="3"/>
        <v>156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9</v>
      </c>
      <c r="F27" s="13">
        <f t="shared" si="6"/>
        <v>1</v>
      </c>
      <c r="G27" s="13">
        <f t="shared" si="6"/>
        <v>11</v>
      </c>
      <c r="H27" s="13">
        <f t="shared" si="6"/>
        <v>13</v>
      </c>
      <c r="I27" s="13">
        <f t="shared" si="6"/>
        <v>5</v>
      </c>
      <c r="J27" s="13">
        <f t="shared" si="6"/>
        <v>6</v>
      </c>
      <c r="K27" s="13">
        <f t="shared" si="6"/>
        <v>6</v>
      </c>
      <c r="L27" s="13">
        <f t="shared" si="6"/>
        <v>4</v>
      </c>
      <c r="M27" s="13">
        <f t="shared" si="6"/>
        <v>6</v>
      </c>
      <c r="N27" s="13">
        <f t="shared" si="6"/>
        <v>4</v>
      </c>
      <c r="O27" s="13">
        <f t="shared" si="6"/>
        <v>10</v>
      </c>
      <c r="P27" s="13">
        <f t="shared" si="6"/>
        <v>0</v>
      </c>
      <c r="Q27" s="13">
        <f t="shared" si="6"/>
        <v>8</v>
      </c>
      <c r="R27" s="13">
        <f t="shared" si="6"/>
        <v>11</v>
      </c>
      <c r="S27" s="13">
        <f t="shared" si="6"/>
        <v>9</v>
      </c>
      <c r="T27" s="13">
        <f t="shared" si="6"/>
        <v>11</v>
      </c>
      <c r="U27" s="13">
        <f t="shared" si="6"/>
        <v>17</v>
      </c>
      <c r="V27" s="13">
        <f t="shared" si="6"/>
        <v>6</v>
      </c>
      <c r="W27" s="13">
        <f t="shared" si="6"/>
        <v>3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4</v>
      </c>
      <c r="AB27" s="13">
        <f t="shared" si="6"/>
        <v>4</v>
      </c>
      <c r="AC27" s="13">
        <f t="shared" si="6"/>
        <v>8</v>
      </c>
      <c r="AD27" s="13">
        <f t="shared" si="6"/>
        <v>4</v>
      </c>
      <c r="AE27" s="13">
        <f t="shared" si="6"/>
        <v>9</v>
      </c>
      <c r="AF27" s="13">
        <f t="shared" si="6"/>
        <v>11</v>
      </c>
      <c r="AG27" s="13">
        <f t="shared" si="6"/>
        <v>2</v>
      </c>
      <c r="AH27" s="13">
        <f t="shared" si="6"/>
        <v>7</v>
      </c>
      <c r="AI27" s="13">
        <f t="shared" si="6"/>
        <v>0</v>
      </c>
      <c r="AJ27" s="13">
        <f t="shared" si="6"/>
        <v>9</v>
      </c>
      <c r="AK27" s="13">
        <f t="shared" si="6"/>
        <v>6</v>
      </c>
      <c r="AL27" s="13">
        <f t="shared" si="6"/>
        <v>7</v>
      </c>
      <c r="AM27" s="13">
        <f t="shared" si="6"/>
        <v>4</v>
      </c>
      <c r="AN27" s="13">
        <f t="shared" si="6"/>
        <v>3</v>
      </c>
      <c r="AO27" s="13">
        <f t="shared" si="6"/>
        <v>2</v>
      </c>
      <c r="AP27" s="13">
        <f t="shared" si="6"/>
        <v>0</v>
      </c>
      <c r="AQ27" s="13">
        <f t="shared" si="6"/>
        <v>3</v>
      </c>
      <c r="AR27" s="13">
        <f t="shared" si="6"/>
        <v>1</v>
      </c>
      <c r="AS27" s="13">
        <f t="shared" si="6"/>
        <v>6</v>
      </c>
      <c r="AT27" s="13">
        <f t="shared" si="6"/>
        <v>13</v>
      </c>
      <c r="AU27" s="13">
        <f t="shared" si="6"/>
        <v>9</v>
      </c>
      <c r="AV27" s="13">
        <f t="shared" si="6"/>
        <v>0</v>
      </c>
      <c r="AW27" s="13">
        <f t="shared" si="6"/>
        <v>0</v>
      </c>
      <c r="AX27" s="13">
        <f t="shared" si="3"/>
        <v>263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104</v>
      </c>
      <c r="F28" s="13">
        <f t="shared" si="7"/>
        <v>112</v>
      </c>
      <c r="G28" s="13">
        <f t="shared" si="7"/>
        <v>118</v>
      </c>
      <c r="H28" s="13">
        <f t="shared" si="7"/>
        <v>103</v>
      </c>
      <c r="I28" s="13">
        <f t="shared" si="7"/>
        <v>101</v>
      </c>
      <c r="J28" s="13">
        <f t="shared" si="7"/>
        <v>102</v>
      </c>
      <c r="K28" s="13">
        <f t="shared" si="7"/>
        <v>122</v>
      </c>
      <c r="L28" s="13">
        <f t="shared" si="7"/>
        <v>103</v>
      </c>
      <c r="M28" s="13">
        <f t="shared" si="7"/>
        <v>97</v>
      </c>
      <c r="N28" s="13">
        <f t="shared" si="7"/>
        <v>94</v>
      </c>
      <c r="O28" s="13">
        <f t="shared" si="7"/>
        <v>119</v>
      </c>
      <c r="P28" s="13">
        <f t="shared" si="7"/>
        <v>109</v>
      </c>
      <c r="Q28" s="13">
        <f t="shared" si="7"/>
        <v>112</v>
      </c>
      <c r="R28" s="13">
        <f t="shared" si="7"/>
        <v>118</v>
      </c>
      <c r="S28" s="13">
        <f t="shared" si="7"/>
        <v>99</v>
      </c>
      <c r="T28" s="13">
        <f t="shared" si="7"/>
        <v>74</v>
      </c>
      <c r="U28" s="13">
        <f t="shared" si="7"/>
        <v>88</v>
      </c>
      <c r="V28" s="13">
        <f t="shared" si="7"/>
        <v>107</v>
      </c>
      <c r="W28" s="13">
        <f t="shared" si="7"/>
        <v>110</v>
      </c>
      <c r="X28" s="13">
        <f t="shared" si="7"/>
        <v>91</v>
      </c>
      <c r="Y28" s="13">
        <f t="shared" si="7"/>
        <v>103</v>
      </c>
      <c r="Z28" s="13">
        <f t="shared" si="7"/>
        <v>119</v>
      </c>
      <c r="AA28" s="13">
        <f t="shared" si="7"/>
        <v>101</v>
      </c>
      <c r="AB28" s="13">
        <f t="shared" si="7"/>
        <v>105</v>
      </c>
      <c r="AC28" s="13">
        <f t="shared" si="7"/>
        <v>74</v>
      </c>
      <c r="AD28" s="13">
        <f t="shared" si="7"/>
        <v>99</v>
      </c>
      <c r="AE28" s="13">
        <f t="shared" si="7"/>
        <v>87</v>
      </c>
      <c r="AF28" s="13">
        <f t="shared" si="7"/>
        <v>98</v>
      </c>
      <c r="AG28" s="13">
        <f t="shared" si="7"/>
        <v>92</v>
      </c>
      <c r="AH28" s="13">
        <f t="shared" si="7"/>
        <v>107</v>
      </c>
      <c r="AI28" s="13">
        <f t="shared" si="7"/>
        <v>95</v>
      </c>
      <c r="AJ28" s="13">
        <f t="shared" si="7"/>
        <v>100</v>
      </c>
      <c r="AK28" s="13">
        <f t="shared" si="7"/>
        <v>98</v>
      </c>
      <c r="AL28" s="13">
        <f t="shared" si="7"/>
        <v>83</v>
      </c>
      <c r="AM28" s="13">
        <f t="shared" si="7"/>
        <v>49</v>
      </c>
      <c r="AN28" s="13">
        <f t="shared" si="7"/>
        <v>104</v>
      </c>
      <c r="AO28" s="13">
        <f t="shared" si="7"/>
        <v>103</v>
      </c>
      <c r="AP28" s="13">
        <f t="shared" si="7"/>
        <v>100</v>
      </c>
      <c r="AQ28" s="13">
        <f t="shared" si="7"/>
        <v>78</v>
      </c>
      <c r="AR28" s="13">
        <f t="shared" si="7"/>
        <v>82</v>
      </c>
      <c r="AS28" s="13">
        <f t="shared" si="7"/>
        <v>97</v>
      </c>
      <c r="AT28" s="13">
        <f t="shared" si="7"/>
        <v>94</v>
      </c>
      <c r="AU28" s="13">
        <f t="shared" si="7"/>
        <v>103</v>
      </c>
      <c r="AV28" s="13">
        <f t="shared" si="7"/>
        <v>74</v>
      </c>
      <c r="AW28" s="13">
        <f t="shared" si="7"/>
        <v>23</v>
      </c>
      <c r="AX28" s="13">
        <f t="shared" si="3"/>
        <v>4351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98</v>
      </c>
      <c r="F29" s="13">
        <f t="shared" si="8"/>
        <v>103</v>
      </c>
      <c r="G29" s="13">
        <f t="shared" si="8"/>
        <v>94</v>
      </c>
      <c r="H29" s="13">
        <f t="shared" si="8"/>
        <v>111</v>
      </c>
      <c r="I29" s="13">
        <f t="shared" si="8"/>
        <v>104</v>
      </c>
      <c r="J29" s="13">
        <f t="shared" si="8"/>
        <v>113</v>
      </c>
      <c r="K29" s="13">
        <f t="shared" si="8"/>
        <v>100</v>
      </c>
      <c r="L29" s="13">
        <f t="shared" si="8"/>
        <v>120</v>
      </c>
      <c r="M29" s="13">
        <f t="shared" si="8"/>
        <v>116</v>
      </c>
      <c r="N29" s="13">
        <f t="shared" si="8"/>
        <v>111</v>
      </c>
      <c r="O29" s="13">
        <f t="shared" si="8"/>
        <v>119</v>
      </c>
      <c r="P29" s="13">
        <f t="shared" si="8"/>
        <v>103</v>
      </c>
      <c r="Q29" s="13">
        <f t="shared" si="8"/>
        <v>114</v>
      </c>
      <c r="R29" s="13">
        <f t="shared" si="8"/>
        <v>105</v>
      </c>
      <c r="S29" s="13">
        <f t="shared" si="8"/>
        <v>99</v>
      </c>
      <c r="T29" s="13">
        <f t="shared" si="8"/>
        <v>75</v>
      </c>
      <c r="U29" s="13">
        <f t="shared" si="8"/>
        <v>104</v>
      </c>
      <c r="V29" s="13">
        <f t="shared" si="8"/>
        <v>109</v>
      </c>
      <c r="W29" s="13">
        <f t="shared" si="8"/>
        <v>101</v>
      </c>
      <c r="X29" s="13">
        <f t="shared" si="8"/>
        <v>97</v>
      </c>
      <c r="Y29" s="13">
        <f t="shared" si="8"/>
        <v>101</v>
      </c>
      <c r="Z29" s="13">
        <f t="shared" si="8"/>
        <v>108</v>
      </c>
      <c r="AA29" s="13">
        <f t="shared" si="8"/>
        <v>102</v>
      </c>
      <c r="AB29" s="13">
        <f t="shared" si="8"/>
        <v>123</v>
      </c>
      <c r="AC29" s="13">
        <f t="shared" si="8"/>
        <v>86</v>
      </c>
      <c r="AD29" s="13">
        <f t="shared" si="8"/>
        <v>113</v>
      </c>
      <c r="AE29" s="13">
        <f t="shared" si="8"/>
        <v>101</v>
      </c>
      <c r="AF29" s="13">
        <f t="shared" si="8"/>
        <v>100</v>
      </c>
      <c r="AG29" s="13">
        <f t="shared" si="8"/>
        <v>91</v>
      </c>
      <c r="AH29" s="13">
        <f t="shared" si="8"/>
        <v>121</v>
      </c>
      <c r="AI29" s="13">
        <f t="shared" si="8"/>
        <v>113</v>
      </c>
      <c r="AJ29" s="13">
        <f t="shared" si="8"/>
        <v>109</v>
      </c>
      <c r="AK29" s="13">
        <f t="shared" si="8"/>
        <v>114</v>
      </c>
      <c r="AL29" s="13">
        <f t="shared" si="8"/>
        <v>66</v>
      </c>
      <c r="AM29" s="13">
        <f t="shared" si="8"/>
        <v>45</v>
      </c>
      <c r="AN29" s="13">
        <f t="shared" si="8"/>
        <v>101</v>
      </c>
      <c r="AO29" s="13">
        <f t="shared" si="8"/>
        <v>100</v>
      </c>
      <c r="AP29" s="13">
        <f t="shared" si="8"/>
        <v>108</v>
      </c>
      <c r="AQ29" s="13">
        <f t="shared" si="8"/>
        <v>74</v>
      </c>
      <c r="AR29" s="13">
        <f t="shared" si="8"/>
        <v>97</v>
      </c>
      <c r="AS29" s="13">
        <f t="shared" si="8"/>
        <v>108</v>
      </c>
      <c r="AT29" s="13">
        <f t="shared" si="8"/>
        <v>109</v>
      </c>
      <c r="AU29" s="13">
        <f t="shared" si="8"/>
        <v>115</v>
      </c>
      <c r="AV29" s="13">
        <f t="shared" si="8"/>
        <v>58</v>
      </c>
      <c r="AW29" s="13">
        <f t="shared" si="8"/>
        <v>28</v>
      </c>
      <c r="AX29" s="13">
        <f t="shared" si="3"/>
        <v>4487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202</v>
      </c>
      <c r="F30" s="13">
        <f t="shared" si="9"/>
        <v>215</v>
      </c>
      <c r="G30" s="13">
        <f t="shared" si="9"/>
        <v>212</v>
      </c>
      <c r="H30" s="13">
        <f t="shared" si="9"/>
        <v>214</v>
      </c>
      <c r="I30" s="13">
        <f t="shared" si="9"/>
        <v>205</v>
      </c>
      <c r="J30" s="13">
        <f t="shared" si="9"/>
        <v>215</v>
      </c>
      <c r="K30" s="13">
        <f t="shared" si="9"/>
        <v>222</v>
      </c>
      <c r="L30" s="13">
        <f t="shared" si="9"/>
        <v>223</v>
      </c>
      <c r="M30" s="13">
        <f t="shared" si="9"/>
        <v>213</v>
      </c>
      <c r="N30" s="13">
        <f t="shared" si="9"/>
        <v>205</v>
      </c>
      <c r="O30" s="13">
        <f t="shared" si="9"/>
        <v>238</v>
      </c>
      <c r="P30" s="13">
        <f t="shared" si="9"/>
        <v>212</v>
      </c>
      <c r="Q30" s="13">
        <f t="shared" si="9"/>
        <v>226</v>
      </c>
      <c r="R30" s="13">
        <f t="shared" si="9"/>
        <v>223</v>
      </c>
      <c r="S30" s="13">
        <f t="shared" si="9"/>
        <v>198</v>
      </c>
      <c r="T30" s="13">
        <f t="shared" si="9"/>
        <v>149</v>
      </c>
      <c r="U30" s="13">
        <f t="shared" si="9"/>
        <v>192</v>
      </c>
      <c r="V30" s="13">
        <f t="shared" si="9"/>
        <v>216</v>
      </c>
      <c r="W30" s="13">
        <f t="shared" si="9"/>
        <v>211</v>
      </c>
      <c r="X30" s="13">
        <f t="shared" si="9"/>
        <v>188</v>
      </c>
      <c r="Y30" s="13">
        <f t="shared" si="9"/>
        <v>204</v>
      </c>
      <c r="Z30" s="13">
        <f t="shared" si="9"/>
        <v>227</v>
      </c>
      <c r="AA30" s="13">
        <f t="shared" si="9"/>
        <v>203</v>
      </c>
      <c r="AB30" s="13">
        <f t="shared" si="9"/>
        <v>228</v>
      </c>
      <c r="AC30" s="13">
        <f t="shared" si="9"/>
        <v>160</v>
      </c>
      <c r="AD30" s="13">
        <f t="shared" si="9"/>
        <v>212</v>
      </c>
      <c r="AE30" s="13">
        <f t="shared" si="9"/>
        <v>188</v>
      </c>
      <c r="AF30" s="13">
        <f t="shared" si="9"/>
        <v>198</v>
      </c>
      <c r="AG30" s="13">
        <f t="shared" si="9"/>
        <v>183</v>
      </c>
      <c r="AH30" s="13">
        <f t="shared" si="9"/>
        <v>228</v>
      </c>
      <c r="AI30" s="13">
        <f t="shared" si="9"/>
        <v>208</v>
      </c>
      <c r="AJ30" s="13">
        <f t="shared" si="9"/>
        <v>209</v>
      </c>
      <c r="AK30" s="13">
        <f t="shared" si="9"/>
        <v>212</v>
      </c>
      <c r="AL30" s="13">
        <f t="shared" si="9"/>
        <v>149</v>
      </c>
      <c r="AM30" s="13">
        <f t="shared" si="9"/>
        <v>94</v>
      </c>
      <c r="AN30" s="13">
        <f t="shared" si="9"/>
        <v>205</v>
      </c>
      <c r="AO30" s="13">
        <f t="shared" si="9"/>
        <v>203</v>
      </c>
      <c r="AP30" s="13">
        <f t="shared" si="9"/>
        <v>208</v>
      </c>
      <c r="AQ30" s="13">
        <f t="shared" si="9"/>
        <v>152</v>
      </c>
      <c r="AR30" s="13">
        <f t="shared" si="9"/>
        <v>179</v>
      </c>
      <c r="AS30" s="13">
        <f t="shared" si="9"/>
        <v>205</v>
      </c>
      <c r="AT30" s="13">
        <f t="shared" si="9"/>
        <v>203</v>
      </c>
      <c r="AU30" s="13">
        <f t="shared" si="9"/>
        <v>218</v>
      </c>
      <c r="AV30" s="13">
        <f t="shared" si="9"/>
        <v>132</v>
      </c>
      <c r="AW30" s="13">
        <f t="shared" si="9"/>
        <v>51</v>
      </c>
      <c r="AX30" s="13">
        <f t="shared" si="3"/>
        <v>8838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75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75"/>
      <c r="AQ31" s="19"/>
      <c r="AR31" s="19"/>
      <c r="AS31" s="19"/>
      <c r="AT31" s="19"/>
      <c r="AU31" s="19"/>
      <c r="AV31" s="19"/>
      <c r="AW31" s="19"/>
      <c r="AX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77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77"/>
      <c r="AQ32" s="13"/>
      <c r="AR32" s="13"/>
      <c r="AS32" s="13"/>
      <c r="AT32" s="13"/>
      <c r="AU32" s="13"/>
      <c r="AV32" s="13"/>
      <c r="AW32" s="13"/>
      <c r="AX32" s="76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272.0</v>
      </c>
      <c r="G33" s="19">
        <v>254.0</v>
      </c>
      <c r="H33" s="19">
        <v>269.0</v>
      </c>
      <c r="I33" s="19">
        <v>285.0</v>
      </c>
      <c r="J33" s="19">
        <v>286.0</v>
      </c>
      <c r="K33" s="19">
        <v>269.0</v>
      </c>
      <c r="L33" s="19">
        <v>299.0</v>
      </c>
      <c r="M33" s="19">
        <v>289.0</v>
      </c>
      <c r="N33" s="19">
        <v>300.0</v>
      </c>
      <c r="O33" s="19">
        <v>298.0</v>
      </c>
      <c r="P33" s="19">
        <v>273.0</v>
      </c>
      <c r="Q33" s="19">
        <v>295.0</v>
      </c>
      <c r="R33" s="19">
        <v>286.0</v>
      </c>
      <c r="S33" s="19">
        <v>248.0</v>
      </c>
      <c r="T33" s="19">
        <v>196.0</v>
      </c>
      <c r="U33" s="19">
        <v>228.0</v>
      </c>
      <c r="V33" s="19">
        <v>282.0</v>
      </c>
      <c r="W33" s="19">
        <v>270.0</v>
      </c>
      <c r="X33" s="19">
        <v>251.0</v>
      </c>
      <c r="Y33" s="19">
        <v>277.0</v>
      </c>
      <c r="Z33" s="19">
        <v>268.0</v>
      </c>
      <c r="AA33" s="19">
        <v>268.0</v>
      </c>
      <c r="AB33" s="19">
        <v>288.0</v>
      </c>
      <c r="AC33" s="19">
        <v>231.0</v>
      </c>
      <c r="AD33" s="19">
        <v>284.0</v>
      </c>
      <c r="AE33" s="19">
        <v>252.0</v>
      </c>
      <c r="AF33" s="19">
        <v>271.0</v>
      </c>
      <c r="AG33" s="19">
        <v>237.0</v>
      </c>
      <c r="AH33" s="19">
        <v>297.0</v>
      </c>
      <c r="AI33" s="19">
        <v>296.0</v>
      </c>
      <c r="AJ33" s="19">
        <v>301.0</v>
      </c>
      <c r="AK33" s="19">
        <v>261.0</v>
      </c>
      <c r="AL33" s="19">
        <v>193.0</v>
      </c>
      <c r="AM33" s="19">
        <v>148.0</v>
      </c>
      <c r="AN33" s="19">
        <v>296.0</v>
      </c>
      <c r="AO33" s="19">
        <v>278.0</v>
      </c>
      <c r="AP33" s="19">
        <v>304.0</v>
      </c>
      <c r="AQ33" s="19">
        <v>203.0</v>
      </c>
      <c r="AR33" s="19">
        <v>249.0</v>
      </c>
      <c r="AS33" s="19">
        <v>303.0</v>
      </c>
      <c r="AT33" s="19">
        <v>292.0</v>
      </c>
      <c r="AU33" s="19">
        <v>294.0</v>
      </c>
      <c r="AV33" s="19">
        <v>161.0</v>
      </c>
      <c r="AW33" s="19">
        <v>77.0</v>
      </c>
      <c r="AX33" s="13">
        <f t="shared" ref="AX33:AX36" si="10">SUM(E33:AW33)</f>
        <v>11752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215.0</v>
      </c>
      <c r="G34" s="13">
        <v>212.0</v>
      </c>
      <c r="H34" s="13">
        <v>214.0</v>
      </c>
      <c r="I34" s="13">
        <v>205.0</v>
      </c>
      <c r="J34" s="13">
        <v>215.0</v>
      </c>
      <c r="K34" s="13">
        <v>222.0</v>
      </c>
      <c r="L34" s="13">
        <v>223.0</v>
      </c>
      <c r="M34" s="13">
        <v>213.0</v>
      </c>
      <c r="N34" s="13">
        <v>205.0</v>
      </c>
      <c r="O34" s="13">
        <v>238.0</v>
      </c>
      <c r="P34" s="13">
        <v>212.0</v>
      </c>
      <c r="Q34" s="13">
        <v>226.0</v>
      </c>
      <c r="R34" s="13">
        <v>223.0</v>
      </c>
      <c r="S34" s="13">
        <v>198.0</v>
      </c>
      <c r="T34" s="13">
        <v>149.0</v>
      </c>
      <c r="U34" s="13">
        <v>192.0</v>
      </c>
      <c r="V34" s="13">
        <v>216.0</v>
      </c>
      <c r="W34" s="13">
        <v>211.0</v>
      </c>
      <c r="X34" s="13">
        <v>188.0</v>
      </c>
      <c r="Y34" s="13">
        <v>204.0</v>
      </c>
      <c r="Z34" s="13">
        <v>227.0</v>
      </c>
      <c r="AA34" s="13">
        <v>203.0</v>
      </c>
      <c r="AB34" s="13">
        <v>228.0</v>
      </c>
      <c r="AC34" s="13">
        <v>160.0</v>
      </c>
      <c r="AD34" s="13">
        <v>212.0</v>
      </c>
      <c r="AE34" s="13">
        <v>188.0</v>
      </c>
      <c r="AF34" s="13">
        <v>198.0</v>
      </c>
      <c r="AG34" s="13">
        <v>183.0</v>
      </c>
      <c r="AH34" s="13">
        <v>228.0</v>
      </c>
      <c r="AI34" s="13">
        <v>208.0</v>
      </c>
      <c r="AJ34" s="13">
        <v>209.0</v>
      </c>
      <c r="AK34" s="13">
        <v>212.0</v>
      </c>
      <c r="AL34" s="13">
        <v>149.0</v>
      </c>
      <c r="AM34" s="13">
        <v>94.0</v>
      </c>
      <c r="AN34" s="13">
        <v>205.0</v>
      </c>
      <c r="AO34" s="13">
        <v>203.0</v>
      </c>
      <c r="AP34" s="13">
        <v>208.0</v>
      </c>
      <c r="AQ34" s="13">
        <v>152.0</v>
      </c>
      <c r="AR34" s="13">
        <v>179.0</v>
      </c>
      <c r="AS34" s="13">
        <v>205.0</v>
      </c>
      <c r="AT34" s="13">
        <v>203.0</v>
      </c>
      <c r="AU34" s="13">
        <v>218.0</v>
      </c>
      <c r="AV34" s="13">
        <v>132.0</v>
      </c>
      <c r="AW34" s="13">
        <v>51.0</v>
      </c>
      <c r="AX34" s="13">
        <f t="shared" si="10"/>
        <v>8838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/>
      <c r="G35" s="19"/>
      <c r="H35" s="19"/>
      <c r="I35" s="19"/>
      <c r="J35" s="19"/>
      <c r="K35" s="19"/>
      <c r="L35" s="19">
        <v>1.0</v>
      </c>
      <c r="M35" s="19"/>
      <c r="N35" s="19">
        <v>1.0</v>
      </c>
      <c r="O35" s="19"/>
      <c r="P35" s="19">
        <v>19.0</v>
      </c>
      <c r="Q35" s="19">
        <v>1.0</v>
      </c>
      <c r="R35" s="19">
        <v>2.0</v>
      </c>
      <c r="S35" s="19">
        <v>1.0</v>
      </c>
      <c r="T35" s="19">
        <v>3.0</v>
      </c>
      <c r="U35" s="19"/>
      <c r="V35" s="19">
        <v>1.0</v>
      </c>
      <c r="W35" s="19">
        <v>4.0</v>
      </c>
      <c r="X35" s="19"/>
      <c r="Y35" s="19">
        <v>1.0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>
        <v>0.0</v>
      </c>
      <c r="AJ35" s="19">
        <v>0.0</v>
      </c>
      <c r="AK35" s="19">
        <v>1.0</v>
      </c>
      <c r="AL35" s="19">
        <v>1.0</v>
      </c>
      <c r="AM35" s="19">
        <v>0.0</v>
      </c>
      <c r="AN35" s="19">
        <v>1.0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3">
        <f t="shared" si="10"/>
        <v>38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70</v>
      </c>
      <c r="F36" s="13">
        <f t="shared" si="11"/>
        <v>57</v>
      </c>
      <c r="G36" s="13">
        <f t="shared" si="11"/>
        <v>42</v>
      </c>
      <c r="H36" s="13">
        <f t="shared" si="11"/>
        <v>55</v>
      </c>
      <c r="I36" s="13">
        <f t="shared" si="11"/>
        <v>80</v>
      </c>
      <c r="J36" s="13">
        <f t="shared" si="11"/>
        <v>71</v>
      </c>
      <c r="K36" s="13">
        <f t="shared" si="11"/>
        <v>47</v>
      </c>
      <c r="L36" s="13">
        <f t="shared" si="11"/>
        <v>75</v>
      </c>
      <c r="M36" s="13">
        <f t="shared" si="11"/>
        <v>76</v>
      </c>
      <c r="N36" s="13">
        <f t="shared" si="11"/>
        <v>94</v>
      </c>
      <c r="O36" s="13">
        <f t="shared" si="11"/>
        <v>60</v>
      </c>
      <c r="P36" s="13">
        <f t="shared" si="11"/>
        <v>42</v>
      </c>
      <c r="Q36" s="13">
        <f t="shared" si="11"/>
        <v>68</v>
      </c>
      <c r="R36" s="13">
        <f t="shared" si="11"/>
        <v>61</v>
      </c>
      <c r="S36" s="13">
        <f t="shared" si="11"/>
        <v>49</v>
      </c>
      <c r="T36" s="13">
        <f t="shared" si="11"/>
        <v>44</v>
      </c>
      <c r="U36" s="13">
        <f t="shared" si="11"/>
        <v>36</v>
      </c>
      <c r="V36" s="13">
        <f t="shared" si="11"/>
        <v>65</v>
      </c>
      <c r="W36" s="13">
        <f t="shared" si="11"/>
        <v>55</v>
      </c>
      <c r="X36" s="13">
        <f t="shared" si="11"/>
        <v>63</v>
      </c>
      <c r="Y36" s="13">
        <f t="shared" si="11"/>
        <v>72</v>
      </c>
      <c r="Z36" s="13">
        <f t="shared" si="11"/>
        <v>41</v>
      </c>
      <c r="AA36" s="13">
        <f t="shared" si="11"/>
        <v>65</v>
      </c>
      <c r="AB36" s="13">
        <f t="shared" si="11"/>
        <v>60</v>
      </c>
      <c r="AC36" s="13">
        <f t="shared" si="11"/>
        <v>71</v>
      </c>
      <c r="AD36" s="13">
        <f t="shared" si="11"/>
        <v>72</v>
      </c>
      <c r="AE36" s="13">
        <f t="shared" si="11"/>
        <v>64</v>
      </c>
      <c r="AF36" s="13">
        <f t="shared" si="11"/>
        <v>73</v>
      </c>
      <c r="AG36" s="13">
        <f t="shared" si="11"/>
        <v>54</v>
      </c>
      <c r="AH36" s="13">
        <f t="shared" si="11"/>
        <v>69</v>
      </c>
      <c r="AI36" s="13">
        <f t="shared" si="11"/>
        <v>88</v>
      </c>
      <c r="AJ36" s="13">
        <f t="shared" si="11"/>
        <v>92</v>
      </c>
      <c r="AK36" s="13">
        <f t="shared" si="11"/>
        <v>48</v>
      </c>
      <c r="AL36" s="13">
        <f t="shared" si="11"/>
        <v>43</v>
      </c>
      <c r="AM36" s="13">
        <f t="shared" si="11"/>
        <v>54</v>
      </c>
      <c r="AN36" s="13">
        <f t="shared" si="11"/>
        <v>90</v>
      </c>
      <c r="AO36" s="13">
        <f t="shared" si="11"/>
        <v>75</v>
      </c>
      <c r="AP36" s="13">
        <f t="shared" si="11"/>
        <v>96</v>
      </c>
      <c r="AQ36" s="13">
        <f t="shared" si="11"/>
        <v>51</v>
      </c>
      <c r="AR36" s="13">
        <f t="shared" si="11"/>
        <v>70</v>
      </c>
      <c r="AS36" s="13">
        <f t="shared" si="11"/>
        <v>98</v>
      </c>
      <c r="AT36" s="13">
        <f t="shared" si="11"/>
        <v>89</v>
      </c>
      <c r="AU36" s="13">
        <f t="shared" si="11"/>
        <v>76</v>
      </c>
      <c r="AV36" s="13">
        <f t="shared" si="11"/>
        <v>29</v>
      </c>
      <c r="AW36" s="13">
        <f t="shared" si="11"/>
        <v>26</v>
      </c>
      <c r="AX36" s="13">
        <f t="shared" si="10"/>
        <v>2876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77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77"/>
      <c r="AQ38" s="13"/>
      <c r="AR38" s="13"/>
      <c r="AS38" s="13"/>
      <c r="AT38" s="13"/>
      <c r="AU38" s="13"/>
      <c r="AV38" s="13"/>
      <c r="AW38" s="13"/>
      <c r="AX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3">
        <f t="shared" ref="AX39:AX41" si="12">SUM(E39:AW39)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2.0</v>
      </c>
      <c r="T40" s="19">
        <v>1.0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1.0</v>
      </c>
      <c r="AS40" s="19">
        <v>1.0</v>
      </c>
      <c r="AT40" s="19">
        <v>0.0</v>
      </c>
      <c r="AU40" s="19">
        <v>0.0</v>
      </c>
      <c r="AV40" s="19">
        <v>0.0</v>
      </c>
      <c r="AW40" s="19">
        <v>0.0</v>
      </c>
      <c r="AX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77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77"/>
      <c r="AQ43" s="13"/>
      <c r="AR43" s="13"/>
      <c r="AS43" s="13"/>
      <c r="AT43" s="13"/>
      <c r="AU43" s="13"/>
      <c r="AV43" s="13"/>
      <c r="AW43" s="13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75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75"/>
      <c r="AQ44" s="19"/>
      <c r="AR44" s="19"/>
      <c r="AS44" s="19"/>
      <c r="AT44" s="19"/>
      <c r="AU44" s="19"/>
      <c r="AV44" s="19"/>
      <c r="AW44" s="19"/>
      <c r="A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15.0</v>
      </c>
      <c r="G45" s="19">
        <v>12.0</v>
      </c>
      <c r="H45" s="19">
        <v>8.0</v>
      </c>
      <c r="I45" s="19">
        <v>11.0</v>
      </c>
      <c r="J45" s="19">
        <v>14.0</v>
      </c>
      <c r="K45" s="19">
        <v>8.0</v>
      </c>
      <c r="L45" s="19">
        <v>4.0</v>
      </c>
      <c r="M45" s="19">
        <v>19.0</v>
      </c>
      <c r="N45" s="19">
        <v>22.0</v>
      </c>
      <c r="O45" s="19">
        <v>11.0</v>
      </c>
      <c r="P45" s="19">
        <v>6.0</v>
      </c>
      <c r="Q45" s="19">
        <v>2.0</v>
      </c>
      <c r="R45" s="19">
        <v>7.0</v>
      </c>
      <c r="S45" s="19">
        <v>14.0</v>
      </c>
      <c r="T45" s="19">
        <v>6.0</v>
      </c>
      <c r="U45" s="19">
        <v>11.0</v>
      </c>
      <c r="V45" s="19">
        <v>12.0</v>
      </c>
      <c r="W45" s="19">
        <v>8.0</v>
      </c>
      <c r="X45" s="19">
        <v>4.0</v>
      </c>
      <c r="Y45" s="19">
        <v>4.0</v>
      </c>
      <c r="Z45" s="19">
        <v>15.0</v>
      </c>
      <c r="AA45" s="19">
        <v>19.0</v>
      </c>
      <c r="AB45" s="19">
        <v>11.0</v>
      </c>
      <c r="AC45" s="19">
        <v>6.0</v>
      </c>
      <c r="AD45" s="19">
        <v>11.0</v>
      </c>
      <c r="AE45" s="19">
        <v>12.0</v>
      </c>
      <c r="AF45" s="19">
        <v>15.0</v>
      </c>
      <c r="AG45" s="19">
        <v>14.0</v>
      </c>
      <c r="AH45" s="19">
        <v>42.0</v>
      </c>
      <c r="AI45" s="19">
        <v>18.0</v>
      </c>
      <c r="AJ45" s="19">
        <v>12.0</v>
      </c>
      <c r="AK45" s="19">
        <v>11.0</v>
      </c>
      <c r="AL45" s="19">
        <v>3.0</v>
      </c>
      <c r="AM45" s="19">
        <v>0.0</v>
      </c>
      <c r="AN45" s="19">
        <v>17.0</v>
      </c>
      <c r="AO45" s="19">
        <v>5.0</v>
      </c>
      <c r="AP45" s="19">
        <v>4.0</v>
      </c>
      <c r="AQ45" s="19">
        <v>4.0</v>
      </c>
      <c r="AR45" s="19">
        <v>8.0</v>
      </c>
      <c r="AS45" s="19">
        <v>1.0</v>
      </c>
      <c r="AT45" s="19">
        <v>5.0</v>
      </c>
      <c r="AU45" s="19">
        <v>5.0</v>
      </c>
      <c r="AV45" s="19">
        <v>1.0</v>
      </c>
      <c r="AW45" s="19">
        <v>7.0</v>
      </c>
      <c r="AX45" s="13">
        <f t="shared" ref="AX45:AX54" si="14">SUM(E45:AW45)</f>
        <v>451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9.0</v>
      </c>
      <c r="F46" s="19">
        <v>24.0</v>
      </c>
      <c r="G46" s="19">
        <v>7.0</v>
      </c>
      <c r="H46" s="19">
        <v>21.0</v>
      </c>
      <c r="I46" s="19">
        <v>21.0</v>
      </c>
      <c r="J46" s="19">
        <v>43.0</v>
      </c>
      <c r="K46" s="19">
        <v>40.0</v>
      </c>
      <c r="L46" s="19">
        <v>22.0</v>
      </c>
      <c r="M46" s="19">
        <v>45.0</v>
      </c>
      <c r="N46" s="19">
        <v>38.0</v>
      </c>
      <c r="O46" s="19">
        <v>77.0</v>
      </c>
      <c r="P46" s="19">
        <v>31.0</v>
      </c>
      <c r="Q46" s="19">
        <v>17.0</v>
      </c>
      <c r="R46" s="19">
        <v>14.0</v>
      </c>
      <c r="S46" s="19">
        <v>41.0</v>
      </c>
      <c r="T46" s="19">
        <v>10.0</v>
      </c>
      <c r="U46" s="19">
        <v>32.0</v>
      </c>
      <c r="V46" s="19">
        <v>37.0</v>
      </c>
      <c r="W46" s="19">
        <v>38.0</v>
      </c>
      <c r="X46" s="19">
        <v>25.0</v>
      </c>
      <c r="Y46" s="19">
        <v>10.0</v>
      </c>
      <c r="Z46" s="19">
        <v>22.0</v>
      </c>
      <c r="AA46" s="19">
        <v>28.0</v>
      </c>
      <c r="AB46" s="19">
        <v>23.0</v>
      </c>
      <c r="AC46" s="19">
        <v>66.0</v>
      </c>
      <c r="AD46" s="19">
        <v>90.0</v>
      </c>
      <c r="AE46" s="19">
        <v>57.0</v>
      </c>
      <c r="AF46" s="19">
        <v>89.0</v>
      </c>
      <c r="AG46" s="19">
        <v>93.0</v>
      </c>
      <c r="AH46" s="19">
        <v>111.0</v>
      </c>
      <c r="AI46" s="19">
        <v>58.0</v>
      </c>
      <c r="AJ46" s="19">
        <v>48.0</v>
      </c>
      <c r="AK46" s="19">
        <v>45.0</v>
      </c>
      <c r="AL46" s="19">
        <v>7.0</v>
      </c>
      <c r="AM46" s="19">
        <v>1.0</v>
      </c>
      <c r="AN46" s="19">
        <v>63.0</v>
      </c>
      <c r="AO46" s="19">
        <v>19.0</v>
      </c>
      <c r="AP46" s="19">
        <v>13.0</v>
      </c>
      <c r="AQ46" s="19">
        <v>3.0</v>
      </c>
      <c r="AR46" s="19">
        <v>37.0</v>
      </c>
      <c r="AS46" s="19">
        <v>4.0</v>
      </c>
      <c r="AT46" s="19">
        <v>33.0</v>
      </c>
      <c r="AU46" s="19">
        <v>17.0</v>
      </c>
      <c r="AV46" s="19">
        <v>12.0</v>
      </c>
      <c r="AW46" s="19">
        <v>5.0</v>
      </c>
      <c r="AX46" s="13">
        <f t="shared" si="14"/>
        <v>1546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0.0</v>
      </c>
      <c r="G47" s="19">
        <v>1.0</v>
      </c>
      <c r="H47" s="19">
        <v>1.0</v>
      </c>
      <c r="I47" s="19">
        <v>3.0</v>
      </c>
      <c r="J47" s="19">
        <v>9.0</v>
      </c>
      <c r="K47" s="19">
        <v>3.0</v>
      </c>
      <c r="L47" s="19">
        <v>5.0</v>
      </c>
      <c r="M47" s="19">
        <v>3.0</v>
      </c>
      <c r="N47" s="19">
        <v>0.0</v>
      </c>
      <c r="O47" s="19">
        <v>2.0</v>
      </c>
      <c r="P47" s="19">
        <v>3.0</v>
      </c>
      <c r="Q47" s="19">
        <v>2.0</v>
      </c>
      <c r="R47" s="19">
        <v>1.0</v>
      </c>
      <c r="S47" s="19">
        <v>1.0</v>
      </c>
      <c r="T47" s="19">
        <v>2.0</v>
      </c>
      <c r="U47" s="19">
        <v>0.0</v>
      </c>
      <c r="V47" s="19">
        <v>3.0</v>
      </c>
      <c r="W47" s="19">
        <v>1.0</v>
      </c>
      <c r="X47" s="19">
        <v>0.0</v>
      </c>
      <c r="Y47" s="19">
        <v>1.0</v>
      </c>
      <c r="Z47" s="19">
        <v>2.0</v>
      </c>
      <c r="AA47" s="19">
        <v>0.0</v>
      </c>
      <c r="AB47" s="19">
        <v>1.0</v>
      </c>
      <c r="AC47" s="19">
        <v>0.0</v>
      </c>
      <c r="AD47" s="19">
        <v>2.0</v>
      </c>
      <c r="AE47" s="19">
        <v>4.0</v>
      </c>
      <c r="AF47" s="19">
        <v>0.0</v>
      </c>
      <c r="AG47" s="19">
        <v>0.0</v>
      </c>
      <c r="AH47" s="19">
        <v>1.0</v>
      </c>
      <c r="AI47" s="19">
        <v>1.0</v>
      </c>
      <c r="AJ47" s="19">
        <v>3.0</v>
      </c>
      <c r="AK47" s="19">
        <v>3.0</v>
      </c>
      <c r="AL47" s="19">
        <v>0.0</v>
      </c>
      <c r="AM47" s="19">
        <v>0.0</v>
      </c>
      <c r="AN47" s="19">
        <v>4.0</v>
      </c>
      <c r="AO47" s="19">
        <v>4.0</v>
      </c>
      <c r="AP47" s="19">
        <v>1.0</v>
      </c>
      <c r="AQ47" s="19">
        <v>1.0</v>
      </c>
      <c r="AR47" s="19">
        <v>5.0</v>
      </c>
      <c r="AS47" s="19">
        <v>1.0</v>
      </c>
      <c r="AT47" s="19">
        <v>0.0</v>
      </c>
      <c r="AU47" s="19">
        <v>0.0</v>
      </c>
      <c r="AV47" s="19">
        <v>0.0</v>
      </c>
      <c r="AW47" s="19">
        <v>0.0</v>
      </c>
      <c r="AX47" s="13">
        <f t="shared" si="14"/>
        <v>74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1.0</v>
      </c>
      <c r="I48" s="19">
        <v>0.0</v>
      </c>
      <c r="J48" s="19">
        <v>1.0</v>
      </c>
      <c r="K48" s="19">
        <v>2.0</v>
      </c>
      <c r="L48" s="19">
        <v>0.0</v>
      </c>
      <c r="M48" s="19">
        <v>2.0</v>
      </c>
      <c r="N48" s="19">
        <v>0.0</v>
      </c>
      <c r="O48" s="19">
        <v>0.0</v>
      </c>
      <c r="P48" s="19">
        <v>1.0</v>
      </c>
      <c r="Q48" s="19">
        <v>0.0</v>
      </c>
      <c r="R48" s="19">
        <v>0.0</v>
      </c>
      <c r="S48" s="19">
        <v>5.0</v>
      </c>
      <c r="T48" s="19">
        <v>0.0</v>
      </c>
      <c r="U48" s="19">
        <v>0.0</v>
      </c>
      <c r="V48" s="19">
        <v>1.0</v>
      </c>
      <c r="W48" s="19">
        <v>1.0</v>
      </c>
      <c r="X48" s="19">
        <v>0.0</v>
      </c>
      <c r="Y48" s="19">
        <v>1.0</v>
      </c>
      <c r="Z48" s="19">
        <v>2.0</v>
      </c>
      <c r="AA48" s="19">
        <v>3.0</v>
      </c>
      <c r="AB48" s="19">
        <v>0.0</v>
      </c>
      <c r="AC48" s="19">
        <v>0.0</v>
      </c>
      <c r="AD48" s="19">
        <v>2.0</v>
      </c>
      <c r="AE48" s="19">
        <v>0.0</v>
      </c>
      <c r="AF48" s="19">
        <v>0.0</v>
      </c>
      <c r="AG48" s="19">
        <v>0.0</v>
      </c>
      <c r="AH48" s="19">
        <v>0.0</v>
      </c>
      <c r="AI48" s="19">
        <v>1.0</v>
      </c>
      <c r="AJ48" s="19">
        <v>1.0</v>
      </c>
      <c r="AK48" s="19">
        <v>0.0</v>
      </c>
      <c r="AL48" s="19">
        <v>0.0</v>
      </c>
      <c r="AM48" s="19">
        <v>0.0</v>
      </c>
      <c r="AN48" s="19">
        <v>3.0</v>
      </c>
      <c r="AO48" s="19">
        <v>0.0</v>
      </c>
      <c r="AP48" s="19">
        <v>0.0</v>
      </c>
      <c r="AQ48" s="19">
        <v>0.0</v>
      </c>
      <c r="AR48" s="19">
        <v>1.0</v>
      </c>
      <c r="AS48" s="19">
        <v>0.0</v>
      </c>
      <c r="AT48" s="19">
        <v>0.0</v>
      </c>
      <c r="AU48" s="19">
        <v>0.0</v>
      </c>
      <c r="AV48" s="19">
        <v>0.0</v>
      </c>
      <c r="AW48" s="19">
        <v>3.0</v>
      </c>
      <c r="AX48" s="13">
        <f t="shared" si="14"/>
        <v>32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4.0</v>
      </c>
      <c r="G49" s="19">
        <v>1.0</v>
      </c>
      <c r="H49" s="19">
        <v>0.0</v>
      </c>
      <c r="I49" s="19">
        <v>2.0</v>
      </c>
      <c r="J49" s="19">
        <v>3.0</v>
      </c>
      <c r="K49" s="19">
        <v>1.0</v>
      </c>
      <c r="L49" s="19">
        <v>0.0</v>
      </c>
      <c r="M49" s="19">
        <v>0.0</v>
      </c>
      <c r="N49" s="19">
        <v>1.0</v>
      </c>
      <c r="O49" s="19">
        <v>1.0</v>
      </c>
      <c r="P49" s="19">
        <v>0.0</v>
      </c>
      <c r="Q49" s="19">
        <v>0.0</v>
      </c>
      <c r="R49" s="19">
        <v>1.0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1.0</v>
      </c>
      <c r="AB49" s="19">
        <v>0.0</v>
      </c>
      <c r="AC49" s="19">
        <v>2.0</v>
      </c>
      <c r="AD49" s="19">
        <v>2.0</v>
      </c>
      <c r="AE49" s="19">
        <v>0.0</v>
      </c>
      <c r="AF49" s="19">
        <v>1.0</v>
      </c>
      <c r="AG49" s="19">
        <v>1.0</v>
      </c>
      <c r="AH49" s="19">
        <v>0.0</v>
      </c>
      <c r="AI49" s="19">
        <v>1.0</v>
      </c>
      <c r="AJ49" s="19">
        <v>0.0</v>
      </c>
      <c r="AK49" s="19">
        <v>3.0</v>
      </c>
      <c r="AL49" s="19">
        <v>0.0</v>
      </c>
      <c r="AM49" s="19">
        <v>0.0</v>
      </c>
      <c r="AN49" s="19">
        <v>3.0</v>
      </c>
      <c r="AO49" s="19">
        <v>0.0</v>
      </c>
      <c r="AP49" s="19">
        <v>0.0</v>
      </c>
      <c r="AQ49" s="19">
        <v>0.0</v>
      </c>
      <c r="AR49" s="19">
        <v>2.0</v>
      </c>
      <c r="AS49" s="19">
        <v>0.0</v>
      </c>
      <c r="AT49" s="19">
        <v>0.0</v>
      </c>
      <c r="AU49" s="19">
        <v>1.0</v>
      </c>
      <c r="AV49" s="19">
        <v>0.0</v>
      </c>
      <c r="AW49" s="19">
        <v>0.0</v>
      </c>
      <c r="AX49" s="13">
        <f t="shared" si="14"/>
        <v>31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0.0</v>
      </c>
      <c r="G50" s="19">
        <v>1.0</v>
      </c>
      <c r="H50" s="19">
        <v>2.0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1.0</v>
      </c>
      <c r="P50" s="19">
        <v>2.0</v>
      </c>
      <c r="Q50" s="19">
        <v>2.0</v>
      </c>
      <c r="R50" s="19">
        <v>1.0</v>
      </c>
      <c r="S50" s="19">
        <v>3.0</v>
      </c>
      <c r="T50" s="19">
        <v>1.0</v>
      </c>
      <c r="U50" s="19">
        <v>1.0</v>
      </c>
      <c r="V50" s="19">
        <v>0.0</v>
      </c>
      <c r="W50" s="19">
        <v>1.0</v>
      </c>
      <c r="X50" s="19">
        <v>0.0</v>
      </c>
      <c r="Y50" s="19">
        <v>1.0</v>
      </c>
      <c r="Z50" s="19">
        <v>1.0</v>
      </c>
      <c r="AA50" s="19">
        <v>0.0</v>
      </c>
      <c r="AB50" s="19">
        <v>0.0</v>
      </c>
      <c r="AC50" s="19">
        <v>0.0</v>
      </c>
      <c r="AD50" s="19">
        <v>1.0</v>
      </c>
      <c r="AE50" s="19">
        <v>0.0</v>
      </c>
      <c r="AF50" s="19">
        <v>0.0</v>
      </c>
      <c r="AG50" s="19">
        <v>0.0</v>
      </c>
      <c r="AH50" s="19">
        <v>0.0</v>
      </c>
      <c r="AI50" s="19">
        <v>0.0</v>
      </c>
      <c r="AJ50" s="19">
        <v>2.0</v>
      </c>
      <c r="AK50" s="19">
        <v>2.0</v>
      </c>
      <c r="AL50" s="19">
        <v>1.0</v>
      </c>
      <c r="AM50" s="19">
        <v>0.0</v>
      </c>
      <c r="AN50" s="19">
        <v>0.0</v>
      </c>
      <c r="AO50" s="19">
        <v>0.0</v>
      </c>
      <c r="AP50" s="19">
        <v>1.0</v>
      </c>
      <c r="AQ50" s="19">
        <v>0.0</v>
      </c>
      <c r="AR50" s="19">
        <v>0.0</v>
      </c>
      <c r="AS50" s="19">
        <v>0.0</v>
      </c>
      <c r="AT50" s="19">
        <v>0.0</v>
      </c>
      <c r="AU50" s="19">
        <v>2.0</v>
      </c>
      <c r="AV50" s="19">
        <v>0.0</v>
      </c>
      <c r="AW50" s="19">
        <v>0.0</v>
      </c>
      <c r="AX50" s="13">
        <f t="shared" si="14"/>
        <v>29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1.0</v>
      </c>
      <c r="S51" s="19">
        <v>2.0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1.0</v>
      </c>
      <c r="AA51" s="19">
        <v>1.0</v>
      </c>
      <c r="AB51" s="19">
        <v>0.0</v>
      </c>
      <c r="AC51" s="19">
        <v>0.0</v>
      </c>
      <c r="AD51" s="19">
        <v>0.0</v>
      </c>
      <c r="AE51" s="19">
        <v>0.0</v>
      </c>
      <c r="AF51" s="19">
        <v>1.0</v>
      </c>
      <c r="AG51" s="19">
        <v>2.0</v>
      </c>
      <c r="AH51" s="19">
        <v>1.0</v>
      </c>
      <c r="AI51" s="19">
        <v>1.0</v>
      </c>
      <c r="AJ51" s="19">
        <v>0.0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0.0</v>
      </c>
      <c r="AQ51" s="19">
        <v>0.0</v>
      </c>
      <c r="AR51" s="19">
        <v>1.0</v>
      </c>
      <c r="AS51" s="19">
        <v>0.0</v>
      </c>
      <c r="AT51" s="19">
        <v>1.0</v>
      </c>
      <c r="AU51" s="19">
        <v>0.0</v>
      </c>
      <c r="AV51" s="19">
        <v>0.0</v>
      </c>
      <c r="AW51" s="19">
        <v>0.0</v>
      </c>
      <c r="AX51" s="13">
        <f t="shared" si="14"/>
        <v>13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1.0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2.0</v>
      </c>
      <c r="Q52" s="19">
        <v>1.0</v>
      </c>
      <c r="R52" s="19">
        <v>1.0</v>
      </c>
      <c r="S52" s="19">
        <v>1.0</v>
      </c>
      <c r="T52" s="19">
        <v>0.0</v>
      </c>
      <c r="U52" s="19">
        <v>0.0</v>
      </c>
      <c r="V52" s="19">
        <v>2.0</v>
      </c>
      <c r="W52" s="19">
        <v>3.0</v>
      </c>
      <c r="X52" s="19">
        <v>1.0</v>
      </c>
      <c r="Y52" s="19">
        <v>1.0</v>
      </c>
      <c r="Z52" s="19">
        <v>0.0</v>
      </c>
      <c r="AA52" s="19">
        <v>0.0</v>
      </c>
      <c r="AB52" s="19">
        <v>0.0</v>
      </c>
      <c r="AC52" s="19">
        <v>1.0</v>
      </c>
      <c r="AD52" s="19">
        <v>1.0</v>
      </c>
      <c r="AE52" s="19">
        <v>4.0</v>
      </c>
      <c r="AF52" s="19">
        <v>0.0</v>
      </c>
      <c r="AG52" s="19">
        <v>0.0</v>
      </c>
      <c r="AH52" s="19">
        <v>1.0</v>
      </c>
      <c r="AI52" s="19">
        <v>0.0</v>
      </c>
      <c r="AJ52" s="19">
        <v>1.0</v>
      </c>
      <c r="AK52" s="19">
        <v>0.0</v>
      </c>
      <c r="AL52" s="19">
        <v>0.0</v>
      </c>
      <c r="AM52" s="19">
        <v>1.0</v>
      </c>
      <c r="AN52" s="19">
        <v>0.0</v>
      </c>
      <c r="AO52" s="19">
        <v>0.0</v>
      </c>
      <c r="AP52" s="19">
        <v>0.0</v>
      </c>
      <c r="AQ52" s="19">
        <v>0.0</v>
      </c>
      <c r="AR52" s="19">
        <v>1.0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3">
        <f t="shared" si="14"/>
        <v>25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X55" si="15">SUM(E45:E54)</f>
        <v>18</v>
      </c>
      <c r="F55" s="13">
        <f t="shared" si="15"/>
        <v>46</v>
      </c>
      <c r="G55" s="13">
        <f t="shared" si="15"/>
        <v>22</v>
      </c>
      <c r="H55" s="13">
        <f t="shared" si="15"/>
        <v>34</v>
      </c>
      <c r="I55" s="13">
        <f t="shared" si="15"/>
        <v>38</v>
      </c>
      <c r="J55" s="13">
        <f t="shared" si="15"/>
        <v>70</v>
      </c>
      <c r="K55" s="13">
        <f t="shared" si="15"/>
        <v>54</v>
      </c>
      <c r="L55" s="13">
        <f t="shared" si="15"/>
        <v>32</v>
      </c>
      <c r="M55" s="13">
        <f t="shared" si="15"/>
        <v>69</v>
      </c>
      <c r="N55" s="13">
        <f t="shared" si="15"/>
        <v>61</v>
      </c>
      <c r="O55" s="13">
        <f t="shared" si="15"/>
        <v>92</v>
      </c>
      <c r="P55" s="13">
        <f t="shared" si="15"/>
        <v>45</v>
      </c>
      <c r="Q55" s="13">
        <f t="shared" si="15"/>
        <v>24</v>
      </c>
      <c r="R55" s="13">
        <f t="shared" si="15"/>
        <v>26</v>
      </c>
      <c r="S55" s="13">
        <f t="shared" si="15"/>
        <v>67</v>
      </c>
      <c r="T55" s="13">
        <f t="shared" si="15"/>
        <v>19</v>
      </c>
      <c r="U55" s="13">
        <f t="shared" si="15"/>
        <v>44</v>
      </c>
      <c r="V55" s="13">
        <f t="shared" si="15"/>
        <v>55</v>
      </c>
      <c r="W55" s="13">
        <f t="shared" si="15"/>
        <v>52</v>
      </c>
      <c r="X55" s="13">
        <f t="shared" si="15"/>
        <v>30</v>
      </c>
      <c r="Y55" s="13">
        <f t="shared" si="15"/>
        <v>18</v>
      </c>
      <c r="Z55" s="13">
        <f t="shared" si="15"/>
        <v>43</v>
      </c>
      <c r="AA55" s="13">
        <f t="shared" si="15"/>
        <v>52</v>
      </c>
      <c r="AB55" s="13">
        <f t="shared" si="15"/>
        <v>35</v>
      </c>
      <c r="AC55" s="13">
        <f t="shared" si="15"/>
        <v>75</v>
      </c>
      <c r="AD55" s="13">
        <f t="shared" si="15"/>
        <v>109</v>
      </c>
      <c r="AE55" s="13">
        <f t="shared" si="15"/>
        <v>77</v>
      </c>
      <c r="AF55" s="13">
        <f t="shared" si="15"/>
        <v>106</v>
      </c>
      <c r="AG55" s="13">
        <f t="shared" si="15"/>
        <v>110</v>
      </c>
      <c r="AH55" s="13">
        <f t="shared" si="15"/>
        <v>156</v>
      </c>
      <c r="AI55" s="13">
        <f t="shared" si="15"/>
        <v>80</v>
      </c>
      <c r="AJ55" s="13">
        <f t="shared" si="15"/>
        <v>67</v>
      </c>
      <c r="AK55" s="13">
        <f t="shared" si="15"/>
        <v>64</v>
      </c>
      <c r="AL55" s="13">
        <f t="shared" si="15"/>
        <v>11</v>
      </c>
      <c r="AM55" s="13">
        <f t="shared" si="15"/>
        <v>2</v>
      </c>
      <c r="AN55" s="13">
        <f t="shared" si="15"/>
        <v>90</v>
      </c>
      <c r="AO55" s="13">
        <f t="shared" si="15"/>
        <v>28</v>
      </c>
      <c r="AP55" s="13">
        <f t="shared" si="15"/>
        <v>19</v>
      </c>
      <c r="AQ55" s="13">
        <f t="shared" si="15"/>
        <v>8</v>
      </c>
      <c r="AR55" s="13">
        <f t="shared" si="15"/>
        <v>55</v>
      </c>
      <c r="AS55" s="13">
        <f t="shared" si="15"/>
        <v>6</v>
      </c>
      <c r="AT55" s="13">
        <f t="shared" si="15"/>
        <v>39</v>
      </c>
      <c r="AU55" s="13">
        <f t="shared" si="15"/>
        <v>25</v>
      </c>
      <c r="AV55" s="13">
        <f t="shared" si="15"/>
        <v>13</v>
      </c>
      <c r="AW55" s="13">
        <f t="shared" si="15"/>
        <v>15</v>
      </c>
      <c r="AX55" s="13">
        <f t="shared" si="15"/>
        <v>2201</v>
      </c>
    </row>
    <row r="56" ht="12.75" customHeight="1">
      <c r="A56" s="45"/>
      <c r="B56" s="44"/>
      <c r="C56" s="44"/>
      <c r="D56" s="44"/>
      <c r="E56" s="44"/>
      <c r="AX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17.0</v>
      </c>
      <c r="F57" s="19">
        <v>16.0</v>
      </c>
      <c r="G57" s="19">
        <v>15.0</v>
      </c>
      <c r="H57" s="19">
        <v>15.0</v>
      </c>
      <c r="I57" s="19">
        <v>14.0</v>
      </c>
      <c r="J57" s="19">
        <v>6.0</v>
      </c>
      <c r="K57" s="19">
        <v>6.0</v>
      </c>
      <c r="L57" s="19">
        <v>7.0</v>
      </c>
      <c r="M57" s="19">
        <v>7.0</v>
      </c>
      <c r="N57" s="19">
        <v>9.0</v>
      </c>
      <c r="O57" s="19">
        <v>13.0</v>
      </c>
      <c r="P57" s="19">
        <v>4.0</v>
      </c>
      <c r="Q57" s="19">
        <v>7.0</v>
      </c>
      <c r="R57" s="19">
        <v>2.0</v>
      </c>
      <c r="S57" s="19">
        <v>9.0</v>
      </c>
      <c r="T57" s="19">
        <v>3.0</v>
      </c>
      <c r="U57" s="19">
        <v>5.0</v>
      </c>
      <c r="V57" s="19">
        <v>4.0</v>
      </c>
      <c r="W57" s="19">
        <v>11.0</v>
      </c>
      <c r="X57" s="19">
        <v>12.0</v>
      </c>
      <c r="Y57" s="19">
        <v>12.0</v>
      </c>
      <c r="Z57" s="19">
        <v>5.0</v>
      </c>
      <c r="AA57" s="19">
        <v>11.0</v>
      </c>
      <c r="AB57" s="19">
        <v>6.0</v>
      </c>
      <c r="AC57" s="19">
        <v>2.0</v>
      </c>
      <c r="AD57" s="19">
        <v>2.0</v>
      </c>
      <c r="AE57" s="19">
        <v>17.0</v>
      </c>
      <c r="AF57" s="19">
        <v>6.0</v>
      </c>
      <c r="AG57" s="19">
        <v>7.0</v>
      </c>
      <c r="AH57" s="19">
        <v>3.0</v>
      </c>
      <c r="AI57" s="19">
        <v>19.0</v>
      </c>
      <c r="AJ57" s="19">
        <v>3.0</v>
      </c>
      <c r="AK57" s="19">
        <v>5.0</v>
      </c>
      <c r="AL57" s="19">
        <v>16.0</v>
      </c>
      <c r="AM57" s="19">
        <v>1.0</v>
      </c>
      <c r="AN57" s="19">
        <v>12.0</v>
      </c>
      <c r="AO57" s="19">
        <v>19.0</v>
      </c>
      <c r="AP57" s="19">
        <v>21.0</v>
      </c>
      <c r="AQ57" s="19">
        <v>14.0</v>
      </c>
      <c r="AR57" s="19">
        <v>11.0</v>
      </c>
      <c r="AS57" s="19">
        <v>26.0</v>
      </c>
      <c r="AT57" s="19">
        <v>15.0</v>
      </c>
      <c r="AU57" s="19">
        <v>28.0</v>
      </c>
      <c r="AV57" s="19">
        <v>10.0</v>
      </c>
      <c r="AW57" s="19">
        <v>4.0</v>
      </c>
      <c r="AX57" s="13">
        <f t="shared" ref="AX57:AX66" si="16">SUM(E57:AW57)</f>
        <v>457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12.0</v>
      </c>
      <c r="F58" s="19">
        <v>7.0</v>
      </c>
      <c r="G58" s="19">
        <v>8.0</v>
      </c>
      <c r="H58" s="19">
        <v>9.0</v>
      </c>
      <c r="I58" s="19">
        <v>60.0</v>
      </c>
      <c r="J58" s="19">
        <v>57.0</v>
      </c>
      <c r="K58" s="19">
        <v>28.0</v>
      </c>
      <c r="L58" s="19">
        <v>22.0</v>
      </c>
      <c r="M58" s="19">
        <v>21.0</v>
      </c>
      <c r="N58" s="19">
        <v>5.0</v>
      </c>
      <c r="O58" s="19">
        <v>41.0</v>
      </c>
      <c r="P58" s="19">
        <v>14.0</v>
      </c>
      <c r="Q58" s="19">
        <v>7.0</v>
      </c>
      <c r="R58" s="19">
        <v>2.0</v>
      </c>
      <c r="S58" s="19">
        <v>9.0</v>
      </c>
      <c r="T58" s="19">
        <v>9.0</v>
      </c>
      <c r="U58" s="19">
        <v>4.0</v>
      </c>
      <c r="V58" s="19">
        <v>9.0</v>
      </c>
      <c r="W58" s="19">
        <v>6.0</v>
      </c>
      <c r="X58" s="19">
        <v>10.0</v>
      </c>
      <c r="Y58" s="19">
        <v>7.0</v>
      </c>
      <c r="Z58" s="19">
        <v>14.0</v>
      </c>
      <c r="AA58" s="19">
        <v>14.0</v>
      </c>
      <c r="AB58" s="19">
        <v>12.0</v>
      </c>
      <c r="AC58" s="19">
        <v>3.0</v>
      </c>
      <c r="AD58" s="19">
        <v>3.0</v>
      </c>
      <c r="AE58" s="19">
        <v>9.0</v>
      </c>
      <c r="AF58" s="19">
        <v>9.0</v>
      </c>
      <c r="AG58" s="19">
        <v>2.0</v>
      </c>
      <c r="AH58" s="19">
        <v>4.0</v>
      </c>
      <c r="AI58" s="19">
        <v>2.0</v>
      </c>
      <c r="AJ58" s="19">
        <v>8.0</v>
      </c>
      <c r="AK58" s="19">
        <v>7.0</v>
      </c>
      <c r="AL58" s="19">
        <v>4.0</v>
      </c>
      <c r="AM58" s="19">
        <v>2.0</v>
      </c>
      <c r="AN58" s="19">
        <v>7.0</v>
      </c>
      <c r="AO58" s="19">
        <v>10.0</v>
      </c>
      <c r="AP58" s="19">
        <v>14.0</v>
      </c>
      <c r="AQ58" s="19">
        <v>14.0</v>
      </c>
      <c r="AR58" s="19">
        <v>12.0</v>
      </c>
      <c r="AS58" s="19">
        <v>10.0</v>
      </c>
      <c r="AT58" s="19">
        <v>13.0</v>
      </c>
      <c r="AU58" s="19">
        <v>12.0</v>
      </c>
      <c r="AV58" s="19">
        <v>2.0</v>
      </c>
      <c r="AW58" s="19">
        <v>2.0</v>
      </c>
      <c r="AX58" s="13">
        <f t="shared" si="16"/>
        <v>536</v>
      </c>
    </row>
    <row r="59" ht="12.75" customHeight="1">
      <c r="A59" s="18"/>
      <c r="B59" s="55">
        <v>2.0</v>
      </c>
      <c r="C59" s="50" t="s">
        <v>50</v>
      </c>
      <c r="D59" s="59"/>
      <c r="E59" s="19">
        <v>26.0</v>
      </c>
      <c r="F59" s="19">
        <v>14.0</v>
      </c>
      <c r="G59" s="19">
        <v>7.0</v>
      </c>
      <c r="H59" s="19">
        <v>7.0</v>
      </c>
      <c r="I59" s="19">
        <v>9.0</v>
      </c>
      <c r="J59" s="19">
        <v>17.0</v>
      </c>
      <c r="K59" s="19">
        <v>39.0</v>
      </c>
      <c r="L59" s="19">
        <v>55.0</v>
      </c>
      <c r="M59" s="19">
        <v>22.0</v>
      </c>
      <c r="N59" s="19">
        <v>14.0</v>
      </c>
      <c r="O59" s="19">
        <v>7.0</v>
      </c>
      <c r="P59" s="19">
        <v>17.0</v>
      </c>
      <c r="Q59" s="19">
        <v>20.0</v>
      </c>
      <c r="R59" s="19">
        <v>4.0</v>
      </c>
      <c r="S59" s="19">
        <v>11.0</v>
      </c>
      <c r="T59" s="19">
        <v>12.0</v>
      </c>
      <c r="U59" s="19">
        <v>9.0</v>
      </c>
      <c r="V59" s="19">
        <v>2.0</v>
      </c>
      <c r="W59" s="19">
        <v>8.0</v>
      </c>
      <c r="X59" s="19">
        <v>3.0</v>
      </c>
      <c r="Y59" s="19">
        <v>6.0</v>
      </c>
      <c r="Z59" s="19">
        <v>8.0</v>
      </c>
      <c r="AA59" s="19">
        <v>2.0</v>
      </c>
      <c r="AB59" s="19">
        <v>4.0</v>
      </c>
      <c r="AC59" s="19">
        <v>3.0</v>
      </c>
      <c r="AD59" s="19">
        <v>6.0</v>
      </c>
      <c r="AE59" s="19">
        <v>7.0</v>
      </c>
      <c r="AF59" s="19">
        <v>7.0</v>
      </c>
      <c r="AG59" s="19">
        <v>3.0</v>
      </c>
      <c r="AH59" s="19">
        <v>6.0</v>
      </c>
      <c r="AI59" s="19">
        <v>4.0</v>
      </c>
      <c r="AJ59" s="19">
        <v>2.0</v>
      </c>
      <c r="AK59" s="19">
        <v>3.0</v>
      </c>
      <c r="AL59" s="19">
        <v>3.0</v>
      </c>
      <c r="AM59" s="19">
        <v>1.0</v>
      </c>
      <c r="AN59" s="19">
        <v>12.0</v>
      </c>
      <c r="AO59" s="19">
        <v>37.0</v>
      </c>
      <c r="AP59" s="19">
        <v>50.0</v>
      </c>
      <c r="AQ59" s="19">
        <v>15.0</v>
      </c>
      <c r="AR59" s="19">
        <v>22.0</v>
      </c>
      <c r="AS59" s="19">
        <v>35.0</v>
      </c>
      <c r="AT59" s="19">
        <v>38.0</v>
      </c>
      <c r="AU59" s="19">
        <v>33.0</v>
      </c>
      <c r="AV59" s="19">
        <v>76.0</v>
      </c>
      <c r="AW59" s="19">
        <v>2.0</v>
      </c>
      <c r="AX59" s="13">
        <f t="shared" si="16"/>
        <v>688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0.0</v>
      </c>
      <c r="G60" s="19">
        <v>1.0</v>
      </c>
      <c r="H60" s="19">
        <v>0.0</v>
      </c>
      <c r="I60" s="19">
        <v>0.0</v>
      </c>
      <c r="J60" s="19">
        <v>0.0</v>
      </c>
      <c r="K60" s="19">
        <v>3.0</v>
      </c>
      <c r="L60" s="19">
        <v>1.0</v>
      </c>
      <c r="M60" s="19">
        <v>3.0</v>
      </c>
      <c r="N60" s="19">
        <v>1.0</v>
      </c>
      <c r="O60" s="19">
        <v>2.0</v>
      </c>
      <c r="P60" s="19">
        <v>0.0</v>
      </c>
      <c r="Q60" s="19">
        <v>0.0</v>
      </c>
      <c r="R60" s="19">
        <v>1.0</v>
      </c>
      <c r="S60" s="19">
        <v>0.0</v>
      </c>
      <c r="T60" s="19">
        <v>0.0</v>
      </c>
      <c r="U60" s="19">
        <v>1.0</v>
      </c>
      <c r="V60" s="19">
        <v>0.0</v>
      </c>
      <c r="W60" s="19">
        <v>1.0</v>
      </c>
      <c r="X60" s="19">
        <v>6.0</v>
      </c>
      <c r="Y60" s="19">
        <v>0.0</v>
      </c>
      <c r="Z60" s="19">
        <v>0.0</v>
      </c>
      <c r="AA60" s="19">
        <v>1.0</v>
      </c>
      <c r="AB60" s="19">
        <v>0.0</v>
      </c>
      <c r="AC60" s="19">
        <v>0.0</v>
      </c>
      <c r="AD60" s="19">
        <v>1.0</v>
      </c>
      <c r="AE60" s="19">
        <v>1.0</v>
      </c>
      <c r="AF60" s="19">
        <v>0.0</v>
      </c>
      <c r="AG60" s="19">
        <v>0.0</v>
      </c>
      <c r="AH60" s="19">
        <v>1.0</v>
      </c>
      <c r="AI60" s="19">
        <v>0.0</v>
      </c>
      <c r="AJ60" s="19">
        <v>2.0</v>
      </c>
      <c r="AK60" s="19">
        <v>0.0</v>
      </c>
      <c r="AL60" s="19">
        <v>2.0</v>
      </c>
      <c r="AM60" s="19">
        <v>0.0</v>
      </c>
      <c r="AN60" s="19">
        <v>1.0</v>
      </c>
      <c r="AO60" s="19">
        <v>3.0</v>
      </c>
      <c r="AP60" s="19">
        <v>2.0</v>
      </c>
      <c r="AQ60" s="19">
        <v>0.0</v>
      </c>
      <c r="AR60" s="19">
        <v>1.0</v>
      </c>
      <c r="AS60" s="19">
        <v>0.0</v>
      </c>
      <c r="AT60" s="19">
        <v>2.0</v>
      </c>
      <c r="AU60" s="19">
        <v>1.0</v>
      </c>
      <c r="AV60" s="19">
        <v>2.0</v>
      </c>
      <c r="AW60" s="19">
        <v>0.0</v>
      </c>
      <c r="AX60" s="13">
        <f t="shared" si="16"/>
        <v>41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2.0</v>
      </c>
      <c r="G61" s="19">
        <v>1.0</v>
      </c>
      <c r="H61" s="19">
        <v>1.0</v>
      </c>
      <c r="I61" s="19">
        <v>0.0</v>
      </c>
      <c r="J61" s="19">
        <v>0.0</v>
      </c>
      <c r="K61" s="19">
        <v>1.0</v>
      </c>
      <c r="L61" s="19">
        <v>0.0</v>
      </c>
      <c r="M61" s="19">
        <v>1.0</v>
      </c>
      <c r="N61" s="19">
        <v>3.0</v>
      </c>
      <c r="O61" s="19">
        <v>2.0</v>
      </c>
      <c r="P61" s="19">
        <v>0.0</v>
      </c>
      <c r="Q61" s="19">
        <v>1.0</v>
      </c>
      <c r="R61" s="19">
        <v>0.0</v>
      </c>
      <c r="S61" s="19">
        <v>2.0</v>
      </c>
      <c r="T61" s="19">
        <v>3.0</v>
      </c>
      <c r="U61" s="19">
        <v>1.0</v>
      </c>
      <c r="V61" s="19">
        <v>2.0</v>
      </c>
      <c r="W61" s="19">
        <v>0.0</v>
      </c>
      <c r="X61" s="19">
        <v>1.0</v>
      </c>
      <c r="Y61" s="19">
        <v>3.0</v>
      </c>
      <c r="Z61" s="19">
        <v>1.0</v>
      </c>
      <c r="AA61" s="19">
        <v>0.0</v>
      </c>
      <c r="AB61" s="19">
        <v>1.0</v>
      </c>
      <c r="AC61" s="19">
        <v>1.0</v>
      </c>
      <c r="AD61" s="19">
        <v>2.0</v>
      </c>
      <c r="AE61" s="19">
        <v>0.0</v>
      </c>
      <c r="AF61" s="19">
        <v>1.0</v>
      </c>
      <c r="AG61" s="19">
        <v>0.0</v>
      </c>
      <c r="AH61" s="19">
        <v>1.0</v>
      </c>
      <c r="AI61" s="19">
        <v>0.0</v>
      </c>
      <c r="AJ61" s="19">
        <v>2.0</v>
      </c>
      <c r="AK61" s="19">
        <v>0.0</v>
      </c>
      <c r="AL61" s="19">
        <v>1.0</v>
      </c>
      <c r="AM61" s="19">
        <v>1.0</v>
      </c>
      <c r="AN61" s="19">
        <v>2.0</v>
      </c>
      <c r="AO61" s="19">
        <v>4.0</v>
      </c>
      <c r="AP61" s="19">
        <v>1.0</v>
      </c>
      <c r="AQ61" s="19">
        <v>11.0</v>
      </c>
      <c r="AR61" s="19">
        <v>2.0</v>
      </c>
      <c r="AS61" s="19">
        <v>3.0</v>
      </c>
      <c r="AT61" s="19">
        <v>6.0</v>
      </c>
      <c r="AU61" s="19">
        <v>7.0</v>
      </c>
      <c r="AV61" s="19">
        <v>0.0</v>
      </c>
      <c r="AW61" s="19">
        <v>0.0</v>
      </c>
      <c r="AX61" s="13">
        <f t="shared" si="16"/>
        <v>71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0.0</v>
      </c>
      <c r="G62" s="19">
        <v>0.0</v>
      </c>
      <c r="H62" s="19">
        <v>1.0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1.0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2.0</v>
      </c>
      <c r="V62" s="19">
        <v>1.0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1.0</v>
      </c>
      <c r="AG62" s="19">
        <v>0.0</v>
      </c>
      <c r="AH62" s="19">
        <v>0.0</v>
      </c>
      <c r="AI62" s="19">
        <v>0.0</v>
      </c>
      <c r="AJ62" s="19">
        <v>0.0</v>
      </c>
      <c r="AK62" s="19">
        <v>0.0</v>
      </c>
      <c r="AL62" s="19">
        <v>0.0</v>
      </c>
      <c r="AM62" s="19">
        <v>0.0</v>
      </c>
      <c r="AN62" s="19">
        <v>0.0</v>
      </c>
      <c r="AO62" s="19">
        <v>1.0</v>
      </c>
      <c r="AP62" s="19">
        <v>0.0</v>
      </c>
      <c r="AQ62" s="19">
        <v>0.0</v>
      </c>
      <c r="AR62" s="19">
        <v>1.0</v>
      </c>
      <c r="AS62" s="19">
        <v>0.0</v>
      </c>
      <c r="AT62" s="19">
        <v>0.0</v>
      </c>
      <c r="AU62" s="19">
        <v>0.0</v>
      </c>
      <c r="AV62" s="19">
        <v>0.0</v>
      </c>
      <c r="AW62" s="19">
        <v>1.0</v>
      </c>
      <c r="AX62" s="13">
        <f t="shared" si="16"/>
        <v>13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7.0</v>
      </c>
      <c r="G63" s="19">
        <v>2.0</v>
      </c>
      <c r="H63" s="19">
        <v>2.0</v>
      </c>
      <c r="I63" s="19">
        <v>1.0</v>
      </c>
      <c r="J63" s="19">
        <v>2.0</v>
      </c>
      <c r="K63" s="19">
        <v>2.0</v>
      </c>
      <c r="L63" s="19">
        <v>3.0</v>
      </c>
      <c r="M63" s="19">
        <v>1.0</v>
      </c>
      <c r="N63" s="19">
        <v>0.0</v>
      </c>
      <c r="O63" s="19">
        <v>1.0</v>
      </c>
      <c r="P63" s="19">
        <v>2.0</v>
      </c>
      <c r="Q63" s="19">
        <v>1.0</v>
      </c>
      <c r="R63" s="19">
        <v>2.0</v>
      </c>
      <c r="S63" s="19">
        <v>2.0</v>
      </c>
      <c r="T63" s="19">
        <v>0.0</v>
      </c>
      <c r="U63" s="19">
        <v>1.0</v>
      </c>
      <c r="V63" s="19">
        <v>0.0</v>
      </c>
      <c r="W63" s="19">
        <v>0.0</v>
      </c>
      <c r="X63" s="19">
        <v>1.0</v>
      </c>
      <c r="Y63" s="19">
        <v>0.0</v>
      </c>
      <c r="Z63" s="19">
        <v>4.0</v>
      </c>
      <c r="AA63" s="19">
        <v>2.0</v>
      </c>
      <c r="AB63" s="19">
        <v>0.0</v>
      </c>
      <c r="AC63" s="19">
        <v>0.0</v>
      </c>
      <c r="AD63" s="19">
        <v>0.0</v>
      </c>
      <c r="AE63" s="19">
        <v>0.0</v>
      </c>
      <c r="AF63" s="19">
        <v>0.0</v>
      </c>
      <c r="AG63" s="19">
        <v>0.0</v>
      </c>
      <c r="AH63" s="19">
        <v>1.0</v>
      </c>
      <c r="AI63" s="19">
        <v>0.0</v>
      </c>
      <c r="AJ63" s="19">
        <v>0.0</v>
      </c>
      <c r="AK63" s="19">
        <v>0.0</v>
      </c>
      <c r="AL63" s="19">
        <v>1.0</v>
      </c>
      <c r="AM63" s="19">
        <v>0.0</v>
      </c>
      <c r="AN63" s="19">
        <v>1.0</v>
      </c>
      <c r="AO63" s="19">
        <v>1.0</v>
      </c>
      <c r="AP63" s="19">
        <v>1.0</v>
      </c>
      <c r="AQ63" s="19">
        <v>1.0</v>
      </c>
      <c r="AR63" s="19">
        <v>1.0</v>
      </c>
      <c r="AS63" s="19">
        <v>3.0</v>
      </c>
      <c r="AT63" s="19">
        <v>3.0</v>
      </c>
      <c r="AU63" s="19">
        <v>0.0</v>
      </c>
      <c r="AV63" s="19">
        <v>0.0</v>
      </c>
      <c r="AW63" s="19">
        <v>0.0</v>
      </c>
      <c r="AX63" s="13">
        <f t="shared" si="16"/>
        <v>50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2.0</v>
      </c>
      <c r="G64" s="19">
        <v>0.0</v>
      </c>
      <c r="H64" s="19">
        <v>3.0</v>
      </c>
      <c r="I64" s="19">
        <v>1.0</v>
      </c>
      <c r="J64" s="19">
        <v>0.0</v>
      </c>
      <c r="K64" s="19">
        <v>0.0</v>
      </c>
      <c r="L64" s="19">
        <v>3.0</v>
      </c>
      <c r="M64" s="19">
        <v>0.0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0.0</v>
      </c>
      <c r="T64" s="19">
        <v>0.0</v>
      </c>
      <c r="U64" s="19">
        <v>0.0</v>
      </c>
      <c r="V64" s="19">
        <v>1.0</v>
      </c>
      <c r="W64" s="19">
        <v>0.0</v>
      </c>
      <c r="X64" s="19">
        <v>1.0</v>
      </c>
      <c r="Y64" s="19">
        <v>1.0</v>
      </c>
      <c r="Z64" s="19">
        <v>1.0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/>
      <c r="AI64" s="19">
        <v>0.0</v>
      </c>
      <c r="AJ64" s="19">
        <v>0.0</v>
      </c>
      <c r="AK64" s="19">
        <v>0.0</v>
      </c>
      <c r="AL64" s="19">
        <v>0.0</v>
      </c>
      <c r="AM64" s="19">
        <v>0.0</v>
      </c>
      <c r="AN64" s="19">
        <v>0.0</v>
      </c>
      <c r="AO64" s="19">
        <v>2.0</v>
      </c>
      <c r="AP64" s="19">
        <v>0.0</v>
      </c>
      <c r="AQ64" s="19">
        <v>0.0</v>
      </c>
      <c r="AR64" s="19">
        <v>1.0</v>
      </c>
      <c r="AS64" s="19">
        <v>0.0</v>
      </c>
      <c r="AT64" s="19">
        <v>0.0</v>
      </c>
      <c r="AU64" s="19">
        <v>1.0</v>
      </c>
      <c r="AV64" s="19">
        <v>0.0</v>
      </c>
      <c r="AW64" s="19">
        <v>0.0</v>
      </c>
      <c r="AX64" s="13">
        <f t="shared" si="16"/>
        <v>18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X67" si="17">SUM(E57:E66)</f>
        <v>58</v>
      </c>
      <c r="F67" s="13">
        <f t="shared" si="17"/>
        <v>48</v>
      </c>
      <c r="G67" s="13">
        <f t="shared" si="17"/>
        <v>34</v>
      </c>
      <c r="H67" s="13">
        <f t="shared" si="17"/>
        <v>38</v>
      </c>
      <c r="I67" s="13">
        <f t="shared" si="17"/>
        <v>86</v>
      </c>
      <c r="J67" s="13">
        <f t="shared" si="17"/>
        <v>82</v>
      </c>
      <c r="K67" s="13">
        <f t="shared" si="17"/>
        <v>79</v>
      </c>
      <c r="L67" s="13">
        <f t="shared" si="17"/>
        <v>91</v>
      </c>
      <c r="M67" s="13">
        <f t="shared" si="17"/>
        <v>55</v>
      </c>
      <c r="N67" s="13">
        <f t="shared" si="17"/>
        <v>33</v>
      </c>
      <c r="O67" s="13">
        <f t="shared" si="17"/>
        <v>67</v>
      </c>
      <c r="P67" s="13">
        <f t="shared" si="17"/>
        <v>37</v>
      </c>
      <c r="Q67" s="13">
        <f t="shared" si="17"/>
        <v>38</v>
      </c>
      <c r="R67" s="13">
        <f t="shared" si="17"/>
        <v>11</v>
      </c>
      <c r="S67" s="13">
        <f t="shared" si="17"/>
        <v>33</v>
      </c>
      <c r="T67" s="13">
        <f t="shared" si="17"/>
        <v>27</v>
      </c>
      <c r="U67" s="13">
        <f t="shared" si="17"/>
        <v>23</v>
      </c>
      <c r="V67" s="13">
        <f t="shared" si="17"/>
        <v>19</v>
      </c>
      <c r="W67" s="13">
        <f t="shared" si="17"/>
        <v>26</v>
      </c>
      <c r="X67" s="13">
        <f t="shared" si="17"/>
        <v>34</v>
      </c>
      <c r="Y67" s="13">
        <f t="shared" si="17"/>
        <v>29</v>
      </c>
      <c r="Z67" s="13">
        <f t="shared" si="17"/>
        <v>33</v>
      </c>
      <c r="AA67" s="13">
        <f t="shared" si="17"/>
        <v>30</v>
      </c>
      <c r="AB67" s="13">
        <f t="shared" si="17"/>
        <v>23</v>
      </c>
      <c r="AC67" s="13">
        <f t="shared" si="17"/>
        <v>9</v>
      </c>
      <c r="AD67" s="13">
        <f t="shared" si="17"/>
        <v>14</v>
      </c>
      <c r="AE67" s="13">
        <f t="shared" si="17"/>
        <v>34</v>
      </c>
      <c r="AF67" s="13">
        <f t="shared" si="17"/>
        <v>24</v>
      </c>
      <c r="AG67" s="13">
        <f t="shared" si="17"/>
        <v>12</v>
      </c>
      <c r="AH67" s="13">
        <f t="shared" si="17"/>
        <v>16</v>
      </c>
      <c r="AI67" s="13">
        <f t="shared" si="17"/>
        <v>25</v>
      </c>
      <c r="AJ67" s="13">
        <f t="shared" si="17"/>
        <v>17</v>
      </c>
      <c r="AK67" s="13">
        <f t="shared" si="17"/>
        <v>15</v>
      </c>
      <c r="AL67" s="13">
        <f t="shared" si="17"/>
        <v>27</v>
      </c>
      <c r="AM67" s="13">
        <f t="shared" si="17"/>
        <v>5</v>
      </c>
      <c r="AN67" s="13">
        <f t="shared" si="17"/>
        <v>35</v>
      </c>
      <c r="AO67" s="13">
        <f t="shared" si="17"/>
        <v>77</v>
      </c>
      <c r="AP67" s="13">
        <f t="shared" si="17"/>
        <v>89</v>
      </c>
      <c r="AQ67" s="13">
        <f t="shared" si="17"/>
        <v>55</v>
      </c>
      <c r="AR67" s="13">
        <f t="shared" si="17"/>
        <v>51</v>
      </c>
      <c r="AS67" s="13">
        <f t="shared" si="17"/>
        <v>77</v>
      </c>
      <c r="AT67" s="13">
        <f t="shared" si="17"/>
        <v>77</v>
      </c>
      <c r="AU67" s="13">
        <f t="shared" si="17"/>
        <v>82</v>
      </c>
      <c r="AV67" s="13">
        <f t="shared" si="17"/>
        <v>90</v>
      </c>
      <c r="AW67" s="13">
        <f t="shared" si="17"/>
        <v>9</v>
      </c>
      <c r="AX67" s="13">
        <f t="shared" si="17"/>
        <v>1874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7.0</v>
      </c>
      <c r="F69" s="19">
        <v>11.0</v>
      </c>
      <c r="G69" s="19">
        <v>24.0</v>
      </c>
      <c r="H69" s="19">
        <v>15.0</v>
      </c>
      <c r="I69" s="19">
        <v>3.0</v>
      </c>
      <c r="J69" s="19">
        <v>2.0</v>
      </c>
      <c r="K69" s="19">
        <v>5.0</v>
      </c>
      <c r="L69" s="19">
        <v>5.0</v>
      </c>
      <c r="M69" s="19">
        <v>9.0</v>
      </c>
      <c r="N69" s="19">
        <v>10.0</v>
      </c>
      <c r="O69" s="19">
        <v>7.0</v>
      </c>
      <c r="P69" s="19">
        <v>9.0</v>
      </c>
      <c r="Q69" s="19">
        <v>15.0</v>
      </c>
      <c r="R69" s="19">
        <v>8.0</v>
      </c>
      <c r="S69" s="19">
        <v>9.0</v>
      </c>
      <c r="T69" s="19">
        <v>2.0</v>
      </c>
      <c r="U69" s="19">
        <v>6.0</v>
      </c>
      <c r="V69" s="19">
        <v>6.0</v>
      </c>
      <c r="W69" s="19">
        <v>2.0</v>
      </c>
      <c r="X69" s="19">
        <v>16.0</v>
      </c>
      <c r="Y69" s="19">
        <v>9.0</v>
      </c>
      <c r="Z69" s="19">
        <v>10.0</v>
      </c>
      <c r="AA69" s="19">
        <v>9.0</v>
      </c>
      <c r="AB69" s="19">
        <v>9.0</v>
      </c>
      <c r="AC69" s="19">
        <v>2.0</v>
      </c>
      <c r="AD69" s="19">
        <v>4.0</v>
      </c>
      <c r="AE69" s="19">
        <v>6.0</v>
      </c>
      <c r="AF69" s="19">
        <v>0.0</v>
      </c>
      <c r="AG69" s="19">
        <v>0.0</v>
      </c>
      <c r="AH69" s="19">
        <v>1.0</v>
      </c>
      <c r="AI69" s="19">
        <v>10.0</v>
      </c>
      <c r="AJ69" s="19">
        <v>4.0</v>
      </c>
      <c r="AK69" s="19">
        <v>20.0</v>
      </c>
      <c r="AL69" s="19">
        <v>23.0</v>
      </c>
      <c r="AM69" s="19">
        <v>1.0</v>
      </c>
      <c r="AN69" s="19">
        <v>9.0</v>
      </c>
      <c r="AO69" s="19">
        <v>6.0</v>
      </c>
      <c r="AP69" s="19">
        <v>7.0</v>
      </c>
      <c r="AQ69" s="19">
        <v>11.0</v>
      </c>
      <c r="AR69" s="19">
        <v>2.0</v>
      </c>
      <c r="AS69" s="19">
        <v>8.0</v>
      </c>
      <c r="AT69" s="19">
        <v>5.0</v>
      </c>
      <c r="AU69" s="19">
        <v>7.0</v>
      </c>
      <c r="AV69" s="19">
        <v>3.0</v>
      </c>
      <c r="AW69" s="19">
        <v>5.0</v>
      </c>
      <c r="AX69" s="13">
        <f t="shared" ref="AX69:AX78" si="18">SUM(E69:AW69)</f>
        <v>342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5.0</v>
      </c>
      <c r="F70" s="19">
        <v>3.0</v>
      </c>
      <c r="G70" s="19">
        <v>10.0</v>
      </c>
      <c r="H70" s="19">
        <v>5.0</v>
      </c>
      <c r="I70" s="19">
        <v>2.0</v>
      </c>
      <c r="J70" s="19">
        <v>5.0</v>
      </c>
      <c r="K70" s="19">
        <v>13.0</v>
      </c>
      <c r="L70" s="19">
        <v>6.0</v>
      </c>
      <c r="M70" s="19">
        <v>1.0</v>
      </c>
      <c r="N70" s="19">
        <v>4.0</v>
      </c>
      <c r="O70" s="19">
        <v>4.0</v>
      </c>
      <c r="P70" s="19">
        <v>8.0</v>
      </c>
      <c r="Q70" s="19">
        <v>7.0</v>
      </c>
      <c r="R70" s="19">
        <v>7.0</v>
      </c>
      <c r="S70" s="19">
        <v>11.0</v>
      </c>
      <c r="T70" s="19">
        <v>5.0</v>
      </c>
      <c r="U70" s="19">
        <v>2.0</v>
      </c>
      <c r="V70" s="19">
        <v>2.0</v>
      </c>
      <c r="W70" s="19">
        <v>4.0</v>
      </c>
      <c r="X70" s="19">
        <v>17.0</v>
      </c>
      <c r="Y70" s="19">
        <v>11.0</v>
      </c>
      <c r="Z70" s="19">
        <v>4.0</v>
      </c>
      <c r="AA70" s="19">
        <v>2.0</v>
      </c>
      <c r="AB70" s="19">
        <v>107.0</v>
      </c>
      <c r="AC70" s="19">
        <v>18.0</v>
      </c>
      <c r="AD70" s="19">
        <v>33.0</v>
      </c>
      <c r="AE70" s="19">
        <v>6.0</v>
      </c>
      <c r="AF70" s="19">
        <v>2.0</v>
      </c>
      <c r="AG70" s="19">
        <v>6.0</v>
      </c>
      <c r="AH70" s="19">
        <v>6.0</v>
      </c>
      <c r="AI70" s="19">
        <v>0.0</v>
      </c>
      <c r="AJ70" s="19">
        <v>3.0</v>
      </c>
      <c r="AK70" s="19">
        <v>7.0</v>
      </c>
      <c r="AL70" s="19">
        <v>56.0</v>
      </c>
      <c r="AM70" s="19">
        <v>66.0</v>
      </c>
      <c r="AN70" s="19">
        <v>3.0</v>
      </c>
      <c r="AO70" s="19">
        <v>4.0</v>
      </c>
      <c r="AP70" s="19">
        <v>7.0</v>
      </c>
      <c r="AQ70" s="19">
        <v>0.0</v>
      </c>
      <c r="AR70" s="19">
        <v>4.0</v>
      </c>
      <c r="AS70" s="19">
        <v>9.0</v>
      </c>
      <c r="AT70" s="19">
        <v>10.0</v>
      </c>
      <c r="AU70" s="19">
        <v>7.0</v>
      </c>
      <c r="AV70" s="19">
        <v>2.0</v>
      </c>
      <c r="AW70" s="19">
        <v>4.0</v>
      </c>
      <c r="AX70" s="13">
        <f t="shared" si="18"/>
        <v>498</v>
      </c>
    </row>
    <row r="71" ht="12.75" customHeight="1">
      <c r="A71" s="18"/>
      <c r="B71" s="55">
        <v>2.0</v>
      </c>
      <c r="C71" s="50" t="s">
        <v>58</v>
      </c>
      <c r="D71" s="60"/>
      <c r="E71" s="19">
        <v>8.0</v>
      </c>
      <c r="F71" s="19">
        <v>5.0</v>
      </c>
      <c r="G71" s="19">
        <v>30.0</v>
      </c>
      <c r="H71" s="19">
        <v>24.0</v>
      </c>
      <c r="I71" s="19">
        <v>0.0</v>
      </c>
      <c r="J71" s="19">
        <v>0.0</v>
      </c>
      <c r="K71" s="19">
        <v>1.0</v>
      </c>
      <c r="L71" s="19">
        <v>2.0</v>
      </c>
      <c r="M71" s="19">
        <v>0.0</v>
      </c>
      <c r="N71" s="19">
        <v>3.0</v>
      </c>
      <c r="O71" s="19">
        <v>2.0</v>
      </c>
      <c r="P71" s="19">
        <v>8.0</v>
      </c>
      <c r="Q71" s="19">
        <v>12.0</v>
      </c>
      <c r="R71" s="19">
        <v>6.0</v>
      </c>
      <c r="S71" s="19">
        <v>1.0</v>
      </c>
      <c r="T71" s="19">
        <v>1.0</v>
      </c>
      <c r="U71" s="19">
        <v>2.0</v>
      </c>
      <c r="V71" s="19">
        <v>9.0</v>
      </c>
      <c r="W71" s="19">
        <v>3.0</v>
      </c>
      <c r="X71" s="19">
        <v>12.0</v>
      </c>
      <c r="Y71" s="19">
        <v>20.0</v>
      </c>
      <c r="Z71" s="19">
        <v>6.0</v>
      </c>
      <c r="AA71" s="19">
        <v>5.0</v>
      </c>
      <c r="AB71" s="19">
        <v>1.0</v>
      </c>
      <c r="AC71" s="19">
        <v>0.0</v>
      </c>
      <c r="AD71" s="19">
        <v>0.0</v>
      </c>
      <c r="AE71" s="19">
        <v>0.0</v>
      </c>
      <c r="AF71" s="19">
        <v>0.0</v>
      </c>
      <c r="AG71" s="19">
        <v>0.0</v>
      </c>
      <c r="AH71" s="19">
        <v>1.0</v>
      </c>
      <c r="AI71" s="19">
        <v>0.0</v>
      </c>
      <c r="AJ71" s="19">
        <v>1.0</v>
      </c>
      <c r="AK71" s="19">
        <v>2.0</v>
      </c>
      <c r="AL71" s="19">
        <v>1.0</v>
      </c>
      <c r="AM71" s="19">
        <v>0.0</v>
      </c>
      <c r="AN71" s="19">
        <v>2.0</v>
      </c>
      <c r="AO71" s="19">
        <v>0.0</v>
      </c>
      <c r="AP71" s="19">
        <v>2.0</v>
      </c>
      <c r="AQ71" s="19">
        <v>1.0</v>
      </c>
      <c r="AR71" s="19">
        <v>1.0</v>
      </c>
      <c r="AS71" s="19">
        <v>2.0</v>
      </c>
      <c r="AT71" s="19">
        <v>6.0</v>
      </c>
      <c r="AU71" s="19">
        <v>2.0</v>
      </c>
      <c r="AV71" s="19">
        <v>2.0</v>
      </c>
      <c r="AW71" s="19">
        <v>0.0</v>
      </c>
      <c r="AX71" s="13">
        <f t="shared" si="18"/>
        <v>184</v>
      </c>
    </row>
    <row r="72" ht="12.75" customHeight="1">
      <c r="A72" s="18"/>
      <c r="B72" s="55">
        <v>3.0</v>
      </c>
      <c r="C72" s="50" t="s">
        <v>59</v>
      </c>
      <c r="D72" s="60"/>
      <c r="E72" s="19">
        <v>3.0</v>
      </c>
      <c r="F72" s="19">
        <v>7.0</v>
      </c>
      <c r="G72" s="19">
        <v>11.0</v>
      </c>
      <c r="H72" s="19">
        <v>8.0</v>
      </c>
      <c r="I72" s="19">
        <v>5.0</v>
      </c>
      <c r="J72" s="19">
        <v>6.0</v>
      </c>
      <c r="K72" s="19">
        <v>13.0</v>
      </c>
      <c r="L72" s="19">
        <v>16.0</v>
      </c>
      <c r="M72" s="19">
        <v>12.0</v>
      </c>
      <c r="N72" s="19">
        <v>19.0</v>
      </c>
      <c r="O72" s="19">
        <v>7.0</v>
      </c>
      <c r="P72" s="19">
        <v>14.0</v>
      </c>
      <c r="Q72" s="19">
        <v>23.0</v>
      </c>
      <c r="R72" s="19">
        <v>10.0</v>
      </c>
      <c r="S72" s="19">
        <v>14.0</v>
      </c>
      <c r="T72" s="19">
        <v>22.0</v>
      </c>
      <c r="U72" s="19">
        <v>10.0</v>
      </c>
      <c r="V72" s="19">
        <v>31.0</v>
      </c>
      <c r="W72" s="19">
        <v>13.0</v>
      </c>
      <c r="X72" s="19">
        <v>5.0</v>
      </c>
      <c r="Y72" s="19">
        <v>27.0</v>
      </c>
      <c r="Z72" s="19">
        <v>7.0</v>
      </c>
      <c r="AA72" s="19">
        <v>2.0</v>
      </c>
      <c r="AB72" s="19">
        <v>2.0</v>
      </c>
      <c r="AC72" s="19">
        <v>1.0</v>
      </c>
      <c r="AD72" s="19">
        <v>2.0</v>
      </c>
      <c r="AE72" s="19">
        <v>0.0</v>
      </c>
      <c r="AF72" s="19">
        <v>1.0</v>
      </c>
      <c r="AG72" s="19">
        <v>2.0</v>
      </c>
      <c r="AH72" s="19">
        <v>0.0</v>
      </c>
      <c r="AI72" s="19">
        <v>1.0</v>
      </c>
      <c r="AJ72" s="19">
        <v>1.0</v>
      </c>
      <c r="AK72" s="19">
        <v>0.0</v>
      </c>
      <c r="AL72" s="19">
        <v>3.0</v>
      </c>
      <c r="AM72" s="19">
        <v>2.0</v>
      </c>
      <c r="AN72" s="19">
        <v>1.0</v>
      </c>
      <c r="AO72" s="19">
        <v>0.0</v>
      </c>
      <c r="AP72" s="19">
        <v>1.0</v>
      </c>
      <c r="AQ72" s="19">
        <v>1.0</v>
      </c>
      <c r="AR72" s="19">
        <v>1.0</v>
      </c>
      <c r="AS72" s="19">
        <v>1.0</v>
      </c>
      <c r="AT72" s="19">
        <v>2.0</v>
      </c>
      <c r="AU72" s="19">
        <v>2.0</v>
      </c>
      <c r="AV72" s="19">
        <v>6.0</v>
      </c>
      <c r="AW72" s="19">
        <v>0.0</v>
      </c>
      <c r="AX72" s="13">
        <f t="shared" si="18"/>
        <v>315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5.0</v>
      </c>
      <c r="H73" s="19">
        <v>0.0</v>
      </c>
      <c r="I73" s="19">
        <v>1.0</v>
      </c>
      <c r="J73" s="19">
        <v>0.0</v>
      </c>
      <c r="K73" s="19">
        <v>1.0</v>
      </c>
      <c r="L73" s="19">
        <v>0.0</v>
      </c>
      <c r="M73" s="19">
        <v>0.0</v>
      </c>
      <c r="N73" s="19">
        <v>2.0</v>
      </c>
      <c r="O73" s="19">
        <v>0.0</v>
      </c>
      <c r="P73" s="19">
        <v>1.0</v>
      </c>
      <c r="Q73" s="19">
        <v>0.0</v>
      </c>
      <c r="R73" s="19">
        <v>1.0</v>
      </c>
      <c r="S73" s="19">
        <v>1.0</v>
      </c>
      <c r="T73" s="19">
        <v>1.0</v>
      </c>
      <c r="U73" s="19">
        <v>0.0</v>
      </c>
      <c r="V73" s="19">
        <v>0.0</v>
      </c>
      <c r="W73" s="19">
        <v>0.0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1.0</v>
      </c>
      <c r="AD73" s="19">
        <v>0.0</v>
      </c>
      <c r="AE73" s="19">
        <v>1.0</v>
      </c>
      <c r="AF73" s="19">
        <v>1.0</v>
      </c>
      <c r="AG73" s="19">
        <v>0.0</v>
      </c>
      <c r="AH73" s="19">
        <v>0.0</v>
      </c>
      <c r="AI73" s="19">
        <v>0.0</v>
      </c>
      <c r="AJ73" s="19">
        <v>0.0</v>
      </c>
      <c r="AK73" s="19">
        <v>2.0</v>
      </c>
      <c r="AL73" s="19">
        <v>0.0</v>
      </c>
      <c r="AM73" s="19">
        <v>0.0</v>
      </c>
      <c r="AN73" s="19">
        <v>0.0</v>
      </c>
      <c r="AO73" s="19">
        <v>1.0</v>
      </c>
      <c r="AP73" s="19">
        <v>1.0</v>
      </c>
      <c r="AQ73" s="19">
        <v>0.0</v>
      </c>
      <c r="AR73" s="19">
        <v>1.0</v>
      </c>
      <c r="AS73" s="19">
        <v>1.0</v>
      </c>
      <c r="AT73" s="19">
        <v>2.0</v>
      </c>
      <c r="AU73" s="19">
        <v>0.0</v>
      </c>
      <c r="AV73" s="19">
        <v>0.0</v>
      </c>
      <c r="AW73" s="19">
        <v>0.0</v>
      </c>
      <c r="AX73" s="13">
        <f t="shared" si="18"/>
        <v>25</v>
      </c>
    </row>
    <row r="74" ht="12.75" customHeight="1">
      <c r="A74" s="18"/>
      <c r="B74" s="55">
        <v>5.0</v>
      </c>
      <c r="C74" s="50" t="s">
        <v>61</v>
      </c>
      <c r="D74" s="60"/>
      <c r="E74" s="19">
        <v>5.0</v>
      </c>
      <c r="F74" s="19">
        <v>12.0</v>
      </c>
      <c r="G74" s="19">
        <v>3.0</v>
      </c>
      <c r="H74" s="19">
        <v>4.0</v>
      </c>
      <c r="I74" s="19">
        <v>5.0</v>
      </c>
      <c r="J74" s="19">
        <v>3.0</v>
      </c>
      <c r="K74" s="19">
        <v>3.0</v>
      </c>
      <c r="L74" s="19">
        <v>6.0</v>
      </c>
      <c r="M74" s="19">
        <v>2.0</v>
      </c>
      <c r="N74" s="19">
        <v>1.0</v>
      </c>
      <c r="O74" s="19">
        <v>6.0</v>
      </c>
      <c r="P74" s="19">
        <v>6.0</v>
      </c>
      <c r="Q74" s="19">
        <v>12.0</v>
      </c>
      <c r="R74" s="19">
        <v>8.0</v>
      </c>
      <c r="S74" s="19">
        <v>6.0</v>
      </c>
      <c r="T74" s="19">
        <v>9.0</v>
      </c>
      <c r="U74" s="19">
        <v>18.0</v>
      </c>
      <c r="V74" s="19">
        <v>5.0</v>
      </c>
      <c r="W74" s="19">
        <v>8.0</v>
      </c>
      <c r="X74" s="19">
        <v>7.0</v>
      </c>
      <c r="Y74" s="19">
        <v>10.0</v>
      </c>
      <c r="Z74" s="19">
        <v>7.0</v>
      </c>
      <c r="AA74" s="19">
        <v>8.0</v>
      </c>
      <c r="AB74" s="19">
        <v>7.0</v>
      </c>
      <c r="AC74" s="19">
        <v>7.0</v>
      </c>
      <c r="AD74" s="19">
        <v>0.0</v>
      </c>
      <c r="AE74" s="19">
        <v>2.0</v>
      </c>
      <c r="AF74" s="19">
        <v>3.0</v>
      </c>
      <c r="AG74" s="19">
        <v>3.0</v>
      </c>
      <c r="AH74" s="19">
        <v>0.0</v>
      </c>
      <c r="AI74" s="19">
        <v>2.0</v>
      </c>
      <c r="AJ74" s="19">
        <v>1.0</v>
      </c>
      <c r="AK74" s="19">
        <v>30.0</v>
      </c>
      <c r="AL74" s="19">
        <v>0.0</v>
      </c>
      <c r="AM74" s="19">
        <v>0.0</v>
      </c>
      <c r="AN74" s="19">
        <v>2.0</v>
      </c>
      <c r="AO74" s="19">
        <v>3.0</v>
      </c>
      <c r="AP74" s="19">
        <v>1.0</v>
      </c>
      <c r="AQ74" s="19">
        <v>3.0</v>
      </c>
      <c r="AR74" s="19">
        <v>4.0</v>
      </c>
      <c r="AS74" s="19">
        <v>3.0</v>
      </c>
      <c r="AT74" s="19">
        <v>2.0</v>
      </c>
      <c r="AU74" s="19">
        <v>5.0</v>
      </c>
      <c r="AV74" s="19">
        <v>0.0</v>
      </c>
      <c r="AW74" s="19">
        <v>0.0</v>
      </c>
      <c r="AX74" s="13">
        <f t="shared" si="18"/>
        <v>232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2.0</v>
      </c>
      <c r="H75" s="19">
        <v>2.0</v>
      </c>
      <c r="I75" s="19">
        <v>0.0</v>
      </c>
      <c r="J75" s="19">
        <v>1.0</v>
      </c>
      <c r="K75" s="19">
        <v>1.0</v>
      </c>
      <c r="L75" s="19">
        <v>2.0</v>
      </c>
      <c r="M75" s="19">
        <v>1.0</v>
      </c>
      <c r="N75" s="19">
        <v>0.0</v>
      </c>
      <c r="O75" s="19">
        <v>3.0</v>
      </c>
      <c r="P75" s="19">
        <v>3.0</v>
      </c>
      <c r="Q75" s="19">
        <v>6.0</v>
      </c>
      <c r="R75" s="19">
        <v>4.0</v>
      </c>
      <c r="S75" s="19">
        <v>1.0</v>
      </c>
      <c r="T75" s="19">
        <v>2.0</v>
      </c>
      <c r="U75" s="19">
        <v>2.0</v>
      </c>
      <c r="V75" s="19">
        <v>1.0</v>
      </c>
      <c r="W75" s="19">
        <v>1.0</v>
      </c>
      <c r="X75" s="19">
        <v>0.0</v>
      </c>
      <c r="Y75" s="19">
        <v>3.0</v>
      </c>
      <c r="Z75" s="19">
        <v>0.0</v>
      </c>
      <c r="AA75" s="19">
        <v>0.0</v>
      </c>
      <c r="AB75" s="19">
        <v>1.0</v>
      </c>
      <c r="AC75" s="19">
        <v>0.0</v>
      </c>
      <c r="AD75" s="19">
        <v>0.0</v>
      </c>
      <c r="AE75" s="19">
        <v>0.0</v>
      </c>
      <c r="AF75" s="19">
        <v>1.0</v>
      </c>
      <c r="AG75" s="19">
        <v>0.0</v>
      </c>
      <c r="AH75" s="19">
        <v>1.0</v>
      </c>
      <c r="AI75" s="19">
        <v>0.0</v>
      </c>
      <c r="AJ75" s="19">
        <v>0.0</v>
      </c>
      <c r="AK75" s="19">
        <v>5.0</v>
      </c>
      <c r="AL75" s="19">
        <v>0.0</v>
      </c>
      <c r="AM75" s="19">
        <v>1.0</v>
      </c>
      <c r="AN75" s="19">
        <v>0.0</v>
      </c>
      <c r="AO75" s="19">
        <v>3.0</v>
      </c>
      <c r="AP75" s="19">
        <v>0.0</v>
      </c>
      <c r="AQ75" s="19">
        <v>0.0</v>
      </c>
      <c r="AR75" s="19">
        <v>3.0</v>
      </c>
      <c r="AS75" s="19">
        <v>0.0</v>
      </c>
      <c r="AT75" s="19">
        <v>0.0</v>
      </c>
      <c r="AU75" s="19">
        <v>0.0</v>
      </c>
      <c r="AV75" s="19">
        <v>0.0</v>
      </c>
      <c r="AW75" s="19">
        <v>0.0</v>
      </c>
      <c r="AX75" s="13">
        <f t="shared" si="18"/>
        <v>51</v>
      </c>
    </row>
    <row r="76" ht="12.75" customHeight="1">
      <c r="A76" s="18"/>
      <c r="B76" s="55">
        <v>7.0</v>
      </c>
      <c r="C76" s="50" t="s">
        <v>63</v>
      </c>
      <c r="D76" s="60"/>
      <c r="E76" s="19">
        <v>21.0</v>
      </c>
      <c r="F76" s="19">
        <v>1.0</v>
      </c>
      <c r="G76" s="19">
        <v>5.0</v>
      </c>
      <c r="H76" s="19">
        <v>19.0</v>
      </c>
      <c r="I76" s="19">
        <v>0.0</v>
      </c>
      <c r="J76" s="19">
        <v>2.0</v>
      </c>
      <c r="K76" s="19">
        <v>0.0</v>
      </c>
      <c r="L76" s="19">
        <v>2.0</v>
      </c>
      <c r="M76" s="19">
        <v>2.0</v>
      </c>
      <c r="N76" s="19">
        <v>0.0</v>
      </c>
      <c r="O76" s="19">
        <v>0.0</v>
      </c>
      <c r="P76" s="19">
        <v>7.0</v>
      </c>
      <c r="Q76" s="19">
        <v>11.0</v>
      </c>
      <c r="R76" s="19">
        <v>3.0</v>
      </c>
      <c r="S76" s="19">
        <v>1.0</v>
      </c>
      <c r="T76" s="19">
        <v>1.0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1.0</v>
      </c>
      <c r="AC76" s="19">
        <v>0.0</v>
      </c>
      <c r="AD76" s="19">
        <v>0.0</v>
      </c>
      <c r="AE76" s="19">
        <v>2.0</v>
      </c>
      <c r="AF76" s="19">
        <v>0.0</v>
      </c>
      <c r="AG76" s="19">
        <v>0.0</v>
      </c>
      <c r="AH76" s="19">
        <v>0.0</v>
      </c>
      <c r="AI76" s="19">
        <v>1.0</v>
      </c>
      <c r="AJ76" s="19">
        <v>0.0</v>
      </c>
      <c r="AK76" s="19">
        <v>1.0</v>
      </c>
      <c r="AL76" s="19">
        <v>0.0</v>
      </c>
      <c r="AM76" s="19">
        <v>0.0</v>
      </c>
      <c r="AN76" s="19">
        <v>1.0</v>
      </c>
      <c r="AO76" s="19">
        <v>0.0</v>
      </c>
      <c r="AP76" s="19">
        <v>2.0</v>
      </c>
      <c r="AQ76" s="19">
        <v>0.0</v>
      </c>
      <c r="AR76" s="19">
        <v>1.0</v>
      </c>
      <c r="AS76" s="19">
        <v>0.0</v>
      </c>
      <c r="AT76" s="19">
        <v>0.0</v>
      </c>
      <c r="AU76" s="19">
        <v>1.0</v>
      </c>
      <c r="AV76" s="19">
        <v>0.0</v>
      </c>
      <c r="AW76" s="19">
        <v>2.0</v>
      </c>
      <c r="AX76" s="13">
        <f t="shared" si="18"/>
        <v>87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X79" si="19">SUM(E69:E78)</f>
        <v>51</v>
      </c>
      <c r="F79" s="13">
        <f t="shared" si="19"/>
        <v>39</v>
      </c>
      <c r="G79" s="13">
        <f t="shared" si="19"/>
        <v>90</v>
      </c>
      <c r="H79" s="13">
        <f t="shared" si="19"/>
        <v>77</v>
      </c>
      <c r="I79" s="13">
        <f t="shared" si="19"/>
        <v>16</v>
      </c>
      <c r="J79" s="13">
        <f t="shared" si="19"/>
        <v>19</v>
      </c>
      <c r="K79" s="13">
        <f t="shared" si="19"/>
        <v>37</v>
      </c>
      <c r="L79" s="13">
        <f t="shared" si="19"/>
        <v>39</v>
      </c>
      <c r="M79" s="13">
        <f t="shared" si="19"/>
        <v>27</v>
      </c>
      <c r="N79" s="13">
        <f t="shared" si="19"/>
        <v>39</v>
      </c>
      <c r="O79" s="13">
        <f t="shared" si="19"/>
        <v>29</v>
      </c>
      <c r="P79" s="13">
        <f t="shared" si="19"/>
        <v>56</v>
      </c>
      <c r="Q79" s="13">
        <f t="shared" si="19"/>
        <v>86</v>
      </c>
      <c r="R79" s="13">
        <f t="shared" si="19"/>
        <v>47</v>
      </c>
      <c r="S79" s="13">
        <f t="shared" si="19"/>
        <v>44</v>
      </c>
      <c r="T79" s="13">
        <f t="shared" si="19"/>
        <v>43</v>
      </c>
      <c r="U79" s="13">
        <f t="shared" si="19"/>
        <v>40</v>
      </c>
      <c r="V79" s="13">
        <f t="shared" si="19"/>
        <v>54</v>
      </c>
      <c r="W79" s="13">
        <f t="shared" si="19"/>
        <v>31</v>
      </c>
      <c r="X79" s="13">
        <f t="shared" si="19"/>
        <v>57</v>
      </c>
      <c r="Y79" s="13">
        <f t="shared" si="19"/>
        <v>80</v>
      </c>
      <c r="Z79" s="13">
        <f t="shared" si="19"/>
        <v>34</v>
      </c>
      <c r="AA79" s="13">
        <f t="shared" si="19"/>
        <v>26</v>
      </c>
      <c r="AB79" s="13">
        <f t="shared" si="19"/>
        <v>128</v>
      </c>
      <c r="AC79" s="13">
        <f t="shared" si="19"/>
        <v>29</v>
      </c>
      <c r="AD79" s="13">
        <f t="shared" si="19"/>
        <v>39</v>
      </c>
      <c r="AE79" s="13">
        <f t="shared" si="19"/>
        <v>17</v>
      </c>
      <c r="AF79" s="13">
        <f t="shared" si="19"/>
        <v>8</v>
      </c>
      <c r="AG79" s="13">
        <f t="shared" si="19"/>
        <v>11</v>
      </c>
      <c r="AH79" s="13">
        <f t="shared" si="19"/>
        <v>9</v>
      </c>
      <c r="AI79" s="13">
        <f t="shared" si="19"/>
        <v>14</v>
      </c>
      <c r="AJ79" s="13">
        <f t="shared" si="19"/>
        <v>10</v>
      </c>
      <c r="AK79" s="13">
        <f t="shared" si="19"/>
        <v>67</v>
      </c>
      <c r="AL79" s="13">
        <f t="shared" si="19"/>
        <v>83</v>
      </c>
      <c r="AM79" s="13">
        <f t="shared" si="19"/>
        <v>70</v>
      </c>
      <c r="AN79" s="13">
        <f t="shared" si="19"/>
        <v>18</v>
      </c>
      <c r="AO79" s="13">
        <f t="shared" si="19"/>
        <v>17</v>
      </c>
      <c r="AP79" s="13">
        <f t="shared" si="19"/>
        <v>21</v>
      </c>
      <c r="AQ79" s="13">
        <f t="shared" si="19"/>
        <v>16</v>
      </c>
      <c r="AR79" s="13">
        <f t="shared" si="19"/>
        <v>17</v>
      </c>
      <c r="AS79" s="13">
        <f t="shared" si="19"/>
        <v>24</v>
      </c>
      <c r="AT79" s="13">
        <f t="shared" si="19"/>
        <v>27</v>
      </c>
      <c r="AU79" s="13">
        <f t="shared" si="19"/>
        <v>24</v>
      </c>
      <c r="AV79" s="13">
        <f t="shared" si="19"/>
        <v>13</v>
      </c>
      <c r="AW79" s="13">
        <f t="shared" si="19"/>
        <v>11</v>
      </c>
      <c r="AX79" s="13">
        <f t="shared" si="19"/>
        <v>1734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6.0</v>
      </c>
      <c r="G81" s="19">
        <v>4.0</v>
      </c>
      <c r="H81" s="19">
        <v>3.0</v>
      </c>
      <c r="I81" s="19">
        <v>3.0</v>
      </c>
      <c r="J81" s="19">
        <v>0.0</v>
      </c>
      <c r="K81" s="19">
        <v>3.0</v>
      </c>
      <c r="L81" s="19">
        <v>0.0</v>
      </c>
      <c r="M81" s="19">
        <v>3.0</v>
      </c>
      <c r="N81" s="19">
        <v>0.0</v>
      </c>
      <c r="O81" s="19">
        <v>1.0</v>
      </c>
      <c r="P81" s="19">
        <v>3.0</v>
      </c>
      <c r="Q81" s="19">
        <v>5.0</v>
      </c>
      <c r="R81" s="19">
        <v>7.0</v>
      </c>
      <c r="S81" s="19">
        <v>2.0</v>
      </c>
      <c r="T81" s="19">
        <v>4.0</v>
      </c>
      <c r="U81" s="19">
        <v>3.0</v>
      </c>
      <c r="V81" s="19">
        <v>4.0</v>
      </c>
      <c r="W81" s="19">
        <v>2.0</v>
      </c>
      <c r="X81" s="19">
        <v>1.0</v>
      </c>
      <c r="Y81" s="19">
        <v>4.0</v>
      </c>
      <c r="Z81" s="19">
        <v>9.0</v>
      </c>
      <c r="AA81" s="19">
        <v>3.0</v>
      </c>
      <c r="AB81" s="19">
        <v>2.0</v>
      </c>
      <c r="AC81" s="19">
        <v>2.0</v>
      </c>
      <c r="AD81" s="19">
        <v>3.0</v>
      </c>
      <c r="AE81" s="19">
        <v>2.0</v>
      </c>
      <c r="AF81" s="19">
        <v>3.0</v>
      </c>
      <c r="AG81" s="19">
        <v>5.0</v>
      </c>
      <c r="AH81" s="19">
        <v>3.0</v>
      </c>
      <c r="AI81" s="19">
        <v>5.0</v>
      </c>
      <c r="AJ81" s="19">
        <v>3.0</v>
      </c>
      <c r="AK81" s="19">
        <v>6.0</v>
      </c>
      <c r="AL81" s="19">
        <v>0.0</v>
      </c>
      <c r="AM81" s="19">
        <v>0.0</v>
      </c>
      <c r="AN81" s="19">
        <v>4.0</v>
      </c>
      <c r="AO81" s="19">
        <v>3.0</v>
      </c>
      <c r="AP81" s="19">
        <v>2.0</v>
      </c>
      <c r="AQ81" s="19">
        <v>1.0</v>
      </c>
      <c r="AR81" s="19">
        <v>1.0</v>
      </c>
      <c r="AS81" s="19">
        <v>6.0</v>
      </c>
      <c r="AT81" s="19">
        <v>3.0</v>
      </c>
      <c r="AU81" s="19">
        <v>2.0</v>
      </c>
      <c r="AV81" s="19">
        <v>0.0</v>
      </c>
      <c r="AW81" s="19">
        <v>0.0</v>
      </c>
      <c r="AX81" s="13">
        <f t="shared" ref="AX81:AX90" si="20">SUM(E81:AW81)</f>
        <v>132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13.0</v>
      </c>
      <c r="F82" s="19">
        <v>12.0</v>
      </c>
      <c r="G82" s="19">
        <v>3.0</v>
      </c>
      <c r="H82" s="19">
        <v>19.0</v>
      </c>
      <c r="I82" s="19">
        <v>2.0</v>
      </c>
      <c r="J82" s="19">
        <v>1.0</v>
      </c>
      <c r="K82" s="19">
        <v>2.0</v>
      </c>
      <c r="L82" s="19">
        <v>11.0</v>
      </c>
      <c r="M82" s="19">
        <v>12.0</v>
      </c>
      <c r="N82" s="19">
        <v>9.0</v>
      </c>
      <c r="O82" s="19">
        <v>1.0</v>
      </c>
      <c r="P82" s="19">
        <v>16.0</v>
      </c>
      <c r="Q82" s="19">
        <v>17.0</v>
      </c>
      <c r="R82" s="19">
        <v>79.0</v>
      </c>
      <c r="S82" s="19">
        <v>4.0</v>
      </c>
      <c r="T82" s="19">
        <v>6.0</v>
      </c>
      <c r="U82" s="19">
        <v>14.0</v>
      </c>
      <c r="V82" s="19">
        <v>16.0</v>
      </c>
      <c r="W82" s="19">
        <v>8.0</v>
      </c>
      <c r="X82" s="19">
        <v>17.0</v>
      </c>
      <c r="Y82" s="19">
        <v>16.0</v>
      </c>
      <c r="Z82" s="19">
        <v>31.0</v>
      </c>
      <c r="AA82" s="19">
        <v>17.0</v>
      </c>
      <c r="AB82" s="19">
        <v>7.0</v>
      </c>
      <c r="AC82" s="19">
        <v>13.0</v>
      </c>
      <c r="AD82" s="19">
        <v>5.0</v>
      </c>
      <c r="AE82" s="19">
        <v>2.0</v>
      </c>
      <c r="AF82" s="19">
        <v>6.0</v>
      </c>
      <c r="AG82" s="19">
        <v>10.0</v>
      </c>
      <c r="AH82" s="19">
        <v>16.0</v>
      </c>
      <c r="AI82" s="19">
        <v>16.0</v>
      </c>
      <c r="AJ82" s="19">
        <v>59.0</v>
      </c>
      <c r="AK82" s="19">
        <v>11.0</v>
      </c>
      <c r="AL82" s="19">
        <v>1.0</v>
      </c>
      <c r="AM82" s="19">
        <v>15.0</v>
      </c>
      <c r="AN82" s="19">
        <v>2.0</v>
      </c>
      <c r="AO82" s="19">
        <v>6.0</v>
      </c>
      <c r="AP82" s="19">
        <v>5.0</v>
      </c>
      <c r="AQ82" s="19">
        <v>0.0</v>
      </c>
      <c r="AR82" s="19">
        <v>4.0</v>
      </c>
      <c r="AS82" s="19">
        <v>10.0</v>
      </c>
      <c r="AT82" s="19">
        <v>2.0</v>
      </c>
      <c r="AU82" s="19">
        <v>1.0</v>
      </c>
      <c r="AV82" s="19">
        <v>0.0</v>
      </c>
      <c r="AW82" s="19">
        <v>0.0</v>
      </c>
      <c r="AX82" s="13">
        <f t="shared" si="20"/>
        <v>517</v>
      </c>
    </row>
    <row r="83" ht="12.75" customHeight="1">
      <c r="A83" s="18"/>
      <c r="B83" s="55">
        <v>2.0</v>
      </c>
      <c r="C83" s="50" t="s">
        <v>66</v>
      </c>
      <c r="D83" s="60"/>
      <c r="E83" s="19">
        <v>4.0</v>
      </c>
      <c r="F83" s="19">
        <v>1.0</v>
      </c>
      <c r="G83" s="19">
        <v>2.0</v>
      </c>
      <c r="H83" s="19">
        <v>3.0</v>
      </c>
      <c r="I83" s="19">
        <v>5.0</v>
      </c>
      <c r="J83" s="19">
        <v>1.0</v>
      </c>
      <c r="K83" s="19">
        <v>7.0</v>
      </c>
      <c r="L83" s="19">
        <v>2.0</v>
      </c>
      <c r="M83" s="19">
        <v>4.0</v>
      </c>
      <c r="N83" s="19">
        <v>3.0</v>
      </c>
      <c r="O83" s="19">
        <v>7.0</v>
      </c>
      <c r="P83" s="19">
        <v>3.0</v>
      </c>
      <c r="Q83" s="19">
        <v>1.0</v>
      </c>
      <c r="R83" s="19">
        <v>3.0</v>
      </c>
      <c r="S83" s="19">
        <v>1.0</v>
      </c>
      <c r="T83" s="19">
        <v>4.0</v>
      </c>
      <c r="U83" s="19">
        <v>4.0</v>
      </c>
      <c r="V83" s="19">
        <v>0.0</v>
      </c>
      <c r="W83" s="19">
        <v>3.0</v>
      </c>
      <c r="X83" s="19">
        <v>2.0</v>
      </c>
      <c r="Y83" s="19">
        <v>1.0</v>
      </c>
      <c r="Z83" s="19">
        <v>4.0</v>
      </c>
      <c r="AA83" s="19">
        <v>6.0</v>
      </c>
      <c r="AB83" s="19">
        <v>0.0</v>
      </c>
      <c r="AC83" s="19">
        <v>1.0</v>
      </c>
      <c r="AD83" s="19">
        <v>4.0</v>
      </c>
      <c r="AE83" s="19">
        <v>1.0</v>
      </c>
      <c r="AF83" s="19">
        <v>0.0</v>
      </c>
      <c r="AG83" s="19">
        <v>1.0</v>
      </c>
      <c r="AH83" s="19">
        <v>0.0</v>
      </c>
      <c r="AI83" s="19">
        <v>4.0</v>
      </c>
      <c r="AJ83" s="19">
        <v>3.0</v>
      </c>
      <c r="AK83" s="19">
        <v>7.0</v>
      </c>
      <c r="AL83" s="19">
        <v>0.0</v>
      </c>
      <c r="AM83" s="19">
        <v>0.0</v>
      </c>
      <c r="AN83" s="19">
        <v>1.0</v>
      </c>
      <c r="AO83" s="19">
        <v>1.0</v>
      </c>
      <c r="AP83" s="19">
        <v>2.0</v>
      </c>
      <c r="AQ83" s="19">
        <v>0.0</v>
      </c>
      <c r="AR83" s="19">
        <v>3.0</v>
      </c>
      <c r="AS83" s="19">
        <v>4.0</v>
      </c>
      <c r="AT83" s="19">
        <v>6.0</v>
      </c>
      <c r="AU83" s="19">
        <v>4.0</v>
      </c>
      <c r="AV83" s="19">
        <v>0.0</v>
      </c>
      <c r="AW83" s="19">
        <v>1.0</v>
      </c>
      <c r="AX83" s="13">
        <f t="shared" si="20"/>
        <v>114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1.0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2.0</v>
      </c>
      <c r="Y84" s="19">
        <v>0.0</v>
      </c>
      <c r="Z84" s="19">
        <v>0.0</v>
      </c>
      <c r="AA84" s="19">
        <v>1.0</v>
      </c>
      <c r="AB84" s="19">
        <v>0.0</v>
      </c>
      <c r="AC84" s="19">
        <v>0.0</v>
      </c>
      <c r="AD84" s="19">
        <v>2.0</v>
      </c>
      <c r="AE84" s="19">
        <v>0.0</v>
      </c>
      <c r="AF84" s="19">
        <v>0.0</v>
      </c>
      <c r="AG84" s="19">
        <v>0.0</v>
      </c>
      <c r="AH84" s="19">
        <v>0.0</v>
      </c>
      <c r="AI84" s="19">
        <v>0.0</v>
      </c>
      <c r="AJ84" s="19">
        <v>2.0</v>
      </c>
      <c r="AK84" s="19">
        <v>0.0</v>
      </c>
      <c r="AL84" s="19">
        <v>0.0</v>
      </c>
      <c r="AM84" s="19">
        <v>0.0</v>
      </c>
      <c r="AN84" s="19">
        <v>0.0</v>
      </c>
      <c r="AO84" s="19">
        <v>2.0</v>
      </c>
      <c r="AP84" s="19">
        <v>0.0</v>
      </c>
      <c r="AQ84" s="19">
        <v>0.0</v>
      </c>
      <c r="AR84" s="19">
        <v>1.0</v>
      </c>
      <c r="AS84" s="19">
        <v>0.0</v>
      </c>
      <c r="AT84" s="19">
        <v>1.0</v>
      </c>
      <c r="AU84" s="19">
        <v>1.0</v>
      </c>
      <c r="AV84" s="19">
        <v>0.0</v>
      </c>
      <c r="AW84" s="19">
        <v>0.0</v>
      </c>
      <c r="AX84" s="13">
        <f t="shared" si="20"/>
        <v>14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1.0</v>
      </c>
      <c r="H85" s="19">
        <v>1.0</v>
      </c>
      <c r="I85" s="19">
        <v>0.0</v>
      </c>
      <c r="J85" s="19">
        <v>1.0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1.0</v>
      </c>
      <c r="R85" s="19">
        <v>0.0</v>
      </c>
      <c r="S85" s="19">
        <v>1.0</v>
      </c>
      <c r="T85" s="19">
        <v>0.0</v>
      </c>
      <c r="U85" s="19">
        <v>0.0</v>
      </c>
      <c r="V85" s="19">
        <v>0.0</v>
      </c>
      <c r="W85" s="19">
        <v>1.0</v>
      </c>
      <c r="X85" s="19">
        <v>0.0</v>
      </c>
      <c r="Y85" s="19">
        <v>1.0</v>
      </c>
      <c r="Z85" s="19">
        <v>0.0</v>
      </c>
      <c r="AA85" s="19">
        <v>1.0</v>
      </c>
      <c r="AB85" s="19">
        <v>2.0</v>
      </c>
      <c r="AC85" s="19">
        <v>0.0</v>
      </c>
      <c r="AD85" s="19">
        <v>0.0</v>
      </c>
      <c r="AE85" s="19">
        <v>0.0</v>
      </c>
      <c r="AF85" s="19">
        <v>2.0</v>
      </c>
      <c r="AG85" s="19">
        <v>1.0</v>
      </c>
      <c r="AH85" s="19">
        <v>0.0</v>
      </c>
      <c r="AI85" s="19">
        <v>1.0</v>
      </c>
      <c r="AJ85" s="19">
        <v>1.0</v>
      </c>
      <c r="AK85" s="19">
        <v>0.0</v>
      </c>
      <c r="AL85" s="19">
        <v>0.0</v>
      </c>
      <c r="AM85" s="19">
        <v>0.0</v>
      </c>
      <c r="AN85" s="19">
        <v>0.0</v>
      </c>
      <c r="AO85" s="19">
        <v>0.0</v>
      </c>
      <c r="AP85" s="19">
        <v>0.0</v>
      </c>
      <c r="AQ85" s="19">
        <v>0.0</v>
      </c>
      <c r="AR85" s="19">
        <v>0.0</v>
      </c>
      <c r="AS85" s="19">
        <v>1.0</v>
      </c>
      <c r="AT85" s="19">
        <v>0.0</v>
      </c>
      <c r="AU85" s="19">
        <v>1.0</v>
      </c>
      <c r="AV85" s="19">
        <v>1.0</v>
      </c>
      <c r="AW85" s="19">
        <v>0.0</v>
      </c>
      <c r="AX85" s="13">
        <f t="shared" si="20"/>
        <v>19</v>
      </c>
    </row>
    <row r="86" ht="12.75" customHeight="1">
      <c r="A86" s="18"/>
      <c r="B86" s="55">
        <v>5.0</v>
      </c>
      <c r="C86" s="50" t="s">
        <v>69</v>
      </c>
      <c r="D86" s="60"/>
      <c r="E86" s="19">
        <v>3.0</v>
      </c>
      <c r="F86" s="19">
        <v>3.0</v>
      </c>
      <c r="G86" s="19">
        <v>0.0</v>
      </c>
      <c r="H86" s="19">
        <v>0.0</v>
      </c>
      <c r="I86" s="19">
        <v>0.0</v>
      </c>
      <c r="J86" s="19">
        <v>0.0</v>
      </c>
      <c r="K86" s="19">
        <v>1.0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1.0</v>
      </c>
      <c r="R86" s="19">
        <v>0.0</v>
      </c>
      <c r="S86" s="19">
        <v>2.0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2.0</v>
      </c>
      <c r="Z86" s="19">
        <v>1.0</v>
      </c>
      <c r="AA86" s="19">
        <v>0.0</v>
      </c>
      <c r="AB86" s="19">
        <v>0.0</v>
      </c>
      <c r="AC86" s="19">
        <v>0.0</v>
      </c>
      <c r="AD86" s="19">
        <v>1.0</v>
      </c>
      <c r="AE86" s="19">
        <v>0.0</v>
      </c>
      <c r="AF86" s="19">
        <v>1.0</v>
      </c>
      <c r="AG86" s="19">
        <v>0.0</v>
      </c>
      <c r="AH86" s="19">
        <v>0.0</v>
      </c>
      <c r="AI86" s="19">
        <v>0.0</v>
      </c>
      <c r="AJ86" s="19">
        <v>0.0</v>
      </c>
      <c r="AK86" s="19">
        <v>1.0</v>
      </c>
      <c r="AL86" s="19">
        <v>0.0</v>
      </c>
      <c r="AM86" s="19">
        <v>0.0</v>
      </c>
      <c r="AN86" s="19">
        <v>0.0</v>
      </c>
      <c r="AO86" s="19">
        <v>1.0</v>
      </c>
      <c r="AP86" s="19">
        <v>1.0</v>
      </c>
      <c r="AQ86" s="19">
        <v>0.0</v>
      </c>
      <c r="AR86" s="19">
        <v>1.0</v>
      </c>
      <c r="AS86" s="19">
        <v>0.0</v>
      </c>
      <c r="AT86" s="19">
        <v>0.0</v>
      </c>
      <c r="AU86" s="19">
        <v>0.0</v>
      </c>
      <c r="AV86" s="19">
        <v>0.0</v>
      </c>
      <c r="AW86" s="19">
        <v>0.0</v>
      </c>
      <c r="AX86" s="13">
        <f t="shared" si="20"/>
        <v>20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1.0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1.0</v>
      </c>
      <c r="AT87" s="19">
        <v>0.0</v>
      </c>
      <c r="AU87" s="19">
        <v>0.0</v>
      </c>
      <c r="AV87" s="19">
        <v>0.0</v>
      </c>
      <c r="AW87" s="19">
        <v>0.0</v>
      </c>
      <c r="AX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9">
        <v>1.0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1.0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X91" si="21">SUM(E81:E90)</f>
        <v>26</v>
      </c>
      <c r="F91" s="13">
        <f t="shared" si="21"/>
        <v>22</v>
      </c>
      <c r="G91" s="13">
        <f t="shared" si="21"/>
        <v>10</v>
      </c>
      <c r="H91" s="13">
        <f t="shared" si="21"/>
        <v>26</v>
      </c>
      <c r="I91" s="13">
        <f t="shared" si="21"/>
        <v>11</v>
      </c>
      <c r="J91" s="13">
        <f t="shared" si="21"/>
        <v>4</v>
      </c>
      <c r="K91" s="13">
        <f t="shared" si="21"/>
        <v>15</v>
      </c>
      <c r="L91" s="13">
        <f t="shared" si="21"/>
        <v>13</v>
      </c>
      <c r="M91" s="13">
        <f t="shared" si="21"/>
        <v>19</v>
      </c>
      <c r="N91" s="13">
        <f t="shared" si="21"/>
        <v>12</v>
      </c>
      <c r="O91" s="13">
        <f t="shared" si="21"/>
        <v>9</v>
      </c>
      <c r="P91" s="13">
        <f t="shared" si="21"/>
        <v>23</v>
      </c>
      <c r="Q91" s="13">
        <f t="shared" si="21"/>
        <v>25</v>
      </c>
      <c r="R91" s="13">
        <f t="shared" si="21"/>
        <v>90</v>
      </c>
      <c r="S91" s="13">
        <f t="shared" si="21"/>
        <v>10</v>
      </c>
      <c r="T91" s="13">
        <f t="shared" si="21"/>
        <v>14</v>
      </c>
      <c r="U91" s="13">
        <f t="shared" si="21"/>
        <v>21</v>
      </c>
      <c r="V91" s="13">
        <f t="shared" si="21"/>
        <v>20</v>
      </c>
      <c r="W91" s="13">
        <f t="shared" si="21"/>
        <v>15</v>
      </c>
      <c r="X91" s="13">
        <f t="shared" si="21"/>
        <v>22</v>
      </c>
      <c r="Y91" s="13">
        <f t="shared" si="21"/>
        <v>24</v>
      </c>
      <c r="Z91" s="13">
        <f t="shared" si="21"/>
        <v>45</v>
      </c>
      <c r="AA91" s="13">
        <f t="shared" si="21"/>
        <v>28</v>
      </c>
      <c r="AB91" s="13">
        <f t="shared" si="21"/>
        <v>11</v>
      </c>
      <c r="AC91" s="13">
        <f t="shared" si="21"/>
        <v>16</v>
      </c>
      <c r="AD91" s="13">
        <f t="shared" si="21"/>
        <v>15</v>
      </c>
      <c r="AE91" s="13">
        <f t="shared" si="21"/>
        <v>5</v>
      </c>
      <c r="AF91" s="13">
        <f t="shared" si="21"/>
        <v>12</v>
      </c>
      <c r="AG91" s="13">
        <f t="shared" si="21"/>
        <v>18</v>
      </c>
      <c r="AH91" s="13">
        <f t="shared" si="21"/>
        <v>19</v>
      </c>
      <c r="AI91" s="13">
        <f t="shared" si="21"/>
        <v>26</v>
      </c>
      <c r="AJ91" s="13">
        <f t="shared" si="21"/>
        <v>68</v>
      </c>
      <c r="AK91" s="13">
        <f t="shared" si="21"/>
        <v>25</v>
      </c>
      <c r="AL91" s="13">
        <f t="shared" si="21"/>
        <v>1</v>
      </c>
      <c r="AM91" s="13">
        <f t="shared" si="21"/>
        <v>15</v>
      </c>
      <c r="AN91" s="13">
        <f t="shared" si="21"/>
        <v>7</v>
      </c>
      <c r="AO91" s="13">
        <f t="shared" si="21"/>
        <v>14</v>
      </c>
      <c r="AP91" s="13">
        <f t="shared" si="21"/>
        <v>10</v>
      </c>
      <c r="AQ91" s="13">
        <f t="shared" si="21"/>
        <v>1</v>
      </c>
      <c r="AR91" s="13">
        <f t="shared" si="21"/>
        <v>10</v>
      </c>
      <c r="AS91" s="13">
        <f t="shared" si="21"/>
        <v>22</v>
      </c>
      <c r="AT91" s="13">
        <f t="shared" si="21"/>
        <v>12</v>
      </c>
      <c r="AU91" s="13">
        <f t="shared" si="21"/>
        <v>9</v>
      </c>
      <c r="AV91" s="13">
        <f t="shared" si="21"/>
        <v>1</v>
      </c>
      <c r="AW91" s="13">
        <f t="shared" si="21"/>
        <v>1</v>
      </c>
      <c r="AX91" s="13">
        <f t="shared" si="21"/>
        <v>822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3.0</v>
      </c>
      <c r="G93" s="19">
        <v>5.0</v>
      </c>
      <c r="H93" s="19">
        <v>1.0</v>
      </c>
      <c r="I93" s="19">
        <v>0.0</v>
      </c>
      <c r="J93" s="19">
        <v>0.0</v>
      </c>
      <c r="K93" s="19">
        <v>3.0</v>
      </c>
      <c r="L93" s="19">
        <v>0.0</v>
      </c>
      <c r="M93" s="19">
        <v>2.0</v>
      </c>
      <c r="N93" s="19">
        <v>2.0</v>
      </c>
      <c r="O93" s="19">
        <v>0.0</v>
      </c>
      <c r="P93" s="19">
        <v>1.0</v>
      </c>
      <c r="Q93" s="19">
        <v>1.0</v>
      </c>
      <c r="R93" s="19">
        <v>2.0</v>
      </c>
      <c r="S93" s="19">
        <v>1.0</v>
      </c>
      <c r="T93" s="19">
        <v>2.0</v>
      </c>
      <c r="U93" s="19">
        <v>0.0</v>
      </c>
      <c r="V93" s="19">
        <v>1.0</v>
      </c>
      <c r="W93" s="19">
        <v>0.0</v>
      </c>
      <c r="X93" s="19">
        <v>1.0</v>
      </c>
      <c r="Y93" s="19">
        <v>1.0</v>
      </c>
      <c r="Z93" s="19">
        <v>0.0</v>
      </c>
      <c r="AA93" s="19">
        <v>0.0</v>
      </c>
      <c r="AB93" s="19">
        <v>0.0</v>
      </c>
      <c r="AC93" s="19">
        <v>0.0</v>
      </c>
      <c r="AD93" s="19">
        <v>0.0</v>
      </c>
      <c r="AE93" s="19">
        <v>0.0</v>
      </c>
      <c r="AF93" s="19">
        <v>0.0</v>
      </c>
      <c r="AG93" s="19">
        <v>2.0</v>
      </c>
      <c r="AH93" s="19">
        <v>0.0</v>
      </c>
      <c r="AI93" s="19">
        <v>1.0</v>
      </c>
      <c r="AJ93" s="19">
        <v>2.0</v>
      </c>
      <c r="AK93" s="19">
        <v>2.0</v>
      </c>
      <c r="AL93" s="19">
        <v>0.0</v>
      </c>
      <c r="AM93" s="19">
        <v>0.0</v>
      </c>
      <c r="AN93" s="19">
        <v>1.0</v>
      </c>
      <c r="AO93" s="19">
        <v>0.0</v>
      </c>
      <c r="AP93" s="19">
        <v>2.0</v>
      </c>
      <c r="AQ93" s="19">
        <v>2.0</v>
      </c>
      <c r="AR93" s="19">
        <v>0.0</v>
      </c>
      <c r="AS93" s="19">
        <v>1.0</v>
      </c>
      <c r="AT93" s="19">
        <v>0.0</v>
      </c>
      <c r="AU93" s="19">
        <v>1.0</v>
      </c>
      <c r="AV93" s="19">
        <v>0.0</v>
      </c>
      <c r="AW93" s="19">
        <v>0.0</v>
      </c>
      <c r="AX93" s="13">
        <f t="shared" ref="AX93:AX102" si="22">SUM(E93:AW93)</f>
        <v>41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3.0</v>
      </c>
      <c r="G94" s="19">
        <v>4.0</v>
      </c>
      <c r="H94" s="19">
        <v>2.0</v>
      </c>
      <c r="I94" s="19">
        <v>1.0</v>
      </c>
      <c r="J94" s="19">
        <v>0.0</v>
      </c>
      <c r="K94" s="19">
        <v>0.0</v>
      </c>
      <c r="L94" s="19">
        <v>3.0</v>
      </c>
      <c r="M94" s="19">
        <v>1.0</v>
      </c>
      <c r="N94" s="19">
        <v>1.0</v>
      </c>
      <c r="O94" s="19">
        <v>0.0</v>
      </c>
      <c r="P94" s="19">
        <v>0.0</v>
      </c>
      <c r="Q94" s="19">
        <v>1.0</v>
      </c>
      <c r="R94" s="19">
        <v>0.0</v>
      </c>
      <c r="S94" s="19">
        <v>0.0</v>
      </c>
      <c r="T94" s="19">
        <v>0.0</v>
      </c>
      <c r="U94" s="19">
        <v>0.0</v>
      </c>
      <c r="V94" s="19">
        <v>1.0</v>
      </c>
      <c r="W94" s="19">
        <v>1.0</v>
      </c>
      <c r="X94" s="19">
        <v>0.0</v>
      </c>
      <c r="Y94" s="19">
        <v>0.0</v>
      </c>
      <c r="Z94" s="19">
        <v>0.0</v>
      </c>
      <c r="AA94" s="19">
        <v>2.0</v>
      </c>
      <c r="AB94" s="19">
        <v>0.0</v>
      </c>
      <c r="AC94" s="19">
        <v>0.0</v>
      </c>
      <c r="AD94" s="19">
        <v>0.0</v>
      </c>
      <c r="AE94" s="19">
        <v>2.0</v>
      </c>
      <c r="AF94" s="19">
        <v>2.0</v>
      </c>
      <c r="AG94" s="19">
        <v>0.0</v>
      </c>
      <c r="AH94" s="19">
        <v>4.0</v>
      </c>
      <c r="AI94" s="19">
        <v>0.0</v>
      </c>
      <c r="AJ94" s="19">
        <v>1.0</v>
      </c>
      <c r="AK94" s="19">
        <v>2.0</v>
      </c>
      <c r="AL94" s="19">
        <v>1.0</v>
      </c>
      <c r="AM94" s="19">
        <v>0.0</v>
      </c>
      <c r="AN94" s="19">
        <v>2.0</v>
      </c>
      <c r="AO94" s="19">
        <v>0.0</v>
      </c>
      <c r="AP94" s="19">
        <v>0.0</v>
      </c>
      <c r="AQ94" s="19">
        <v>1.0</v>
      </c>
      <c r="AR94" s="19">
        <v>0.0</v>
      </c>
      <c r="AS94" s="19">
        <v>2.0</v>
      </c>
      <c r="AT94" s="19">
        <v>0.0</v>
      </c>
      <c r="AU94" s="19">
        <v>0.0</v>
      </c>
      <c r="AV94" s="19">
        <v>0.0</v>
      </c>
      <c r="AW94" s="19">
        <v>0.0</v>
      </c>
      <c r="AX94" s="13">
        <f t="shared" si="22"/>
        <v>37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3.0</v>
      </c>
      <c r="H95" s="19">
        <v>1.0</v>
      </c>
      <c r="I95" s="19">
        <v>1.0</v>
      </c>
      <c r="J95" s="19">
        <v>2.0</v>
      </c>
      <c r="K95" s="19">
        <v>0.0</v>
      </c>
      <c r="L95" s="19">
        <v>1.0</v>
      </c>
      <c r="M95" s="19">
        <v>0.0</v>
      </c>
      <c r="N95" s="19">
        <v>2.0</v>
      </c>
      <c r="O95" s="19">
        <v>2.0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0.0</v>
      </c>
      <c r="V95" s="19">
        <v>0.0</v>
      </c>
      <c r="W95" s="19">
        <v>1.0</v>
      </c>
      <c r="X95" s="19">
        <v>0.0</v>
      </c>
      <c r="Y95" s="19">
        <v>0.0</v>
      </c>
      <c r="Z95" s="19">
        <v>0.0</v>
      </c>
      <c r="AA95" s="19">
        <v>0.0</v>
      </c>
      <c r="AB95" s="19">
        <v>3.0</v>
      </c>
      <c r="AC95" s="19">
        <v>4.0</v>
      </c>
      <c r="AD95" s="19">
        <v>5.0</v>
      </c>
      <c r="AE95" s="19">
        <v>9.0</v>
      </c>
      <c r="AF95" s="19">
        <v>21.0</v>
      </c>
      <c r="AG95" s="19">
        <v>6.0</v>
      </c>
      <c r="AH95" s="19">
        <v>0.0</v>
      </c>
      <c r="AI95" s="19">
        <v>0.0</v>
      </c>
      <c r="AJ95" s="19">
        <v>1.0</v>
      </c>
      <c r="AK95" s="19">
        <v>1.0</v>
      </c>
      <c r="AL95" s="19">
        <v>1.0</v>
      </c>
      <c r="AM95" s="19">
        <v>0.0</v>
      </c>
      <c r="AN95" s="19">
        <v>0.0</v>
      </c>
      <c r="AO95" s="19">
        <v>9.0</v>
      </c>
      <c r="AP95" s="19">
        <v>4.0</v>
      </c>
      <c r="AQ95" s="19">
        <v>1.0</v>
      </c>
      <c r="AR95" s="19">
        <v>0.0</v>
      </c>
      <c r="AS95" s="19">
        <v>0.0</v>
      </c>
      <c r="AT95" s="19">
        <v>0.0</v>
      </c>
      <c r="AU95" s="19">
        <v>1.0</v>
      </c>
      <c r="AV95" s="19">
        <v>0.0</v>
      </c>
      <c r="AW95" s="19">
        <v>0.0</v>
      </c>
      <c r="AX95" s="13">
        <f t="shared" si="22"/>
        <v>81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1.0</v>
      </c>
      <c r="H96" s="19">
        <v>1.0</v>
      </c>
      <c r="I96" s="19">
        <v>1.0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1.0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1.0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9">
        <v>0.0</v>
      </c>
      <c r="AW96" s="19">
        <v>0.0</v>
      </c>
      <c r="AX96" s="13">
        <f t="shared" si="22"/>
        <v>8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1.0</v>
      </c>
      <c r="H97" s="19">
        <v>1.0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1.0</v>
      </c>
      <c r="O97" s="19">
        <v>0.0</v>
      </c>
      <c r="P97" s="19">
        <v>0.0</v>
      </c>
      <c r="Q97" s="19">
        <v>1.0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2.0</v>
      </c>
      <c r="AF97" s="19">
        <v>0.0</v>
      </c>
      <c r="AG97" s="19">
        <v>0.0</v>
      </c>
      <c r="AH97" s="19">
        <v>0.0</v>
      </c>
      <c r="AI97" s="19">
        <v>1.0</v>
      </c>
      <c r="AJ97" s="19">
        <v>1.0</v>
      </c>
      <c r="AK97" s="19">
        <v>0.0</v>
      </c>
      <c r="AL97" s="19">
        <v>0.0</v>
      </c>
      <c r="AM97" s="19">
        <v>0.0</v>
      </c>
      <c r="AN97" s="19">
        <v>0.0</v>
      </c>
      <c r="AO97" s="19">
        <v>0.0</v>
      </c>
      <c r="AP97" s="19">
        <v>0.0</v>
      </c>
      <c r="AQ97" s="19">
        <v>1.0</v>
      </c>
      <c r="AR97" s="19">
        <v>0.0</v>
      </c>
      <c r="AS97" s="19">
        <v>0.0</v>
      </c>
      <c r="AT97" s="19">
        <v>0.0</v>
      </c>
      <c r="AU97" s="19">
        <v>0.0</v>
      </c>
      <c r="AV97" s="19">
        <v>0.0</v>
      </c>
      <c r="AW97" s="19">
        <v>1.0</v>
      </c>
      <c r="AX97" s="13">
        <f t="shared" si="22"/>
        <v>10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1.0</v>
      </c>
      <c r="S98" s="19">
        <v>0.0</v>
      </c>
      <c r="T98" s="19">
        <v>0.0</v>
      </c>
      <c r="U98" s="19">
        <v>0.0</v>
      </c>
      <c r="V98" s="19">
        <v>1.0</v>
      </c>
      <c r="W98" s="19">
        <v>0.0</v>
      </c>
      <c r="X98" s="19">
        <v>0.0</v>
      </c>
      <c r="Y98" s="19">
        <v>0.0</v>
      </c>
      <c r="Z98" s="19">
        <v>0.0</v>
      </c>
      <c r="AA98" s="19">
        <v>1.0</v>
      </c>
      <c r="AB98" s="19">
        <v>0.0</v>
      </c>
      <c r="AC98" s="19">
        <v>0.0</v>
      </c>
      <c r="AD98" s="19">
        <v>1.0</v>
      </c>
      <c r="AE98" s="19">
        <v>0.0</v>
      </c>
      <c r="AF98" s="19">
        <v>0.0</v>
      </c>
      <c r="AG98" s="19">
        <v>2.0</v>
      </c>
      <c r="AH98" s="19">
        <v>0.0</v>
      </c>
      <c r="AI98" s="19">
        <v>1.0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1.0</v>
      </c>
      <c r="AV98" s="19">
        <v>0.0</v>
      </c>
      <c r="AW98" s="19">
        <v>0.0</v>
      </c>
      <c r="AX98" s="13">
        <f t="shared" si="22"/>
        <v>10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1.0</v>
      </c>
      <c r="AA99" s="19">
        <v>0.0</v>
      </c>
      <c r="AB99" s="19">
        <v>1.0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1.0</v>
      </c>
      <c r="AT99" s="19">
        <v>0.0</v>
      </c>
      <c r="AU99" s="19">
        <v>1.0</v>
      </c>
      <c r="AV99" s="19">
        <v>0.0</v>
      </c>
      <c r="AW99" s="19">
        <v>0.0</v>
      </c>
      <c r="AX99" s="13">
        <f t="shared" si="22"/>
        <v>5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1.0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1.0</v>
      </c>
      <c r="AC100" s="19">
        <v>0.0</v>
      </c>
      <c r="AD100" s="19">
        <v>2.0</v>
      </c>
      <c r="AE100" s="19">
        <v>0.0</v>
      </c>
      <c r="AF100" s="19">
        <v>0.0</v>
      </c>
      <c r="AG100" s="19">
        <v>0.0</v>
      </c>
      <c r="AH100" s="19">
        <v>1.0</v>
      </c>
      <c r="AI100" s="19">
        <v>0.0</v>
      </c>
      <c r="AJ100" s="19">
        <v>2.0</v>
      </c>
      <c r="AK100" s="19">
        <v>1.0</v>
      </c>
      <c r="AL100" s="19">
        <v>0.0</v>
      </c>
      <c r="AM100" s="19">
        <v>0.0</v>
      </c>
      <c r="AN100" s="19">
        <v>2.0</v>
      </c>
      <c r="AO100" s="19">
        <v>1.0</v>
      </c>
      <c r="AP100" s="19">
        <v>0.0</v>
      </c>
      <c r="AQ100" s="19">
        <v>0.0</v>
      </c>
      <c r="AR100" s="19">
        <v>1.0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3">
        <f t="shared" si="22"/>
        <v>12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X103" si="23">SUM(E93:E102)</f>
        <v>1</v>
      </c>
      <c r="F103" s="13">
        <f t="shared" si="23"/>
        <v>7</v>
      </c>
      <c r="G103" s="13">
        <f t="shared" si="23"/>
        <v>14</v>
      </c>
      <c r="H103" s="13">
        <f t="shared" si="23"/>
        <v>7</v>
      </c>
      <c r="I103" s="13">
        <f t="shared" si="23"/>
        <v>4</v>
      </c>
      <c r="J103" s="13">
        <f t="shared" si="23"/>
        <v>2</v>
      </c>
      <c r="K103" s="13">
        <f t="shared" si="23"/>
        <v>4</v>
      </c>
      <c r="L103" s="13">
        <f t="shared" si="23"/>
        <v>4</v>
      </c>
      <c r="M103" s="13">
        <f t="shared" si="23"/>
        <v>3</v>
      </c>
      <c r="N103" s="13">
        <f t="shared" si="23"/>
        <v>6</v>
      </c>
      <c r="O103" s="13">
        <f t="shared" si="23"/>
        <v>2</v>
      </c>
      <c r="P103" s="13">
        <f t="shared" si="23"/>
        <v>3</v>
      </c>
      <c r="Q103" s="13">
        <f t="shared" si="23"/>
        <v>3</v>
      </c>
      <c r="R103" s="13">
        <f t="shared" si="23"/>
        <v>4</v>
      </c>
      <c r="S103" s="13">
        <f t="shared" si="23"/>
        <v>1</v>
      </c>
      <c r="T103" s="13">
        <f t="shared" si="23"/>
        <v>2</v>
      </c>
      <c r="U103" s="13">
        <f t="shared" si="23"/>
        <v>0</v>
      </c>
      <c r="V103" s="13">
        <f t="shared" si="23"/>
        <v>4</v>
      </c>
      <c r="W103" s="13">
        <f t="shared" si="23"/>
        <v>2</v>
      </c>
      <c r="X103" s="13">
        <f t="shared" si="23"/>
        <v>2</v>
      </c>
      <c r="Y103" s="13">
        <f t="shared" si="23"/>
        <v>1</v>
      </c>
      <c r="Z103" s="13">
        <f t="shared" si="23"/>
        <v>1</v>
      </c>
      <c r="AA103" s="13">
        <f t="shared" si="23"/>
        <v>3</v>
      </c>
      <c r="AB103" s="13">
        <f t="shared" si="23"/>
        <v>5</v>
      </c>
      <c r="AC103" s="13">
        <f t="shared" si="23"/>
        <v>4</v>
      </c>
      <c r="AD103" s="13">
        <f t="shared" si="23"/>
        <v>8</v>
      </c>
      <c r="AE103" s="13">
        <f t="shared" si="23"/>
        <v>13</v>
      </c>
      <c r="AF103" s="13">
        <f t="shared" si="23"/>
        <v>23</v>
      </c>
      <c r="AG103" s="13">
        <f t="shared" si="23"/>
        <v>10</v>
      </c>
      <c r="AH103" s="13">
        <f t="shared" si="23"/>
        <v>6</v>
      </c>
      <c r="AI103" s="13">
        <f t="shared" si="23"/>
        <v>3</v>
      </c>
      <c r="AJ103" s="13">
        <f t="shared" si="23"/>
        <v>7</v>
      </c>
      <c r="AK103" s="13">
        <f t="shared" si="23"/>
        <v>6</v>
      </c>
      <c r="AL103" s="13">
        <f t="shared" si="23"/>
        <v>2</v>
      </c>
      <c r="AM103" s="13">
        <f t="shared" si="23"/>
        <v>0</v>
      </c>
      <c r="AN103" s="13">
        <f t="shared" si="23"/>
        <v>5</v>
      </c>
      <c r="AO103" s="13">
        <f t="shared" si="23"/>
        <v>10</v>
      </c>
      <c r="AP103" s="13">
        <f t="shared" si="23"/>
        <v>7</v>
      </c>
      <c r="AQ103" s="13">
        <f t="shared" si="23"/>
        <v>5</v>
      </c>
      <c r="AR103" s="13">
        <f t="shared" si="23"/>
        <v>1</v>
      </c>
      <c r="AS103" s="13">
        <f t="shared" si="23"/>
        <v>4</v>
      </c>
      <c r="AT103" s="13">
        <f t="shared" si="23"/>
        <v>0</v>
      </c>
      <c r="AU103" s="13">
        <f t="shared" si="23"/>
        <v>4</v>
      </c>
      <c r="AV103" s="13">
        <f t="shared" si="23"/>
        <v>0</v>
      </c>
      <c r="AW103" s="13">
        <f t="shared" si="23"/>
        <v>1</v>
      </c>
      <c r="AX103" s="13">
        <f t="shared" si="23"/>
        <v>204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0.0</v>
      </c>
      <c r="G105" s="19">
        <v>2.0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1.0</v>
      </c>
      <c r="AG105" s="19">
        <v>0.0</v>
      </c>
      <c r="AH105" s="19">
        <v>0.0</v>
      </c>
      <c r="AI105" s="19">
        <v>0.0</v>
      </c>
      <c r="AJ105" s="19">
        <v>1.0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1.0</v>
      </c>
      <c r="AP105" s="19">
        <v>0.0</v>
      </c>
      <c r="AQ105" s="19">
        <v>0.0</v>
      </c>
      <c r="AR105" s="19">
        <v>2.0</v>
      </c>
      <c r="AS105" s="19">
        <v>0.0</v>
      </c>
      <c r="AT105" s="19">
        <v>2.0</v>
      </c>
      <c r="AU105" s="19">
        <v>0.0</v>
      </c>
      <c r="AV105" s="19">
        <v>0.0</v>
      </c>
      <c r="AW105" s="19">
        <v>0.0</v>
      </c>
      <c r="AX105" s="13">
        <f t="shared" ref="AX105:AX114" si="24">SUM(E105:AW105)</f>
        <v>13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1.0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1.0</v>
      </c>
      <c r="S106" s="19">
        <v>0.0</v>
      </c>
      <c r="T106" s="19">
        <v>1.0</v>
      </c>
      <c r="U106" s="19">
        <v>0.0</v>
      </c>
      <c r="V106" s="19">
        <v>0.0</v>
      </c>
      <c r="W106" s="19">
        <v>0.0</v>
      </c>
      <c r="X106" s="19">
        <v>1.0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1.0</v>
      </c>
      <c r="AR106" s="19">
        <v>0.0</v>
      </c>
      <c r="AS106" s="19">
        <v>0.0</v>
      </c>
      <c r="AT106" s="19">
        <v>0.0</v>
      </c>
      <c r="AU106" s="19">
        <v>0.0</v>
      </c>
      <c r="AV106" s="19">
        <v>0.0</v>
      </c>
      <c r="AW106" s="19">
        <v>0.0</v>
      </c>
      <c r="AX106" s="13">
        <f t="shared" si="24"/>
        <v>6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1.0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1.0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1.0</v>
      </c>
      <c r="AG109" s="19">
        <v>0.0</v>
      </c>
      <c r="AH109" s="19">
        <v>0.0</v>
      </c>
      <c r="AI109" s="19">
        <v>0.0</v>
      </c>
      <c r="AJ109" s="19">
        <v>1.0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3">
        <f t="shared" si="24"/>
        <v>3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1.0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1.0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1.0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X115" si="25">SUM(E105:E114)</f>
        <v>2</v>
      </c>
      <c r="F115" s="13">
        <f t="shared" si="25"/>
        <v>2</v>
      </c>
      <c r="G115" s="13">
        <f t="shared" si="25"/>
        <v>5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1</v>
      </c>
      <c r="Y115" s="13">
        <f t="shared" si="25"/>
        <v>0</v>
      </c>
      <c r="Z115" s="13">
        <f t="shared" si="25"/>
        <v>1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2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2</v>
      </c>
      <c r="AK115" s="13">
        <f t="shared" si="25"/>
        <v>0</v>
      </c>
      <c r="AL115" s="13">
        <f t="shared" si="25"/>
        <v>1</v>
      </c>
      <c r="AM115" s="13">
        <f t="shared" si="25"/>
        <v>0</v>
      </c>
      <c r="AN115" s="13">
        <f t="shared" si="25"/>
        <v>0</v>
      </c>
      <c r="AO115" s="13">
        <f t="shared" si="25"/>
        <v>1</v>
      </c>
      <c r="AP115" s="13">
        <f t="shared" si="25"/>
        <v>0</v>
      </c>
      <c r="AQ115" s="13">
        <f t="shared" si="25"/>
        <v>1</v>
      </c>
      <c r="AR115" s="13">
        <f t="shared" si="25"/>
        <v>2</v>
      </c>
      <c r="AS115" s="13">
        <f t="shared" si="25"/>
        <v>0</v>
      </c>
      <c r="AT115" s="13">
        <f t="shared" si="25"/>
        <v>2</v>
      </c>
      <c r="AU115" s="13">
        <f t="shared" si="25"/>
        <v>0</v>
      </c>
      <c r="AV115" s="13">
        <f t="shared" si="25"/>
        <v>0</v>
      </c>
      <c r="AW115" s="13">
        <f t="shared" si="25"/>
        <v>0</v>
      </c>
      <c r="AX115" s="13">
        <f t="shared" si="25"/>
        <v>28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8.0</v>
      </c>
      <c r="F117" s="19">
        <v>4.0</v>
      </c>
      <c r="G117" s="19">
        <v>1.0</v>
      </c>
      <c r="H117" s="19">
        <v>3.0</v>
      </c>
      <c r="I117" s="19">
        <v>0.0</v>
      </c>
      <c r="J117" s="19">
        <v>1.0</v>
      </c>
      <c r="K117" s="19">
        <v>0.0</v>
      </c>
      <c r="L117" s="19">
        <v>6.0</v>
      </c>
      <c r="M117" s="19">
        <v>0.0</v>
      </c>
      <c r="N117" s="19">
        <v>4.0</v>
      </c>
      <c r="O117" s="19">
        <v>2.0</v>
      </c>
      <c r="P117" s="19">
        <v>2.0</v>
      </c>
      <c r="Q117" s="19">
        <v>7.0</v>
      </c>
      <c r="R117" s="19">
        <v>10.0</v>
      </c>
      <c r="S117" s="19">
        <v>0.0</v>
      </c>
      <c r="T117" s="19">
        <v>0.0</v>
      </c>
      <c r="U117" s="19">
        <v>0.0</v>
      </c>
      <c r="V117" s="19">
        <v>1.0</v>
      </c>
      <c r="W117" s="19">
        <v>0.0</v>
      </c>
      <c r="X117" s="19">
        <v>2.0</v>
      </c>
      <c r="Y117" s="19">
        <v>0.0</v>
      </c>
      <c r="Z117" s="19">
        <v>0.0</v>
      </c>
      <c r="AA117" s="19">
        <v>2.0</v>
      </c>
      <c r="AB117" s="19">
        <v>0.0</v>
      </c>
      <c r="AC117" s="19">
        <v>0.0</v>
      </c>
      <c r="AD117" s="19">
        <v>0.0</v>
      </c>
      <c r="AE117" s="19">
        <v>2.0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2.0</v>
      </c>
      <c r="AK117" s="19">
        <v>3.0</v>
      </c>
      <c r="AL117" s="19">
        <v>0.0</v>
      </c>
      <c r="AM117" s="19">
        <v>0.0</v>
      </c>
      <c r="AN117" s="19">
        <v>1.0</v>
      </c>
      <c r="AO117" s="19">
        <v>0.0</v>
      </c>
      <c r="AP117" s="19">
        <v>0.0</v>
      </c>
      <c r="AQ117" s="19">
        <v>6.0</v>
      </c>
      <c r="AR117" s="19">
        <v>2.0</v>
      </c>
      <c r="AS117" s="19">
        <v>1.0</v>
      </c>
      <c r="AT117" s="19">
        <v>2.0</v>
      </c>
      <c r="AU117" s="19">
        <v>1.0</v>
      </c>
      <c r="AV117" s="19">
        <v>1.0</v>
      </c>
      <c r="AW117" s="19">
        <v>3.0</v>
      </c>
      <c r="AX117" s="13">
        <f t="shared" ref="AX117:AX126" si="26">SUM(E117:AW117)</f>
        <v>77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2.0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9">
        <v>1.0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1.0</v>
      </c>
      <c r="AC118" s="19">
        <v>0.0</v>
      </c>
      <c r="AD118" s="19">
        <v>0.0</v>
      </c>
      <c r="AE118" s="19">
        <v>1.0</v>
      </c>
      <c r="AF118" s="19">
        <v>0.0</v>
      </c>
      <c r="AG118" s="19">
        <v>0.0</v>
      </c>
      <c r="AH118" s="19">
        <v>0.0</v>
      </c>
      <c r="AI118" s="19">
        <v>1.0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9">
        <v>0.0</v>
      </c>
      <c r="AX118" s="13">
        <f t="shared" si="26"/>
        <v>7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1.0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1.0</v>
      </c>
      <c r="AP119" s="19">
        <v>1.0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1.0</v>
      </c>
      <c r="AV119" s="19">
        <v>0.0</v>
      </c>
      <c r="AW119" s="19">
        <v>0.0</v>
      </c>
      <c r="AX119" s="13">
        <f t="shared" si="26"/>
        <v>5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1.0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1.0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1.0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3">
        <f t="shared" si="26"/>
        <v>5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X127" si="27">SUM(E117:E126)</f>
        <v>9</v>
      </c>
      <c r="F127" s="13">
        <f t="shared" si="27"/>
        <v>4</v>
      </c>
      <c r="G127" s="13">
        <f t="shared" si="27"/>
        <v>2</v>
      </c>
      <c r="H127" s="13">
        <f t="shared" si="27"/>
        <v>3</v>
      </c>
      <c r="I127" s="13">
        <f t="shared" si="27"/>
        <v>0</v>
      </c>
      <c r="J127" s="13">
        <f t="shared" si="27"/>
        <v>3</v>
      </c>
      <c r="K127" s="13">
        <f t="shared" si="27"/>
        <v>0</v>
      </c>
      <c r="L127" s="13">
        <f t="shared" si="27"/>
        <v>6</v>
      </c>
      <c r="M127" s="13">
        <f t="shared" si="27"/>
        <v>0</v>
      </c>
      <c r="N127" s="13">
        <f t="shared" si="27"/>
        <v>5</v>
      </c>
      <c r="O127" s="13">
        <f t="shared" si="27"/>
        <v>2</v>
      </c>
      <c r="P127" s="13">
        <f t="shared" si="27"/>
        <v>3</v>
      </c>
      <c r="Q127" s="13">
        <f t="shared" si="27"/>
        <v>8</v>
      </c>
      <c r="R127" s="13">
        <f t="shared" si="27"/>
        <v>11</v>
      </c>
      <c r="S127" s="13">
        <f t="shared" si="27"/>
        <v>0</v>
      </c>
      <c r="T127" s="13">
        <f t="shared" si="27"/>
        <v>0</v>
      </c>
      <c r="U127" s="13">
        <f t="shared" si="27"/>
        <v>2</v>
      </c>
      <c r="V127" s="13">
        <f t="shared" si="27"/>
        <v>1</v>
      </c>
      <c r="W127" s="13">
        <f t="shared" si="27"/>
        <v>0</v>
      </c>
      <c r="X127" s="13">
        <f t="shared" si="27"/>
        <v>2</v>
      </c>
      <c r="Y127" s="13">
        <f t="shared" si="27"/>
        <v>0</v>
      </c>
      <c r="Z127" s="13">
        <f t="shared" si="27"/>
        <v>0</v>
      </c>
      <c r="AA127" s="13">
        <f t="shared" si="27"/>
        <v>3</v>
      </c>
      <c r="AB127" s="13">
        <f t="shared" si="27"/>
        <v>1</v>
      </c>
      <c r="AC127" s="13">
        <f t="shared" si="27"/>
        <v>0</v>
      </c>
      <c r="AD127" s="13">
        <f t="shared" si="27"/>
        <v>0</v>
      </c>
      <c r="AE127" s="13">
        <f t="shared" si="27"/>
        <v>3</v>
      </c>
      <c r="AF127" s="13">
        <f t="shared" si="27"/>
        <v>0</v>
      </c>
      <c r="AG127" s="13">
        <f t="shared" si="27"/>
        <v>0</v>
      </c>
      <c r="AH127" s="13">
        <f t="shared" si="27"/>
        <v>0</v>
      </c>
      <c r="AI127" s="13">
        <f t="shared" si="27"/>
        <v>1</v>
      </c>
      <c r="AJ127" s="13">
        <f t="shared" si="27"/>
        <v>2</v>
      </c>
      <c r="AK127" s="13">
        <f t="shared" si="27"/>
        <v>3</v>
      </c>
      <c r="AL127" s="13">
        <f t="shared" si="27"/>
        <v>0</v>
      </c>
      <c r="AM127" s="13">
        <f t="shared" si="27"/>
        <v>0</v>
      </c>
      <c r="AN127" s="13">
        <f t="shared" si="27"/>
        <v>1</v>
      </c>
      <c r="AO127" s="13">
        <f t="shared" si="27"/>
        <v>1</v>
      </c>
      <c r="AP127" s="13">
        <f t="shared" si="27"/>
        <v>1</v>
      </c>
      <c r="AQ127" s="13">
        <f t="shared" si="27"/>
        <v>6</v>
      </c>
      <c r="AR127" s="13">
        <f t="shared" si="27"/>
        <v>2</v>
      </c>
      <c r="AS127" s="13">
        <f t="shared" si="27"/>
        <v>1</v>
      </c>
      <c r="AT127" s="13">
        <f t="shared" si="27"/>
        <v>2</v>
      </c>
      <c r="AU127" s="13">
        <f t="shared" si="27"/>
        <v>2</v>
      </c>
      <c r="AV127" s="13">
        <f t="shared" si="27"/>
        <v>1</v>
      </c>
      <c r="AW127" s="13">
        <f t="shared" si="27"/>
        <v>3</v>
      </c>
      <c r="AX127" s="13">
        <f t="shared" si="27"/>
        <v>94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1.0</v>
      </c>
      <c r="J129" s="19">
        <v>0.0</v>
      </c>
      <c r="K129" s="19">
        <v>1.0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1.0</v>
      </c>
      <c r="U129" s="19">
        <v>0.0</v>
      </c>
      <c r="V129" s="19">
        <v>1.0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1.0</v>
      </c>
      <c r="AD129" s="19">
        <v>1.0</v>
      </c>
      <c r="AE129" s="19">
        <v>0.0</v>
      </c>
      <c r="AF129" s="19">
        <v>0.0</v>
      </c>
      <c r="AG129" s="19">
        <v>0.0</v>
      </c>
      <c r="AH129" s="19">
        <v>0.0</v>
      </c>
      <c r="AI129" s="19">
        <v>0.0</v>
      </c>
      <c r="AJ129" s="19">
        <v>0.0</v>
      </c>
      <c r="AK129" s="19">
        <v>0.0</v>
      </c>
      <c r="AL129" s="19">
        <v>0.0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1.0</v>
      </c>
      <c r="AR129" s="19">
        <v>0.0</v>
      </c>
      <c r="AS129" s="19">
        <v>0.0</v>
      </c>
      <c r="AT129" s="19">
        <v>0.0</v>
      </c>
      <c r="AU129" s="19">
        <v>0.0</v>
      </c>
      <c r="AV129" s="19">
        <v>0.0</v>
      </c>
      <c r="AW129" s="19">
        <v>0.0</v>
      </c>
      <c r="AX129" s="13">
        <f t="shared" ref="AX129:AX138" si="28">SUM(E129:AW129)</f>
        <v>7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1.0</v>
      </c>
      <c r="H130" s="19">
        <v>0.0</v>
      </c>
      <c r="I130" s="19">
        <v>1.0</v>
      </c>
      <c r="J130" s="19">
        <v>0.0</v>
      </c>
      <c r="K130" s="19">
        <v>1.0</v>
      </c>
      <c r="L130" s="19">
        <v>0.0</v>
      </c>
      <c r="M130" s="19">
        <v>2.0</v>
      </c>
      <c r="N130" s="19">
        <v>0.0</v>
      </c>
      <c r="O130" s="19">
        <v>1.0</v>
      </c>
      <c r="P130" s="19">
        <v>1.0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1.0</v>
      </c>
      <c r="Y130" s="19">
        <v>2.0</v>
      </c>
      <c r="Z130" s="19">
        <v>0.0</v>
      </c>
      <c r="AA130" s="19">
        <v>3.0</v>
      </c>
      <c r="AB130" s="19">
        <v>0.0</v>
      </c>
      <c r="AC130" s="19">
        <v>0.0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2.0</v>
      </c>
      <c r="AK130" s="19">
        <v>1.0</v>
      </c>
      <c r="AL130" s="19">
        <v>0.0</v>
      </c>
      <c r="AM130" s="19">
        <v>0.0</v>
      </c>
      <c r="AN130" s="19">
        <v>2.0</v>
      </c>
      <c r="AO130" s="19">
        <v>0.0</v>
      </c>
      <c r="AP130" s="19">
        <v>0.0</v>
      </c>
      <c r="AQ130" s="19">
        <v>0.0</v>
      </c>
      <c r="AR130" s="19">
        <v>0.0</v>
      </c>
      <c r="AS130" s="19">
        <v>1.0</v>
      </c>
      <c r="AT130" s="19">
        <v>0.0</v>
      </c>
      <c r="AU130" s="19">
        <v>1.0</v>
      </c>
      <c r="AV130" s="19">
        <v>0.0</v>
      </c>
      <c r="AW130" s="19">
        <v>0.0</v>
      </c>
      <c r="AX130" s="13">
        <f t="shared" si="28"/>
        <v>20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1.0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9">
        <v>0.0</v>
      </c>
      <c r="AV131" s="19">
        <v>0.0</v>
      </c>
      <c r="AW131" s="19">
        <v>0.0</v>
      </c>
      <c r="AX131" s="13">
        <f t="shared" si="28"/>
        <v>3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1.0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1.0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1.0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1.0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3">
        <f t="shared" si="28"/>
        <v>5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1.0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1.0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3">
        <f t="shared" si="28"/>
        <v>2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1.0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1.0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3">
        <f t="shared" si="28"/>
        <v>1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X139" si="29">SUM(E129:E138)</f>
        <v>1</v>
      </c>
      <c r="F139" s="13">
        <f t="shared" si="29"/>
        <v>0</v>
      </c>
      <c r="G139" s="13">
        <f t="shared" si="29"/>
        <v>1</v>
      </c>
      <c r="H139" s="13">
        <f t="shared" si="29"/>
        <v>1</v>
      </c>
      <c r="I139" s="13">
        <f t="shared" si="29"/>
        <v>4</v>
      </c>
      <c r="J139" s="13">
        <f t="shared" si="29"/>
        <v>0</v>
      </c>
      <c r="K139" s="13">
        <f t="shared" si="29"/>
        <v>3</v>
      </c>
      <c r="L139" s="13">
        <f t="shared" si="29"/>
        <v>0</v>
      </c>
      <c r="M139" s="13">
        <f t="shared" si="29"/>
        <v>2</v>
      </c>
      <c r="N139" s="13">
        <f t="shared" si="29"/>
        <v>1</v>
      </c>
      <c r="O139" s="13">
        <f t="shared" si="29"/>
        <v>1</v>
      </c>
      <c r="P139" s="13">
        <f t="shared" si="29"/>
        <v>1</v>
      </c>
      <c r="Q139" s="13">
        <f t="shared" si="29"/>
        <v>1</v>
      </c>
      <c r="R139" s="13">
        <f t="shared" si="29"/>
        <v>0</v>
      </c>
      <c r="S139" s="13">
        <f t="shared" si="29"/>
        <v>0</v>
      </c>
      <c r="T139" s="13">
        <f t="shared" si="29"/>
        <v>2</v>
      </c>
      <c r="U139" s="13">
        <f t="shared" si="29"/>
        <v>0</v>
      </c>
      <c r="V139" s="13">
        <f t="shared" si="29"/>
        <v>1</v>
      </c>
      <c r="W139" s="13">
        <f t="shared" si="29"/>
        <v>1</v>
      </c>
      <c r="X139" s="13">
        <f t="shared" si="29"/>
        <v>1</v>
      </c>
      <c r="Y139" s="13">
        <f t="shared" si="29"/>
        <v>2</v>
      </c>
      <c r="Z139" s="13">
        <f t="shared" si="29"/>
        <v>1</v>
      </c>
      <c r="AA139" s="13">
        <f t="shared" si="29"/>
        <v>4</v>
      </c>
      <c r="AB139" s="13">
        <f t="shared" si="29"/>
        <v>0</v>
      </c>
      <c r="AC139" s="13">
        <f t="shared" si="29"/>
        <v>1</v>
      </c>
      <c r="AD139" s="13">
        <f t="shared" si="29"/>
        <v>1</v>
      </c>
      <c r="AE139" s="13">
        <f t="shared" si="29"/>
        <v>0</v>
      </c>
      <c r="AF139" s="13">
        <f t="shared" si="29"/>
        <v>0</v>
      </c>
      <c r="AG139" s="13">
        <f t="shared" si="29"/>
        <v>0</v>
      </c>
      <c r="AH139" s="13">
        <f t="shared" si="29"/>
        <v>0</v>
      </c>
      <c r="AI139" s="13">
        <f t="shared" si="29"/>
        <v>0</v>
      </c>
      <c r="AJ139" s="13">
        <f t="shared" si="29"/>
        <v>3</v>
      </c>
      <c r="AK139" s="13">
        <f t="shared" si="29"/>
        <v>2</v>
      </c>
      <c r="AL139" s="13">
        <f t="shared" si="29"/>
        <v>0</v>
      </c>
      <c r="AM139" s="13">
        <f t="shared" si="29"/>
        <v>0</v>
      </c>
      <c r="AN139" s="13">
        <f t="shared" si="29"/>
        <v>2</v>
      </c>
      <c r="AO139" s="13">
        <f t="shared" si="29"/>
        <v>0</v>
      </c>
      <c r="AP139" s="13">
        <f t="shared" si="29"/>
        <v>0</v>
      </c>
      <c r="AQ139" s="13">
        <f t="shared" si="29"/>
        <v>1</v>
      </c>
      <c r="AR139" s="13">
        <f t="shared" si="29"/>
        <v>0</v>
      </c>
      <c r="AS139" s="13">
        <f t="shared" si="29"/>
        <v>1</v>
      </c>
      <c r="AT139" s="13">
        <f t="shared" si="29"/>
        <v>0</v>
      </c>
      <c r="AU139" s="13">
        <f t="shared" si="29"/>
        <v>1</v>
      </c>
      <c r="AV139" s="13">
        <f t="shared" si="29"/>
        <v>0</v>
      </c>
      <c r="AW139" s="13">
        <f t="shared" si="29"/>
        <v>0</v>
      </c>
      <c r="AX139" s="13">
        <f t="shared" si="29"/>
        <v>40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>
        <v>1.0</v>
      </c>
      <c r="L141" s="19"/>
      <c r="M141" s="19">
        <v>2.0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3">
        <f t="shared" ref="AX141:AX150" si="30">SUM(E141:AW141)</f>
        <v>3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>
        <v>1.0</v>
      </c>
      <c r="I142" s="19"/>
      <c r="J142" s="19"/>
      <c r="K142" s="19"/>
      <c r="L142" s="19"/>
      <c r="M142" s="19">
        <v>1.0</v>
      </c>
      <c r="N142" s="19"/>
      <c r="O142" s="19"/>
      <c r="P142" s="19"/>
      <c r="Q142" s="19"/>
      <c r="R142" s="19"/>
      <c r="S142" s="19"/>
      <c r="T142" s="19"/>
      <c r="U142" s="19">
        <v>1.0</v>
      </c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>
        <v>1.0</v>
      </c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>
        <v>1.0</v>
      </c>
      <c r="AV142" s="19"/>
      <c r="AW142" s="19"/>
      <c r="AX142" s="13">
        <f t="shared" si="30"/>
        <v>5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>
        <v>1.0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>
        <v>2.0</v>
      </c>
      <c r="L144" s="19"/>
      <c r="M144" s="19">
        <v>1.0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3">
        <f t="shared" si="30"/>
        <v>3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X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3</v>
      </c>
      <c r="L151" s="13">
        <f t="shared" si="31"/>
        <v>0</v>
      </c>
      <c r="M151" s="13">
        <f t="shared" si="31"/>
        <v>5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1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1</v>
      </c>
      <c r="AV151" s="13">
        <f t="shared" si="31"/>
        <v>0</v>
      </c>
      <c r="AW151" s="13">
        <f t="shared" si="31"/>
        <v>0</v>
      </c>
      <c r="AX151" s="13">
        <f t="shared" si="31"/>
        <v>12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1.0</v>
      </c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>
        <v>1.0</v>
      </c>
      <c r="AB153" s="19"/>
      <c r="AC153" s="19"/>
      <c r="AD153" s="19"/>
      <c r="AE153" s="19"/>
      <c r="AF153" s="19"/>
      <c r="AG153" s="19"/>
      <c r="AH153" s="19"/>
      <c r="AI153" s="19"/>
      <c r="AJ153" s="19">
        <v>1.0</v>
      </c>
      <c r="AK153" s="19"/>
      <c r="AL153" s="19">
        <v>1.0</v>
      </c>
      <c r="AM153" s="19"/>
      <c r="AN153" s="19"/>
      <c r="AO153" s="19">
        <v>1.0</v>
      </c>
      <c r="AP153" s="19"/>
      <c r="AQ153" s="19"/>
      <c r="AR153" s="19">
        <v>1.0</v>
      </c>
      <c r="AS153" s="19"/>
      <c r="AT153" s="19">
        <v>1.0</v>
      </c>
      <c r="AU153" s="19"/>
      <c r="AV153" s="19"/>
      <c r="AW153" s="19"/>
      <c r="AX153" s="13">
        <f t="shared" ref="AX153:AX162" si="32">SUM(E153:AW153)</f>
        <v>7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/>
      <c r="F154" s="19">
        <v>1.0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>
        <v>1.0</v>
      </c>
      <c r="AK154" s="19">
        <v>2.0</v>
      </c>
      <c r="AL154" s="19"/>
      <c r="AM154" s="19"/>
      <c r="AN154" s="19"/>
      <c r="AO154" s="19">
        <v>1.0</v>
      </c>
      <c r="AP154" s="19">
        <v>1.0</v>
      </c>
      <c r="AQ154" s="19">
        <v>1.0</v>
      </c>
      <c r="AR154" s="19"/>
      <c r="AS154" s="19"/>
      <c r="AT154" s="19"/>
      <c r="AU154" s="19">
        <v>1.0</v>
      </c>
      <c r="AV154" s="19"/>
      <c r="AW154" s="19"/>
      <c r="AX154" s="13">
        <f t="shared" si="32"/>
        <v>8</v>
      </c>
    </row>
    <row r="155" ht="12.75" customHeight="1">
      <c r="A155" s="18"/>
      <c r="B155" s="55">
        <v>2.0</v>
      </c>
      <c r="C155" s="66" t="s">
        <v>116</v>
      </c>
      <c r="D155" s="60"/>
      <c r="E155" s="8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>
        <v>1.0</v>
      </c>
      <c r="AV155" s="19"/>
      <c r="AW155" s="19"/>
      <c r="AX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>
        <v>2.0</v>
      </c>
      <c r="AK156" s="19"/>
      <c r="AL156" s="19"/>
      <c r="AM156" s="19"/>
      <c r="AN156" s="19"/>
      <c r="AO156" s="19">
        <v>1.0</v>
      </c>
      <c r="AP156" s="19"/>
      <c r="AQ156" s="19"/>
      <c r="AR156" s="19"/>
      <c r="AS156" s="19"/>
      <c r="AT156" s="19"/>
      <c r="AU156" s="19"/>
      <c r="AV156" s="19"/>
      <c r="AW156" s="19"/>
      <c r="AX156" s="13">
        <f t="shared" si="32"/>
        <v>3</v>
      </c>
    </row>
    <row r="157" ht="12.75" customHeight="1">
      <c r="A157" s="18"/>
      <c r="B157" s="55">
        <v>4.0</v>
      </c>
      <c r="C157" s="66" t="s">
        <v>118</v>
      </c>
      <c r="D157" s="60"/>
      <c r="E157" s="8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3">
        <f t="shared" si="32"/>
        <v>0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3">
        <f t="shared" si="32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3">
        <f t="shared" si="32"/>
        <v>0</v>
      </c>
    </row>
    <row r="160" ht="12.75" customHeight="1">
      <c r="A160" s="18"/>
      <c r="B160" s="56"/>
      <c r="C160" s="57"/>
      <c r="D160" s="61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3">
        <f t="shared" si="32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3">
        <f t="shared" si="32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X163" si="33">SUM(E153:E162)</f>
        <v>1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4</v>
      </c>
      <c r="AK163" s="13">
        <f t="shared" si="33"/>
        <v>2</v>
      </c>
      <c r="AL163" s="13">
        <f t="shared" si="33"/>
        <v>1</v>
      </c>
      <c r="AM163" s="13">
        <f t="shared" si="33"/>
        <v>0</v>
      </c>
      <c r="AN163" s="13">
        <f t="shared" si="33"/>
        <v>0</v>
      </c>
      <c r="AO163" s="13">
        <f t="shared" si="33"/>
        <v>3</v>
      </c>
      <c r="AP163" s="13">
        <f t="shared" si="33"/>
        <v>1</v>
      </c>
      <c r="AQ163" s="13">
        <f t="shared" si="33"/>
        <v>1</v>
      </c>
      <c r="AR163" s="13">
        <f t="shared" si="33"/>
        <v>1</v>
      </c>
      <c r="AS163" s="13">
        <f t="shared" si="33"/>
        <v>0</v>
      </c>
      <c r="AT163" s="13">
        <f t="shared" si="33"/>
        <v>1</v>
      </c>
      <c r="AU163" s="13">
        <f t="shared" si="33"/>
        <v>2</v>
      </c>
      <c r="AV163" s="13">
        <f t="shared" si="33"/>
        <v>0</v>
      </c>
      <c r="AW163" s="13">
        <f t="shared" si="33"/>
        <v>0</v>
      </c>
      <c r="AX163" s="13">
        <f t="shared" si="33"/>
        <v>19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>
        <v>1.0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>
        <v>1.0</v>
      </c>
      <c r="R165" s="19"/>
      <c r="S165" s="19">
        <v>1.0</v>
      </c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>
        <v>1.0</v>
      </c>
      <c r="AF165" s="19"/>
      <c r="AG165" s="19"/>
      <c r="AH165" s="19"/>
      <c r="AI165" s="19"/>
      <c r="AJ165" s="19"/>
      <c r="AK165" s="19">
        <v>1.0</v>
      </c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3">
        <f t="shared" ref="AX165:AX174" si="34">SUM(E165:AW165)</f>
        <v>5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>
        <v>1.0</v>
      </c>
      <c r="W166" s="19"/>
      <c r="X166" s="19"/>
      <c r="Y166" s="19"/>
      <c r="Z166" s="19"/>
      <c r="AA166" s="19"/>
      <c r="AB166" s="19"/>
      <c r="AC166" s="19"/>
      <c r="AD166" s="19"/>
      <c r="AE166" s="19">
        <v>1.0</v>
      </c>
      <c r="AF166" s="19"/>
      <c r="AG166" s="19"/>
      <c r="AH166" s="19"/>
      <c r="AI166" s="19">
        <v>1.0</v>
      </c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3">
        <f t="shared" si="34"/>
        <v>3</v>
      </c>
    </row>
    <row r="167" ht="12.75" customHeight="1">
      <c r="A167" s="18"/>
      <c r="B167" s="55">
        <v>2.0</v>
      </c>
      <c r="C167" s="50" t="s">
        <v>122</v>
      </c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>
        <v>1.0</v>
      </c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>
        <v>1.0</v>
      </c>
      <c r="AO167" s="19"/>
      <c r="AP167" s="19"/>
      <c r="AQ167" s="19"/>
      <c r="AR167" s="19"/>
      <c r="AS167" s="19"/>
      <c r="AT167" s="19">
        <v>1.0</v>
      </c>
      <c r="AU167" s="19"/>
      <c r="AV167" s="19"/>
      <c r="AW167" s="19"/>
      <c r="AX167" s="13">
        <f t="shared" si="34"/>
        <v>3</v>
      </c>
    </row>
    <row r="168" ht="12.75" customHeight="1">
      <c r="A168" s="18"/>
      <c r="B168" s="55">
        <v>3.0</v>
      </c>
      <c r="C168" s="50" t="s">
        <v>123</v>
      </c>
      <c r="D168" s="60"/>
      <c r="E168" s="19"/>
      <c r="F168" s="19"/>
      <c r="G168" s="19"/>
      <c r="H168" s="19"/>
      <c r="I168" s="19"/>
      <c r="J168" s="19"/>
      <c r="K168" s="19">
        <v>1.0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>
        <v>1.0</v>
      </c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>
        <v>1.0</v>
      </c>
      <c r="AP170" s="19"/>
      <c r="AQ170" s="19"/>
      <c r="AR170" s="19"/>
      <c r="AS170" s="19"/>
      <c r="AT170" s="19"/>
      <c r="AU170" s="19"/>
      <c r="AV170" s="19"/>
      <c r="AW170" s="19"/>
      <c r="AX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/>
      <c r="F171" s="19">
        <v>1.0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3">
        <f t="shared" si="34"/>
        <v>1</v>
      </c>
    </row>
    <row r="172" ht="12.75" customHeight="1">
      <c r="A172" s="18"/>
      <c r="B172" s="55">
        <v>7.0</v>
      </c>
      <c r="C172" s="50" t="s">
        <v>127</v>
      </c>
      <c r="D172" s="60"/>
      <c r="E172" s="19"/>
      <c r="F172" s="19">
        <v>1.0</v>
      </c>
      <c r="G172" s="19"/>
      <c r="H172" s="19">
        <v>1.0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3">
        <f t="shared" si="34"/>
        <v>2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X175" si="35">SUM(E165:E174)</f>
        <v>0</v>
      </c>
      <c r="F175" s="13">
        <f t="shared" si="35"/>
        <v>3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1</v>
      </c>
      <c r="R175" s="13">
        <f t="shared" si="35"/>
        <v>0</v>
      </c>
      <c r="S175" s="13">
        <f t="shared" si="35"/>
        <v>2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2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1</v>
      </c>
      <c r="AJ175" s="13">
        <f t="shared" si="35"/>
        <v>0</v>
      </c>
      <c r="AK175" s="13">
        <f t="shared" si="35"/>
        <v>1</v>
      </c>
      <c r="AL175" s="13">
        <f t="shared" si="35"/>
        <v>0</v>
      </c>
      <c r="AM175" s="13">
        <f t="shared" si="35"/>
        <v>0</v>
      </c>
      <c r="AN175" s="13">
        <f t="shared" si="35"/>
        <v>1</v>
      </c>
      <c r="AO175" s="13">
        <f t="shared" si="35"/>
        <v>1</v>
      </c>
      <c r="AP175" s="13">
        <f t="shared" si="35"/>
        <v>0</v>
      </c>
      <c r="AQ175" s="13">
        <f t="shared" si="35"/>
        <v>0</v>
      </c>
      <c r="AR175" s="13">
        <f t="shared" si="35"/>
        <v>0</v>
      </c>
      <c r="AS175" s="13">
        <f t="shared" si="35"/>
        <v>0</v>
      </c>
      <c r="AT175" s="13">
        <f t="shared" si="35"/>
        <v>1</v>
      </c>
      <c r="AU175" s="13">
        <f t="shared" si="35"/>
        <v>0</v>
      </c>
      <c r="AV175" s="13">
        <f t="shared" si="35"/>
        <v>0</v>
      </c>
      <c r="AW175" s="13">
        <f t="shared" si="35"/>
        <v>0</v>
      </c>
      <c r="AX175" s="13">
        <f t="shared" si="35"/>
        <v>17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/>
      <c r="F177" s="19"/>
      <c r="G177" s="19">
        <v>2.0</v>
      </c>
      <c r="H177" s="19">
        <v>1.0</v>
      </c>
      <c r="I177" s="19">
        <v>1.0</v>
      </c>
      <c r="J177" s="19"/>
      <c r="K177" s="19"/>
      <c r="L177" s="19">
        <v>1.0</v>
      </c>
      <c r="M177" s="19"/>
      <c r="N177" s="19"/>
      <c r="O177" s="19"/>
      <c r="P177" s="19"/>
      <c r="Q177" s="19"/>
      <c r="R177" s="19"/>
      <c r="S177" s="19"/>
      <c r="T177" s="19">
        <v>1.0</v>
      </c>
      <c r="U177" s="19"/>
      <c r="V177" s="19">
        <v>1.0</v>
      </c>
      <c r="W177" s="19"/>
      <c r="X177" s="19">
        <v>1.0</v>
      </c>
      <c r="Y177" s="19"/>
      <c r="Z177" s="19">
        <v>1.0</v>
      </c>
      <c r="AA177" s="19"/>
      <c r="AB177" s="19">
        <v>1.0</v>
      </c>
      <c r="AC177" s="19"/>
      <c r="AD177" s="19"/>
      <c r="AE177" s="19"/>
      <c r="AF177" s="19">
        <v>1.0</v>
      </c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>
        <v>1.0</v>
      </c>
      <c r="AR177" s="19"/>
      <c r="AS177" s="19">
        <v>1.0</v>
      </c>
      <c r="AT177" s="19"/>
      <c r="AU177" s="19"/>
      <c r="AV177" s="19"/>
      <c r="AW177" s="19"/>
      <c r="AX177" s="13">
        <f t="shared" ref="AX177:AX186" si="36">SUM(E177:AW177)</f>
        <v>13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>
        <v>1.0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>
        <v>2.0</v>
      </c>
      <c r="AP178" s="19"/>
      <c r="AQ178" s="19"/>
      <c r="AR178" s="19">
        <v>1.0</v>
      </c>
      <c r="AS178" s="19"/>
      <c r="AT178" s="19"/>
      <c r="AU178" s="19">
        <v>1.0</v>
      </c>
      <c r="AV178" s="19"/>
      <c r="AW178" s="19"/>
      <c r="AX178" s="13">
        <f t="shared" si="36"/>
        <v>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/>
      <c r="G179" s="19"/>
      <c r="H179" s="19"/>
      <c r="I179" s="19"/>
      <c r="J179" s="19"/>
      <c r="K179" s="19">
        <v>1.0</v>
      </c>
      <c r="L179" s="19">
        <v>1.0</v>
      </c>
      <c r="M179" s="19"/>
      <c r="N179" s="19"/>
      <c r="O179" s="19"/>
      <c r="P179" s="19"/>
      <c r="Q179" s="19">
        <v>1.0</v>
      </c>
      <c r="R179" s="19"/>
      <c r="S179" s="19"/>
      <c r="T179" s="19">
        <v>1.0</v>
      </c>
      <c r="U179" s="19"/>
      <c r="V179" s="19">
        <v>1.0</v>
      </c>
      <c r="W179" s="19"/>
      <c r="X179" s="19"/>
      <c r="Y179" s="19"/>
      <c r="Z179" s="19">
        <v>2.0</v>
      </c>
      <c r="AA179" s="19">
        <v>1.0</v>
      </c>
      <c r="AB179" s="19"/>
      <c r="AC179" s="19"/>
      <c r="AD179" s="19">
        <v>1.0</v>
      </c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>
        <v>1.0</v>
      </c>
      <c r="AV179" s="19"/>
      <c r="AW179" s="19"/>
      <c r="AX179" s="13">
        <f t="shared" si="36"/>
        <v>11</v>
      </c>
    </row>
    <row r="180" ht="12.75" customHeight="1">
      <c r="A180" s="18"/>
      <c r="B180" s="55">
        <v>3.0</v>
      </c>
      <c r="C180" s="50" t="s">
        <v>132</v>
      </c>
      <c r="D180" s="60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>
        <v>1.0</v>
      </c>
      <c r="Y180" s="19">
        <v>1.0</v>
      </c>
      <c r="Z180" s="19"/>
      <c r="AA180" s="19"/>
      <c r="AB180" s="19"/>
      <c r="AC180" s="19"/>
      <c r="AD180" s="19"/>
      <c r="AE180" s="19"/>
      <c r="AF180" s="19"/>
      <c r="AG180" s="19">
        <v>1.0</v>
      </c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3">
        <f t="shared" si="36"/>
        <v>3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1.0</v>
      </c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>
        <v>1.0</v>
      </c>
      <c r="Q181" s="19"/>
      <c r="R181" s="19"/>
      <c r="S181" s="19"/>
      <c r="T181" s="19"/>
      <c r="U181" s="19"/>
      <c r="V181" s="19"/>
      <c r="W181" s="19">
        <v>1.0</v>
      </c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>
        <v>1.0</v>
      </c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>
        <v>1.0</v>
      </c>
      <c r="AX181" s="13">
        <f t="shared" si="36"/>
        <v>5</v>
      </c>
    </row>
    <row r="182" ht="12.75" customHeight="1">
      <c r="A182" s="18"/>
      <c r="B182" s="55">
        <v>5.0</v>
      </c>
      <c r="C182" s="50" t="s">
        <v>134</v>
      </c>
      <c r="D182" s="60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>
        <v>1.0</v>
      </c>
      <c r="AS183" s="19"/>
      <c r="AT183" s="19"/>
      <c r="AU183" s="19"/>
      <c r="AV183" s="19"/>
      <c r="AW183" s="19"/>
      <c r="AX183" s="13">
        <f t="shared" si="36"/>
        <v>1</v>
      </c>
    </row>
    <row r="184" ht="12.75" customHeight="1">
      <c r="A184" s="18"/>
      <c r="B184" s="55">
        <v>7.0</v>
      </c>
      <c r="C184" s="50" t="s">
        <v>136</v>
      </c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>
        <v>1.0</v>
      </c>
      <c r="AT184" s="19"/>
      <c r="AU184" s="19"/>
      <c r="AV184" s="19"/>
      <c r="AW184" s="19"/>
      <c r="AX184" s="13">
        <f t="shared" si="36"/>
        <v>1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X187" si="37">SUM(E177:E186)</f>
        <v>2</v>
      </c>
      <c r="F187" s="13">
        <f t="shared" si="37"/>
        <v>0</v>
      </c>
      <c r="G187" s="13">
        <f t="shared" si="37"/>
        <v>2</v>
      </c>
      <c r="H187" s="13">
        <f t="shared" si="37"/>
        <v>1</v>
      </c>
      <c r="I187" s="13">
        <f t="shared" si="37"/>
        <v>1</v>
      </c>
      <c r="J187" s="13">
        <f t="shared" si="37"/>
        <v>0</v>
      </c>
      <c r="K187" s="13">
        <f t="shared" si="37"/>
        <v>1</v>
      </c>
      <c r="L187" s="13">
        <f t="shared" si="37"/>
        <v>2</v>
      </c>
      <c r="M187" s="13">
        <f t="shared" si="37"/>
        <v>0</v>
      </c>
      <c r="N187" s="13">
        <f t="shared" si="37"/>
        <v>0</v>
      </c>
      <c r="O187" s="13">
        <f t="shared" si="37"/>
        <v>1</v>
      </c>
      <c r="P187" s="13">
        <f t="shared" si="37"/>
        <v>1</v>
      </c>
      <c r="Q187" s="13">
        <f t="shared" si="37"/>
        <v>1</v>
      </c>
      <c r="R187" s="13">
        <f t="shared" si="37"/>
        <v>0</v>
      </c>
      <c r="S187" s="13">
        <f t="shared" si="37"/>
        <v>0</v>
      </c>
      <c r="T187" s="13">
        <f t="shared" si="37"/>
        <v>2</v>
      </c>
      <c r="U187" s="13">
        <f t="shared" si="37"/>
        <v>0</v>
      </c>
      <c r="V187" s="13">
        <f t="shared" si="37"/>
        <v>2</v>
      </c>
      <c r="W187" s="13">
        <f t="shared" si="37"/>
        <v>1</v>
      </c>
      <c r="X187" s="13">
        <f t="shared" si="37"/>
        <v>2</v>
      </c>
      <c r="Y187" s="13">
        <f t="shared" si="37"/>
        <v>1</v>
      </c>
      <c r="Z187" s="13">
        <f t="shared" si="37"/>
        <v>3</v>
      </c>
      <c r="AA187" s="13">
        <f t="shared" si="37"/>
        <v>1</v>
      </c>
      <c r="AB187" s="13">
        <f t="shared" si="37"/>
        <v>1</v>
      </c>
      <c r="AC187" s="13">
        <f t="shared" si="37"/>
        <v>0</v>
      </c>
      <c r="AD187" s="13">
        <f t="shared" si="37"/>
        <v>1</v>
      </c>
      <c r="AE187" s="13">
        <f t="shared" si="37"/>
        <v>0</v>
      </c>
      <c r="AF187" s="13">
        <f t="shared" si="37"/>
        <v>1</v>
      </c>
      <c r="AG187" s="13">
        <f t="shared" si="37"/>
        <v>1</v>
      </c>
      <c r="AH187" s="13">
        <f t="shared" si="37"/>
        <v>0</v>
      </c>
      <c r="AI187" s="13">
        <f t="shared" si="37"/>
        <v>0</v>
      </c>
      <c r="AJ187" s="13">
        <f t="shared" si="37"/>
        <v>1</v>
      </c>
      <c r="AK187" s="13">
        <f t="shared" si="37"/>
        <v>0</v>
      </c>
      <c r="AL187" s="13">
        <f t="shared" si="37"/>
        <v>0</v>
      </c>
      <c r="AM187" s="13">
        <f t="shared" si="37"/>
        <v>0</v>
      </c>
      <c r="AN187" s="13">
        <f t="shared" si="37"/>
        <v>0</v>
      </c>
      <c r="AO187" s="13">
        <f t="shared" si="37"/>
        <v>2</v>
      </c>
      <c r="AP187" s="13">
        <f t="shared" si="37"/>
        <v>0</v>
      </c>
      <c r="AQ187" s="13">
        <f t="shared" si="37"/>
        <v>1</v>
      </c>
      <c r="AR187" s="13">
        <f t="shared" si="37"/>
        <v>2</v>
      </c>
      <c r="AS187" s="13">
        <f t="shared" si="37"/>
        <v>2</v>
      </c>
      <c r="AT187" s="13">
        <f t="shared" si="37"/>
        <v>0</v>
      </c>
      <c r="AU187" s="13">
        <f t="shared" si="37"/>
        <v>2</v>
      </c>
      <c r="AV187" s="13">
        <f t="shared" si="37"/>
        <v>0</v>
      </c>
      <c r="AW187" s="13">
        <f t="shared" si="37"/>
        <v>1</v>
      </c>
      <c r="AX187" s="13">
        <f t="shared" si="37"/>
        <v>39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1.0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1.0</v>
      </c>
      <c r="AH189" s="19">
        <v>0.0</v>
      </c>
      <c r="AI189" s="19">
        <v>0.0</v>
      </c>
      <c r="AJ189" s="19">
        <v>1.0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0.0</v>
      </c>
      <c r="AW189" s="19">
        <v>0.0</v>
      </c>
      <c r="AX189" s="13">
        <f t="shared" ref="AX189:AX198" si="38">SUM(E189:AW189)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1.0</v>
      </c>
      <c r="F190" s="19">
        <v>1.0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3">
        <f t="shared" si="38"/>
        <v>3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1.0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3">
        <f t="shared" si="38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1.0</v>
      </c>
      <c r="AX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1.0</v>
      </c>
      <c r="AT194" s="19">
        <v>1.0</v>
      </c>
      <c r="AU194" s="19">
        <v>0.0</v>
      </c>
      <c r="AV194" s="19">
        <v>0.0</v>
      </c>
      <c r="AW194" s="19">
        <v>0.0</v>
      </c>
      <c r="AX194" s="13">
        <f t="shared" si="38"/>
        <v>3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X199" si="39">SUM(E189:E198)</f>
        <v>2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1</v>
      </c>
      <c r="AH199" s="13">
        <f t="shared" si="39"/>
        <v>0</v>
      </c>
      <c r="AI199" s="13">
        <f t="shared" si="39"/>
        <v>0</v>
      </c>
      <c r="AJ199" s="13">
        <f t="shared" si="39"/>
        <v>1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1</v>
      </c>
      <c r="AT199" s="13">
        <f t="shared" si="39"/>
        <v>1</v>
      </c>
      <c r="AU199" s="13">
        <f t="shared" si="39"/>
        <v>0</v>
      </c>
      <c r="AV199" s="13">
        <f t="shared" si="39"/>
        <v>0</v>
      </c>
      <c r="AW199" s="13">
        <f t="shared" si="39"/>
        <v>1</v>
      </c>
      <c r="AX199" s="13">
        <f t="shared" si="39"/>
        <v>11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2.0</v>
      </c>
      <c r="G201" s="19">
        <v>2.0</v>
      </c>
      <c r="H201" s="19">
        <v>2.0</v>
      </c>
      <c r="I201" s="19">
        <v>0.0</v>
      </c>
      <c r="J201" s="19">
        <v>2.0</v>
      </c>
      <c r="K201" s="19">
        <v>1.0</v>
      </c>
      <c r="L201" s="19">
        <v>2.0</v>
      </c>
      <c r="M201" s="19">
        <v>0.0</v>
      </c>
      <c r="N201" s="19">
        <v>2.0</v>
      </c>
      <c r="O201" s="19">
        <v>3.0</v>
      </c>
      <c r="P201" s="19">
        <v>3.0</v>
      </c>
      <c r="Q201" s="19">
        <v>3.0</v>
      </c>
      <c r="R201" s="19">
        <v>1.0</v>
      </c>
      <c r="S201" s="19">
        <v>5.0</v>
      </c>
      <c r="T201" s="19">
        <v>2.0</v>
      </c>
      <c r="U201" s="19">
        <v>2.0</v>
      </c>
      <c r="V201" s="19">
        <v>3.0</v>
      </c>
      <c r="W201" s="19">
        <v>6.0</v>
      </c>
      <c r="X201" s="19">
        <v>0.0</v>
      </c>
      <c r="Y201" s="19">
        <v>1.0</v>
      </c>
      <c r="Z201" s="19">
        <v>2.0</v>
      </c>
      <c r="AA201" s="19">
        <v>2.0</v>
      </c>
      <c r="AB201" s="19">
        <v>2.0</v>
      </c>
      <c r="AC201" s="19">
        <v>1.0</v>
      </c>
      <c r="AD201" s="19">
        <v>0.0</v>
      </c>
      <c r="AE201" s="19">
        <v>0.0</v>
      </c>
      <c r="AF201" s="19">
        <v>0.0</v>
      </c>
      <c r="AG201" s="19">
        <v>1.0</v>
      </c>
      <c r="AH201" s="19">
        <v>1.0</v>
      </c>
      <c r="AI201" s="19">
        <v>2.0</v>
      </c>
      <c r="AJ201" s="19">
        <v>1.0</v>
      </c>
      <c r="AK201" s="19">
        <v>1.0</v>
      </c>
      <c r="AL201" s="19">
        <v>0.0</v>
      </c>
      <c r="AM201" s="19">
        <v>0.0</v>
      </c>
      <c r="AN201" s="19">
        <v>7.0</v>
      </c>
      <c r="AO201" s="19">
        <v>1.0</v>
      </c>
      <c r="AP201" s="19">
        <v>5.0</v>
      </c>
      <c r="AQ201" s="19">
        <v>3.0</v>
      </c>
      <c r="AR201" s="19">
        <v>5.0</v>
      </c>
      <c r="AS201" s="19">
        <v>5.0</v>
      </c>
      <c r="AT201" s="19">
        <v>2.0</v>
      </c>
      <c r="AU201" s="19">
        <v>5.0</v>
      </c>
      <c r="AV201" s="19">
        <v>0.0</v>
      </c>
      <c r="AW201" s="19">
        <v>3.0</v>
      </c>
      <c r="AX201" s="13">
        <f t="shared" ref="AX201:AX210" si="40">SUM(E201:AW201)</f>
        <v>92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1.0</v>
      </c>
      <c r="F202" s="19">
        <v>3.0</v>
      </c>
      <c r="G202" s="19">
        <v>3.0</v>
      </c>
      <c r="H202" s="19">
        <v>3.0</v>
      </c>
      <c r="I202" s="19">
        <v>1.0</v>
      </c>
      <c r="J202" s="19">
        <v>1.0</v>
      </c>
      <c r="K202" s="19">
        <v>5.0</v>
      </c>
      <c r="L202" s="19">
        <v>1.0</v>
      </c>
      <c r="M202" s="19">
        <v>1.0</v>
      </c>
      <c r="N202" s="19">
        <v>1.0</v>
      </c>
      <c r="O202" s="19">
        <v>6.0</v>
      </c>
      <c r="P202" s="19">
        <v>8.0</v>
      </c>
      <c r="Q202" s="19">
        <v>1.0</v>
      </c>
      <c r="R202" s="19">
        <v>1.0</v>
      </c>
      <c r="S202" s="19">
        <v>1.0</v>
      </c>
      <c r="T202" s="19">
        <v>8.0</v>
      </c>
      <c r="U202" s="19">
        <v>6.0</v>
      </c>
      <c r="V202" s="19">
        <v>7.0</v>
      </c>
      <c r="W202" s="19">
        <v>10.0</v>
      </c>
      <c r="X202" s="19">
        <v>1.0</v>
      </c>
      <c r="Y202" s="19">
        <v>1.0</v>
      </c>
      <c r="Z202" s="19">
        <v>7.0</v>
      </c>
      <c r="AA202" s="19">
        <v>0.0</v>
      </c>
      <c r="AB202" s="19">
        <v>0.0</v>
      </c>
      <c r="AC202" s="19">
        <v>1.0</v>
      </c>
      <c r="AD202" s="19">
        <v>3.0</v>
      </c>
      <c r="AE202" s="19">
        <v>1.0</v>
      </c>
      <c r="AF202" s="19">
        <v>2.0</v>
      </c>
      <c r="AG202" s="19">
        <v>1.0</v>
      </c>
      <c r="AH202" s="19">
        <v>1.0</v>
      </c>
      <c r="AI202" s="19">
        <v>5.0</v>
      </c>
      <c r="AJ202" s="19">
        <v>2.0</v>
      </c>
      <c r="AK202" s="19">
        <v>2.0</v>
      </c>
      <c r="AL202" s="19">
        <v>0.0</v>
      </c>
      <c r="AM202" s="19">
        <v>0.0</v>
      </c>
      <c r="AN202" s="19">
        <v>1.0</v>
      </c>
      <c r="AO202" s="19">
        <v>1.0</v>
      </c>
      <c r="AP202" s="19">
        <v>2.0</v>
      </c>
      <c r="AQ202" s="19">
        <v>0.0</v>
      </c>
      <c r="AR202" s="19">
        <v>1.0</v>
      </c>
      <c r="AS202" s="19">
        <v>3.0</v>
      </c>
      <c r="AT202" s="19">
        <v>4.0</v>
      </c>
      <c r="AU202" s="19">
        <v>2.0</v>
      </c>
      <c r="AV202" s="19">
        <v>0.0</v>
      </c>
      <c r="AW202" s="19">
        <v>1.0</v>
      </c>
      <c r="AX202" s="13">
        <f t="shared" si="40"/>
        <v>110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0.0</v>
      </c>
      <c r="G203" s="19">
        <v>1.0</v>
      </c>
      <c r="H203" s="19">
        <v>0.0</v>
      </c>
      <c r="I203" s="19">
        <v>3.0</v>
      </c>
      <c r="J203" s="19">
        <v>1.0</v>
      </c>
      <c r="K203" s="19">
        <v>0.0</v>
      </c>
      <c r="L203" s="19">
        <v>0.0</v>
      </c>
      <c r="M203" s="19">
        <v>0.0</v>
      </c>
      <c r="N203" s="19">
        <v>1.0</v>
      </c>
      <c r="O203" s="19">
        <v>0.0</v>
      </c>
      <c r="P203" s="19">
        <v>0.0</v>
      </c>
      <c r="Q203" s="19">
        <v>0.0</v>
      </c>
      <c r="R203" s="19">
        <v>1.0</v>
      </c>
      <c r="S203" s="19">
        <v>4.0</v>
      </c>
      <c r="T203" s="19">
        <v>0.0</v>
      </c>
      <c r="U203" s="19">
        <v>2.0</v>
      </c>
      <c r="V203" s="19">
        <v>1.0</v>
      </c>
      <c r="W203" s="19">
        <v>1.0</v>
      </c>
      <c r="X203" s="19">
        <v>0.0</v>
      </c>
      <c r="Y203" s="19">
        <v>1.0</v>
      </c>
      <c r="Z203" s="19">
        <v>0.0</v>
      </c>
      <c r="AA203" s="19">
        <v>0.0</v>
      </c>
      <c r="AB203" s="19">
        <v>0.0</v>
      </c>
      <c r="AC203" s="19">
        <v>1.0</v>
      </c>
      <c r="AD203" s="19">
        <v>0.0</v>
      </c>
      <c r="AE203" s="19">
        <v>0.0</v>
      </c>
      <c r="AF203" s="19">
        <v>1.0</v>
      </c>
      <c r="AG203" s="19">
        <v>0.0</v>
      </c>
      <c r="AH203" s="19">
        <v>0.0</v>
      </c>
      <c r="AI203" s="19">
        <v>1.0</v>
      </c>
      <c r="AJ203" s="19">
        <v>1.0</v>
      </c>
      <c r="AK203" s="19">
        <v>2.0</v>
      </c>
      <c r="AL203" s="19">
        <v>0.0</v>
      </c>
      <c r="AM203" s="19">
        <v>0.0</v>
      </c>
      <c r="AN203" s="19">
        <v>3.0</v>
      </c>
      <c r="AO203" s="19">
        <v>2.0</v>
      </c>
      <c r="AP203" s="19">
        <v>0.0</v>
      </c>
      <c r="AQ203" s="19">
        <v>1.0</v>
      </c>
      <c r="AR203" s="19">
        <v>5.0</v>
      </c>
      <c r="AS203" s="19">
        <v>3.0</v>
      </c>
      <c r="AT203" s="19">
        <v>0.0</v>
      </c>
      <c r="AU203" s="19">
        <v>3.0</v>
      </c>
      <c r="AV203" s="19">
        <v>0.0</v>
      </c>
      <c r="AW203" s="19">
        <v>0.0</v>
      </c>
      <c r="AX203" s="13">
        <f t="shared" si="40"/>
        <v>40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2.0</v>
      </c>
      <c r="H204" s="19">
        <v>0.0</v>
      </c>
      <c r="I204" s="19">
        <v>0.0</v>
      </c>
      <c r="J204" s="19">
        <v>0.0</v>
      </c>
      <c r="K204" s="19">
        <v>1.0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1.0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0.0</v>
      </c>
      <c r="AM204" s="19">
        <v>0.0</v>
      </c>
      <c r="AN204" s="19">
        <v>0.0</v>
      </c>
      <c r="AO204" s="19">
        <v>2.0</v>
      </c>
      <c r="AP204" s="19">
        <v>1.0</v>
      </c>
      <c r="AQ204" s="19">
        <v>0.0</v>
      </c>
      <c r="AR204" s="19">
        <v>1.0</v>
      </c>
      <c r="AS204" s="19">
        <v>0.0</v>
      </c>
      <c r="AT204" s="19">
        <v>1.0</v>
      </c>
      <c r="AU204" s="19">
        <v>0.0</v>
      </c>
      <c r="AV204" s="19">
        <v>0.0</v>
      </c>
      <c r="AW204" s="19">
        <v>0.0</v>
      </c>
      <c r="AX204" s="13">
        <f t="shared" si="40"/>
        <v>10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1.0</v>
      </c>
      <c r="F205" s="19">
        <v>0.0</v>
      </c>
      <c r="G205" s="19">
        <v>0.0</v>
      </c>
      <c r="H205" s="19">
        <v>0.0</v>
      </c>
      <c r="I205" s="19">
        <v>0.0</v>
      </c>
      <c r="J205" s="19">
        <v>2.0</v>
      </c>
      <c r="K205" s="19">
        <v>0.0</v>
      </c>
      <c r="L205" s="19">
        <v>0.0</v>
      </c>
      <c r="M205" s="19">
        <v>1.0</v>
      </c>
      <c r="N205" s="19">
        <v>0.0</v>
      </c>
      <c r="O205" s="19">
        <v>0.0</v>
      </c>
      <c r="P205" s="19">
        <v>1.0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9">
        <v>1.0</v>
      </c>
      <c r="W205" s="19">
        <v>6.0</v>
      </c>
      <c r="X205" s="19">
        <v>2.0</v>
      </c>
      <c r="Y205" s="19">
        <v>0.0</v>
      </c>
      <c r="Z205" s="19">
        <v>0.0</v>
      </c>
      <c r="AA205" s="19">
        <v>15.0</v>
      </c>
      <c r="AB205" s="19">
        <v>0.0</v>
      </c>
      <c r="AC205" s="19">
        <v>1.0</v>
      </c>
      <c r="AD205" s="19">
        <v>0.0</v>
      </c>
      <c r="AE205" s="19">
        <v>1.0</v>
      </c>
      <c r="AF205" s="19">
        <v>0.0</v>
      </c>
      <c r="AG205" s="19">
        <v>1.0</v>
      </c>
      <c r="AH205" s="19">
        <v>3.0</v>
      </c>
      <c r="AI205" s="19">
        <v>0.0</v>
      </c>
      <c r="AJ205" s="19">
        <v>0.0</v>
      </c>
      <c r="AK205" s="19">
        <v>0.0</v>
      </c>
      <c r="AL205" s="19">
        <v>0.0</v>
      </c>
      <c r="AM205" s="19">
        <v>0.0</v>
      </c>
      <c r="AN205" s="19">
        <v>1.0</v>
      </c>
      <c r="AO205" s="19">
        <v>0.0</v>
      </c>
      <c r="AP205" s="19">
        <v>0.0</v>
      </c>
      <c r="AQ205" s="19">
        <v>0.0</v>
      </c>
      <c r="AR205" s="19">
        <v>0.0</v>
      </c>
      <c r="AS205" s="19">
        <v>2.0</v>
      </c>
      <c r="AT205" s="19">
        <v>0.0</v>
      </c>
      <c r="AU205" s="19">
        <v>1.0</v>
      </c>
      <c r="AV205" s="19">
        <v>0.0</v>
      </c>
      <c r="AW205" s="19">
        <v>0.0</v>
      </c>
      <c r="AX205" s="13">
        <f t="shared" si="40"/>
        <v>40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2.0</v>
      </c>
      <c r="M206" s="19">
        <v>0.0</v>
      </c>
      <c r="N206" s="19">
        <v>1.0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1.0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1.0</v>
      </c>
      <c r="AU206" s="19">
        <v>0.0</v>
      </c>
      <c r="AV206" s="19">
        <v>0.0</v>
      </c>
      <c r="AW206" s="19">
        <v>0.0</v>
      </c>
      <c r="AX206" s="13">
        <f t="shared" si="40"/>
        <v>7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1.0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1.0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1.0</v>
      </c>
      <c r="AR208" s="19">
        <v>0.0</v>
      </c>
      <c r="AS208" s="19">
        <v>1.0</v>
      </c>
      <c r="AT208" s="19">
        <v>0.0</v>
      </c>
      <c r="AU208" s="19">
        <v>0.0</v>
      </c>
      <c r="AV208" s="19">
        <v>0.0</v>
      </c>
      <c r="AW208" s="19">
        <v>0.0</v>
      </c>
      <c r="AX208" s="13">
        <f t="shared" si="40"/>
        <v>6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X211" si="41">SUM(E201:E210)</f>
        <v>5</v>
      </c>
      <c r="F211" s="13">
        <f t="shared" si="41"/>
        <v>5</v>
      </c>
      <c r="G211" s="13">
        <f t="shared" si="41"/>
        <v>8</v>
      </c>
      <c r="H211" s="13">
        <f t="shared" si="41"/>
        <v>5</v>
      </c>
      <c r="I211" s="13">
        <f t="shared" si="41"/>
        <v>4</v>
      </c>
      <c r="J211" s="13">
        <f t="shared" si="41"/>
        <v>6</v>
      </c>
      <c r="K211" s="13">
        <f t="shared" si="41"/>
        <v>7</v>
      </c>
      <c r="L211" s="13">
        <f t="shared" si="41"/>
        <v>6</v>
      </c>
      <c r="M211" s="13">
        <f t="shared" si="41"/>
        <v>2</v>
      </c>
      <c r="N211" s="13">
        <f t="shared" si="41"/>
        <v>6</v>
      </c>
      <c r="O211" s="13">
        <f t="shared" si="41"/>
        <v>9</v>
      </c>
      <c r="P211" s="13">
        <f t="shared" si="41"/>
        <v>13</v>
      </c>
      <c r="Q211" s="13">
        <f t="shared" si="41"/>
        <v>6</v>
      </c>
      <c r="R211" s="13">
        <f t="shared" si="41"/>
        <v>4</v>
      </c>
      <c r="S211" s="13">
        <f t="shared" si="41"/>
        <v>10</v>
      </c>
      <c r="T211" s="13">
        <f t="shared" si="41"/>
        <v>10</v>
      </c>
      <c r="U211" s="13">
        <f t="shared" si="41"/>
        <v>10</v>
      </c>
      <c r="V211" s="13">
        <f t="shared" si="41"/>
        <v>13</v>
      </c>
      <c r="W211" s="13">
        <f t="shared" si="41"/>
        <v>23</v>
      </c>
      <c r="X211" s="13">
        <f t="shared" si="41"/>
        <v>3</v>
      </c>
      <c r="Y211" s="13">
        <f t="shared" si="41"/>
        <v>3</v>
      </c>
      <c r="Z211" s="13">
        <f t="shared" si="41"/>
        <v>9</v>
      </c>
      <c r="AA211" s="13">
        <f t="shared" si="41"/>
        <v>18</v>
      </c>
      <c r="AB211" s="13">
        <f t="shared" si="41"/>
        <v>2</v>
      </c>
      <c r="AC211" s="13">
        <f t="shared" si="41"/>
        <v>4</v>
      </c>
      <c r="AD211" s="13">
        <f t="shared" si="41"/>
        <v>3</v>
      </c>
      <c r="AE211" s="13">
        <f t="shared" si="41"/>
        <v>2</v>
      </c>
      <c r="AF211" s="13">
        <f t="shared" si="41"/>
        <v>4</v>
      </c>
      <c r="AG211" s="13">
        <f t="shared" si="41"/>
        <v>3</v>
      </c>
      <c r="AH211" s="13">
        <f t="shared" si="41"/>
        <v>5</v>
      </c>
      <c r="AI211" s="13">
        <f t="shared" si="41"/>
        <v>8</v>
      </c>
      <c r="AJ211" s="13">
        <f t="shared" si="41"/>
        <v>4</v>
      </c>
      <c r="AK211" s="13">
        <f t="shared" si="41"/>
        <v>5</v>
      </c>
      <c r="AL211" s="13">
        <f t="shared" si="41"/>
        <v>0</v>
      </c>
      <c r="AM211" s="13">
        <f t="shared" si="41"/>
        <v>0</v>
      </c>
      <c r="AN211" s="13">
        <f t="shared" si="41"/>
        <v>12</v>
      </c>
      <c r="AO211" s="13">
        <f t="shared" si="41"/>
        <v>6</v>
      </c>
      <c r="AP211" s="13">
        <f t="shared" si="41"/>
        <v>8</v>
      </c>
      <c r="AQ211" s="13">
        <f t="shared" si="41"/>
        <v>5</v>
      </c>
      <c r="AR211" s="13">
        <f t="shared" si="41"/>
        <v>12</v>
      </c>
      <c r="AS211" s="13">
        <f t="shared" si="41"/>
        <v>14</v>
      </c>
      <c r="AT211" s="13">
        <f t="shared" si="41"/>
        <v>8</v>
      </c>
      <c r="AU211" s="13">
        <f t="shared" si="41"/>
        <v>11</v>
      </c>
      <c r="AV211" s="13">
        <f t="shared" si="41"/>
        <v>0</v>
      </c>
      <c r="AW211" s="13">
        <f t="shared" si="41"/>
        <v>4</v>
      </c>
      <c r="AX211" s="13">
        <f t="shared" si="41"/>
        <v>305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4.0</v>
      </c>
      <c r="G213" s="19">
        <v>1.0</v>
      </c>
      <c r="H213" s="19">
        <v>2.0</v>
      </c>
      <c r="I213" s="19">
        <v>1.0</v>
      </c>
      <c r="J213" s="19">
        <v>0.0</v>
      </c>
      <c r="K213" s="19">
        <v>0.0</v>
      </c>
      <c r="L213" s="19">
        <v>1.0</v>
      </c>
      <c r="M213" s="19">
        <v>0.0</v>
      </c>
      <c r="N213" s="19">
        <v>1.0</v>
      </c>
      <c r="O213" s="19">
        <v>0.0</v>
      </c>
      <c r="P213" s="19">
        <v>0.0</v>
      </c>
      <c r="Q213" s="19">
        <v>3.0</v>
      </c>
      <c r="R213" s="19">
        <v>0.0</v>
      </c>
      <c r="S213" s="19">
        <v>3.0</v>
      </c>
      <c r="T213" s="19">
        <v>1.0</v>
      </c>
      <c r="U213" s="19">
        <v>0.0</v>
      </c>
      <c r="V213" s="19">
        <v>1.0</v>
      </c>
      <c r="W213" s="19">
        <v>0.0</v>
      </c>
      <c r="X213" s="19">
        <v>1.0</v>
      </c>
      <c r="Y213" s="19">
        <v>1.0</v>
      </c>
      <c r="Z213" s="19">
        <v>1.0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2.0</v>
      </c>
      <c r="AF213" s="19">
        <v>0.0</v>
      </c>
      <c r="AG213" s="19">
        <v>0.0</v>
      </c>
      <c r="AH213" s="19">
        <v>0.0</v>
      </c>
      <c r="AI213" s="19">
        <v>5.0</v>
      </c>
      <c r="AJ213" s="19">
        <v>0.0</v>
      </c>
      <c r="AK213" s="19">
        <v>3.0</v>
      </c>
      <c r="AL213" s="19">
        <v>2.0</v>
      </c>
      <c r="AM213" s="19">
        <v>0.0</v>
      </c>
      <c r="AN213" s="19">
        <v>3.0</v>
      </c>
      <c r="AO213" s="19">
        <v>2.0</v>
      </c>
      <c r="AP213" s="19">
        <v>1.0</v>
      </c>
      <c r="AQ213" s="19">
        <v>1.0</v>
      </c>
      <c r="AR213" s="19">
        <v>0.0</v>
      </c>
      <c r="AS213" s="19">
        <v>1.0</v>
      </c>
      <c r="AT213" s="19">
        <v>1.0</v>
      </c>
      <c r="AU213" s="19">
        <v>1.0</v>
      </c>
      <c r="AV213" s="19">
        <v>1.0</v>
      </c>
      <c r="AW213" s="19">
        <v>1.0</v>
      </c>
      <c r="AX213" s="13">
        <f t="shared" ref="AX213:AX222" si="42">SUM(E213:AW213)</f>
        <v>48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3.0</v>
      </c>
      <c r="G214" s="19">
        <v>1.0</v>
      </c>
      <c r="H214" s="19">
        <v>1.0</v>
      </c>
      <c r="I214" s="19">
        <v>0.0</v>
      </c>
      <c r="J214" s="19">
        <v>3.0</v>
      </c>
      <c r="K214" s="19">
        <v>0.0</v>
      </c>
      <c r="L214" s="19">
        <v>2.0</v>
      </c>
      <c r="M214" s="19">
        <v>1.0</v>
      </c>
      <c r="N214" s="19">
        <v>1.0</v>
      </c>
      <c r="O214" s="19">
        <v>1.0</v>
      </c>
      <c r="P214" s="19">
        <v>0.0</v>
      </c>
      <c r="Q214" s="19">
        <v>2.0</v>
      </c>
      <c r="R214" s="19">
        <v>1.0</v>
      </c>
      <c r="S214" s="19">
        <v>1.0</v>
      </c>
      <c r="T214" s="19">
        <v>1.0</v>
      </c>
      <c r="U214" s="19">
        <v>1.0</v>
      </c>
      <c r="V214" s="19">
        <v>2.0</v>
      </c>
      <c r="W214" s="19">
        <v>0.0</v>
      </c>
      <c r="X214" s="19">
        <v>3.0</v>
      </c>
      <c r="Y214" s="19">
        <v>1.0</v>
      </c>
      <c r="Z214" s="19">
        <v>0.0</v>
      </c>
      <c r="AA214" s="19">
        <v>3.0</v>
      </c>
      <c r="AB214" s="19">
        <v>1.0</v>
      </c>
      <c r="AC214" s="19">
        <v>3.0</v>
      </c>
      <c r="AD214" s="19">
        <v>2.0</v>
      </c>
      <c r="AE214" s="19">
        <v>3.0</v>
      </c>
      <c r="AF214" s="19">
        <v>12.0</v>
      </c>
      <c r="AG214" s="19">
        <v>3.0</v>
      </c>
      <c r="AH214" s="19">
        <v>0.0</v>
      </c>
      <c r="AI214" s="19">
        <v>28.0</v>
      </c>
      <c r="AJ214" s="19">
        <v>10.0</v>
      </c>
      <c r="AK214" s="19">
        <v>4.0</v>
      </c>
      <c r="AL214" s="19">
        <v>0.0</v>
      </c>
      <c r="AM214" s="19">
        <v>0.0</v>
      </c>
      <c r="AN214" s="19">
        <v>3.0</v>
      </c>
      <c r="AO214" s="19">
        <v>4.0</v>
      </c>
      <c r="AP214" s="19">
        <v>0.0</v>
      </c>
      <c r="AQ214" s="19">
        <v>0.0</v>
      </c>
      <c r="AR214" s="19">
        <v>1.0</v>
      </c>
      <c r="AS214" s="19">
        <v>0.0</v>
      </c>
      <c r="AT214" s="19">
        <v>0.0</v>
      </c>
      <c r="AU214" s="19">
        <v>0.0</v>
      </c>
      <c r="AV214" s="19">
        <v>9.0</v>
      </c>
      <c r="AW214" s="19">
        <v>0.0</v>
      </c>
      <c r="AX214" s="13">
        <f t="shared" si="42"/>
        <v>111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1.0</v>
      </c>
      <c r="H215" s="19">
        <v>0.0</v>
      </c>
      <c r="I215" s="19">
        <v>1.0</v>
      </c>
      <c r="J215" s="19">
        <v>0.0</v>
      </c>
      <c r="K215" s="19">
        <v>1.0</v>
      </c>
      <c r="L215" s="19">
        <v>0.0</v>
      </c>
      <c r="M215" s="19">
        <v>0.0</v>
      </c>
      <c r="N215" s="19">
        <v>0.0</v>
      </c>
      <c r="O215" s="19">
        <v>0.0</v>
      </c>
      <c r="P215" s="19">
        <v>0.0</v>
      </c>
      <c r="Q215" s="19">
        <v>1.0</v>
      </c>
      <c r="R215" s="19">
        <v>0.0</v>
      </c>
      <c r="S215" s="19">
        <v>2.0</v>
      </c>
      <c r="T215" s="19">
        <v>0.0</v>
      </c>
      <c r="U215" s="19">
        <v>0.0</v>
      </c>
      <c r="V215" s="19">
        <v>0.0</v>
      </c>
      <c r="W215" s="19">
        <v>0.0</v>
      </c>
      <c r="X215" s="19">
        <v>5.0</v>
      </c>
      <c r="Y215" s="19">
        <v>0.0</v>
      </c>
      <c r="Z215" s="19">
        <v>3.0</v>
      </c>
      <c r="AA215" s="19">
        <v>0.0</v>
      </c>
      <c r="AB215" s="19">
        <v>0.0</v>
      </c>
      <c r="AC215" s="19">
        <v>1.0</v>
      </c>
      <c r="AD215" s="19">
        <v>0.0</v>
      </c>
      <c r="AE215" s="19">
        <v>0.0</v>
      </c>
      <c r="AF215" s="19">
        <v>0.0</v>
      </c>
      <c r="AG215" s="19">
        <v>1.0</v>
      </c>
      <c r="AH215" s="19">
        <v>0.0</v>
      </c>
      <c r="AI215" s="19">
        <v>0.0</v>
      </c>
      <c r="AJ215" s="19">
        <v>0.0</v>
      </c>
      <c r="AK215" s="19">
        <v>0.0</v>
      </c>
      <c r="AL215" s="19">
        <v>0.0</v>
      </c>
      <c r="AM215" s="19">
        <v>0.0</v>
      </c>
      <c r="AN215" s="19">
        <v>0.0</v>
      </c>
      <c r="AO215" s="19">
        <v>0.0</v>
      </c>
      <c r="AP215" s="19">
        <v>0.0</v>
      </c>
      <c r="AQ215" s="19">
        <v>0.0</v>
      </c>
      <c r="AR215" s="19">
        <v>0.0</v>
      </c>
      <c r="AS215" s="19">
        <v>0.0</v>
      </c>
      <c r="AT215" s="19">
        <v>1.0</v>
      </c>
      <c r="AU215" s="19">
        <v>0.0</v>
      </c>
      <c r="AV215" s="19">
        <v>0.0</v>
      </c>
      <c r="AW215" s="19">
        <v>0.0</v>
      </c>
      <c r="AX215" s="13">
        <f t="shared" si="42"/>
        <v>17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2.0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1.0</v>
      </c>
      <c r="U216" s="19">
        <v>1.0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1.0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0.0</v>
      </c>
      <c r="AU216" s="19">
        <v>0.0</v>
      </c>
      <c r="AV216" s="19">
        <v>0.0</v>
      </c>
      <c r="AW216" s="19">
        <v>0.0</v>
      </c>
      <c r="AX216" s="13">
        <f t="shared" si="42"/>
        <v>5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1.0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3">
        <f t="shared" si="42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1.0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1.0</v>
      </c>
      <c r="AK218" s="19">
        <v>0.0</v>
      </c>
      <c r="AL218" s="19">
        <v>1.0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1.0</v>
      </c>
      <c r="AV218" s="19">
        <v>0.0</v>
      </c>
      <c r="AW218" s="19">
        <v>0.0</v>
      </c>
      <c r="AX218" s="13">
        <f t="shared" si="42"/>
        <v>4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1.0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3">
        <f t="shared" si="42"/>
        <v>3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1.0</v>
      </c>
      <c r="AP220" s="19">
        <v>0.0</v>
      </c>
      <c r="AQ220" s="19">
        <v>3.0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0.0</v>
      </c>
      <c r="AW220" s="19">
        <v>0.0</v>
      </c>
      <c r="AX220" s="13">
        <f t="shared" si="42"/>
        <v>6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X223" si="43">SUM(E213:E222)</f>
        <v>3</v>
      </c>
      <c r="F223" s="13">
        <f t="shared" si="43"/>
        <v>8</v>
      </c>
      <c r="G223" s="13">
        <f t="shared" si="43"/>
        <v>4</v>
      </c>
      <c r="H223" s="13">
        <f t="shared" si="43"/>
        <v>4</v>
      </c>
      <c r="I223" s="13">
        <f t="shared" si="43"/>
        <v>2</v>
      </c>
      <c r="J223" s="13">
        <f t="shared" si="43"/>
        <v>5</v>
      </c>
      <c r="K223" s="13">
        <f t="shared" si="43"/>
        <v>1</v>
      </c>
      <c r="L223" s="13">
        <f t="shared" si="43"/>
        <v>4</v>
      </c>
      <c r="M223" s="13">
        <f t="shared" si="43"/>
        <v>1</v>
      </c>
      <c r="N223" s="13">
        <f t="shared" si="43"/>
        <v>2</v>
      </c>
      <c r="O223" s="13">
        <f t="shared" si="43"/>
        <v>1</v>
      </c>
      <c r="P223" s="13">
        <f t="shared" si="43"/>
        <v>0</v>
      </c>
      <c r="Q223" s="13">
        <f t="shared" si="43"/>
        <v>6</v>
      </c>
      <c r="R223" s="13">
        <f t="shared" si="43"/>
        <v>4</v>
      </c>
      <c r="S223" s="13">
        <f t="shared" si="43"/>
        <v>6</v>
      </c>
      <c r="T223" s="13">
        <f t="shared" si="43"/>
        <v>3</v>
      </c>
      <c r="U223" s="13">
        <f t="shared" si="43"/>
        <v>2</v>
      </c>
      <c r="V223" s="13">
        <f t="shared" si="43"/>
        <v>3</v>
      </c>
      <c r="W223" s="13">
        <f t="shared" si="43"/>
        <v>0</v>
      </c>
      <c r="X223" s="13">
        <f t="shared" si="43"/>
        <v>9</v>
      </c>
      <c r="Y223" s="13">
        <f t="shared" si="43"/>
        <v>2</v>
      </c>
      <c r="Z223" s="13">
        <f t="shared" si="43"/>
        <v>5</v>
      </c>
      <c r="AA223" s="13">
        <f t="shared" si="43"/>
        <v>3</v>
      </c>
      <c r="AB223" s="13">
        <f t="shared" si="43"/>
        <v>1</v>
      </c>
      <c r="AC223" s="13">
        <f t="shared" si="43"/>
        <v>4</v>
      </c>
      <c r="AD223" s="13">
        <f t="shared" si="43"/>
        <v>2</v>
      </c>
      <c r="AE223" s="13">
        <f t="shared" si="43"/>
        <v>5</v>
      </c>
      <c r="AF223" s="13">
        <f t="shared" si="43"/>
        <v>12</v>
      </c>
      <c r="AG223" s="13">
        <f t="shared" si="43"/>
        <v>4</v>
      </c>
      <c r="AH223" s="13">
        <f t="shared" si="43"/>
        <v>0</v>
      </c>
      <c r="AI223" s="13">
        <f t="shared" si="43"/>
        <v>33</v>
      </c>
      <c r="AJ223" s="13">
        <f t="shared" si="43"/>
        <v>11</v>
      </c>
      <c r="AK223" s="13">
        <f t="shared" si="43"/>
        <v>7</v>
      </c>
      <c r="AL223" s="13">
        <f t="shared" si="43"/>
        <v>4</v>
      </c>
      <c r="AM223" s="13">
        <f t="shared" si="43"/>
        <v>0</v>
      </c>
      <c r="AN223" s="13">
        <f t="shared" si="43"/>
        <v>6</v>
      </c>
      <c r="AO223" s="13">
        <f t="shared" si="43"/>
        <v>7</v>
      </c>
      <c r="AP223" s="13">
        <f t="shared" si="43"/>
        <v>1</v>
      </c>
      <c r="AQ223" s="13">
        <f t="shared" si="43"/>
        <v>4</v>
      </c>
      <c r="AR223" s="13">
        <f t="shared" si="43"/>
        <v>1</v>
      </c>
      <c r="AS223" s="13">
        <f t="shared" si="43"/>
        <v>1</v>
      </c>
      <c r="AT223" s="13">
        <f t="shared" si="43"/>
        <v>2</v>
      </c>
      <c r="AU223" s="13">
        <f t="shared" si="43"/>
        <v>2</v>
      </c>
      <c r="AV223" s="13">
        <f t="shared" si="43"/>
        <v>10</v>
      </c>
      <c r="AW223" s="13">
        <f t="shared" si="43"/>
        <v>1</v>
      </c>
      <c r="AX223" s="13">
        <f t="shared" si="43"/>
        <v>196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1.0</v>
      </c>
      <c r="N225" s="19">
        <v>1.0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1.0</v>
      </c>
      <c r="AA225" s="19">
        <v>1.0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1.0</v>
      </c>
      <c r="AK225" s="19">
        <v>0.0</v>
      </c>
      <c r="AL225" s="19">
        <v>0.0</v>
      </c>
      <c r="AM225" s="19">
        <v>0.0</v>
      </c>
      <c r="AN225" s="19">
        <v>1.0</v>
      </c>
      <c r="AO225" s="19">
        <v>1.0</v>
      </c>
      <c r="AP225" s="19">
        <v>1.0</v>
      </c>
      <c r="AQ225" s="19">
        <v>1.0</v>
      </c>
      <c r="AR225" s="19">
        <v>0.0</v>
      </c>
      <c r="AS225" s="19">
        <v>2.0</v>
      </c>
      <c r="AT225" s="19">
        <v>0.0</v>
      </c>
      <c r="AU225" s="19">
        <v>1.0</v>
      </c>
      <c r="AV225" s="19">
        <v>0.0</v>
      </c>
      <c r="AW225" s="19">
        <v>0.0</v>
      </c>
      <c r="AX225" s="13">
        <f t="shared" ref="AX225:AX234" si="44">SUM(E225:AW225)</f>
        <v>13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1.0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3.0</v>
      </c>
      <c r="N226" s="19">
        <v>0.0</v>
      </c>
      <c r="O226" s="19">
        <v>0.0</v>
      </c>
      <c r="P226" s="19">
        <v>0.0</v>
      </c>
      <c r="Q226" s="19">
        <v>1.0</v>
      </c>
      <c r="R226" s="19">
        <v>1.0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3.0</v>
      </c>
      <c r="AA226" s="19">
        <v>4.0</v>
      </c>
      <c r="AB226" s="19">
        <v>0.0</v>
      </c>
      <c r="AC226" s="19">
        <v>0.0</v>
      </c>
      <c r="AD226" s="19">
        <v>0.0</v>
      </c>
      <c r="AE226" s="19">
        <v>6.0</v>
      </c>
      <c r="AF226" s="19">
        <v>0.0</v>
      </c>
      <c r="AG226" s="19">
        <v>1.0</v>
      </c>
      <c r="AH226" s="19">
        <v>0.0</v>
      </c>
      <c r="AI226" s="19">
        <v>0.0</v>
      </c>
      <c r="AJ226" s="19">
        <v>0.0</v>
      </c>
      <c r="AK226" s="19">
        <v>0.0</v>
      </c>
      <c r="AL226" s="19">
        <v>0.0</v>
      </c>
      <c r="AM226" s="19">
        <v>0.0</v>
      </c>
      <c r="AN226" s="19">
        <v>7.0</v>
      </c>
      <c r="AO226" s="19">
        <v>0.0</v>
      </c>
      <c r="AP226" s="19">
        <v>6.0</v>
      </c>
      <c r="AQ226" s="19">
        <v>8.0</v>
      </c>
      <c r="AR226" s="19">
        <v>4.0</v>
      </c>
      <c r="AS226" s="19">
        <v>3.0</v>
      </c>
      <c r="AT226" s="19">
        <v>1.0</v>
      </c>
      <c r="AU226" s="19">
        <v>0.0</v>
      </c>
      <c r="AV226" s="19">
        <v>2.0</v>
      </c>
      <c r="AW226" s="19">
        <v>0.0</v>
      </c>
      <c r="AX226" s="13">
        <f t="shared" si="44"/>
        <v>51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1.0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1.0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1.0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3">
        <f t="shared" si="44"/>
        <v>1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1.0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1.0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3">
        <f t="shared" si="44"/>
        <v>2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1.0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1.0</v>
      </c>
      <c r="AO232" s="19">
        <v>8.0</v>
      </c>
      <c r="AP232" s="19">
        <v>9.0</v>
      </c>
      <c r="AQ232" s="19">
        <v>12.0</v>
      </c>
      <c r="AR232" s="19">
        <v>6.0</v>
      </c>
      <c r="AS232" s="19">
        <v>20.0</v>
      </c>
      <c r="AT232" s="19">
        <v>14.0</v>
      </c>
      <c r="AU232" s="19">
        <v>9.0</v>
      </c>
      <c r="AV232" s="19">
        <v>1.0</v>
      </c>
      <c r="AW232" s="19">
        <v>0.0</v>
      </c>
      <c r="AX232" s="13">
        <f t="shared" si="44"/>
        <v>82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X235" si="45">SUM(E225:E234)</f>
        <v>0</v>
      </c>
      <c r="F235" s="13">
        <f t="shared" si="45"/>
        <v>0</v>
      </c>
      <c r="G235" s="13">
        <f t="shared" si="45"/>
        <v>1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4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2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7</v>
      </c>
      <c r="AA235" s="13">
        <f t="shared" si="45"/>
        <v>6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6</v>
      </c>
      <c r="AF235" s="13">
        <f t="shared" si="45"/>
        <v>0</v>
      </c>
      <c r="AG235" s="13">
        <f t="shared" si="45"/>
        <v>1</v>
      </c>
      <c r="AH235" s="13">
        <f t="shared" si="45"/>
        <v>0</v>
      </c>
      <c r="AI235" s="13">
        <f t="shared" si="45"/>
        <v>0</v>
      </c>
      <c r="AJ235" s="13">
        <f t="shared" si="45"/>
        <v>1</v>
      </c>
      <c r="AK235" s="13">
        <f t="shared" si="45"/>
        <v>0</v>
      </c>
      <c r="AL235" s="13">
        <f t="shared" si="45"/>
        <v>0</v>
      </c>
      <c r="AM235" s="13">
        <f t="shared" si="45"/>
        <v>0</v>
      </c>
      <c r="AN235" s="13">
        <f t="shared" si="45"/>
        <v>10</v>
      </c>
      <c r="AO235" s="13">
        <f t="shared" si="45"/>
        <v>10</v>
      </c>
      <c r="AP235" s="13">
        <f t="shared" si="45"/>
        <v>16</v>
      </c>
      <c r="AQ235" s="13">
        <f t="shared" si="45"/>
        <v>21</v>
      </c>
      <c r="AR235" s="13">
        <f t="shared" si="45"/>
        <v>10</v>
      </c>
      <c r="AS235" s="13">
        <f t="shared" si="45"/>
        <v>25</v>
      </c>
      <c r="AT235" s="13">
        <f t="shared" si="45"/>
        <v>15</v>
      </c>
      <c r="AU235" s="13">
        <f t="shared" si="45"/>
        <v>10</v>
      </c>
      <c r="AV235" s="13">
        <f t="shared" si="45"/>
        <v>3</v>
      </c>
      <c r="AW235" s="13">
        <f t="shared" si="45"/>
        <v>0</v>
      </c>
      <c r="AX235" s="13">
        <f t="shared" si="45"/>
        <v>151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0.0</v>
      </c>
      <c r="G237" s="19">
        <v>1.0</v>
      </c>
      <c r="H237" s="19">
        <v>0.0</v>
      </c>
      <c r="I237" s="19">
        <v>3.0</v>
      </c>
      <c r="J237" s="19">
        <v>2.0</v>
      </c>
      <c r="K237" s="19">
        <v>1.0</v>
      </c>
      <c r="L237" s="19">
        <v>3.0</v>
      </c>
      <c r="M237" s="19">
        <v>0.0</v>
      </c>
      <c r="N237" s="19">
        <v>4.0</v>
      </c>
      <c r="O237" s="19">
        <v>4.0</v>
      </c>
      <c r="P237" s="19">
        <v>2.0</v>
      </c>
      <c r="Q237" s="19">
        <v>4.0</v>
      </c>
      <c r="R237" s="19">
        <v>2.0</v>
      </c>
      <c r="S237" s="19">
        <v>2.0</v>
      </c>
      <c r="T237" s="19">
        <v>1.0</v>
      </c>
      <c r="U237" s="19">
        <v>2.0</v>
      </c>
      <c r="V237" s="19">
        <v>2.0</v>
      </c>
      <c r="W237" s="19">
        <v>1.0</v>
      </c>
      <c r="X237" s="19">
        <v>1.0</v>
      </c>
      <c r="Y237" s="19">
        <v>0.0</v>
      </c>
      <c r="Z237" s="19">
        <v>4.0</v>
      </c>
      <c r="AA237" s="19">
        <v>0.0</v>
      </c>
      <c r="AB237" s="19">
        <v>0.0</v>
      </c>
      <c r="AC237" s="19">
        <v>3.0</v>
      </c>
      <c r="AD237" s="19">
        <v>1.0</v>
      </c>
      <c r="AE237" s="19">
        <v>0.0</v>
      </c>
      <c r="AF237" s="19">
        <v>0.0</v>
      </c>
      <c r="AG237" s="19">
        <v>0.0</v>
      </c>
      <c r="AH237" s="19">
        <v>0.0</v>
      </c>
      <c r="AI237" s="19">
        <v>0.0</v>
      </c>
      <c r="AJ237" s="19">
        <v>0.0</v>
      </c>
      <c r="AK237" s="19">
        <v>0.0</v>
      </c>
      <c r="AL237" s="19">
        <v>0.0</v>
      </c>
      <c r="AM237" s="19">
        <v>0.0</v>
      </c>
      <c r="AN237" s="19">
        <v>0.0</v>
      </c>
      <c r="AO237" s="19">
        <v>0.0</v>
      </c>
      <c r="AP237" s="19">
        <v>2.0</v>
      </c>
      <c r="AQ237" s="19">
        <v>0.0</v>
      </c>
      <c r="AR237" s="19">
        <v>1.0</v>
      </c>
      <c r="AS237" s="19">
        <v>0.0</v>
      </c>
      <c r="AT237" s="19">
        <v>0.0</v>
      </c>
      <c r="AU237" s="19">
        <v>0.0</v>
      </c>
      <c r="AV237" s="19">
        <v>0.0</v>
      </c>
      <c r="AW237" s="19">
        <v>0.0</v>
      </c>
      <c r="AX237" s="13">
        <f t="shared" ref="AX237:AX246" si="46">SUM(E237:AW237)</f>
        <v>48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3.0</v>
      </c>
      <c r="F238" s="19">
        <v>0.0</v>
      </c>
      <c r="G238" s="19">
        <v>0.0</v>
      </c>
      <c r="H238" s="19">
        <v>0.0</v>
      </c>
      <c r="I238" s="19">
        <v>2.0</v>
      </c>
      <c r="J238" s="19">
        <v>0.0</v>
      </c>
      <c r="K238" s="19">
        <v>3.0</v>
      </c>
      <c r="L238" s="19">
        <v>4.0</v>
      </c>
      <c r="M238" s="19">
        <v>0.0</v>
      </c>
      <c r="N238" s="19">
        <v>3.0</v>
      </c>
      <c r="O238" s="19">
        <v>0.0</v>
      </c>
      <c r="P238" s="19">
        <v>5.0</v>
      </c>
      <c r="Q238" s="19">
        <v>0.0</v>
      </c>
      <c r="R238" s="19">
        <v>2.0</v>
      </c>
      <c r="S238" s="19">
        <v>4.0</v>
      </c>
      <c r="T238" s="19">
        <v>1.0</v>
      </c>
      <c r="U238" s="19">
        <v>6.0</v>
      </c>
      <c r="V238" s="19">
        <v>0.0</v>
      </c>
      <c r="W238" s="19">
        <v>0.0</v>
      </c>
      <c r="X238" s="19">
        <v>1.0</v>
      </c>
      <c r="Y238" s="19">
        <v>2.0</v>
      </c>
      <c r="Z238" s="19">
        <v>4.0</v>
      </c>
      <c r="AA238" s="19">
        <v>1.0</v>
      </c>
      <c r="AB238" s="19">
        <v>1.0</v>
      </c>
      <c r="AC238" s="19">
        <v>0.0</v>
      </c>
      <c r="AD238" s="19">
        <v>0.0</v>
      </c>
      <c r="AE238" s="19">
        <v>1.0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0.0</v>
      </c>
      <c r="AK238" s="19">
        <v>3.0</v>
      </c>
      <c r="AL238" s="19">
        <v>0.0</v>
      </c>
      <c r="AM238" s="19">
        <v>0.0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9">
        <v>0.0</v>
      </c>
      <c r="AW238" s="19">
        <v>0.0</v>
      </c>
      <c r="AX238" s="13">
        <f t="shared" si="46"/>
        <v>46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0.0</v>
      </c>
      <c r="G239" s="19">
        <v>0.0</v>
      </c>
      <c r="H239" s="19">
        <v>0.0</v>
      </c>
      <c r="I239" s="19">
        <v>3.0</v>
      </c>
      <c r="J239" s="19">
        <v>0.0</v>
      </c>
      <c r="K239" s="19">
        <v>1.0</v>
      </c>
      <c r="L239" s="19">
        <v>0.0</v>
      </c>
      <c r="M239" s="19">
        <v>0.0</v>
      </c>
      <c r="N239" s="19">
        <v>0.0</v>
      </c>
      <c r="O239" s="19">
        <v>0.0</v>
      </c>
      <c r="P239" s="19">
        <v>2.0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1.0</v>
      </c>
      <c r="X239" s="19">
        <v>0.0</v>
      </c>
      <c r="Y239" s="19">
        <v>0.0</v>
      </c>
      <c r="Z239" s="19">
        <v>2.0</v>
      </c>
      <c r="AA239" s="19">
        <v>0.0</v>
      </c>
      <c r="AB239" s="19">
        <v>1.0</v>
      </c>
      <c r="AC239" s="19">
        <v>2.0</v>
      </c>
      <c r="AD239" s="19">
        <v>0.0</v>
      </c>
      <c r="AE239" s="19">
        <v>0.0</v>
      </c>
      <c r="AF239" s="19">
        <v>0.0</v>
      </c>
      <c r="AG239" s="19">
        <v>1.0</v>
      </c>
      <c r="AH239" s="19">
        <v>1.0</v>
      </c>
      <c r="AI239" s="19">
        <v>0.0</v>
      </c>
      <c r="AJ239" s="19">
        <v>0.0</v>
      </c>
      <c r="AK239" s="19">
        <v>4.0</v>
      </c>
      <c r="AL239" s="19">
        <v>1.0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1.0</v>
      </c>
      <c r="AR239" s="19">
        <v>0.0</v>
      </c>
      <c r="AS239" s="19">
        <v>0.0</v>
      </c>
      <c r="AT239" s="19">
        <v>0.0</v>
      </c>
      <c r="AU239" s="19">
        <v>0.0</v>
      </c>
      <c r="AV239" s="19">
        <v>0.0</v>
      </c>
      <c r="AW239" s="19">
        <v>0.0</v>
      </c>
      <c r="AX239" s="13">
        <f t="shared" si="46"/>
        <v>21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0.0</v>
      </c>
      <c r="U240" s="19">
        <v>0.0</v>
      </c>
      <c r="V240" s="19">
        <v>1.0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1.0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0.0</v>
      </c>
      <c r="AX240" s="13">
        <f t="shared" si="46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1.0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1.0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0.0</v>
      </c>
      <c r="AX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1.0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1.0</v>
      </c>
      <c r="AO242" s="19">
        <v>1.0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3">
        <f t="shared" si="46"/>
        <v>4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1.0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6.0</v>
      </c>
      <c r="G244" s="19">
        <v>0.0</v>
      </c>
      <c r="H244" s="19">
        <v>0.0</v>
      </c>
      <c r="I244" s="19">
        <v>16.0</v>
      </c>
      <c r="J244" s="19">
        <v>2.0</v>
      </c>
      <c r="K244" s="19">
        <v>0.0</v>
      </c>
      <c r="L244" s="19">
        <v>1.0</v>
      </c>
      <c r="M244" s="19">
        <v>0.0</v>
      </c>
      <c r="N244" s="19">
        <v>2.0</v>
      </c>
      <c r="O244" s="19">
        <v>5.0</v>
      </c>
      <c r="P244" s="19">
        <v>0.0</v>
      </c>
      <c r="Q244" s="19">
        <v>1.0</v>
      </c>
      <c r="R244" s="19">
        <v>2.0</v>
      </c>
      <c r="S244" s="19">
        <v>1.0</v>
      </c>
      <c r="T244" s="19">
        <v>4.0</v>
      </c>
      <c r="U244" s="19">
        <v>19.0</v>
      </c>
      <c r="V244" s="19">
        <v>15.0</v>
      </c>
      <c r="W244" s="19">
        <v>41.0</v>
      </c>
      <c r="X244" s="19">
        <v>4.0</v>
      </c>
      <c r="Y244" s="19">
        <v>24.0</v>
      </c>
      <c r="Z244" s="19">
        <v>7.0</v>
      </c>
      <c r="AA244" s="19">
        <v>2.0</v>
      </c>
      <c r="AB244" s="19">
        <v>0.0</v>
      </c>
      <c r="AC244" s="19">
        <v>0.0</v>
      </c>
      <c r="AD244" s="19">
        <v>1.0</v>
      </c>
      <c r="AE244" s="19">
        <v>0.0</v>
      </c>
      <c r="AF244" s="19">
        <v>0.0</v>
      </c>
      <c r="AG244" s="19">
        <v>0.0</v>
      </c>
      <c r="AH244" s="19">
        <v>0.0</v>
      </c>
      <c r="AI244" s="19">
        <v>0.0</v>
      </c>
      <c r="AJ244" s="19">
        <v>0.0</v>
      </c>
      <c r="AK244" s="19">
        <v>0.0</v>
      </c>
      <c r="AL244" s="19">
        <v>4.0</v>
      </c>
      <c r="AM244" s="19">
        <v>0.0</v>
      </c>
      <c r="AN244" s="19">
        <v>8.0</v>
      </c>
      <c r="AO244" s="19">
        <v>1.0</v>
      </c>
      <c r="AP244" s="19">
        <v>19.0</v>
      </c>
      <c r="AQ244" s="19">
        <v>10.0</v>
      </c>
      <c r="AR244" s="19">
        <v>1.0</v>
      </c>
      <c r="AS244" s="19">
        <v>1.0</v>
      </c>
      <c r="AT244" s="19">
        <v>1.0</v>
      </c>
      <c r="AU244" s="19">
        <v>1.0</v>
      </c>
      <c r="AV244" s="19"/>
      <c r="AW244" s="19">
        <v>0.0</v>
      </c>
      <c r="AX244" s="13">
        <f t="shared" si="46"/>
        <v>199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X247" si="47">SUM(E237:E246)</f>
        <v>6</v>
      </c>
      <c r="F247" s="13">
        <f t="shared" si="47"/>
        <v>6</v>
      </c>
      <c r="G247" s="13">
        <f t="shared" si="47"/>
        <v>1</v>
      </c>
      <c r="H247" s="13">
        <f t="shared" si="47"/>
        <v>1</v>
      </c>
      <c r="I247" s="13">
        <f t="shared" si="47"/>
        <v>25</v>
      </c>
      <c r="J247" s="13">
        <f t="shared" si="47"/>
        <v>5</v>
      </c>
      <c r="K247" s="13">
        <f t="shared" si="47"/>
        <v>6</v>
      </c>
      <c r="L247" s="13">
        <f t="shared" si="47"/>
        <v>9</v>
      </c>
      <c r="M247" s="13">
        <f t="shared" si="47"/>
        <v>0</v>
      </c>
      <c r="N247" s="13">
        <f t="shared" si="47"/>
        <v>9</v>
      </c>
      <c r="O247" s="13">
        <f t="shared" si="47"/>
        <v>9</v>
      </c>
      <c r="P247" s="13">
        <f t="shared" si="47"/>
        <v>9</v>
      </c>
      <c r="Q247" s="13">
        <f t="shared" si="47"/>
        <v>5</v>
      </c>
      <c r="R247" s="13">
        <f t="shared" si="47"/>
        <v>6</v>
      </c>
      <c r="S247" s="13">
        <f t="shared" si="47"/>
        <v>8</v>
      </c>
      <c r="T247" s="13">
        <f t="shared" si="47"/>
        <v>6</v>
      </c>
      <c r="U247" s="13">
        <f t="shared" si="47"/>
        <v>27</v>
      </c>
      <c r="V247" s="13">
        <f t="shared" si="47"/>
        <v>18</v>
      </c>
      <c r="W247" s="13">
        <f t="shared" si="47"/>
        <v>43</v>
      </c>
      <c r="X247" s="13">
        <f t="shared" si="47"/>
        <v>6</v>
      </c>
      <c r="Y247" s="13">
        <f t="shared" si="47"/>
        <v>26</v>
      </c>
      <c r="Z247" s="13">
        <f t="shared" si="47"/>
        <v>18</v>
      </c>
      <c r="AA247" s="13">
        <f t="shared" si="47"/>
        <v>4</v>
      </c>
      <c r="AB247" s="13">
        <f t="shared" si="47"/>
        <v>2</v>
      </c>
      <c r="AC247" s="13">
        <f t="shared" si="47"/>
        <v>5</v>
      </c>
      <c r="AD247" s="13">
        <f t="shared" si="47"/>
        <v>2</v>
      </c>
      <c r="AE247" s="13">
        <f t="shared" si="47"/>
        <v>1</v>
      </c>
      <c r="AF247" s="13">
        <f t="shared" si="47"/>
        <v>1</v>
      </c>
      <c r="AG247" s="13">
        <f t="shared" si="47"/>
        <v>1</v>
      </c>
      <c r="AH247" s="13">
        <f t="shared" si="47"/>
        <v>2</v>
      </c>
      <c r="AI247" s="13">
        <f t="shared" si="47"/>
        <v>0</v>
      </c>
      <c r="AJ247" s="13">
        <f t="shared" si="47"/>
        <v>0</v>
      </c>
      <c r="AK247" s="13">
        <f t="shared" si="47"/>
        <v>7</v>
      </c>
      <c r="AL247" s="13">
        <f t="shared" si="47"/>
        <v>5</v>
      </c>
      <c r="AM247" s="13">
        <f t="shared" si="47"/>
        <v>0</v>
      </c>
      <c r="AN247" s="13">
        <f t="shared" si="47"/>
        <v>9</v>
      </c>
      <c r="AO247" s="13">
        <f t="shared" si="47"/>
        <v>2</v>
      </c>
      <c r="AP247" s="13">
        <f t="shared" si="47"/>
        <v>21</v>
      </c>
      <c r="AQ247" s="13">
        <f t="shared" si="47"/>
        <v>11</v>
      </c>
      <c r="AR247" s="13">
        <f t="shared" si="47"/>
        <v>2</v>
      </c>
      <c r="AS247" s="13">
        <f t="shared" si="47"/>
        <v>1</v>
      </c>
      <c r="AT247" s="13">
        <f t="shared" si="47"/>
        <v>1</v>
      </c>
      <c r="AU247" s="13">
        <f t="shared" si="47"/>
        <v>1</v>
      </c>
      <c r="AV247" s="13">
        <f t="shared" si="47"/>
        <v>0</v>
      </c>
      <c r="AW247" s="13">
        <f t="shared" si="47"/>
        <v>0</v>
      </c>
      <c r="AX247" s="13">
        <f t="shared" si="47"/>
        <v>327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1.0</v>
      </c>
      <c r="U249" s="19">
        <v>0.0</v>
      </c>
      <c r="V249" s="19">
        <v>0.0</v>
      </c>
      <c r="W249" s="19">
        <v>1.0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1.0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9">
        <v>0.0</v>
      </c>
      <c r="AW249" s="19">
        <v>0.0</v>
      </c>
      <c r="AX249" s="13">
        <f t="shared" ref="AX249:AX258" si="48">SUM(E249:AW249)</f>
        <v>4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0.0</v>
      </c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>
        <v>1.0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3">
        <f t="shared" si="48"/>
        <v>2</v>
      </c>
    </row>
    <row r="251" ht="12.75" customHeight="1">
      <c r="A251" s="18"/>
      <c r="B251" s="55">
        <v>2.0</v>
      </c>
      <c r="C251" s="66" t="s">
        <v>185</v>
      </c>
      <c r="D251" s="60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1.0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3">
        <f t="shared" si="48"/>
        <v>1</v>
      </c>
    </row>
    <row r="252" ht="12.75" customHeight="1">
      <c r="A252" s="18"/>
      <c r="B252" s="55">
        <v>3.0</v>
      </c>
      <c r="C252" s="66" t="s">
        <v>186</v>
      </c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3">
        <f t="shared" si="48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>
        <v>1.0</v>
      </c>
      <c r="U253" s="19"/>
      <c r="V253" s="19"/>
      <c r="W253" s="19"/>
      <c r="X253" s="19"/>
      <c r="Y253" s="19"/>
      <c r="Z253" s="19"/>
      <c r="AA253" s="19"/>
      <c r="AB253" s="19">
        <v>1.0</v>
      </c>
      <c r="AC253" s="19"/>
      <c r="AD253" s="19"/>
      <c r="AE253" s="19"/>
      <c r="AF253" s="19"/>
      <c r="AG253" s="19"/>
      <c r="AH253" s="19"/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3">
        <f t="shared" si="48"/>
        <v>2</v>
      </c>
    </row>
    <row r="254" ht="12.75" customHeight="1">
      <c r="A254" s="18"/>
      <c r="B254" s="55">
        <v>5.0</v>
      </c>
      <c r="C254" s="66" t="s">
        <v>188</v>
      </c>
      <c r="D254" s="60"/>
      <c r="E254" s="19"/>
      <c r="F254" s="19"/>
      <c r="G254" s="19"/>
      <c r="H254" s="19"/>
      <c r="I254" s="19"/>
      <c r="J254" s="19"/>
      <c r="K254" s="19"/>
      <c r="L254" s="19"/>
      <c r="M254" s="19">
        <v>1.0</v>
      </c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>
        <v>1.0</v>
      </c>
      <c r="Y254" s="19"/>
      <c r="Z254" s="19"/>
      <c r="AA254" s="19">
        <v>1.0</v>
      </c>
      <c r="AB254" s="19"/>
      <c r="AC254" s="19"/>
      <c r="AD254" s="19"/>
      <c r="AE254" s="19"/>
      <c r="AF254" s="19"/>
      <c r="AG254" s="19"/>
      <c r="AH254" s="19"/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1.0</v>
      </c>
      <c r="AV254" s="19">
        <v>0.0</v>
      </c>
      <c r="AW254" s="19">
        <v>0.0</v>
      </c>
      <c r="AX254" s="13">
        <f t="shared" si="48"/>
        <v>4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/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/>
      <c r="AV255" s="19">
        <v>0.0</v>
      </c>
      <c r="AW255" s="19">
        <v>0.0</v>
      </c>
      <c r="AX255" s="13">
        <f t="shared" si="48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3">
        <f t="shared" si="48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3">
        <f t="shared" si="48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X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2</v>
      </c>
      <c r="U259" s="13">
        <f t="shared" si="49"/>
        <v>0</v>
      </c>
      <c r="V259" s="13">
        <f t="shared" si="49"/>
        <v>0</v>
      </c>
      <c r="W259" s="13">
        <f t="shared" si="49"/>
        <v>1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1</v>
      </c>
      <c r="AH259" s="13">
        <f t="shared" si="49"/>
        <v>0</v>
      </c>
      <c r="AI259" s="13">
        <f t="shared" si="49"/>
        <v>1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1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1</v>
      </c>
      <c r="AV259" s="13">
        <f t="shared" si="49"/>
        <v>0</v>
      </c>
      <c r="AW259" s="13">
        <f t="shared" si="49"/>
        <v>0</v>
      </c>
      <c r="AX259" s="13">
        <f t="shared" si="49"/>
        <v>13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77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77"/>
      <c r="AQ261" s="13"/>
      <c r="AR261" s="13"/>
      <c r="AS261" s="13"/>
      <c r="AT261" s="13"/>
      <c r="AU261" s="13"/>
      <c r="AV261" s="13"/>
      <c r="AW261" s="13"/>
      <c r="AX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W262" si="50">E55+E67+E79+E91+E103+E115+E127+E139+E151+E163+E175+E187+E199+E211+E223+E235+E247+E259</f>
        <v>185</v>
      </c>
      <c r="F262" s="19">
        <f t="shared" si="50"/>
        <v>192</v>
      </c>
      <c r="G262" s="19">
        <f t="shared" si="50"/>
        <v>195</v>
      </c>
      <c r="H262" s="19">
        <f t="shared" si="50"/>
        <v>201</v>
      </c>
      <c r="I262" s="19">
        <f t="shared" si="50"/>
        <v>191</v>
      </c>
      <c r="J262" s="19">
        <f t="shared" si="50"/>
        <v>196</v>
      </c>
      <c r="K262" s="19">
        <f t="shared" si="50"/>
        <v>212</v>
      </c>
      <c r="L262" s="19">
        <f t="shared" si="50"/>
        <v>207</v>
      </c>
      <c r="M262" s="19">
        <f t="shared" si="50"/>
        <v>188</v>
      </c>
      <c r="N262" s="19">
        <f t="shared" si="50"/>
        <v>176</v>
      </c>
      <c r="O262" s="19">
        <f t="shared" si="50"/>
        <v>222</v>
      </c>
      <c r="P262" s="19">
        <f t="shared" si="50"/>
        <v>192</v>
      </c>
      <c r="Q262" s="19">
        <f t="shared" si="50"/>
        <v>207</v>
      </c>
      <c r="R262" s="19">
        <f t="shared" si="50"/>
        <v>205</v>
      </c>
      <c r="S262" s="19">
        <f t="shared" si="50"/>
        <v>181</v>
      </c>
      <c r="T262" s="19">
        <f t="shared" si="50"/>
        <v>131</v>
      </c>
      <c r="U262" s="19">
        <f t="shared" si="50"/>
        <v>171</v>
      </c>
      <c r="V262" s="19">
        <f t="shared" si="50"/>
        <v>191</v>
      </c>
      <c r="W262" s="19">
        <f t="shared" si="50"/>
        <v>196</v>
      </c>
      <c r="X262" s="19">
        <f t="shared" si="50"/>
        <v>170</v>
      </c>
      <c r="Y262" s="19">
        <f t="shared" si="50"/>
        <v>186</v>
      </c>
      <c r="Z262" s="19">
        <f t="shared" si="50"/>
        <v>200</v>
      </c>
      <c r="AA262" s="19">
        <f t="shared" si="50"/>
        <v>181</v>
      </c>
      <c r="AB262" s="19">
        <f t="shared" si="50"/>
        <v>210</v>
      </c>
      <c r="AC262" s="19">
        <f t="shared" si="50"/>
        <v>147</v>
      </c>
      <c r="AD262" s="19">
        <f t="shared" si="50"/>
        <v>194</v>
      </c>
      <c r="AE262" s="19">
        <f t="shared" si="50"/>
        <v>165</v>
      </c>
      <c r="AF262" s="19">
        <f t="shared" si="50"/>
        <v>193</v>
      </c>
      <c r="AG262" s="19">
        <f t="shared" si="50"/>
        <v>173</v>
      </c>
      <c r="AH262" s="19">
        <f t="shared" si="50"/>
        <v>213</v>
      </c>
      <c r="AI262" s="19">
        <f t="shared" si="50"/>
        <v>192</v>
      </c>
      <c r="AJ262" s="19">
        <f t="shared" si="50"/>
        <v>199</v>
      </c>
      <c r="AK262" s="19">
        <f t="shared" si="50"/>
        <v>204</v>
      </c>
      <c r="AL262" s="19">
        <f t="shared" si="50"/>
        <v>135</v>
      </c>
      <c r="AM262" s="19">
        <f t="shared" si="50"/>
        <v>92</v>
      </c>
      <c r="AN262" s="19">
        <f t="shared" si="50"/>
        <v>196</v>
      </c>
      <c r="AO262" s="19">
        <f t="shared" si="50"/>
        <v>180</v>
      </c>
      <c r="AP262" s="19">
        <f t="shared" si="50"/>
        <v>194</v>
      </c>
      <c r="AQ262" s="19">
        <f t="shared" si="50"/>
        <v>136</v>
      </c>
      <c r="AR262" s="19">
        <f t="shared" si="50"/>
        <v>166</v>
      </c>
      <c r="AS262" s="19">
        <f t="shared" si="50"/>
        <v>179</v>
      </c>
      <c r="AT262" s="19">
        <f t="shared" si="50"/>
        <v>188</v>
      </c>
      <c r="AU262" s="19">
        <f t="shared" si="50"/>
        <v>177</v>
      </c>
      <c r="AV262" s="19">
        <f t="shared" si="50"/>
        <v>131</v>
      </c>
      <c r="AW262" s="19">
        <f t="shared" si="50"/>
        <v>47</v>
      </c>
      <c r="AX262" s="13">
        <f t="shared" ref="AX262:AX264" si="51">SUM(E262:AW262)</f>
        <v>8087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17.0</v>
      </c>
      <c r="F263" s="19">
        <v>23.0</v>
      </c>
      <c r="G263" s="19">
        <v>17.0</v>
      </c>
      <c r="H263" s="19">
        <v>13.0</v>
      </c>
      <c r="I263" s="19">
        <v>14.0</v>
      </c>
      <c r="J263" s="19">
        <v>19.0</v>
      </c>
      <c r="K263" s="19">
        <v>10.0</v>
      </c>
      <c r="L263" s="19">
        <v>16.0</v>
      </c>
      <c r="M263" s="19">
        <v>25.0</v>
      </c>
      <c r="N263" s="19">
        <v>28.0</v>
      </c>
      <c r="O263" s="19">
        <v>15.0</v>
      </c>
      <c r="P263" s="19">
        <v>19.0</v>
      </c>
      <c r="Q263" s="19">
        <v>20.0</v>
      </c>
      <c r="R263" s="19">
        <v>14.0</v>
      </c>
      <c r="S263" s="19">
        <v>23.0</v>
      </c>
      <c r="T263" s="19">
        <v>18.0</v>
      </c>
      <c r="U263" s="19">
        <v>21.0</v>
      </c>
      <c r="V263" s="19">
        <v>24.0</v>
      </c>
      <c r="W263" s="19">
        <v>16.0</v>
      </c>
      <c r="X263" s="19">
        <v>17.0</v>
      </c>
      <c r="Y263" s="19">
        <v>19.0</v>
      </c>
      <c r="Z263" s="19">
        <v>26.0</v>
      </c>
      <c r="AA263" s="19">
        <v>21.0</v>
      </c>
      <c r="AB263" s="19">
        <v>20.0</v>
      </c>
      <c r="AC263" s="19">
        <v>13.0</v>
      </c>
      <c r="AD263" s="19">
        <v>18.0</v>
      </c>
      <c r="AE263" s="19">
        <v>21.0</v>
      </c>
      <c r="AF263" s="19">
        <v>6.0</v>
      </c>
      <c r="AG263" s="19">
        <v>11.0</v>
      </c>
      <c r="AH263" s="19">
        <v>15.0</v>
      </c>
      <c r="AI263" s="19">
        <v>16.0</v>
      </c>
      <c r="AJ263" s="19">
        <v>10.0</v>
      </c>
      <c r="AK263" s="19">
        <v>8.0</v>
      </c>
      <c r="AL263" s="19">
        <v>14.0</v>
      </c>
      <c r="AM263" s="19">
        <v>2.0</v>
      </c>
      <c r="AN263" s="19">
        <v>10.0</v>
      </c>
      <c r="AO263" s="19">
        <v>22.0</v>
      </c>
      <c r="AP263" s="19">
        <v>14.0</v>
      </c>
      <c r="AQ263" s="19">
        <v>16.0</v>
      </c>
      <c r="AR263" s="19">
        <v>13.0</v>
      </c>
      <c r="AS263" s="19">
        <v>26.0</v>
      </c>
      <c r="AT263" s="19">
        <v>15.0</v>
      </c>
      <c r="AU263" s="19">
        <v>41.0</v>
      </c>
      <c r="AV263" s="19">
        <v>1.0</v>
      </c>
      <c r="AW263" s="19">
        <v>4.0</v>
      </c>
      <c r="AX263" s="13">
        <f t="shared" si="51"/>
        <v>751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W264" si="52">SUM(E262:E263)</f>
        <v>202</v>
      </c>
      <c r="F264" s="13">
        <f t="shared" si="52"/>
        <v>215</v>
      </c>
      <c r="G264" s="13">
        <f t="shared" si="52"/>
        <v>212</v>
      </c>
      <c r="H264" s="13">
        <f t="shared" si="52"/>
        <v>214</v>
      </c>
      <c r="I264" s="13">
        <f t="shared" si="52"/>
        <v>205</v>
      </c>
      <c r="J264" s="13">
        <f t="shared" si="52"/>
        <v>215</v>
      </c>
      <c r="K264" s="13">
        <f t="shared" si="52"/>
        <v>222</v>
      </c>
      <c r="L264" s="13">
        <f t="shared" si="52"/>
        <v>223</v>
      </c>
      <c r="M264" s="13">
        <f t="shared" si="52"/>
        <v>213</v>
      </c>
      <c r="N264" s="13">
        <f t="shared" si="52"/>
        <v>204</v>
      </c>
      <c r="O264" s="13">
        <f t="shared" si="52"/>
        <v>237</v>
      </c>
      <c r="P264" s="13">
        <f t="shared" si="52"/>
        <v>211</v>
      </c>
      <c r="Q264" s="13">
        <f t="shared" si="52"/>
        <v>227</v>
      </c>
      <c r="R264" s="13">
        <f t="shared" si="52"/>
        <v>219</v>
      </c>
      <c r="S264" s="13">
        <f t="shared" si="52"/>
        <v>204</v>
      </c>
      <c r="T264" s="13">
        <f t="shared" si="52"/>
        <v>149</v>
      </c>
      <c r="U264" s="13">
        <f t="shared" si="52"/>
        <v>192</v>
      </c>
      <c r="V264" s="13">
        <f t="shared" si="52"/>
        <v>215</v>
      </c>
      <c r="W264" s="13">
        <f t="shared" si="52"/>
        <v>212</v>
      </c>
      <c r="X264" s="13">
        <f t="shared" si="52"/>
        <v>187</v>
      </c>
      <c r="Y264" s="13">
        <f t="shared" si="52"/>
        <v>205</v>
      </c>
      <c r="Z264" s="13">
        <f t="shared" si="52"/>
        <v>226</v>
      </c>
      <c r="AA264" s="13">
        <f t="shared" si="52"/>
        <v>202</v>
      </c>
      <c r="AB264" s="13">
        <f t="shared" si="52"/>
        <v>230</v>
      </c>
      <c r="AC264" s="13">
        <f t="shared" si="52"/>
        <v>160</v>
      </c>
      <c r="AD264" s="13">
        <f t="shared" si="52"/>
        <v>212</v>
      </c>
      <c r="AE264" s="13">
        <f t="shared" si="52"/>
        <v>186</v>
      </c>
      <c r="AF264" s="13">
        <f t="shared" si="52"/>
        <v>199</v>
      </c>
      <c r="AG264" s="13">
        <f t="shared" si="52"/>
        <v>184</v>
      </c>
      <c r="AH264" s="13">
        <f t="shared" si="52"/>
        <v>228</v>
      </c>
      <c r="AI264" s="13">
        <f t="shared" si="52"/>
        <v>208</v>
      </c>
      <c r="AJ264" s="13">
        <f t="shared" si="52"/>
        <v>209</v>
      </c>
      <c r="AK264" s="13">
        <f t="shared" si="52"/>
        <v>212</v>
      </c>
      <c r="AL264" s="13">
        <f t="shared" si="52"/>
        <v>149</v>
      </c>
      <c r="AM264" s="13">
        <f t="shared" si="52"/>
        <v>94</v>
      </c>
      <c r="AN264" s="13">
        <f t="shared" si="52"/>
        <v>206</v>
      </c>
      <c r="AO264" s="13">
        <f t="shared" si="52"/>
        <v>202</v>
      </c>
      <c r="AP264" s="13">
        <f t="shared" si="52"/>
        <v>208</v>
      </c>
      <c r="AQ264" s="13">
        <f t="shared" si="52"/>
        <v>152</v>
      </c>
      <c r="AR264" s="13">
        <f t="shared" si="52"/>
        <v>179</v>
      </c>
      <c r="AS264" s="13">
        <f t="shared" si="52"/>
        <v>205</v>
      </c>
      <c r="AT264" s="13">
        <f t="shared" si="52"/>
        <v>203</v>
      </c>
      <c r="AU264" s="13">
        <f t="shared" si="52"/>
        <v>218</v>
      </c>
      <c r="AV264" s="13">
        <f t="shared" si="52"/>
        <v>132</v>
      </c>
      <c r="AW264" s="13">
        <f t="shared" si="52"/>
        <v>51</v>
      </c>
      <c r="AX264" s="13">
        <f t="shared" si="51"/>
        <v>8838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W37"/>
    <mergeCell ref="B38:D38"/>
    <mergeCell ref="B39:C41"/>
    <mergeCell ref="A42:D42"/>
    <mergeCell ref="E42:AW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W15 E19:AW20 E22:AW23 E25:AW26 E33:AW33 E35:AW35 E39:AW40 E45:AW54 E57:AW66 E69:AW78 E81:AW90 E93:AW102 E105:AW114 E117:AW126 E129:AW138 E141:AW150 E153:AW162 E165:AW174 E177:AW186 E189:AW198 E201:AW210 E213:AW222 E225:AW234 E237:AW246 E249:AW258 E262:AW263">
    <cfRule type="containsBlanks" dxfId="1" priority="1">
      <formula>LEN(TRIM(E14))=0</formula>
    </cfRule>
  </conditionalFormatting>
  <conditionalFormatting sqref="E30:AW30">
    <cfRule type="expression" dxfId="0" priority="2">
      <formula>E30&lt;&gt;E47</formula>
    </cfRule>
  </conditionalFormatting>
  <conditionalFormatting sqref="E30:AW30">
    <cfRule type="expression" dxfId="0" priority="3">
      <formula>E30&lt;&gt;E34</formula>
    </cfRule>
  </conditionalFormatting>
  <conditionalFormatting sqref="E34:AW34">
    <cfRule type="expression" dxfId="2" priority="4">
      <formula>E30&lt;&gt;E34</formula>
    </cfRule>
  </conditionalFormatting>
  <conditionalFormatting sqref="E34:AW34">
    <cfRule type="expression" dxfId="3" priority="5">
      <formula>E30=E34</formula>
    </cfRule>
  </conditionalFormatting>
  <conditionalFormatting sqref="E34:AW34">
    <cfRule type="expression" dxfId="0" priority="6">
      <formula>E34&lt;&gt;E30</formula>
    </cfRule>
  </conditionalFormatting>
  <conditionalFormatting sqref="E34:AW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147.0</v>
      </c>
      <c r="G14" s="19">
        <v>138.0</v>
      </c>
      <c r="H14" s="19">
        <v>129.0</v>
      </c>
      <c r="I14" s="19">
        <v>138.0</v>
      </c>
      <c r="J14" s="19">
        <v>136.0</v>
      </c>
      <c r="K14" s="19">
        <v>136.0</v>
      </c>
      <c r="L14" s="19">
        <v>134.0</v>
      </c>
      <c r="M14" s="19">
        <v>130.0</v>
      </c>
      <c r="N14" s="19">
        <v>135.0</v>
      </c>
      <c r="O14" s="19">
        <v>134.0</v>
      </c>
      <c r="P14" s="19">
        <v>131.0</v>
      </c>
      <c r="Q14" s="19">
        <v>147.0</v>
      </c>
      <c r="R14" s="19">
        <v>140.0</v>
      </c>
      <c r="S14" s="19">
        <v>144.0</v>
      </c>
      <c r="T14" s="19">
        <v>140.0</v>
      </c>
      <c r="U14" s="19">
        <v>150.0</v>
      </c>
      <c r="V14" s="19">
        <v>143.0</v>
      </c>
      <c r="W14" s="19">
        <v>162.0</v>
      </c>
      <c r="X14" s="19">
        <v>149.0</v>
      </c>
      <c r="Y14" s="19">
        <v>145.0</v>
      </c>
      <c r="Z14" s="19">
        <v>141.0</v>
      </c>
      <c r="AA14" s="19">
        <v>143.0</v>
      </c>
      <c r="AB14" s="19">
        <v>118.0</v>
      </c>
      <c r="AC14" s="13">
        <f t="shared" ref="AC14:AC16" si="1">SUM(E14:AB14)</f>
        <v>3346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143.0</v>
      </c>
      <c r="G15" s="19">
        <v>130.0</v>
      </c>
      <c r="H15" s="19">
        <v>130.0</v>
      </c>
      <c r="I15" s="19">
        <v>136.0</v>
      </c>
      <c r="J15" s="19">
        <v>126.0</v>
      </c>
      <c r="K15" s="19">
        <v>125.0</v>
      </c>
      <c r="L15" s="19">
        <v>135.0</v>
      </c>
      <c r="M15" s="19">
        <v>130.0</v>
      </c>
      <c r="N15" s="19">
        <v>137.0</v>
      </c>
      <c r="O15" s="19">
        <v>137.0</v>
      </c>
      <c r="P15" s="19">
        <v>132.0</v>
      </c>
      <c r="Q15" s="19">
        <v>146.0</v>
      </c>
      <c r="R15" s="19">
        <v>150.0</v>
      </c>
      <c r="S15" s="19">
        <v>143.0</v>
      </c>
      <c r="T15" s="19">
        <v>148.0</v>
      </c>
      <c r="U15" s="19">
        <v>142.0</v>
      </c>
      <c r="V15" s="19">
        <v>150.0</v>
      </c>
      <c r="W15" s="19">
        <v>134.0</v>
      </c>
      <c r="X15" s="19">
        <v>127.0</v>
      </c>
      <c r="Y15" s="19">
        <v>143.0</v>
      </c>
      <c r="Z15" s="19">
        <v>134.0</v>
      </c>
      <c r="AA15" s="19">
        <v>131.0</v>
      </c>
      <c r="AB15" s="19">
        <v>104.0</v>
      </c>
      <c r="AC15" s="13">
        <f t="shared" si="1"/>
        <v>3259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282</v>
      </c>
      <c r="F16" s="13">
        <f t="shared" si="2"/>
        <v>290</v>
      </c>
      <c r="G16" s="13">
        <f t="shared" si="2"/>
        <v>268</v>
      </c>
      <c r="H16" s="13">
        <f t="shared" si="2"/>
        <v>259</v>
      </c>
      <c r="I16" s="13">
        <f t="shared" si="2"/>
        <v>274</v>
      </c>
      <c r="J16" s="13">
        <f t="shared" si="2"/>
        <v>262</v>
      </c>
      <c r="K16" s="13">
        <f t="shared" si="2"/>
        <v>261</v>
      </c>
      <c r="L16" s="13">
        <f t="shared" si="2"/>
        <v>269</v>
      </c>
      <c r="M16" s="13">
        <f t="shared" si="2"/>
        <v>260</v>
      </c>
      <c r="N16" s="13">
        <f t="shared" si="2"/>
        <v>272</v>
      </c>
      <c r="O16" s="13">
        <f t="shared" si="2"/>
        <v>271</v>
      </c>
      <c r="P16" s="13">
        <f t="shared" si="2"/>
        <v>263</v>
      </c>
      <c r="Q16" s="13">
        <f t="shared" si="2"/>
        <v>293</v>
      </c>
      <c r="R16" s="13">
        <f t="shared" si="2"/>
        <v>290</v>
      </c>
      <c r="S16" s="13">
        <f t="shared" si="2"/>
        <v>287</v>
      </c>
      <c r="T16" s="13">
        <f t="shared" si="2"/>
        <v>288</v>
      </c>
      <c r="U16" s="13">
        <f t="shared" si="2"/>
        <v>292</v>
      </c>
      <c r="V16" s="13">
        <f t="shared" si="2"/>
        <v>293</v>
      </c>
      <c r="W16" s="13">
        <f t="shared" si="2"/>
        <v>296</v>
      </c>
      <c r="X16" s="13">
        <f t="shared" si="2"/>
        <v>276</v>
      </c>
      <c r="Y16" s="13">
        <f t="shared" si="2"/>
        <v>288</v>
      </c>
      <c r="Z16" s="13">
        <f t="shared" si="2"/>
        <v>275</v>
      </c>
      <c r="AA16" s="13">
        <f t="shared" si="2"/>
        <v>274</v>
      </c>
      <c r="AB16" s="13">
        <f t="shared" si="2"/>
        <v>222</v>
      </c>
      <c r="AC16" s="13">
        <f t="shared" si="1"/>
        <v>6605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114.0</v>
      </c>
      <c r="G19" s="19">
        <v>103.0</v>
      </c>
      <c r="H19" s="19">
        <v>86.0</v>
      </c>
      <c r="I19" s="19">
        <v>102.0</v>
      </c>
      <c r="J19" s="19">
        <v>107.0</v>
      </c>
      <c r="K19" s="19">
        <v>96.0</v>
      </c>
      <c r="L19" s="19">
        <v>96.0</v>
      </c>
      <c r="M19" s="19">
        <v>95.0</v>
      </c>
      <c r="N19" s="19">
        <v>95.0</v>
      </c>
      <c r="O19" s="19">
        <v>104.0</v>
      </c>
      <c r="P19" s="19">
        <v>116.0</v>
      </c>
      <c r="Q19" s="19">
        <v>106.0</v>
      </c>
      <c r="R19" s="19">
        <v>105.0</v>
      </c>
      <c r="S19" s="19">
        <v>117.0</v>
      </c>
      <c r="T19" s="19">
        <v>105.0</v>
      </c>
      <c r="U19" s="19">
        <v>108.0</v>
      </c>
      <c r="V19" s="19">
        <v>107.0</v>
      </c>
      <c r="W19" s="19">
        <v>120.0</v>
      </c>
      <c r="X19" s="19">
        <v>112.0</v>
      </c>
      <c r="Y19" s="19">
        <v>106.0</v>
      </c>
      <c r="Z19" s="19">
        <v>105.0</v>
      </c>
      <c r="AA19" s="19">
        <v>117.0</v>
      </c>
      <c r="AB19" s="19">
        <v>76.0</v>
      </c>
      <c r="AC19" s="13">
        <f t="shared" ref="AC19:AC30" si="3">SUM(E19:AB19)</f>
        <v>2504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108.0</v>
      </c>
      <c r="G20" s="19">
        <v>98.0</v>
      </c>
      <c r="H20" s="19">
        <v>115.0</v>
      </c>
      <c r="I20" s="19">
        <v>95.0</v>
      </c>
      <c r="J20" s="19">
        <v>95.0</v>
      </c>
      <c r="K20" s="19">
        <v>97.0</v>
      </c>
      <c r="L20" s="19">
        <v>110.0</v>
      </c>
      <c r="M20" s="19">
        <v>95.0</v>
      </c>
      <c r="N20" s="19">
        <v>108.0</v>
      </c>
      <c r="O20" s="19">
        <v>100.0</v>
      </c>
      <c r="P20" s="19">
        <v>112.0</v>
      </c>
      <c r="Q20" s="19">
        <v>118.0</v>
      </c>
      <c r="R20" s="19">
        <v>112.0</v>
      </c>
      <c r="S20" s="19">
        <v>114.0</v>
      </c>
      <c r="T20" s="19">
        <v>108.0</v>
      </c>
      <c r="U20" s="19">
        <v>117.0</v>
      </c>
      <c r="V20" s="19">
        <v>129.0</v>
      </c>
      <c r="W20" s="19">
        <v>106.0</v>
      </c>
      <c r="X20" s="19">
        <v>93.0</v>
      </c>
      <c r="Y20" s="19">
        <v>108.0</v>
      </c>
      <c r="Z20" s="19">
        <v>106.0</v>
      </c>
      <c r="AA20" s="19">
        <v>106.0</v>
      </c>
      <c r="AB20" s="19">
        <v>69.0</v>
      </c>
      <c r="AC20" s="13">
        <f t="shared" si="3"/>
        <v>2522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209</v>
      </c>
      <c r="F21" s="13">
        <f t="shared" si="4"/>
        <v>222</v>
      </c>
      <c r="G21" s="13">
        <f t="shared" si="4"/>
        <v>201</v>
      </c>
      <c r="H21" s="13">
        <f t="shared" si="4"/>
        <v>201</v>
      </c>
      <c r="I21" s="13">
        <f t="shared" si="4"/>
        <v>197</v>
      </c>
      <c r="J21" s="13">
        <f t="shared" si="4"/>
        <v>202</v>
      </c>
      <c r="K21" s="13">
        <f t="shared" si="4"/>
        <v>193</v>
      </c>
      <c r="L21" s="13">
        <f t="shared" si="4"/>
        <v>206</v>
      </c>
      <c r="M21" s="13">
        <f t="shared" si="4"/>
        <v>190</v>
      </c>
      <c r="N21" s="13">
        <f t="shared" si="4"/>
        <v>203</v>
      </c>
      <c r="O21" s="13">
        <f t="shared" si="4"/>
        <v>204</v>
      </c>
      <c r="P21" s="13">
        <f t="shared" si="4"/>
        <v>228</v>
      </c>
      <c r="Q21" s="13">
        <f t="shared" si="4"/>
        <v>224</v>
      </c>
      <c r="R21" s="13">
        <f t="shared" si="4"/>
        <v>217</v>
      </c>
      <c r="S21" s="13">
        <f t="shared" si="4"/>
        <v>231</v>
      </c>
      <c r="T21" s="13">
        <f t="shared" si="4"/>
        <v>213</v>
      </c>
      <c r="U21" s="13">
        <f t="shared" si="4"/>
        <v>225</v>
      </c>
      <c r="V21" s="13">
        <f t="shared" si="4"/>
        <v>236</v>
      </c>
      <c r="W21" s="13">
        <f t="shared" si="4"/>
        <v>226</v>
      </c>
      <c r="X21" s="13">
        <f t="shared" si="4"/>
        <v>205</v>
      </c>
      <c r="Y21" s="13">
        <f t="shared" si="4"/>
        <v>214</v>
      </c>
      <c r="Z21" s="13">
        <f t="shared" si="4"/>
        <v>211</v>
      </c>
      <c r="AA21" s="13">
        <f t="shared" si="4"/>
        <v>223</v>
      </c>
      <c r="AB21" s="13">
        <f t="shared" si="4"/>
        <v>145</v>
      </c>
      <c r="AC21" s="13">
        <f t="shared" si="3"/>
        <v>5026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9"/>
      <c r="AA22" s="19"/>
      <c r="AB22" s="19"/>
      <c r="AC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9"/>
      <c r="AC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1.0</v>
      </c>
      <c r="I25" s="19">
        <v>0.0</v>
      </c>
      <c r="J25" s="19">
        <v>1.0</v>
      </c>
      <c r="K25" s="19">
        <v>2.0</v>
      </c>
      <c r="L25" s="19">
        <v>3.0</v>
      </c>
      <c r="M25" s="19">
        <v>0.0</v>
      </c>
      <c r="N25" s="19">
        <v>0.0</v>
      </c>
      <c r="O25" s="19">
        <v>2.0</v>
      </c>
      <c r="P25" s="19">
        <v>1.0</v>
      </c>
      <c r="Q25" s="19">
        <v>4.0</v>
      </c>
      <c r="R25" s="19">
        <v>1.0</v>
      </c>
      <c r="S25" s="19">
        <v>0.0</v>
      </c>
      <c r="T25" s="19">
        <v>6.0</v>
      </c>
      <c r="U25" s="19">
        <v>2.0</v>
      </c>
      <c r="V25" s="19">
        <v>0.0</v>
      </c>
      <c r="W25" s="19">
        <v>1.0</v>
      </c>
      <c r="X25" s="19">
        <v>1.0</v>
      </c>
      <c r="Y25" s="19">
        <v>0.0</v>
      </c>
      <c r="Z25" s="19">
        <v>0.0</v>
      </c>
      <c r="AA25" s="19">
        <v>2.0</v>
      </c>
      <c r="AB25" s="19">
        <v>0.0</v>
      </c>
      <c r="AC25" s="13">
        <f t="shared" si="3"/>
        <v>28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0.0</v>
      </c>
      <c r="H26" s="19">
        <v>0.0</v>
      </c>
      <c r="I26" s="19">
        <v>0.0</v>
      </c>
      <c r="J26" s="19">
        <v>4.0</v>
      </c>
      <c r="K26" s="19">
        <v>3.0</v>
      </c>
      <c r="L26" s="19">
        <v>1.0</v>
      </c>
      <c r="M26" s="19">
        <v>0.0</v>
      </c>
      <c r="N26" s="19">
        <v>2.0</v>
      </c>
      <c r="O26" s="19">
        <v>3.0</v>
      </c>
      <c r="P26" s="19">
        <v>1.0</v>
      </c>
      <c r="Q26" s="19">
        <v>4.0</v>
      </c>
      <c r="R26" s="19">
        <v>4.0</v>
      </c>
      <c r="S26" s="19">
        <v>0.0</v>
      </c>
      <c r="T26" s="19">
        <v>5.0</v>
      </c>
      <c r="U26" s="19">
        <v>3.0</v>
      </c>
      <c r="V26" s="19">
        <v>4.0</v>
      </c>
      <c r="W26" s="19">
        <v>0.0</v>
      </c>
      <c r="X26" s="19">
        <v>0.0</v>
      </c>
      <c r="Y26" s="19">
        <v>1.0</v>
      </c>
      <c r="Z26" s="19">
        <v>2.0</v>
      </c>
      <c r="AA26" s="19">
        <v>0.0</v>
      </c>
      <c r="AB26" s="19">
        <v>1.0</v>
      </c>
      <c r="AC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5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5</v>
      </c>
      <c r="K27" s="13">
        <f t="shared" si="6"/>
        <v>5</v>
      </c>
      <c r="L27" s="13">
        <f t="shared" si="6"/>
        <v>4</v>
      </c>
      <c r="M27" s="13">
        <f t="shared" si="6"/>
        <v>0</v>
      </c>
      <c r="N27" s="13">
        <f t="shared" si="6"/>
        <v>2</v>
      </c>
      <c r="O27" s="13">
        <f t="shared" si="6"/>
        <v>5</v>
      </c>
      <c r="P27" s="13">
        <f t="shared" si="6"/>
        <v>2</v>
      </c>
      <c r="Q27" s="13">
        <f t="shared" si="6"/>
        <v>8</v>
      </c>
      <c r="R27" s="13">
        <f t="shared" si="6"/>
        <v>5</v>
      </c>
      <c r="S27" s="13">
        <f t="shared" si="6"/>
        <v>0</v>
      </c>
      <c r="T27" s="13">
        <f t="shared" si="6"/>
        <v>11</v>
      </c>
      <c r="U27" s="13">
        <f t="shared" si="6"/>
        <v>5</v>
      </c>
      <c r="V27" s="13">
        <f t="shared" si="6"/>
        <v>4</v>
      </c>
      <c r="W27" s="13">
        <f t="shared" si="6"/>
        <v>1</v>
      </c>
      <c r="X27" s="13">
        <f t="shared" si="6"/>
        <v>1</v>
      </c>
      <c r="Y27" s="13">
        <f t="shared" si="6"/>
        <v>1</v>
      </c>
      <c r="Z27" s="13">
        <f t="shared" si="6"/>
        <v>2</v>
      </c>
      <c r="AA27" s="13">
        <f t="shared" si="6"/>
        <v>2</v>
      </c>
      <c r="AB27" s="13">
        <f t="shared" si="6"/>
        <v>1</v>
      </c>
      <c r="AC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108</v>
      </c>
      <c r="F28" s="13">
        <f t="shared" si="7"/>
        <v>114</v>
      </c>
      <c r="G28" s="13">
        <f t="shared" si="7"/>
        <v>103</v>
      </c>
      <c r="H28" s="13">
        <f t="shared" si="7"/>
        <v>88</v>
      </c>
      <c r="I28" s="13">
        <f t="shared" si="7"/>
        <v>102</v>
      </c>
      <c r="J28" s="13">
        <f t="shared" si="7"/>
        <v>108</v>
      </c>
      <c r="K28" s="13">
        <f t="shared" si="7"/>
        <v>98</v>
      </c>
      <c r="L28" s="13">
        <f t="shared" si="7"/>
        <v>99</v>
      </c>
      <c r="M28" s="13">
        <f t="shared" si="7"/>
        <v>95</v>
      </c>
      <c r="N28" s="13">
        <f t="shared" si="7"/>
        <v>96</v>
      </c>
      <c r="O28" s="13">
        <f t="shared" si="7"/>
        <v>106</v>
      </c>
      <c r="P28" s="13">
        <f t="shared" si="7"/>
        <v>117</v>
      </c>
      <c r="Q28" s="13">
        <f t="shared" si="7"/>
        <v>110</v>
      </c>
      <c r="R28" s="13">
        <f t="shared" si="7"/>
        <v>106</v>
      </c>
      <c r="S28" s="13">
        <f t="shared" si="7"/>
        <v>117</v>
      </c>
      <c r="T28" s="13">
        <f t="shared" si="7"/>
        <v>111</v>
      </c>
      <c r="U28" s="13">
        <f t="shared" si="7"/>
        <v>110</v>
      </c>
      <c r="V28" s="13">
        <f t="shared" si="7"/>
        <v>107</v>
      </c>
      <c r="W28" s="13">
        <f t="shared" si="7"/>
        <v>121</v>
      </c>
      <c r="X28" s="13">
        <f t="shared" si="7"/>
        <v>113</v>
      </c>
      <c r="Y28" s="13">
        <f t="shared" si="7"/>
        <v>106</v>
      </c>
      <c r="Z28" s="13">
        <f t="shared" si="7"/>
        <v>105</v>
      </c>
      <c r="AA28" s="13">
        <f t="shared" si="7"/>
        <v>119</v>
      </c>
      <c r="AB28" s="13">
        <f t="shared" si="7"/>
        <v>76</v>
      </c>
      <c r="AC28" s="13">
        <f t="shared" si="3"/>
        <v>2535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107</v>
      </c>
      <c r="F29" s="13">
        <f t="shared" si="8"/>
        <v>109</v>
      </c>
      <c r="G29" s="13">
        <f t="shared" si="8"/>
        <v>98</v>
      </c>
      <c r="H29" s="13">
        <f t="shared" si="8"/>
        <v>116</v>
      </c>
      <c r="I29" s="13">
        <f t="shared" si="8"/>
        <v>95</v>
      </c>
      <c r="J29" s="13">
        <f t="shared" si="8"/>
        <v>99</v>
      </c>
      <c r="K29" s="13">
        <f t="shared" si="8"/>
        <v>100</v>
      </c>
      <c r="L29" s="13">
        <f t="shared" si="8"/>
        <v>111</v>
      </c>
      <c r="M29" s="13">
        <f t="shared" si="8"/>
        <v>95</v>
      </c>
      <c r="N29" s="13">
        <f t="shared" si="8"/>
        <v>110</v>
      </c>
      <c r="O29" s="13">
        <f t="shared" si="8"/>
        <v>103</v>
      </c>
      <c r="P29" s="13">
        <f t="shared" si="8"/>
        <v>113</v>
      </c>
      <c r="Q29" s="13">
        <f t="shared" si="8"/>
        <v>122</v>
      </c>
      <c r="R29" s="13">
        <f t="shared" si="8"/>
        <v>116</v>
      </c>
      <c r="S29" s="13">
        <f t="shared" si="8"/>
        <v>114</v>
      </c>
      <c r="T29" s="13">
        <f t="shared" si="8"/>
        <v>113</v>
      </c>
      <c r="U29" s="13">
        <f t="shared" si="8"/>
        <v>120</v>
      </c>
      <c r="V29" s="13">
        <f t="shared" si="8"/>
        <v>133</v>
      </c>
      <c r="W29" s="13">
        <f t="shared" si="8"/>
        <v>106</v>
      </c>
      <c r="X29" s="13">
        <f t="shared" si="8"/>
        <v>93</v>
      </c>
      <c r="Y29" s="13">
        <f t="shared" si="8"/>
        <v>109</v>
      </c>
      <c r="Z29" s="13">
        <f t="shared" si="8"/>
        <v>108</v>
      </c>
      <c r="AA29" s="13">
        <f t="shared" si="8"/>
        <v>106</v>
      </c>
      <c r="AB29" s="13">
        <f t="shared" si="8"/>
        <v>70</v>
      </c>
      <c r="AC29" s="13">
        <f t="shared" si="3"/>
        <v>2566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215</v>
      </c>
      <c r="F30" s="13">
        <f t="shared" si="9"/>
        <v>223</v>
      </c>
      <c r="G30" s="13">
        <f t="shared" si="9"/>
        <v>201</v>
      </c>
      <c r="H30" s="13">
        <f t="shared" si="9"/>
        <v>204</v>
      </c>
      <c r="I30" s="13">
        <f t="shared" si="9"/>
        <v>197</v>
      </c>
      <c r="J30" s="13">
        <f t="shared" si="9"/>
        <v>207</v>
      </c>
      <c r="K30" s="13">
        <f t="shared" si="9"/>
        <v>198</v>
      </c>
      <c r="L30" s="13">
        <f t="shared" si="9"/>
        <v>210</v>
      </c>
      <c r="M30" s="13">
        <f t="shared" si="9"/>
        <v>190</v>
      </c>
      <c r="N30" s="13">
        <f t="shared" si="9"/>
        <v>206</v>
      </c>
      <c r="O30" s="13">
        <f t="shared" si="9"/>
        <v>209</v>
      </c>
      <c r="P30" s="13">
        <f t="shared" si="9"/>
        <v>230</v>
      </c>
      <c r="Q30" s="13">
        <f t="shared" si="9"/>
        <v>232</v>
      </c>
      <c r="R30" s="13">
        <f t="shared" si="9"/>
        <v>222</v>
      </c>
      <c r="S30" s="13">
        <f t="shared" si="9"/>
        <v>231</v>
      </c>
      <c r="T30" s="13">
        <f t="shared" si="9"/>
        <v>224</v>
      </c>
      <c r="U30" s="13">
        <f t="shared" si="9"/>
        <v>230</v>
      </c>
      <c r="V30" s="13">
        <f t="shared" si="9"/>
        <v>240</v>
      </c>
      <c r="W30" s="13">
        <f t="shared" si="9"/>
        <v>227</v>
      </c>
      <c r="X30" s="13">
        <f t="shared" si="9"/>
        <v>206</v>
      </c>
      <c r="Y30" s="13">
        <f t="shared" si="9"/>
        <v>215</v>
      </c>
      <c r="Z30" s="13">
        <f t="shared" si="9"/>
        <v>213</v>
      </c>
      <c r="AA30" s="13">
        <f t="shared" si="9"/>
        <v>225</v>
      </c>
      <c r="AB30" s="13">
        <f t="shared" si="9"/>
        <v>146</v>
      </c>
      <c r="AC30" s="13">
        <f t="shared" si="3"/>
        <v>5101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76"/>
    </row>
    <row r="33" ht="12.75" customHeight="1">
      <c r="A33" s="19">
        <v>1.0</v>
      </c>
      <c r="B33" s="20" t="s">
        <v>27</v>
      </c>
      <c r="C33" s="15"/>
      <c r="D33" s="16"/>
      <c r="E33" s="19">
        <v>288.0</v>
      </c>
      <c r="F33" s="19">
        <v>296.0</v>
      </c>
      <c r="G33" s="19">
        <v>274.0</v>
      </c>
      <c r="H33" s="19">
        <v>265.0</v>
      </c>
      <c r="I33" s="19">
        <v>280.0</v>
      </c>
      <c r="J33" s="19">
        <v>268.0</v>
      </c>
      <c r="K33" s="19">
        <v>277.0</v>
      </c>
      <c r="L33" s="19">
        <v>275.0</v>
      </c>
      <c r="M33" s="19">
        <v>266.0</v>
      </c>
      <c r="N33" s="19">
        <v>276.0</v>
      </c>
      <c r="O33" s="19">
        <v>277.0</v>
      </c>
      <c r="P33" s="19">
        <v>268.0</v>
      </c>
      <c r="Q33" s="19">
        <v>299.0</v>
      </c>
      <c r="R33" s="19">
        <v>296.0</v>
      </c>
      <c r="S33" s="19">
        <v>293.0</v>
      </c>
      <c r="T33" s="19">
        <v>294.0</v>
      </c>
      <c r="U33" s="19">
        <v>298.0</v>
      </c>
      <c r="V33" s="19">
        <v>299.0</v>
      </c>
      <c r="W33" s="19">
        <v>302.0</v>
      </c>
      <c r="X33" s="19">
        <v>282.0</v>
      </c>
      <c r="Y33" s="19">
        <v>294.0</v>
      </c>
      <c r="Z33" s="19">
        <v>281.0</v>
      </c>
      <c r="AA33" s="19">
        <v>281.0</v>
      </c>
      <c r="AB33" s="19">
        <v>227.0</v>
      </c>
      <c r="AC33" s="13">
        <f t="shared" ref="AC33:AC36" si="10">SUM(E33:AB33)</f>
        <v>6756</v>
      </c>
    </row>
    <row r="34" ht="12.75" customHeight="1">
      <c r="A34" s="19">
        <v>2.0</v>
      </c>
      <c r="B34" s="20" t="s">
        <v>28</v>
      </c>
      <c r="C34" s="15"/>
      <c r="D34" s="16"/>
      <c r="E34" s="13">
        <v>215.0</v>
      </c>
      <c r="F34" s="13">
        <v>223.0</v>
      </c>
      <c r="G34" s="13">
        <v>201.0</v>
      </c>
      <c r="H34" s="13">
        <v>204.0</v>
      </c>
      <c r="I34" s="13">
        <v>197.0</v>
      </c>
      <c r="J34" s="13">
        <v>207.0</v>
      </c>
      <c r="K34" s="13">
        <v>198.0</v>
      </c>
      <c r="L34" s="13">
        <v>210.0</v>
      </c>
      <c r="M34" s="13">
        <v>190.0</v>
      </c>
      <c r="N34" s="13">
        <v>206.0</v>
      </c>
      <c r="O34" s="13">
        <v>209.0</v>
      </c>
      <c r="P34" s="13">
        <v>230.0</v>
      </c>
      <c r="Q34" s="13">
        <v>232.0</v>
      </c>
      <c r="R34" s="13">
        <v>222.0</v>
      </c>
      <c r="S34" s="13">
        <v>231.0</v>
      </c>
      <c r="T34" s="13">
        <v>224.0</v>
      </c>
      <c r="U34" s="13">
        <v>230.0</v>
      </c>
      <c r="V34" s="13">
        <v>240.0</v>
      </c>
      <c r="W34" s="13">
        <v>227.0</v>
      </c>
      <c r="X34" s="13">
        <v>206.0</v>
      </c>
      <c r="Y34" s="13">
        <v>215.0</v>
      </c>
      <c r="Z34" s="13">
        <v>213.0</v>
      </c>
      <c r="AA34" s="13">
        <v>225.0</v>
      </c>
      <c r="AB34" s="13">
        <v>146.0</v>
      </c>
      <c r="AC34" s="13">
        <f t="shared" si="10"/>
        <v>5101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9"/>
      <c r="Y35" s="19"/>
      <c r="Z35" s="19"/>
      <c r="AA35" s="19"/>
      <c r="AB35" s="19"/>
      <c r="AC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73</v>
      </c>
      <c r="F36" s="13">
        <f t="shared" si="11"/>
        <v>73</v>
      </c>
      <c r="G36" s="13">
        <f t="shared" si="11"/>
        <v>73</v>
      </c>
      <c r="H36" s="13">
        <f t="shared" si="11"/>
        <v>61</v>
      </c>
      <c r="I36" s="13">
        <f t="shared" si="11"/>
        <v>82</v>
      </c>
      <c r="J36" s="13">
        <f t="shared" si="11"/>
        <v>61</v>
      </c>
      <c r="K36" s="13">
        <f t="shared" si="11"/>
        <v>79</v>
      </c>
      <c r="L36" s="13">
        <f t="shared" si="11"/>
        <v>65</v>
      </c>
      <c r="M36" s="13">
        <f t="shared" si="11"/>
        <v>76</v>
      </c>
      <c r="N36" s="13">
        <f t="shared" si="11"/>
        <v>70</v>
      </c>
      <c r="O36" s="13">
        <f t="shared" si="11"/>
        <v>68</v>
      </c>
      <c r="P36" s="13">
        <f t="shared" si="11"/>
        <v>38</v>
      </c>
      <c r="Q36" s="13">
        <f t="shared" si="11"/>
        <v>67</v>
      </c>
      <c r="R36" s="13">
        <f t="shared" si="11"/>
        <v>74</v>
      </c>
      <c r="S36" s="13">
        <f t="shared" si="11"/>
        <v>62</v>
      </c>
      <c r="T36" s="13">
        <f t="shared" si="11"/>
        <v>70</v>
      </c>
      <c r="U36" s="13">
        <f t="shared" si="11"/>
        <v>68</v>
      </c>
      <c r="V36" s="13">
        <f t="shared" si="11"/>
        <v>59</v>
      </c>
      <c r="W36" s="13">
        <f t="shared" si="11"/>
        <v>75</v>
      </c>
      <c r="X36" s="13">
        <f t="shared" si="11"/>
        <v>76</v>
      </c>
      <c r="Y36" s="13">
        <f t="shared" si="11"/>
        <v>79</v>
      </c>
      <c r="Z36" s="13">
        <f t="shared" si="11"/>
        <v>68</v>
      </c>
      <c r="AA36" s="13">
        <f t="shared" si="11"/>
        <v>56</v>
      </c>
      <c r="AB36" s="13">
        <f t="shared" si="11"/>
        <v>81</v>
      </c>
      <c r="AC36" s="13">
        <f t="shared" si="10"/>
        <v>1654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6"/>
      <c r="AC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>
        <v>1.0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>
        <v>1.0</v>
      </c>
      <c r="Z39" s="19"/>
      <c r="AA39" s="19"/>
      <c r="AB39" s="19"/>
      <c r="AC39" s="13">
        <f t="shared" ref="AC39:AC41" si="12">SUM(E39:AB39)</f>
        <v>2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>
        <v>2.0</v>
      </c>
      <c r="H40" s="19">
        <v>3.0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>
        <v>1.0</v>
      </c>
      <c r="Z40" s="19"/>
      <c r="AA40" s="19">
        <v>1.0</v>
      </c>
      <c r="AB40" s="19"/>
      <c r="AC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1</v>
      </c>
      <c r="F41" s="13">
        <f t="shared" si="13"/>
        <v>0</v>
      </c>
      <c r="G41" s="13">
        <f t="shared" si="13"/>
        <v>2</v>
      </c>
      <c r="H41" s="13">
        <f t="shared" si="13"/>
        <v>4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6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6.0</v>
      </c>
      <c r="G45" s="19">
        <v>4.0</v>
      </c>
      <c r="H45" s="19">
        <v>13.0</v>
      </c>
      <c r="I45" s="19">
        <v>13.0</v>
      </c>
      <c r="J45" s="19">
        <v>9.0</v>
      </c>
      <c r="K45" s="19">
        <v>6.0</v>
      </c>
      <c r="L45" s="19">
        <v>7.0</v>
      </c>
      <c r="M45" s="19">
        <v>12.0</v>
      </c>
      <c r="N45" s="19">
        <v>1.0</v>
      </c>
      <c r="O45" s="19">
        <v>14.0</v>
      </c>
      <c r="P45" s="19">
        <v>8.0</v>
      </c>
      <c r="Q45" s="19">
        <v>2.0</v>
      </c>
      <c r="R45" s="19">
        <v>3.0</v>
      </c>
      <c r="S45" s="19">
        <v>8.0</v>
      </c>
      <c r="T45" s="19">
        <v>6.0</v>
      </c>
      <c r="U45" s="19">
        <v>17.0</v>
      </c>
      <c r="V45" s="19">
        <v>26.0</v>
      </c>
      <c r="W45" s="19">
        <v>13.0</v>
      </c>
      <c r="X45" s="19">
        <v>0.0</v>
      </c>
      <c r="Y45" s="19">
        <v>4.0</v>
      </c>
      <c r="Z45" s="19">
        <v>1.0</v>
      </c>
      <c r="AA45" s="19">
        <v>3.0</v>
      </c>
      <c r="AB45" s="19">
        <v>7.0</v>
      </c>
      <c r="AC45" s="13">
        <f t="shared" ref="AC45:AC54" si="14">SUM(E45:AB45)</f>
        <v>189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31.0</v>
      </c>
      <c r="F46" s="19">
        <v>46.0</v>
      </c>
      <c r="G46" s="19">
        <v>33.0</v>
      </c>
      <c r="H46" s="19">
        <v>44.0</v>
      </c>
      <c r="I46" s="19">
        <v>54.0</v>
      </c>
      <c r="J46" s="19">
        <v>25.0</v>
      </c>
      <c r="K46" s="19">
        <v>24.0</v>
      </c>
      <c r="L46" s="19">
        <v>37.0</v>
      </c>
      <c r="M46" s="19">
        <v>40.0</v>
      </c>
      <c r="N46" s="19">
        <v>39.0</v>
      </c>
      <c r="O46" s="19">
        <v>33.0</v>
      </c>
      <c r="P46" s="19">
        <v>16.0</v>
      </c>
      <c r="Q46" s="19">
        <v>14.0</v>
      </c>
      <c r="R46" s="19">
        <v>12.0</v>
      </c>
      <c r="S46" s="19">
        <v>18.0</v>
      </c>
      <c r="T46" s="19">
        <v>31.0</v>
      </c>
      <c r="U46" s="19">
        <v>53.0</v>
      </c>
      <c r="V46" s="19">
        <v>99.0</v>
      </c>
      <c r="W46" s="19">
        <v>35.0</v>
      </c>
      <c r="X46" s="19">
        <v>1.0</v>
      </c>
      <c r="Y46" s="19">
        <v>5.0</v>
      </c>
      <c r="Z46" s="19">
        <v>0.0</v>
      </c>
      <c r="AA46" s="19">
        <v>1.0</v>
      </c>
      <c r="AB46" s="19">
        <v>28.0</v>
      </c>
      <c r="AC46" s="13">
        <f t="shared" si="14"/>
        <v>719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3.0</v>
      </c>
      <c r="H47" s="19">
        <v>4.0</v>
      </c>
      <c r="I47" s="19">
        <v>1.0</v>
      </c>
      <c r="J47" s="19">
        <v>0.0</v>
      </c>
      <c r="K47" s="19">
        <v>5.0</v>
      </c>
      <c r="L47" s="19">
        <v>1.0</v>
      </c>
      <c r="M47" s="19">
        <v>0.0</v>
      </c>
      <c r="N47" s="19">
        <v>1.0</v>
      </c>
      <c r="O47" s="19">
        <v>1.0</v>
      </c>
      <c r="P47" s="19">
        <v>3.0</v>
      </c>
      <c r="Q47" s="19">
        <v>1.0</v>
      </c>
      <c r="R47" s="19">
        <v>0.0</v>
      </c>
      <c r="S47" s="19">
        <v>0.0</v>
      </c>
      <c r="T47" s="19">
        <v>0.0</v>
      </c>
      <c r="U47" s="19">
        <v>1.0</v>
      </c>
      <c r="V47" s="19">
        <v>5.0</v>
      </c>
      <c r="W47" s="19">
        <v>2.0</v>
      </c>
      <c r="X47" s="19">
        <v>0.0</v>
      </c>
      <c r="Y47" s="19">
        <v>0.0</v>
      </c>
      <c r="Z47" s="19">
        <v>0.0</v>
      </c>
      <c r="AA47" s="19">
        <v>1.0</v>
      </c>
      <c r="AB47" s="19">
        <v>0.0</v>
      </c>
      <c r="AC47" s="13">
        <f t="shared" si="14"/>
        <v>31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2.0</v>
      </c>
      <c r="H48" s="19">
        <v>0.0</v>
      </c>
      <c r="I48" s="19">
        <v>4.0</v>
      </c>
      <c r="J48" s="19">
        <v>0.0</v>
      </c>
      <c r="K48" s="19">
        <v>3.0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0.0</v>
      </c>
      <c r="R48" s="19">
        <v>0.0</v>
      </c>
      <c r="S48" s="19">
        <v>0.0</v>
      </c>
      <c r="T48" s="19">
        <v>1.0</v>
      </c>
      <c r="U48" s="19">
        <v>0.0</v>
      </c>
      <c r="V48" s="19">
        <v>2.0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3">
        <f t="shared" si="14"/>
        <v>14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4.0</v>
      </c>
      <c r="H49" s="19">
        <v>0.0</v>
      </c>
      <c r="I49" s="19">
        <v>0.0</v>
      </c>
      <c r="J49" s="19">
        <v>1.0</v>
      </c>
      <c r="K49" s="19">
        <v>1.0</v>
      </c>
      <c r="L49" s="19">
        <v>3.0</v>
      </c>
      <c r="M49" s="19">
        <v>1.0</v>
      </c>
      <c r="N49" s="19">
        <v>0.0</v>
      </c>
      <c r="O49" s="19">
        <v>0.0</v>
      </c>
      <c r="P49" s="19">
        <v>0.0</v>
      </c>
      <c r="Q49" s="19">
        <v>1.0</v>
      </c>
      <c r="R49" s="19">
        <v>0.0</v>
      </c>
      <c r="S49" s="19">
        <v>1.0</v>
      </c>
      <c r="T49" s="19">
        <v>0.0</v>
      </c>
      <c r="U49" s="19">
        <v>1.0</v>
      </c>
      <c r="V49" s="19">
        <v>1.0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3">
        <f t="shared" si="14"/>
        <v>15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1.0</v>
      </c>
      <c r="H50" s="19">
        <v>0.0</v>
      </c>
      <c r="I50" s="19">
        <v>3.0</v>
      </c>
      <c r="J50" s="19">
        <v>0.0</v>
      </c>
      <c r="K50" s="19">
        <v>0.0</v>
      </c>
      <c r="L50" s="19">
        <v>1.0</v>
      </c>
      <c r="M50" s="19">
        <v>1.0</v>
      </c>
      <c r="N50" s="19">
        <v>0.0</v>
      </c>
      <c r="O50" s="19">
        <v>2.0</v>
      </c>
      <c r="P50" s="19">
        <v>0.0</v>
      </c>
      <c r="Q50" s="19">
        <v>1.0</v>
      </c>
      <c r="R50" s="19">
        <v>0.0</v>
      </c>
      <c r="S50" s="19">
        <v>0.0</v>
      </c>
      <c r="T50" s="19">
        <v>0.0</v>
      </c>
      <c r="U50" s="19">
        <v>0.0</v>
      </c>
      <c r="V50" s="19">
        <v>1.0</v>
      </c>
      <c r="W50" s="19">
        <v>1.0</v>
      </c>
      <c r="X50" s="19">
        <v>0.0</v>
      </c>
      <c r="Y50" s="19">
        <v>2.0</v>
      </c>
      <c r="Z50" s="19">
        <v>0.0</v>
      </c>
      <c r="AA50" s="19">
        <v>0.0</v>
      </c>
      <c r="AB50" s="19">
        <v>2.0</v>
      </c>
      <c r="AC50" s="13">
        <f t="shared" si="14"/>
        <v>16</v>
      </c>
    </row>
    <row r="51" ht="12.75" customHeight="1">
      <c r="A51" s="18"/>
      <c r="B51" s="55">
        <v>6.0</v>
      </c>
      <c r="C51" s="50" t="s">
        <v>45</v>
      </c>
      <c r="D51" s="16"/>
      <c r="E51" s="19">
        <v>2.0</v>
      </c>
      <c r="F51" s="19">
        <v>0.0</v>
      </c>
      <c r="G51" s="19">
        <v>3.0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3.0</v>
      </c>
      <c r="N51" s="19">
        <v>0.0</v>
      </c>
      <c r="O51" s="19">
        <v>1.0</v>
      </c>
      <c r="P51" s="19">
        <v>1.0</v>
      </c>
      <c r="Q51" s="19">
        <v>0.0</v>
      </c>
      <c r="R51" s="19">
        <v>0.0</v>
      </c>
      <c r="S51" s="19">
        <v>0.0</v>
      </c>
      <c r="T51" s="19">
        <v>1.0</v>
      </c>
      <c r="U51" s="19">
        <v>1.0</v>
      </c>
      <c r="V51" s="19">
        <v>1.0</v>
      </c>
      <c r="W51" s="19">
        <v>1.0</v>
      </c>
      <c r="X51" s="19">
        <v>0.0</v>
      </c>
      <c r="Y51" s="19">
        <v>0.0</v>
      </c>
      <c r="Z51" s="19">
        <v>1.0</v>
      </c>
      <c r="AA51" s="19">
        <v>0.0</v>
      </c>
      <c r="AB51" s="19">
        <v>0.0</v>
      </c>
      <c r="AC51" s="13">
        <f t="shared" si="14"/>
        <v>16</v>
      </c>
    </row>
    <row r="52" ht="12.75" customHeight="1">
      <c r="A52" s="18"/>
      <c r="B52" s="55">
        <v>7.0</v>
      </c>
      <c r="C52" s="50" t="s">
        <v>46</v>
      </c>
      <c r="D52" s="16"/>
      <c r="E52" s="19">
        <v>2.0</v>
      </c>
      <c r="F52" s="19">
        <v>2.0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1.0</v>
      </c>
      <c r="P52" s="19">
        <v>0.0</v>
      </c>
      <c r="Q52" s="19">
        <v>1.0</v>
      </c>
      <c r="R52" s="19">
        <v>0.0</v>
      </c>
      <c r="S52" s="19">
        <v>0.0</v>
      </c>
      <c r="T52" s="19">
        <v>2.0</v>
      </c>
      <c r="U52" s="19">
        <v>2.0</v>
      </c>
      <c r="V52" s="19">
        <v>0.0</v>
      </c>
      <c r="W52" s="19">
        <v>1.0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3">
        <f t="shared" si="14"/>
        <v>11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C55" si="15">SUM(E45:E54)</f>
        <v>43</v>
      </c>
      <c r="F55" s="13">
        <f t="shared" si="15"/>
        <v>57</v>
      </c>
      <c r="G55" s="13">
        <f t="shared" si="15"/>
        <v>50</v>
      </c>
      <c r="H55" s="13">
        <f t="shared" si="15"/>
        <v>61</v>
      </c>
      <c r="I55" s="13">
        <f t="shared" si="15"/>
        <v>75</v>
      </c>
      <c r="J55" s="13">
        <f t="shared" si="15"/>
        <v>35</v>
      </c>
      <c r="K55" s="13">
        <f t="shared" si="15"/>
        <v>40</v>
      </c>
      <c r="L55" s="13">
        <f t="shared" si="15"/>
        <v>49</v>
      </c>
      <c r="M55" s="13">
        <f t="shared" si="15"/>
        <v>57</v>
      </c>
      <c r="N55" s="13">
        <f t="shared" si="15"/>
        <v>41</v>
      </c>
      <c r="O55" s="13">
        <f t="shared" si="15"/>
        <v>53</v>
      </c>
      <c r="P55" s="13">
        <f t="shared" si="15"/>
        <v>28</v>
      </c>
      <c r="Q55" s="13">
        <f t="shared" si="15"/>
        <v>20</v>
      </c>
      <c r="R55" s="13">
        <f t="shared" si="15"/>
        <v>15</v>
      </c>
      <c r="S55" s="13">
        <f t="shared" si="15"/>
        <v>27</v>
      </c>
      <c r="T55" s="13">
        <f t="shared" si="15"/>
        <v>41</v>
      </c>
      <c r="U55" s="13">
        <f t="shared" si="15"/>
        <v>75</v>
      </c>
      <c r="V55" s="13">
        <f t="shared" si="15"/>
        <v>135</v>
      </c>
      <c r="W55" s="13">
        <f t="shared" si="15"/>
        <v>53</v>
      </c>
      <c r="X55" s="13">
        <f t="shared" si="15"/>
        <v>1</v>
      </c>
      <c r="Y55" s="13">
        <f t="shared" si="15"/>
        <v>11</v>
      </c>
      <c r="Z55" s="13">
        <f t="shared" si="15"/>
        <v>2</v>
      </c>
      <c r="AA55" s="13">
        <f t="shared" si="15"/>
        <v>5</v>
      </c>
      <c r="AB55" s="13">
        <f t="shared" si="15"/>
        <v>37</v>
      </c>
      <c r="AC55" s="13">
        <f t="shared" si="15"/>
        <v>1011</v>
      </c>
    </row>
    <row r="56" ht="12.75" customHeight="1">
      <c r="A56" s="45"/>
      <c r="B56" s="44"/>
      <c r="C56" s="44"/>
      <c r="D56" s="44"/>
      <c r="E56" s="44"/>
      <c r="AC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10.0</v>
      </c>
      <c r="G57" s="19">
        <v>5.0</v>
      </c>
      <c r="H57" s="19">
        <v>14.0</v>
      </c>
      <c r="I57" s="19">
        <v>9.0</v>
      </c>
      <c r="J57" s="19">
        <v>13.0</v>
      </c>
      <c r="K57" s="19">
        <v>2.0</v>
      </c>
      <c r="L57" s="19">
        <v>5.0</v>
      </c>
      <c r="M57" s="19">
        <v>11.0</v>
      </c>
      <c r="N57" s="19">
        <v>9.0</v>
      </c>
      <c r="O57" s="19">
        <v>7.0</v>
      </c>
      <c r="P57" s="19">
        <v>17.0</v>
      </c>
      <c r="Q57" s="19">
        <v>13.0</v>
      </c>
      <c r="R57" s="19">
        <v>10.0</v>
      </c>
      <c r="S57" s="19">
        <v>9.0</v>
      </c>
      <c r="T57" s="19">
        <v>11.0</v>
      </c>
      <c r="U57" s="19">
        <v>3.0</v>
      </c>
      <c r="V57" s="19">
        <v>3.0</v>
      </c>
      <c r="W57" s="19">
        <v>14.0</v>
      </c>
      <c r="X57" s="19">
        <v>0.0</v>
      </c>
      <c r="Y57" s="19">
        <v>12.0</v>
      </c>
      <c r="Z57" s="19">
        <v>4.0</v>
      </c>
      <c r="AA57" s="19">
        <v>3.0</v>
      </c>
      <c r="AB57" s="19">
        <v>6.0</v>
      </c>
      <c r="AC57" s="13">
        <f t="shared" ref="AC57:AC66" si="16">SUM(E57:AB57)</f>
        <v>195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7.0</v>
      </c>
      <c r="F58" s="19">
        <v>8.0</v>
      </c>
      <c r="G58" s="19">
        <v>5.0</v>
      </c>
      <c r="H58" s="19">
        <v>6.0</v>
      </c>
      <c r="I58" s="19">
        <v>4.0</v>
      </c>
      <c r="J58" s="19">
        <v>6.0</v>
      </c>
      <c r="K58" s="19">
        <v>4.0</v>
      </c>
      <c r="L58" s="19">
        <v>10.0</v>
      </c>
      <c r="M58" s="19">
        <v>2.0</v>
      </c>
      <c r="N58" s="19">
        <v>5.0</v>
      </c>
      <c r="O58" s="19">
        <v>11.0</v>
      </c>
      <c r="P58" s="19">
        <v>13.0</v>
      </c>
      <c r="Q58" s="19">
        <v>9.0</v>
      </c>
      <c r="R58" s="19">
        <v>8.0</v>
      </c>
      <c r="S58" s="19">
        <v>8.0</v>
      </c>
      <c r="T58" s="19">
        <v>6.0</v>
      </c>
      <c r="U58" s="19">
        <v>10.0</v>
      </c>
      <c r="V58" s="19">
        <v>6.0</v>
      </c>
      <c r="W58" s="19">
        <v>19.0</v>
      </c>
      <c r="X58" s="19">
        <v>2.0</v>
      </c>
      <c r="Y58" s="19">
        <v>5.0</v>
      </c>
      <c r="Z58" s="19">
        <v>4.0</v>
      </c>
      <c r="AA58" s="19">
        <v>4.0</v>
      </c>
      <c r="AB58" s="19">
        <v>9.0</v>
      </c>
      <c r="AC58" s="13">
        <f t="shared" si="16"/>
        <v>171</v>
      </c>
    </row>
    <row r="59" ht="12.75" customHeight="1">
      <c r="A59" s="18"/>
      <c r="B59" s="55">
        <v>2.0</v>
      </c>
      <c r="C59" s="50" t="s">
        <v>50</v>
      </c>
      <c r="D59" s="59"/>
      <c r="E59" s="19">
        <v>5.0</v>
      </c>
      <c r="F59" s="19">
        <v>7.0</v>
      </c>
      <c r="G59" s="19">
        <v>12.0</v>
      </c>
      <c r="H59" s="19">
        <v>3.0</v>
      </c>
      <c r="I59" s="19">
        <v>22.0</v>
      </c>
      <c r="J59" s="19">
        <v>23.0</v>
      </c>
      <c r="K59" s="19">
        <v>11.0</v>
      </c>
      <c r="L59" s="19">
        <v>14.0</v>
      </c>
      <c r="M59" s="19">
        <v>7.0</v>
      </c>
      <c r="N59" s="19">
        <v>12.0</v>
      </c>
      <c r="O59" s="19">
        <v>8.0</v>
      </c>
      <c r="P59" s="19">
        <v>21.0</v>
      </c>
      <c r="Q59" s="19">
        <v>25.0</v>
      </c>
      <c r="R59" s="19">
        <v>12.0</v>
      </c>
      <c r="S59" s="19">
        <v>14.0</v>
      </c>
      <c r="T59" s="19">
        <v>6.0</v>
      </c>
      <c r="U59" s="19">
        <v>7.0</v>
      </c>
      <c r="V59" s="19">
        <v>1.0</v>
      </c>
      <c r="W59" s="19">
        <v>16.0</v>
      </c>
      <c r="X59" s="19">
        <v>3.0</v>
      </c>
      <c r="Y59" s="19">
        <v>3.0</v>
      </c>
      <c r="Z59" s="19">
        <v>6.0</v>
      </c>
      <c r="AA59" s="19">
        <v>5.0</v>
      </c>
      <c r="AB59" s="19">
        <v>3.0</v>
      </c>
      <c r="AC59" s="13">
        <f t="shared" si="16"/>
        <v>246</v>
      </c>
    </row>
    <row r="60" ht="12.75" customHeight="1">
      <c r="A60" s="18"/>
      <c r="B60" s="55">
        <v>3.0</v>
      </c>
      <c r="C60" s="50" t="s">
        <v>51</v>
      </c>
      <c r="D60" s="59"/>
      <c r="E60" s="19">
        <v>3.0</v>
      </c>
      <c r="F60" s="19">
        <v>1.0</v>
      </c>
      <c r="G60" s="19">
        <v>1.0</v>
      </c>
      <c r="H60" s="19">
        <v>1.0</v>
      </c>
      <c r="I60" s="19">
        <v>2.0</v>
      </c>
      <c r="J60" s="19">
        <v>1.0</v>
      </c>
      <c r="K60" s="19">
        <v>0.0</v>
      </c>
      <c r="L60" s="19">
        <v>0.0</v>
      </c>
      <c r="M60" s="19">
        <v>1.0</v>
      </c>
      <c r="N60" s="19">
        <v>0.0</v>
      </c>
      <c r="O60" s="19">
        <v>2.0</v>
      </c>
      <c r="P60" s="19">
        <v>1.0</v>
      </c>
      <c r="Q60" s="19">
        <v>4.0</v>
      </c>
      <c r="R60" s="19">
        <v>3.0</v>
      </c>
      <c r="S60" s="19">
        <v>1.0</v>
      </c>
      <c r="T60" s="19">
        <v>1.0</v>
      </c>
      <c r="U60" s="19">
        <v>1.0</v>
      </c>
      <c r="V60" s="19">
        <v>1.0</v>
      </c>
      <c r="W60" s="19">
        <v>3.0</v>
      </c>
      <c r="X60" s="19">
        <v>0.0</v>
      </c>
      <c r="Y60" s="19">
        <v>0.0</v>
      </c>
      <c r="Z60" s="19">
        <v>1.0</v>
      </c>
      <c r="AA60" s="19">
        <v>0.0</v>
      </c>
      <c r="AB60" s="19">
        <v>1.0</v>
      </c>
      <c r="AC60" s="13">
        <f t="shared" si="16"/>
        <v>29</v>
      </c>
    </row>
    <row r="61" ht="12.75" customHeight="1">
      <c r="A61" s="18"/>
      <c r="B61" s="55">
        <v>4.0</v>
      </c>
      <c r="C61" s="50" t="s">
        <v>52</v>
      </c>
      <c r="D61" s="59"/>
      <c r="E61" s="19">
        <v>5.0</v>
      </c>
      <c r="F61" s="19">
        <v>4.0</v>
      </c>
      <c r="G61" s="19">
        <v>4.0</v>
      </c>
      <c r="H61" s="19">
        <v>0.0</v>
      </c>
      <c r="I61" s="19">
        <v>1.0</v>
      </c>
      <c r="J61" s="19">
        <v>3.0</v>
      </c>
      <c r="K61" s="19">
        <v>5.0</v>
      </c>
      <c r="L61" s="19">
        <v>10.0</v>
      </c>
      <c r="M61" s="19">
        <v>5.0</v>
      </c>
      <c r="N61" s="19">
        <v>1.0</v>
      </c>
      <c r="O61" s="19">
        <v>0.0</v>
      </c>
      <c r="P61" s="19">
        <v>7.0</v>
      </c>
      <c r="Q61" s="19">
        <v>0.0</v>
      </c>
      <c r="R61" s="19">
        <v>1.0</v>
      </c>
      <c r="S61" s="19">
        <v>2.0</v>
      </c>
      <c r="T61" s="19">
        <v>1.0</v>
      </c>
      <c r="U61" s="19">
        <v>1.0</v>
      </c>
      <c r="V61" s="19">
        <v>0.0</v>
      </c>
      <c r="W61" s="19">
        <v>1.0</v>
      </c>
      <c r="X61" s="19">
        <v>1.0</v>
      </c>
      <c r="Y61" s="19">
        <v>2.0</v>
      </c>
      <c r="Z61" s="19">
        <v>1.0</v>
      </c>
      <c r="AA61" s="19">
        <v>6.0</v>
      </c>
      <c r="AB61" s="19">
        <v>1.0</v>
      </c>
      <c r="AC61" s="13">
        <f t="shared" si="16"/>
        <v>62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1.0</v>
      </c>
      <c r="K62" s="19">
        <v>1.0</v>
      </c>
      <c r="L62" s="19">
        <v>0.0</v>
      </c>
      <c r="M62" s="19">
        <v>0.0</v>
      </c>
      <c r="N62" s="19">
        <v>2.0</v>
      </c>
      <c r="O62" s="19">
        <v>0.0</v>
      </c>
      <c r="P62" s="19">
        <v>1.0</v>
      </c>
      <c r="Q62" s="19">
        <v>1.0</v>
      </c>
      <c r="R62" s="19">
        <v>1.0</v>
      </c>
      <c r="S62" s="19">
        <v>0.0</v>
      </c>
      <c r="T62" s="19">
        <v>1.0</v>
      </c>
      <c r="U62" s="19">
        <v>0.0</v>
      </c>
      <c r="V62" s="19">
        <v>0.0</v>
      </c>
      <c r="W62" s="19">
        <v>1.0</v>
      </c>
      <c r="X62" s="19">
        <v>0.0</v>
      </c>
      <c r="Y62" s="19">
        <v>0.0</v>
      </c>
      <c r="Z62" s="19">
        <v>2.0</v>
      </c>
      <c r="AA62" s="19">
        <v>1.0</v>
      </c>
      <c r="AB62" s="19">
        <v>0.0</v>
      </c>
      <c r="AC62" s="13">
        <f t="shared" si="16"/>
        <v>13</v>
      </c>
    </row>
    <row r="63" ht="12.75" customHeight="1">
      <c r="A63" s="18"/>
      <c r="B63" s="55">
        <v>6.0</v>
      </c>
      <c r="C63" s="50" t="s">
        <v>54</v>
      </c>
      <c r="D63" s="60"/>
      <c r="E63" s="19">
        <v>9.0</v>
      </c>
      <c r="F63" s="19">
        <v>6.0</v>
      </c>
      <c r="G63" s="19">
        <v>2.0</v>
      </c>
      <c r="H63" s="19">
        <v>4.0</v>
      </c>
      <c r="I63" s="19">
        <v>2.0</v>
      </c>
      <c r="J63" s="19">
        <v>3.0</v>
      </c>
      <c r="K63" s="19">
        <v>4.0</v>
      </c>
      <c r="L63" s="19">
        <v>3.0</v>
      </c>
      <c r="M63" s="19">
        <v>6.0</v>
      </c>
      <c r="N63" s="19">
        <v>3.0</v>
      </c>
      <c r="O63" s="19">
        <v>6.0</v>
      </c>
      <c r="P63" s="19">
        <v>5.0</v>
      </c>
      <c r="Q63" s="19">
        <v>6.0</v>
      </c>
      <c r="R63" s="19">
        <v>5.0</v>
      </c>
      <c r="S63" s="19">
        <v>1.0</v>
      </c>
      <c r="T63" s="19">
        <v>1.0</v>
      </c>
      <c r="U63" s="19">
        <v>2.0</v>
      </c>
      <c r="V63" s="19">
        <v>5.0</v>
      </c>
      <c r="W63" s="19">
        <v>1.0</v>
      </c>
      <c r="X63" s="19">
        <v>0.0</v>
      </c>
      <c r="Y63" s="19">
        <v>1.0</v>
      </c>
      <c r="Z63" s="19">
        <v>3.0</v>
      </c>
      <c r="AA63" s="19">
        <v>1.0</v>
      </c>
      <c r="AB63" s="19">
        <v>0.0</v>
      </c>
      <c r="AC63" s="13">
        <f t="shared" si="16"/>
        <v>79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2.0</v>
      </c>
      <c r="G64" s="19">
        <v>0.0</v>
      </c>
      <c r="H64" s="19">
        <v>1.0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9">
        <v>1.0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3">
        <f t="shared" si="16"/>
        <v>8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C67" si="17">SUM(E57:E66)</f>
        <v>34</v>
      </c>
      <c r="F67" s="13">
        <f t="shared" si="17"/>
        <v>38</v>
      </c>
      <c r="G67" s="13">
        <f t="shared" si="17"/>
        <v>29</v>
      </c>
      <c r="H67" s="13">
        <f t="shared" si="17"/>
        <v>30</v>
      </c>
      <c r="I67" s="13">
        <f t="shared" si="17"/>
        <v>41</v>
      </c>
      <c r="J67" s="13">
        <f t="shared" si="17"/>
        <v>50</v>
      </c>
      <c r="K67" s="13">
        <f t="shared" si="17"/>
        <v>27</v>
      </c>
      <c r="L67" s="13">
        <f t="shared" si="17"/>
        <v>42</v>
      </c>
      <c r="M67" s="13">
        <f t="shared" si="17"/>
        <v>32</v>
      </c>
      <c r="N67" s="13">
        <f t="shared" si="17"/>
        <v>32</v>
      </c>
      <c r="O67" s="13">
        <f t="shared" si="17"/>
        <v>35</v>
      </c>
      <c r="P67" s="13">
        <f t="shared" si="17"/>
        <v>66</v>
      </c>
      <c r="Q67" s="13">
        <f t="shared" si="17"/>
        <v>58</v>
      </c>
      <c r="R67" s="13">
        <f t="shared" si="17"/>
        <v>40</v>
      </c>
      <c r="S67" s="13">
        <f t="shared" si="17"/>
        <v>35</v>
      </c>
      <c r="T67" s="13">
        <f t="shared" si="17"/>
        <v>27</v>
      </c>
      <c r="U67" s="13">
        <f t="shared" si="17"/>
        <v>25</v>
      </c>
      <c r="V67" s="13">
        <f t="shared" si="17"/>
        <v>16</v>
      </c>
      <c r="W67" s="13">
        <f t="shared" si="17"/>
        <v>56</v>
      </c>
      <c r="X67" s="13">
        <f t="shared" si="17"/>
        <v>6</v>
      </c>
      <c r="Y67" s="13">
        <f t="shared" si="17"/>
        <v>23</v>
      </c>
      <c r="Z67" s="13">
        <f t="shared" si="17"/>
        <v>21</v>
      </c>
      <c r="AA67" s="13">
        <f t="shared" si="17"/>
        <v>20</v>
      </c>
      <c r="AB67" s="13">
        <f t="shared" si="17"/>
        <v>20</v>
      </c>
      <c r="AC67" s="13">
        <f t="shared" si="17"/>
        <v>803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3">
        <f t="shared" ref="AC69:AC78" si="18">SUM(E69:AB69)</f>
        <v>0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3">
        <f t="shared" si="18"/>
        <v>0</v>
      </c>
    </row>
    <row r="71" ht="12.75" customHeight="1">
      <c r="A71" s="18"/>
      <c r="B71" s="55">
        <v>2.0</v>
      </c>
      <c r="C71" s="50" t="s">
        <v>58</v>
      </c>
      <c r="D71" s="60"/>
      <c r="E71" s="19">
        <v>14.0</v>
      </c>
      <c r="F71" s="19">
        <v>8.0</v>
      </c>
      <c r="G71" s="19">
        <v>17.0</v>
      </c>
      <c r="H71" s="19">
        <v>10.0</v>
      </c>
      <c r="I71" s="19">
        <v>4.0</v>
      </c>
      <c r="J71" s="19">
        <v>17.0</v>
      </c>
      <c r="K71" s="19">
        <v>8.0</v>
      </c>
      <c r="L71" s="19">
        <v>2.0</v>
      </c>
      <c r="M71" s="19">
        <v>5.0</v>
      </c>
      <c r="N71" s="19">
        <v>2.0</v>
      </c>
      <c r="O71" s="19">
        <v>4.0</v>
      </c>
      <c r="P71" s="19">
        <v>8.0</v>
      </c>
      <c r="Q71" s="19">
        <v>29.0</v>
      </c>
      <c r="R71" s="19">
        <v>7.0</v>
      </c>
      <c r="S71" s="19">
        <v>14.0</v>
      </c>
      <c r="T71" s="19">
        <v>10.0</v>
      </c>
      <c r="U71" s="19">
        <v>7.0</v>
      </c>
      <c r="V71" s="19">
        <v>6.0</v>
      </c>
      <c r="W71" s="19">
        <v>6.0</v>
      </c>
      <c r="X71" s="19">
        <v>10.0</v>
      </c>
      <c r="Y71" s="19">
        <v>13.0</v>
      </c>
      <c r="Z71" s="19">
        <v>18.0</v>
      </c>
      <c r="AA71" s="19">
        <v>10.0</v>
      </c>
      <c r="AB71" s="19">
        <v>15.0</v>
      </c>
      <c r="AC71" s="13">
        <f t="shared" si="18"/>
        <v>244</v>
      </c>
    </row>
    <row r="72" ht="12.75" customHeight="1">
      <c r="A72" s="18"/>
      <c r="B72" s="55">
        <v>3.0</v>
      </c>
      <c r="C72" s="50" t="s">
        <v>59</v>
      </c>
      <c r="D72" s="60"/>
      <c r="E72" s="19">
        <v>7.0</v>
      </c>
      <c r="F72" s="19">
        <v>10.0</v>
      </c>
      <c r="G72" s="19">
        <v>7.0</v>
      </c>
      <c r="H72" s="19">
        <v>3.0</v>
      </c>
      <c r="I72" s="19">
        <v>3.0</v>
      </c>
      <c r="J72" s="19">
        <v>9.0</v>
      </c>
      <c r="K72" s="19">
        <v>6.0</v>
      </c>
      <c r="L72" s="19">
        <v>0.0</v>
      </c>
      <c r="M72" s="19">
        <v>4.0</v>
      </c>
      <c r="N72" s="19">
        <v>3.0</v>
      </c>
      <c r="O72" s="19">
        <v>4.0</v>
      </c>
      <c r="P72" s="19">
        <v>10.0</v>
      </c>
      <c r="Q72" s="19">
        <v>5.0</v>
      </c>
      <c r="R72" s="19">
        <v>10.0</v>
      </c>
      <c r="S72" s="19">
        <v>5.0</v>
      </c>
      <c r="T72" s="19">
        <v>4.0</v>
      </c>
      <c r="U72" s="19">
        <v>3.0</v>
      </c>
      <c r="V72" s="19">
        <v>6.0</v>
      </c>
      <c r="W72" s="19">
        <v>0.0</v>
      </c>
      <c r="X72" s="19">
        <v>15.0</v>
      </c>
      <c r="Y72" s="19">
        <v>23.0</v>
      </c>
      <c r="Z72" s="19">
        <v>12.0</v>
      </c>
      <c r="AA72" s="19">
        <v>19.0</v>
      </c>
      <c r="AB72" s="19">
        <v>11.0</v>
      </c>
      <c r="AC72" s="13">
        <f t="shared" si="18"/>
        <v>179</v>
      </c>
    </row>
    <row r="73" ht="12.75" customHeight="1">
      <c r="A73" s="18"/>
      <c r="B73" s="55">
        <v>4.0</v>
      </c>
      <c r="C73" s="50" t="s">
        <v>60</v>
      </c>
      <c r="D73" s="60"/>
      <c r="E73" s="19">
        <v>13.0</v>
      </c>
      <c r="F73" s="19">
        <v>7.0</v>
      </c>
      <c r="G73" s="19">
        <v>8.0</v>
      </c>
      <c r="H73" s="19">
        <v>3.0</v>
      </c>
      <c r="I73" s="19">
        <v>2.0</v>
      </c>
      <c r="J73" s="19">
        <v>12.0</v>
      </c>
      <c r="K73" s="19">
        <v>8.0</v>
      </c>
      <c r="L73" s="19">
        <v>4.0</v>
      </c>
      <c r="M73" s="19">
        <v>4.0</v>
      </c>
      <c r="N73" s="19">
        <v>4.0</v>
      </c>
      <c r="O73" s="19">
        <v>2.0</v>
      </c>
      <c r="P73" s="19">
        <v>7.0</v>
      </c>
      <c r="Q73" s="19">
        <v>45.0</v>
      </c>
      <c r="R73" s="19">
        <v>72.0</v>
      </c>
      <c r="S73" s="19">
        <v>29.0</v>
      </c>
      <c r="T73" s="19">
        <v>29.0</v>
      </c>
      <c r="U73" s="19">
        <v>23.0</v>
      </c>
      <c r="V73" s="19">
        <v>4.0</v>
      </c>
      <c r="W73" s="19">
        <v>2.0</v>
      </c>
      <c r="X73" s="19">
        <v>10.0</v>
      </c>
      <c r="Y73" s="19">
        <v>11.0</v>
      </c>
      <c r="Z73" s="19">
        <v>5.0</v>
      </c>
      <c r="AA73" s="19">
        <v>9.0</v>
      </c>
      <c r="AB73" s="19">
        <v>8.0</v>
      </c>
      <c r="AC73" s="13">
        <f t="shared" si="18"/>
        <v>321</v>
      </c>
    </row>
    <row r="74" ht="12.75" customHeight="1">
      <c r="A74" s="18"/>
      <c r="B74" s="55">
        <v>5.0</v>
      </c>
      <c r="C74" s="50" t="s">
        <v>61</v>
      </c>
      <c r="D74" s="60"/>
      <c r="E74" s="19">
        <v>10.0</v>
      </c>
      <c r="F74" s="19">
        <v>3.0</v>
      </c>
      <c r="G74" s="19">
        <v>4.0</v>
      </c>
      <c r="H74" s="19">
        <v>7.0</v>
      </c>
      <c r="I74" s="19">
        <v>2.0</v>
      </c>
      <c r="J74" s="19">
        <v>4.0</v>
      </c>
      <c r="K74" s="19">
        <v>3.0</v>
      </c>
      <c r="L74" s="19">
        <v>3.0</v>
      </c>
      <c r="M74" s="19">
        <v>1.0</v>
      </c>
      <c r="N74" s="19">
        <v>2.0</v>
      </c>
      <c r="O74" s="19">
        <v>0.0</v>
      </c>
      <c r="P74" s="19">
        <v>3.0</v>
      </c>
      <c r="Q74" s="19">
        <v>4.0</v>
      </c>
      <c r="R74" s="19">
        <v>5.0</v>
      </c>
      <c r="S74" s="19">
        <v>2.0</v>
      </c>
      <c r="T74" s="19">
        <v>6.0</v>
      </c>
      <c r="U74" s="19">
        <v>6.0</v>
      </c>
      <c r="V74" s="19">
        <v>4.0</v>
      </c>
      <c r="W74" s="19">
        <v>4.0</v>
      </c>
      <c r="X74" s="19">
        <v>4.0</v>
      </c>
      <c r="Y74" s="19">
        <v>5.0</v>
      </c>
      <c r="Z74" s="19">
        <v>4.0</v>
      </c>
      <c r="AA74" s="19">
        <v>9.0</v>
      </c>
      <c r="AB74" s="19">
        <v>3.0</v>
      </c>
      <c r="AC74" s="13">
        <f t="shared" si="18"/>
        <v>98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4.0</v>
      </c>
      <c r="H75" s="19">
        <v>0.0</v>
      </c>
      <c r="I75" s="19">
        <v>1.0</v>
      </c>
      <c r="J75" s="19">
        <v>2.0</v>
      </c>
      <c r="K75" s="19">
        <v>4.0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2.0</v>
      </c>
      <c r="S75" s="19">
        <v>0.0</v>
      </c>
      <c r="T75" s="19">
        <v>2.0</v>
      </c>
      <c r="U75" s="19">
        <v>2.0</v>
      </c>
      <c r="V75" s="19">
        <v>0.0</v>
      </c>
      <c r="W75" s="19">
        <v>0.0</v>
      </c>
      <c r="X75" s="19">
        <v>0.0</v>
      </c>
      <c r="Y75" s="19">
        <v>4.0</v>
      </c>
      <c r="Z75" s="19">
        <v>3.0</v>
      </c>
      <c r="AA75" s="19">
        <v>1.0</v>
      </c>
      <c r="AB75" s="19">
        <v>1.0</v>
      </c>
      <c r="AC75" s="13">
        <f t="shared" si="18"/>
        <v>28</v>
      </c>
    </row>
    <row r="76" ht="12.75" customHeight="1">
      <c r="A76" s="18"/>
      <c r="B76" s="55">
        <v>7.0</v>
      </c>
      <c r="C76" s="50" t="s">
        <v>63</v>
      </c>
      <c r="D76" s="60"/>
      <c r="E76" s="19">
        <v>9.0</v>
      </c>
      <c r="F76" s="19">
        <v>3.0</v>
      </c>
      <c r="G76" s="19">
        <v>5.0</v>
      </c>
      <c r="H76" s="19">
        <v>2.0</v>
      </c>
      <c r="I76" s="19">
        <v>2.0</v>
      </c>
      <c r="J76" s="19">
        <v>3.0</v>
      </c>
      <c r="K76" s="19">
        <v>12.0</v>
      </c>
      <c r="L76" s="19">
        <v>3.0</v>
      </c>
      <c r="M76" s="19">
        <v>5.0</v>
      </c>
      <c r="N76" s="19">
        <v>7.0</v>
      </c>
      <c r="O76" s="19">
        <v>4.0</v>
      </c>
      <c r="P76" s="19">
        <v>1.0</v>
      </c>
      <c r="Q76" s="19">
        <v>13.0</v>
      </c>
      <c r="R76" s="19">
        <v>17.0</v>
      </c>
      <c r="S76" s="19">
        <v>13.0</v>
      </c>
      <c r="T76" s="19">
        <v>2.0</v>
      </c>
      <c r="U76" s="19">
        <v>6.0</v>
      </c>
      <c r="V76" s="19">
        <v>3.0</v>
      </c>
      <c r="W76" s="19">
        <v>0.0</v>
      </c>
      <c r="X76" s="19">
        <v>8.0</v>
      </c>
      <c r="Y76" s="19">
        <v>4.0</v>
      </c>
      <c r="Z76" s="19">
        <v>5.0</v>
      </c>
      <c r="AA76" s="19">
        <v>2.0</v>
      </c>
      <c r="AB76" s="19">
        <v>0.0</v>
      </c>
      <c r="AC76" s="13">
        <f t="shared" si="18"/>
        <v>129</v>
      </c>
    </row>
    <row r="77" ht="12.75" customHeight="1">
      <c r="A77" s="18"/>
      <c r="B77" s="56"/>
      <c r="C77" s="57"/>
      <c r="D77" s="62"/>
      <c r="E77" s="19">
        <v>2.0</v>
      </c>
      <c r="F77" s="19">
        <v>5.0</v>
      </c>
      <c r="G77" s="19">
        <v>9.0</v>
      </c>
      <c r="H77" s="19">
        <v>2.0</v>
      </c>
      <c r="I77" s="19">
        <v>0.0</v>
      </c>
      <c r="J77" s="19">
        <v>2.0</v>
      </c>
      <c r="K77" s="19">
        <v>4.0</v>
      </c>
      <c r="L77" s="19">
        <v>1.0</v>
      </c>
      <c r="M77" s="19">
        <v>3.0</v>
      </c>
      <c r="N77" s="19">
        <v>3.0</v>
      </c>
      <c r="O77" s="19">
        <v>4.0</v>
      </c>
      <c r="P77" s="19">
        <v>2.0</v>
      </c>
      <c r="Q77" s="19">
        <v>2.0</v>
      </c>
      <c r="R77" s="19">
        <v>1.0</v>
      </c>
      <c r="S77" s="19">
        <v>2.0</v>
      </c>
      <c r="T77" s="19">
        <v>1.0</v>
      </c>
      <c r="U77" s="19">
        <v>0.0</v>
      </c>
      <c r="V77" s="19">
        <v>1.0</v>
      </c>
      <c r="W77" s="19">
        <v>5.0</v>
      </c>
      <c r="X77" s="19">
        <v>4.0</v>
      </c>
      <c r="Y77" s="19">
        <v>8.0</v>
      </c>
      <c r="Z77" s="19">
        <v>10.0</v>
      </c>
      <c r="AA77" s="19">
        <v>7.0</v>
      </c>
      <c r="AB77" s="19">
        <v>0.0</v>
      </c>
      <c r="AC77" s="13">
        <f t="shared" si="18"/>
        <v>78</v>
      </c>
    </row>
    <row r="78" ht="12.75" customHeight="1">
      <c r="A78" s="18"/>
      <c r="B78" s="56"/>
      <c r="C78" s="57"/>
      <c r="D78" s="62"/>
      <c r="E78" s="19">
        <v>2.0</v>
      </c>
      <c r="F78" s="19">
        <v>5.0</v>
      </c>
      <c r="G78" s="19">
        <v>15.0</v>
      </c>
      <c r="H78" s="19">
        <v>7.0</v>
      </c>
      <c r="I78" s="19">
        <v>3.0</v>
      </c>
      <c r="J78" s="19">
        <v>14.0</v>
      </c>
      <c r="K78" s="19">
        <v>27.0</v>
      </c>
      <c r="L78" s="19">
        <v>4.0</v>
      </c>
      <c r="M78" s="19">
        <v>1.0</v>
      </c>
      <c r="N78" s="19">
        <v>4.0</v>
      </c>
      <c r="O78" s="19">
        <v>1.0</v>
      </c>
      <c r="P78" s="19">
        <v>5.0</v>
      </c>
      <c r="Q78" s="19">
        <v>3.0</v>
      </c>
      <c r="R78" s="19">
        <v>2.0</v>
      </c>
      <c r="S78" s="19">
        <v>13.0</v>
      </c>
      <c r="T78" s="19">
        <v>2.0</v>
      </c>
      <c r="U78" s="19">
        <v>5.0</v>
      </c>
      <c r="V78" s="19">
        <v>1.0</v>
      </c>
      <c r="W78" s="19">
        <v>1.0</v>
      </c>
      <c r="X78" s="19">
        <v>2.0</v>
      </c>
      <c r="Y78" s="19">
        <v>0.0</v>
      </c>
      <c r="Z78" s="19">
        <v>2.0</v>
      </c>
      <c r="AA78" s="19">
        <v>3.0</v>
      </c>
      <c r="AB78" s="19">
        <v>0.0</v>
      </c>
      <c r="AC78" s="13">
        <f t="shared" si="18"/>
        <v>122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C79" si="19">SUM(E69:E78)</f>
        <v>57</v>
      </c>
      <c r="F79" s="13">
        <f t="shared" si="19"/>
        <v>42</v>
      </c>
      <c r="G79" s="13">
        <f t="shared" si="19"/>
        <v>69</v>
      </c>
      <c r="H79" s="13">
        <f t="shared" si="19"/>
        <v>34</v>
      </c>
      <c r="I79" s="13">
        <f t="shared" si="19"/>
        <v>17</v>
      </c>
      <c r="J79" s="13">
        <f t="shared" si="19"/>
        <v>63</v>
      </c>
      <c r="K79" s="13">
        <f t="shared" si="19"/>
        <v>72</v>
      </c>
      <c r="L79" s="13">
        <f t="shared" si="19"/>
        <v>17</v>
      </c>
      <c r="M79" s="13">
        <f t="shared" si="19"/>
        <v>23</v>
      </c>
      <c r="N79" s="13">
        <f t="shared" si="19"/>
        <v>25</v>
      </c>
      <c r="O79" s="13">
        <f t="shared" si="19"/>
        <v>19</v>
      </c>
      <c r="P79" s="13">
        <f t="shared" si="19"/>
        <v>36</v>
      </c>
      <c r="Q79" s="13">
        <f t="shared" si="19"/>
        <v>102</v>
      </c>
      <c r="R79" s="13">
        <f t="shared" si="19"/>
        <v>116</v>
      </c>
      <c r="S79" s="13">
        <f t="shared" si="19"/>
        <v>78</v>
      </c>
      <c r="T79" s="13">
        <f t="shared" si="19"/>
        <v>56</v>
      </c>
      <c r="U79" s="13">
        <f t="shared" si="19"/>
        <v>52</v>
      </c>
      <c r="V79" s="13">
        <f t="shared" si="19"/>
        <v>25</v>
      </c>
      <c r="W79" s="13">
        <f t="shared" si="19"/>
        <v>18</v>
      </c>
      <c r="X79" s="13">
        <f t="shared" si="19"/>
        <v>53</v>
      </c>
      <c r="Y79" s="13">
        <f t="shared" si="19"/>
        <v>68</v>
      </c>
      <c r="Z79" s="13">
        <f t="shared" si="19"/>
        <v>59</v>
      </c>
      <c r="AA79" s="13">
        <f t="shared" si="19"/>
        <v>60</v>
      </c>
      <c r="AB79" s="13">
        <f t="shared" si="19"/>
        <v>38</v>
      </c>
      <c r="AC79" s="13">
        <f t="shared" si="19"/>
        <v>1199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4.0</v>
      </c>
      <c r="G81" s="19">
        <v>5.0</v>
      </c>
      <c r="H81" s="19">
        <v>1.0</v>
      </c>
      <c r="I81" s="19">
        <v>0.0</v>
      </c>
      <c r="J81" s="19">
        <v>2.0</v>
      </c>
      <c r="K81" s="19">
        <v>1.0</v>
      </c>
      <c r="L81" s="19">
        <v>6.0</v>
      </c>
      <c r="M81" s="19">
        <v>4.0</v>
      </c>
      <c r="N81" s="19">
        <v>1.0</v>
      </c>
      <c r="O81" s="19">
        <v>3.0</v>
      </c>
      <c r="P81" s="19">
        <v>1.0</v>
      </c>
      <c r="Q81" s="19">
        <v>5.0</v>
      </c>
      <c r="R81" s="19">
        <v>5.0</v>
      </c>
      <c r="S81" s="19">
        <v>5.0</v>
      </c>
      <c r="T81" s="19">
        <v>12.0</v>
      </c>
      <c r="U81" s="19">
        <v>2.0</v>
      </c>
      <c r="V81" s="19">
        <v>1.0</v>
      </c>
      <c r="W81" s="19">
        <v>2.0</v>
      </c>
      <c r="X81" s="19">
        <v>2.0</v>
      </c>
      <c r="Y81" s="19">
        <v>5.0</v>
      </c>
      <c r="Z81" s="19">
        <v>2.0</v>
      </c>
      <c r="AA81" s="19">
        <v>6.0</v>
      </c>
      <c r="AB81" s="19">
        <v>5.0</v>
      </c>
      <c r="AC81" s="13">
        <f t="shared" ref="AC81:AC90" si="20">SUM(E81:AB81)</f>
        <v>87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5.0</v>
      </c>
      <c r="F82" s="19">
        <v>8.0</v>
      </c>
      <c r="G82" s="19">
        <v>3.0</v>
      </c>
      <c r="H82" s="19">
        <v>10.0</v>
      </c>
      <c r="I82" s="19">
        <v>9.0</v>
      </c>
      <c r="J82" s="19">
        <v>5.0</v>
      </c>
      <c r="K82" s="19">
        <v>4.0</v>
      </c>
      <c r="L82" s="19">
        <v>19.0</v>
      </c>
      <c r="M82" s="19">
        <v>3.0</v>
      </c>
      <c r="N82" s="19">
        <v>6.0</v>
      </c>
      <c r="O82" s="19">
        <v>4.0</v>
      </c>
      <c r="P82" s="19">
        <v>6.0</v>
      </c>
      <c r="Q82" s="19">
        <v>13.0</v>
      </c>
      <c r="R82" s="19">
        <v>12.0</v>
      </c>
      <c r="S82" s="19">
        <v>17.0</v>
      </c>
      <c r="T82" s="19">
        <v>11.0</v>
      </c>
      <c r="U82" s="19">
        <v>7.0</v>
      </c>
      <c r="V82" s="19">
        <v>1.0</v>
      </c>
      <c r="W82" s="19">
        <v>6.0</v>
      </c>
      <c r="X82" s="19">
        <v>1.0</v>
      </c>
      <c r="Y82" s="19">
        <v>2.0</v>
      </c>
      <c r="Z82" s="19">
        <v>5.0</v>
      </c>
      <c r="AA82" s="19">
        <v>5.0</v>
      </c>
      <c r="AB82" s="19">
        <v>4.0</v>
      </c>
      <c r="AC82" s="13">
        <f t="shared" si="20"/>
        <v>166</v>
      </c>
    </row>
    <row r="83" ht="12.75" customHeight="1">
      <c r="A83" s="18"/>
      <c r="B83" s="55">
        <v>2.0</v>
      </c>
      <c r="C83" s="50" t="s">
        <v>66</v>
      </c>
      <c r="D83" s="60"/>
      <c r="E83" s="19">
        <v>9.0</v>
      </c>
      <c r="F83" s="19">
        <v>3.0</v>
      </c>
      <c r="G83" s="19">
        <v>6.0</v>
      </c>
      <c r="H83" s="19">
        <v>9.0</v>
      </c>
      <c r="I83" s="19">
        <v>7.0</v>
      </c>
      <c r="J83" s="19">
        <v>2.0</v>
      </c>
      <c r="K83" s="19">
        <v>0.0</v>
      </c>
      <c r="L83" s="19">
        <v>8.0</v>
      </c>
      <c r="M83" s="19">
        <v>14.0</v>
      </c>
      <c r="N83" s="19">
        <v>28.0</v>
      </c>
      <c r="O83" s="19">
        <v>7.0</v>
      </c>
      <c r="P83" s="19">
        <v>5.0</v>
      </c>
      <c r="Q83" s="19">
        <v>2.0</v>
      </c>
      <c r="R83" s="19">
        <v>1.0</v>
      </c>
      <c r="S83" s="19">
        <v>3.0</v>
      </c>
      <c r="T83" s="19">
        <v>5.0</v>
      </c>
      <c r="U83" s="19">
        <v>3.0</v>
      </c>
      <c r="V83" s="19">
        <v>2.0</v>
      </c>
      <c r="W83" s="19">
        <v>2.0</v>
      </c>
      <c r="X83" s="19">
        <v>5.0</v>
      </c>
      <c r="Y83" s="19">
        <v>2.0</v>
      </c>
      <c r="Z83" s="19">
        <v>4.0</v>
      </c>
      <c r="AA83" s="19">
        <v>6.0</v>
      </c>
      <c r="AB83" s="19">
        <v>4.0</v>
      </c>
      <c r="AC83" s="13">
        <f t="shared" si="20"/>
        <v>137</v>
      </c>
    </row>
    <row r="84" ht="12.75" customHeight="1">
      <c r="A84" s="18"/>
      <c r="B84" s="55">
        <v>3.0</v>
      </c>
      <c r="C84" s="50" t="s">
        <v>67</v>
      </c>
      <c r="D84" s="60"/>
      <c r="E84" s="19">
        <v>3.0</v>
      </c>
      <c r="F84" s="19">
        <v>0.0</v>
      </c>
      <c r="G84" s="19">
        <v>1.0</v>
      </c>
      <c r="H84" s="19">
        <v>0.0</v>
      </c>
      <c r="I84" s="19">
        <v>0.0</v>
      </c>
      <c r="J84" s="19">
        <v>1.0</v>
      </c>
      <c r="K84" s="19">
        <v>1.0</v>
      </c>
      <c r="L84" s="19">
        <v>1.0</v>
      </c>
      <c r="M84" s="19">
        <v>2.0</v>
      </c>
      <c r="N84" s="19">
        <v>0.0</v>
      </c>
      <c r="O84" s="19">
        <v>0.0</v>
      </c>
      <c r="P84" s="19">
        <v>0.0</v>
      </c>
      <c r="Q84" s="19">
        <v>1.0</v>
      </c>
      <c r="R84" s="19">
        <v>1.0</v>
      </c>
      <c r="S84" s="19">
        <v>1.0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1.0</v>
      </c>
      <c r="AB84" s="19">
        <v>0.0</v>
      </c>
      <c r="AC84" s="13">
        <f t="shared" si="20"/>
        <v>13</v>
      </c>
    </row>
    <row r="85" ht="12.75" customHeight="1">
      <c r="A85" s="18"/>
      <c r="B85" s="55">
        <v>4.0</v>
      </c>
      <c r="C85" s="50" t="s">
        <v>68</v>
      </c>
      <c r="D85" s="60"/>
      <c r="E85" s="19">
        <v>2.0</v>
      </c>
      <c r="F85" s="19">
        <v>2.0</v>
      </c>
      <c r="G85" s="19">
        <v>0.0</v>
      </c>
      <c r="H85" s="19">
        <v>1.0</v>
      </c>
      <c r="I85" s="19">
        <v>0.0</v>
      </c>
      <c r="J85" s="19">
        <v>0.0</v>
      </c>
      <c r="K85" s="19">
        <v>1.0</v>
      </c>
      <c r="L85" s="19">
        <v>1.0</v>
      </c>
      <c r="M85" s="19">
        <v>0.0</v>
      </c>
      <c r="N85" s="19">
        <v>0.0</v>
      </c>
      <c r="O85" s="19">
        <v>0.0</v>
      </c>
      <c r="P85" s="19">
        <v>0.0</v>
      </c>
      <c r="Q85" s="19">
        <v>4.0</v>
      </c>
      <c r="R85" s="19">
        <v>2.0</v>
      </c>
      <c r="S85" s="19">
        <v>2.0</v>
      </c>
      <c r="T85" s="19">
        <v>4.0</v>
      </c>
      <c r="U85" s="19">
        <v>3.0</v>
      </c>
      <c r="V85" s="19">
        <v>0.0</v>
      </c>
      <c r="W85" s="19">
        <v>0.0</v>
      </c>
      <c r="X85" s="19">
        <v>0.0</v>
      </c>
      <c r="Y85" s="19">
        <v>2.0</v>
      </c>
      <c r="Z85" s="19">
        <v>0.0</v>
      </c>
      <c r="AA85" s="19">
        <v>2.0</v>
      </c>
      <c r="AB85" s="19">
        <v>0.0</v>
      </c>
      <c r="AC85" s="13">
        <f t="shared" si="20"/>
        <v>26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1.0</v>
      </c>
      <c r="G86" s="19">
        <v>0.0</v>
      </c>
      <c r="H86" s="19">
        <v>2.0</v>
      </c>
      <c r="I86" s="19">
        <v>0.0</v>
      </c>
      <c r="J86" s="19">
        <v>0.0</v>
      </c>
      <c r="K86" s="19">
        <v>0.0</v>
      </c>
      <c r="L86" s="19">
        <v>6.0</v>
      </c>
      <c r="M86" s="19">
        <v>7.0</v>
      </c>
      <c r="N86" s="19">
        <v>2.0</v>
      </c>
      <c r="O86" s="19">
        <v>11.0</v>
      </c>
      <c r="P86" s="19">
        <v>3.0</v>
      </c>
      <c r="Q86" s="19">
        <v>1.0</v>
      </c>
      <c r="R86" s="19">
        <v>5.0</v>
      </c>
      <c r="S86" s="19">
        <v>5.0</v>
      </c>
      <c r="T86" s="19">
        <v>5.0</v>
      </c>
      <c r="U86" s="19">
        <v>16.0</v>
      </c>
      <c r="V86" s="19">
        <v>9.0</v>
      </c>
      <c r="W86" s="19">
        <v>10.0</v>
      </c>
      <c r="X86" s="19">
        <v>0.0</v>
      </c>
      <c r="Y86" s="19">
        <v>7.0</v>
      </c>
      <c r="Z86" s="19">
        <v>2.0</v>
      </c>
      <c r="AA86" s="19">
        <v>3.0</v>
      </c>
      <c r="AB86" s="19">
        <v>8.0</v>
      </c>
      <c r="AC86" s="13">
        <f t="shared" si="20"/>
        <v>104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2.0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1.0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1.0</v>
      </c>
      <c r="AA87" s="19">
        <v>1.0</v>
      </c>
      <c r="AB87" s="19">
        <v>0.0</v>
      </c>
      <c r="AC87" s="13">
        <f t="shared" si="20"/>
        <v>7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1.0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C91" si="21">SUM(E81:E90)</f>
        <v>27</v>
      </c>
      <c r="F91" s="13">
        <f t="shared" si="21"/>
        <v>20</v>
      </c>
      <c r="G91" s="13">
        <f t="shared" si="21"/>
        <v>15</v>
      </c>
      <c r="H91" s="13">
        <f t="shared" si="21"/>
        <v>23</v>
      </c>
      <c r="I91" s="13">
        <f t="shared" si="21"/>
        <v>16</v>
      </c>
      <c r="J91" s="13">
        <f t="shared" si="21"/>
        <v>10</v>
      </c>
      <c r="K91" s="13">
        <f t="shared" si="21"/>
        <v>8</v>
      </c>
      <c r="L91" s="13">
        <f t="shared" si="21"/>
        <v>41</v>
      </c>
      <c r="M91" s="13">
        <f t="shared" si="21"/>
        <v>30</v>
      </c>
      <c r="N91" s="13">
        <f t="shared" si="21"/>
        <v>37</v>
      </c>
      <c r="O91" s="13">
        <f t="shared" si="21"/>
        <v>26</v>
      </c>
      <c r="P91" s="13">
        <f t="shared" si="21"/>
        <v>15</v>
      </c>
      <c r="Q91" s="13">
        <f t="shared" si="21"/>
        <v>26</v>
      </c>
      <c r="R91" s="13">
        <f t="shared" si="21"/>
        <v>26</v>
      </c>
      <c r="S91" s="13">
        <f t="shared" si="21"/>
        <v>34</v>
      </c>
      <c r="T91" s="13">
        <f t="shared" si="21"/>
        <v>37</v>
      </c>
      <c r="U91" s="13">
        <f t="shared" si="21"/>
        <v>31</v>
      </c>
      <c r="V91" s="13">
        <f t="shared" si="21"/>
        <v>13</v>
      </c>
      <c r="W91" s="13">
        <f t="shared" si="21"/>
        <v>21</v>
      </c>
      <c r="X91" s="13">
        <f t="shared" si="21"/>
        <v>8</v>
      </c>
      <c r="Y91" s="13">
        <f t="shared" si="21"/>
        <v>18</v>
      </c>
      <c r="Z91" s="13">
        <f t="shared" si="21"/>
        <v>14</v>
      </c>
      <c r="AA91" s="13">
        <f t="shared" si="21"/>
        <v>24</v>
      </c>
      <c r="AB91" s="13">
        <f t="shared" si="21"/>
        <v>21</v>
      </c>
      <c r="AC91" s="13">
        <f t="shared" si="21"/>
        <v>541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2.0</v>
      </c>
      <c r="G93" s="19">
        <v>0.0</v>
      </c>
      <c r="H93" s="19">
        <v>5.0</v>
      </c>
      <c r="I93" s="19">
        <v>1.0</v>
      </c>
      <c r="J93" s="19">
        <v>0.0</v>
      </c>
      <c r="K93" s="19">
        <v>1.0</v>
      </c>
      <c r="L93" s="19">
        <v>1.0</v>
      </c>
      <c r="M93" s="19">
        <v>3.0</v>
      </c>
      <c r="N93" s="19">
        <v>2.0</v>
      </c>
      <c r="O93" s="19">
        <v>2.0</v>
      </c>
      <c r="P93" s="19">
        <v>0.0</v>
      </c>
      <c r="Q93" s="19">
        <v>0.0</v>
      </c>
      <c r="R93" s="19">
        <v>1.0</v>
      </c>
      <c r="S93" s="19">
        <v>3.0</v>
      </c>
      <c r="T93" s="19">
        <v>8.0</v>
      </c>
      <c r="U93" s="19">
        <v>1.0</v>
      </c>
      <c r="V93" s="19">
        <v>2.0</v>
      </c>
      <c r="W93" s="19">
        <v>3.0</v>
      </c>
      <c r="X93" s="19">
        <v>0.0</v>
      </c>
      <c r="Y93" s="19">
        <v>2.0</v>
      </c>
      <c r="Z93" s="19">
        <v>0.0</v>
      </c>
      <c r="AA93" s="19">
        <v>1.0</v>
      </c>
      <c r="AB93" s="19">
        <v>2.0</v>
      </c>
      <c r="AC93" s="13">
        <f t="shared" ref="AC93:AC102" si="22">SUM(E93:AB93)</f>
        <v>40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1.0</v>
      </c>
      <c r="G94" s="19">
        <v>0.0</v>
      </c>
      <c r="H94" s="19">
        <v>0.0</v>
      </c>
      <c r="I94" s="19">
        <v>1.0</v>
      </c>
      <c r="J94" s="19">
        <v>1.0</v>
      </c>
      <c r="K94" s="19">
        <v>1.0</v>
      </c>
      <c r="L94" s="19">
        <v>3.0</v>
      </c>
      <c r="M94" s="19">
        <v>1.0</v>
      </c>
      <c r="N94" s="19">
        <v>4.0</v>
      </c>
      <c r="O94" s="19">
        <v>1.0</v>
      </c>
      <c r="P94" s="19">
        <v>1.0</v>
      </c>
      <c r="Q94" s="19">
        <v>1.0</v>
      </c>
      <c r="R94" s="19">
        <v>0.0</v>
      </c>
      <c r="S94" s="19">
        <v>1.0</v>
      </c>
      <c r="T94" s="19">
        <v>1.0</v>
      </c>
      <c r="U94" s="19">
        <v>1.0</v>
      </c>
      <c r="V94" s="19">
        <v>0.0</v>
      </c>
      <c r="W94" s="19">
        <v>3.0</v>
      </c>
      <c r="X94" s="19">
        <v>0.0</v>
      </c>
      <c r="Y94" s="19">
        <v>0.0</v>
      </c>
      <c r="Z94" s="19">
        <v>2.0</v>
      </c>
      <c r="AA94" s="19">
        <v>4.0</v>
      </c>
      <c r="AB94" s="19">
        <v>2.0</v>
      </c>
      <c r="AC94" s="13">
        <f t="shared" si="22"/>
        <v>29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2.0</v>
      </c>
      <c r="M95" s="19">
        <v>1.0</v>
      </c>
      <c r="N95" s="19">
        <v>0.0</v>
      </c>
      <c r="O95" s="19">
        <v>0.0</v>
      </c>
      <c r="P95" s="19">
        <v>0.0</v>
      </c>
      <c r="Q95" s="19">
        <v>0.0</v>
      </c>
      <c r="R95" s="19">
        <v>2.0</v>
      </c>
      <c r="S95" s="19">
        <v>6.0</v>
      </c>
      <c r="T95" s="19">
        <v>1.0</v>
      </c>
      <c r="U95" s="19">
        <v>0.0</v>
      </c>
      <c r="V95" s="19">
        <v>0.0</v>
      </c>
      <c r="W95" s="19">
        <v>1.0</v>
      </c>
      <c r="X95" s="19">
        <v>2.0</v>
      </c>
      <c r="Y95" s="19">
        <v>0.0</v>
      </c>
      <c r="Z95" s="19">
        <v>3.0</v>
      </c>
      <c r="AA95" s="19">
        <v>0.0</v>
      </c>
      <c r="AB95" s="19">
        <v>0.0</v>
      </c>
      <c r="AC95" s="13">
        <f t="shared" si="22"/>
        <v>19</v>
      </c>
    </row>
    <row r="96" ht="12.75" customHeight="1">
      <c r="A96" s="18"/>
      <c r="B96" s="55">
        <v>3.0</v>
      </c>
      <c r="C96" s="50" t="s">
        <v>76</v>
      </c>
      <c r="D96" s="60"/>
      <c r="E96" s="19">
        <v>2.0</v>
      </c>
      <c r="F96" s="19">
        <v>1.0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1.0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1.0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1.0</v>
      </c>
      <c r="AC96" s="13">
        <f t="shared" si="22"/>
        <v>8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1.0</v>
      </c>
      <c r="O97" s="19">
        <v>0.0</v>
      </c>
      <c r="P97" s="19">
        <v>1.0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2.0</v>
      </c>
      <c r="X97" s="19">
        <v>0.0</v>
      </c>
      <c r="Y97" s="19">
        <v>2.0</v>
      </c>
      <c r="Z97" s="19">
        <v>0.0</v>
      </c>
      <c r="AA97" s="19">
        <v>0.0</v>
      </c>
      <c r="AB97" s="19">
        <v>0.0</v>
      </c>
      <c r="AC97" s="13">
        <f t="shared" si="22"/>
        <v>7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2.0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1.0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3">
        <f t="shared" si="22"/>
        <v>3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C103" si="23">SUM(E93:E102)</f>
        <v>2</v>
      </c>
      <c r="F103" s="13">
        <f t="shared" si="23"/>
        <v>5</v>
      </c>
      <c r="G103" s="13">
        <f t="shared" si="23"/>
        <v>0</v>
      </c>
      <c r="H103" s="13">
        <f t="shared" si="23"/>
        <v>6</v>
      </c>
      <c r="I103" s="13">
        <f t="shared" si="23"/>
        <v>3</v>
      </c>
      <c r="J103" s="13">
        <f t="shared" si="23"/>
        <v>1</v>
      </c>
      <c r="K103" s="13">
        <f t="shared" si="23"/>
        <v>4</v>
      </c>
      <c r="L103" s="13">
        <f t="shared" si="23"/>
        <v>8</v>
      </c>
      <c r="M103" s="13">
        <f t="shared" si="23"/>
        <v>6</v>
      </c>
      <c r="N103" s="13">
        <f t="shared" si="23"/>
        <v>8</v>
      </c>
      <c r="O103" s="13">
        <f t="shared" si="23"/>
        <v>3</v>
      </c>
      <c r="P103" s="13">
        <f t="shared" si="23"/>
        <v>3</v>
      </c>
      <c r="Q103" s="13">
        <f t="shared" si="23"/>
        <v>1</v>
      </c>
      <c r="R103" s="13">
        <f t="shared" si="23"/>
        <v>4</v>
      </c>
      <c r="S103" s="13">
        <f t="shared" si="23"/>
        <v>10</v>
      </c>
      <c r="T103" s="13">
        <f t="shared" si="23"/>
        <v>12</v>
      </c>
      <c r="U103" s="13">
        <f t="shared" si="23"/>
        <v>3</v>
      </c>
      <c r="V103" s="13">
        <f t="shared" si="23"/>
        <v>2</v>
      </c>
      <c r="W103" s="13">
        <f t="shared" si="23"/>
        <v>9</v>
      </c>
      <c r="X103" s="13">
        <f t="shared" si="23"/>
        <v>2</v>
      </c>
      <c r="Y103" s="13">
        <f t="shared" si="23"/>
        <v>4</v>
      </c>
      <c r="Z103" s="13">
        <f t="shared" si="23"/>
        <v>5</v>
      </c>
      <c r="AA103" s="13">
        <f t="shared" si="23"/>
        <v>5</v>
      </c>
      <c r="AB103" s="13">
        <f t="shared" si="23"/>
        <v>5</v>
      </c>
      <c r="AC103" s="13">
        <f t="shared" si="23"/>
        <v>111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1.0</v>
      </c>
      <c r="Z105" s="19">
        <v>1.0</v>
      </c>
      <c r="AA105" s="19">
        <v>1.0</v>
      </c>
      <c r="AB105" s="19">
        <v>0.0</v>
      </c>
      <c r="AC105" s="13">
        <f t="shared" ref="AC105:AC114" si="24">SUM(E105:AB105)</f>
        <v>6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2.0</v>
      </c>
      <c r="H106" s="19">
        <v>1.0</v>
      </c>
      <c r="I106" s="19">
        <v>0.0</v>
      </c>
      <c r="J106" s="19">
        <v>0.0</v>
      </c>
      <c r="K106" s="19">
        <v>1.0</v>
      </c>
      <c r="L106" s="19">
        <v>1.0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1.0</v>
      </c>
      <c r="AB106" s="19">
        <v>0.0</v>
      </c>
      <c r="AC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1.0</v>
      </c>
      <c r="Y107" s="19">
        <v>0.0</v>
      </c>
      <c r="Z107" s="19">
        <v>1.0</v>
      </c>
      <c r="AA107" s="19">
        <v>0.0</v>
      </c>
      <c r="AB107" s="19">
        <v>0.0</v>
      </c>
      <c r="AC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1.0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1.0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1.0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1.0</v>
      </c>
      <c r="AB111" s="19">
        <v>0.0</v>
      </c>
      <c r="AC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1.0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3">
        <f t="shared" si="24"/>
        <v>1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C115" si="25">SUM(E105:E114)</f>
        <v>2</v>
      </c>
      <c r="F115" s="13">
        <f t="shared" si="25"/>
        <v>0</v>
      </c>
      <c r="G115" s="13">
        <f t="shared" si="25"/>
        <v>2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2</v>
      </c>
      <c r="V115" s="13">
        <f t="shared" si="25"/>
        <v>0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2</v>
      </c>
      <c r="AA115" s="13">
        <f t="shared" si="25"/>
        <v>3</v>
      </c>
      <c r="AB115" s="13">
        <f t="shared" si="25"/>
        <v>0</v>
      </c>
      <c r="AC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2.0</v>
      </c>
      <c r="H117" s="19">
        <v>0.0</v>
      </c>
      <c r="I117" s="19">
        <v>1.0</v>
      </c>
      <c r="J117" s="19">
        <v>3.0</v>
      </c>
      <c r="K117" s="19">
        <v>2.0</v>
      </c>
      <c r="L117" s="19">
        <v>0.0</v>
      </c>
      <c r="M117" s="19">
        <v>1.0</v>
      </c>
      <c r="N117" s="19">
        <v>0.0</v>
      </c>
      <c r="O117" s="19">
        <v>1.0</v>
      </c>
      <c r="P117" s="19">
        <v>1.0</v>
      </c>
      <c r="Q117" s="19">
        <v>4.0</v>
      </c>
      <c r="R117" s="19">
        <v>2.0</v>
      </c>
      <c r="S117" s="19">
        <v>4.0</v>
      </c>
      <c r="T117" s="19">
        <v>1.0</v>
      </c>
      <c r="U117" s="19">
        <v>2.0</v>
      </c>
      <c r="V117" s="19">
        <v>2.0</v>
      </c>
      <c r="W117" s="19">
        <v>1.0</v>
      </c>
      <c r="X117" s="19">
        <v>0.0</v>
      </c>
      <c r="Y117" s="19">
        <v>1.0</v>
      </c>
      <c r="Z117" s="19">
        <v>1.0</v>
      </c>
      <c r="AA117" s="19">
        <v>7.0</v>
      </c>
      <c r="AB117" s="19">
        <v>1.0</v>
      </c>
      <c r="AC117" s="13">
        <f t="shared" ref="AC117:AC126" si="26">SUM(E117:AB117)</f>
        <v>38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2.0</v>
      </c>
      <c r="P118" s="19">
        <v>0.0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9">
        <v>1.0</v>
      </c>
      <c r="W118" s="19">
        <v>1.0</v>
      </c>
      <c r="X118" s="19">
        <v>0.0</v>
      </c>
      <c r="Y118" s="19">
        <v>1.0</v>
      </c>
      <c r="Z118" s="19">
        <v>1.0</v>
      </c>
      <c r="AA118" s="19">
        <v>0.0</v>
      </c>
      <c r="AB118" s="19">
        <v>0.0</v>
      </c>
      <c r="AC118" s="13">
        <f t="shared" si="26"/>
        <v>8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1.0</v>
      </c>
      <c r="AA119" s="19">
        <v>0.0</v>
      </c>
      <c r="AB119" s="19">
        <v>0.0</v>
      </c>
      <c r="AC119" s="13">
        <f t="shared" si="26"/>
        <v>2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1.0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3">
        <f t="shared" si="26"/>
        <v>2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C127" si="27">SUM(E117:E126)</f>
        <v>0</v>
      </c>
      <c r="F127" s="13">
        <f t="shared" si="27"/>
        <v>1</v>
      </c>
      <c r="G127" s="13">
        <f t="shared" si="27"/>
        <v>3</v>
      </c>
      <c r="H127" s="13">
        <f t="shared" si="27"/>
        <v>0</v>
      </c>
      <c r="I127" s="13">
        <f t="shared" si="27"/>
        <v>1</v>
      </c>
      <c r="J127" s="13">
        <f t="shared" si="27"/>
        <v>5</v>
      </c>
      <c r="K127" s="13">
        <f t="shared" si="27"/>
        <v>2</v>
      </c>
      <c r="L127" s="13">
        <f t="shared" si="27"/>
        <v>0</v>
      </c>
      <c r="M127" s="13">
        <f t="shared" si="27"/>
        <v>2</v>
      </c>
      <c r="N127" s="13">
        <f t="shared" si="27"/>
        <v>0</v>
      </c>
      <c r="O127" s="13">
        <f t="shared" si="27"/>
        <v>3</v>
      </c>
      <c r="P127" s="13">
        <f t="shared" si="27"/>
        <v>1</v>
      </c>
      <c r="Q127" s="13">
        <f t="shared" si="27"/>
        <v>4</v>
      </c>
      <c r="R127" s="13">
        <f t="shared" si="27"/>
        <v>3</v>
      </c>
      <c r="S127" s="13">
        <f t="shared" si="27"/>
        <v>4</v>
      </c>
      <c r="T127" s="13">
        <f t="shared" si="27"/>
        <v>1</v>
      </c>
      <c r="U127" s="13">
        <f t="shared" si="27"/>
        <v>2</v>
      </c>
      <c r="V127" s="13">
        <f t="shared" si="27"/>
        <v>3</v>
      </c>
      <c r="W127" s="13">
        <f t="shared" si="27"/>
        <v>2</v>
      </c>
      <c r="X127" s="13">
        <f t="shared" si="27"/>
        <v>0</v>
      </c>
      <c r="Y127" s="13">
        <f t="shared" si="27"/>
        <v>2</v>
      </c>
      <c r="Z127" s="13">
        <f t="shared" si="27"/>
        <v>3</v>
      </c>
      <c r="AA127" s="13">
        <f t="shared" si="27"/>
        <v>7</v>
      </c>
      <c r="AB127" s="13">
        <f t="shared" si="27"/>
        <v>1</v>
      </c>
      <c r="AC127" s="13">
        <f t="shared" si="27"/>
        <v>50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2.0</v>
      </c>
      <c r="G129" s="19">
        <v>0.0</v>
      </c>
      <c r="H129" s="19">
        <v>0.0</v>
      </c>
      <c r="I129" s="19">
        <v>1.0</v>
      </c>
      <c r="J129" s="19">
        <v>0.0</v>
      </c>
      <c r="K129" s="19">
        <v>0.0</v>
      </c>
      <c r="L129" s="19">
        <v>0.0</v>
      </c>
      <c r="M129" s="19">
        <v>0.0</v>
      </c>
      <c r="N129" s="19">
        <v>1.0</v>
      </c>
      <c r="O129" s="19">
        <v>1.0</v>
      </c>
      <c r="P129" s="19">
        <v>1.0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1.0</v>
      </c>
      <c r="AC129" s="13">
        <f t="shared" ref="AC129:AC138" si="28">SUM(E129:AB129)</f>
        <v>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0.0</v>
      </c>
      <c r="G130" s="19">
        <v>5.0</v>
      </c>
      <c r="H130" s="19">
        <v>0.0</v>
      </c>
      <c r="I130" s="19">
        <v>1.0</v>
      </c>
      <c r="J130" s="19">
        <v>0.0</v>
      </c>
      <c r="K130" s="19">
        <v>0.0</v>
      </c>
      <c r="L130" s="19">
        <v>3.0</v>
      </c>
      <c r="M130" s="19">
        <v>0.0</v>
      </c>
      <c r="N130" s="19">
        <v>0.0</v>
      </c>
      <c r="O130" s="19">
        <v>1.0</v>
      </c>
      <c r="P130" s="19">
        <v>1.0</v>
      </c>
      <c r="Q130" s="19">
        <v>0.0</v>
      </c>
      <c r="R130" s="19">
        <v>3.0</v>
      </c>
      <c r="S130" s="19">
        <v>0.0</v>
      </c>
      <c r="T130" s="19">
        <v>0.0</v>
      </c>
      <c r="U130" s="19">
        <v>1.0</v>
      </c>
      <c r="V130" s="19">
        <v>7.0</v>
      </c>
      <c r="W130" s="19">
        <v>1.0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1.0</v>
      </c>
      <c r="AC130" s="13">
        <f t="shared" si="28"/>
        <v>25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1.0</v>
      </c>
      <c r="G131" s="19">
        <v>0.0</v>
      </c>
      <c r="H131" s="19">
        <v>1.0</v>
      </c>
      <c r="I131" s="19">
        <v>1.0</v>
      </c>
      <c r="J131" s="19">
        <v>0.0</v>
      </c>
      <c r="K131" s="19">
        <v>0.0</v>
      </c>
      <c r="L131" s="19">
        <v>3.0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3">
        <f t="shared" si="28"/>
        <v>6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1.0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1.0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1.0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1.0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3">
        <f t="shared" si="28"/>
        <v>2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C139" si="29">SUM(E129:E138)</f>
        <v>2</v>
      </c>
      <c r="F139" s="13">
        <f t="shared" si="29"/>
        <v>5</v>
      </c>
      <c r="G139" s="13">
        <f t="shared" si="29"/>
        <v>5</v>
      </c>
      <c r="H139" s="13">
        <f t="shared" si="29"/>
        <v>1</v>
      </c>
      <c r="I139" s="13">
        <f t="shared" si="29"/>
        <v>3</v>
      </c>
      <c r="J139" s="13">
        <f t="shared" si="29"/>
        <v>0</v>
      </c>
      <c r="K139" s="13">
        <f t="shared" si="29"/>
        <v>0</v>
      </c>
      <c r="L139" s="13">
        <f t="shared" si="29"/>
        <v>6</v>
      </c>
      <c r="M139" s="13">
        <f t="shared" si="29"/>
        <v>0</v>
      </c>
      <c r="N139" s="13">
        <f t="shared" si="29"/>
        <v>1</v>
      </c>
      <c r="O139" s="13">
        <f t="shared" si="29"/>
        <v>3</v>
      </c>
      <c r="P139" s="13">
        <f t="shared" si="29"/>
        <v>2</v>
      </c>
      <c r="Q139" s="13">
        <f t="shared" si="29"/>
        <v>0</v>
      </c>
      <c r="R139" s="13">
        <f t="shared" si="29"/>
        <v>3</v>
      </c>
      <c r="S139" s="13">
        <f t="shared" si="29"/>
        <v>0</v>
      </c>
      <c r="T139" s="13">
        <f t="shared" si="29"/>
        <v>0</v>
      </c>
      <c r="U139" s="13">
        <f t="shared" si="29"/>
        <v>1</v>
      </c>
      <c r="V139" s="13">
        <f t="shared" si="29"/>
        <v>7</v>
      </c>
      <c r="W139" s="13">
        <f t="shared" si="29"/>
        <v>2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2</v>
      </c>
      <c r="AC139" s="13">
        <f t="shared" si="29"/>
        <v>43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1.0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1.0</v>
      </c>
      <c r="Q141" s="19">
        <v>0.0</v>
      </c>
      <c r="R141" s="19">
        <v>0.0</v>
      </c>
      <c r="S141" s="19">
        <v>0.0</v>
      </c>
      <c r="T141" s="19"/>
      <c r="U141" s="19"/>
      <c r="V141" s="19"/>
      <c r="W141" s="19"/>
      <c r="X141" s="19"/>
      <c r="Y141" s="19"/>
      <c r="Z141" s="19"/>
      <c r="AA141" s="19"/>
      <c r="AB141" s="19"/>
      <c r="AC141" s="13">
        <f t="shared" ref="AC141:AC150" si="30">SUM(E141:AB141)</f>
        <v>3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1.0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/>
      <c r="U142" s="19"/>
      <c r="V142" s="19"/>
      <c r="W142" s="19"/>
      <c r="X142" s="19"/>
      <c r="Y142" s="19"/>
      <c r="Z142" s="19"/>
      <c r="AA142" s="19"/>
      <c r="AB142" s="19"/>
      <c r="AC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1.0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1.0</v>
      </c>
      <c r="AA144" s="19">
        <v>0.0</v>
      </c>
      <c r="AB144" s="19">
        <v>0.0</v>
      </c>
      <c r="AC144" s="13">
        <f t="shared" si="30"/>
        <v>2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1.0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3">
        <f t="shared" si="30"/>
        <v>1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C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2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0</v>
      </c>
      <c r="AB151" s="13">
        <f t="shared" si="31"/>
        <v>0</v>
      </c>
      <c r="AC151" s="13">
        <f t="shared" si="31"/>
        <v>7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1.0</v>
      </c>
      <c r="Q153" s="19">
        <v>1.0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1.0</v>
      </c>
      <c r="AB153" s="19">
        <v>0.0</v>
      </c>
      <c r="AC153" s="13">
        <f t="shared" ref="AC153:AC157" si="32">SUM(E153:AB153)</f>
        <v>4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3">
        <f t="shared" si="32"/>
        <v>2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1.0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3">
        <f t="shared" si="32"/>
        <v>1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3">
        <f t="shared" ref="AC158:AC162" si="33">SUM(E164:AB164)</f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3">
        <f t="shared" si="33"/>
        <v>2</v>
      </c>
    </row>
    <row r="160" ht="12.75" customHeight="1">
      <c r="A160" s="18"/>
      <c r="B160" s="56"/>
      <c r="C160" s="57"/>
      <c r="D160" s="61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3">
        <f t="shared" si="33"/>
        <v>2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3">
        <f t="shared" si="33"/>
        <v>3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3">
        <f t="shared" si="33"/>
        <v>1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C163" si="34">SUM(E153:E162)</f>
        <v>1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0</v>
      </c>
      <c r="P163" s="13">
        <f t="shared" si="34"/>
        <v>1</v>
      </c>
      <c r="Q163" s="13">
        <f t="shared" si="34"/>
        <v>1</v>
      </c>
      <c r="R163" s="13">
        <f t="shared" si="34"/>
        <v>1</v>
      </c>
      <c r="S163" s="13">
        <f t="shared" si="34"/>
        <v>1</v>
      </c>
      <c r="T163" s="13">
        <f t="shared" si="34"/>
        <v>1</v>
      </c>
      <c r="U163" s="13">
        <f t="shared" si="34"/>
        <v>0</v>
      </c>
      <c r="V163" s="13">
        <f t="shared" si="34"/>
        <v>0</v>
      </c>
      <c r="W163" s="13">
        <f t="shared" si="34"/>
        <v>0</v>
      </c>
      <c r="X163" s="13">
        <f t="shared" si="34"/>
        <v>0</v>
      </c>
      <c r="Y163" s="13">
        <f t="shared" si="34"/>
        <v>0</v>
      </c>
      <c r="Z163" s="13">
        <f t="shared" si="34"/>
        <v>0</v>
      </c>
      <c r="AA163" s="13">
        <f t="shared" si="34"/>
        <v>1</v>
      </c>
      <c r="AB163" s="13">
        <f t="shared" si="34"/>
        <v>0</v>
      </c>
      <c r="AC163" s="13">
        <f t="shared" si="34"/>
        <v>16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3">
        <f t="shared" ref="AC165:AC174" si="35">SUM(E165:AB165)</f>
        <v>2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1.0</v>
      </c>
      <c r="AB166" s="19">
        <v>0.0</v>
      </c>
      <c r="AC166" s="13">
        <f t="shared" si="35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2.0</v>
      </c>
      <c r="AB167" s="19">
        <v>0.0</v>
      </c>
      <c r="AC167" s="13">
        <f t="shared" si="35"/>
        <v>3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1.0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3">
        <f t="shared" si="35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/>
      <c r="U172" s="19"/>
      <c r="V172" s="19"/>
      <c r="W172" s="19"/>
      <c r="X172" s="19"/>
      <c r="Y172" s="19"/>
      <c r="Z172" s="19"/>
      <c r="AA172" s="19"/>
      <c r="AB172" s="19"/>
      <c r="AC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C175" si="36">SUM(E165:E174)</f>
        <v>2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1</v>
      </c>
      <c r="Q175" s="13">
        <f t="shared" si="36"/>
        <v>0</v>
      </c>
      <c r="R175" s="13">
        <f t="shared" si="36"/>
        <v>0</v>
      </c>
      <c r="S175" s="13">
        <f t="shared" si="36"/>
        <v>1</v>
      </c>
      <c r="T175" s="13">
        <f t="shared" si="36"/>
        <v>0</v>
      </c>
      <c r="U175" s="13">
        <f t="shared" si="36"/>
        <v>1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3</v>
      </c>
      <c r="AB175" s="13">
        <f t="shared" si="36"/>
        <v>0</v>
      </c>
      <c r="AC175" s="13">
        <f t="shared" si="36"/>
        <v>8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1.0</v>
      </c>
      <c r="H177" s="19">
        <v>2.0</v>
      </c>
      <c r="I177" s="19">
        <v>2.0</v>
      </c>
      <c r="J177" s="19">
        <v>1.0</v>
      </c>
      <c r="K177" s="19">
        <v>0.0</v>
      </c>
      <c r="L177" s="19">
        <v>1.0</v>
      </c>
      <c r="M177" s="19">
        <v>1.0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1.0</v>
      </c>
      <c r="U177" s="19">
        <v>1.0</v>
      </c>
      <c r="V177" s="19">
        <v>0.0</v>
      </c>
      <c r="W177" s="19">
        <v>0.0</v>
      </c>
      <c r="X177" s="19">
        <v>0.0</v>
      </c>
      <c r="Y177" s="19">
        <v>0.0</v>
      </c>
      <c r="Z177" s="19">
        <v>1.0</v>
      </c>
      <c r="AA177" s="19">
        <v>0.0</v>
      </c>
      <c r="AB177" s="19">
        <v>0.0</v>
      </c>
      <c r="AC177" s="13">
        <f t="shared" ref="AC177:AC186" si="37">SUM(E177:AB177)</f>
        <v>12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1.0</v>
      </c>
      <c r="M178" s="19">
        <v>0.0</v>
      </c>
      <c r="N178" s="19">
        <v>3.0</v>
      </c>
      <c r="O178" s="19">
        <v>1.0</v>
      </c>
      <c r="P178" s="19">
        <v>0.0</v>
      </c>
      <c r="Q178" s="19">
        <v>1.0</v>
      </c>
      <c r="R178" s="19">
        <v>0.0</v>
      </c>
      <c r="S178" s="19">
        <v>1.0</v>
      </c>
      <c r="T178" s="19">
        <v>0.0</v>
      </c>
      <c r="U178" s="19">
        <v>0.0</v>
      </c>
      <c r="V178" s="19">
        <v>0.0</v>
      </c>
      <c r="W178" s="19">
        <v>3.0</v>
      </c>
      <c r="X178" s="19">
        <v>0.0</v>
      </c>
      <c r="Y178" s="19">
        <v>1.0</v>
      </c>
      <c r="Z178" s="19">
        <v>1.0</v>
      </c>
      <c r="AA178" s="19">
        <v>0.0</v>
      </c>
      <c r="AB178" s="19">
        <v>1.0</v>
      </c>
      <c r="AC178" s="13">
        <f t="shared" si="37"/>
        <v>14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1.0</v>
      </c>
      <c r="M179" s="19">
        <v>0.0</v>
      </c>
      <c r="N179" s="19">
        <v>0.0</v>
      </c>
      <c r="O179" s="19">
        <v>0.0</v>
      </c>
      <c r="P179" s="19">
        <v>0.0</v>
      </c>
      <c r="Q179" s="19">
        <v>1.0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3">
        <f t="shared" si="37"/>
        <v>2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1.0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1.0</v>
      </c>
      <c r="AB180" s="19">
        <v>0.0</v>
      </c>
      <c r="AC180" s="13">
        <f t="shared" si="37"/>
        <v>3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3">
        <f t="shared" si="37"/>
        <v>2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3">
        <f t="shared" si="37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1.0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3">
        <f t="shared" si="37"/>
        <v>2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1.0</v>
      </c>
      <c r="N184" s="19">
        <v>1.0</v>
      </c>
      <c r="O184" s="19">
        <v>2.0</v>
      </c>
      <c r="P184" s="19">
        <v>0.0</v>
      </c>
      <c r="Q184" s="19">
        <v>0.0</v>
      </c>
      <c r="R184" s="19">
        <v>0.0</v>
      </c>
      <c r="S184" s="19">
        <v>0.0</v>
      </c>
      <c r="T184" s="19"/>
      <c r="U184" s="19"/>
      <c r="V184" s="19"/>
      <c r="W184" s="19"/>
      <c r="X184" s="19"/>
      <c r="Y184" s="19"/>
      <c r="Z184" s="19"/>
      <c r="AA184" s="19"/>
      <c r="AB184" s="19"/>
      <c r="AC184" s="13">
        <f t="shared" si="37"/>
        <v>4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C187" si="38">SUM(E177:E186)</f>
        <v>2</v>
      </c>
      <c r="F187" s="13">
        <f t="shared" si="38"/>
        <v>0</v>
      </c>
      <c r="G187" s="13">
        <f t="shared" si="38"/>
        <v>1</v>
      </c>
      <c r="H187" s="13">
        <f t="shared" si="38"/>
        <v>4</v>
      </c>
      <c r="I187" s="13">
        <f t="shared" si="38"/>
        <v>2</v>
      </c>
      <c r="J187" s="13">
        <f t="shared" si="38"/>
        <v>1</v>
      </c>
      <c r="K187" s="13">
        <f t="shared" si="38"/>
        <v>1</v>
      </c>
      <c r="L187" s="13">
        <f t="shared" si="38"/>
        <v>4</v>
      </c>
      <c r="M187" s="13">
        <f t="shared" si="38"/>
        <v>4</v>
      </c>
      <c r="N187" s="13">
        <f t="shared" si="38"/>
        <v>4</v>
      </c>
      <c r="O187" s="13">
        <f t="shared" si="38"/>
        <v>3</v>
      </c>
      <c r="P187" s="13">
        <f t="shared" si="38"/>
        <v>0</v>
      </c>
      <c r="Q187" s="13">
        <f t="shared" si="38"/>
        <v>2</v>
      </c>
      <c r="R187" s="13">
        <f t="shared" si="38"/>
        <v>0</v>
      </c>
      <c r="S187" s="13">
        <f t="shared" si="38"/>
        <v>1</v>
      </c>
      <c r="T187" s="13">
        <f t="shared" si="38"/>
        <v>1</v>
      </c>
      <c r="U187" s="13">
        <f t="shared" si="38"/>
        <v>2</v>
      </c>
      <c r="V187" s="13">
        <f t="shared" si="38"/>
        <v>0</v>
      </c>
      <c r="W187" s="13">
        <f t="shared" si="38"/>
        <v>3</v>
      </c>
      <c r="X187" s="13">
        <f t="shared" si="38"/>
        <v>0</v>
      </c>
      <c r="Y187" s="13">
        <f t="shared" si="38"/>
        <v>1</v>
      </c>
      <c r="Z187" s="13">
        <f t="shared" si="38"/>
        <v>2</v>
      </c>
      <c r="AA187" s="13">
        <f t="shared" si="38"/>
        <v>1</v>
      </c>
      <c r="AB187" s="13">
        <f t="shared" si="38"/>
        <v>1</v>
      </c>
      <c r="AC187" s="13">
        <f t="shared" si="38"/>
        <v>40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3">
        <f t="shared" ref="AC189:AC198" si="39">SUM(E189:AB189)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>
        <v>1.0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3">
        <f t="shared" si="39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>
        <v>0.0</v>
      </c>
      <c r="U191" s="19">
        <v>0.0</v>
      </c>
      <c r="V191" s="19">
        <v>0.0</v>
      </c>
      <c r="W191" s="19">
        <v>1.0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3">
        <f t="shared" si="39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C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1</v>
      </c>
      <c r="U199" s="13">
        <f t="shared" si="40"/>
        <v>0</v>
      </c>
      <c r="V199" s="13">
        <f t="shared" si="40"/>
        <v>0</v>
      </c>
      <c r="W199" s="13">
        <f t="shared" si="40"/>
        <v>1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2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4.0</v>
      </c>
      <c r="G201" s="19">
        <v>0.0</v>
      </c>
      <c r="H201" s="19">
        <v>3.0</v>
      </c>
      <c r="I201" s="19">
        <v>2.0</v>
      </c>
      <c r="J201" s="19">
        <v>1.0</v>
      </c>
      <c r="K201" s="19">
        <v>1.0</v>
      </c>
      <c r="L201" s="19">
        <v>1.0</v>
      </c>
      <c r="M201" s="19">
        <v>1.0</v>
      </c>
      <c r="N201" s="19">
        <v>2.0</v>
      </c>
      <c r="O201" s="19">
        <v>1.0</v>
      </c>
      <c r="P201" s="19">
        <v>1.0</v>
      </c>
      <c r="Q201" s="19">
        <v>1.0</v>
      </c>
      <c r="R201" s="19">
        <v>0.0</v>
      </c>
      <c r="S201" s="19">
        <v>0.0</v>
      </c>
      <c r="T201" s="19">
        <v>2.0</v>
      </c>
      <c r="U201" s="19">
        <v>0.0</v>
      </c>
      <c r="V201" s="19">
        <v>0.0</v>
      </c>
      <c r="W201" s="19">
        <v>2.0</v>
      </c>
      <c r="X201" s="19">
        <v>12.0</v>
      </c>
      <c r="Y201" s="19">
        <v>9.0</v>
      </c>
      <c r="Z201" s="19">
        <v>10.0</v>
      </c>
      <c r="AA201" s="19">
        <v>19.0</v>
      </c>
      <c r="AB201" s="19">
        <v>3.0</v>
      </c>
      <c r="AC201" s="13">
        <f t="shared" ref="AC201:AC210" si="41">SUM(E201:AB201)</f>
        <v>78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2.0</v>
      </c>
      <c r="F202" s="19">
        <v>7.0</v>
      </c>
      <c r="G202" s="19">
        <v>1.0</v>
      </c>
      <c r="H202" s="19">
        <v>2.0</v>
      </c>
      <c r="I202" s="19">
        <v>1.0</v>
      </c>
      <c r="J202" s="19">
        <v>4.0</v>
      </c>
      <c r="K202" s="19">
        <v>2.0</v>
      </c>
      <c r="L202" s="19">
        <v>0.0</v>
      </c>
      <c r="M202" s="19">
        <v>1.0</v>
      </c>
      <c r="N202" s="19">
        <v>3.0</v>
      </c>
      <c r="O202" s="19">
        <v>0.0</v>
      </c>
      <c r="P202" s="19">
        <v>5.0</v>
      </c>
      <c r="Q202" s="19">
        <v>2.0</v>
      </c>
      <c r="R202" s="19">
        <v>1.0</v>
      </c>
      <c r="S202" s="19">
        <v>0.0</v>
      </c>
      <c r="T202" s="19">
        <v>2.0</v>
      </c>
      <c r="U202" s="19">
        <v>2.0</v>
      </c>
      <c r="V202" s="19">
        <v>0.0</v>
      </c>
      <c r="W202" s="19">
        <v>3.0</v>
      </c>
      <c r="X202" s="19">
        <v>53.0</v>
      </c>
      <c r="Y202" s="19">
        <v>23.0</v>
      </c>
      <c r="Z202" s="19">
        <v>39.0</v>
      </c>
      <c r="AA202" s="19">
        <v>29.0</v>
      </c>
      <c r="AB202" s="19">
        <v>1.0</v>
      </c>
      <c r="AC202" s="13">
        <f t="shared" si="41"/>
        <v>183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4.0</v>
      </c>
      <c r="F203" s="19">
        <v>1.0</v>
      </c>
      <c r="G203" s="19">
        <v>1.0</v>
      </c>
      <c r="H203" s="19">
        <v>2.0</v>
      </c>
      <c r="I203" s="19">
        <v>0.0</v>
      </c>
      <c r="J203" s="19">
        <v>1.0</v>
      </c>
      <c r="K203" s="19">
        <v>2.0</v>
      </c>
      <c r="L203" s="19">
        <v>1.0</v>
      </c>
      <c r="M203" s="19">
        <v>1.0</v>
      </c>
      <c r="N203" s="19">
        <v>4.0</v>
      </c>
      <c r="O203" s="19">
        <v>3.0</v>
      </c>
      <c r="P203" s="19">
        <v>1.0</v>
      </c>
      <c r="Q203" s="19">
        <v>1.0</v>
      </c>
      <c r="R203" s="19">
        <v>0.0</v>
      </c>
      <c r="S203" s="19">
        <v>1.0</v>
      </c>
      <c r="T203" s="19">
        <v>0.0</v>
      </c>
      <c r="U203" s="19">
        <v>0.0</v>
      </c>
      <c r="V203" s="19">
        <v>2.0</v>
      </c>
      <c r="W203" s="19">
        <v>1.0</v>
      </c>
      <c r="X203" s="19">
        <v>54.0</v>
      </c>
      <c r="Y203" s="19">
        <v>27.0</v>
      </c>
      <c r="Z203" s="19">
        <v>42.0</v>
      </c>
      <c r="AA203" s="19">
        <v>29.0</v>
      </c>
      <c r="AB203" s="19">
        <v>0.0</v>
      </c>
      <c r="AC203" s="13">
        <f t="shared" si="41"/>
        <v>178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1.0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1.0</v>
      </c>
      <c r="N204" s="19">
        <v>0.0</v>
      </c>
      <c r="O204" s="19">
        <v>1.0</v>
      </c>
      <c r="P204" s="19">
        <v>1.0</v>
      </c>
      <c r="Q204" s="19">
        <v>1.0</v>
      </c>
      <c r="R204" s="19">
        <v>0.0</v>
      </c>
      <c r="S204" s="19">
        <v>0.0</v>
      </c>
      <c r="T204" s="19">
        <v>1.0</v>
      </c>
      <c r="U204" s="19">
        <v>0.0</v>
      </c>
      <c r="V204" s="19">
        <v>0.0</v>
      </c>
      <c r="W204" s="19">
        <v>0.0</v>
      </c>
      <c r="X204" s="19">
        <v>2.0</v>
      </c>
      <c r="Y204" s="19">
        <v>0.0</v>
      </c>
      <c r="Z204" s="19">
        <v>2.0</v>
      </c>
      <c r="AA204" s="19">
        <v>0.0</v>
      </c>
      <c r="AB204" s="19">
        <v>0.0</v>
      </c>
      <c r="AC204" s="13">
        <f t="shared" si="41"/>
        <v>10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7.0</v>
      </c>
      <c r="F205" s="19">
        <v>8.0</v>
      </c>
      <c r="G205" s="19">
        <v>1.0</v>
      </c>
      <c r="H205" s="19">
        <v>0.0</v>
      </c>
      <c r="I205" s="19">
        <v>0.0</v>
      </c>
      <c r="J205" s="19">
        <v>1.0</v>
      </c>
      <c r="K205" s="19">
        <v>1.0</v>
      </c>
      <c r="L205" s="19">
        <v>1.0</v>
      </c>
      <c r="M205" s="19">
        <v>0.0</v>
      </c>
      <c r="N205" s="19">
        <v>0.0</v>
      </c>
      <c r="O205" s="19">
        <v>0.0</v>
      </c>
      <c r="P205" s="19">
        <v>2.0</v>
      </c>
      <c r="Q205" s="19">
        <v>1.0</v>
      </c>
      <c r="R205" s="19">
        <v>0.0</v>
      </c>
      <c r="S205" s="19">
        <v>1.0</v>
      </c>
      <c r="T205" s="19">
        <v>0.0</v>
      </c>
      <c r="U205" s="19">
        <v>0.0</v>
      </c>
      <c r="V205" s="19">
        <v>0.0</v>
      </c>
      <c r="W205" s="19">
        <v>0.0</v>
      </c>
      <c r="X205" s="19">
        <v>1.0</v>
      </c>
      <c r="Y205" s="19">
        <v>0.0</v>
      </c>
      <c r="Z205" s="19">
        <v>1.0</v>
      </c>
      <c r="AA205" s="19">
        <v>0.0</v>
      </c>
      <c r="AB205" s="19">
        <v>0.0</v>
      </c>
      <c r="AC205" s="13">
        <f t="shared" si="41"/>
        <v>25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1.0</v>
      </c>
      <c r="AB206" s="19">
        <v>0.0</v>
      </c>
      <c r="AC206" s="13">
        <f t="shared" si="41"/>
        <v>4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1.0</v>
      </c>
      <c r="AC207" s="13">
        <f t="shared" si="41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9">
        <v>1.0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3.0</v>
      </c>
      <c r="AB208" s="19">
        <v>0.0</v>
      </c>
      <c r="AC208" s="13">
        <f t="shared" si="41"/>
        <v>6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C211" si="42">SUM(E201:E210)</f>
        <v>17</v>
      </c>
      <c r="F211" s="13">
        <f t="shared" si="42"/>
        <v>21</v>
      </c>
      <c r="G211" s="13">
        <f t="shared" si="42"/>
        <v>3</v>
      </c>
      <c r="H211" s="13">
        <f t="shared" si="42"/>
        <v>7</v>
      </c>
      <c r="I211" s="13">
        <f t="shared" si="42"/>
        <v>3</v>
      </c>
      <c r="J211" s="13">
        <f t="shared" si="42"/>
        <v>7</v>
      </c>
      <c r="K211" s="13">
        <f t="shared" si="42"/>
        <v>6</v>
      </c>
      <c r="L211" s="13">
        <f t="shared" si="42"/>
        <v>3</v>
      </c>
      <c r="M211" s="13">
        <f t="shared" si="42"/>
        <v>6</v>
      </c>
      <c r="N211" s="13">
        <f t="shared" si="42"/>
        <v>9</v>
      </c>
      <c r="O211" s="13">
        <f t="shared" si="42"/>
        <v>5</v>
      </c>
      <c r="P211" s="13">
        <f t="shared" si="42"/>
        <v>10</v>
      </c>
      <c r="Q211" s="13">
        <f t="shared" si="42"/>
        <v>6</v>
      </c>
      <c r="R211" s="13">
        <f t="shared" si="42"/>
        <v>1</v>
      </c>
      <c r="S211" s="13">
        <f t="shared" si="42"/>
        <v>3</v>
      </c>
      <c r="T211" s="13">
        <f t="shared" si="42"/>
        <v>7</v>
      </c>
      <c r="U211" s="13">
        <f t="shared" si="42"/>
        <v>2</v>
      </c>
      <c r="V211" s="13">
        <f t="shared" si="42"/>
        <v>2</v>
      </c>
      <c r="W211" s="13">
        <f t="shared" si="42"/>
        <v>6</v>
      </c>
      <c r="X211" s="13">
        <f t="shared" si="42"/>
        <v>122</v>
      </c>
      <c r="Y211" s="13">
        <f t="shared" si="42"/>
        <v>59</v>
      </c>
      <c r="Z211" s="13">
        <f t="shared" si="42"/>
        <v>94</v>
      </c>
      <c r="AA211" s="13">
        <f t="shared" si="42"/>
        <v>81</v>
      </c>
      <c r="AB211" s="13">
        <f t="shared" si="42"/>
        <v>5</v>
      </c>
      <c r="AC211" s="13">
        <f t="shared" si="42"/>
        <v>485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0.0</v>
      </c>
      <c r="G213" s="19">
        <v>0.0</v>
      </c>
      <c r="H213" s="19">
        <v>2.0</v>
      </c>
      <c r="I213" s="19">
        <v>2.0</v>
      </c>
      <c r="J213" s="19">
        <v>0.0</v>
      </c>
      <c r="K213" s="19">
        <v>1.0</v>
      </c>
      <c r="L213" s="19">
        <v>0.0</v>
      </c>
      <c r="M213" s="19">
        <v>6.0</v>
      </c>
      <c r="N213" s="19">
        <v>0.0</v>
      </c>
      <c r="O213" s="19">
        <v>1.0</v>
      </c>
      <c r="P213" s="19">
        <v>2.0</v>
      </c>
      <c r="Q213" s="19">
        <v>3.0</v>
      </c>
      <c r="R213" s="19">
        <v>0.0</v>
      </c>
      <c r="S213" s="19">
        <v>0.0</v>
      </c>
      <c r="T213" s="19">
        <v>1.0</v>
      </c>
      <c r="U213" s="19">
        <v>0.0</v>
      </c>
      <c r="V213" s="19">
        <v>0.0</v>
      </c>
      <c r="W213" s="19">
        <v>1.0</v>
      </c>
      <c r="X213" s="19">
        <v>1.0</v>
      </c>
      <c r="Y213" s="19">
        <v>1.0</v>
      </c>
      <c r="Z213" s="19">
        <v>1.0</v>
      </c>
      <c r="AA213" s="19">
        <v>1.0</v>
      </c>
      <c r="AB213" s="19">
        <v>0.0</v>
      </c>
      <c r="AC213" s="13">
        <f t="shared" ref="AC213:AC222" si="43">SUM(E213:AB213)</f>
        <v>25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3.0</v>
      </c>
      <c r="F214" s="19">
        <v>0.0</v>
      </c>
      <c r="G214" s="19">
        <v>0.0</v>
      </c>
      <c r="H214" s="19">
        <v>1.0</v>
      </c>
      <c r="I214" s="19">
        <v>2.0</v>
      </c>
      <c r="J214" s="19">
        <v>2.0</v>
      </c>
      <c r="K214" s="19">
        <v>2.0</v>
      </c>
      <c r="L214" s="19">
        <v>0.0</v>
      </c>
      <c r="M214" s="19">
        <v>0.0</v>
      </c>
      <c r="N214" s="19">
        <v>3.0</v>
      </c>
      <c r="O214" s="19">
        <v>1.0</v>
      </c>
      <c r="P214" s="19">
        <v>1.0</v>
      </c>
      <c r="Q214" s="19">
        <v>0.0</v>
      </c>
      <c r="R214" s="19">
        <v>1.0</v>
      </c>
      <c r="S214" s="19">
        <v>0.0</v>
      </c>
      <c r="T214" s="19">
        <v>1.0</v>
      </c>
      <c r="U214" s="19">
        <v>1.0</v>
      </c>
      <c r="V214" s="19">
        <v>1.0</v>
      </c>
      <c r="W214" s="19">
        <v>1.0</v>
      </c>
      <c r="X214" s="19">
        <v>2.0</v>
      </c>
      <c r="Y214" s="19">
        <v>0.0</v>
      </c>
      <c r="Z214" s="19">
        <v>0.0</v>
      </c>
      <c r="AA214" s="19">
        <v>0.0</v>
      </c>
      <c r="AB214" s="19">
        <v>0.0</v>
      </c>
      <c r="AC214" s="13">
        <f t="shared" si="43"/>
        <v>22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1.0</v>
      </c>
      <c r="G215" s="19">
        <v>1.0</v>
      </c>
      <c r="H215" s="19">
        <v>2.0</v>
      </c>
      <c r="I215" s="19">
        <v>4.0</v>
      </c>
      <c r="J215" s="19">
        <v>0.0</v>
      </c>
      <c r="K215" s="19">
        <v>1.0</v>
      </c>
      <c r="L215" s="19">
        <v>8.0</v>
      </c>
      <c r="M215" s="19">
        <v>9.0</v>
      </c>
      <c r="N215" s="19">
        <v>10.0</v>
      </c>
      <c r="O215" s="19">
        <v>14.0</v>
      </c>
      <c r="P215" s="19">
        <v>8.0</v>
      </c>
      <c r="Q215" s="19">
        <v>3.0</v>
      </c>
      <c r="R215" s="19">
        <v>3.0</v>
      </c>
      <c r="S215" s="19">
        <v>5.0</v>
      </c>
      <c r="T215" s="19">
        <v>3.0</v>
      </c>
      <c r="U215" s="19">
        <v>3.0</v>
      </c>
      <c r="V215" s="19">
        <v>0.0</v>
      </c>
      <c r="W215" s="19">
        <v>1.0</v>
      </c>
      <c r="X215" s="19">
        <v>0.0</v>
      </c>
      <c r="Y215" s="19">
        <v>0.0</v>
      </c>
      <c r="Z215" s="19">
        <v>0.0</v>
      </c>
      <c r="AA215" s="19">
        <v>0.0</v>
      </c>
      <c r="AB215" s="19">
        <v>0.0</v>
      </c>
      <c r="AC215" s="13">
        <f t="shared" si="43"/>
        <v>76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1.0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1.0</v>
      </c>
      <c r="Q216" s="19">
        <v>1.0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1.0</v>
      </c>
      <c r="Z216" s="19">
        <v>0.0</v>
      </c>
      <c r="AA216" s="19">
        <v>0.0</v>
      </c>
      <c r="AB216" s="19">
        <v>0.0</v>
      </c>
      <c r="AC216" s="13">
        <f t="shared" si="43"/>
        <v>5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1.0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3">
        <f t="shared" si="43"/>
        <v>2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1.0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3">
        <f t="shared" si="43"/>
        <v>2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3">
        <f t="shared" si="43"/>
        <v>3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1.0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3">
        <f t="shared" si="43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C223" si="44">SUM(E213:E222)</f>
        <v>5</v>
      </c>
      <c r="F223" s="13">
        <f t="shared" si="44"/>
        <v>1</v>
      </c>
      <c r="G223" s="13">
        <f t="shared" si="44"/>
        <v>1</v>
      </c>
      <c r="H223" s="13">
        <f t="shared" si="44"/>
        <v>7</v>
      </c>
      <c r="I223" s="13">
        <f t="shared" si="44"/>
        <v>8</v>
      </c>
      <c r="J223" s="13">
        <f t="shared" si="44"/>
        <v>3</v>
      </c>
      <c r="K223" s="13">
        <f t="shared" si="44"/>
        <v>6</v>
      </c>
      <c r="L223" s="13">
        <f t="shared" si="44"/>
        <v>8</v>
      </c>
      <c r="M223" s="13">
        <f t="shared" si="44"/>
        <v>16</v>
      </c>
      <c r="N223" s="13">
        <f t="shared" si="44"/>
        <v>13</v>
      </c>
      <c r="O223" s="13">
        <f t="shared" si="44"/>
        <v>17</v>
      </c>
      <c r="P223" s="13">
        <f t="shared" si="44"/>
        <v>13</v>
      </c>
      <c r="Q223" s="13">
        <f t="shared" si="44"/>
        <v>7</v>
      </c>
      <c r="R223" s="13">
        <f t="shared" si="44"/>
        <v>4</v>
      </c>
      <c r="S223" s="13">
        <f t="shared" si="44"/>
        <v>6</v>
      </c>
      <c r="T223" s="13">
        <f t="shared" si="44"/>
        <v>6</v>
      </c>
      <c r="U223" s="13">
        <f t="shared" si="44"/>
        <v>4</v>
      </c>
      <c r="V223" s="13">
        <f t="shared" si="44"/>
        <v>1</v>
      </c>
      <c r="W223" s="13">
        <f t="shared" si="44"/>
        <v>4</v>
      </c>
      <c r="X223" s="13">
        <f t="shared" si="44"/>
        <v>3</v>
      </c>
      <c r="Y223" s="13">
        <f t="shared" si="44"/>
        <v>2</v>
      </c>
      <c r="Z223" s="13">
        <f t="shared" si="44"/>
        <v>1</v>
      </c>
      <c r="AA223" s="13">
        <f t="shared" si="44"/>
        <v>1</v>
      </c>
      <c r="AB223" s="13">
        <f t="shared" si="44"/>
        <v>0</v>
      </c>
      <c r="AC223" s="13">
        <f t="shared" si="44"/>
        <v>137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2.0</v>
      </c>
      <c r="AB225" s="19">
        <v>0.0</v>
      </c>
      <c r="AC225" s="13">
        <f t="shared" ref="AC225:AC234" si="45">SUM(E225:AB225)</f>
        <v>3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2.0</v>
      </c>
      <c r="F226" s="19">
        <v>0.0</v>
      </c>
      <c r="G226" s="19">
        <v>0.0</v>
      </c>
      <c r="H226" s="19">
        <v>1.0</v>
      </c>
      <c r="I226" s="19">
        <v>1.0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4.0</v>
      </c>
      <c r="U226" s="19">
        <v>2.0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1.0</v>
      </c>
      <c r="AC226" s="13">
        <f t="shared" si="45"/>
        <v>11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3">
        <f t="shared" si="45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/>
      <c r="U231" s="19"/>
      <c r="V231" s="19"/>
      <c r="W231" s="19"/>
      <c r="X231" s="19"/>
      <c r="Y231" s="19"/>
      <c r="Z231" s="19"/>
      <c r="AA231" s="19"/>
      <c r="AB231" s="19"/>
      <c r="AC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/>
      <c r="J232" s="19">
        <v>1.0</v>
      </c>
      <c r="K232" s="19">
        <v>1.0</v>
      </c>
      <c r="L232" s="19">
        <v>0.0</v>
      </c>
      <c r="M232" s="19">
        <v>0.0</v>
      </c>
      <c r="N232" s="19">
        <v>0.0</v>
      </c>
      <c r="O232" s="19">
        <v>0.0</v>
      </c>
      <c r="P232" s="19">
        <v>1.0</v>
      </c>
      <c r="Q232" s="19">
        <v>0.0</v>
      </c>
      <c r="R232" s="19">
        <v>1.0</v>
      </c>
      <c r="S232" s="19">
        <v>0.0</v>
      </c>
      <c r="T232" s="19">
        <v>1.0</v>
      </c>
      <c r="U232" s="19">
        <v>0.0</v>
      </c>
      <c r="V232" s="19">
        <v>0.0</v>
      </c>
      <c r="W232" s="19">
        <v>1.0</v>
      </c>
      <c r="X232" s="19">
        <v>1.0</v>
      </c>
      <c r="Y232" s="19">
        <v>0.0</v>
      </c>
      <c r="Z232" s="19">
        <v>0.0</v>
      </c>
      <c r="AA232" s="19">
        <v>0.0</v>
      </c>
      <c r="AB232" s="19">
        <v>0.0</v>
      </c>
      <c r="AC232" s="13">
        <f t="shared" si="45"/>
        <v>7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C235" si="46">SUM(E225:E234)</f>
        <v>2</v>
      </c>
      <c r="F235" s="13">
        <f t="shared" si="46"/>
        <v>1</v>
      </c>
      <c r="G235" s="13">
        <f t="shared" si="46"/>
        <v>0</v>
      </c>
      <c r="H235" s="13">
        <f t="shared" si="46"/>
        <v>1</v>
      </c>
      <c r="I235" s="13">
        <f t="shared" si="46"/>
        <v>1</v>
      </c>
      <c r="J235" s="13">
        <f t="shared" si="46"/>
        <v>1</v>
      </c>
      <c r="K235" s="13">
        <f t="shared" si="46"/>
        <v>1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1</v>
      </c>
      <c r="Q235" s="13">
        <f t="shared" si="46"/>
        <v>0</v>
      </c>
      <c r="R235" s="13">
        <f t="shared" si="46"/>
        <v>1</v>
      </c>
      <c r="S235" s="13">
        <f t="shared" si="46"/>
        <v>0</v>
      </c>
      <c r="T235" s="13">
        <f t="shared" si="46"/>
        <v>5</v>
      </c>
      <c r="U235" s="13">
        <f t="shared" si="46"/>
        <v>2</v>
      </c>
      <c r="V235" s="13">
        <f t="shared" si="46"/>
        <v>0</v>
      </c>
      <c r="W235" s="13">
        <f t="shared" si="46"/>
        <v>1</v>
      </c>
      <c r="X235" s="13">
        <f t="shared" si="46"/>
        <v>1</v>
      </c>
      <c r="Y235" s="13">
        <f t="shared" si="46"/>
        <v>0</v>
      </c>
      <c r="Z235" s="13">
        <f t="shared" si="46"/>
        <v>0</v>
      </c>
      <c r="AA235" s="13">
        <f t="shared" si="46"/>
        <v>2</v>
      </c>
      <c r="AB235" s="13">
        <f t="shared" si="46"/>
        <v>1</v>
      </c>
      <c r="AC235" s="13">
        <f t="shared" si="46"/>
        <v>21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1.0</v>
      </c>
      <c r="H237" s="19">
        <v>1.0</v>
      </c>
      <c r="I237" s="19">
        <v>2.0</v>
      </c>
      <c r="J237" s="19">
        <v>1.0</v>
      </c>
      <c r="K237" s="19">
        <v>0.0</v>
      </c>
      <c r="L237" s="19">
        <v>3.0</v>
      </c>
      <c r="M237" s="19">
        <v>1.0</v>
      </c>
      <c r="N237" s="19">
        <v>4.0</v>
      </c>
      <c r="O237" s="19">
        <v>1.0</v>
      </c>
      <c r="P237" s="19">
        <v>9.0</v>
      </c>
      <c r="Q237" s="19">
        <v>0.0</v>
      </c>
      <c r="R237" s="19">
        <v>0.0</v>
      </c>
      <c r="S237" s="19">
        <v>0.0</v>
      </c>
      <c r="T237" s="19">
        <v>1.0</v>
      </c>
      <c r="U237" s="19">
        <v>5.0</v>
      </c>
      <c r="V237" s="19">
        <v>5.0</v>
      </c>
      <c r="W237" s="19">
        <v>8.0</v>
      </c>
      <c r="X237" s="19">
        <v>0.0</v>
      </c>
      <c r="Y237" s="19">
        <v>0.0</v>
      </c>
      <c r="Z237" s="19">
        <v>0.0</v>
      </c>
      <c r="AA237" s="19">
        <v>0.0</v>
      </c>
      <c r="AB237" s="19">
        <v>2.0</v>
      </c>
      <c r="AC237" s="13">
        <f t="shared" ref="AC237:AC246" si="47">SUM(E237:AB237)</f>
        <v>45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3.0</v>
      </c>
      <c r="G238" s="19">
        <v>1.0</v>
      </c>
      <c r="H238" s="19">
        <v>2.0</v>
      </c>
      <c r="I238" s="19">
        <v>5.0</v>
      </c>
      <c r="J238" s="19">
        <v>0.0</v>
      </c>
      <c r="K238" s="19">
        <v>3.0</v>
      </c>
      <c r="L238" s="19">
        <v>1.0</v>
      </c>
      <c r="M238" s="19">
        <v>1.0</v>
      </c>
      <c r="N238" s="19">
        <v>5.0</v>
      </c>
      <c r="O238" s="19">
        <v>6.0</v>
      </c>
      <c r="P238" s="19">
        <v>8.0</v>
      </c>
      <c r="Q238" s="19">
        <v>0.0</v>
      </c>
      <c r="R238" s="19">
        <v>0.0</v>
      </c>
      <c r="S238" s="19">
        <v>2.0</v>
      </c>
      <c r="T238" s="19">
        <v>6.0</v>
      </c>
      <c r="U238" s="19">
        <v>6.0</v>
      </c>
      <c r="V238" s="19">
        <v>7.0</v>
      </c>
      <c r="W238" s="19">
        <v>8.0</v>
      </c>
      <c r="X238" s="19">
        <v>0.0</v>
      </c>
      <c r="Y238" s="19">
        <v>0.0</v>
      </c>
      <c r="Z238" s="19">
        <v>0.0</v>
      </c>
      <c r="AA238" s="19">
        <v>1.0</v>
      </c>
      <c r="AB238" s="19">
        <v>2.0</v>
      </c>
      <c r="AC238" s="13">
        <f t="shared" si="47"/>
        <v>68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1.0</v>
      </c>
      <c r="H239" s="19">
        <v>1.0</v>
      </c>
      <c r="I239" s="19">
        <v>0.0</v>
      </c>
      <c r="J239" s="19">
        <v>0.0</v>
      </c>
      <c r="K239" s="19">
        <v>0.0</v>
      </c>
      <c r="L239" s="19">
        <v>1.0</v>
      </c>
      <c r="M239" s="19">
        <v>0.0</v>
      </c>
      <c r="N239" s="19">
        <v>0.0</v>
      </c>
      <c r="O239" s="19">
        <v>0.0</v>
      </c>
      <c r="P239" s="19">
        <v>2.0</v>
      </c>
      <c r="Q239" s="19">
        <v>0.0</v>
      </c>
      <c r="R239" s="19">
        <v>0.0</v>
      </c>
      <c r="S239" s="19">
        <v>0.0</v>
      </c>
      <c r="T239" s="19">
        <v>1.0</v>
      </c>
      <c r="U239" s="19">
        <v>0.0</v>
      </c>
      <c r="V239" s="19">
        <v>1.0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1.0</v>
      </c>
      <c r="AC239" s="13">
        <f t="shared" si="47"/>
        <v>8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1.0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3">
        <f t="shared" si="47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1.0</v>
      </c>
      <c r="T241" s="19">
        <v>0.0</v>
      </c>
      <c r="U241" s="19">
        <v>0.0</v>
      </c>
      <c r="V241" s="19">
        <v>1.0</v>
      </c>
      <c r="W241" s="19">
        <v>0.0</v>
      </c>
      <c r="X241" s="19">
        <v>1.0</v>
      </c>
      <c r="Y241" s="19">
        <v>0.0</v>
      </c>
      <c r="Z241" s="19">
        <v>0.0</v>
      </c>
      <c r="AA241" s="19">
        <v>0.0</v>
      </c>
      <c r="AB241" s="19">
        <v>0.0</v>
      </c>
      <c r="AC241" s="13">
        <f t="shared" si="47"/>
        <v>5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1.0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1.0</v>
      </c>
      <c r="V242" s="19">
        <v>0.0</v>
      </c>
      <c r="W242" s="19">
        <v>1.0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3">
        <f t="shared" si="47"/>
        <v>3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2.0</v>
      </c>
      <c r="Q243" s="19">
        <v>0.0</v>
      </c>
      <c r="R243" s="19">
        <v>0.0</v>
      </c>
      <c r="S243" s="19">
        <v>0.0</v>
      </c>
      <c r="T243" s="19">
        <v>0.0</v>
      </c>
      <c r="U243" s="19">
        <v>1.0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3">
        <f t="shared" si="47"/>
        <v>4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2.0</v>
      </c>
      <c r="G244" s="19">
        <v>2.0</v>
      </c>
      <c r="H244" s="19">
        <v>3.0</v>
      </c>
      <c r="I244" s="19">
        <v>4.0</v>
      </c>
      <c r="J244" s="19">
        <v>2.0</v>
      </c>
      <c r="K244" s="19">
        <v>0.0</v>
      </c>
      <c r="L244" s="19">
        <v>0.0</v>
      </c>
      <c r="M244" s="19">
        <v>1.0</v>
      </c>
      <c r="N244" s="19">
        <v>1.0</v>
      </c>
      <c r="O244" s="19">
        <v>1.0</v>
      </c>
      <c r="P244" s="19">
        <v>2.0</v>
      </c>
      <c r="Q244" s="19">
        <v>0.0</v>
      </c>
      <c r="R244" s="19">
        <v>0.0</v>
      </c>
      <c r="S244" s="19">
        <v>0.0</v>
      </c>
      <c r="T244" s="19">
        <v>1.0</v>
      </c>
      <c r="U244" s="19">
        <v>3.0</v>
      </c>
      <c r="V244" s="19">
        <v>2.0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3">
        <f t="shared" si="47"/>
        <v>24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C247" si="48">SUM(E237:E246)</f>
        <v>2</v>
      </c>
      <c r="F247" s="13">
        <f t="shared" si="48"/>
        <v>5</v>
      </c>
      <c r="G247" s="13">
        <f t="shared" si="48"/>
        <v>5</v>
      </c>
      <c r="H247" s="13">
        <f t="shared" si="48"/>
        <v>7</v>
      </c>
      <c r="I247" s="13">
        <f t="shared" si="48"/>
        <v>12</v>
      </c>
      <c r="J247" s="13">
        <f t="shared" si="48"/>
        <v>4</v>
      </c>
      <c r="K247" s="13">
        <f t="shared" si="48"/>
        <v>3</v>
      </c>
      <c r="L247" s="13">
        <f t="shared" si="48"/>
        <v>6</v>
      </c>
      <c r="M247" s="13">
        <f t="shared" si="48"/>
        <v>3</v>
      </c>
      <c r="N247" s="13">
        <f t="shared" si="48"/>
        <v>11</v>
      </c>
      <c r="O247" s="13">
        <f t="shared" si="48"/>
        <v>9</v>
      </c>
      <c r="P247" s="13">
        <f t="shared" si="48"/>
        <v>23</v>
      </c>
      <c r="Q247" s="13">
        <f t="shared" si="48"/>
        <v>0</v>
      </c>
      <c r="R247" s="13">
        <f t="shared" si="48"/>
        <v>0</v>
      </c>
      <c r="S247" s="13">
        <f t="shared" si="48"/>
        <v>3</v>
      </c>
      <c r="T247" s="13">
        <f t="shared" si="48"/>
        <v>9</v>
      </c>
      <c r="U247" s="13">
        <f t="shared" si="48"/>
        <v>16</v>
      </c>
      <c r="V247" s="13">
        <f t="shared" si="48"/>
        <v>16</v>
      </c>
      <c r="W247" s="13">
        <f t="shared" si="48"/>
        <v>18</v>
      </c>
      <c r="X247" s="13">
        <f t="shared" si="48"/>
        <v>1</v>
      </c>
      <c r="Y247" s="13">
        <f t="shared" si="48"/>
        <v>0</v>
      </c>
      <c r="Z247" s="13">
        <f t="shared" si="48"/>
        <v>0</v>
      </c>
      <c r="AA247" s="13">
        <f t="shared" si="48"/>
        <v>1</v>
      </c>
      <c r="AB247" s="13">
        <f t="shared" si="48"/>
        <v>5</v>
      </c>
      <c r="AC247" s="13">
        <f t="shared" si="48"/>
        <v>159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1.0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1.0</v>
      </c>
      <c r="O249" s="19">
        <v>0.0</v>
      </c>
      <c r="P249" s="19">
        <v>1.0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1.0</v>
      </c>
      <c r="Z249" s="19">
        <v>0.0</v>
      </c>
      <c r="AA249" s="19">
        <v>0.0</v>
      </c>
      <c r="AB249" s="19">
        <v>0.0</v>
      </c>
      <c r="AC249" s="13">
        <f t="shared" ref="AC249:AC258" si="49">SUM(E249:AB249)</f>
        <v>5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3">
        <f t="shared" si="49"/>
        <v>4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1.0</v>
      </c>
      <c r="M251" s="19">
        <v>0.0</v>
      </c>
      <c r="N251" s="19">
        <v>0.0</v>
      </c>
      <c r="O251" s="19">
        <v>0.0</v>
      </c>
      <c r="P251" s="19">
        <v>1.0</v>
      </c>
      <c r="Q251" s="19">
        <v>3.0</v>
      </c>
      <c r="R251" s="19">
        <v>0.0</v>
      </c>
      <c r="S251" s="19">
        <v>1.0</v>
      </c>
      <c r="T251" s="19">
        <v>0.0</v>
      </c>
      <c r="U251" s="19">
        <v>1.0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1.0</v>
      </c>
      <c r="AB251" s="19">
        <v>0.0</v>
      </c>
      <c r="AC251" s="13">
        <f t="shared" si="49"/>
        <v>9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2.0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3">
        <f t="shared" si="49"/>
        <v>2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C259" si="50">SUM(E249:E258)</f>
        <v>0</v>
      </c>
      <c r="F259" s="13">
        <f t="shared" si="50"/>
        <v>0</v>
      </c>
      <c r="G259" s="13">
        <f t="shared" si="50"/>
        <v>3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5</v>
      </c>
      <c r="M259" s="13">
        <f t="shared" si="50"/>
        <v>0</v>
      </c>
      <c r="N259" s="13">
        <f t="shared" si="50"/>
        <v>1</v>
      </c>
      <c r="O259" s="13">
        <f t="shared" si="50"/>
        <v>0</v>
      </c>
      <c r="P259" s="13">
        <f t="shared" si="50"/>
        <v>2</v>
      </c>
      <c r="Q259" s="13">
        <f t="shared" si="50"/>
        <v>4</v>
      </c>
      <c r="R259" s="13">
        <f t="shared" si="50"/>
        <v>0</v>
      </c>
      <c r="S259" s="13">
        <f t="shared" si="50"/>
        <v>1</v>
      </c>
      <c r="T259" s="13">
        <f t="shared" si="50"/>
        <v>0</v>
      </c>
      <c r="U259" s="13">
        <f t="shared" si="50"/>
        <v>1</v>
      </c>
      <c r="V259" s="13">
        <f t="shared" si="50"/>
        <v>1</v>
      </c>
      <c r="W259" s="13">
        <f t="shared" si="50"/>
        <v>0</v>
      </c>
      <c r="X259" s="13">
        <f t="shared" si="50"/>
        <v>0</v>
      </c>
      <c r="Y259" s="13">
        <f t="shared" si="50"/>
        <v>1</v>
      </c>
      <c r="Z259" s="13">
        <f t="shared" si="50"/>
        <v>0</v>
      </c>
      <c r="AA259" s="13">
        <f t="shared" si="50"/>
        <v>1</v>
      </c>
      <c r="AB259" s="13">
        <f t="shared" si="50"/>
        <v>0</v>
      </c>
      <c r="AC259" s="13">
        <f t="shared" si="50"/>
        <v>20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B262" si="51">E55+E67+E79+E91+E103+E115+E127+E139+E151+E163+E175+E187+E199+E211+E223+E235+E247+E259</f>
        <v>198</v>
      </c>
      <c r="F262" s="19">
        <f t="shared" si="51"/>
        <v>197</v>
      </c>
      <c r="G262" s="19">
        <f t="shared" si="51"/>
        <v>186</v>
      </c>
      <c r="H262" s="19">
        <f t="shared" si="51"/>
        <v>183</v>
      </c>
      <c r="I262" s="19">
        <f t="shared" si="51"/>
        <v>183</v>
      </c>
      <c r="J262" s="19">
        <f t="shared" si="51"/>
        <v>182</v>
      </c>
      <c r="K262" s="19">
        <f t="shared" si="51"/>
        <v>171</v>
      </c>
      <c r="L262" s="19">
        <f t="shared" si="51"/>
        <v>190</v>
      </c>
      <c r="M262" s="19">
        <f t="shared" si="51"/>
        <v>180</v>
      </c>
      <c r="N262" s="19">
        <f t="shared" si="51"/>
        <v>183</v>
      </c>
      <c r="O262" s="19">
        <f t="shared" si="51"/>
        <v>176</v>
      </c>
      <c r="P262" s="19">
        <f t="shared" si="51"/>
        <v>205</v>
      </c>
      <c r="Q262" s="19">
        <f t="shared" si="51"/>
        <v>232</v>
      </c>
      <c r="R262" s="19">
        <f t="shared" si="51"/>
        <v>214</v>
      </c>
      <c r="S262" s="19">
        <f t="shared" si="51"/>
        <v>204</v>
      </c>
      <c r="T262" s="19">
        <f t="shared" si="51"/>
        <v>205</v>
      </c>
      <c r="U262" s="19">
        <f t="shared" si="51"/>
        <v>219</v>
      </c>
      <c r="V262" s="19">
        <f t="shared" si="51"/>
        <v>221</v>
      </c>
      <c r="W262" s="19">
        <f t="shared" si="51"/>
        <v>194</v>
      </c>
      <c r="X262" s="19">
        <f t="shared" si="51"/>
        <v>198</v>
      </c>
      <c r="Y262" s="19">
        <f t="shared" si="51"/>
        <v>190</v>
      </c>
      <c r="Z262" s="19">
        <f t="shared" si="51"/>
        <v>204</v>
      </c>
      <c r="AA262" s="19">
        <f t="shared" si="51"/>
        <v>215</v>
      </c>
      <c r="AB262" s="19">
        <f t="shared" si="51"/>
        <v>136</v>
      </c>
      <c r="AC262" s="13">
        <f t="shared" ref="AC262:AC264" si="52">SUM(E262:AB262)</f>
        <v>4666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17.0</v>
      </c>
      <c r="F263" s="19">
        <v>26.0</v>
      </c>
      <c r="G263" s="19">
        <v>15.0</v>
      </c>
      <c r="H263" s="19">
        <v>21.0</v>
      </c>
      <c r="I263" s="19">
        <v>14.0</v>
      </c>
      <c r="J263" s="19">
        <v>25.0</v>
      </c>
      <c r="K263" s="19">
        <v>27.0</v>
      </c>
      <c r="L263" s="19">
        <v>20.0</v>
      </c>
      <c r="M263" s="19">
        <v>11.0</v>
      </c>
      <c r="N263" s="19">
        <v>21.0</v>
      </c>
      <c r="O263" s="19">
        <v>32.0</v>
      </c>
      <c r="P263" s="19">
        <v>23.0</v>
      </c>
      <c r="Q263" s="19">
        <v>4.0</v>
      </c>
      <c r="R263" s="19">
        <v>8.0</v>
      </c>
      <c r="S263" s="19">
        <v>27.0</v>
      </c>
      <c r="T263" s="19">
        <v>19.0</v>
      </c>
      <c r="U263" s="19">
        <v>11.0</v>
      </c>
      <c r="V263" s="19">
        <v>19.0</v>
      </c>
      <c r="W263" s="19">
        <v>33.0</v>
      </c>
      <c r="X263" s="19">
        <v>8.0</v>
      </c>
      <c r="Y263" s="19">
        <v>25.0</v>
      </c>
      <c r="Z263" s="19">
        <v>9.0</v>
      </c>
      <c r="AA263" s="19">
        <v>10.0</v>
      </c>
      <c r="AB263" s="19">
        <v>10.0</v>
      </c>
      <c r="AC263" s="13">
        <f t="shared" si="52"/>
        <v>435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B264" si="53">SUM(E262:E263)</f>
        <v>215</v>
      </c>
      <c r="F264" s="13">
        <f t="shared" si="53"/>
        <v>223</v>
      </c>
      <c r="G264" s="13">
        <f t="shared" si="53"/>
        <v>201</v>
      </c>
      <c r="H264" s="13">
        <f t="shared" si="53"/>
        <v>204</v>
      </c>
      <c r="I264" s="13">
        <f t="shared" si="53"/>
        <v>197</v>
      </c>
      <c r="J264" s="13">
        <f t="shared" si="53"/>
        <v>207</v>
      </c>
      <c r="K264" s="13">
        <f t="shared" si="53"/>
        <v>198</v>
      </c>
      <c r="L264" s="13">
        <f t="shared" si="53"/>
        <v>210</v>
      </c>
      <c r="M264" s="13">
        <f t="shared" si="53"/>
        <v>191</v>
      </c>
      <c r="N264" s="13">
        <f t="shared" si="53"/>
        <v>204</v>
      </c>
      <c r="O264" s="13">
        <f t="shared" si="53"/>
        <v>208</v>
      </c>
      <c r="P264" s="13">
        <f t="shared" si="53"/>
        <v>228</v>
      </c>
      <c r="Q264" s="13">
        <f t="shared" si="53"/>
        <v>236</v>
      </c>
      <c r="R264" s="13">
        <f t="shared" si="53"/>
        <v>222</v>
      </c>
      <c r="S264" s="13">
        <f t="shared" si="53"/>
        <v>231</v>
      </c>
      <c r="T264" s="13">
        <f t="shared" si="53"/>
        <v>224</v>
      </c>
      <c r="U264" s="13">
        <f t="shared" si="53"/>
        <v>230</v>
      </c>
      <c r="V264" s="13">
        <f t="shared" si="53"/>
        <v>240</v>
      </c>
      <c r="W264" s="13">
        <f t="shared" si="53"/>
        <v>227</v>
      </c>
      <c r="X264" s="13">
        <f t="shared" si="53"/>
        <v>206</v>
      </c>
      <c r="Y264" s="13">
        <f t="shared" si="53"/>
        <v>215</v>
      </c>
      <c r="Z264" s="13">
        <f t="shared" si="53"/>
        <v>213</v>
      </c>
      <c r="AA264" s="13">
        <f t="shared" si="53"/>
        <v>225</v>
      </c>
      <c r="AB264" s="13">
        <f t="shared" si="53"/>
        <v>146</v>
      </c>
      <c r="AC264" s="13">
        <f t="shared" si="52"/>
        <v>5101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B37"/>
    <mergeCell ref="B38:D38"/>
    <mergeCell ref="B39:C41"/>
    <mergeCell ref="A42:D42"/>
    <mergeCell ref="E42:AB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14:AB15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E30&lt;&gt;E47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E34&lt;&gt;E64</formula>
    </cfRule>
  </conditionalFormatting>
  <conditionalFormatting sqref="E45:AB54">
    <cfRule type="containsBlanks" dxfId="1" priority="10">
      <formula>LEN(TRIM(E45))=0</formula>
    </cfRule>
  </conditionalFormatting>
  <conditionalFormatting sqref="E57:AB66">
    <cfRule type="containsBlanks" dxfId="1" priority="11">
      <formula>LEN(TRIM(E57))=0</formula>
    </cfRule>
  </conditionalFormatting>
  <conditionalFormatting sqref="E69:AB78">
    <cfRule type="containsBlanks" dxfId="1" priority="12">
      <formula>LEN(TRIM(E69))=0</formula>
    </cfRule>
  </conditionalFormatting>
  <conditionalFormatting sqref="E81:AB90">
    <cfRule type="containsBlanks" dxfId="1" priority="13">
      <formula>LEN(TRIM(E81))=0</formula>
    </cfRule>
  </conditionalFormatting>
  <conditionalFormatting sqref="E93:AB102">
    <cfRule type="containsBlanks" dxfId="1" priority="14">
      <formula>LEN(TRIM(E93))=0</formula>
    </cfRule>
  </conditionalFormatting>
  <conditionalFormatting sqref="E105:AB114">
    <cfRule type="containsBlanks" dxfId="1" priority="15">
      <formula>LEN(TRIM(E105))=0</formula>
    </cfRule>
  </conditionalFormatting>
  <conditionalFormatting sqref="E117:AB126">
    <cfRule type="containsBlanks" dxfId="1" priority="16">
      <formula>LEN(TRIM(E117))=0</formula>
    </cfRule>
  </conditionalFormatting>
  <conditionalFormatting sqref="E129:AB138">
    <cfRule type="containsBlanks" dxfId="1" priority="17">
      <formula>LEN(TRIM(E129))=0</formula>
    </cfRule>
  </conditionalFormatting>
  <conditionalFormatting sqref="E141:AB150">
    <cfRule type="containsBlanks" dxfId="1" priority="18">
      <formula>LEN(TRIM(E141))=0</formula>
    </cfRule>
  </conditionalFormatting>
  <conditionalFormatting sqref="E153:AB162">
    <cfRule type="containsBlanks" dxfId="1" priority="19">
      <formula>LEN(TRIM(E153))=0</formula>
    </cfRule>
  </conditionalFormatting>
  <conditionalFormatting sqref="E165:AB174">
    <cfRule type="containsBlanks" dxfId="1" priority="20">
      <formula>LEN(TRIM(E165))=0</formula>
    </cfRule>
  </conditionalFormatting>
  <conditionalFormatting sqref="E177:AB186">
    <cfRule type="containsBlanks" dxfId="1" priority="21">
      <formula>LEN(TRIM(E177))=0</formula>
    </cfRule>
  </conditionalFormatting>
  <conditionalFormatting sqref="E189:AB198">
    <cfRule type="containsBlanks" dxfId="1" priority="22">
      <formula>LEN(TRIM(E189))=0</formula>
    </cfRule>
  </conditionalFormatting>
  <conditionalFormatting sqref="E201:AB210">
    <cfRule type="containsBlanks" dxfId="1" priority="23">
      <formula>LEN(TRIM(E201))=0</formula>
    </cfRule>
  </conditionalFormatting>
  <conditionalFormatting sqref="E213:AB222">
    <cfRule type="containsBlanks" dxfId="1" priority="24">
      <formula>LEN(TRIM(E213))=0</formula>
    </cfRule>
  </conditionalFormatting>
  <conditionalFormatting sqref="E225:AB234">
    <cfRule type="containsBlanks" dxfId="1" priority="25">
      <formula>LEN(TRIM(E225))=0</formula>
    </cfRule>
  </conditionalFormatting>
  <conditionalFormatting sqref="E237:AB246">
    <cfRule type="containsBlanks" dxfId="1" priority="26">
      <formula>LEN(TRIM(E237))=0</formula>
    </cfRule>
  </conditionalFormatting>
  <conditionalFormatting sqref="E249:AB258">
    <cfRule type="containsBlanks" dxfId="1" priority="27">
      <formula>LEN(TRIM(E249))=0</formula>
    </cfRule>
  </conditionalFormatting>
  <conditionalFormatting sqref="E262:AB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1.43"/>
    <col customWidth="1" min="4" max="4" width="5.86"/>
    <col customWidth="1" min="5" max="35" width="8.71"/>
    <col customWidth="1" min="36" max="3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134.0</v>
      </c>
      <c r="G14" s="19">
        <v>138.0</v>
      </c>
      <c r="H14" s="19">
        <v>149.0</v>
      </c>
      <c r="I14" s="19">
        <v>111.0</v>
      </c>
      <c r="J14" s="19">
        <v>124.0</v>
      </c>
      <c r="K14" s="19">
        <v>130.0</v>
      </c>
      <c r="L14" s="19">
        <v>121.0</v>
      </c>
      <c r="M14" s="19">
        <v>121.0</v>
      </c>
      <c r="N14" s="19">
        <v>142.0</v>
      </c>
      <c r="O14" s="19">
        <v>141.0</v>
      </c>
      <c r="P14" s="19">
        <v>134.0</v>
      </c>
      <c r="Q14" s="19">
        <v>120.0</v>
      </c>
      <c r="R14" s="19">
        <v>141.0</v>
      </c>
      <c r="S14" s="19">
        <v>131.0</v>
      </c>
      <c r="T14" s="19">
        <v>123.0</v>
      </c>
      <c r="U14" s="19">
        <v>125.0</v>
      </c>
      <c r="V14" s="19">
        <v>131.0</v>
      </c>
      <c r="W14" s="19">
        <v>132.0</v>
      </c>
      <c r="X14" s="19">
        <v>127.0</v>
      </c>
      <c r="Y14" s="19">
        <v>142.0</v>
      </c>
      <c r="Z14" s="19">
        <v>122.0</v>
      </c>
      <c r="AA14" s="19">
        <v>134.0</v>
      </c>
      <c r="AB14" s="19">
        <v>125.0</v>
      </c>
      <c r="AC14" s="19">
        <v>128.0</v>
      </c>
      <c r="AD14" s="19">
        <v>136.0</v>
      </c>
      <c r="AE14" s="19">
        <v>135.0</v>
      </c>
      <c r="AF14" s="19">
        <v>115.0</v>
      </c>
      <c r="AG14" s="19">
        <v>126.0</v>
      </c>
      <c r="AH14" s="19">
        <v>141.0</v>
      </c>
      <c r="AI14" s="19">
        <v>132.0</v>
      </c>
      <c r="AJ14" s="13">
        <f t="shared" ref="AJ14:AJ16" si="1">SUM(E14:AI14)</f>
        <v>4047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111.0</v>
      </c>
      <c r="G15" s="19">
        <v>135.0</v>
      </c>
      <c r="H15" s="19">
        <v>138.0</v>
      </c>
      <c r="I15" s="19">
        <v>123.0</v>
      </c>
      <c r="J15" s="19">
        <v>131.0</v>
      </c>
      <c r="K15" s="19">
        <v>131.0</v>
      </c>
      <c r="L15" s="19">
        <v>118.0</v>
      </c>
      <c r="M15" s="19">
        <v>127.0</v>
      </c>
      <c r="N15" s="19">
        <v>126.0</v>
      </c>
      <c r="O15" s="19">
        <v>131.0</v>
      </c>
      <c r="P15" s="19">
        <v>149.0</v>
      </c>
      <c r="Q15" s="19">
        <v>111.0</v>
      </c>
      <c r="R15" s="19">
        <v>124.0</v>
      </c>
      <c r="S15" s="19">
        <v>130.0</v>
      </c>
      <c r="T15" s="19">
        <v>117.0</v>
      </c>
      <c r="U15" s="19">
        <v>130.0</v>
      </c>
      <c r="V15" s="19">
        <v>121.0</v>
      </c>
      <c r="W15" s="19">
        <v>122.0</v>
      </c>
      <c r="X15" s="19">
        <v>116.0</v>
      </c>
      <c r="Y15" s="19">
        <v>119.0</v>
      </c>
      <c r="Z15" s="19">
        <v>128.0</v>
      </c>
      <c r="AA15" s="19">
        <v>142.0</v>
      </c>
      <c r="AB15" s="19">
        <v>128.0</v>
      </c>
      <c r="AC15" s="19">
        <v>130.0</v>
      </c>
      <c r="AD15" s="19">
        <v>140.0</v>
      </c>
      <c r="AE15" s="19">
        <v>123.0</v>
      </c>
      <c r="AF15" s="19">
        <v>127.0</v>
      </c>
      <c r="AG15" s="19">
        <v>142.0</v>
      </c>
      <c r="AH15" s="19">
        <v>128.0</v>
      </c>
      <c r="AI15" s="19">
        <v>133.0</v>
      </c>
      <c r="AJ15" s="13">
        <f t="shared" si="1"/>
        <v>3945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250</v>
      </c>
      <c r="F16" s="13">
        <f t="shared" si="2"/>
        <v>245</v>
      </c>
      <c r="G16" s="13">
        <f t="shared" si="2"/>
        <v>273</v>
      </c>
      <c r="H16" s="13">
        <f t="shared" si="2"/>
        <v>287</v>
      </c>
      <c r="I16" s="13">
        <f t="shared" si="2"/>
        <v>234</v>
      </c>
      <c r="J16" s="13">
        <f t="shared" si="2"/>
        <v>255</v>
      </c>
      <c r="K16" s="13">
        <f t="shared" si="2"/>
        <v>261</v>
      </c>
      <c r="L16" s="13">
        <f t="shared" si="2"/>
        <v>239</v>
      </c>
      <c r="M16" s="13">
        <f t="shared" si="2"/>
        <v>248</v>
      </c>
      <c r="N16" s="13">
        <f t="shared" si="2"/>
        <v>268</v>
      </c>
      <c r="O16" s="13">
        <f t="shared" si="2"/>
        <v>272</v>
      </c>
      <c r="P16" s="13">
        <f t="shared" si="2"/>
        <v>283</v>
      </c>
      <c r="Q16" s="13">
        <f t="shared" si="2"/>
        <v>231</v>
      </c>
      <c r="R16" s="13">
        <f t="shared" si="2"/>
        <v>265</v>
      </c>
      <c r="S16" s="13">
        <f t="shared" si="2"/>
        <v>261</v>
      </c>
      <c r="T16" s="13">
        <f t="shared" si="2"/>
        <v>240</v>
      </c>
      <c r="U16" s="13">
        <f t="shared" si="2"/>
        <v>255</v>
      </c>
      <c r="V16" s="13">
        <f t="shared" si="2"/>
        <v>252</v>
      </c>
      <c r="W16" s="13">
        <f t="shared" si="2"/>
        <v>254</v>
      </c>
      <c r="X16" s="13">
        <f t="shared" si="2"/>
        <v>243</v>
      </c>
      <c r="Y16" s="13">
        <f t="shared" si="2"/>
        <v>261</v>
      </c>
      <c r="Z16" s="13">
        <f t="shared" si="2"/>
        <v>250</v>
      </c>
      <c r="AA16" s="13">
        <f t="shared" si="2"/>
        <v>276</v>
      </c>
      <c r="AB16" s="13">
        <f t="shared" si="2"/>
        <v>253</v>
      </c>
      <c r="AC16" s="13">
        <f t="shared" si="2"/>
        <v>258</v>
      </c>
      <c r="AD16" s="13">
        <f t="shared" si="2"/>
        <v>276</v>
      </c>
      <c r="AE16" s="13">
        <f t="shared" si="2"/>
        <v>258</v>
      </c>
      <c r="AF16" s="13">
        <f t="shared" si="2"/>
        <v>242</v>
      </c>
      <c r="AG16" s="13">
        <f t="shared" si="2"/>
        <v>268</v>
      </c>
      <c r="AH16" s="13">
        <f t="shared" si="2"/>
        <v>269</v>
      </c>
      <c r="AI16" s="13">
        <f t="shared" si="2"/>
        <v>265</v>
      </c>
      <c r="AJ16" s="13">
        <f t="shared" si="1"/>
        <v>7992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19"/>
      <c r="T17" s="19"/>
      <c r="U17" s="19"/>
      <c r="V17" s="19"/>
      <c r="W17" s="19"/>
      <c r="X17" s="19"/>
      <c r="Y17" s="19"/>
      <c r="Z17" s="19"/>
      <c r="AA17" s="75"/>
      <c r="AB17" s="75"/>
      <c r="AC17" s="75"/>
      <c r="AD17" s="75"/>
      <c r="AE17" s="75"/>
      <c r="AF17" s="75"/>
      <c r="AG17" s="75"/>
      <c r="AH17" s="75"/>
      <c r="AI17" s="75"/>
      <c r="AJ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19"/>
      <c r="T18" s="19"/>
      <c r="U18" s="19"/>
      <c r="V18" s="19"/>
      <c r="W18" s="19"/>
      <c r="X18" s="19"/>
      <c r="Y18" s="19"/>
      <c r="Z18" s="19"/>
      <c r="AA18" s="75"/>
      <c r="AB18" s="75"/>
      <c r="AC18" s="75"/>
      <c r="AD18" s="75"/>
      <c r="AE18" s="75"/>
      <c r="AF18" s="75"/>
      <c r="AG18" s="75"/>
      <c r="AH18" s="75"/>
      <c r="AI18" s="75"/>
      <c r="AJ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107.0</v>
      </c>
      <c r="G19" s="19">
        <v>111.0</v>
      </c>
      <c r="H19" s="19">
        <v>110.0</v>
      </c>
      <c r="I19" s="19">
        <v>91.0</v>
      </c>
      <c r="J19" s="19">
        <v>99.0</v>
      </c>
      <c r="K19" s="19">
        <v>109.0</v>
      </c>
      <c r="L19" s="19">
        <v>92.0</v>
      </c>
      <c r="M19" s="19">
        <v>102.0</v>
      </c>
      <c r="N19" s="19">
        <v>116.0</v>
      </c>
      <c r="O19" s="19">
        <v>107.0</v>
      </c>
      <c r="P19" s="19">
        <v>110.0</v>
      </c>
      <c r="Q19" s="19">
        <v>108.0</v>
      </c>
      <c r="R19" s="19">
        <v>108.0</v>
      </c>
      <c r="S19" s="19">
        <v>95.0</v>
      </c>
      <c r="T19" s="19">
        <v>93.0</v>
      </c>
      <c r="U19" s="19">
        <v>105.0</v>
      </c>
      <c r="V19" s="19">
        <v>96.0</v>
      </c>
      <c r="W19" s="19">
        <v>98.0</v>
      </c>
      <c r="X19" s="19">
        <v>98.0</v>
      </c>
      <c r="Y19" s="19">
        <v>108.0</v>
      </c>
      <c r="Z19" s="19">
        <v>98.0</v>
      </c>
      <c r="AA19" s="19">
        <v>111.0</v>
      </c>
      <c r="AB19" s="19">
        <v>94.0</v>
      </c>
      <c r="AC19" s="19">
        <v>110.0</v>
      </c>
      <c r="AD19" s="19">
        <v>101.0</v>
      </c>
      <c r="AE19" s="19">
        <v>115.0</v>
      </c>
      <c r="AF19" s="19">
        <v>102.0</v>
      </c>
      <c r="AG19" s="19">
        <v>108.0</v>
      </c>
      <c r="AH19" s="19">
        <v>115.0</v>
      </c>
      <c r="AI19" s="19">
        <v>110.0</v>
      </c>
      <c r="AJ19" s="13">
        <f t="shared" ref="AJ19:AJ30" si="3">SUM(E19:AI19)</f>
        <v>3235</v>
      </c>
    </row>
    <row r="20" ht="12.75" customHeight="1">
      <c r="A20" s="33"/>
      <c r="B20" s="27"/>
      <c r="C20" s="34"/>
      <c r="D20" s="19" t="s">
        <v>13</v>
      </c>
      <c r="E20" s="19">
        <v>94.0</v>
      </c>
      <c r="F20" s="19">
        <v>96.0</v>
      </c>
      <c r="G20" s="19">
        <v>111.0</v>
      </c>
      <c r="H20" s="19">
        <v>113.0</v>
      </c>
      <c r="I20" s="19">
        <v>100.0</v>
      </c>
      <c r="J20" s="19">
        <v>103.0</v>
      </c>
      <c r="K20" s="19">
        <v>112.0</v>
      </c>
      <c r="L20" s="19">
        <v>94.0</v>
      </c>
      <c r="M20" s="19">
        <v>93.0</v>
      </c>
      <c r="N20" s="19">
        <v>104.0</v>
      </c>
      <c r="O20" s="19">
        <v>105.0</v>
      </c>
      <c r="P20" s="19">
        <v>119.0</v>
      </c>
      <c r="Q20" s="19">
        <v>91.0</v>
      </c>
      <c r="R20" s="19">
        <v>103.0</v>
      </c>
      <c r="S20" s="19">
        <v>100.0</v>
      </c>
      <c r="T20" s="19">
        <v>95.0</v>
      </c>
      <c r="U20" s="19">
        <v>116.0</v>
      </c>
      <c r="V20" s="19">
        <v>101.0</v>
      </c>
      <c r="W20" s="19">
        <v>91.0</v>
      </c>
      <c r="X20" s="19">
        <v>92.0</v>
      </c>
      <c r="Y20" s="19">
        <v>108.0</v>
      </c>
      <c r="Z20" s="19">
        <v>111.0</v>
      </c>
      <c r="AA20" s="19">
        <v>114.0</v>
      </c>
      <c r="AB20" s="19">
        <v>90.0</v>
      </c>
      <c r="AC20" s="19">
        <v>109.0</v>
      </c>
      <c r="AD20" s="19">
        <v>105.0</v>
      </c>
      <c r="AE20" s="19">
        <v>101.0</v>
      </c>
      <c r="AF20" s="19">
        <v>111.0</v>
      </c>
      <c r="AG20" s="19">
        <v>116.0</v>
      </c>
      <c r="AH20" s="19">
        <v>102.0</v>
      </c>
      <c r="AI20" s="19">
        <v>112.0</v>
      </c>
      <c r="AJ20" s="13">
        <f t="shared" si="3"/>
        <v>3212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202</v>
      </c>
      <c r="F21" s="13">
        <f t="shared" si="4"/>
        <v>203</v>
      </c>
      <c r="G21" s="13">
        <f t="shared" si="4"/>
        <v>222</v>
      </c>
      <c r="H21" s="13">
        <f t="shared" si="4"/>
        <v>223</v>
      </c>
      <c r="I21" s="13">
        <f t="shared" si="4"/>
        <v>191</v>
      </c>
      <c r="J21" s="13">
        <f t="shared" si="4"/>
        <v>202</v>
      </c>
      <c r="K21" s="13">
        <f t="shared" si="4"/>
        <v>221</v>
      </c>
      <c r="L21" s="13">
        <f t="shared" si="4"/>
        <v>186</v>
      </c>
      <c r="M21" s="13">
        <f t="shared" si="4"/>
        <v>195</v>
      </c>
      <c r="N21" s="13">
        <f t="shared" si="4"/>
        <v>220</v>
      </c>
      <c r="O21" s="13">
        <f t="shared" si="4"/>
        <v>212</v>
      </c>
      <c r="P21" s="13">
        <f t="shared" si="4"/>
        <v>229</v>
      </c>
      <c r="Q21" s="13">
        <f t="shared" si="4"/>
        <v>199</v>
      </c>
      <c r="R21" s="13">
        <f t="shared" si="4"/>
        <v>211</v>
      </c>
      <c r="S21" s="13">
        <f t="shared" si="4"/>
        <v>195</v>
      </c>
      <c r="T21" s="13">
        <f t="shared" si="4"/>
        <v>188</v>
      </c>
      <c r="U21" s="13">
        <f t="shared" si="4"/>
        <v>221</v>
      </c>
      <c r="V21" s="13">
        <f t="shared" si="4"/>
        <v>197</v>
      </c>
      <c r="W21" s="13">
        <f t="shared" si="4"/>
        <v>189</v>
      </c>
      <c r="X21" s="13">
        <f t="shared" si="4"/>
        <v>190</v>
      </c>
      <c r="Y21" s="13">
        <f t="shared" si="4"/>
        <v>216</v>
      </c>
      <c r="Z21" s="13">
        <f t="shared" si="4"/>
        <v>209</v>
      </c>
      <c r="AA21" s="13">
        <f t="shared" si="4"/>
        <v>225</v>
      </c>
      <c r="AB21" s="13">
        <f t="shared" si="4"/>
        <v>184</v>
      </c>
      <c r="AC21" s="13">
        <f t="shared" si="4"/>
        <v>219</v>
      </c>
      <c r="AD21" s="13">
        <f t="shared" si="4"/>
        <v>206</v>
      </c>
      <c r="AE21" s="13">
        <f t="shared" si="4"/>
        <v>216</v>
      </c>
      <c r="AF21" s="13">
        <f t="shared" si="4"/>
        <v>213</v>
      </c>
      <c r="AG21" s="13">
        <f t="shared" si="4"/>
        <v>224</v>
      </c>
      <c r="AH21" s="13">
        <f t="shared" si="4"/>
        <v>217</v>
      </c>
      <c r="AI21" s="13">
        <f t="shared" si="4"/>
        <v>222</v>
      </c>
      <c r="AJ21" s="13">
        <f t="shared" si="3"/>
        <v>6447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>
        <v>1.0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3.0</v>
      </c>
      <c r="G25" s="19">
        <v>3.0</v>
      </c>
      <c r="H25" s="19">
        <v>1.0</v>
      </c>
      <c r="I25" s="19">
        <v>0.0</v>
      </c>
      <c r="J25" s="19">
        <v>6.0</v>
      </c>
      <c r="K25" s="19">
        <v>3.0</v>
      </c>
      <c r="L25" s="19">
        <v>3.0</v>
      </c>
      <c r="M25" s="19">
        <v>3.0</v>
      </c>
      <c r="N25" s="19">
        <v>0.0</v>
      </c>
      <c r="O25" s="19">
        <v>1.0</v>
      </c>
      <c r="P25" s="19">
        <v>0.0</v>
      </c>
      <c r="Q25" s="19">
        <v>0.0</v>
      </c>
      <c r="R25" s="19">
        <v>1.0</v>
      </c>
      <c r="S25" s="19">
        <v>6.0</v>
      </c>
      <c r="T25" s="19">
        <v>3.0</v>
      </c>
      <c r="U25" s="19">
        <v>1.0</v>
      </c>
      <c r="V25" s="19">
        <v>4.0</v>
      </c>
      <c r="W25" s="19">
        <v>6.0</v>
      </c>
      <c r="X25" s="19">
        <v>4.0</v>
      </c>
      <c r="Y25" s="19">
        <v>3.0</v>
      </c>
      <c r="Z25" s="19">
        <v>1.0</v>
      </c>
      <c r="AA25" s="19">
        <v>4.0</v>
      </c>
      <c r="AB25" s="19">
        <v>3.0</v>
      </c>
      <c r="AC25" s="19">
        <v>0.0</v>
      </c>
      <c r="AD25" s="19">
        <v>0.0</v>
      </c>
      <c r="AE25" s="19">
        <v>4.0</v>
      </c>
      <c r="AF25" s="19">
        <v>0.0</v>
      </c>
      <c r="AG25" s="19">
        <v>2.0</v>
      </c>
      <c r="AH25" s="19">
        <v>5.0</v>
      </c>
      <c r="AI25" s="19">
        <v>1.0</v>
      </c>
      <c r="AJ25" s="13">
        <f t="shared" si="3"/>
        <v>75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6.0</v>
      </c>
      <c r="G26" s="19">
        <v>4.0</v>
      </c>
      <c r="H26" s="19">
        <v>2.0</v>
      </c>
      <c r="I26" s="19">
        <v>0.0</v>
      </c>
      <c r="J26" s="19">
        <v>7.0</v>
      </c>
      <c r="K26" s="19">
        <v>5.0</v>
      </c>
      <c r="L26" s="19">
        <v>6.0</v>
      </c>
      <c r="M26" s="19">
        <v>5.0</v>
      </c>
      <c r="N26" s="19">
        <v>1.0</v>
      </c>
      <c r="O26" s="19">
        <v>1.0</v>
      </c>
      <c r="P26" s="19">
        <v>3.0</v>
      </c>
      <c r="Q26" s="19">
        <v>0.0</v>
      </c>
      <c r="R26" s="19">
        <v>1.0</v>
      </c>
      <c r="S26" s="19">
        <v>11.0</v>
      </c>
      <c r="T26" s="19">
        <v>6.0</v>
      </c>
      <c r="U26" s="19">
        <v>1.0</v>
      </c>
      <c r="V26" s="19">
        <v>3.0</v>
      </c>
      <c r="W26" s="19">
        <v>8.0</v>
      </c>
      <c r="X26" s="19">
        <v>2.0</v>
      </c>
      <c r="Y26" s="19">
        <v>4.0</v>
      </c>
      <c r="Z26" s="19">
        <v>1.0</v>
      </c>
      <c r="AA26" s="19">
        <v>3.0</v>
      </c>
      <c r="AB26" s="19">
        <v>2.0</v>
      </c>
      <c r="AC26" s="19">
        <v>0.0</v>
      </c>
      <c r="AD26" s="19">
        <v>1.0</v>
      </c>
      <c r="AE26" s="19">
        <v>3.0</v>
      </c>
      <c r="AF26" s="19">
        <v>0.0</v>
      </c>
      <c r="AG26" s="19">
        <v>1.0</v>
      </c>
      <c r="AH26" s="19">
        <v>5.0</v>
      </c>
      <c r="AI26" s="19">
        <v>4.0</v>
      </c>
      <c r="AJ26" s="13">
        <f t="shared" si="3"/>
        <v>101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9</v>
      </c>
      <c r="F27" s="13">
        <f t="shared" si="6"/>
        <v>9</v>
      </c>
      <c r="G27" s="13">
        <f t="shared" si="6"/>
        <v>7</v>
      </c>
      <c r="H27" s="13">
        <f t="shared" si="6"/>
        <v>3</v>
      </c>
      <c r="I27" s="13">
        <f t="shared" si="6"/>
        <v>0</v>
      </c>
      <c r="J27" s="13">
        <f t="shared" si="6"/>
        <v>13</v>
      </c>
      <c r="K27" s="13">
        <f t="shared" si="6"/>
        <v>8</v>
      </c>
      <c r="L27" s="13">
        <f t="shared" si="6"/>
        <v>9</v>
      </c>
      <c r="M27" s="13">
        <f t="shared" si="6"/>
        <v>8</v>
      </c>
      <c r="N27" s="13">
        <f t="shared" si="6"/>
        <v>1</v>
      </c>
      <c r="O27" s="13">
        <f t="shared" si="6"/>
        <v>2</v>
      </c>
      <c r="P27" s="13">
        <f t="shared" si="6"/>
        <v>3</v>
      </c>
      <c r="Q27" s="13">
        <f t="shared" si="6"/>
        <v>0</v>
      </c>
      <c r="R27" s="13">
        <f t="shared" si="6"/>
        <v>2</v>
      </c>
      <c r="S27" s="13">
        <f t="shared" si="6"/>
        <v>17</v>
      </c>
      <c r="T27" s="13">
        <f t="shared" si="6"/>
        <v>9</v>
      </c>
      <c r="U27" s="13">
        <f t="shared" si="6"/>
        <v>2</v>
      </c>
      <c r="V27" s="13">
        <f t="shared" si="6"/>
        <v>7</v>
      </c>
      <c r="W27" s="13">
        <f t="shared" si="6"/>
        <v>14</v>
      </c>
      <c r="X27" s="13">
        <f t="shared" si="6"/>
        <v>6</v>
      </c>
      <c r="Y27" s="13">
        <f t="shared" si="6"/>
        <v>7</v>
      </c>
      <c r="Z27" s="13">
        <f t="shared" si="6"/>
        <v>2</v>
      </c>
      <c r="AA27" s="13">
        <f t="shared" si="6"/>
        <v>7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7</v>
      </c>
      <c r="AF27" s="13">
        <f t="shared" si="6"/>
        <v>0</v>
      </c>
      <c r="AG27" s="13">
        <f t="shared" si="6"/>
        <v>3</v>
      </c>
      <c r="AH27" s="13">
        <f t="shared" si="6"/>
        <v>10</v>
      </c>
      <c r="AI27" s="13">
        <f t="shared" si="6"/>
        <v>5</v>
      </c>
      <c r="AJ27" s="13">
        <f t="shared" si="3"/>
        <v>176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112</v>
      </c>
      <c r="F28" s="13">
        <f t="shared" si="7"/>
        <v>110</v>
      </c>
      <c r="G28" s="13">
        <f t="shared" si="7"/>
        <v>114</v>
      </c>
      <c r="H28" s="13">
        <f t="shared" si="7"/>
        <v>111</v>
      </c>
      <c r="I28" s="13">
        <f t="shared" si="7"/>
        <v>91</v>
      </c>
      <c r="J28" s="13">
        <f t="shared" si="7"/>
        <v>105</v>
      </c>
      <c r="K28" s="13">
        <f t="shared" si="7"/>
        <v>112</v>
      </c>
      <c r="L28" s="13">
        <f t="shared" si="7"/>
        <v>95</v>
      </c>
      <c r="M28" s="13">
        <f t="shared" si="7"/>
        <v>105</v>
      </c>
      <c r="N28" s="13">
        <f t="shared" si="7"/>
        <v>116</v>
      </c>
      <c r="O28" s="13">
        <f t="shared" si="7"/>
        <v>108</v>
      </c>
      <c r="P28" s="13">
        <f t="shared" si="7"/>
        <v>110</v>
      </c>
      <c r="Q28" s="13">
        <f t="shared" si="7"/>
        <v>108</v>
      </c>
      <c r="R28" s="13">
        <f t="shared" si="7"/>
        <v>109</v>
      </c>
      <c r="S28" s="13">
        <f t="shared" si="7"/>
        <v>101</v>
      </c>
      <c r="T28" s="13">
        <f t="shared" si="7"/>
        <v>96</v>
      </c>
      <c r="U28" s="13">
        <f t="shared" si="7"/>
        <v>106</v>
      </c>
      <c r="V28" s="13">
        <f t="shared" si="7"/>
        <v>100</v>
      </c>
      <c r="W28" s="13">
        <f t="shared" si="7"/>
        <v>104</v>
      </c>
      <c r="X28" s="13">
        <f t="shared" si="7"/>
        <v>102</v>
      </c>
      <c r="Y28" s="13">
        <f t="shared" si="7"/>
        <v>111</v>
      </c>
      <c r="Z28" s="13">
        <f t="shared" si="7"/>
        <v>100</v>
      </c>
      <c r="AA28" s="13">
        <f t="shared" si="7"/>
        <v>115</v>
      </c>
      <c r="AB28" s="13">
        <f t="shared" si="7"/>
        <v>97</v>
      </c>
      <c r="AC28" s="13">
        <f t="shared" si="7"/>
        <v>110</v>
      </c>
      <c r="AD28" s="13">
        <f t="shared" si="7"/>
        <v>101</v>
      </c>
      <c r="AE28" s="13">
        <f t="shared" si="7"/>
        <v>119</v>
      </c>
      <c r="AF28" s="13">
        <f t="shared" si="7"/>
        <v>102</v>
      </c>
      <c r="AG28" s="13">
        <f t="shared" si="7"/>
        <v>110</v>
      </c>
      <c r="AH28" s="13">
        <f t="shared" si="7"/>
        <v>120</v>
      </c>
      <c r="AI28" s="13">
        <f t="shared" si="7"/>
        <v>111</v>
      </c>
      <c r="AJ28" s="13">
        <f t="shared" si="3"/>
        <v>3311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99</v>
      </c>
      <c r="F29" s="13">
        <f t="shared" si="8"/>
        <v>102</v>
      </c>
      <c r="G29" s="13">
        <f t="shared" si="8"/>
        <v>115</v>
      </c>
      <c r="H29" s="13">
        <f t="shared" si="8"/>
        <v>115</v>
      </c>
      <c r="I29" s="13">
        <f t="shared" si="8"/>
        <v>100</v>
      </c>
      <c r="J29" s="13">
        <f t="shared" si="8"/>
        <v>110</v>
      </c>
      <c r="K29" s="13">
        <f t="shared" si="8"/>
        <v>117</v>
      </c>
      <c r="L29" s="13">
        <f t="shared" si="8"/>
        <v>100</v>
      </c>
      <c r="M29" s="13">
        <f t="shared" si="8"/>
        <v>98</v>
      </c>
      <c r="N29" s="13">
        <f t="shared" si="8"/>
        <v>105</v>
      </c>
      <c r="O29" s="13">
        <f t="shared" si="8"/>
        <v>106</v>
      </c>
      <c r="P29" s="13">
        <f t="shared" si="8"/>
        <v>122</v>
      </c>
      <c r="Q29" s="13">
        <f t="shared" si="8"/>
        <v>91</v>
      </c>
      <c r="R29" s="13">
        <f t="shared" si="8"/>
        <v>104</v>
      </c>
      <c r="S29" s="13">
        <f t="shared" si="8"/>
        <v>111</v>
      </c>
      <c r="T29" s="13">
        <f t="shared" si="8"/>
        <v>101</v>
      </c>
      <c r="U29" s="13">
        <f t="shared" si="8"/>
        <v>117</v>
      </c>
      <c r="V29" s="13">
        <f t="shared" si="8"/>
        <v>104</v>
      </c>
      <c r="W29" s="13">
        <f t="shared" si="8"/>
        <v>99</v>
      </c>
      <c r="X29" s="13">
        <f t="shared" si="8"/>
        <v>94</v>
      </c>
      <c r="Y29" s="13">
        <f t="shared" si="8"/>
        <v>112</v>
      </c>
      <c r="Z29" s="13">
        <f t="shared" si="8"/>
        <v>112</v>
      </c>
      <c r="AA29" s="13">
        <f t="shared" si="8"/>
        <v>117</v>
      </c>
      <c r="AB29" s="13">
        <f t="shared" si="8"/>
        <v>92</v>
      </c>
      <c r="AC29" s="13">
        <f t="shared" si="8"/>
        <v>109</v>
      </c>
      <c r="AD29" s="13">
        <f t="shared" si="8"/>
        <v>106</v>
      </c>
      <c r="AE29" s="13">
        <f t="shared" si="8"/>
        <v>104</v>
      </c>
      <c r="AF29" s="13">
        <f t="shared" si="8"/>
        <v>111</v>
      </c>
      <c r="AG29" s="13">
        <f t="shared" si="8"/>
        <v>117</v>
      </c>
      <c r="AH29" s="13">
        <f t="shared" si="8"/>
        <v>107</v>
      </c>
      <c r="AI29" s="13">
        <f t="shared" si="8"/>
        <v>116</v>
      </c>
      <c r="AJ29" s="13">
        <f t="shared" si="3"/>
        <v>3313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211</v>
      </c>
      <c r="F30" s="13">
        <f t="shared" si="9"/>
        <v>212</v>
      </c>
      <c r="G30" s="13">
        <f t="shared" si="9"/>
        <v>229</v>
      </c>
      <c r="H30" s="13">
        <f t="shared" si="9"/>
        <v>226</v>
      </c>
      <c r="I30" s="13">
        <f t="shared" si="9"/>
        <v>191</v>
      </c>
      <c r="J30" s="13">
        <f t="shared" si="9"/>
        <v>215</v>
      </c>
      <c r="K30" s="13">
        <f t="shared" si="9"/>
        <v>229</v>
      </c>
      <c r="L30" s="13">
        <f t="shared" si="9"/>
        <v>195</v>
      </c>
      <c r="M30" s="13">
        <f t="shared" si="9"/>
        <v>203</v>
      </c>
      <c r="N30" s="13">
        <f t="shared" si="9"/>
        <v>221</v>
      </c>
      <c r="O30" s="13">
        <f t="shared" si="9"/>
        <v>214</v>
      </c>
      <c r="P30" s="13">
        <f t="shared" si="9"/>
        <v>232</v>
      </c>
      <c r="Q30" s="13">
        <f t="shared" si="9"/>
        <v>199</v>
      </c>
      <c r="R30" s="13">
        <f t="shared" si="9"/>
        <v>213</v>
      </c>
      <c r="S30" s="13">
        <f t="shared" si="9"/>
        <v>212</v>
      </c>
      <c r="T30" s="13">
        <f t="shared" si="9"/>
        <v>197</v>
      </c>
      <c r="U30" s="13">
        <f t="shared" si="9"/>
        <v>223</v>
      </c>
      <c r="V30" s="13">
        <f t="shared" si="9"/>
        <v>204</v>
      </c>
      <c r="W30" s="13">
        <f t="shared" si="9"/>
        <v>203</v>
      </c>
      <c r="X30" s="13">
        <f t="shared" si="9"/>
        <v>196</v>
      </c>
      <c r="Y30" s="13">
        <f t="shared" si="9"/>
        <v>223</v>
      </c>
      <c r="Z30" s="13">
        <f t="shared" si="9"/>
        <v>212</v>
      </c>
      <c r="AA30" s="13">
        <f t="shared" si="9"/>
        <v>232</v>
      </c>
      <c r="AB30" s="13">
        <f t="shared" si="9"/>
        <v>189</v>
      </c>
      <c r="AC30" s="13">
        <f t="shared" si="9"/>
        <v>219</v>
      </c>
      <c r="AD30" s="13">
        <f t="shared" si="9"/>
        <v>207</v>
      </c>
      <c r="AE30" s="13">
        <f t="shared" si="9"/>
        <v>223</v>
      </c>
      <c r="AF30" s="13">
        <f t="shared" si="9"/>
        <v>213</v>
      </c>
      <c r="AG30" s="13">
        <f t="shared" si="9"/>
        <v>227</v>
      </c>
      <c r="AH30" s="13">
        <f t="shared" si="9"/>
        <v>227</v>
      </c>
      <c r="AI30" s="13">
        <f t="shared" si="9"/>
        <v>227</v>
      </c>
      <c r="AJ30" s="13">
        <f t="shared" si="3"/>
        <v>6624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19"/>
      <c r="T31" s="19"/>
      <c r="U31" s="19"/>
      <c r="V31" s="19"/>
      <c r="W31" s="19"/>
      <c r="X31" s="19"/>
      <c r="Y31" s="19"/>
      <c r="Z31" s="19"/>
      <c r="AA31" s="75"/>
      <c r="AB31" s="75"/>
      <c r="AC31" s="75"/>
      <c r="AD31" s="75"/>
      <c r="AE31" s="75"/>
      <c r="AF31" s="75"/>
      <c r="AG31" s="75"/>
      <c r="AH31" s="75"/>
      <c r="AI31" s="75"/>
      <c r="AJ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13"/>
      <c r="T32" s="13"/>
      <c r="U32" s="13"/>
      <c r="V32" s="13"/>
      <c r="W32" s="13"/>
      <c r="X32" s="13"/>
      <c r="Y32" s="13"/>
      <c r="Z32" s="13"/>
      <c r="AA32" s="77"/>
      <c r="AB32" s="77"/>
      <c r="AC32" s="77"/>
      <c r="AD32" s="77"/>
      <c r="AE32" s="77"/>
      <c r="AF32" s="77"/>
      <c r="AG32" s="77"/>
      <c r="AH32" s="77"/>
      <c r="AI32" s="77"/>
      <c r="AJ32" s="76"/>
    </row>
    <row r="33" ht="12.75" customHeight="1">
      <c r="A33" s="19">
        <v>1.0</v>
      </c>
      <c r="B33" s="20" t="s">
        <v>27</v>
      </c>
      <c r="C33" s="15"/>
      <c r="D33" s="16"/>
      <c r="E33" s="19">
        <v>255.0</v>
      </c>
      <c r="F33" s="19">
        <v>250.0</v>
      </c>
      <c r="G33" s="19">
        <v>279.0</v>
      </c>
      <c r="H33" s="19">
        <v>293.0</v>
      </c>
      <c r="I33" s="19">
        <v>239.0</v>
      </c>
      <c r="J33" s="19">
        <v>261.0</v>
      </c>
      <c r="K33" s="19">
        <v>277.0</v>
      </c>
      <c r="L33" s="19">
        <v>244.0</v>
      </c>
      <c r="M33" s="19">
        <v>253.0</v>
      </c>
      <c r="N33" s="19">
        <v>274.0</v>
      </c>
      <c r="O33" s="19">
        <v>267.0</v>
      </c>
      <c r="P33" s="19">
        <v>289.0</v>
      </c>
      <c r="Q33" s="19">
        <v>236.0</v>
      </c>
      <c r="R33" s="19">
        <v>271.0</v>
      </c>
      <c r="S33" s="19">
        <v>268.0</v>
      </c>
      <c r="T33" s="19">
        <v>245.0</v>
      </c>
      <c r="U33" s="19">
        <v>261.0</v>
      </c>
      <c r="V33" s="19">
        <v>258.0</v>
      </c>
      <c r="W33" s="19">
        <v>260.0</v>
      </c>
      <c r="X33" s="19">
        <v>249.0</v>
      </c>
      <c r="Y33" s="19">
        <v>267.0</v>
      </c>
      <c r="Z33" s="19">
        <v>255.0</v>
      </c>
      <c r="AA33" s="19">
        <v>272.0</v>
      </c>
      <c r="AB33" s="19">
        <v>259.0</v>
      </c>
      <c r="AC33" s="19">
        <v>264.0</v>
      </c>
      <c r="AD33" s="19">
        <v>282.0</v>
      </c>
      <c r="AE33" s="19">
        <v>265.0</v>
      </c>
      <c r="AF33" s="19">
        <v>247.0</v>
      </c>
      <c r="AG33" s="19">
        <v>284.0</v>
      </c>
      <c r="AH33" s="19">
        <v>275.0</v>
      </c>
      <c r="AI33" s="19">
        <v>271.0</v>
      </c>
      <c r="AJ33" s="13">
        <f t="shared" ref="AJ33:AJ36" si="10">SUM(E33:AI33)</f>
        <v>8170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212.0</v>
      </c>
      <c r="G34" s="13">
        <v>229.0</v>
      </c>
      <c r="H34" s="13">
        <v>226.0</v>
      </c>
      <c r="I34" s="13">
        <v>191.0</v>
      </c>
      <c r="J34" s="13">
        <v>215.0</v>
      </c>
      <c r="K34" s="13">
        <v>229.0</v>
      </c>
      <c r="L34" s="13">
        <v>195.0</v>
      </c>
      <c r="M34" s="13">
        <v>203.0</v>
      </c>
      <c r="N34" s="13">
        <v>221.0</v>
      </c>
      <c r="O34" s="13">
        <v>214.0</v>
      </c>
      <c r="P34" s="13">
        <v>232.0</v>
      </c>
      <c r="Q34" s="13">
        <v>199.0</v>
      </c>
      <c r="R34" s="13">
        <v>213.0</v>
      </c>
      <c r="S34" s="13">
        <v>212.0</v>
      </c>
      <c r="T34" s="13">
        <v>197.0</v>
      </c>
      <c r="U34" s="13">
        <v>223.0</v>
      </c>
      <c r="V34" s="13">
        <v>204.0</v>
      </c>
      <c r="W34" s="13">
        <v>203.0</v>
      </c>
      <c r="X34" s="13">
        <v>196.0</v>
      </c>
      <c r="Y34" s="13">
        <v>223.0</v>
      </c>
      <c r="Z34" s="13">
        <v>212.0</v>
      </c>
      <c r="AA34" s="13">
        <v>232.0</v>
      </c>
      <c r="AB34" s="13">
        <v>189.0</v>
      </c>
      <c r="AC34" s="13">
        <v>219.0</v>
      </c>
      <c r="AD34" s="13">
        <v>207.0</v>
      </c>
      <c r="AE34" s="13">
        <v>223.0</v>
      </c>
      <c r="AF34" s="13">
        <v>213.0</v>
      </c>
      <c r="AG34" s="13">
        <v>227.0</v>
      </c>
      <c r="AH34" s="13">
        <v>227.0</v>
      </c>
      <c r="AI34" s="13">
        <v>227.0</v>
      </c>
      <c r="AJ34" s="13">
        <f t="shared" si="10"/>
        <v>6624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>
        <v>0.0</v>
      </c>
      <c r="U35" s="19">
        <v>0.0</v>
      </c>
      <c r="V35" s="19">
        <v>3.0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1.0</v>
      </c>
      <c r="AE35" s="19">
        <v>0.0</v>
      </c>
      <c r="AF35" s="19">
        <v>0.0</v>
      </c>
      <c r="AG35" s="19">
        <v>0.0</v>
      </c>
      <c r="AH35" s="19">
        <v>1.0</v>
      </c>
      <c r="AI35" s="19">
        <v>1.0</v>
      </c>
      <c r="AJ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44</v>
      </c>
      <c r="F36" s="13">
        <f t="shared" si="11"/>
        <v>38</v>
      </c>
      <c r="G36" s="13">
        <f t="shared" si="11"/>
        <v>50</v>
      </c>
      <c r="H36" s="13">
        <f t="shared" si="11"/>
        <v>67</v>
      </c>
      <c r="I36" s="13">
        <f t="shared" si="11"/>
        <v>48</v>
      </c>
      <c r="J36" s="13">
        <f t="shared" si="11"/>
        <v>46</v>
      </c>
      <c r="K36" s="13">
        <f t="shared" si="11"/>
        <v>48</v>
      </c>
      <c r="L36" s="13">
        <f t="shared" si="11"/>
        <v>49</v>
      </c>
      <c r="M36" s="13">
        <f t="shared" si="11"/>
        <v>50</v>
      </c>
      <c r="N36" s="13">
        <f t="shared" si="11"/>
        <v>53</v>
      </c>
      <c r="O36" s="13">
        <f t="shared" si="11"/>
        <v>53</v>
      </c>
      <c r="P36" s="13">
        <f t="shared" si="11"/>
        <v>57</v>
      </c>
      <c r="Q36" s="13">
        <f t="shared" si="11"/>
        <v>37</v>
      </c>
      <c r="R36" s="13">
        <f t="shared" si="11"/>
        <v>58</v>
      </c>
      <c r="S36" s="13">
        <f t="shared" si="11"/>
        <v>56</v>
      </c>
      <c r="T36" s="13">
        <f t="shared" si="11"/>
        <v>48</v>
      </c>
      <c r="U36" s="13">
        <f t="shared" si="11"/>
        <v>38</v>
      </c>
      <c r="V36" s="13">
        <f t="shared" si="11"/>
        <v>51</v>
      </c>
      <c r="W36" s="13">
        <f t="shared" si="11"/>
        <v>57</v>
      </c>
      <c r="X36" s="13">
        <f t="shared" si="11"/>
        <v>53</v>
      </c>
      <c r="Y36" s="13">
        <f t="shared" si="11"/>
        <v>44</v>
      </c>
      <c r="Z36" s="13">
        <f t="shared" si="11"/>
        <v>43</v>
      </c>
      <c r="AA36" s="13">
        <f t="shared" si="11"/>
        <v>40</v>
      </c>
      <c r="AB36" s="13">
        <f t="shared" si="11"/>
        <v>70</v>
      </c>
      <c r="AC36" s="13">
        <f t="shared" si="11"/>
        <v>44</v>
      </c>
      <c r="AD36" s="13">
        <f t="shared" si="11"/>
        <v>74</v>
      </c>
      <c r="AE36" s="13">
        <f t="shared" si="11"/>
        <v>42</v>
      </c>
      <c r="AF36" s="13">
        <f t="shared" si="11"/>
        <v>34</v>
      </c>
      <c r="AG36" s="13">
        <f t="shared" si="11"/>
        <v>57</v>
      </c>
      <c r="AH36" s="13">
        <f t="shared" si="11"/>
        <v>47</v>
      </c>
      <c r="AI36" s="13">
        <f t="shared" si="11"/>
        <v>43</v>
      </c>
      <c r="AJ36" s="13">
        <f t="shared" si="10"/>
        <v>1539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75"/>
      <c r="AB37" s="81"/>
      <c r="AC37" s="81"/>
      <c r="AD37" s="81"/>
      <c r="AE37" s="81"/>
      <c r="AF37" s="81"/>
      <c r="AG37" s="81"/>
      <c r="AH37" s="81"/>
      <c r="AI37" s="81"/>
      <c r="AJ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13"/>
      <c r="T38" s="13"/>
      <c r="U38" s="13"/>
      <c r="V38" s="13"/>
      <c r="W38" s="13"/>
      <c r="X38" s="13"/>
      <c r="Y38" s="13"/>
      <c r="Z38" s="13"/>
      <c r="AA38" s="77"/>
      <c r="AB38" s="77"/>
      <c r="AC38" s="77"/>
      <c r="AD38" s="77"/>
      <c r="AE38" s="77"/>
      <c r="AF38" s="77"/>
      <c r="AG38" s="77"/>
      <c r="AH38" s="77"/>
      <c r="AI38" s="77"/>
      <c r="AJ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>
        <v>1.0</v>
      </c>
      <c r="M39" s="19"/>
      <c r="N39" s="19">
        <v>2.0</v>
      </c>
      <c r="O39" s="19"/>
      <c r="P39" s="19"/>
      <c r="Q39" s="19"/>
      <c r="R39" s="19"/>
      <c r="S39" s="19"/>
      <c r="T39" s="19"/>
      <c r="U39" s="19"/>
      <c r="V39" s="19"/>
      <c r="W39" s="19"/>
      <c r="X39" s="19">
        <v>1.0</v>
      </c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3">
        <f t="shared" ref="AJ39:AJ41" si="12">SUM(E39:AI39)</f>
        <v>4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75"/>
      <c r="AB42" s="19"/>
      <c r="AC42" s="75"/>
      <c r="AD42" s="19"/>
      <c r="AE42" s="75"/>
      <c r="AF42" s="75"/>
      <c r="AG42" s="19"/>
      <c r="AH42" s="75"/>
      <c r="AI42" s="19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  <c r="U43" s="13"/>
      <c r="V43" s="13"/>
      <c r="W43" s="13"/>
      <c r="X43" s="13"/>
      <c r="Y43" s="13"/>
      <c r="Z43" s="13"/>
      <c r="AA43" s="77"/>
      <c r="AB43" s="13"/>
      <c r="AC43" s="77"/>
      <c r="AD43" s="13"/>
      <c r="AE43" s="77"/>
      <c r="AF43" s="77"/>
      <c r="AG43" s="13"/>
      <c r="AH43" s="77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9"/>
      <c r="U44" s="19"/>
      <c r="V44" s="19"/>
      <c r="W44" s="19"/>
      <c r="X44" s="19"/>
      <c r="Y44" s="19"/>
      <c r="Z44" s="19"/>
      <c r="AA44" s="75"/>
      <c r="AB44" s="19"/>
      <c r="AC44" s="75"/>
      <c r="AD44" s="19"/>
      <c r="AE44" s="75"/>
      <c r="AF44" s="75"/>
      <c r="AG44" s="19"/>
      <c r="AH44" s="75"/>
      <c r="AI44" s="19"/>
      <c r="AJ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3.0</v>
      </c>
      <c r="G45" s="19">
        <v>5.0</v>
      </c>
      <c r="H45" s="19">
        <v>4.0</v>
      </c>
      <c r="I45" s="19">
        <v>6.0</v>
      </c>
      <c r="J45" s="19">
        <v>2.0</v>
      </c>
      <c r="K45" s="19">
        <v>6.0</v>
      </c>
      <c r="L45" s="19">
        <v>5.0</v>
      </c>
      <c r="M45" s="19">
        <v>10.0</v>
      </c>
      <c r="N45" s="19">
        <v>5.0</v>
      </c>
      <c r="O45" s="19">
        <v>5.0</v>
      </c>
      <c r="P45" s="19">
        <v>2.0</v>
      </c>
      <c r="Q45" s="19">
        <v>2.0</v>
      </c>
      <c r="R45" s="19">
        <v>4.0</v>
      </c>
      <c r="S45" s="19">
        <v>3.0</v>
      </c>
      <c r="T45" s="19">
        <v>5.0</v>
      </c>
      <c r="U45" s="19">
        <v>7.0</v>
      </c>
      <c r="V45" s="19">
        <v>10.0</v>
      </c>
      <c r="W45" s="19">
        <v>3.0</v>
      </c>
      <c r="X45" s="19">
        <v>2.0</v>
      </c>
      <c r="Y45" s="19">
        <v>4.0</v>
      </c>
      <c r="Z45" s="19">
        <v>11.0</v>
      </c>
      <c r="AA45" s="19">
        <v>1.0</v>
      </c>
      <c r="AB45" s="19">
        <v>5.0</v>
      </c>
      <c r="AC45" s="19">
        <v>4.0</v>
      </c>
      <c r="AD45" s="19">
        <v>1.0</v>
      </c>
      <c r="AE45" s="19">
        <v>5.0</v>
      </c>
      <c r="AF45" s="19">
        <v>1.0</v>
      </c>
      <c r="AG45" s="19">
        <v>7.0</v>
      </c>
      <c r="AH45" s="19">
        <v>7.0</v>
      </c>
      <c r="AI45" s="19">
        <v>3.0</v>
      </c>
      <c r="AJ45" s="13">
        <f t="shared" ref="AJ45:AJ54" si="14">SUM(E45:AI45)</f>
        <v>143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21.0</v>
      </c>
      <c r="F46" s="19">
        <v>21.0</v>
      </c>
      <c r="G46" s="19">
        <v>25.0</v>
      </c>
      <c r="H46" s="19">
        <v>10.0</v>
      </c>
      <c r="I46" s="19">
        <v>20.0</v>
      </c>
      <c r="J46" s="19">
        <v>8.0</v>
      </c>
      <c r="K46" s="19">
        <v>30.0</v>
      </c>
      <c r="L46" s="19">
        <v>15.0</v>
      </c>
      <c r="M46" s="19">
        <v>32.0</v>
      </c>
      <c r="N46" s="19">
        <v>45.0</v>
      </c>
      <c r="O46" s="19">
        <v>19.0</v>
      </c>
      <c r="P46" s="19">
        <v>22.0</v>
      </c>
      <c r="Q46" s="19">
        <v>5.0</v>
      </c>
      <c r="R46" s="19">
        <v>11.0</v>
      </c>
      <c r="S46" s="19">
        <v>13.0</v>
      </c>
      <c r="T46" s="19">
        <v>15.0</v>
      </c>
      <c r="U46" s="19">
        <v>23.0</v>
      </c>
      <c r="V46" s="19">
        <v>26.0</v>
      </c>
      <c r="W46" s="19">
        <v>30.0</v>
      </c>
      <c r="X46" s="19">
        <v>7.0</v>
      </c>
      <c r="Y46" s="19">
        <v>25.0</v>
      </c>
      <c r="Z46" s="19">
        <v>34.0</v>
      </c>
      <c r="AA46" s="19">
        <v>15.0</v>
      </c>
      <c r="AB46" s="19">
        <v>14.0</v>
      </c>
      <c r="AC46" s="19">
        <v>15.0</v>
      </c>
      <c r="AD46" s="19">
        <v>4.0</v>
      </c>
      <c r="AE46" s="19">
        <v>16.0</v>
      </c>
      <c r="AF46" s="19">
        <v>9.0</v>
      </c>
      <c r="AG46" s="19">
        <v>24.0</v>
      </c>
      <c r="AH46" s="19">
        <v>12.0</v>
      </c>
      <c r="AI46" s="19">
        <v>19.0</v>
      </c>
      <c r="AJ46" s="13">
        <f t="shared" si="14"/>
        <v>585</v>
      </c>
    </row>
    <row r="47" ht="12.75" customHeight="1">
      <c r="A47" s="18"/>
      <c r="B47" s="55">
        <v>2.0</v>
      </c>
      <c r="C47" s="50" t="s">
        <v>41</v>
      </c>
      <c r="D47" s="16"/>
      <c r="E47" s="19">
        <v>4.0</v>
      </c>
      <c r="F47" s="19">
        <v>5.0</v>
      </c>
      <c r="G47" s="19">
        <v>3.0</v>
      </c>
      <c r="H47" s="19">
        <v>4.0</v>
      </c>
      <c r="I47" s="19">
        <v>2.0</v>
      </c>
      <c r="J47" s="19">
        <v>0.0</v>
      </c>
      <c r="K47" s="19">
        <v>1.0</v>
      </c>
      <c r="L47" s="19">
        <v>0.0</v>
      </c>
      <c r="M47" s="19">
        <v>1.0</v>
      </c>
      <c r="N47" s="19">
        <v>1.0</v>
      </c>
      <c r="O47" s="19">
        <v>3.0</v>
      </c>
      <c r="P47" s="19">
        <v>2.0</v>
      </c>
      <c r="Q47" s="19">
        <v>0.0</v>
      </c>
      <c r="R47" s="19">
        <v>0.0</v>
      </c>
      <c r="S47" s="19">
        <v>0.0</v>
      </c>
      <c r="T47" s="19">
        <v>0.0</v>
      </c>
      <c r="U47" s="19">
        <v>6.0</v>
      </c>
      <c r="V47" s="19">
        <v>0.0</v>
      </c>
      <c r="W47" s="19">
        <v>5.0</v>
      </c>
      <c r="X47" s="19">
        <v>2.0</v>
      </c>
      <c r="Y47" s="19">
        <v>0.0</v>
      </c>
      <c r="Z47" s="19">
        <v>1.0</v>
      </c>
      <c r="AA47" s="19">
        <v>0.0</v>
      </c>
      <c r="AB47" s="19">
        <v>0.0</v>
      </c>
      <c r="AC47" s="19">
        <v>1.0</v>
      </c>
      <c r="AD47" s="19">
        <v>1.0</v>
      </c>
      <c r="AE47" s="19">
        <v>3.0</v>
      </c>
      <c r="AF47" s="19">
        <v>1.0</v>
      </c>
      <c r="AG47" s="19">
        <v>7.0</v>
      </c>
      <c r="AH47" s="19">
        <v>1.0</v>
      </c>
      <c r="AI47" s="19">
        <v>1.0</v>
      </c>
      <c r="AJ47" s="13">
        <f t="shared" si="14"/>
        <v>55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6.0</v>
      </c>
      <c r="G48" s="19">
        <v>2.0</v>
      </c>
      <c r="H48" s="19">
        <v>0.0</v>
      </c>
      <c r="I48" s="19">
        <v>2.0</v>
      </c>
      <c r="J48" s="19">
        <v>0.0</v>
      </c>
      <c r="K48" s="19">
        <v>1.0</v>
      </c>
      <c r="L48" s="19">
        <v>0.0</v>
      </c>
      <c r="M48" s="19">
        <v>9.0</v>
      </c>
      <c r="N48" s="19">
        <v>1.0</v>
      </c>
      <c r="O48" s="19">
        <v>0.0</v>
      </c>
      <c r="P48" s="19">
        <v>4.0</v>
      </c>
      <c r="Q48" s="19">
        <v>0.0</v>
      </c>
      <c r="R48" s="19">
        <v>0.0</v>
      </c>
      <c r="S48" s="19">
        <v>0.0</v>
      </c>
      <c r="T48" s="19">
        <v>1.0</v>
      </c>
      <c r="U48" s="19">
        <v>0.0</v>
      </c>
      <c r="V48" s="19">
        <v>0.0</v>
      </c>
      <c r="W48" s="19">
        <v>0.0</v>
      </c>
      <c r="X48" s="19">
        <v>2.0</v>
      </c>
      <c r="Y48" s="19">
        <v>0.0</v>
      </c>
      <c r="Z48" s="19">
        <v>1.0</v>
      </c>
      <c r="AA48" s="19">
        <v>0.0</v>
      </c>
      <c r="AB48" s="19">
        <v>0.0</v>
      </c>
      <c r="AC48" s="19">
        <v>1.0</v>
      </c>
      <c r="AD48" s="19">
        <v>1.0</v>
      </c>
      <c r="AE48" s="19">
        <v>1.0</v>
      </c>
      <c r="AF48" s="19">
        <v>0.0</v>
      </c>
      <c r="AG48" s="19">
        <v>0.0</v>
      </c>
      <c r="AH48" s="19">
        <v>0.0</v>
      </c>
      <c r="AI48" s="19">
        <v>0.0</v>
      </c>
      <c r="AJ48" s="13">
        <f t="shared" si="14"/>
        <v>33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1.0</v>
      </c>
      <c r="G49" s="19">
        <v>3.0</v>
      </c>
      <c r="H49" s="19">
        <v>1.0</v>
      </c>
      <c r="I49" s="19">
        <v>3.0</v>
      </c>
      <c r="J49" s="19">
        <v>0.0</v>
      </c>
      <c r="K49" s="19">
        <v>3.0</v>
      </c>
      <c r="L49" s="19">
        <v>1.0</v>
      </c>
      <c r="M49" s="19">
        <v>0.0</v>
      </c>
      <c r="N49" s="19">
        <v>2.0</v>
      </c>
      <c r="O49" s="19">
        <v>1.0</v>
      </c>
      <c r="P49" s="19">
        <v>1.0</v>
      </c>
      <c r="Q49" s="19">
        <v>0.0</v>
      </c>
      <c r="R49" s="19">
        <v>5.0</v>
      </c>
      <c r="S49" s="19">
        <v>6.0</v>
      </c>
      <c r="T49" s="19">
        <v>2.0</v>
      </c>
      <c r="U49" s="19">
        <v>0.0</v>
      </c>
      <c r="V49" s="19">
        <v>2.0</v>
      </c>
      <c r="W49" s="19">
        <v>1.0</v>
      </c>
      <c r="X49" s="19">
        <v>1.0</v>
      </c>
      <c r="Y49" s="19">
        <v>0.0</v>
      </c>
      <c r="Z49" s="19">
        <v>1.0</v>
      </c>
      <c r="AA49" s="19">
        <v>1.0</v>
      </c>
      <c r="AB49" s="19">
        <v>0.0</v>
      </c>
      <c r="AC49" s="19">
        <v>0.0</v>
      </c>
      <c r="AD49" s="19">
        <v>0.0</v>
      </c>
      <c r="AE49" s="19">
        <v>0.0</v>
      </c>
      <c r="AF49" s="19">
        <v>1.0</v>
      </c>
      <c r="AG49" s="19">
        <v>0.0</v>
      </c>
      <c r="AH49" s="19">
        <v>2.0</v>
      </c>
      <c r="AI49" s="19">
        <v>1.0</v>
      </c>
      <c r="AJ49" s="13">
        <f t="shared" si="14"/>
        <v>41</v>
      </c>
    </row>
    <row r="50" ht="12.75" customHeight="1">
      <c r="A50" s="18"/>
      <c r="B50" s="55">
        <v>5.0</v>
      </c>
      <c r="C50" s="50" t="s">
        <v>44</v>
      </c>
      <c r="D50" s="16"/>
      <c r="E50" s="19">
        <v>3.0</v>
      </c>
      <c r="F50" s="19">
        <v>2.0</v>
      </c>
      <c r="G50" s="19">
        <v>3.0</v>
      </c>
      <c r="H50" s="19">
        <v>2.0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2.0</v>
      </c>
      <c r="T50" s="19">
        <v>0.0</v>
      </c>
      <c r="U50" s="19">
        <v>1.0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1.0</v>
      </c>
      <c r="AC50" s="19">
        <v>0.0</v>
      </c>
      <c r="AD50" s="19">
        <v>1.0</v>
      </c>
      <c r="AE50" s="19">
        <v>0.0</v>
      </c>
      <c r="AF50" s="19">
        <v>0.0</v>
      </c>
      <c r="AG50" s="19">
        <v>0.0</v>
      </c>
      <c r="AH50" s="19">
        <v>0.0</v>
      </c>
      <c r="AI50" s="19">
        <v>0.0</v>
      </c>
      <c r="AJ50" s="13">
        <f t="shared" si="14"/>
        <v>16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3.0</v>
      </c>
      <c r="H51" s="19">
        <v>1.0</v>
      </c>
      <c r="I51" s="19">
        <v>1.0</v>
      </c>
      <c r="J51" s="19">
        <v>0.0</v>
      </c>
      <c r="K51" s="19">
        <v>0.0</v>
      </c>
      <c r="L51" s="19">
        <v>0.0</v>
      </c>
      <c r="M51" s="19">
        <v>2.0</v>
      </c>
      <c r="N51" s="19">
        <v>1.0</v>
      </c>
      <c r="O51" s="19">
        <v>0.0</v>
      </c>
      <c r="P51" s="19">
        <v>0.0</v>
      </c>
      <c r="Q51" s="19">
        <v>0.0</v>
      </c>
      <c r="R51" s="19">
        <v>2.0</v>
      </c>
      <c r="S51" s="19">
        <v>0.0</v>
      </c>
      <c r="T51" s="19">
        <v>0.0</v>
      </c>
      <c r="U51" s="19">
        <v>4.0</v>
      </c>
      <c r="V51" s="19">
        <v>2.0</v>
      </c>
      <c r="W51" s="19">
        <v>1.0</v>
      </c>
      <c r="X51" s="19">
        <v>0.0</v>
      </c>
      <c r="Y51" s="19">
        <v>1.0</v>
      </c>
      <c r="Z51" s="19">
        <v>2.0</v>
      </c>
      <c r="AA51" s="19">
        <v>0.0</v>
      </c>
      <c r="AB51" s="19">
        <v>0.0</v>
      </c>
      <c r="AC51" s="19">
        <v>0.0</v>
      </c>
      <c r="AD51" s="19">
        <v>2.0</v>
      </c>
      <c r="AE51" s="19">
        <v>0.0</v>
      </c>
      <c r="AF51" s="19">
        <v>0.0</v>
      </c>
      <c r="AG51" s="19">
        <v>0.0</v>
      </c>
      <c r="AH51" s="19">
        <v>0.0</v>
      </c>
      <c r="AI51" s="19">
        <v>1.0</v>
      </c>
      <c r="AJ51" s="13">
        <f t="shared" si="14"/>
        <v>24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3.0</v>
      </c>
      <c r="G52" s="19">
        <v>0.0</v>
      </c>
      <c r="H52" s="19">
        <v>1.0</v>
      </c>
      <c r="I52" s="19">
        <v>1.0</v>
      </c>
      <c r="J52" s="19">
        <v>0.0</v>
      </c>
      <c r="K52" s="19">
        <v>0.0</v>
      </c>
      <c r="L52" s="19">
        <v>1.0</v>
      </c>
      <c r="M52" s="19">
        <v>1.0</v>
      </c>
      <c r="N52" s="19">
        <v>0.0</v>
      </c>
      <c r="O52" s="19">
        <v>1.0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1.0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1.0</v>
      </c>
      <c r="AD52" s="19">
        <v>1.0</v>
      </c>
      <c r="AE52" s="19">
        <v>0.0</v>
      </c>
      <c r="AF52" s="19">
        <v>0.0</v>
      </c>
      <c r="AG52" s="19">
        <v>0.0</v>
      </c>
      <c r="AH52" s="19">
        <v>1.0</v>
      </c>
      <c r="AI52" s="19">
        <v>0.0</v>
      </c>
      <c r="AJ52" s="13">
        <f t="shared" si="14"/>
        <v>13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J55" si="15">SUM(E45:E54)</f>
        <v>37</v>
      </c>
      <c r="F55" s="13">
        <f t="shared" si="15"/>
        <v>42</v>
      </c>
      <c r="G55" s="13">
        <f t="shared" si="15"/>
        <v>44</v>
      </c>
      <c r="H55" s="13">
        <f t="shared" si="15"/>
        <v>23</v>
      </c>
      <c r="I55" s="13">
        <f t="shared" si="15"/>
        <v>35</v>
      </c>
      <c r="J55" s="13">
        <f t="shared" si="15"/>
        <v>10</v>
      </c>
      <c r="K55" s="13">
        <f t="shared" si="15"/>
        <v>41</v>
      </c>
      <c r="L55" s="13">
        <f t="shared" si="15"/>
        <v>22</v>
      </c>
      <c r="M55" s="13">
        <f t="shared" si="15"/>
        <v>55</v>
      </c>
      <c r="N55" s="13">
        <f t="shared" si="15"/>
        <v>55</v>
      </c>
      <c r="O55" s="13">
        <f t="shared" si="15"/>
        <v>29</v>
      </c>
      <c r="P55" s="13">
        <f t="shared" si="15"/>
        <v>32</v>
      </c>
      <c r="Q55" s="13">
        <f t="shared" si="15"/>
        <v>7</v>
      </c>
      <c r="R55" s="13">
        <f t="shared" si="15"/>
        <v>22</v>
      </c>
      <c r="S55" s="13">
        <f t="shared" si="15"/>
        <v>24</v>
      </c>
      <c r="T55" s="13">
        <f t="shared" si="15"/>
        <v>23</v>
      </c>
      <c r="U55" s="13">
        <f t="shared" si="15"/>
        <v>41</v>
      </c>
      <c r="V55" s="13">
        <f t="shared" si="15"/>
        <v>41</v>
      </c>
      <c r="W55" s="13">
        <f t="shared" si="15"/>
        <v>40</v>
      </c>
      <c r="X55" s="13">
        <f t="shared" si="15"/>
        <v>14</v>
      </c>
      <c r="Y55" s="13">
        <f t="shared" si="15"/>
        <v>30</v>
      </c>
      <c r="Z55" s="13">
        <f t="shared" si="15"/>
        <v>50</v>
      </c>
      <c r="AA55" s="13">
        <f t="shared" si="15"/>
        <v>17</v>
      </c>
      <c r="AB55" s="13">
        <f t="shared" si="15"/>
        <v>20</v>
      </c>
      <c r="AC55" s="13">
        <f t="shared" si="15"/>
        <v>22</v>
      </c>
      <c r="AD55" s="13">
        <f t="shared" si="15"/>
        <v>11</v>
      </c>
      <c r="AE55" s="13">
        <f t="shared" si="15"/>
        <v>25</v>
      </c>
      <c r="AF55" s="13">
        <f t="shared" si="15"/>
        <v>12</v>
      </c>
      <c r="AG55" s="13">
        <f t="shared" si="15"/>
        <v>38</v>
      </c>
      <c r="AH55" s="13">
        <f t="shared" si="15"/>
        <v>23</v>
      </c>
      <c r="AI55" s="13">
        <f t="shared" si="15"/>
        <v>25</v>
      </c>
      <c r="AJ55" s="13">
        <f t="shared" si="15"/>
        <v>910</v>
      </c>
    </row>
    <row r="56" ht="12.75" customHeight="1">
      <c r="A56" s="45"/>
      <c r="B56" s="44"/>
      <c r="C56" s="44"/>
      <c r="D56" s="44"/>
      <c r="E56" s="44"/>
      <c r="AJ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17.0</v>
      </c>
      <c r="G57" s="19">
        <v>21.0</v>
      </c>
      <c r="H57" s="19">
        <v>10.0</v>
      </c>
      <c r="I57" s="19">
        <v>5.0</v>
      </c>
      <c r="J57" s="19">
        <v>3.0</v>
      </c>
      <c r="K57" s="19">
        <v>7.0</v>
      </c>
      <c r="L57" s="19">
        <v>6.0</v>
      </c>
      <c r="M57" s="19">
        <v>11.0</v>
      </c>
      <c r="N57" s="19">
        <v>6.0</v>
      </c>
      <c r="O57" s="19">
        <v>9.0</v>
      </c>
      <c r="P57" s="19">
        <v>10.0</v>
      </c>
      <c r="Q57" s="19">
        <v>6.0</v>
      </c>
      <c r="R57" s="19">
        <v>10.0</v>
      </c>
      <c r="S57" s="19">
        <v>12.0</v>
      </c>
      <c r="T57" s="19">
        <v>13.0</v>
      </c>
      <c r="U57" s="19">
        <v>9.0</v>
      </c>
      <c r="V57" s="19">
        <v>10.0</v>
      </c>
      <c r="W57" s="19">
        <v>7.0</v>
      </c>
      <c r="X57" s="19">
        <v>17.0</v>
      </c>
      <c r="Y57" s="19">
        <v>4.0</v>
      </c>
      <c r="Z57" s="19">
        <v>12.0</v>
      </c>
      <c r="AA57" s="19">
        <v>5.0</v>
      </c>
      <c r="AB57" s="19">
        <v>8.0</v>
      </c>
      <c r="AC57" s="19">
        <v>2.0</v>
      </c>
      <c r="AD57" s="19">
        <v>6.0</v>
      </c>
      <c r="AE57" s="19">
        <v>7.0</v>
      </c>
      <c r="AF57" s="19">
        <v>12.0</v>
      </c>
      <c r="AG57" s="19">
        <v>2.0</v>
      </c>
      <c r="AH57" s="19">
        <v>12.0</v>
      </c>
      <c r="AI57" s="19">
        <v>10.0</v>
      </c>
      <c r="AJ57" s="13">
        <f t="shared" ref="AJ57:AJ66" si="16">SUM(E57:AI57)</f>
        <v>278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18.0</v>
      </c>
      <c r="F58" s="19">
        <v>32.0</v>
      </c>
      <c r="G58" s="19">
        <v>16.0</v>
      </c>
      <c r="H58" s="19">
        <v>8.0</v>
      </c>
      <c r="I58" s="19">
        <v>7.0</v>
      </c>
      <c r="J58" s="19">
        <v>3.0</v>
      </c>
      <c r="K58" s="19">
        <v>4.0</v>
      </c>
      <c r="L58" s="19">
        <v>3.0</v>
      </c>
      <c r="M58" s="19">
        <v>10.0</v>
      </c>
      <c r="N58" s="19">
        <v>6.0</v>
      </c>
      <c r="O58" s="19">
        <v>4.0</v>
      </c>
      <c r="P58" s="19">
        <v>4.0</v>
      </c>
      <c r="Q58" s="19">
        <v>11.0</v>
      </c>
      <c r="R58" s="19">
        <v>4.0</v>
      </c>
      <c r="S58" s="19">
        <v>7.0</v>
      </c>
      <c r="T58" s="19">
        <v>6.0</v>
      </c>
      <c r="U58" s="19">
        <v>10.0</v>
      </c>
      <c r="V58" s="19">
        <v>6.0</v>
      </c>
      <c r="W58" s="19">
        <v>5.0</v>
      </c>
      <c r="X58" s="19">
        <v>4.0</v>
      </c>
      <c r="Y58" s="19">
        <v>4.0</v>
      </c>
      <c r="Z58" s="19">
        <v>8.0</v>
      </c>
      <c r="AA58" s="19">
        <v>8.0</v>
      </c>
      <c r="AB58" s="19">
        <v>4.0</v>
      </c>
      <c r="AC58" s="19">
        <v>3.0</v>
      </c>
      <c r="AD58" s="19">
        <v>2.0</v>
      </c>
      <c r="AE58" s="19">
        <v>6.0</v>
      </c>
      <c r="AF58" s="19">
        <v>6.0</v>
      </c>
      <c r="AG58" s="19">
        <v>2.0</v>
      </c>
      <c r="AH58" s="19">
        <v>3.0</v>
      </c>
      <c r="AI58" s="19">
        <v>5.0</v>
      </c>
      <c r="AJ58" s="13">
        <f t="shared" si="16"/>
        <v>219</v>
      </c>
    </row>
    <row r="59" ht="12.75" customHeight="1">
      <c r="A59" s="18"/>
      <c r="B59" s="55">
        <v>2.0</v>
      </c>
      <c r="C59" s="50" t="s">
        <v>50</v>
      </c>
      <c r="D59" s="59"/>
      <c r="E59" s="19">
        <v>9.0</v>
      </c>
      <c r="F59" s="19">
        <v>25.0</v>
      </c>
      <c r="G59" s="19">
        <v>13.0</v>
      </c>
      <c r="H59" s="19">
        <v>23.0</v>
      </c>
      <c r="I59" s="19">
        <v>18.0</v>
      </c>
      <c r="J59" s="19">
        <v>5.0</v>
      </c>
      <c r="K59" s="19">
        <v>19.0</v>
      </c>
      <c r="L59" s="19">
        <v>34.0</v>
      </c>
      <c r="M59" s="19">
        <v>5.0</v>
      </c>
      <c r="N59" s="19">
        <v>3.0</v>
      </c>
      <c r="O59" s="19">
        <v>14.0</v>
      </c>
      <c r="P59" s="19">
        <v>12.0</v>
      </c>
      <c r="Q59" s="19">
        <v>20.0</v>
      </c>
      <c r="R59" s="19">
        <v>7.0</v>
      </c>
      <c r="S59" s="19">
        <v>8.0</v>
      </c>
      <c r="T59" s="19">
        <v>9.0</v>
      </c>
      <c r="U59" s="19">
        <v>4.0</v>
      </c>
      <c r="V59" s="19">
        <v>13.0</v>
      </c>
      <c r="W59" s="19">
        <v>15.0</v>
      </c>
      <c r="X59" s="19">
        <v>29.0</v>
      </c>
      <c r="Y59" s="19">
        <v>24.0</v>
      </c>
      <c r="Z59" s="19">
        <v>7.0</v>
      </c>
      <c r="AA59" s="19">
        <v>7.0</v>
      </c>
      <c r="AB59" s="19">
        <v>4.0</v>
      </c>
      <c r="AC59" s="19">
        <v>10.0</v>
      </c>
      <c r="AD59" s="19">
        <v>5.0</v>
      </c>
      <c r="AE59" s="19">
        <v>3.0</v>
      </c>
      <c r="AF59" s="19">
        <v>6.0</v>
      </c>
      <c r="AG59" s="19">
        <v>9.0</v>
      </c>
      <c r="AH59" s="19">
        <v>5.0</v>
      </c>
      <c r="AI59" s="19">
        <v>2.0</v>
      </c>
      <c r="AJ59" s="13">
        <f t="shared" si="16"/>
        <v>367</v>
      </c>
    </row>
    <row r="60" ht="12.75" customHeight="1">
      <c r="A60" s="18"/>
      <c r="B60" s="55">
        <v>3.0</v>
      </c>
      <c r="C60" s="50" t="s">
        <v>51</v>
      </c>
      <c r="D60" s="59"/>
      <c r="E60" s="19">
        <v>2.0</v>
      </c>
      <c r="F60" s="19">
        <v>1.0</v>
      </c>
      <c r="G60" s="19">
        <v>6.0</v>
      </c>
      <c r="H60" s="19">
        <v>2.0</v>
      </c>
      <c r="I60" s="19">
        <v>2.0</v>
      </c>
      <c r="J60" s="19">
        <v>0.0</v>
      </c>
      <c r="K60" s="19">
        <v>3.0</v>
      </c>
      <c r="L60" s="19">
        <v>1.0</v>
      </c>
      <c r="M60" s="19">
        <v>2.0</v>
      </c>
      <c r="N60" s="19">
        <v>0.0</v>
      </c>
      <c r="O60" s="19">
        <v>0.0</v>
      </c>
      <c r="P60" s="19">
        <v>0.0</v>
      </c>
      <c r="Q60" s="19">
        <v>1.0</v>
      </c>
      <c r="R60" s="19">
        <v>0.0</v>
      </c>
      <c r="S60" s="19">
        <v>2.0</v>
      </c>
      <c r="T60" s="19">
        <v>2.0</v>
      </c>
      <c r="U60" s="19">
        <v>2.0</v>
      </c>
      <c r="V60" s="19">
        <v>2.0</v>
      </c>
      <c r="W60" s="19">
        <v>2.0</v>
      </c>
      <c r="X60" s="19">
        <v>0.0</v>
      </c>
      <c r="Y60" s="19">
        <v>0.0</v>
      </c>
      <c r="Z60" s="19">
        <v>1.0</v>
      </c>
      <c r="AA60" s="19">
        <v>1.0</v>
      </c>
      <c r="AB60" s="19">
        <v>3.0</v>
      </c>
      <c r="AC60" s="19">
        <v>0.0</v>
      </c>
      <c r="AD60" s="19">
        <v>1.0</v>
      </c>
      <c r="AE60" s="19">
        <v>0.0</v>
      </c>
      <c r="AF60" s="19">
        <v>1.0</v>
      </c>
      <c r="AG60" s="19">
        <v>0.0</v>
      </c>
      <c r="AH60" s="19">
        <v>2.0</v>
      </c>
      <c r="AI60" s="19">
        <v>1.0</v>
      </c>
      <c r="AJ60" s="13">
        <f t="shared" si="16"/>
        <v>40</v>
      </c>
    </row>
    <row r="61" ht="12.75" customHeight="1">
      <c r="A61" s="18"/>
      <c r="B61" s="55">
        <v>4.0</v>
      </c>
      <c r="C61" s="50" t="s">
        <v>52</v>
      </c>
      <c r="D61" s="59"/>
      <c r="E61" s="19">
        <v>5.0</v>
      </c>
      <c r="F61" s="19">
        <v>1.0</v>
      </c>
      <c r="G61" s="19">
        <v>4.0</v>
      </c>
      <c r="H61" s="19">
        <v>2.0</v>
      </c>
      <c r="I61" s="19">
        <v>2.0</v>
      </c>
      <c r="J61" s="19">
        <v>2.0</v>
      </c>
      <c r="K61" s="19">
        <v>3.0</v>
      </c>
      <c r="L61" s="19">
        <v>1.0</v>
      </c>
      <c r="M61" s="19">
        <v>0.0</v>
      </c>
      <c r="N61" s="19">
        <v>0.0</v>
      </c>
      <c r="O61" s="19">
        <v>1.0</v>
      </c>
      <c r="P61" s="19">
        <v>3.0</v>
      </c>
      <c r="Q61" s="19">
        <v>2.0</v>
      </c>
      <c r="R61" s="19">
        <v>2.0</v>
      </c>
      <c r="S61" s="19">
        <v>2.0</v>
      </c>
      <c r="T61" s="19">
        <v>3.0</v>
      </c>
      <c r="U61" s="19">
        <v>9.0</v>
      </c>
      <c r="V61" s="19">
        <v>7.0</v>
      </c>
      <c r="W61" s="19">
        <v>6.0</v>
      </c>
      <c r="X61" s="19">
        <v>3.0</v>
      </c>
      <c r="Y61" s="19">
        <v>4.0</v>
      </c>
      <c r="Z61" s="19">
        <v>5.0</v>
      </c>
      <c r="AA61" s="19">
        <v>3.0</v>
      </c>
      <c r="AB61" s="19">
        <v>2.0</v>
      </c>
      <c r="AC61" s="19">
        <v>1.0</v>
      </c>
      <c r="AD61" s="19">
        <v>4.0</v>
      </c>
      <c r="AE61" s="19">
        <v>2.0</v>
      </c>
      <c r="AF61" s="19">
        <v>4.0</v>
      </c>
      <c r="AG61" s="19">
        <v>3.0</v>
      </c>
      <c r="AH61" s="19">
        <v>3.0</v>
      </c>
      <c r="AI61" s="19">
        <v>0.0</v>
      </c>
      <c r="AJ61" s="13">
        <f t="shared" si="16"/>
        <v>89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3.0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9">
        <v>0.0</v>
      </c>
      <c r="V62" s="19">
        <v>2.0</v>
      </c>
      <c r="W62" s="19">
        <v>0.0</v>
      </c>
      <c r="X62" s="19">
        <v>0.0</v>
      </c>
      <c r="Y62" s="19">
        <v>0.0</v>
      </c>
      <c r="Z62" s="19">
        <v>1.0</v>
      </c>
      <c r="AA62" s="19">
        <v>1.0</v>
      </c>
      <c r="AB62" s="19">
        <v>1.0</v>
      </c>
      <c r="AC62" s="19">
        <v>1.0</v>
      </c>
      <c r="AD62" s="19">
        <v>0.0</v>
      </c>
      <c r="AE62" s="19">
        <v>0.0</v>
      </c>
      <c r="AF62" s="19">
        <v>1.0</v>
      </c>
      <c r="AG62" s="19">
        <v>0.0</v>
      </c>
      <c r="AH62" s="19">
        <v>0.0</v>
      </c>
      <c r="AI62" s="19">
        <v>0.0</v>
      </c>
      <c r="AJ62" s="13">
        <f t="shared" si="16"/>
        <v>13</v>
      </c>
    </row>
    <row r="63" ht="12.75" customHeight="1">
      <c r="A63" s="18"/>
      <c r="B63" s="55">
        <v>6.0</v>
      </c>
      <c r="C63" s="50" t="s">
        <v>54</v>
      </c>
      <c r="D63" s="60"/>
      <c r="E63" s="19">
        <v>3.0</v>
      </c>
      <c r="F63" s="19">
        <v>4.0</v>
      </c>
      <c r="G63" s="19">
        <v>4.0</v>
      </c>
      <c r="H63" s="19">
        <v>1.0</v>
      </c>
      <c r="I63" s="19">
        <v>2.0</v>
      </c>
      <c r="J63" s="19">
        <v>2.0</v>
      </c>
      <c r="K63" s="19">
        <v>1.0</v>
      </c>
      <c r="L63" s="19">
        <v>1.0</v>
      </c>
      <c r="M63" s="19">
        <v>2.0</v>
      </c>
      <c r="N63" s="19">
        <v>1.0</v>
      </c>
      <c r="O63" s="19">
        <v>0.0</v>
      </c>
      <c r="P63" s="19">
        <v>1.0</v>
      </c>
      <c r="Q63" s="19">
        <v>1.0</v>
      </c>
      <c r="R63" s="19">
        <v>1.0</v>
      </c>
      <c r="S63" s="19">
        <v>2.0</v>
      </c>
      <c r="T63" s="19">
        <v>1.0</v>
      </c>
      <c r="U63" s="19">
        <v>1.0</v>
      </c>
      <c r="V63" s="19">
        <v>3.0</v>
      </c>
      <c r="W63" s="19">
        <v>1.0</v>
      </c>
      <c r="X63" s="19">
        <v>4.0</v>
      </c>
      <c r="Y63" s="19">
        <v>2.0</v>
      </c>
      <c r="Z63" s="19">
        <v>1.0</v>
      </c>
      <c r="AA63" s="19">
        <v>2.0</v>
      </c>
      <c r="AB63" s="19">
        <v>1.0</v>
      </c>
      <c r="AC63" s="19">
        <v>0.0</v>
      </c>
      <c r="AD63" s="19">
        <v>4.0</v>
      </c>
      <c r="AE63" s="19">
        <v>2.0</v>
      </c>
      <c r="AF63" s="19">
        <v>2.0</v>
      </c>
      <c r="AG63" s="19">
        <v>1.0</v>
      </c>
      <c r="AH63" s="19">
        <v>2.0</v>
      </c>
      <c r="AI63" s="19">
        <v>2.0</v>
      </c>
      <c r="AJ63" s="13">
        <f t="shared" si="16"/>
        <v>55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3.0</v>
      </c>
      <c r="W64" s="19">
        <v>1.0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1.0</v>
      </c>
      <c r="AD64" s="19">
        <v>1.0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3">
        <f t="shared" si="16"/>
        <v>9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J67" si="17">SUM(E57:E66)</f>
        <v>47</v>
      </c>
      <c r="F67" s="13">
        <f t="shared" si="17"/>
        <v>81</v>
      </c>
      <c r="G67" s="13">
        <f t="shared" si="17"/>
        <v>64</v>
      </c>
      <c r="H67" s="13">
        <f t="shared" si="17"/>
        <v>47</v>
      </c>
      <c r="I67" s="13">
        <f t="shared" si="17"/>
        <v>36</v>
      </c>
      <c r="J67" s="13">
        <f t="shared" si="17"/>
        <v>15</v>
      </c>
      <c r="K67" s="13">
        <f t="shared" si="17"/>
        <v>38</v>
      </c>
      <c r="L67" s="13">
        <f t="shared" si="17"/>
        <v>46</v>
      </c>
      <c r="M67" s="13">
        <f t="shared" si="17"/>
        <v>30</v>
      </c>
      <c r="N67" s="13">
        <f t="shared" si="17"/>
        <v>17</v>
      </c>
      <c r="O67" s="13">
        <f t="shared" si="17"/>
        <v>31</v>
      </c>
      <c r="P67" s="13">
        <f t="shared" si="17"/>
        <v>30</v>
      </c>
      <c r="Q67" s="13">
        <f t="shared" si="17"/>
        <v>41</v>
      </c>
      <c r="R67" s="13">
        <f t="shared" si="17"/>
        <v>25</v>
      </c>
      <c r="S67" s="13">
        <f t="shared" si="17"/>
        <v>33</v>
      </c>
      <c r="T67" s="13">
        <f t="shared" si="17"/>
        <v>34</v>
      </c>
      <c r="U67" s="13">
        <f t="shared" si="17"/>
        <v>35</v>
      </c>
      <c r="V67" s="13">
        <f t="shared" si="17"/>
        <v>46</v>
      </c>
      <c r="W67" s="13">
        <f t="shared" si="17"/>
        <v>37</v>
      </c>
      <c r="X67" s="13">
        <f t="shared" si="17"/>
        <v>57</v>
      </c>
      <c r="Y67" s="13">
        <f t="shared" si="17"/>
        <v>38</v>
      </c>
      <c r="Z67" s="13">
        <f t="shared" si="17"/>
        <v>35</v>
      </c>
      <c r="AA67" s="13">
        <f t="shared" si="17"/>
        <v>27</v>
      </c>
      <c r="AB67" s="13">
        <f t="shared" si="17"/>
        <v>23</v>
      </c>
      <c r="AC67" s="13">
        <f t="shared" si="17"/>
        <v>18</v>
      </c>
      <c r="AD67" s="13">
        <f t="shared" si="17"/>
        <v>23</v>
      </c>
      <c r="AE67" s="13">
        <f t="shared" si="17"/>
        <v>20</v>
      </c>
      <c r="AF67" s="13">
        <f t="shared" si="17"/>
        <v>32</v>
      </c>
      <c r="AG67" s="13">
        <f t="shared" si="17"/>
        <v>17</v>
      </c>
      <c r="AH67" s="13">
        <f t="shared" si="17"/>
        <v>27</v>
      </c>
      <c r="AI67" s="13">
        <f t="shared" si="17"/>
        <v>20</v>
      </c>
      <c r="AJ67" s="13">
        <f t="shared" si="17"/>
        <v>1070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5.0</v>
      </c>
      <c r="G69" s="19">
        <v>5.0</v>
      </c>
      <c r="H69" s="19">
        <v>15.0</v>
      </c>
      <c r="I69" s="19">
        <v>7.0</v>
      </c>
      <c r="J69" s="19">
        <v>9.0</v>
      </c>
      <c r="K69" s="19">
        <v>14.0</v>
      </c>
      <c r="L69" s="19">
        <v>9.0</v>
      </c>
      <c r="M69" s="19">
        <v>12.0</v>
      </c>
      <c r="N69" s="19">
        <v>8.0</v>
      </c>
      <c r="O69" s="19">
        <v>9.0</v>
      </c>
      <c r="P69" s="19">
        <v>14.0</v>
      </c>
      <c r="Q69" s="19">
        <v>14.0</v>
      </c>
      <c r="R69" s="19">
        <v>11.0</v>
      </c>
      <c r="S69" s="19">
        <v>8.0</v>
      </c>
      <c r="T69" s="19">
        <v>11.0</v>
      </c>
      <c r="U69" s="19">
        <v>8.0</v>
      </c>
      <c r="V69" s="19">
        <v>7.0</v>
      </c>
      <c r="W69" s="19">
        <v>5.0</v>
      </c>
      <c r="X69" s="19">
        <v>6.0</v>
      </c>
      <c r="Y69" s="19">
        <v>8.0</v>
      </c>
      <c r="Z69" s="19">
        <v>6.0</v>
      </c>
      <c r="AA69" s="19">
        <v>12.0</v>
      </c>
      <c r="AB69" s="19">
        <v>12.0</v>
      </c>
      <c r="AC69" s="19">
        <v>9.0</v>
      </c>
      <c r="AD69" s="19">
        <v>26.0</v>
      </c>
      <c r="AE69" s="19">
        <v>10.0</v>
      </c>
      <c r="AF69" s="19">
        <v>15.0</v>
      </c>
      <c r="AG69" s="19">
        <v>8.0</v>
      </c>
      <c r="AH69" s="19">
        <v>19.0</v>
      </c>
      <c r="AI69" s="19">
        <v>5.0</v>
      </c>
      <c r="AJ69" s="13">
        <f t="shared" ref="AJ69:AJ78" si="18">SUM(E69:AI69)</f>
        <v>312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5.0</v>
      </c>
      <c r="F70" s="19">
        <v>4.0</v>
      </c>
      <c r="G70" s="19">
        <v>4.0</v>
      </c>
      <c r="H70" s="19">
        <v>3.0</v>
      </c>
      <c r="I70" s="19">
        <v>7.0</v>
      </c>
      <c r="J70" s="19">
        <v>25.0</v>
      </c>
      <c r="K70" s="19">
        <v>12.0</v>
      </c>
      <c r="L70" s="19">
        <v>8.0</v>
      </c>
      <c r="M70" s="19">
        <v>7.0</v>
      </c>
      <c r="N70" s="19">
        <v>3.0</v>
      </c>
      <c r="O70" s="19">
        <v>7.0</v>
      </c>
      <c r="P70" s="19">
        <v>20.0</v>
      </c>
      <c r="Q70" s="19">
        <v>7.0</v>
      </c>
      <c r="R70" s="19">
        <v>11.0</v>
      </c>
      <c r="S70" s="19">
        <v>14.0</v>
      </c>
      <c r="T70" s="19">
        <v>4.0</v>
      </c>
      <c r="U70" s="19">
        <v>11.0</v>
      </c>
      <c r="V70" s="19">
        <v>1.0</v>
      </c>
      <c r="W70" s="19">
        <v>2.0</v>
      </c>
      <c r="X70" s="19">
        <v>3.0</v>
      </c>
      <c r="Y70" s="19">
        <v>6.0</v>
      </c>
      <c r="Z70" s="19">
        <v>5.0</v>
      </c>
      <c r="AA70" s="19">
        <v>3.0</v>
      </c>
      <c r="AB70" s="19">
        <v>4.0</v>
      </c>
      <c r="AC70" s="19">
        <v>2.0</v>
      </c>
      <c r="AD70" s="19">
        <v>93.0</v>
      </c>
      <c r="AE70" s="19">
        <v>51.0</v>
      </c>
      <c r="AF70" s="19">
        <v>12.0</v>
      </c>
      <c r="AG70" s="19">
        <v>7.0</v>
      </c>
      <c r="AH70" s="19">
        <v>13.0</v>
      </c>
      <c r="AI70" s="19">
        <v>11.0</v>
      </c>
      <c r="AJ70" s="13">
        <f t="shared" si="18"/>
        <v>365</v>
      </c>
    </row>
    <row r="71" ht="12.75" customHeight="1">
      <c r="A71" s="18"/>
      <c r="B71" s="55">
        <v>2.0</v>
      </c>
      <c r="C71" s="50" t="s">
        <v>58</v>
      </c>
      <c r="D71" s="60"/>
      <c r="E71" s="19">
        <v>10.0</v>
      </c>
      <c r="F71" s="19">
        <v>2.0</v>
      </c>
      <c r="G71" s="19">
        <v>3.0</v>
      </c>
      <c r="H71" s="19">
        <v>4.0</v>
      </c>
      <c r="I71" s="19">
        <v>2.0</v>
      </c>
      <c r="J71" s="19">
        <v>2.0</v>
      </c>
      <c r="K71" s="19">
        <v>8.0</v>
      </c>
      <c r="L71" s="19">
        <v>4.0</v>
      </c>
      <c r="M71" s="19">
        <v>5.0</v>
      </c>
      <c r="N71" s="19">
        <v>9.0</v>
      </c>
      <c r="O71" s="19">
        <v>25.0</v>
      </c>
      <c r="P71" s="19">
        <v>2.0</v>
      </c>
      <c r="Q71" s="19">
        <v>16.0</v>
      </c>
      <c r="R71" s="19">
        <v>13.0</v>
      </c>
      <c r="S71" s="19">
        <v>0.0</v>
      </c>
      <c r="T71" s="19">
        <v>1.0</v>
      </c>
      <c r="U71" s="19">
        <v>4.0</v>
      </c>
      <c r="V71" s="19">
        <v>5.0</v>
      </c>
      <c r="W71" s="19">
        <v>5.0</v>
      </c>
      <c r="X71" s="19">
        <v>0.0</v>
      </c>
      <c r="Y71" s="19">
        <v>4.0</v>
      </c>
      <c r="Z71" s="19">
        <v>0.0</v>
      </c>
      <c r="AA71" s="19">
        <v>6.0</v>
      </c>
      <c r="AB71" s="19">
        <v>0.0</v>
      </c>
      <c r="AC71" s="19">
        <v>8.0</v>
      </c>
      <c r="AD71" s="19">
        <v>4.0</v>
      </c>
      <c r="AE71" s="19">
        <v>8.0</v>
      </c>
      <c r="AF71" s="19">
        <v>8.0</v>
      </c>
      <c r="AG71" s="19">
        <v>7.0</v>
      </c>
      <c r="AH71" s="19">
        <v>26.0</v>
      </c>
      <c r="AI71" s="19">
        <v>25.0</v>
      </c>
      <c r="AJ71" s="13">
        <f t="shared" si="18"/>
        <v>216</v>
      </c>
    </row>
    <row r="72" ht="12.75" customHeight="1">
      <c r="A72" s="18"/>
      <c r="B72" s="55">
        <v>3.0</v>
      </c>
      <c r="C72" s="50" t="s">
        <v>59</v>
      </c>
      <c r="D72" s="60"/>
      <c r="E72" s="19">
        <v>5.0</v>
      </c>
      <c r="F72" s="19">
        <v>5.0</v>
      </c>
      <c r="G72" s="19">
        <v>12.0</v>
      </c>
      <c r="H72" s="19">
        <v>14.0</v>
      </c>
      <c r="I72" s="19">
        <v>1.0</v>
      </c>
      <c r="J72" s="19">
        <v>4.0</v>
      </c>
      <c r="K72" s="19">
        <v>16.0</v>
      </c>
      <c r="L72" s="19">
        <v>12.0</v>
      </c>
      <c r="M72" s="19">
        <v>2.0</v>
      </c>
      <c r="N72" s="19">
        <v>8.0</v>
      </c>
      <c r="O72" s="19">
        <v>1.0</v>
      </c>
      <c r="P72" s="19">
        <v>7.0</v>
      </c>
      <c r="Q72" s="19">
        <v>7.0</v>
      </c>
      <c r="R72" s="19">
        <v>8.0</v>
      </c>
      <c r="S72" s="19">
        <v>1.0</v>
      </c>
      <c r="T72" s="19">
        <v>7.0</v>
      </c>
      <c r="U72" s="19">
        <v>13.0</v>
      </c>
      <c r="V72" s="19">
        <v>1.0</v>
      </c>
      <c r="W72" s="19">
        <v>3.0</v>
      </c>
      <c r="X72" s="19">
        <v>9.0</v>
      </c>
      <c r="Y72" s="19">
        <v>7.0</v>
      </c>
      <c r="Z72" s="19">
        <v>3.0</v>
      </c>
      <c r="AA72" s="19">
        <v>13.0</v>
      </c>
      <c r="AB72" s="19">
        <v>7.0</v>
      </c>
      <c r="AC72" s="19">
        <v>8.0</v>
      </c>
      <c r="AD72" s="19">
        <v>1.0</v>
      </c>
      <c r="AE72" s="19">
        <v>6.0</v>
      </c>
      <c r="AF72" s="19">
        <v>2.0</v>
      </c>
      <c r="AG72" s="19">
        <v>3.0</v>
      </c>
      <c r="AH72" s="19">
        <v>4.0</v>
      </c>
      <c r="AI72" s="19">
        <v>1.0</v>
      </c>
      <c r="AJ72" s="13">
        <f t="shared" si="18"/>
        <v>191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0.0</v>
      </c>
      <c r="I73" s="19">
        <v>1.0</v>
      </c>
      <c r="J73" s="19">
        <v>0.0</v>
      </c>
      <c r="K73" s="19">
        <v>3.0</v>
      </c>
      <c r="L73" s="19">
        <v>0.0</v>
      </c>
      <c r="M73" s="19">
        <v>2.0</v>
      </c>
      <c r="N73" s="19">
        <v>0.0</v>
      </c>
      <c r="O73" s="19">
        <v>1.0</v>
      </c>
      <c r="P73" s="19">
        <v>1.0</v>
      </c>
      <c r="Q73" s="19">
        <v>2.0</v>
      </c>
      <c r="R73" s="19">
        <v>0.0</v>
      </c>
      <c r="S73" s="19">
        <v>1.0</v>
      </c>
      <c r="T73" s="19">
        <v>0.0</v>
      </c>
      <c r="U73" s="19">
        <v>1.0</v>
      </c>
      <c r="V73" s="19">
        <v>0.0</v>
      </c>
      <c r="W73" s="19">
        <v>0.0</v>
      </c>
      <c r="X73" s="19">
        <v>1.0</v>
      </c>
      <c r="Y73" s="19">
        <v>0.0</v>
      </c>
      <c r="Z73" s="19">
        <v>0.0</v>
      </c>
      <c r="AA73" s="19">
        <v>1.0</v>
      </c>
      <c r="AB73" s="19">
        <v>1.0</v>
      </c>
      <c r="AC73" s="19">
        <v>0.0</v>
      </c>
      <c r="AD73" s="19">
        <v>0.0</v>
      </c>
      <c r="AE73" s="19">
        <v>0.0</v>
      </c>
      <c r="AF73" s="19">
        <v>1.0</v>
      </c>
      <c r="AG73" s="19">
        <v>0.0</v>
      </c>
      <c r="AH73" s="19">
        <v>1.0</v>
      </c>
      <c r="AI73" s="19">
        <v>3.0</v>
      </c>
      <c r="AJ73" s="13">
        <f t="shared" si="18"/>
        <v>21</v>
      </c>
    </row>
    <row r="74" ht="12.75" customHeight="1">
      <c r="A74" s="18"/>
      <c r="B74" s="55">
        <v>5.0</v>
      </c>
      <c r="C74" s="50" t="s">
        <v>61</v>
      </c>
      <c r="D74" s="60"/>
      <c r="E74" s="19">
        <v>11.0</v>
      </c>
      <c r="F74" s="19">
        <v>10.0</v>
      </c>
      <c r="G74" s="19">
        <v>2.0</v>
      </c>
      <c r="H74" s="19">
        <v>11.0</v>
      </c>
      <c r="I74" s="19">
        <v>6.0</v>
      </c>
      <c r="J74" s="19">
        <v>6.0</v>
      </c>
      <c r="K74" s="19">
        <v>6.0</v>
      </c>
      <c r="L74" s="19">
        <v>3.0</v>
      </c>
      <c r="M74" s="19">
        <v>4.0</v>
      </c>
      <c r="N74" s="19">
        <v>6.0</v>
      </c>
      <c r="O74" s="19">
        <v>7.0</v>
      </c>
      <c r="P74" s="19">
        <v>5.0</v>
      </c>
      <c r="Q74" s="19">
        <v>6.0</v>
      </c>
      <c r="R74" s="19">
        <v>6.0</v>
      </c>
      <c r="S74" s="19">
        <v>3.0</v>
      </c>
      <c r="T74" s="19">
        <v>12.0</v>
      </c>
      <c r="U74" s="19">
        <v>9.0</v>
      </c>
      <c r="V74" s="19">
        <v>6.0</v>
      </c>
      <c r="W74" s="19">
        <v>8.0</v>
      </c>
      <c r="X74" s="19">
        <v>3.0</v>
      </c>
      <c r="Y74" s="19">
        <v>6.0</v>
      </c>
      <c r="Z74" s="19">
        <v>13.0</v>
      </c>
      <c r="AA74" s="19">
        <v>5.0</v>
      </c>
      <c r="AB74" s="19">
        <v>4.0</v>
      </c>
      <c r="AC74" s="19">
        <v>8.0</v>
      </c>
      <c r="AD74" s="19">
        <v>2.0</v>
      </c>
      <c r="AE74" s="19">
        <v>7.0</v>
      </c>
      <c r="AF74" s="19">
        <v>3.0</v>
      </c>
      <c r="AG74" s="19">
        <v>4.0</v>
      </c>
      <c r="AH74" s="19">
        <v>9.0</v>
      </c>
      <c r="AI74" s="19">
        <v>3.0</v>
      </c>
      <c r="AJ74" s="13">
        <f t="shared" si="18"/>
        <v>194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2.0</v>
      </c>
      <c r="H75" s="19">
        <v>1.0</v>
      </c>
      <c r="I75" s="19">
        <v>0.0</v>
      </c>
      <c r="J75" s="19">
        <v>2.0</v>
      </c>
      <c r="K75" s="19">
        <v>2.0</v>
      </c>
      <c r="L75" s="19">
        <v>1.0</v>
      </c>
      <c r="M75" s="19">
        <v>2.0</v>
      </c>
      <c r="N75" s="19">
        <v>9.0</v>
      </c>
      <c r="O75" s="19">
        <v>4.0</v>
      </c>
      <c r="P75" s="19">
        <v>3.0</v>
      </c>
      <c r="Q75" s="19">
        <v>3.0</v>
      </c>
      <c r="R75" s="19">
        <v>1.0</v>
      </c>
      <c r="S75" s="19">
        <v>1.0</v>
      </c>
      <c r="T75" s="19">
        <v>2.0</v>
      </c>
      <c r="U75" s="19">
        <v>5.0</v>
      </c>
      <c r="V75" s="19">
        <v>5.0</v>
      </c>
      <c r="W75" s="19">
        <v>2.0</v>
      </c>
      <c r="X75" s="19">
        <v>2.0</v>
      </c>
      <c r="Y75" s="19">
        <v>0.0</v>
      </c>
      <c r="Z75" s="19">
        <v>3.0</v>
      </c>
      <c r="AA75" s="19">
        <v>0.0</v>
      </c>
      <c r="AB75" s="19">
        <v>0.0</v>
      </c>
      <c r="AC75" s="19">
        <v>1.0</v>
      </c>
      <c r="AD75" s="19">
        <v>1.0</v>
      </c>
      <c r="AE75" s="19">
        <v>1.0</v>
      </c>
      <c r="AF75" s="19">
        <v>1.0</v>
      </c>
      <c r="AG75" s="19">
        <v>4.0</v>
      </c>
      <c r="AH75" s="19">
        <v>4.0</v>
      </c>
      <c r="AI75" s="19">
        <v>4.0</v>
      </c>
      <c r="AJ75" s="13">
        <f t="shared" si="18"/>
        <v>67</v>
      </c>
    </row>
    <row r="76" ht="12.75" customHeight="1">
      <c r="A76" s="18"/>
      <c r="B76" s="55">
        <v>7.0</v>
      </c>
      <c r="C76" s="50" t="s">
        <v>63</v>
      </c>
      <c r="D76" s="60"/>
      <c r="E76" s="19">
        <v>2.0</v>
      </c>
      <c r="F76" s="19">
        <v>0.0</v>
      </c>
      <c r="G76" s="19">
        <v>3.0</v>
      </c>
      <c r="H76" s="19">
        <v>1.0</v>
      </c>
      <c r="I76" s="19">
        <v>1.0</v>
      </c>
      <c r="J76" s="19">
        <v>4.0</v>
      </c>
      <c r="K76" s="19">
        <v>1.0</v>
      </c>
      <c r="L76" s="19">
        <v>1.0</v>
      </c>
      <c r="M76" s="19">
        <v>3.0</v>
      </c>
      <c r="N76" s="19">
        <v>2.0</v>
      </c>
      <c r="O76" s="19">
        <v>2.0</v>
      </c>
      <c r="P76" s="19">
        <v>0.0</v>
      </c>
      <c r="Q76" s="19">
        <v>14.0</v>
      </c>
      <c r="R76" s="19">
        <v>5.0</v>
      </c>
      <c r="S76" s="19">
        <v>2.0</v>
      </c>
      <c r="T76" s="19">
        <v>2.0</v>
      </c>
      <c r="U76" s="19">
        <v>8.0</v>
      </c>
      <c r="V76" s="19">
        <v>1.0</v>
      </c>
      <c r="W76" s="19">
        <v>0.0</v>
      </c>
      <c r="X76" s="19">
        <v>12.0</v>
      </c>
      <c r="Y76" s="19">
        <v>1.0</v>
      </c>
      <c r="Z76" s="19">
        <v>3.0</v>
      </c>
      <c r="AA76" s="19">
        <v>1.0</v>
      </c>
      <c r="AB76" s="19">
        <v>2.0</v>
      </c>
      <c r="AC76" s="19">
        <v>5.0</v>
      </c>
      <c r="AD76" s="19">
        <v>6.0</v>
      </c>
      <c r="AE76" s="19">
        <v>3.0</v>
      </c>
      <c r="AF76" s="19">
        <v>1.0</v>
      </c>
      <c r="AG76" s="19">
        <v>3.0</v>
      </c>
      <c r="AH76" s="19">
        <v>11.0</v>
      </c>
      <c r="AI76" s="19">
        <v>2.0</v>
      </c>
      <c r="AJ76" s="13">
        <f t="shared" si="18"/>
        <v>102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J79" si="19">SUM(E69:E78)</f>
        <v>40</v>
      </c>
      <c r="F79" s="13">
        <f t="shared" si="19"/>
        <v>26</v>
      </c>
      <c r="G79" s="13">
        <f t="shared" si="19"/>
        <v>31</v>
      </c>
      <c r="H79" s="13">
        <f t="shared" si="19"/>
        <v>49</v>
      </c>
      <c r="I79" s="13">
        <f t="shared" si="19"/>
        <v>25</v>
      </c>
      <c r="J79" s="13">
        <f t="shared" si="19"/>
        <v>52</v>
      </c>
      <c r="K79" s="13">
        <f t="shared" si="19"/>
        <v>62</v>
      </c>
      <c r="L79" s="13">
        <f t="shared" si="19"/>
        <v>38</v>
      </c>
      <c r="M79" s="13">
        <f t="shared" si="19"/>
        <v>37</v>
      </c>
      <c r="N79" s="13">
        <f t="shared" si="19"/>
        <v>45</v>
      </c>
      <c r="O79" s="13">
        <f t="shared" si="19"/>
        <v>56</v>
      </c>
      <c r="P79" s="13">
        <f t="shared" si="19"/>
        <v>52</v>
      </c>
      <c r="Q79" s="13">
        <f t="shared" si="19"/>
        <v>69</v>
      </c>
      <c r="R79" s="13">
        <f t="shared" si="19"/>
        <v>55</v>
      </c>
      <c r="S79" s="13">
        <f t="shared" si="19"/>
        <v>30</v>
      </c>
      <c r="T79" s="13">
        <f t="shared" si="19"/>
        <v>39</v>
      </c>
      <c r="U79" s="13">
        <f t="shared" si="19"/>
        <v>59</v>
      </c>
      <c r="V79" s="13">
        <f t="shared" si="19"/>
        <v>26</v>
      </c>
      <c r="W79" s="13">
        <f t="shared" si="19"/>
        <v>25</v>
      </c>
      <c r="X79" s="13">
        <f t="shared" si="19"/>
        <v>36</v>
      </c>
      <c r="Y79" s="13">
        <f t="shared" si="19"/>
        <v>32</v>
      </c>
      <c r="Z79" s="13">
        <f t="shared" si="19"/>
        <v>33</v>
      </c>
      <c r="AA79" s="13">
        <f t="shared" si="19"/>
        <v>41</v>
      </c>
      <c r="AB79" s="13">
        <f t="shared" si="19"/>
        <v>30</v>
      </c>
      <c r="AC79" s="13">
        <f t="shared" si="19"/>
        <v>41</v>
      </c>
      <c r="AD79" s="13">
        <f t="shared" si="19"/>
        <v>133</v>
      </c>
      <c r="AE79" s="13">
        <f t="shared" si="19"/>
        <v>86</v>
      </c>
      <c r="AF79" s="13">
        <f t="shared" si="19"/>
        <v>43</v>
      </c>
      <c r="AG79" s="13">
        <f t="shared" si="19"/>
        <v>36</v>
      </c>
      <c r="AH79" s="13">
        <f t="shared" si="19"/>
        <v>87</v>
      </c>
      <c r="AI79" s="13">
        <f t="shared" si="19"/>
        <v>54</v>
      </c>
      <c r="AJ79" s="13">
        <f t="shared" si="19"/>
        <v>1468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5.0</v>
      </c>
      <c r="F81" s="19">
        <v>1.0</v>
      </c>
      <c r="G81" s="19">
        <v>4.0</v>
      </c>
      <c r="H81" s="19">
        <v>3.0</v>
      </c>
      <c r="I81" s="19">
        <v>3.0</v>
      </c>
      <c r="J81" s="19">
        <v>1.0</v>
      </c>
      <c r="K81" s="19">
        <v>2.0</v>
      </c>
      <c r="L81" s="19">
        <v>4.0</v>
      </c>
      <c r="M81" s="19">
        <v>3.0</v>
      </c>
      <c r="N81" s="19">
        <v>2.0</v>
      </c>
      <c r="O81" s="19">
        <v>2.0</v>
      </c>
      <c r="P81" s="19">
        <v>3.0</v>
      </c>
      <c r="Q81" s="19">
        <v>3.0</v>
      </c>
      <c r="R81" s="19">
        <v>2.0</v>
      </c>
      <c r="S81" s="19">
        <v>10.0</v>
      </c>
      <c r="T81" s="19">
        <v>9.0</v>
      </c>
      <c r="U81" s="19">
        <v>3.0</v>
      </c>
      <c r="V81" s="19">
        <v>1.0</v>
      </c>
      <c r="W81" s="19">
        <v>4.0</v>
      </c>
      <c r="X81" s="19">
        <v>6.0</v>
      </c>
      <c r="Y81" s="19">
        <v>5.0</v>
      </c>
      <c r="Z81" s="19">
        <v>0.0</v>
      </c>
      <c r="AA81" s="19">
        <v>7.0</v>
      </c>
      <c r="AB81" s="19">
        <v>7.0</v>
      </c>
      <c r="AC81" s="19">
        <v>9.0</v>
      </c>
      <c r="AD81" s="19">
        <v>2.0</v>
      </c>
      <c r="AE81" s="19">
        <v>3.0</v>
      </c>
      <c r="AF81" s="19">
        <v>8.0</v>
      </c>
      <c r="AG81" s="19">
        <v>4.0</v>
      </c>
      <c r="AH81" s="19">
        <v>6.0</v>
      </c>
      <c r="AI81" s="19">
        <v>6.0</v>
      </c>
      <c r="AJ81" s="13">
        <f t="shared" ref="AJ81:AJ90" si="20">SUM(E81:AI81)</f>
        <v>128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3.0</v>
      </c>
      <c r="F82" s="19">
        <v>4.0</v>
      </c>
      <c r="G82" s="19">
        <v>3.0</v>
      </c>
      <c r="H82" s="19">
        <v>3.0</v>
      </c>
      <c r="I82" s="19">
        <v>11.0</v>
      </c>
      <c r="J82" s="19">
        <v>3.0</v>
      </c>
      <c r="K82" s="19">
        <v>4.0</v>
      </c>
      <c r="L82" s="19">
        <v>6.0</v>
      </c>
      <c r="M82" s="19">
        <v>8.0</v>
      </c>
      <c r="N82" s="19">
        <v>6.0</v>
      </c>
      <c r="O82" s="19">
        <v>5.0</v>
      </c>
      <c r="P82" s="19">
        <v>7.0</v>
      </c>
      <c r="Q82" s="19">
        <v>13.0</v>
      </c>
      <c r="R82" s="19">
        <v>1.0</v>
      </c>
      <c r="S82" s="19">
        <v>15.0</v>
      </c>
      <c r="T82" s="19">
        <v>15.0</v>
      </c>
      <c r="U82" s="19">
        <v>4.0</v>
      </c>
      <c r="V82" s="19">
        <v>12.0</v>
      </c>
      <c r="W82" s="19">
        <v>8.0</v>
      </c>
      <c r="X82" s="19">
        <v>4.0</v>
      </c>
      <c r="Y82" s="19">
        <v>19.0</v>
      </c>
      <c r="Z82" s="19">
        <v>9.0</v>
      </c>
      <c r="AA82" s="19">
        <v>73.0</v>
      </c>
      <c r="AB82" s="19">
        <v>39.0</v>
      </c>
      <c r="AC82" s="19">
        <v>66.0</v>
      </c>
      <c r="AD82" s="19">
        <v>4.0</v>
      </c>
      <c r="AE82" s="19">
        <v>27.0</v>
      </c>
      <c r="AF82" s="19">
        <v>7.0</v>
      </c>
      <c r="AG82" s="19">
        <v>44.0</v>
      </c>
      <c r="AH82" s="19">
        <v>22.0</v>
      </c>
      <c r="AI82" s="19">
        <v>30.0</v>
      </c>
      <c r="AJ82" s="13">
        <f t="shared" si="20"/>
        <v>475</v>
      </c>
    </row>
    <row r="83" ht="12.75" customHeight="1">
      <c r="A83" s="18"/>
      <c r="B83" s="55">
        <v>2.0</v>
      </c>
      <c r="C83" s="50" t="s">
        <v>66</v>
      </c>
      <c r="D83" s="60"/>
      <c r="E83" s="19">
        <v>6.0</v>
      </c>
      <c r="F83" s="19">
        <v>8.0</v>
      </c>
      <c r="G83" s="19">
        <v>5.0</v>
      </c>
      <c r="H83" s="19">
        <v>9.0</v>
      </c>
      <c r="I83" s="19">
        <v>5.0</v>
      </c>
      <c r="J83" s="19">
        <v>7.0</v>
      </c>
      <c r="K83" s="19">
        <v>23.0</v>
      </c>
      <c r="L83" s="19">
        <v>5.0</v>
      </c>
      <c r="M83" s="19">
        <v>3.0</v>
      </c>
      <c r="N83" s="19">
        <v>4.0</v>
      </c>
      <c r="O83" s="19">
        <v>3.0</v>
      </c>
      <c r="P83" s="19">
        <v>13.0</v>
      </c>
      <c r="Q83" s="19">
        <v>6.0</v>
      </c>
      <c r="R83" s="19">
        <v>4.0</v>
      </c>
      <c r="S83" s="19">
        <v>9.0</v>
      </c>
      <c r="T83" s="19">
        <v>4.0</v>
      </c>
      <c r="U83" s="19">
        <v>6.0</v>
      </c>
      <c r="V83" s="19">
        <v>4.0</v>
      </c>
      <c r="W83" s="19">
        <v>4.0</v>
      </c>
      <c r="X83" s="19">
        <v>16.0</v>
      </c>
      <c r="Y83" s="19">
        <v>7.0</v>
      </c>
      <c r="Z83" s="19">
        <v>7.0</v>
      </c>
      <c r="AA83" s="19">
        <v>2.0</v>
      </c>
      <c r="AB83" s="19">
        <v>6.0</v>
      </c>
      <c r="AC83" s="19">
        <v>1.0</v>
      </c>
      <c r="AD83" s="19">
        <v>1.0</v>
      </c>
      <c r="AE83" s="19">
        <v>9.0</v>
      </c>
      <c r="AF83" s="19">
        <v>19.0</v>
      </c>
      <c r="AG83" s="19">
        <v>6.0</v>
      </c>
      <c r="AH83" s="19">
        <v>1.0</v>
      </c>
      <c r="AI83" s="19">
        <v>4.0</v>
      </c>
      <c r="AJ83" s="13">
        <f t="shared" si="20"/>
        <v>207</v>
      </c>
    </row>
    <row r="84" ht="12.75" customHeight="1">
      <c r="A84" s="18"/>
      <c r="B84" s="55">
        <v>3.0</v>
      </c>
      <c r="C84" s="50" t="s">
        <v>67</v>
      </c>
      <c r="D84" s="60"/>
      <c r="E84" s="19">
        <v>1.0</v>
      </c>
      <c r="F84" s="19">
        <v>1.0</v>
      </c>
      <c r="G84" s="19">
        <v>1.0</v>
      </c>
      <c r="H84" s="19">
        <v>0.0</v>
      </c>
      <c r="I84" s="19">
        <v>0.0</v>
      </c>
      <c r="J84" s="19">
        <v>1.0</v>
      </c>
      <c r="K84" s="19">
        <v>0.0</v>
      </c>
      <c r="L84" s="19">
        <v>0.0</v>
      </c>
      <c r="M84" s="19">
        <v>0.0</v>
      </c>
      <c r="N84" s="19">
        <v>1.0</v>
      </c>
      <c r="O84" s="19">
        <v>0.0</v>
      </c>
      <c r="P84" s="19">
        <v>2.0</v>
      </c>
      <c r="Q84" s="19">
        <v>0.0</v>
      </c>
      <c r="R84" s="19">
        <v>0.0</v>
      </c>
      <c r="S84" s="19">
        <v>2.0</v>
      </c>
      <c r="T84" s="19">
        <v>0.0</v>
      </c>
      <c r="U84" s="19">
        <v>0.0</v>
      </c>
      <c r="V84" s="19">
        <v>2.0</v>
      </c>
      <c r="W84" s="19">
        <v>0.0</v>
      </c>
      <c r="X84" s="19">
        <v>0.0</v>
      </c>
      <c r="Y84" s="19">
        <v>1.0</v>
      </c>
      <c r="Z84" s="19">
        <v>0.0</v>
      </c>
      <c r="AA84" s="19">
        <v>3.0</v>
      </c>
      <c r="AB84" s="19">
        <v>0.0</v>
      </c>
      <c r="AC84" s="19">
        <v>0.0</v>
      </c>
      <c r="AD84" s="19">
        <v>0.0</v>
      </c>
      <c r="AE84" s="19">
        <v>0.0</v>
      </c>
      <c r="AF84" s="19">
        <v>1.0</v>
      </c>
      <c r="AG84" s="19">
        <v>0.0</v>
      </c>
      <c r="AH84" s="19">
        <v>1.0</v>
      </c>
      <c r="AI84" s="19">
        <v>0.0</v>
      </c>
      <c r="AJ84" s="13">
        <f t="shared" si="20"/>
        <v>17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1.0</v>
      </c>
      <c r="H85" s="19">
        <v>1.0</v>
      </c>
      <c r="I85" s="19">
        <v>1.0</v>
      </c>
      <c r="J85" s="19">
        <v>0.0</v>
      </c>
      <c r="K85" s="19">
        <v>0.0</v>
      </c>
      <c r="L85" s="19">
        <v>1.0</v>
      </c>
      <c r="M85" s="19">
        <v>3.0</v>
      </c>
      <c r="N85" s="19">
        <v>0.0</v>
      </c>
      <c r="O85" s="19">
        <v>0.0</v>
      </c>
      <c r="P85" s="19">
        <v>1.0</v>
      </c>
      <c r="Q85" s="19">
        <v>1.0</v>
      </c>
      <c r="R85" s="19">
        <v>0.0</v>
      </c>
      <c r="S85" s="19">
        <v>0.0</v>
      </c>
      <c r="T85" s="19">
        <v>0.0</v>
      </c>
      <c r="U85" s="19">
        <v>3.0</v>
      </c>
      <c r="V85" s="19">
        <v>2.0</v>
      </c>
      <c r="W85" s="19">
        <v>0.0</v>
      </c>
      <c r="X85" s="19">
        <v>0.0</v>
      </c>
      <c r="Y85" s="19">
        <v>2.0</v>
      </c>
      <c r="Z85" s="19">
        <v>0.0</v>
      </c>
      <c r="AA85" s="19">
        <v>0.0</v>
      </c>
      <c r="AB85" s="19">
        <v>2.0</v>
      </c>
      <c r="AC85" s="19">
        <v>0.0</v>
      </c>
      <c r="AD85" s="19">
        <v>1.0</v>
      </c>
      <c r="AE85" s="19">
        <v>1.0</v>
      </c>
      <c r="AF85" s="19">
        <v>2.0</v>
      </c>
      <c r="AG85" s="19">
        <v>1.0</v>
      </c>
      <c r="AH85" s="19">
        <v>0.0</v>
      </c>
      <c r="AI85" s="19">
        <v>0.0</v>
      </c>
      <c r="AJ85" s="13">
        <f t="shared" si="20"/>
        <v>23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1.0</v>
      </c>
      <c r="G86" s="19">
        <v>2.0</v>
      </c>
      <c r="H86" s="19">
        <v>1.0</v>
      </c>
      <c r="I86" s="19">
        <v>2.0</v>
      </c>
      <c r="J86" s="19">
        <v>1.0</v>
      </c>
      <c r="K86" s="19">
        <v>0.0</v>
      </c>
      <c r="L86" s="19">
        <v>0.0</v>
      </c>
      <c r="M86" s="19">
        <v>1.0</v>
      </c>
      <c r="N86" s="19">
        <v>2.0</v>
      </c>
      <c r="O86" s="19">
        <v>0.0</v>
      </c>
      <c r="P86" s="19">
        <v>0.0</v>
      </c>
      <c r="Q86" s="19">
        <v>0.0</v>
      </c>
      <c r="R86" s="19">
        <v>0.0</v>
      </c>
      <c r="S86" s="19">
        <v>1.0</v>
      </c>
      <c r="T86" s="19">
        <v>1.0</v>
      </c>
      <c r="U86" s="19">
        <v>0.0</v>
      </c>
      <c r="V86" s="19">
        <v>0.0</v>
      </c>
      <c r="W86" s="19">
        <v>9.0</v>
      </c>
      <c r="X86" s="19">
        <v>1.0</v>
      </c>
      <c r="Y86" s="19">
        <v>1.0</v>
      </c>
      <c r="Z86" s="19">
        <v>4.0</v>
      </c>
      <c r="AA86" s="19">
        <v>0.0</v>
      </c>
      <c r="AB86" s="19">
        <v>0.0</v>
      </c>
      <c r="AC86" s="19">
        <v>0.0</v>
      </c>
      <c r="AD86" s="19">
        <v>0.0</v>
      </c>
      <c r="AE86" s="19">
        <v>1.0</v>
      </c>
      <c r="AF86" s="19">
        <v>5.0</v>
      </c>
      <c r="AG86" s="19">
        <v>3.0</v>
      </c>
      <c r="AH86" s="19">
        <v>5.0</v>
      </c>
      <c r="AI86" s="19">
        <v>3.0</v>
      </c>
      <c r="AJ86" s="13">
        <f t="shared" si="20"/>
        <v>45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1.0</v>
      </c>
      <c r="S87" s="19">
        <v>0.0</v>
      </c>
      <c r="T87" s="19">
        <v>0.0</v>
      </c>
      <c r="U87" s="19">
        <v>0.0</v>
      </c>
      <c r="V87" s="19">
        <v>2.0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1.0</v>
      </c>
      <c r="AG87" s="19">
        <v>0.0</v>
      </c>
      <c r="AH87" s="19">
        <v>0.0</v>
      </c>
      <c r="AI87" s="19">
        <v>0.0</v>
      </c>
      <c r="AJ87" s="13">
        <f t="shared" si="20"/>
        <v>6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1.0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J91" si="21">SUM(E81:E90)</f>
        <v>16</v>
      </c>
      <c r="F91" s="13">
        <f t="shared" si="21"/>
        <v>15</v>
      </c>
      <c r="G91" s="13">
        <f t="shared" si="21"/>
        <v>16</v>
      </c>
      <c r="H91" s="13">
        <f t="shared" si="21"/>
        <v>17</v>
      </c>
      <c r="I91" s="13">
        <f t="shared" si="21"/>
        <v>23</v>
      </c>
      <c r="J91" s="13">
        <f t="shared" si="21"/>
        <v>13</v>
      </c>
      <c r="K91" s="13">
        <f t="shared" si="21"/>
        <v>29</v>
      </c>
      <c r="L91" s="13">
        <f t="shared" si="21"/>
        <v>17</v>
      </c>
      <c r="M91" s="13">
        <f t="shared" si="21"/>
        <v>18</v>
      </c>
      <c r="N91" s="13">
        <f t="shared" si="21"/>
        <v>15</v>
      </c>
      <c r="O91" s="13">
        <f t="shared" si="21"/>
        <v>10</v>
      </c>
      <c r="P91" s="13">
        <f t="shared" si="21"/>
        <v>26</v>
      </c>
      <c r="Q91" s="13">
        <f t="shared" si="21"/>
        <v>23</v>
      </c>
      <c r="R91" s="13">
        <f t="shared" si="21"/>
        <v>8</v>
      </c>
      <c r="S91" s="13">
        <f t="shared" si="21"/>
        <v>37</v>
      </c>
      <c r="T91" s="13">
        <f t="shared" si="21"/>
        <v>29</v>
      </c>
      <c r="U91" s="13">
        <f t="shared" si="21"/>
        <v>16</v>
      </c>
      <c r="V91" s="13">
        <f t="shared" si="21"/>
        <v>23</v>
      </c>
      <c r="W91" s="13">
        <f t="shared" si="21"/>
        <v>25</v>
      </c>
      <c r="X91" s="13">
        <f t="shared" si="21"/>
        <v>27</v>
      </c>
      <c r="Y91" s="13">
        <f t="shared" si="21"/>
        <v>35</v>
      </c>
      <c r="Z91" s="13">
        <f t="shared" si="21"/>
        <v>20</v>
      </c>
      <c r="AA91" s="13">
        <f t="shared" si="21"/>
        <v>86</v>
      </c>
      <c r="AB91" s="13">
        <f t="shared" si="21"/>
        <v>54</v>
      </c>
      <c r="AC91" s="13">
        <f t="shared" si="21"/>
        <v>76</v>
      </c>
      <c r="AD91" s="13">
        <f t="shared" si="21"/>
        <v>8</v>
      </c>
      <c r="AE91" s="13">
        <f t="shared" si="21"/>
        <v>41</v>
      </c>
      <c r="AF91" s="13">
        <f t="shared" si="21"/>
        <v>43</v>
      </c>
      <c r="AG91" s="13">
        <f t="shared" si="21"/>
        <v>58</v>
      </c>
      <c r="AH91" s="13">
        <f t="shared" si="21"/>
        <v>35</v>
      </c>
      <c r="AI91" s="13">
        <f t="shared" si="21"/>
        <v>43</v>
      </c>
      <c r="AJ91" s="13">
        <f t="shared" si="21"/>
        <v>902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1.0</v>
      </c>
      <c r="G93" s="19">
        <v>4.0</v>
      </c>
      <c r="H93" s="19">
        <v>4.0</v>
      </c>
      <c r="I93" s="19">
        <v>4.0</v>
      </c>
      <c r="J93" s="19">
        <v>4.0</v>
      </c>
      <c r="K93" s="19">
        <v>8.0</v>
      </c>
      <c r="L93" s="19">
        <v>2.0</v>
      </c>
      <c r="M93" s="19">
        <v>2.0</v>
      </c>
      <c r="N93" s="19">
        <v>5.0</v>
      </c>
      <c r="O93" s="19">
        <v>5.0</v>
      </c>
      <c r="P93" s="19">
        <v>14.0</v>
      </c>
      <c r="Q93" s="19">
        <v>2.0</v>
      </c>
      <c r="R93" s="19">
        <v>1.0</v>
      </c>
      <c r="S93" s="19">
        <v>10.0</v>
      </c>
      <c r="T93" s="19">
        <v>1.0</v>
      </c>
      <c r="U93" s="19">
        <v>9.0</v>
      </c>
      <c r="V93" s="19">
        <v>5.0</v>
      </c>
      <c r="W93" s="19">
        <v>1.0</v>
      </c>
      <c r="X93" s="19">
        <v>2.0</v>
      </c>
      <c r="Y93" s="19">
        <v>4.0</v>
      </c>
      <c r="Z93" s="19">
        <v>3.0</v>
      </c>
      <c r="AA93" s="19">
        <v>3.0</v>
      </c>
      <c r="AB93" s="19">
        <v>11.0</v>
      </c>
      <c r="AC93" s="19">
        <v>0.0</v>
      </c>
      <c r="AD93" s="19">
        <v>2.0</v>
      </c>
      <c r="AE93" s="19">
        <v>1.0</v>
      </c>
      <c r="AF93" s="19">
        <v>4.0</v>
      </c>
      <c r="AG93" s="19">
        <v>5.0</v>
      </c>
      <c r="AH93" s="19">
        <v>10.0</v>
      </c>
      <c r="AI93" s="19">
        <v>4.0</v>
      </c>
      <c r="AJ93" s="13">
        <f t="shared" ref="AJ93:AJ102" si="22">SUM(E93:AI93)</f>
        <v>134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4.0</v>
      </c>
      <c r="G94" s="19">
        <v>5.0</v>
      </c>
      <c r="H94" s="19">
        <v>3.0</v>
      </c>
      <c r="I94" s="19">
        <v>5.0</v>
      </c>
      <c r="J94" s="19">
        <v>13.0</v>
      </c>
      <c r="K94" s="19">
        <v>3.0</v>
      </c>
      <c r="L94" s="19">
        <v>1.0</v>
      </c>
      <c r="M94" s="19">
        <v>0.0</v>
      </c>
      <c r="N94" s="19">
        <v>4.0</v>
      </c>
      <c r="O94" s="19">
        <v>5.0</v>
      </c>
      <c r="P94" s="19">
        <v>9.0</v>
      </c>
      <c r="Q94" s="19">
        <v>2.0</v>
      </c>
      <c r="R94" s="19">
        <v>4.0</v>
      </c>
      <c r="S94" s="19">
        <v>7.0</v>
      </c>
      <c r="T94" s="19">
        <v>4.0</v>
      </c>
      <c r="U94" s="19">
        <v>3.0</v>
      </c>
      <c r="V94" s="19">
        <v>3.0</v>
      </c>
      <c r="W94" s="19">
        <v>3.0</v>
      </c>
      <c r="X94" s="19">
        <v>2.0</v>
      </c>
      <c r="Y94" s="19">
        <v>3.0</v>
      </c>
      <c r="Z94" s="19">
        <v>1.0</v>
      </c>
      <c r="AA94" s="19">
        <v>2.0</v>
      </c>
      <c r="AB94" s="19">
        <v>2.0</v>
      </c>
      <c r="AC94" s="19">
        <v>1.0</v>
      </c>
      <c r="AD94" s="19">
        <v>1.0</v>
      </c>
      <c r="AE94" s="19">
        <v>1.0</v>
      </c>
      <c r="AF94" s="19">
        <v>3.0</v>
      </c>
      <c r="AG94" s="19">
        <v>2.0</v>
      </c>
      <c r="AH94" s="19">
        <v>1.0</v>
      </c>
      <c r="AI94" s="19">
        <v>8.0</v>
      </c>
      <c r="AJ94" s="13">
        <f t="shared" si="22"/>
        <v>106</v>
      </c>
    </row>
    <row r="95" ht="12.75" customHeight="1">
      <c r="A95" s="18"/>
      <c r="B95" s="55">
        <v>2.0</v>
      </c>
      <c r="C95" s="50" t="s">
        <v>75</v>
      </c>
      <c r="D95" s="60"/>
      <c r="E95" s="19">
        <v>2.0</v>
      </c>
      <c r="F95" s="19">
        <v>5.0</v>
      </c>
      <c r="G95" s="19">
        <v>4.0</v>
      </c>
      <c r="H95" s="19">
        <v>2.0</v>
      </c>
      <c r="I95" s="19">
        <v>10.0</v>
      </c>
      <c r="J95" s="19">
        <v>43.0</v>
      </c>
      <c r="K95" s="19">
        <v>5.0</v>
      </c>
      <c r="L95" s="19">
        <v>7.0</v>
      </c>
      <c r="M95" s="19">
        <v>0.0</v>
      </c>
      <c r="N95" s="19">
        <v>4.0</v>
      </c>
      <c r="O95" s="19">
        <v>2.0</v>
      </c>
      <c r="P95" s="19">
        <v>1.0</v>
      </c>
      <c r="Q95" s="19">
        <v>5.0</v>
      </c>
      <c r="R95" s="19">
        <v>17.0</v>
      </c>
      <c r="S95" s="19">
        <v>8.0</v>
      </c>
      <c r="T95" s="19">
        <v>1.0</v>
      </c>
      <c r="U95" s="19">
        <v>1.0</v>
      </c>
      <c r="V95" s="19">
        <v>18.0</v>
      </c>
      <c r="W95" s="19">
        <v>8.0</v>
      </c>
      <c r="X95" s="19">
        <v>9.0</v>
      </c>
      <c r="Y95" s="19">
        <v>4.0</v>
      </c>
      <c r="Z95" s="19">
        <v>2.0</v>
      </c>
      <c r="AA95" s="19">
        <v>3.0</v>
      </c>
      <c r="AB95" s="19">
        <v>4.0</v>
      </c>
      <c r="AC95" s="19">
        <v>0.0</v>
      </c>
      <c r="AD95" s="19">
        <v>0.0</v>
      </c>
      <c r="AE95" s="19">
        <v>2.0</v>
      </c>
      <c r="AF95" s="19">
        <v>18.0</v>
      </c>
      <c r="AG95" s="19">
        <v>0.0</v>
      </c>
      <c r="AH95" s="19">
        <v>2.0</v>
      </c>
      <c r="AI95" s="19">
        <v>21.0</v>
      </c>
      <c r="AJ95" s="13">
        <f t="shared" si="22"/>
        <v>208</v>
      </c>
    </row>
    <row r="96" ht="12.75" customHeight="1">
      <c r="A96" s="18"/>
      <c r="B96" s="55">
        <v>3.0</v>
      </c>
      <c r="C96" s="50" t="s">
        <v>76</v>
      </c>
      <c r="D96" s="60"/>
      <c r="E96" s="19">
        <v>1.0</v>
      </c>
      <c r="F96" s="19">
        <v>1.0</v>
      </c>
      <c r="G96" s="19">
        <v>1.0</v>
      </c>
      <c r="H96" s="19">
        <v>3.0</v>
      </c>
      <c r="I96" s="19">
        <v>0.0</v>
      </c>
      <c r="J96" s="19">
        <v>1.0</v>
      </c>
      <c r="K96" s="19">
        <v>2.0</v>
      </c>
      <c r="L96" s="19">
        <v>1.0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1.0</v>
      </c>
      <c r="S96" s="19">
        <v>1.0</v>
      </c>
      <c r="T96" s="19">
        <v>2.0</v>
      </c>
      <c r="U96" s="19">
        <v>0.0</v>
      </c>
      <c r="V96" s="19">
        <v>1.0</v>
      </c>
      <c r="W96" s="19">
        <v>0.0</v>
      </c>
      <c r="X96" s="19">
        <v>0.0</v>
      </c>
      <c r="Y96" s="19">
        <v>1.0</v>
      </c>
      <c r="Z96" s="19">
        <v>0.0</v>
      </c>
      <c r="AA96" s="19">
        <v>2.0</v>
      </c>
      <c r="AB96" s="19">
        <v>1.0</v>
      </c>
      <c r="AC96" s="19">
        <v>0.0</v>
      </c>
      <c r="AD96" s="19">
        <v>1.0</v>
      </c>
      <c r="AE96" s="19">
        <v>1.0</v>
      </c>
      <c r="AF96" s="19">
        <v>0.0</v>
      </c>
      <c r="AG96" s="19">
        <v>1.0</v>
      </c>
      <c r="AH96" s="19">
        <v>0.0</v>
      </c>
      <c r="AI96" s="19">
        <v>1.0</v>
      </c>
      <c r="AJ96" s="13">
        <f t="shared" si="22"/>
        <v>24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1.0</v>
      </c>
      <c r="H97" s="19">
        <v>0.0</v>
      </c>
      <c r="I97" s="19">
        <v>3.0</v>
      </c>
      <c r="J97" s="19">
        <v>1.0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9">
        <v>2.0</v>
      </c>
      <c r="T97" s="19">
        <v>1.0</v>
      </c>
      <c r="U97" s="19">
        <v>2.0</v>
      </c>
      <c r="V97" s="19">
        <v>0.0</v>
      </c>
      <c r="W97" s="19">
        <v>1.0</v>
      </c>
      <c r="X97" s="19">
        <v>0.0</v>
      </c>
      <c r="Y97" s="19">
        <v>0.0</v>
      </c>
      <c r="Z97" s="19">
        <v>0.0</v>
      </c>
      <c r="AA97" s="19">
        <v>1.0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1.0</v>
      </c>
      <c r="AH97" s="19">
        <v>0.0</v>
      </c>
      <c r="AI97" s="19">
        <v>4.0</v>
      </c>
      <c r="AJ97" s="13">
        <f t="shared" si="22"/>
        <v>18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1.0</v>
      </c>
      <c r="G98" s="19">
        <v>0.0</v>
      </c>
      <c r="H98" s="19">
        <v>2.0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1.0</v>
      </c>
      <c r="R98" s="19">
        <v>0.0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1.0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2.0</v>
      </c>
      <c r="AJ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1.0</v>
      </c>
      <c r="P99" s="19">
        <v>1.0</v>
      </c>
      <c r="Q99" s="19">
        <v>1.0</v>
      </c>
      <c r="R99" s="19">
        <v>1.0</v>
      </c>
      <c r="S99" s="19">
        <v>1.0</v>
      </c>
      <c r="T99" s="19">
        <v>0.0</v>
      </c>
      <c r="U99" s="19">
        <v>0.0</v>
      </c>
      <c r="V99" s="19">
        <v>0.0</v>
      </c>
      <c r="W99" s="19">
        <v>1.0</v>
      </c>
      <c r="X99" s="19">
        <v>0.0</v>
      </c>
      <c r="Y99" s="19">
        <v>1.0</v>
      </c>
      <c r="Z99" s="19">
        <v>0.0</v>
      </c>
      <c r="AA99" s="19">
        <v>0.0</v>
      </c>
      <c r="AB99" s="19">
        <v>1.0</v>
      </c>
      <c r="AC99" s="19">
        <v>0.0</v>
      </c>
      <c r="AD99" s="19">
        <v>0.0</v>
      </c>
      <c r="AE99" s="19">
        <v>1.0</v>
      </c>
      <c r="AF99" s="19">
        <v>0.0</v>
      </c>
      <c r="AG99" s="19">
        <v>0.0</v>
      </c>
      <c r="AH99" s="19">
        <v>0.0</v>
      </c>
      <c r="AI99" s="19"/>
      <c r="AJ99" s="13">
        <f t="shared" si="22"/>
        <v>9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2.0</v>
      </c>
      <c r="J100" s="19">
        <v>0.0</v>
      </c>
      <c r="K100" s="19">
        <v>0.0</v>
      </c>
      <c r="L100" s="19">
        <v>0.0</v>
      </c>
      <c r="M100" s="19">
        <v>1.0</v>
      </c>
      <c r="N100" s="19">
        <v>0.0</v>
      </c>
      <c r="O100" s="19">
        <v>1.0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3.0</v>
      </c>
      <c r="V100" s="19">
        <v>0.0</v>
      </c>
      <c r="W100" s="19">
        <v>1.0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1.0</v>
      </c>
      <c r="AE100" s="19">
        <v>0.0</v>
      </c>
      <c r="AF100" s="19">
        <v>1.0</v>
      </c>
      <c r="AG100" s="19">
        <v>0.0</v>
      </c>
      <c r="AH100" s="19">
        <v>0.0</v>
      </c>
      <c r="AI100" s="19"/>
      <c r="AJ100" s="13">
        <f t="shared" si="22"/>
        <v>10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J103" si="23">SUM(E93:E102)</f>
        <v>7</v>
      </c>
      <c r="F103" s="13">
        <f t="shared" si="23"/>
        <v>12</v>
      </c>
      <c r="G103" s="13">
        <f t="shared" si="23"/>
        <v>15</v>
      </c>
      <c r="H103" s="13">
        <f t="shared" si="23"/>
        <v>14</v>
      </c>
      <c r="I103" s="13">
        <f t="shared" si="23"/>
        <v>24</v>
      </c>
      <c r="J103" s="13">
        <f t="shared" si="23"/>
        <v>62</v>
      </c>
      <c r="K103" s="13">
        <f t="shared" si="23"/>
        <v>18</v>
      </c>
      <c r="L103" s="13">
        <f t="shared" si="23"/>
        <v>11</v>
      </c>
      <c r="M103" s="13">
        <f t="shared" si="23"/>
        <v>3</v>
      </c>
      <c r="N103" s="13">
        <f t="shared" si="23"/>
        <v>13</v>
      </c>
      <c r="O103" s="13">
        <f t="shared" si="23"/>
        <v>15</v>
      </c>
      <c r="P103" s="13">
        <f t="shared" si="23"/>
        <v>26</v>
      </c>
      <c r="Q103" s="13">
        <f t="shared" si="23"/>
        <v>11</v>
      </c>
      <c r="R103" s="13">
        <f t="shared" si="23"/>
        <v>25</v>
      </c>
      <c r="S103" s="13">
        <f t="shared" si="23"/>
        <v>30</v>
      </c>
      <c r="T103" s="13">
        <f t="shared" si="23"/>
        <v>9</v>
      </c>
      <c r="U103" s="13">
        <f t="shared" si="23"/>
        <v>18</v>
      </c>
      <c r="V103" s="13">
        <f t="shared" si="23"/>
        <v>27</v>
      </c>
      <c r="W103" s="13">
        <f t="shared" si="23"/>
        <v>15</v>
      </c>
      <c r="X103" s="13">
        <f t="shared" si="23"/>
        <v>13</v>
      </c>
      <c r="Y103" s="13">
        <f t="shared" si="23"/>
        <v>13</v>
      </c>
      <c r="Z103" s="13">
        <f t="shared" si="23"/>
        <v>6</v>
      </c>
      <c r="AA103" s="13">
        <f t="shared" si="23"/>
        <v>11</v>
      </c>
      <c r="AB103" s="13">
        <f t="shared" si="23"/>
        <v>20</v>
      </c>
      <c r="AC103" s="13">
        <f t="shared" si="23"/>
        <v>1</v>
      </c>
      <c r="AD103" s="13">
        <f t="shared" si="23"/>
        <v>5</v>
      </c>
      <c r="AE103" s="13">
        <f t="shared" si="23"/>
        <v>6</v>
      </c>
      <c r="AF103" s="13">
        <f t="shared" si="23"/>
        <v>26</v>
      </c>
      <c r="AG103" s="13">
        <f t="shared" si="23"/>
        <v>9</v>
      </c>
      <c r="AH103" s="13">
        <f t="shared" si="23"/>
        <v>13</v>
      </c>
      <c r="AI103" s="13">
        <f t="shared" si="23"/>
        <v>40</v>
      </c>
      <c r="AJ103" s="13">
        <f t="shared" si="23"/>
        <v>518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1.0</v>
      </c>
      <c r="U105" s="19">
        <v>0.0</v>
      </c>
      <c r="V105" s="19">
        <v>0.0</v>
      </c>
      <c r="W105" s="19">
        <v>1.0</v>
      </c>
      <c r="X105" s="19">
        <v>0.0</v>
      </c>
      <c r="Y105" s="19">
        <v>2.0</v>
      </c>
      <c r="Z105" s="19">
        <v>0.0</v>
      </c>
      <c r="AA105" s="19">
        <v>1.0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2.0</v>
      </c>
      <c r="AG105" s="19">
        <v>0.0</v>
      </c>
      <c r="AH105" s="19">
        <v>0.0</v>
      </c>
      <c r="AI105" s="19"/>
      <c r="AJ105" s="13">
        <f t="shared" ref="AJ105:AJ114" si="24">SUM(E105:AI105)</f>
        <v>8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0.0</v>
      </c>
      <c r="X106" s="19">
        <v>1.0</v>
      </c>
      <c r="Y106" s="19">
        <v>0.0</v>
      </c>
      <c r="Z106" s="19">
        <v>0.0</v>
      </c>
      <c r="AA106" s="19">
        <v>1.0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1.0</v>
      </c>
      <c r="AH106" s="19">
        <v>0.0</v>
      </c>
      <c r="AI106" s="19"/>
      <c r="AJ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1.0</v>
      </c>
      <c r="F107" s="19">
        <v>0.0</v>
      </c>
      <c r="G107" s="19">
        <v>0.0</v>
      </c>
      <c r="H107" s="19">
        <v>2.0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0.0</v>
      </c>
      <c r="Q107" s="19">
        <v>2.0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1.0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/>
      <c r="AJ107" s="13">
        <f t="shared" si="24"/>
        <v>8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1.0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1.0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/>
      <c r="AJ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1.0</v>
      </c>
      <c r="AF109" s="19">
        <v>0.0</v>
      </c>
      <c r="AG109" s="19">
        <v>0.0</v>
      </c>
      <c r="AH109" s="19">
        <v>0.0</v>
      </c>
      <c r="AI109" s="19"/>
      <c r="AJ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1.0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/>
      <c r="AJ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1.0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/>
      <c r="AJ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1.0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/>
      <c r="AJ112" s="13">
        <f t="shared" si="24"/>
        <v>1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J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3</v>
      </c>
      <c r="I115" s="13">
        <f t="shared" si="25"/>
        <v>2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4</v>
      </c>
      <c r="R115" s="13">
        <f t="shared" si="25"/>
        <v>0</v>
      </c>
      <c r="S115" s="13">
        <f t="shared" si="25"/>
        <v>0</v>
      </c>
      <c r="T115" s="13">
        <f t="shared" si="25"/>
        <v>2</v>
      </c>
      <c r="U115" s="13">
        <f t="shared" si="25"/>
        <v>1</v>
      </c>
      <c r="V115" s="13">
        <f t="shared" si="25"/>
        <v>2</v>
      </c>
      <c r="W115" s="13">
        <f t="shared" si="25"/>
        <v>2</v>
      </c>
      <c r="X115" s="13">
        <f t="shared" si="25"/>
        <v>1</v>
      </c>
      <c r="Y115" s="13">
        <f t="shared" si="25"/>
        <v>2</v>
      </c>
      <c r="Z115" s="13">
        <f t="shared" si="25"/>
        <v>0</v>
      </c>
      <c r="AA115" s="13">
        <f t="shared" si="25"/>
        <v>2</v>
      </c>
      <c r="AB115" s="13">
        <f t="shared" si="25"/>
        <v>1</v>
      </c>
      <c r="AC115" s="13">
        <f t="shared" si="25"/>
        <v>0</v>
      </c>
      <c r="AD115" s="13">
        <f t="shared" si="25"/>
        <v>0</v>
      </c>
      <c r="AE115" s="13">
        <f t="shared" si="25"/>
        <v>1</v>
      </c>
      <c r="AF115" s="13">
        <f t="shared" si="25"/>
        <v>2</v>
      </c>
      <c r="AG115" s="13">
        <f t="shared" si="25"/>
        <v>1</v>
      </c>
      <c r="AH115" s="13">
        <f t="shared" si="25"/>
        <v>0</v>
      </c>
      <c r="AI115" s="13">
        <f t="shared" si="25"/>
        <v>0</v>
      </c>
      <c r="AJ115" s="13">
        <f t="shared" si="25"/>
        <v>30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3.0</v>
      </c>
      <c r="F117" s="19">
        <v>1.0</v>
      </c>
      <c r="G117" s="19">
        <v>3.0</v>
      </c>
      <c r="H117" s="19">
        <v>1.0</v>
      </c>
      <c r="I117" s="19">
        <v>0.0</v>
      </c>
      <c r="J117" s="19">
        <v>0.0</v>
      </c>
      <c r="K117" s="19">
        <v>1.0</v>
      </c>
      <c r="L117" s="19">
        <v>1.0</v>
      </c>
      <c r="M117" s="19">
        <v>0.0</v>
      </c>
      <c r="N117" s="19">
        <v>6.0</v>
      </c>
      <c r="O117" s="19">
        <v>0.0</v>
      </c>
      <c r="P117" s="19">
        <v>0.0</v>
      </c>
      <c r="Q117" s="19">
        <v>1.0</v>
      </c>
      <c r="R117" s="19">
        <v>5.0</v>
      </c>
      <c r="S117" s="19">
        <v>0.0</v>
      </c>
      <c r="T117" s="19">
        <v>1.0</v>
      </c>
      <c r="U117" s="19">
        <v>2.0</v>
      </c>
      <c r="V117" s="19">
        <v>0.0</v>
      </c>
      <c r="W117" s="19">
        <v>1.0</v>
      </c>
      <c r="X117" s="19">
        <v>1.0</v>
      </c>
      <c r="Y117" s="19">
        <v>1.0</v>
      </c>
      <c r="Z117" s="19">
        <v>1.0</v>
      </c>
      <c r="AA117" s="19">
        <v>1.0</v>
      </c>
      <c r="AB117" s="19">
        <v>1.0</v>
      </c>
      <c r="AC117" s="19">
        <v>0.0</v>
      </c>
      <c r="AD117" s="19">
        <v>1.0</v>
      </c>
      <c r="AE117" s="19">
        <v>3.0</v>
      </c>
      <c r="AF117" s="19">
        <v>3.0</v>
      </c>
      <c r="AG117" s="19">
        <v>4.0</v>
      </c>
      <c r="AH117" s="19">
        <v>0.0</v>
      </c>
      <c r="AI117" s="19">
        <v>1.0</v>
      </c>
      <c r="AJ117" s="13">
        <f t="shared" ref="AJ117:AJ126" si="26">SUM(E117:AI117)</f>
        <v>43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9">
        <v>2.0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1.0</v>
      </c>
      <c r="AH118" s="19">
        <v>0.0</v>
      </c>
      <c r="AI118" s="19">
        <v>2.0</v>
      </c>
      <c r="AJ118" s="13">
        <f t="shared" si="26"/>
        <v>8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2.0</v>
      </c>
      <c r="Q119" s="19">
        <v>0.0</v>
      </c>
      <c r="R119" s="19">
        <v>1.0</v>
      </c>
      <c r="S119" s="19">
        <v>0.0</v>
      </c>
      <c r="T119" s="19">
        <v>0.0</v>
      </c>
      <c r="U119" s="19">
        <v>1.0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1.0</v>
      </c>
      <c r="AF119" s="19">
        <v>0.0</v>
      </c>
      <c r="AG119" s="19">
        <v>1.0</v>
      </c>
      <c r="AH119" s="19">
        <v>0.0</v>
      </c>
      <c r="AI119" s="19">
        <v>0.0</v>
      </c>
      <c r="AJ119" s="13">
        <f t="shared" si="26"/>
        <v>7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1.0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1.0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1.0</v>
      </c>
      <c r="AF120" s="19">
        <v>0.0</v>
      </c>
      <c r="AG120" s="19">
        <v>0.0</v>
      </c>
      <c r="AH120" s="19">
        <v>0.0</v>
      </c>
      <c r="AI120" s="19"/>
      <c r="AJ120" s="13">
        <f t="shared" si="26"/>
        <v>5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J127" si="27">SUM(E117:E126)</f>
        <v>3</v>
      </c>
      <c r="F127" s="13">
        <f t="shared" si="27"/>
        <v>1</v>
      </c>
      <c r="G127" s="13">
        <f t="shared" si="27"/>
        <v>3</v>
      </c>
      <c r="H127" s="13">
        <f t="shared" si="27"/>
        <v>2</v>
      </c>
      <c r="I127" s="13">
        <f t="shared" si="27"/>
        <v>0</v>
      </c>
      <c r="J127" s="13">
        <f t="shared" si="27"/>
        <v>0</v>
      </c>
      <c r="K127" s="13">
        <f t="shared" si="27"/>
        <v>2</v>
      </c>
      <c r="L127" s="13">
        <f t="shared" si="27"/>
        <v>2</v>
      </c>
      <c r="M127" s="13">
        <f t="shared" si="27"/>
        <v>0</v>
      </c>
      <c r="N127" s="13">
        <f t="shared" si="27"/>
        <v>7</v>
      </c>
      <c r="O127" s="13">
        <f t="shared" si="27"/>
        <v>0</v>
      </c>
      <c r="P127" s="13">
        <f t="shared" si="27"/>
        <v>2</v>
      </c>
      <c r="Q127" s="13">
        <f t="shared" si="27"/>
        <v>2</v>
      </c>
      <c r="R127" s="13">
        <f t="shared" si="27"/>
        <v>6</v>
      </c>
      <c r="S127" s="13">
        <f t="shared" si="27"/>
        <v>1</v>
      </c>
      <c r="T127" s="13">
        <f t="shared" si="27"/>
        <v>1</v>
      </c>
      <c r="U127" s="13">
        <f t="shared" si="27"/>
        <v>3</v>
      </c>
      <c r="V127" s="13">
        <f t="shared" si="27"/>
        <v>1</v>
      </c>
      <c r="W127" s="13">
        <f t="shared" si="27"/>
        <v>1</v>
      </c>
      <c r="X127" s="13">
        <f t="shared" si="27"/>
        <v>2</v>
      </c>
      <c r="Y127" s="13">
        <f t="shared" si="27"/>
        <v>3</v>
      </c>
      <c r="Z127" s="13">
        <f t="shared" si="27"/>
        <v>1</v>
      </c>
      <c r="AA127" s="13">
        <f t="shared" si="27"/>
        <v>1</v>
      </c>
      <c r="AB127" s="13">
        <f t="shared" si="27"/>
        <v>1</v>
      </c>
      <c r="AC127" s="13">
        <f t="shared" si="27"/>
        <v>0</v>
      </c>
      <c r="AD127" s="13">
        <f t="shared" si="27"/>
        <v>1</v>
      </c>
      <c r="AE127" s="13">
        <f t="shared" si="27"/>
        <v>5</v>
      </c>
      <c r="AF127" s="13">
        <f t="shared" si="27"/>
        <v>3</v>
      </c>
      <c r="AG127" s="13">
        <f t="shared" si="27"/>
        <v>6</v>
      </c>
      <c r="AH127" s="13">
        <f t="shared" si="27"/>
        <v>0</v>
      </c>
      <c r="AI127" s="13">
        <f t="shared" si="27"/>
        <v>3</v>
      </c>
      <c r="AJ127" s="13">
        <f t="shared" si="27"/>
        <v>63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1.0</v>
      </c>
      <c r="N129" s="19">
        <v>0.0</v>
      </c>
      <c r="O129" s="19">
        <v>0.0</v>
      </c>
      <c r="P129" s="19">
        <v>1.0</v>
      </c>
      <c r="Q129" s="19">
        <v>1.0</v>
      </c>
      <c r="R129" s="19">
        <v>1.0</v>
      </c>
      <c r="S129" s="19">
        <v>1.0</v>
      </c>
      <c r="T129" s="19">
        <v>1.0</v>
      </c>
      <c r="U129" s="19">
        <v>0.0</v>
      </c>
      <c r="V129" s="19">
        <v>0.0</v>
      </c>
      <c r="W129" s="19">
        <v>1.0</v>
      </c>
      <c r="X129" s="19">
        <v>1.0</v>
      </c>
      <c r="Y129" s="19">
        <v>0.0</v>
      </c>
      <c r="Z129" s="19">
        <v>0.0</v>
      </c>
      <c r="AA129" s="19">
        <v>0.0</v>
      </c>
      <c r="AB129" s="19">
        <v>1.0</v>
      </c>
      <c r="AC129" s="19">
        <v>0.0</v>
      </c>
      <c r="AD129" s="19">
        <v>0.0</v>
      </c>
      <c r="AE129" s="19">
        <v>1.0</v>
      </c>
      <c r="AF129" s="19">
        <v>0.0</v>
      </c>
      <c r="AG129" s="19">
        <v>0.0</v>
      </c>
      <c r="AH129" s="19">
        <v>0.0</v>
      </c>
      <c r="AI129" s="19"/>
      <c r="AJ129" s="13">
        <f t="shared" ref="AJ129:AJ138" si="28">SUM(E129:AI129)</f>
        <v>12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2.0</v>
      </c>
      <c r="G130" s="19"/>
      <c r="H130" s="19">
        <v>2.0</v>
      </c>
      <c r="I130" s="19">
        <v>1.0</v>
      </c>
      <c r="J130" s="19">
        <v>1.0</v>
      </c>
      <c r="K130" s="19">
        <v>0.0</v>
      </c>
      <c r="L130" s="19">
        <v>1.0</v>
      </c>
      <c r="M130" s="19">
        <v>5.0</v>
      </c>
      <c r="N130" s="19">
        <v>4.0</v>
      </c>
      <c r="O130" s="19">
        <v>2.0</v>
      </c>
      <c r="P130" s="19">
        <v>0.0</v>
      </c>
      <c r="Q130" s="19">
        <v>0.0</v>
      </c>
      <c r="R130" s="19">
        <v>3.0</v>
      </c>
      <c r="S130" s="19">
        <v>1.0</v>
      </c>
      <c r="T130" s="19">
        <v>3.0</v>
      </c>
      <c r="U130" s="19">
        <v>1.0</v>
      </c>
      <c r="V130" s="19">
        <v>3.0</v>
      </c>
      <c r="W130" s="19">
        <v>21.0</v>
      </c>
      <c r="X130" s="19">
        <v>11.0</v>
      </c>
      <c r="Y130" s="19">
        <v>3.0</v>
      </c>
      <c r="Z130" s="19">
        <v>0.0</v>
      </c>
      <c r="AA130" s="19">
        <v>1.0</v>
      </c>
      <c r="AB130" s="19">
        <v>1.0</v>
      </c>
      <c r="AC130" s="19">
        <v>2.0</v>
      </c>
      <c r="AD130" s="19">
        <v>1.0</v>
      </c>
      <c r="AE130" s="19">
        <v>1.0</v>
      </c>
      <c r="AF130" s="19">
        <v>0.0</v>
      </c>
      <c r="AG130" s="19">
        <v>0.0</v>
      </c>
      <c r="AH130" s="19">
        <v>0.0</v>
      </c>
      <c r="AI130" s="19"/>
      <c r="AJ130" s="13">
        <f t="shared" si="28"/>
        <v>70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1.0</v>
      </c>
      <c r="H131" s="19">
        <v>1.0</v>
      </c>
      <c r="I131" s="19">
        <v>0.0</v>
      </c>
      <c r="J131" s="19">
        <v>1.0</v>
      </c>
      <c r="K131" s="19">
        <v>1.0</v>
      </c>
      <c r="L131" s="19">
        <v>1.0</v>
      </c>
      <c r="M131" s="19">
        <v>2.0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2.0</v>
      </c>
      <c r="T131" s="19">
        <v>0.0</v>
      </c>
      <c r="U131" s="19">
        <v>1.0</v>
      </c>
      <c r="V131" s="19">
        <v>1.0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1.0</v>
      </c>
      <c r="AF131" s="19">
        <v>0.0</v>
      </c>
      <c r="AG131" s="19">
        <v>2.0</v>
      </c>
      <c r="AH131" s="19">
        <v>0.0</v>
      </c>
      <c r="AI131" s="19"/>
      <c r="AJ131" s="13">
        <f t="shared" si="28"/>
        <v>15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1.0</v>
      </c>
      <c r="AH132" s="19">
        <v>0.0</v>
      </c>
      <c r="AI132" s="19"/>
      <c r="AJ132" s="13">
        <f t="shared" si="28"/>
        <v>4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/>
      <c r="AJ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/>
      <c r="AJ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1.0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1.0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1.0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/>
      <c r="AJ135" s="13">
        <f t="shared" si="28"/>
        <v>4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/>
      <c r="AJ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J139" si="29">SUM(E129:E138)</f>
        <v>0</v>
      </c>
      <c r="F139" s="13">
        <f t="shared" si="29"/>
        <v>5</v>
      </c>
      <c r="G139" s="13">
        <f t="shared" si="29"/>
        <v>2</v>
      </c>
      <c r="H139" s="13">
        <f t="shared" si="29"/>
        <v>3</v>
      </c>
      <c r="I139" s="13">
        <f t="shared" si="29"/>
        <v>1</v>
      </c>
      <c r="J139" s="13">
        <f t="shared" si="29"/>
        <v>3</v>
      </c>
      <c r="K139" s="13">
        <f t="shared" si="29"/>
        <v>1</v>
      </c>
      <c r="L139" s="13">
        <f t="shared" si="29"/>
        <v>2</v>
      </c>
      <c r="M139" s="13">
        <f t="shared" si="29"/>
        <v>9</v>
      </c>
      <c r="N139" s="13">
        <f t="shared" si="29"/>
        <v>5</v>
      </c>
      <c r="O139" s="13">
        <f t="shared" si="29"/>
        <v>3</v>
      </c>
      <c r="P139" s="13">
        <f t="shared" si="29"/>
        <v>1</v>
      </c>
      <c r="Q139" s="13">
        <f t="shared" si="29"/>
        <v>1</v>
      </c>
      <c r="R139" s="13">
        <f t="shared" si="29"/>
        <v>5</v>
      </c>
      <c r="S139" s="13">
        <f t="shared" si="29"/>
        <v>4</v>
      </c>
      <c r="T139" s="13">
        <f t="shared" si="29"/>
        <v>4</v>
      </c>
      <c r="U139" s="13">
        <f t="shared" si="29"/>
        <v>2</v>
      </c>
      <c r="V139" s="13">
        <f t="shared" si="29"/>
        <v>4</v>
      </c>
      <c r="W139" s="13">
        <f t="shared" si="29"/>
        <v>23</v>
      </c>
      <c r="X139" s="13">
        <f t="shared" si="29"/>
        <v>12</v>
      </c>
      <c r="Y139" s="13">
        <f t="shared" si="29"/>
        <v>3</v>
      </c>
      <c r="Z139" s="13">
        <f t="shared" si="29"/>
        <v>0</v>
      </c>
      <c r="AA139" s="13">
        <f t="shared" si="29"/>
        <v>1</v>
      </c>
      <c r="AB139" s="13">
        <f t="shared" si="29"/>
        <v>2</v>
      </c>
      <c r="AC139" s="13">
        <f t="shared" si="29"/>
        <v>3</v>
      </c>
      <c r="AD139" s="13">
        <f t="shared" si="29"/>
        <v>1</v>
      </c>
      <c r="AE139" s="13">
        <f t="shared" si="29"/>
        <v>3</v>
      </c>
      <c r="AF139" s="13">
        <f t="shared" si="29"/>
        <v>0</v>
      </c>
      <c r="AG139" s="13">
        <f t="shared" si="29"/>
        <v>3</v>
      </c>
      <c r="AH139" s="13">
        <f t="shared" si="29"/>
        <v>0</v>
      </c>
      <c r="AI139" s="13">
        <f t="shared" si="29"/>
        <v>0</v>
      </c>
      <c r="AJ139" s="13">
        <f t="shared" si="29"/>
        <v>106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/>
      <c r="AJ141" s="13">
        <f t="shared" ref="AJ141:AJ150" si="30">SUM(E141:AI141)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1.0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1.0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1.0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1.0</v>
      </c>
      <c r="AG142" s="19">
        <v>0.0</v>
      </c>
      <c r="AH142" s="19">
        <v>0.0</v>
      </c>
      <c r="AI142" s="19"/>
      <c r="AJ142" s="13">
        <f t="shared" si="30"/>
        <v>4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>
        <v>1.0</v>
      </c>
      <c r="AJ144" s="13">
        <f t="shared" si="30"/>
        <v>1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>
        <v>1.0</v>
      </c>
      <c r="AF147" s="19">
        <v>1.0</v>
      </c>
      <c r="AG147" s="19"/>
      <c r="AH147" s="19"/>
      <c r="AI147" s="19"/>
      <c r="AJ147" s="13">
        <f t="shared" si="30"/>
        <v>2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>
        <v>1.0</v>
      </c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3">
        <f t="shared" si="30"/>
        <v>1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J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1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1</v>
      </c>
      <c r="AF151" s="13">
        <f t="shared" si="31"/>
        <v>2</v>
      </c>
      <c r="AG151" s="13">
        <f t="shared" si="31"/>
        <v>0</v>
      </c>
      <c r="AH151" s="13">
        <f t="shared" si="31"/>
        <v>0</v>
      </c>
      <c r="AI151" s="13">
        <f t="shared" si="31"/>
        <v>1</v>
      </c>
      <c r="AJ151" s="13">
        <f t="shared" si="31"/>
        <v>9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1.0</v>
      </c>
      <c r="AC153" s="19">
        <v>0.0</v>
      </c>
      <c r="AD153" s="19">
        <v>0.0</v>
      </c>
      <c r="AE153" s="19">
        <v>0.0</v>
      </c>
      <c r="AF153" s="19">
        <v>1.0</v>
      </c>
      <c r="AG153" s="19">
        <v>0.0</v>
      </c>
      <c r="AH153" s="19">
        <v>0.0</v>
      </c>
      <c r="AI153" s="19"/>
      <c r="AJ153" s="13">
        <f t="shared" ref="AJ153:AJ162" si="32">SUM(E153:AI153)</f>
        <v>4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1.0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1.0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1.0</v>
      </c>
      <c r="AJ154" s="13">
        <f t="shared" si="32"/>
        <v>5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1.0</v>
      </c>
      <c r="L155" s="19">
        <v>0.0</v>
      </c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/>
      <c r="AJ155" s="13">
        <f t="shared" si="32"/>
        <v>2</v>
      </c>
    </row>
    <row r="156" ht="12.75" customHeight="1">
      <c r="A156" s="18"/>
      <c r="B156" s="55">
        <v>3.0</v>
      </c>
      <c r="C156" s="66" t="s">
        <v>117</v>
      </c>
      <c r="D156" s="60"/>
      <c r="E156" s="8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/>
      <c r="AJ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>
        <v>0.0</v>
      </c>
      <c r="U157" s="19">
        <v>0.0</v>
      </c>
      <c r="V157" s="19">
        <v>0.0</v>
      </c>
      <c r="W157" s="19">
        <v>1.0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/>
      <c r="AJ157" s="13">
        <f t="shared" si="32"/>
        <v>1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3">
        <f t="shared" si="32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3">
        <f t="shared" si="32"/>
        <v>0</v>
      </c>
    </row>
    <row r="160" ht="12.75" customHeight="1">
      <c r="A160" s="18"/>
      <c r="B160" s="56"/>
      <c r="C160" s="57"/>
      <c r="D160" s="61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3">
        <f t="shared" si="32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3">
        <f t="shared" si="32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J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1</v>
      </c>
      <c r="L163" s="13">
        <f t="shared" si="33"/>
        <v>1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1</v>
      </c>
      <c r="AG163" s="13">
        <f t="shared" si="33"/>
        <v>0</v>
      </c>
      <c r="AH163" s="13">
        <f t="shared" si="33"/>
        <v>0</v>
      </c>
      <c r="AI163" s="13">
        <f t="shared" si="33"/>
        <v>1</v>
      </c>
      <c r="AJ163" s="13">
        <f t="shared" si="33"/>
        <v>12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1.0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1.0</v>
      </c>
      <c r="AE165" s="19">
        <v>0.0</v>
      </c>
      <c r="AF165" s="19">
        <v>2.0</v>
      </c>
      <c r="AG165" s="19">
        <v>1.0</v>
      </c>
      <c r="AH165" s="19">
        <v>0.0</v>
      </c>
      <c r="AI165" s="19"/>
      <c r="AJ165" s="13">
        <f t="shared" ref="AJ165:AJ174" si="34">SUM(E165:AI165)</f>
        <v>8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1.0</v>
      </c>
      <c r="G166" s="19">
        <v>1.0</v>
      </c>
      <c r="H166" s="19">
        <v>1.0</v>
      </c>
      <c r="I166" s="19">
        <v>0.0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0.0</v>
      </c>
      <c r="U166" s="19">
        <v>1.0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1.0</v>
      </c>
      <c r="AE166" s="19">
        <v>0.0</v>
      </c>
      <c r="AF166" s="19">
        <v>0.0</v>
      </c>
      <c r="AG166" s="19">
        <v>0.0</v>
      </c>
      <c r="AH166" s="19">
        <v>0.0</v>
      </c>
      <c r="AI166" s="19"/>
      <c r="AJ166" s="13">
        <f t="shared" si="34"/>
        <v>7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1.0</v>
      </c>
      <c r="AG167" s="19">
        <v>0.0</v>
      </c>
      <c r="AH167" s="19">
        <v>0.0</v>
      </c>
      <c r="AI167" s="19"/>
      <c r="AJ167" s="13">
        <f t="shared" si="34"/>
        <v>2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1.0</v>
      </c>
      <c r="AH168" s="19">
        <v>0.0</v>
      </c>
      <c r="AI168" s="19"/>
      <c r="AJ168" s="13">
        <f t="shared" si="34"/>
        <v>2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1.0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1.0</v>
      </c>
      <c r="AF169" s="19">
        <v>0.0</v>
      </c>
      <c r="AG169" s="19">
        <v>0.0</v>
      </c>
      <c r="AH169" s="19">
        <v>0.0</v>
      </c>
      <c r="AI169" s="19"/>
      <c r="AJ169" s="13">
        <f t="shared" si="34"/>
        <v>2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1.0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1.0</v>
      </c>
      <c r="AJ170" s="13">
        <f t="shared" si="34"/>
        <v>2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/>
      <c r="AJ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/>
      <c r="AJ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J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2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2</v>
      </c>
      <c r="Q175" s="13">
        <f t="shared" si="35"/>
        <v>1</v>
      </c>
      <c r="R175" s="13">
        <f t="shared" si="35"/>
        <v>0</v>
      </c>
      <c r="S175" s="13">
        <f t="shared" si="35"/>
        <v>2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2</v>
      </c>
      <c r="AE175" s="13">
        <f t="shared" si="35"/>
        <v>1</v>
      </c>
      <c r="AF175" s="13">
        <f t="shared" si="35"/>
        <v>3</v>
      </c>
      <c r="AG175" s="13">
        <f t="shared" si="35"/>
        <v>2</v>
      </c>
      <c r="AH175" s="13">
        <f t="shared" si="35"/>
        <v>0</v>
      </c>
      <c r="AI175" s="13">
        <f t="shared" si="35"/>
        <v>1</v>
      </c>
      <c r="AJ175" s="13">
        <f t="shared" si="35"/>
        <v>23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1.0</v>
      </c>
      <c r="H177" s="19">
        <v>3.0</v>
      </c>
      <c r="I177" s="19">
        <v>0.0</v>
      </c>
      <c r="J177" s="19">
        <v>0.0</v>
      </c>
      <c r="K177" s="19">
        <v>0.0</v>
      </c>
      <c r="L177" s="19">
        <v>1.0</v>
      </c>
      <c r="M177" s="19">
        <v>1.0</v>
      </c>
      <c r="N177" s="19">
        <v>0.0</v>
      </c>
      <c r="O177" s="19">
        <v>0.0</v>
      </c>
      <c r="P177" s="19">
        <v>2.0</v>
      </c>
      <c r="Q177" s="19">
        <v>1.0</v>
      </c>
      <c r="R177" s="19">
        <v>1.0</v>
      </c>
      <c r="S177" s="19">
        <v>0.0</v>
      </c>
      <c r="T177" s="19">
        <v>0.0</v>
      </c>
      <c r="U177" s="19">
        <v>1.0</v>
      </c>
      <c r="V177" s="19">
        <v>0.0</v>
      </c>
      <c r="W177" s="19">
        <v>2.0</v>
      </c>
      <c r="X177" s="19">
        <v>0.0</v>
      </c>
      <c r="Y177" s="19">
        <v>0.0</v>
      </c>
      <c r="Z177" s="19">
        <v>1.0</v>
      </c>
      <c r="AA177" s="19">
        <v>0.0</v>
      </c>
      <c r="AB177" s="19">
        <v>0.0</v>
      </c>
      <c r="AC177" s="19">
        <v>0.0</v>
      </c>
      <c r="AD177" s="19">
        <v>1.0</v>
      </c>
      <c r="AE177" s="19">
        <v>1.0</v>
      </c>
      <c r="AF177" s="19">
        <v>0.0</v>
      </c>
      <c r="AG177" s="19">
        <v>0.0</v>
      </c>
      <c r="AH177" s="19">
        <v>3.0</v>
      </c>
      <c r="AI177" s="19">
        <v>1.0</v>
      </c>
      <c r="AJ177" s="13">
        <f t="shared" ref="AJ177:AJ186" si="36">SUM(E177:AI177)</f>
        <v>21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1.0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3.0</v>
      </c>
      <c r="AH178" s="19">
        <v>0.0</v>
      </c>
      <c r="AI178" s="19"/>
      <c r="AJ178" s="13">
        <f t="shared" si="36"/>
        <v>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2.0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9">
        <v>1.0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1.0</v>
      </c>
      <c r="V179" s="19">
        <v>2.0</v>
      </c>
      <c r="W179" s="19">
        <v>1.0</v>
      </c>
      <c r="X179" s="19">
        <v>0.0</v>
      </c>
      <c r="Y179" s="19">
        <v>0.0</v>
      </c>
      <c r="Z179" s="19">
        <v>1.0</v>
      </c>
      <c r="AA179" s="19">
        <v>0.0</v>
      </c>
      <c r="AB179" s="19">
        <v>0.0</v>
      </c>
      <c r="AC179" s="19">
        <v>1.0</v>
      </c>
      <c r="AD179" s="19">
        <v>0.0</v>
      </c>
      <c r="AE179" s="19">
        <v>1.0</v>
      </c>
      <c r="AF179" s="19">
        <v>0.0</v>
      </c>
      <c r="AG179" s="19">
        <v>1.0</v>
      </c>
      <c r="AH179" s="19">
        <v>0.0</v>
      </c>
      <c r="AI179" s="19">
        <v>1.0</v>
      </c>
      <c r="AJ179" s="13">
        <f t="shared" si="36"/>
        <v>14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2.0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/>
      <c r="AJ180" s="13">
        <f t="shared" si="36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1.0</v>
      </c>
      <c r="AG181" s="19">
        <v>1.0</v>
      </c>
      <c r="AH181" s="19">
        <v>0.0</v>
      </c>
      <c r="AI181" s="19"/>
      <c r="AJ181" s="13">
        <f t="shared" si="36"/>
        <v>3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1.0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/>
      <c r="AJ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/>
      <c r="AJ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/>
      <c r="AJ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J187" si="37">SUM(E177:E186)</f>
        <v>0</v>
      </c>
      <c r="F187" s="13">
        <f t="shared" si="37"/>
        <v>1</v>
      </c>
      <c r="G187" s="13">
        <f t="shared" si="37"/>
        <v>1</v>
      </c>
      <c r="H187" s="13">
        <f t="shared" si="37"/>
        <v>3</v>
      </c>
      <c r="I187" s="13">
        <f t="shared" si="37"/>
        <v>3</v>
      </c>
      <c r="J187" s="13">
        <f t="shared" si="37"/>
        <v>0</v>
      </c>
      <c r="K187" s="13">
        <f t="shared" si="37"/>
        <v>0</v>
      </c>
      <c r="L187" s="13">
        <f t="shared" si="37"/>
        <v>1</v>
      </c>
      <c r="M187" s="13">
        <f t="shared" si="37"/>
        <v>2</v>
      </c>
      <c r="N187" s="13">
        <f t="shared" si="37"/>
        <v>0</v>
      </c>
      <c r="O187" s="13">
        <f t="shared" si="37"/>
        <v>1</v>
      </c>
      <c r="P187" s="13">
        <f t="shared" si="37"/>
        <v>2</v>
      </c>
      <c r="Q187" s="13">
        <f t="shared" si="37"/>
        <v>1</v>
      </c>
      <c r="R187" s="13">
        <f t="shared" si="37"/>
        <v>1</v>
      </c>
      <c r="S187" s="13">
        <f t="shared" si="37"/>
        <v>1</v>
      </c>
      <c r="T187" s="13">
        <f t="shared" si="37"/>
        <v>1</v>
      </c>
      <c r="U187" s="13">
        <f t="shared" si="37"/>
        <v>3</v>
      </c>
      <c r="V187" s="13">
        <f t="shared" si="37"/>
        <v>5</v>
      </c>
      <c r="W187" s="13">
        <f t="shared" si="37"/>
        <v>3</v>
      </c>
      <c r="X187" s="13">
        <f t="shared" si="37"/>
        <v>0</v>
      </c>
      <c r="Y187" s="13">
        <f t="shared" si="37"/>
        <v>0</v>
      </c>
      <c r="Z187" s="13">
        <f t="shared" si="37"/>
        <v>2</v>
      </c>
      <c r="AA187" s="13">
        <f t="shared" si="37"/>
        <v>0</v>
      </c>
      <c r="AB187" s="13">
        <f t="shared" si="37"/>
        <v>0</v>
      </c>
      <c r="AC187" s="13">
        <f t="shared" si="37"/>
        <v>1</v>
      </c>
      <c r="AD187" s="13">
        <f t="shared" si="37"/>
        <v>1</v>
      </c>
      <c r="AE187" s="13">
        <f t="shared" si="37"/>
        <v>2</v>
      </c>
      <c r="AF187" s="13">
        <f t="shared" si="37"/>
        <v>1</v>
      </c>
      <c r="AG187" s="13">
        <f t="shared" si="37"/>
        <v>5</v>
      </c>
      <c r="AH187" s="13">
        <f t="shared" si="37"/>
        <v>3</v>
      </c>
      <c r="AI187" s="13">
        <f t="shared" si="37"/>
        <v>2</v>
      </c>
      <c r="AJ187" s="13">
        <f t="shared" si="37"/>
        <v>46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S188" s="78"/>
      <c r="T188" s="78"/>
      <c r="U188" s="78"/>
      <c r="V188" s="78"/>
      <c r="W188" s="78"/>
      <c r="X188" s="78"/>
      <c r="Y188" s="78"/>
      <c r="Z188" s="78"/>
      <c r="AA188" s="78"/>
      <c r="AJ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2.0</v>
      </c>
      <c r="AH189" s="19">
        <v>0.0</v>
      </c>
      <c r="AI189" s="19"/>
      <c r="AJ189" s="13">
        <f t="shared" ref="AJ189:AJ198" si="38">SUM(E189:AI189)</f>
        <v>3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1.0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/>
      <c r="AJ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1.0</v>
      </c>
      <c r="L191" s="19">
        <v>0.0</v>
      </c>
      <c r="M191" s="19">
        <v>0.0</v>
      </c>
      <c r="N191" s="19">
        <v>0.0</v>
      </c>
      <c r="O191" s="19">
        <v>0.0</v>
      </c>
      <c r="P191" s="19">
        <v>1.0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/>
      <c r="AJ191" s="13">
        <f t="shared" si="38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1.0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/>
      <c r="AJ192" s="13">
        <f t="shared" si="38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/>
      <c r="AJ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1.0</v>
      </c>
      <c r="H194" s="19">
        <v>0.0</v>
      </c>
      <c r="I194" s="19">
        <v>1.0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1.0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/>
      <c r="AJ194" s="13">
        <f t="shared" si="38"/>
        <v>3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/>
      <c r="AJ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1.0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/>
      <c r="AJ196" s="13">
        <f t="shared" si="38"/>
        <v>1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J199" si="39">SUM(E189:E198)</f>
        <v>0</v>
      </c>
      <c r="F199" s="13">
        <f t="shared" si="39"/>
        <v>0</v>
      </c>
      <c r="G199" s="13">
        <f t="shared" si="39"/>
        <v>2</v>
      </c>
      <c r="H199" s="13">
        <f t="shared" si="39"/>
        <v>0</v>
      </c>
      <c r="I199" s="13">
        <f t="shared" si="39"/>
        <v>1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2</v>
      </c>
      <c r="AH199" s="13">
        <f t="shared" si="39"/>
        <v>0</v>
      </c>
      <c r="AI199" s="13">
        <f t="shared" si="39"/>
        <v>0</v>
      </c>
      <c r="AJ199" s="13">
        <f t="shared" si="39"/>
        <v>11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0.0</v>
      </c>
      <c r="G201" s="19">
        <v>3.0</v>
      </c>
      <c r="H201" s="19">
        <v>5.0</v>
      </c>
      <c r="I201" s="19">
        <v>2.0</v>
      </c>
      <c r="J201" s="19">
        <v>3.0</v>
      </c>
      <c r="K201" s="19">
        <v>0.0</v>
      </c>
      <c r="L201" s="19">
        <v>4.0</v>
      </c>
      <c r="M201" s="19">
        <v>3.0</v>
      </c>
      <c r="N201" s="19">
        <v>0.0</v>
      </c>
      <c r="O201" s="19">
        <v>1.0</v>
      </c>
      <c r="P201" s="19">
        <v>2.0</v>
      </c>
      <c r="Q201" s="19">
        <v>3.0</v>
      </c>
      <c r="R201" s="19">
        <v>1.0</v>
      </c>
      <c r="S201" s="19">
        <v>3.0</v>
      </c>
      <c r="T201" s="19">
        <v>3.0</v>
      </c>
      <c r="U201" s="19">
        <v>2.0</v>
      </c>
      <c r="V201" s="19">
        <v>0.0</v>
      </c>
      <c r="W201" s="19">
        <v>3.0</v>
      </c>
      <c r="X201" s="19">
        <v>1.0</v>
      </c>
      <c r="Y201" s="19">
        <v>2.0</v>
      </c>
      <c r="Z201" s="19">
        <v>1.0</v>
      </c>
      <c r="AA201" s="19">
        <v>2.0</v>
      </c>
      <c r="AB201" s="19">
        <v>2.0</v>
      </c>
      <c r="AC201" s="19">
        <v>2.0</v>
      </c>
      <c r="AD201" s="19">
        <v>3.0</v>
      </c>
      <c r="AE201" s="19">
        <v>0.0</v>
      </c>
      <c r="AF201" s="19">
        <v>1.0</v>
      </c>
      <c r="AG201" s="19">
        <v>0.0</v>
      </c>
      <c r="AH201" s="19">
        <v>2.0</v>
      </c>
      <c r="AI201" s="19">
        <v>4.0</v>
      </c>
      <c r="AJ201" s="13">
        <f t="shared" ref="AJ201:AJ210" si="40">SUM(E201:AI201)</f>
        <v>60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13.0</v>
      </c>
      <c r="F202" s="19">
        <v>8.0</v>
      </c>
      <c r="G202" s="19">
        <v>9.0</v>
      </c>
      <c r="H202" s="19">
        <v>5.0</v>
      </c>
      <c r="I202" s="19">
        <v>5.0</v>
      </c>
      <c r="J202" s="19">
        <v>7.0</v>
      </c>
      <c r="K202" s="19">
        <v>4.0</v>
      </c>
      <c r="L202" s="19">
        <v>5.0</v>
      </c>
      <c r="M202" s="19">
        <v>9.0</v>
      </c>
      <c r="N202" s="19">
        <v>16.0</v>
      </c>
      <c r="O202" s="19">
        <v>1.0</v>
      </c>
      <c r="P202" s="19">
        <v>7.0</v>
      </c>
      <c r="Q202" s="19">
        <v>6.0</v>
      </c>
      <c r="R202" s="19">
        <v>4.0</v>
      </c>
      <c r="S202" s="19">
        <v>2.0</v>
      </c>
      <c r="T202" s="19">
        <v>2.0</v>
      </c>
      <c r="U202" s="19">
        <v>6.0</v>
      </c>
      <c r="V202" s="19">
        <v>6.0</v>
      </c>
      <c r="W202" s="19">
        <v>0.0</v>
      </c>
      <c r="X202" s="19">
        <v>1.0</v>
      </c>
      <c r="Y202" s="19">
        <v>4.0</v>
      </c>
      <c r="Z202" s="19">
        <v>5.0</v>
      </c>
      <c r="AA202" s="19">
        <v>3.0</v>
      </c>
      <c r="AB202" s="19">
        <v>4.0</v>
      </c>
      <c r="AC202" s="19">
        <v>2.0</v>
      </c>
      <c r="AD202" s="19">
        <v>6.0</v>
      </c>
      <c r="AE202" s="19">
        <v>2.0</v>
      </c>
      <c r="AF202" s="19">
        <v>2.0</v>
      </c>
      <c r="AG202" s="19">
        <v>3.0</v>
      </c>
      <c r="AH202" s="19">
        <v>3.0</v>
      </c>
      <c r="AI202" s="19"/>
      <c r="AJ202" s="13">
        <f t="shared" si="40"/>
        <v>150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1.0</v>
      </c>
      <c r="G203" s="19">
        <v>1.0</v>
      </c>
      <c r="H203" s="19">
        <v>1.0</v>
      </c>
      <c r="I203" s="19">
        <v>1.0</v>
      </c>
      <c r="J203" s="19">
        <v>2.0</v>
      </c>
      <c r="K203" s="19">
        <v>2.0</v>
      </c>
      <c r="L203" s="19">
        <v>5.0</v>
      </c>
      <c r="M203" s="19">
        <v>2.0</v>
      </c>
      <c r="N203" s="19">
        <v>0.0</v>
      </c>
      <c r="O203" s="19">
        <v>0.0</v>
      </c>
      <c r="P203" s="19">
        <v>2.0</v>
      </c>
      <c r="Q203" s="19">
        <v>1.0</v>
      </c>
      <c r="R203" s="19">
        <v>1.0</v>
      </c>
      <c r="S203" s="19">
        <v>4.0</v>
      </c>
      <c r="T203" s="19">
        <v>0.0</v>
      </c>
      <c r="U203" s="19">
        <v>1.0</v>
      </c>
      <c r="V203" s="19">
        <v>2.0</v>
      </c>
      <c r="W203" s="19">
        <v>0.0</v>
      </c>
      <c r="X203" s="19">
        <v>2.0</v>
      </c>
      <c r="Y203" s="19">
        <v>1.0</v>
      </c>
      <c r="Z203" s="19">
        <v>0.0</v>
      </c>
      <c r="AA203" s="19">
        <v>0.0</v>
      </c>
      <c r="AB203" s="19">
        <v>3.0</v>
      </c>
      <c r="AC203" s="19">
        <v>7.0</v>
      </c>
      <c r="AD203" s="19">
        <v>1.0</v>
      </c>
      <c r="AE203" s="19">
        <v>0.0</v>
      </c>
      <c r="AF203" s="19">
        <v>0.0</v>
      </c>
      <c r="AG203" s="19">
        <v>0.0</v>
      </c>
      <c r="AH203" s="19">
        <v>1.0</v>
      </c>
      <c r="AI203" s="19">
        <v>1.0</v>
      </c>
      <c r="AJ203" s="13">
        <f t="shared" si="40"/>
        <v>42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1.0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9">
        <v>1.0</v>
      </c>
      <c r="T204" s="19">
        <v>1.0</v>
      </c>
      <c r="U204" s="19">
        <v>0.0</v>
      </c>
      <c r="V204" s="19">
        <v>1.0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2.0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0.0</v>
      </c>
      <c r="AH204" s="19">
        <v>0.0</v>
      </c>
      <c r="AI204" s="19">
        <v>1.0</v>
      </c>
      <c r="AJ204" s="13">
        <f t="shared" si="40"/>
        <v>8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1.0</v>
      </c>
      <c r="M205" s="19">
        <v>0.0</v>
      </c>
      <c r="N205" s="19">
        <v>1.0</v>
      </c>
      <c r="O205" s="19">
        <v>1.0</v>
      </c>
      <c r="P205" s="19">
        <v>0.0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1.0</v>
      </c>
      <c r="Y205" s="19">
        <v>1.0</v>
      </c>
      <c r="Z205" s="19">
        <v>1.0</v>
      </c>
      <c r="AA205" s="19">
        <v>1.0</v>
      </c>
      <c r="AB205" s="19">
        <v>2.0</v>
      </c>
      <c r="AC205" s="19">
        <v>2.0</v>
      </c>
      <c r="AD205" s="19">
        <v>0.0</v>
      </c>
      <c r="AE205" s="19">
        <v>1.0</v>
      </c>
      <c r="AF205" s="19">
        <v>1.0</v>
      </c>
      <c r="AG205" s="19">
        <v>0.0</v>
      </c>
      <c r="AH205" s="19">
        <v>0.0</v>
      </c>
      <c r="AI205" s="19"/>
      <c r="AJ205" s="13">
        <f t="shared" si="40"/>
        <v>14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1.0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1.0</v>
      </c>
      <c r="S206" s="19">
        <v>0.0</v>
      </c>
      <c r="T206" s="19">
        <v>1.0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1.0</v>
      </c>
      <c r="AC206" s="19">
        <v>0.0</v>
      </c>
      <c r="AD206" s="19">
        <v>0.0</v>
      </c>
      <c r="AE206" s="19">
        <v>1.0</v>
      </c>
      <c r="AF206" s="19">
        <v>0.0</v>
      </c>
      <c r="AG206" s="19">
        <v>0.0</v>
      </c>
      <c r="AH206" s="19">
        <v>0.0</v>
      </c>
      <c r="AI206" s="19"/>
      <c r="AJ206" s="13">
        <f t="shared" si="40"/>
        <v>7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/>
      <c r="AJ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1.0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1.0</v>
      </c>
      <c r="V208" s="19">
        <v>0.0</v>
      </c>
      <c r="W208" s="19">
        <v>0.0</v>
      </c>
      <c r="X208" s="19">
        <v>0.0</v>
      </c>
      <c r="Y208" s="19">
        <v>2.0</v>
      </c>
      <c r="Z208" s="19">
        <v>1.0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1.0</v>
      </c>
      <c r="AF208" s="19">
        <v>0.0</v>
      </c>
      <c r="AG208" s="19">
        <v>0.0</v>
      </c>
      <c r="AH208" s="19">
        <v>0.0</v>
      </c>
      <c r="AI208" s="19"/>
      <c r="AJ208" s="13">
        <f t="shared" si="40"/>
        <v>7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J211" si="41">SUM(E201:E210)</f>
        <v>17</v>
      </c>
      <c r="F211" s="13">
        <f t="shared" si="41"/>
        <v>9</v>
      </c>
      <c r="G211" s="13">
        <f t="shared" si="41"/>
        <v>13</v>
      </c>
      <c r="H211" s="13">
        <f t="shared" si="41"/>
        <v>11</v>
      </c>
      <c r="I211" s="13">
        <f t="shared" si="41"/>
        <v>9</v>
      </c>
      <c r="J211" s="13">
        <f t="shared" si="41"/>
        <v>12</v>
      </c>
      <c r="K211" s="13">
        <f t="shared" si="41"/>
        <v>7</v>
      </c>
      <c r="L211" s="13">
        <f t="shared" si="41"/>
        <v>17</v>
      </c>
      <c r="M211" s="13">
        <f t="shared" si="41"/>
        <v>14</v>
      </c>
      <c r="N211" s="13">
        <f t="shared" si="41"/>
        <v>17</v>
      </c>
      <c r="O211" s="13">
        <f t="shared" si="41"/>
        <v>4</v>
      </c>
      <c r="P211" s="13">
        <f t="shared" si="41"/>
        <v>11</v>
      </c>
      <c r="Q211" s="13">
        <f t="shared" si="41"/>
        <v>10</v>
      </c>
      <c r="R211" s="13">
        <f t="shared" si="41"/>
        <v>9</v>
      </c>
      <c r="S211" s="13">
        <f t="shared" si="41"/>
        <v>10</v>
      </c>
      <c r="T211" s="13">
        <f t="shared" si="41"/>
        <v>7</v>
      </c>
      <c r="U211" s="13">
        <f t="shared" si="41"/>
        <v>10</v>
      </c>
      <c r="V211" s="13">
        <f t="shared" si="41"/>
        <v>9</v>
      </c>
      <c r="W211" s="13">
        <f t="shared" si="41"/>
        <v>3</v>
      </c>
      <c r="X211" s="13">
        <f t="shared" si="41"/>
        <v>5</v>
      </c>
      <c r="Y211" s="13">
        <f t="shared" si="41"/>
        <v>10</v>
      </c>
      <c r="Z211" s="13">
        <f t="shared" si="41"/>
        <v>8</v>
      </c>
      <c r="AA211" s="13">
        <f t="shared" si="41"/>
        <v>8</v>
      </c>
      <c r="AB211" s="13">
        <f t="shared" si="41"/>
        <v>12</v>
      </c>
      <c r="AC211" s="13">
        <f t="shared" si="41"/>
        <v>13</v>
      </c>
      <c r="AD211" s="13">
        <f t="shared" si="41"/>
        <v>10</v>
      </c>
      <c r="AE211" s="13">
        <f t="shared" si="41"/>
        <v>5</v>
      </c>
      <c r="AF211" s="13">
        <f t="shared" si="41"/>
        <v>4</v>
      </c>
      <c r="AG211" s="13">
        <f t="shared" si="41"/>
        <v>3</v>
      </c>
      <c r="AH211" s="13">
        <f t="shared" si="41"/>
        <v>6</v>
      </c>
      <c r="AI211" s="13">
        <f t="shared" si="41"/>
        <v>6</v>
      </c>
      <c r="AJ211" s="13">
        <f t="shared" si="41"/>
        <v>289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0.0</v>
      </c>
      <c r="H213" s="19">
        <v>1.0</v>
      </c>
      <c r="I213" s="19">
        <v>2.0</v>
      </c>
      <c r="J213" s="19">
        <v>2.0</v>
      </c>
      <c r="K213" s="19">
        <v>0.0</v>
      </c>
      <c r="L213" s="19">
        <v>2.0</v>
      </c>
      <c r="M213" s="19">
        <v>2.0</v>
      </c>
      <c r="N213" s="19">
        <v>2.0</v>
      </c>
      <c r="O213" s="19">
        <v>2.0</v>
      </c>
      <c r="P213" s="19">
        <v>1.0</v>
      </c>
      <c r="Q213" s="19">
        <v>1.0</v>
      </c>
      <c r="R213" s="19">
        <v>2.0</v>
      </c>
      <c r="S213" s="19">
        <v>2.0</v>
      </c>
      <c r="T213" s="19">
        <v>1.0</v>
      </c>
      <c r="U213" s="19">
        <v>2.0</v>
      </c>
      <c r="V213" s="19">
        <v>0.0</v>
      </c>
      <c r="W213" s="19">
        <v>3.0</v>
      </c>
      <c r="X213" s="19">
        <v>4.0</v>
      </c>
      <c r="Y213" s="19">
        <v>2.0</v>
      </c>
      <c r="Z213" s="19">
        <v>0.0</v>
      </c>
      <c r="AA213" s="19">
        <v>0.0</v>
      </c>
      <c r="AB213" s="19">
        <v>4.0</v>
      </c>
      <c r="AC213" s="19">
        <v>2.0</v>
      </c>
      <c r="AD213" s="19">
        <v>0.0</v>
      </c>
      <c r="AE213" s="19">
        <v>1.0</v>
      </c>
      <c r="AF213" s="19">
        <v>2.0</v>
      </c>
      <c r="AG213" s="19">
        <v>3.0</v>
      </c>
      <c r="AH213" s="19">
        <v>0.0</v>
      </c>
      <c r="AI213" s="19">
        <v>1.0</v>
      </c>
      <c r="AJ213" s="13">
        <f t="shared" ref="AJ213:AJ222" si="42">SUM(E213:AI213)</f>
        <v>44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2.0</v>
      </c>
      <c r="F214" s="19">
        <v>0.0</v>
      </c>
      <c r="G214" s="19">
        <v>2.0</v>
      </c>
      <c r="H214" s="19">
        <v>0.0</v>
      </c>
      <c r="I214" s="19">
        <v>0.0</v>
      </c>
      <c r="J214" s="19">
        <v>1.0</v>
      </c>
      <c r="K214" s="19">
        <v>1.0</v>
      </c>
      <c r="L214" s="19">
        <v>2.0</v>
      </c>
      <c r="M214" s="19">
        <v>1.0</v>
      </c>
      <c r="N214" s="19">
        <v>6.0</v>
      </c>
      <c r="O214" s="19">
        <v>6.0</v>
      </c>
      <c r="P214" s="19">
        <v>0.0</v>
      </c>
      <c r="Q214" s="19">
        <v>1.0</v>
      </c>
      <c r="R214" s="19">
        <v>9.0</v>
      </c>
      <c r="S214" s="19">
        <v>1.0</v>
      </c>
      <c r="T214" s="19">
        <v>7.0</v>
      </c>
      <c r="U214" s="19">
        <v>3.0</v>
      </c>
      <c r="V214" s="19">
        <v>0.0</v>
      </c>
      <c r="W214" s="19">
        <v>0.0</v>
      </c>
      <c r="X214" s="19">
        <v>1.0</v>
      </c>
      <c r="Y214" s="19">
        <v>3.0</v>
      </c>
      <c r="Z214" s="19">
        <v>0.0</v>
      </c>
      <c r="AA214" s="19">
        <v>0.0</v>
      </c>
      <c r="AB214" s="19">
        <v>1.0</v>
      </c>
      <c r="AC214" s="19">
        <v>0.0</v>
      </c>
      <c r="AD214" s="19">
        <v>0.0</v>
      </c>
      <c r="AE214" s="19">
        <v>1.0</v>
      </c>
      <c r="AF214" s="19">
        <v>0.0</v>
      </c>
      <c r="AG214" s="19">
        <v>3.0</v>
      </c>
      <c r="AH214" s="19">
        <v>1.0</v>
      </c>
      <c r="AI214" s="19"/>
      <c r="AJ214" s="13">
        <f t="shared" si="42"/>
        <v>52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0.0</v>
      </c>
      <c r="G215" s="19">
        <v>1.0</v>
      </c>
      <c r="H215" s="19">
        <v>3.0</v>
      </c>
      <c r="I215" s="19">
        <v>11.0</v>
      </c>
      <c r="J215" s="19">
        <v>17.0</v>
      </c>
      <c r="K215" s="19">
        <v>1.0</v>
      </c>
      <c r="L215" s="19">
        <v>2.0</v>
      </c>
      <c r="M215" s="19">
        <v>1.0</v>
      </c>
      <c r="N215" s="19">
        <v>0.0</v>
      </c>
      <c r="O215" s="19">
        <v>0.0</v>
      </c>
      <c r="P215" s="19">
        <v>0.0</v>
      </c>
      <c r="Q215" s="19">
        <v>0.0</v>
      </c>
      <c r="R215" s="19">
        <v>3.0</v>
      </c>
      <c r="S215" s="19">
        <v>0.0</v>
      </c>
      <c r="T215" s="19">
        <v>0.0</v>
      </c>
      <c r="U215" s="19">
        <v>3.0</v>
      </c>
      <c r="V215" s="19">
        <v>0.0</v>
      </c>
      <c r="W215" s="19">
        <v>6.0</v>
      </c>
      <c r="X215" s="19">
        <v>0.0</v>
      </c>
      <c r="Y215" s="19">
        <v>9.0</v>
      </c>
      <c r="Z215" s="19">
        <v>0.0</v>
      </c>
      <c r="AA215" s="19">
        <v>0.0</v>
      </c>
      <c r="AB215" s="19">
        <v>1.0</v>
      </c>
      <c r="AC215" s="19">
        <v>4.0</v>
      </c>
      <c r="AD215" s="19">
        <v>0.0</v>
      </c>
      <c r="AE215" s="19">
        <v>1.0</v>
      </c>
      <c r="AF215" s="19">
        <v>1.0</v>
      </c>
      <c r="AG215" s="19">
        <v>1.0</v>
      </c>
      <c r="AH215" s="19">
        <v>0.0</v>
      </c>
      <c r="AI215" s="19"/>
      <c r="AJ215" s="13">
        <f t="shared" si="42"/>
        <v>66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2.0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2.0</v>
      </c>
      <c r="P216" s="19">
        <v>1.0</v>
      </c>
      <c r="Q216" s="19">
        <v>0.0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1.0</v>
      </c>
      <c r="Y216" s="19">
        <v>1.0</v>
      </c>
      <c r="Z216" s="19">
        <v>0.0</v>
      </c>
      <c r="AA216" s="19">
        <v>1.0</v>
      </c>
      <c r="AB216" s="19">
        <v>1.0</v>
      </c>
      <c r="AC216" s="19">
        <v>1.0</v>
      </c>
      <c r="AD216" s="19">
        <v>0.0</v>
      </c>
      <c r="AE216" s="19">
        <v>1.0</v>
      </c>
      <c r="AF216" s="19">
        <v>0.0</v>
      </c>
      <c r="AG216" s="19">
        <v>2.0</v>
      </c>
      <c r="AH216" s="19">
        <v>0.0</v>
      </c>
      <c r="AI216" s="19"/>
      <c r="AJ216" s="13">
        <f t="shared" si="42"/>
        <v>14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1.0</v>
      </c>
      <c r="P217" s="19">
        <v>0.0</v>
      </c>
      <c r="Q217" s="19">
        <v>0.0</v>
      </c>
      <c r="R217" s="19">
        <v>0.0</v>
      </c>
      <c r="S217" s="19">
        <v>0.0</v>
      </c>
      <c r="T217" s="19">
        <v>1.0</v>
      </c>
      <c r="U217" s="19">
        <v>2.0</v>
      </c>
      <c r="V217" s="19">
        <v>1.0</v>
      </c>
      <c r="W217" s="19">
        <v>0.0</v>
      </c>
      <c r="X217" s="19">
        <v>0.0</v>
      </c>
      <c r="Y217" s="19">
        <v>0.0</v>
      </c>
      <c r="Z217" s="19">
        <v>1.0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1.0</v>
      </c>
      <c r="AG217" s="19">
        <v>0.0</v>
      </c>
      <c r="AH217" s="19">
        <v>0.0</v>
      </c>
      <c r="AI217" s="19"/>
      <c r="AJ217" s="13">
        <f t="shared" si="42"/>
        <v>7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1.0</v>
      </c>
      <c r="L218" s="19">
        <v>1.0</v>
      </c>
      <c r="M218" s="19">
        <v>1.0</v>
      </c>
      <c r="N218" s="19">
        <v>0.0</v>
      </c>
      <c r="O218" s="19">
        <v>0.0</v>
      </c>
      <c r="P218" s="19">
        <v>0.0</v>
      </c>
      <c r="Q218" s="19">
        <v>1.0</v>
      </c>
      <c r="R218" s="19">
        <v>0.0</v>
      </c>
      <c r="S218" s="19">
        <v>0.0</v>
      </c>
      <c r="T218" s="19">
        <v>0.0</v>
      </c>
      <c r="U218" s="19">
        <v>1.0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/>
      <c r="AJ218" s="13">
        <f t="shared" si="42"/>
        <v>5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0.0</v>
      </c>
      <c r="G219" s="19">
        <v>1.0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1.0</v>
      </c>
      <c r="Z219" s="19">
        <v>0.0</v>
      </c>
      <c r="AA219" s="19">
        <v>2.0</v>
      </c>
      <c r="AB219" s="19">
        <v>0.0</v>
      </c>
      <c r="AC219" s="19">
        <v>0.0</v>
      </c>
      <c r="AD219" s="19">
        <v>0.0</v>
      </c>
      <c r="AE219" s="19">
        <v>1.0</v>
      </c>
      <c r="AF219" s="19">
        <v>0.0</v>
      </c>
      <c r="AG219" s="19">
        <v>2.0</v>
      </c>
      <c r="AH219" s="19">
        <v>0.0</v>
      </c>
      <c r="AI219" s="19"/>
      <c r="AJ219" s="13">
        <f t="shared" si="42"/>
        <v>9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1.0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/>
      <c r="AJ220" s="13">
        <f t="shared" si="42"/>
        <v>3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J223" si="43">SUM(E213:E222)</f>
        <v>4</v>
      </c>
      <c r="F223" s="13">
        <f t="shared" si="43"/>
        <v>0</v>
      </c>
      <c r="G223" s="13">
        <f t="shared" si="43"/>
        <v>4</v>
      </c>
      <c r="H223" s="13">
        <f t="shared" si="43"/>
        <v>6</v>
      </c>
      <c r="I223" s="13">
        <f t="shared" si="43"/>
        <v>14</v>
      </c>
      <c r="J223" s="13">
        <f t="shared" si="43"/>
        <v>20</v>
      </c>
      <c r="K223" s="13">
        <f t="shared" si="43"/>
        <v>4</v>
      </c>
      <c r="L223" s="13">
        <f t="shared" si="43"/>
        <v>7</v>
      </c>
      <c r="M223" s="13">
        <f t="shared" si="43"/>
        <v>5</v>
      </c>
      <c r="N223" s="13">
        <f t="shared" si="43"/>
        <v>8</v>
      </c>
      <c r="O223" s="13">
        <f t="shared" si="43"/>
        <v>12</v>
      </c>
      <c r="P223" s="13">
        <f t="shared" si="43"/>
        <v>2</v>
      </c>
      <c r="Q223" s="13">
        <f t="shared" si="43"/>
        <v>3</v>
      </c>
      <c r="R223" s="13">
        <f t="shared" si="43"/>
        <v>15</v>
      </c>
      <c r="S223" s="13">
        <f t="shared" si="43"/>
        <v>3</v>
      </c>
      <c r="T223" s="13">
        <f t="shared" si="43"/>
        <v>9</v>
      </c>
      <c r="U223" s="13">
        <f t="shared" si="43"/>
        <v>11</v>
      </c>
      <c r="V223" s="13">
        <f t="shared" si="43"/>
        <v>1</v>
      </c>
      <c r="W223" s="13">
        <f t="shared" si="43"/>
        <v>9</v>
      </c>
      <c r="X223" s="13">
        <f t="shared" si="43"/>
        <v>6</v>
      </c>
      <c r="Y223" s="13">
        <f t="shared" si="43"/>
        <v>16</v>
      </c>
      <c r="Z223" s="13">
        <f t="shared" si="43"/>
        <v>1</v>
      </c>
      <c r="AA223" s="13">
        <f t="shared" si="43"/>
        <v>3</v>
      </c>
      <c r="AB223" s="13">
        <f t="shared" si="43"/>
        <v>7</v>
      </c>
      <c r="AC223" s="13">
        <f t="shared" si="43"/>
        <v>8</v>
      </c>
      <c r="AD223" s="13">
        <f t="shared" si="43"/>
        <v>0</v>
      </c>
      <c r="AE223" s="13">
        <f t="shared" si="43"/>
        <v>5</v>
      </c>
      <c r="AF223" s="13">
        <f t="shared" si="43"/>
        <v>4</v>
      </c>
      <c r="AG223" s="13">
        <f t="shared" si="43"/>
        <v>11</v>
      </c>
      <c r="AH223" s="13">
        <f t="shared" si="43"/>
        <v>1</v>
      </c>
      <c r="AI223" s="13">
        <f t="shared" si="43"/>
        <v>1</v>
      </c>
      <c r="AJ223" s="13">
        <f t="shared" si="43"/>
        <v>200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2.0</v>
      </c>
      <c r="U225" s="19">
        <v>0.0</v>
      </c>
      <c r="V225" s="19">
        <v>1.0</v>
      </c>
      <c r="W225" s="19">
        <v>1.0</v>
      </c>
      <c r="X225" s="19">
        <v>0.0</v>
      </c>
      <c r="Y225" s="19">
        <v>1.0</v>
      </c>
      <c r="Z225" s="19">
        <v>1.0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1.0</v>
      </c>
      <c r="AJ225" s="13">
        <f t="shared" ref="AJ225:AJ234" si="44">SUM(E225:AI225)</f>
        <v>9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3.0</v>
      </c>
      <c r="F226" s="19">
        <v>0.0</v>
      </c>
      <c r="G226" s="19">
        <v>0.0</v>
      </c>
      <c r="H226" s="19">
        <v>0.0</v>
      </c>
      <c r="I226" s="19">
        <v>1.0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13.0</v>
      </c>
      <c r="U226" s="19">
        <v>3.0</v>
      </c>
      <c r="V226" s="19">
        <v>3.0</v>
      </c>
      <c r="W226" s="19">
        <v>0.0</v>
      </c>
      <c r="X226" s="19">
        <v>0.0</v>
      </c>
      <c r="Y226" s="19">
        <v>0.0</v>
      </c>
      <c r="Z226" s="19">
        <v>5.0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0.0</v>
      </c>
      <c r="AI226" s="19"/>
      <c r="AJ226" s="13">
        <f t="shared" si="44"/>
        <v>28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1.0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1.0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/>
      <c r="AJ227" s="13">
        <f t="shared" si="44"/>
        <v>2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1.0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/>
      <c r="AJ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1.0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1.0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/>
      <c r="AJ229" s="13">
        <f t="shared" si="44"/>
        <v>2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1.0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/>
      <c r="AJ230" s="13">
        <f t="shared" si="44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/>
      <c r="AJ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2.0</v>
      </c>
      <c r="F232" s="19">
        <v>0.0</v>
      </c>
      <c r="G232" s="19">
        <v>0.0</v>
      </c>
      <c r="H232" s="19">
        <v>1.0</v>
      </c>
      <c r="I232" s="19">
        <v>0.0</v>
      </c>
      <c r="J232" s="19">
        <v>2.0</v>
      </c>
      <c r="K232" s="19">
        <v>2.0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1.0</v>
      </c>
      <c r="S232" s="19">
        <v>2.0</v>
      </c>
      <c r="T232" s="19">
        <v>0.0</v>
      </c>
      <c r="U232" s="19">
        <v>0.0</v>
      </c>
      <c r="V232" s="19">
        <v>0.0</v>
      </c>
      <c r="W232" s="19">
        <v>0.0</v>
      </c>
      <c r="X232" s="19">
        <v>2.0</v>
      </c>
      <c r="Y232" s="19">
        <v>0.0</v>
      </c>
      <c r="Z232" s="19">
        <v>5.0</v>
      </c>
      <c r="AA232" s="19">
        <v>11.0</v>
      </c>
      <c r="AB232" s="19">
        <v>0.0</v>
      </c>
      <c r="AC232" s="19">
        <v>11.0</v>
      </c>
      <c r="AD232" s="19">
        <v>0.0</v>
      </c>
      <c r="AE232" s="19">
        <v>0.0</v>
      </c>
      <c r="AF232" s="19">
        <v>1.0</v>
      </c>
      <c r="AG232" s="19">
        <v>0.0</v>
      </c>
      <c r="AH232" s="19">
        <v>0.0</v>
      </c>
      <c r="AI232" s="19"/>
      <c r="AJ232" s="13">
        <f t="shared" si="44"/>
        <v>40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J235" si="45">SUM(E225:E234)</f>
        <v>6</v>
      </c>
      <c r="F235" s="13">
        <f t="shared" si="45"/>
        <v>0</v>
      </c>
      <c r="G235" s="13">
        <f t="shared" si="45"/>
        <v>0</v>
      </c>
      <c r="H235" s="13">
        <f t="shared" si="45"/>
        <v>3</v>
      </c>
      <c r="I235" s="13">
        <f t="shared" si="45"/>
        <v>2</v>
      </c>
      <c r="J235" s="13">
        <f t="shared" si="45"/>
        <v>2</v>
      </c>
      <c r="K235" s="13">
        <f t="shared" si="45"/>
        <v>3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2</v>
      </c>
      <c r="T235" s="13">
        <f t="shared" si="45"/>
        <v>15</v>
      </c>
      <c r="U235" s="13">
        <f t="shared" si="45"/>
        <v>3</v>
      </c>
      <c r="V235" s="13">
        <f t="shared" si="45"/>
        <v>4</v>
      </c>
      <c r="W235" s="13">
        <f t="shared" si="45"/>
        <v>1</v>
      </c>
      <c r="X235" s="13">
        <f t="shared" si="45"/>
        <v>2</v>
      </c>
      <c r="Y235" s="13">
        <f t="shared" si="45"/>
        <v>1</v>
      </c>
      <c r="Z235" s="13">
        <f t="shared" si="45"/>
        <v>12</v>
      </c>
      <c r="AA235" s="13">
        <f t="shared" si="45"/>
        <v>12</v>
      </c>
      <c r="AB235" s="13">
        <f t="shared" si="45"/>
        <v>1</v>
      </c>
      <c r="AC235" s="13">
        <f t="shared" si="45"/>
        <v>11</v>
      </c>
      <c r="AD235" s="13">
        <f t="shared" si="45"/>
        <v>0</v>
      </c>
      <c r="AE235" s="13">
        <f t="shared" si="45"/>
        <v>0</v>
      </c>
      <c r="AF235" s="13">
        <f t="shared" si="45"/>
        <v>1</v>
      </c>
      <c r="AG235" s="13">
        <f t="shared" si="45"/>
        <v>0</v>
      </c>
      <c r="AH235" s="13">
        <f t="shared" si="45"/>
        <v>0</v>
      </c>
      <c r="AI235" s="13">
        <f t="shared" si="45"/>
        <v>1</v>
      </c>
      <c r="AJ235" s="13">
        <f t="shared" si="45"/>
        <v>83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1.0</v>
      </c>
      <c r="N237" s="19">
        <v>1.0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0.0</v>
      </c>
      <c r="U237" s="19">
        <v>0.0</v>
      </c>
      <c r="V237" s="19">
        <v>1.0</v>
      </c>
      <c r="W237" s="19">
        <v>0.0</v>
      </c>
      <c r="X237" s="19">
        <v>0.0</v>
      </c>
      <c r="Y237" s="19">
        <v>0.0</v>
      </c>
      <c r="Z237" s="19">
        <v>1.0</v>
      </c>
      <c r="AA237" s="19">
        <v>0.0</v>
      </c>
      <c r="AB237" s="19">
        <v>0.0</v>
      </c>
      <c r="AC237" s="19">
        <v>1.0</v>
      </c>
      <c r="AD237" s="19">
        <v>0.0</v>
      </c>
      <c r="AE237" s="19">
        <v>0.0</v>
      </c>
      <c r="AF237" s="19">
        <v>0.0</v>
      </c>
      <c r="AG237" s="19">
        <v>1.0</v>
      </c>
      <c r="AH237" s="19">
        <v>2.0</v>
      </c>
      <c r="AI237" s="19">
        <v>1.0</v>
      </c>
      <c r="AJ237" s="13">
        <f t="shared" ref="AJ237:AJ246" si="46">SUM(E237:AI237)</f>
        <v>9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1.0</v>
      </c>
      <c r="G238" s="19">
        <v>1.0</v>
      </c>
      <c r="H238" s="19">
        <v>0.0</v>
      </c>
      <c r="I238" s="19">
        <v>0.0</v>
      </c>
      <c r="J238" s="19">
        <v>1.0</v>
      </c>
      <c r="K238" s="19">
        <v>0.0</v>
      </c>
      <c r="L238" s="19">
        <v>0.0</v>
      </c>
      <c r="M238" s="19">
        <v>0.0</v>
      </c>
      <c r="N238" s="19">
        <v>1.0</v>
      </c>
      <c r="O238" s="19">
        <v>0.0</v>
      </c>
      <c r="P238" s="19">
        <v>0.0</v>
      </c>
      <c r="Q238" s="19">
        <v>0.0</v>
      </c>
      <c r="R238" s="19">
        <v>0.0</v>
      </c>
      <c r="S238" s="19">
        <v>3.0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2.0</v>
      </c>
      <c r="AA238" s="19">
        <v>1.0</v>
      </c>
      <c r="AB238" s="19">
        <v>0.0</v>
      </c>
      <c r="AC238" s="19">
        <v>0.0</v>
      </c>
      <c r="AD238" s="19">
        <v>1.0</v>
      </c>
      <c r="AE238" s="19">
        <v>0.0</v>
      </c>
      <c r="AF238" s="19">
        <v>2.0</v>
      </c>
      <c r="AG238" s="19">
        <v>0.0</v>
      </c>
      <c r="AH238" s="19">
        <v>0.0</v>
      </c>
      <c r="AI238" s="19"/>
      <c r="AJ238" s="13">
        <f t="shared" si="46"/>
        <v>13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1.0</v>
      </c>
      <c r="H239" s="19">
        <v>0.0</v>
      </c>
      <c r="I239" s="19">
        <v>1.0</v>
      </c>
      <c r="J239" s="19">
        <v>1.0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1.0</v>
      </c>
      <c r="X239" s="19">
        <v>1.0</v>
      </c>
      <c r="Y239" s="19">
        <v>0.0</v>
      </c>
      <c r="Z239" s="19">
        <v>1.0</v>
      </c>
      <c r="AA239" s="19">
        <v>0.0</v>
      </c>
      <c r="AB239" s="19">
        <v>0.0</v>
      </c>
      <c r="AC239" s="19">
        <v>1.0</v>
      </c>
      <c r="AD239" s="19">
        <v>0.0</v>
      </c>
      <c r="AE239" s="19">
        <v>0.0</v>
      </c>
      <c r="AF239" s="19">
        <v>0.0</v>
      </c>
      <c r="AG239" s="19">
        <v>1.0</v>
      </c>
      <c r="AH239" s="19">
        <v>0.0</v>
      </c>
      <c r="AI239" s="19"/>
      <c r="AJ239" s="13">
        <f t="shared" si="46"/>
        <v>8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1.0</v>
      </c>
      <c r="AJ240" s="13">
        <f t="shared" si="46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1.0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/>
      <c r="AJ241" s="13">
        <f t="shared" si="46"/>
        <v>3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/>
      <c r="AJ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1.0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1.0</v>
      </c>
      <c r="AG243" s="19">
        <v>0.0</v>
      </c>
      <c r="AH243" s="19">
        <v>0.0</v>
      </c>
      <c r="AI243" s="19"/>
      <c r="AJ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1.0</v>
      </c>
      <c r="H244" s="19">
        <v>0.0</v>
      </c>
      <c r="I244" s="19">
        <v>3.0</v>
      </c>
      <c r="J244" s="19">
        <v>1.0</v>
      </c>
      <c r="K244" s="19">
        <v>6.0</v>
      </c>
      <c r="L244" s="19">
        <v>2.0</v>
      </c>
      <c r="M244" s="19">
        <v>3.0</v>
      </c>
      <c r="N244" s="19">
        <v>0.0</v>
      </c>
      <c r="O244" s="19">
        <v>0.0</v>
      </c>
      <c r="P244" s="19">
        <v>0.0</v>
      </c>
      <c r="Q244" s="19">
        <v>1.0</v>
      </c>
      <c r="R244" s="19">
        <v>1.0</v>
      </c>
      <c r="S244" s="19">
        <v>1.0</v>
      </c>
      <c r="T244" s="19">
        <v>0.0</v>
      </c>
      <c r="U244" s="19">
        <v>0.0</v>
      </c>
      <c r="V244" s="19">
        <v>1.0</v>
      </c>
      <c r="W244" s="19">
        <v>1.0</v>
      </c>
      <c r="X244" s="19">
        <v>1.0</v>
      </c>
      <c r="Y244" s="19">
        <v>0.0</v>
      </c>
      <c r="Z244" s="19">
        <v>0.0</v>
      </c>
      <c r="AA244" s="19">
        <v>0.0</v>
      </c>
      <c r="AB244" s="19">
        <v>1.0</v>
      </c>
      <c r="AC244" s="19">
        <v>9.0</v>
      </c>
      <c r="AD244" s="19">
        <v>0.0</v>
      </c>
      <c r="AE244" s="19">
        <v>0.0</v>
      </c>
      <c r="AF244" s="19">
        <v>1.0</v>
      </c>
      <c r="AG244" s="19">
        <v>0.0</v>
      </c>
      <c r="AH244" s="19">
        <v>1.0</v>
      </c>
      <c r="AI244" s="19">
        <v>1.0</v>
      </c>
      <c r="AJ244" s="13">
        <f t="shared" si="46"/>
        <v>35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J247" si="47">SUM(E237:E246)</f>
        <v>1</v>
      </c>
      <c r="F247" s="13">
        <f t="shared" si="47"/>
        <v>1</v>
      </c>
      <c r="G247" s="13">
        <f t="shared" si="47"/>
        <v>3</v>
      </c>
      <c r="H247" s="13">
        <f t="shared" si="47"/>
        <v>0</v>
      </c>
      <c r="I247" s="13">
        <f t="shared" si="47"/>
        <v>4</v>
      </c>
      <c r="J247" s="13">
        <f t="shared" si="47"/>
        <v>4</v>
      </c>
      <c r="K247" s="13">
        <f t="shared" si="47"/>
        <v>6</v>
      </c>
      <c r="L247" s="13">
        <f t="shared" si="47"/>
        <v>3</v>
      </c>
      <c r="M247" s="13">
        <f t="shared" si="47"/>
        <v>4</v>
      </c>
      <c r="N247" s="13">
        <f t="shared" si="47"/>
        <v>2</v>
      </c>
      <c r="O247" s="13">
        <f t="shared" si="47"/>
        <v>0</v>
      </c>
      <c r="P247" s="13">
        <f t="shared" si="47"/>
        <v>0</v>
      </c>
      <c r="Q247" s="13">
        <f t="shared" si="47"/>
        <v>1</v>
      </c>
      <c r="R247" s="13">
        <f t="shared" si="47"/>
        <v>1</v>
      </c>
      <c r="S247" s="13">
        <f t="shared" si="47"/>
        <v>4</v>
      </c>
      <c r="T247" s="13">
        <f t="shared" si="47"/>
        <v>1</v>
      </c>
      <c r="U247" s="13">
        <f t="shared" si="47"/>
        <v>0</v>
      </c>
      <c r="V247" s="13">
        <f t="shared" si="47"/>
        <v>2</v>
      </c>
      <c r="W247" s="13">
        <f t="shared" si="47"/>
        <v>2</v>
      </c>
      <c r="X247" s="13">
        <f t="shared" si="47"/>
        <v>2</v>
      </c>
      <c r="Y247" s="13">
        <f t="shared" si="47"/>
        <v>0</v>
      </c>
      <c r="Z247" s="13">
        <f t="shared" si="47"/>
        <v>5</v>
      </c>
      <c r="AA247" s="13">
        <f t="shared" si="47"/>
        <v>1</v>
      </c>
      <c r="AB247" s="13">
        <f t="shared" si="47"/>
        <v>1</v>
      </c>
      <c r="AC247" s="13">
        <f t="shared" si="47"/>
        <v>11</v>
      </c>
      <c r="AD247" s="13">
        <f t="shared" si="47"/>
        <v>1</v>
      </c>
      <c r="AE247" s="13">
        <f t="shared" si="47"/>
        <v>0</v>
      </c>
      <c r="AF247" s="13">
        <f t="shared" si="47"/>
        <v>4</v>
      </c>
      <c r="AG247" s="13">
        <f t="shared" si="47"/>
        <v>2</v>
      </c>
      <c r="AH247" s="13">
        <f t="shared" si="47"/>
        <v>3</v>
      </c>
      <c r="AI247" s="13">
        <f t="shared" si="47"/>
        <v>3</v>
      </c>
      <c r="AJ247" s="13">
        <f t="shared" si="47"/>
        <v>72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/>
      <c r="AJ249" s="13">
        <f t="shared" ref="AJ249:AJ258" si="48">SUM(E249:AI249)</f>
        <v>0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2.0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/>
      <c r="AJ250" s="13">
        <f t="shared" si="48"/>
        <v>2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1.0</v>
      </c>
      <c r="AG251" s="19">
        <v>0.0</v>
      </c>
      <c r="AH251" s="19">
        <v>0.0</v>
      </c>
      <c r="AI251" s="19"/>
      <c r="AJ251" s="13">
        <f t="shared" si="48"/>
        <v>1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3.0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/>
      <c r="AJ252" s="13">
        <f t="shared" si="48"/>
        <v>3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1.0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/>
      <c r="AJ253" s="13">
        <f t="shared" si="48"/>
        <v>1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1.0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/>
      <c r="AJ254" s="13">
        <f t="shared" si="48"/>
        <v>2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1.0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/>
      <c r="AJ255" s="13">
        <f t="shared" si="48"/>
        <v>1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3">
        <f t="shared" si="48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3">
        <f t="shared" si="48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J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3</v>
      </c>
      <c r="M259" s="13">
        <f t="shared" si="49"/>
        <v>2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10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13"/>
      <c r="T261" s="13"/>
      <c r="U261" s="13"/>
      <c r="V261" s="13"/>
      <c r="W261" s="13"/>
      <c r="X261" s="13"/>
      <c r="Y261" s="13"/>
      <c r="Z261" s="13"/>
      <c r="AA261" s="77"/>
      <c r="AB261" s="77"/>
      <c r="AC261" s="77"/>
      <c r="AD261" s="77"/>
      <c r="AE261" s="77"/>
      <c r="AF261" s="77"/>
      <c r="AG261" s="77"/>
      <c r="AH261" s="77"/>
      <c r="AI261" s="77"/>
      <c r="AJ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I262" si="50">E55+E67+E79+E91+E103+E115+E127+E139+E151+E163+E175+E187+E199+E211+E223+E235+E247+E259</f>
        <v>181</v>
      </c>
      <c r="F262" s="19">
        <f t="shared" si="50"/>
        <v>195</v>
      </c>
      <c r="G262" s="19">
        <f t="shared" si="50"/>
        <v>199</v>
      </c>
      <c r="H262" s="19">
        <f t="shared" si="50"/>
        <v>184</v>
      </c>
      <c r="I262" s="19">
        <f t="shared" si="50"/>
        <v>181</v>
      </c>
      <c r="J262" s="19">
        <f t="shared" si="50"/>
        <v>194</v>
      </c>
      <c r="K262" s="19">
        <f t="shared" si="50"/>
        <v>214</v>
      </c>
      <c r="L262" s="19">
        <f t="shared" si="50"/>
        <v>174</v>
      </c>
      <c r="M262" s="19">
        <f t="shared" si="50"/>
        <v>181</v>
      </c>
      <c r="N262" s="19">
        <f t="shared" si="50"/>
        <v>187</v>
      </c>
      <c r="O262" s="19">
        <f t="shared" si="50"/>
        <v>162</v>
      </c>
      <c r="P262" s="19">
        <f t="shared" si="50"/>
        <v>187</v>
      </c>
      <c r="Q262" s="19">
        <f t="shared" si="50"/>
        <v>174</v>
      </c>
      <c r="R262" s="19">
        <f t="shared" si="50"/>
        <v>173</v>
      </c>
      <c r="S262" s="19">
        <f t="shared" si="50"/>
        <v>181</v>
      </c>
      <c r="T262" s="19">
        <f t="shared" si="50"/>
        <v>174</v>
      </c>
      <c r="U262" s="19">
        <f t="shared" si="50"/>
        <v>205</v>
      </c>
      <c r="V262" s="19">
        <f t="shared" si="50"/>
        <v>191</v>
      </c>
      <c r="W262" s="19">
        <f t="shared" si="50"/>
        <v>188</v>
      </c>
      <c r="X262" s="19">
        <f t="shared" si="50"/>
        <v>178</v>
      </c>
      <c r="Y262" s="19">
        <f t="shared" si="50"/>
        <v>184</v>
      </c>
      <c r="Z262" s="19">
        <f t="shared" si="50"/>
        <v>173</v>
      </c>
      <c r="AA262" s="19">
        <f t="shared" si="50"/>
        <v>212</v>
      </c>
      <c r="AB262" s="19">
        <f t="shared" si="50"/>
        <v>173</v>
      </c>
      <c r="AC262" s="19">
        <f t="shared" si="50"/>
        <v>206</v>
      </c>
      <c r="AD262" s="19">
        <f t="shared" si="50"/>
        <v>196</v>
      </c>
      <c r="AE262" s="19">
        <f t="shared" si="50"/>
        <v>201</v>
      </c>
      <c r="AF262" s="19">
        <f t="shared" si="50"/>
        <v>182</v>
      </c>
      <c r="AG262" s="19">
        <f t="shared" si="50"/>
        <v>193</v>
      </c>
      <c r="AH262" s="19">
        <f t="shared" si="50"/>
        <v>198</v>
      </c>
      <c r="AI262" s="19">
        <f t="shared" si="50"/>
        <v>201</v>
      </c>
      <c r="AJ262" s="13">
        <f t="shared" ref="AJ262:AJ264" si="51">SUM(E262:AI262)</f>
        <v>5822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30.0</v>
      </c>
      <c r="F263" s="19">
        <v>17.0</v>
      </c>
      <c r="G263" s="19">
        <v>30.0</v>
      </c>
      <c r="H263" s="19">
        <v>42.0</v>
      </c>
      <c r="I263" s="19">
        <v>10.0</v>
      </c>
      <c r="J263" s="19">
        <v>21.0</v>
      </c>
      <c r="K263" s="19">
        <v>15.0</v>
      </c>
      <c r="L263" s="19">
        <v>21.0</v>
      </c>
      <c r="M263" s="19">
        <v>22.0</v>
      </c>
      <c r="N263" s="19">
        <v>34.0</v>
      </c>
      <c r="O263" s="19">
        <v>52.0</v>
      </c>
      <c r="P263" s="19">
        <v>45.0</v>
      </c>
      <c r="Q263" s="19">
        <v>25.0</v>
      </c>
      <c r="R263" s="19">
        <v>40.0</v>
      </c>
      <c r="S263" s="19">
        <v>31.0</v>
      </c>
      <c r="T263" s="19">
        <v>23.0</v>
      </c>
      <c r="U263" s="19">
        <v>18.0</v>
      </c>
      <c r="V263" s="19">
        <v>13.0</v>
      </c>
      <c r="W263" s="19">
        <v>15.0</v>
      </c>
      <c r="X263" s="19">
        <v>18.0</v>
      </c>
      <c r="Y263" s="19">
        <v>39.0</v>
      </c>
      <c r="Z263" s="19">
        <v>39.0</v>
      </c>
      <c r="AA263" s="19">
        <v>20.0</v>
      </c>
      <c r="AB263" s="19">
        <v>16.0</v>
      </c>
      <c r="AC263" s="19">
        <v>14.0</v>
      </c>
      <c r="AD263" s="19">
        <v>10.0</v>
      </c>
      <c r="AE263" s="19">
        <v>22.0</v>
      </c>
      <c r="AF263" s="19">
        <v>32.0</v>
      </c>
      <c r="AG263" s="19">
        <v>33.0</v>
      </c>
      <c r="AH263" s="19">
        <v>29.0</v>
      </c>
      <c r="AI263" s="19">
        <v>26.0</v>
      </c>
      <c r="AJ263" s="13">
        <f t="shared" si="51"/>
        <v>802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I264" si="52">SUM(E262:E263)</f>
        <v>211</v>
      </c>
      <c r="F264" s="13">
        <f t="shared" si="52"/>
        <v>212</v>
      </c>
      <c r="G264" s="13">
        <f t="shared" si="52"/>
        <v>229</v>
      </c>
      <c r="H264" s="13">
        <f t="shared" si="52"/>
        <v>226</v>
      </c>
      <c r="I264" s="13">
        <f t="shared" si="52"/>
        <v>191</v>
      </c>
      <c r="J264" s="13">
        <f t="shared" si="52"/>
        <v>215</v>
      </c>
      <c r="K264" s="13">
        <f t="shared" si="52"/>
        <v>229</v>
      </c>
      <c r="L264" s="13">
        <f t="shared" si="52"/>
        <v>195</v>
      </c>
      <c r="M264" s="13">
        <f t="shared" si="52"/>
        <v>203</v>
      </c>
      <c r="N264" s="13">
        <f t="shared" si="52"/>
        <v>221</v>
      </c>
      <c r="O264" s="13">
        <f t="shared" si="52"/>
        <v>214</v>
      </c>
      <c r="P264" s="13">
        <f t="shared" si="52"/>
        <v>232</v>
      </c>
      <c r="Q264" s="13">
        <f t="shared" si="52"/>
        <v>199</v>
      </c>
      <c r="R264" s="13">
        <f t="shared" si="52"/>
        <v>213</v>
      </c>
      <c r="S264" s="13">
        <f t="shared" si="52"/>
        <v>212</v>
      </c>
      <c r="T264" s="13">
        <f t="shared" si="52"/>
        <v>197</v>
      </c>
      <c r="U264" s="13">
        <f t="shared" si="52"/>
        <v>223</v>
      </c>
      <c r="V264" s="13">
        <f t="shared" si="52"/>
        <v>204</v>
      </c>
      <c r="W264" s="13">
        <f t="shared" si="52"/>
        <v>203</v>
      </c>
      <c r="X264" s="13">
        <f t="shared" si="52"/>
        <v>196</v>
      </c>
      <c r="Y264" s="13">
        <f t="shared" si="52"/>
        <v>223</v>
      </c>
      <c r="Z264" s="13">
        <f t="shared" si="52"/>
        <v>212</v>
      </c>
      <c r="AA264" s="13">
        <f t="shared" si="52"/>
        <v>232</v>
      </c>
      <c r="AB264" s="13">
        <f t="shared" si="52"/>
        <v>189</v>
      </c>
      <c r="AC264" s="13">
        <f t="shared" si="52"/>
        <v>220</v>
      </c>
      <c r="AD264" s="13">
        <f t="shared" si="52"/>
        <v>206</v>
      </c>
      <c r="AE264" s="13">
        <f t="shared" si="52"/>
        <v>223</v>
      </c>
      <c r="AF264" s="13">
        <f t="shared" si="52"/>
        <v>214</v>
      </c>
      <c r="AG264" s="13">
        <f t="shared" si="52"/>
        <v>226</v>
      </c>
      <c r="AH264" s="13">
        <f t="shared" si="52"/>
        <v>227</v>
      </c>
      <c r="AI264" s="13">
        <f t="shared" si="52"/>
        <v>227</v>
      </c>
      <c r="AJ264" s="13">
        <f t="shared" si="51"/>
        <v>6624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V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I15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E30&lt;&gt;E47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E34&lt;&gt;E64</formula>
    </cfRule>
  </conditionalFormatting>
  <conditionalFormatting sqref="E45:AI54">
    <cfRule type="containsBlanks" dxfId="1" priority="10">
      <formula>LEN(TRIM(E45))=0</formula>
    </cfRule>
  </conditionalFormatting>
  <conditionalFormatting sqref="E57:AI66">
    <cfRule type="containsBlanks" dxfId="1" priority="11">
      <formula>LEN(TRIM(E57))=0</formula>
    </cfRule>
  </conditionalFormatting>
  <conditionalFormatting sqref="E69:AI78">
    <cfRule type="containsBlanks" dxfId="1" priority="12">
      <formula>LEN(TRIM(E69))=0</formula>
    </cfRule>
  </conditionalFormatting>
  <conditionalFormatting sqref="E81:AI90">
    <cfRule type="containsBlanks" dxfId="1" priority="13">
      <formula>LEN(TRIM(E81))=0</formula>
    </cfRule>
  </conditionalFormatting>
  <conditionalFormatting sqref="E93:AI102">
    <cfRule type="containsBlanks" dxfId="1" priority="14">
      <formula>LEN(TRIM(E93))=0</formula>
    </cfRule>
  </conditionalFormatting>
  <conditionalFormatting sqref="E105:AI114">
    <cfRule type="containsBlanks" dxfId="1" priority="15">
      <formula>LEN(TRIM(E105))=0</formula>
    </cfRule>
  </conditionalFormatting>
  <conditionalFormatting sqref="E117:AI126">
    <cfRule type="containsBlanks" dxfId="1" priority="16">
      <formula>LEN(TRIM(E117))=0</formula>
    </cfRule>
  </conditionalFormatting>
  <conditionalFormatting sqref="E129:AI138">
    <cfRule type="containsBlanks" dxfId="1" priority="17">
      <formula>LEN(TRIM(E129))=0</formula>
    </cfRule>
  </conditionalFormatting>
  <conditionalFormatting sqref="E141:AI150">
    <cfRule type="containsBlanks" dxfId="1" priority="18">
      <formula>LEN(TRIM(E141))=0</formula>
    </cfRule>
  </conditionalFormatting>
  <conditionalFormatting sqref="E153:AI162">
    <cfRule type="containsBlanks" dxfId="1" priority="19">
      <formula>LEN(TRIM(E153))=0</formula>
    </cfRule>
  </conditionalFormatting>
  <conditionalFormatting sqref="E165:AI174">
    <cfRule type="containsBlanks" dxfId="1" priority="20">
      <formula>LEN(TRIM(E165))=0</formula>
    </cfRule>
  </conditionalFormatting>
  <conditionalFormatting sqref="E177:AI186">
    <cfRule type="containsBlanks" dxfId="1" priority="21">
      <formula>LEN(TRIM(E177))=0</formula>
    </cfRule>
  </conditionalFormatting>
  <conditionalFormatting sqref="E189:AI198">
    <cfRule type="containsBlanks" dxfId="1" priority="22">
      <formula>LEN(TRIM(E189))=0</formula>
    </cfRule>
  </conditionalFormatting>
  <conditionalFormatting sqref="E201:AI210">
    <cfRule type="containsBlanks" dxfId="1" priority="23">
      <formula>LEN(TRIM(E201))=0</formula>
    </cfRule>
  </conditionalFormatting>
  <conditionalFormatting sqref="E213:AI222">
    <cfRule type="containsBlanks" dxfId="1" priority="24">
      <formula>LEN(TRIM(E213))=0</formula>
    </cfRule>
  </conditionalFormatting>
  <conditionalFormatting sqref="E225:AI234">
    <cfRule type="containsBlanks" dxfId="1" priority="25">
      <formula>LEN(TRIM(E225))=0</formula>
    </cfRule>
  </conditionalFormatting>
  <conditionalFormatting sqref="E237:AI246">
    <cfRule type="containsBlanks" dxfId="1" priority="26">
      <formula>LEN(TRIM(E237))=0</formula>
    </cfRule>
  </conditionalFormatting>
  <conditionalFormatting sqref="E249:AI258">
    <cfRule type="containsBlanks" dxfId="1" priority="27">
      <formula>LEN(TRIM(E249))=0</formula>
    </cfRule>
  </conditionalFormatting>
  <conditionalFormatting sqref="E262:AI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132.0</v>
      </c>
      <c r="G14" s="19">
        <v>142.0</v>
      </c>
      <c r="H14" s="19">
        <v>138.0</v>
      </c>
      <c r="I14" s="19">
        <v>136.0</v>
      </c>
      <c r="J14" s="19">
        <v>115.0</v>
      </c>
      <c r="K14" s="19">
        <v>118.0</v>
      </c>
      <c r="L14" s="19">
        <v>107.0</v>
      </c>
      <c r="M14" s="19">
        <v>150.0</v>
      </c>
      <c r="N14" s="19">
        <v>140.0</v>
      </c>
      <c r="O14" s="19">
        <v>90.0</v>
      </c>
      <c r="P14" s="19">
        <v>91.0</v>
      </c>
      <c r="Q14" s="19">
        <v>134.0</v>
      </c>
      <c r="R14" s="19">
        <v>109.0</v>
      </c>
      <c r="S14" s="19">
        <v>136.0</v>
      </c>
      <c r="T14" s="19">
        <v>100.0</v>
      </c>
      <c r="U14" s="19">
        <v>130.0</v>
      </c>
      <c r="V14" s="19">
        <v>139.0</v>
      </c>
      <c r="W14" s="19">
        <v>134.0</v>
      </c>
      <c r="X14" s="19">
        <v>135.0</v>
      </c>
      <c r="Y14" s="19">
        <v>123.0</v>
      </c>
      <c r="Z14" s="19">
        <v>149.0</v>
      </c>
      <c r="AA14" s="19">
        <v>143.0</v>
      </c>
      <c r="AB14" s="13">
        <f t="shared" ref="AB14:AB16" si="1">SUM(E14:AA14)</f>
        <v>2924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134.0</v>
      </c>
      <c r="G15" s="19">
        <v>140.0</v>
      </c>
      <c r="H15" s="19">
        <v>136.0</v>
      </c>
      <c r="I15" s="19">
        <v>142.0</v>
      </c>
      <c r="J15" s="19">
        <v>119.0</v>
      </c>
      <c r="K15" s="19">
        <v>112.0</v>
      </c>
      <c r="L15" s="19">
        <v>104.0</v>
      </c>
      <c r="M15" s="19">
        <v>127.0</v>
      </c>
      <c r="N15" s="19">
        <v>144.0</v>
      </c>
      <c r="O15" s="19">
        <v>88.0</v>
      </c>
      <c r="P15" s="19">
        <v>85.0</v>
      </c>
      <c r="Q15" s="19">
        <v>119.0</v>
      </c>
      <c r="R15" s="19">
        <v>119.0</v>
      </c>
      <c r="S15" s="19">
        <v>143.0</v>
      </c>
      <c r="T15" s="19">
        <v>99.0</v>
      </c>
      <c r="U15" s="19">
        <v>146.0</v>
      </c>
      <c r="V15" s="19">
        <v>139.0</v>
      </c>
      <c r="W15" s="19">
        <v>131.0</v>
      </c>
      <c r="X15" s="19">
        <v>148.0</v>
      </c>
      <c r="Y15" s="19">
        <v>120.0</v>
      </c>
      <c r="Z15" s="19">
        <v>144.0</v>
      </c>
      <c r="AA15" s="19">
        <v>140.0</v>
      </c>
      <c r="AB15" s="13">
        <f t="shared" si="1"/>
        <v>2927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281</v>
      </c>
      <c r="F16" s="13">
        <f t="shared" si="2"/>
        <v>266</v>
      </c>
      <c r="G16" s="13">
        <f t="shared" si="2"/>
        <v>282</v>
      </c>
      <c r="H16" s="13">
        <f t="shared" si="2"/>
        <v>274</v>
      </c>
      <c r="I16" s="13">
        <f t="shared" si="2"/>
        <v>278</v>
      </c>
      <c r="J16" s="13">
        <f t="shared" si="2"/>
        <v>234</v>
      </c>
      <c r="K16" s="13">
        <f t="shared" si="2"/>
        <v>230</v>
      </c>
      <c r="L16" s="13">
        <f t="shared" si="2"/>
        <v>211</v>
      </c>
      <c r="M16" s="13">
        <f t="shared" si="2"/>
        <v>277</v>
      </c>
      <c r="N16" s="13">
        <f t="shared" si="2"/>
        <v>284</v>
      </c>
      <c r="O16" s="13">
        <f t="shared" si="2"/>
        <v>178</v>
      </c>
      <c r="P16" s="13">
        <f t="shared" si="2"/>
        <v>176</v>
      </c>
      <c r="Q16" s="13">
        <f t="shared" si="2"/>
        <v>253</v>
      </c>
      <c r="R16" s="13">
        <f t="shared" si="2"/>
        <v>228</v>
      </c>
      <c r="S16" s="13">
        <f t="shared" si="2"/>
        <v>279</v>
      </c>
      <c r="T16" s="13">
        <f t="shared" si="2"/>
        <v>199</v>
      </c>
      <c r="U16" s="13">
        <f t="shared" si="2"/>
        <v>276</v>
      </c>
      <c r="V16" s="13">
        <f t="shared" si="2"/>
        <v>278</v>
      </c>
      <c r="W16" s="13">
        <f t="shared" si="2"/>
        <v>265</v>
      </c>
      <c r="X16" s="13">
        <f t="shared" si="2"/>
        <v>283</v>
      </c>
      <c r="Y16" s="13">
        <f t="shared" si="2"/>
        <v>243</v>
      </c>
      <c r="Z16" s="13">
        <f t="shared" si="2"/>
        <v>293</v>
      </c>
      <c r="AA16" s="13">
        <f t="shared" si="2"/>
        <v>283</v>
      </c>
      <c r="AB16" s="13">
        <f t="shared" si="1"/>
        <v>5851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102.0</v>
      </c>
      <c r="G19" s="19">
        <v>111.0</v>
      </c>
      <c r="H19" s="19">
        <v>105.0</v>
      </c>
      <c r="I19" s="19">
        <v>108.0</v>
      </c>
      <c r="J19" s="19">
        <v>91.0</v>
      </c>
      <c r="K19" s="19">
        <v>95.0</v>
      </c>
      <c r="L19" s="19">
        <v>80.0</v>
      </c>
      <c r="M19" s="19">
        <v>109.0</v>
      </c>
      <c r="N19" s="19">
        <v>124.0</v>
      </c>
      <c r="O19" s="19">
        <v>77.0</v>
      </c>
      <c r="P19" s="19">
        <v>80.0</v>
      </c>
      <c r="Q19" s="19">
        <v>100.0</v>
      </c>
      <c r="R19" s="19">
        <v>89.0</v>
      </c>
      <c r="S19" s="19">
        <v>110.0</v>
      </c>
      <c r="T19" s="19">
        <v>79.0</v>
      </c>
      <c r="U19" s="19">
        <v>106.0</v>
      </c>
      <c r="V19" s="19">
        <v>107.0</v>
      </c>
      <c r="W19" s="19">
        <v>113.0</v>
      </c>
      <c r="X19" s="19">
        <v>111.0</v>
      </c>
      <c r="Y19" s="19">
        <v>100.0</v>
      </c>
      <c r="Z19" s="19">
        <v>103.0</v>
      </c>
      <c r="AA19" s="19">
        <v>116.0</v>
      </c>
      <c r="AB19" s="13">
        <f t="shared" ref="AB19:AB30" si="3">SUM(E19:AA19)</f>
        <v>2321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114.0</v>
      </c>
      <c r="G20" s="19">
        <v>116.0</v>
      </c>
      <c r="H20" s="19">
        <v>105.0</v>
      </c>
      <c r="I20" s="19">
        <v>119.0</v>
      </c>
      <c r="J20" s="19">
        <v>101.0</v>
      </c>
      <c r="K20" s="19">
        <v>95.0</v>
      </c>
      <c r="L20" s="19">
        <v>87.0</v>
      </c>
      <c r="M20" s="19">
        <v>102.0</v>
      </c>
      <c r="N20" s="19">
        <v>126.0</v>
      </c>
      <c r="O20" s="19">
        <v>75.0</v>
      </c>
      <c r="P20" s="19">
        <v>75.0</v>
      </c>
      <c r="Q20" s="19">
        <v>93.0</v>
      </c>
      <c r="R20" s="19">
        <v>98.0</v>
      </c>
      <c r="S20" s="19">
        <v>122.0</v>
      </c>
      <c r="T20" s="19">
        <v>73.0</v>
      </c>
      <c r="U20" s="19">
        <v>125.0</v>
      </c>
      <c r="V20" s="19">
        <v>115.0</v>
      </c>
      <c r="W20" s="19">
        <v>114.0</v>
      </c>
      <c r="X20" s="19">
        <v>125.0</v>
      </c>
      <c r="Y20" s="19">
        <v>99.0</v>
      </c>
      <c r="Z20" s="19">
        <v>117.0</v>
      </c>
      <c r="AA20" s="19">
        <v>112.0</v>
      </c>
      <c r="AB20" s="13">
        <f t="shared" si="3"/>
        <v>2424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221</v>
      </c>
      <c r="F21" s="13">
        <f t="shared" si="4"/>
        <v>216</v>
      </c>
      <c r="G21" s="13">
        <f t="shared" si="4"/>
        <v>227</v>
      </c>
      <c r="H21" s="13">
        <f t="shared" si="4"/>
        <v>210</v>
      </c>
      <c r="I21" s="13">
        <f t="shared" si="4"/>
        <v>227</v>
      </c>
      <c r="J21" s="13">
        <f t="shared" si="4"/>
        <v>192</v>
      </c>
      <c r="K21" s="13">
        <f t="shared" si="4"/>
        <v>190</v>
      </c>
      <c r="L21" s="13">
        <f t="shared" si="4"/>
        <v>167</v>
      </c>
      <c r="M21" s="13">
        <f t="shared" si="4"/>
        <v>211</v>
      </c>
      <c r="N21" s="13">
        <f t="shared" si="4"/>
        <v>250</v>
      </c>
      <c r="O21" s="13">
        <f t="shared" si="4"/>
        <v>152</v>
      </c>
      <c r="P21" s="13">
        <f t="shared" si="4"/>
        <v>155</v>
      </c>
      <c r="Q21" s="13">
        <f t="shared" si="4"/>
        <v>193</v>
      </c>
      <c r="R21" s="13">
        <f t="shared" si="4"/>
        <v>187</v>
      </c>
      <c r="S21" s="13">
        <f t="shared" si="4"/>
        <v>232</v>
      </c>
      <c r="T21" s="13">
        <f t="shared" si="4"/>
        <v>152</v>
      </c>
      <c r="U21" s="13">
        <f t="shared" si="4"/>
        <v>231</v>
      </c>
      <c r="V21" s="13">
        <f t="shared" si="4"/>
        <v>222</v>
      </c>
      <c r="W21" s="13">
        <f t="shared" si="4"/>
        <v>227</v>
      </c>
      <c r="X21" s="13">
        <f t="shared" si="4"/>
        <v>236</v>
      </c>
      <c r="Y21" s="13">
        <f t="shared" si="4"/>
        <v>199</v>
      </c>
      <c r="Z21" s="13">
        <f t="shared" si="4"/>
        <v>220</v>
      </c>
      <c r="AA21" s="13">
        <f t="shared" si="4"/>
        <v>228</v>
      </c>
      <c r="AB21" s="13">
        <f t="shared" si="3"/>
        <v>4745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2.0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9"/>
      <c r="AA22" s="19"/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3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3.0</v>
      </c>
      <c r="I25" s="19">
        <v>1.0</v>
      </c>
      <c r="J25" s="19">
        <v>2.0</v>
      </c>
      <c r="K25" s="19">
        <v>2.0</v>
      </c>
      <c r="L25" s="19">
        <v>0.0</v>
      </c>
      <c r="M25" s="19">
        <v>0.0</v>
      </c>
      <c r="N25" s="19">
        <v>0.0</v>
      </c>
      <c r="O25" s="19">
        <v>1.0</v>
      </c>
      <c r="P25" s="19">
        <v>1.0</v>
      </c>
      <c r="Q25" s="19">
        <v>2.0</v>
      </c>
      <c r="R25" s="19">
        <v>0.0</v>
      </c>
      <c r="S25" s="19">
        <v>0.0</v>
      </c>
      <c r="T25" s="19">
        <v>0.0</v>
      </c>
      <c r="U25" s="19">
        <v>0.0</v>
      </c>
      <c r="V25" s="19">
        <v>1.0</v>
      </c>
      <c r="W25" s="19">
        <v>0.0</v>
      </c>
      <c r="X25" s="19">
        <v>1.0</v>
      </c>
      <c r="Y25" s="19">
        <v>0.0</v>
      </c>
      <c r="Z25" s="19">
        <v>1.0</v>
      </c>
      <c r="AA25" s="19">
        <v>0.0</v>
      </c>
      <c r="AB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2.0</v>
      </c>
      <c r="H26" s="19">
        <v>1.0</v>
      </c>
      <c r="I26" s="19">
        <v>0.0</v>
      </c>
      <c r="J26" s="19">
        <v>0.0</v>
      </c>
      <c r="K26" s="19">
        <v>3.0</v>
      </c>
      <c r="L26" s="19">
        <v>1.0</v>
      </c>
      <c r="M26" s="19">
        <v>0.0</v>
      </c>
      <c r="N26" s="19">
        <v>0.0</v>
      </c>
      <c r="O26" s="19">
        <v>1.0</v>
      </c>
      <c r="P26" s="19">
        <v>0.0</v>
      </c>
      <c r="Q26" s="19">
        <v>0.0</v>
      </c>
      <c r="R26" s="19">
        <v>2.0</v>
      </c>
      <c r="S26" s="19">
        <v>0.0</v>
      </c>
      <c r="T26" s="19">
        <v>0.0</v>
      </c>
      <c r="U26" s="19">
        <v>1.0</v>
      </c>
      <c r="V26" s="19">
        <v>3.0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3">
        <f t="shared" si="3"/>
        <v>16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2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1</v>
      </c>
      <c r="J27" s="13">
        <f t="shared" si="6"/>
        <v>2</v>
      </c>
      <c r="K27" s="13">
        <f t="shared" si="6"/>
        <v>5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6"/>
        <v>1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4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3"/>
        <v>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105</v>
      </c>
      <c r="F28" s="13">
        <f t="shared" si="7"/>
        <v>102</v>
      </c>
      <c r="G28" s="13">
        <f t="shared" si="7"/>
        <v>111</v>
      </c>
      <c r="H28" s="13">
        <f t="shared" si="7"/>
        <v>110</v>
      </c>
      <c r="I28" s="13">
        <f t="shared" si="7"/>
        <v>109</v>
      </c>
      <c r="J28" s="13">
        <f t="shared" si="7"/>
        <v>93</v>
      </c>
      <c r="K28" s="13">
        <f t="shared" si="7"/>
        <v>97</v>
      </c>
      <c r="L28" s="13">
        <f t="shared" si="7"/>
        <v>80</v>
      </c>
      <c r="M28" s="13">
        <f t="shared" si="7"/>
        <v>109</v>
      </c>
      <c r="N28" s="13">
        <f t="shared" si="7"/>
        <v>124</v>
      </c>
      <c r="O28" s="13">
        <f t="shared" si="7"/>
        <v>78</v>
      </c>
      <c r="P28" s="13">
        <f t="shared" si="7"/>
        <v>81</v>
      </c>
      <c r="Q28" s="13">
        <f t="shared" si="7"/>
        <v>102</v>
      </c>
      <c r="R28" s="13">
        <f t="shared" si="7"/>
        <v>89</v>
      </c>
      <c r="S28" s="13">
        <f t="shared" si="7"/>
        <v>110</v>
      </c>
      <c r="T28" s="13">
        <f t="shared" si="7"/>
        <v>79</v>
      </c>
      <c r="U28" s="13">
        <f t="shared" si="7"/>
        <v>106</v>
      </c>
      <c r="V28" s="13">
        <f t="shared" si="7"/>
        <v>108</v>
      </c>
      <c r="W28" s="13">
        <f t="shared" si="7"/>
        <v>113</v>
      </c>
      <c r="X28" s="13">
        <f t="shared" si="7"/>
        <v>112</v>
      </c>
      <c r="Y28" s="13">
        <f t="shared" si="7"/>
        <v>100</v>
      </c>
      <c r="Z28" s="13">
        <f t="shared" si="7"/>
        <v>104</v>
      </c>
      <c r="AA28" s="13">
        <f t="shared" si="7"/>
        <v>116</v>
      </c>
      <c r="AB28" s="13">
        <f t="shared" si="3"/>
        <v>2338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118</v>
      </c>
      <c r="F29" s="13">
        <f t="shared" si="8"/>
        <v>115</v>
      </c>
      <c r="G29" s="13">
        <f t="shared" si="8"/>
        <v>118</v>
      </c>
      <c r="H29" s="13">
        <f t="shared" si="8"/>
        <v>107</v>
      </c>
      <c r="I29" s="13">
        <f t="shared" si="8"/>
        <v>119</v>
      </c>
      <c r="J29" s="13">
        <f t="shared" si="8"/>
        <v>101</v>
      </c>
      <c r="K29" s="13">
        <f t="shared" si="8"/>
        <v>98</v>
      </c>
      <c r="L29" s="13">
        <f t="shared" si="8"/>
        <v>88</v>
      </c>
      <c r="M29" s="13">
        <f t="shared" si="8"/>
        <v>102</v>
      </c>
      <c r="N29" s="13">
        <f t="shared" si="8"/>
        <v>126</v>
      </c>
      <c r="O29" s="13">
        <f t="shared" si="8"/>
        <v>76</v>
      </c>
      <c r="P29" s="13">
        <f t="shared" si="8"/>
        <v>75</v>
      </c>
      <c r="Q29" s="13">
        <f t="shared" si="8"/>
        <v>93</v>
      </c>
      <c r="R29" s="13">
        <f t="shared" si="8"/>
        <v>100</v>
      </c>
      <c r="S29" s="13">
        <f t="shared" si="8"/>
        <v>122</v>
      </c>
      <c r="T29" s="13">
        <f t="shared" si="8"/>
        <v>73</v>
      </c>
      <c r="U29" s="13">
        <f t="shared" si="8"/>
        <v>126</v>
      </c>
      <c r="V29" s="13">
        <f t="shared" si="8"/>
        <v>118</v>
      </c>
      <c r="W29" s="13">
        <f t="shared" si="8"/>
        <v>114</v>
      </c>
      <c r="X29" s="13">
        <f t="shared" si="8"/>
        <v>125</v>
      </c>
      <c r="Y29" s="13">
        <f t="shared" si="8"/>
        <v>99</v>
      </c>
      <c r="Z29" s="13">
        <f t="shared" si="8"/>
        <v>117</v>
      </c>
      <c r="AA29" s="13">
        <f t="shared" si="8"/>
        <v>112</v>
      </c>
      <c r="AB29" s="13">
        <f t="shared" si="3"/>
        <v>2442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223</v>
      </c>
      <c r="F30" s="13">
        <f t="shared" si="9"/>
        <v>217</v>
      </c>
      <c r="G30" s="13">
        <f t="shared" si="9"/>
        <v>229</v>
      </c>
      <c r="H30" s="13">
        <f t="shared" si="9"/>
        <v>217</v>
      </c>
      <c r="I30" s="13">
        <f t="shared" si="9"/>
        <v>228</v>
      </c>
      <c r="J30" s="13">
        <f t="shared" si="9"/>
        <v>194</v>
      </c>
      <c r="K30" s="13">
        <f t="shared" si="9"/>
        <v>195</v>
      </c>
      <c r="L30" s="13">
        <f t="shared" si="9"/>
        <v>168</v>
      </c>
      <c r="M30" s="13">
        <f t="shared" si="9"/>
        <v>211</v>
      </c>
      <c r="N30" s="13">
        <f t="shared" si="9"/>
        <v>250</v>
      </c>
      <c r="O30" s="13">
        <f t="shared" si="9"/>
        <v>154</v>
      </c>
      <c r="P30" s="13">
        <f t="shared" si="9"/>
        <v>156</v>
      </c>
      <c r="Q30" s="13">
        <f t="shared" si="9"/>
        <v>195</v>
      </c>
      <c r="R30" s="13">
        <f t="shared" si="9"/>
        <v>189</v>
      </c>
      <c r="S30" s="13">
        <f t="shared" si="9"/>
        <v>232</v>
      </c>
      <c r="T30" s="13">
        <f t="shared" si="9"/>
        <v>152</v>
      </c>
      <c r="U30" s="13">
        <f t="shared" si="9"/>
        <v>232</v>
      </c>
      <c r="V30" s="13">
        <f t="shared" si="9"/>
        <v>226</v>
      </c>
      <c r="W30" s="13">
        <f t="shared" si="9"/>
        <v>227</v>
      </c>
      <c r="X30" s="13">
        <f t="shared" si="9"/>
        <v>237</v>
      </c>
      <c r="Y30" s="13">
        <f t="shared" si="9"/>
        <v>199</v>
      </c>
      <c r="Z30" s="13">
        <f t="shared" si="9"/>
        <v>221</v>
      </c>
      <c r="AA30" s="13">
        <f t="shared" si="9"/>
        <v>228</v>
      </c>
      <c r="AB30" s="13">
        <f t="shared" si="3"/>
        <v>4780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76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271.0</v>
      </c>
      <c r="G33" s="19">
        <v>288.0</v>
      </c>
      <c r="H33" s="19">
        <v>280.0</v>
      </c>
      <c r="I33" s="19">
        <v>285.0</v>
      </c>
      <c r="J33" s="19">
        <v>239.0</v>
      </c>
      <c r="K33" s="19">
        <v>235.0</v>
      </c>
      <c r="L33" s="19">
        <v>217.0</v>
      </c>
      <c r="M33" s="19">
        <v>283.0</v>
      </c>
      <c r="N33" s="19">
        <v>290.0</v>
      </c>
      <c r="O33" s="19">
        <v>183.0</v>
      </c>
      <c r="P33" s="19">
        <v>191.0</v>
      </c>
      <c r="Q33" s="19">
        <v>259.0</v>
      </c>
      <c r="R33" s="19">
        <v>233.0</v>
      </c>
      <c r="S33" s="19">
        <v>286.0</v>
      </c>
      <c r="T33" s="19">
        <v>203.0</v>
      </c>
      <c r="U33" s="19">
        <v>282.0</v>
      </c>
      <c r="V33" s="19">
        <v>284.0</v>
      </c>
      <c r="W33" s="19">
        <v>271.0</v>
      </c>
      <c r="X33" s="19">
        <v>289.0</v>
      </c>
      <c r="Y33" s="19">
        <v>248.0</v>
      </c>
      <c r="Z33" s="19">
        <v>299.0</v>
      </c>
      <c r="AA33" s="19">
        <v>289.0</v>
      </c>
      <c r="AB33" s="13">
        <f t="shared" ref="AB33:AB36" si="10">SUM(E33:AA33)</f>
        <v>5992</v>
      </c>
    </row>
    <row r="34" ht="12.75" customHeight="1">
      <c r="A34" s="19">
        <v>2.0</v>
      </c>
      <c r="B34" s="20" t="s">
        <v>28</v>
      </c>
      <c r="C34" s="15"/>
      <c r="D34" s="16"/>
      <c r="E34" s="13">
        <v>223.0</v>
      </c>
      <c r="F34" s="13">
        <v>217.0</v>
      </c>
      <c r="G34" s="13">
        <v>229.0</v>
      </c>
      <c r="H34" s="13">
        <v>217.0</v>
      </c>
      <c r="I34" s="13">
        <v>228.0</v>
      </c>
      <c r="J34" s="13">
        <v>194.0</v>
      </c>
      <c r="K34" s="13">
        <v>195.0</v>
      </c>
      <c r="L34" s="13">
        <v>168.0</v>
      </c>
      <c r="M34" s="13">
        <v>211.0</v>
      </c>
      <c r="N34" s="13">
        <v>250.0</v>
      </c>
      <c r="O34" s="13">
        <v>154.0</v>
      </c>
      <c r="P34" s="13">
        <v>156.0</v>
      </c>
      <c r="Q34" s="13">
        <v>195.0</v>
      </c>
      <c r="R34" s="13">
        <v>189.0</v>
      </c>
      <c r="S34" s="13">
        <v>232.0</v>
      </c>
      <c r="T34" s="13">
        <v>152.0</v>
      </c>
      <c r="U34" s="13">
        <v>232.0</v>
      </c>
      <c r="V34" s="13">
        <v>226.0</v>
      </c>
      <c r="W34" s="13">
        <v>227.0</v>
      </c>
      <c r="X34" s="13">
        <v>237.0</v>
      </c>
      <c r="Y34" s="13">
        <v>199.0</v>
      </c>
      <c r="Z34" s="13">
        <v>221.0</v>
      </c>
      <c r="AA34" s="13">
        <v>228.0</v>
      </c>
      <c r="AB34" s="13">
        <f t="shared" si="10"/>
        <v>4780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1.0</v>
      </c>
      <c r="H35" s="19">
        <v>3.0</v>
      </c>
      <c r="I35" s="19">
        <v>1.0</v>
      </c>
      <c r="J35" s="19">
        <v>1.0</v>
      </c>
      <c r="K35" s="19">
        <v>0.0</v>
      </c>
      <c r="L35" s="19">
        <v>2.0</v>
      </c>
      <c r="M35" s="19">
        <v>0.0</v>
      </c>
      <c r="N35" s="19">
        <v>2.0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1.0</v>
      </c>
      <c r="Y35" s="19">
        <v>3.0</v>
      </c>
      <c r="Z35" s="19">
        <v>1.0</v>
      </c>
      <c r="AA35" s="19">
        <v>0.0</v>
      </c>
      <c r="AB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64</v>
      </c>
      <c r="F36" s="13">
        <f t="shared" si="11"/>
        <v>53</v>
      </c>
      <c r="G36" s="13">
        <f t="shared" si="11"/>
        <v>58</v>
      </c>
      <c r="H36" s="13">
        <f t="shared" si="11"/>
        <v>60</v>
      </c>
      <c r="I36" s="13">
        <f t="shared" si="11"/>
        <v>56</v>
      </c>
      <c r="J36" s="13">
        <f t="shared" si="11"/>
        <v>44</v>
      </c>
      <c r="K36" s="13">
        <f t="shared" si="11"/>
        <v>40</v>
      </c>
      <c r="L36" s="13">
        <f t="shared" si="11"/>
        <v>47</v>
      </c>
      <c r="M36" s="13">
        <f t="shared" si="11"/>
        <v>72</v>
      </c>
      <c r="N36" s="13">
        <f t="shared" si="11"/>
        <v>38</v>
      </c>
      <c r="O36" s="13">
        <f t="shared" si="11"/>
        <v>29</v>
      </c>
      <c r="P36" s="13">
        <f t="shared" si="11"/>
        <v>34</v>
      </c>
      <c r="Q36" s="13">
        <f t="shared" si="11"/>
        <v>64</v>
      </c>
      <c r="R36" s="13">
        <f t="shared" si="11"/>
        <v>44</v>
      </c>
      <c r="S36" s="13">
        <f t="shared" si="11"/>
        <v>54</v>
      </c>
      <c r="T36" s="13">
        <f t="shared" si="11"/>
        <v>51</v>
      </c>
      <c r="U36" s="13">
        <f t="shared" si="11"/>
        <v>50</v>
      </c>
      <c r="V36" s="13">
        <f t="shared" si="11"/>
        <v>56</v>
      </c>
      <c r="W36" s="13">
        <f t="shared" si="11"/>
        <v>44</v>
      </c>
      <c r="X36" s="13">
        <f t="shared" si="11"/>
        <v>51</v>
      </c>
      <c r="Y36" s="13">
        <f t="shared" si="11"/>
        <v>46</v>
      </c>
      <c r="Z36" s="13">
        <f t="shared" si="11"/>
        <v>77</v>
      </c>
      <c r="AA36" s="13">
        <f t="shared" si="11"/>
        <v>61</v>
      </c>
      <c r="AB36" s="13">
        <f t="shared" si="10"/>
        <v>1193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>
        <v>1.0</v>
      </c>
      <c r="J39" s="19"/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9"/>
      <c r="W39" s="19"/>
      <c r="X39" s="19"/>
      <c r="Y39" s="19"/>
      <c r="Z39" s="19"/>
      <c r="AA39" s="19"/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1.0</v>
      </c>
      <c r="J40" s="19"/>
      <c r="K40" s="19"/>
      <c r="L40" s="19">
        <v>1.0</v>
      </c>
      <c r="M40" s="19"/>
      <c r="N40" s="19"/>
      <c r="O40" s="19"/>
      <c r="P40" s="19"/>
      <c r="Q40" s="19"/>
      <c r="R40" s="19"/>
      <c r="S40" s="19"/>
      <c r="T40" s="19">
        <v>1.0</v>
      </c>
      <c r="U40" s="19"/>
      <c r="V40" s="19"/>
      <c r="W40" s="19"/>
      <c r="X40" s="19"/>
      <c r="Y40" s="19"/>
      <c r="Z40" s="19"/>
      <c r="AA40" s="19"/>
      <c r="AB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8.0</v>
      </c>
      <c r="G45" s="19">
        <v>2.0</v>
      </c>
      <c r="H45" s="19">
        <v>8.0</v>
      </c>
      <c r="I45" s="19">
        <v>1.0</v>
      </c>
      <c r="J45" s="19">
        <v>10.0</v>
      </c>
      <c r="K45" s="19">
        <v>3.0</v>
      </c>
      <c r="L45" s="19">
        <v>4.0</v>
      </c>
      <c r="M45" s="19">
        <v>8.0</v>
      </c>
      <c r="N45" s="19">
        <v>3.0</v>
      </c>
      <c r="O45" s="19">
        <v>4.0</v>
      </c>
      <c r="P45" s="19">
        <v>3.0</v>
      </c>
      <c r="Q45" s="19">
        <v>8.0</v>
      </c>
      <c r="R45" s="19">
        <v>1.0</v>
      </c>
      <c r="S45" s="19">
        <v>3.0</v>
      </c>
      <c r="T45" s="19">
        <v>3.0</v>
      </c>
      <c r="U45" s="19">
        <v>1.0</v>
      </c>
      <c r="V45" s="19">
        <v>4.0</v>
      </c>
      <c r="W45" s="19">
        <v>3.0</v>
      </c>
      <c r="X45" s="19">
        <v>8.0</v>
      </c>
      <c r="Y45" s="19">
        <v>5.0</v>
      </c>
      <c r="Z45" s="19">
        <v>2.0</v>
      </c>
      <c r="AA45" s="19">
        <v>3.0</v>
      </c>
      <c r="AB45" s="13">
        <f t="shared" ref="AB45:AB54" si="14">SUM(E45:AA45)</f>
        <v>100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59.0</v>
      </c>
      <c r="F46" s="19">
        <v>80.0</v>
      </c>
      <c r="G46" s="19">
        <v>30.0</v>
      </c>
      <c r="H46" s="19">
        <v>44.0</v>
      </c>
      <c r="I46" s="19">
        <v>9.0</v>
      </c>
      <c r="J46" s="19">
        <v>36.0</v>
      </c>
      <c r="K46" s="19">
        <v>24.0</v>
      </c>
      <c r="L46" s="19">
        <v>26.0</v>
      </c>
      <c r="M46" s="19">
        <v>23.0</v>
      </c>
      <c r="N46" s="19">
        <v>19.0</v>
      </c>
      <c r="O46" s="19">
        <v>22.0</v>
      </c>
      <c r="P46" s="19">
        <v>30.0</v>
      </c>
      <c r="Q46" s="19">
        <v>12.0</v>
      </c>
      <c r="R46" s="19">
        <v>37.0</v>
      </c>
      <c r="S46" s="19">
        <v>24.0</v>
      </c>
      <c r="T46" s="19">
        <v>12.0</v>
      </c>
      <c r="U46" s="19">
        <v>10.0</v>
      </c>
      <c r="V46" s="19">
        <v>5.0</v>
      </c>
      <c r="W46" s="19">
        <v>9.0</v>
      </c>
      <c r="X46" s="19">
        <v>12.0</v>
      </c>
      <c r="Y46" s="19">
        <v>5.0</v>
      </c>
      <c r="Z46" s="19">
        <v>10.0</v>
      </c>
      <c r="AA46" s="19">
        <v>14.0</v>
      </c>
      <c r="AB46" s="13">
        <f t="shared" si="14"/>
        <v>552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0.0</v>
      </c>
      <c r="G47" s="19">
        <v>0.0</v>
      </c>
      <c r="H47" s="19">
        <v>2.0</v>
      </c>
      <c r="I47" s="19">
        <v>0.0</v>
      </c>
      <c r="J47" s="19">
        <v>0.0</v>
      </c>
      <c r="K47" s="19">
        <v>2.0</v>
      </c>
      <c r="L47" s="19">
        <v>3.0</v>
      </c>
      <c r="M47" s="19">
        <v>0.0</v>
      </c>
      <c r="N47" s="19">
        <v>1.0</v>
      </c>
      <c r="O47" s="19">
        <v>3.0</v>
      </c>
      <c r="P47" s="19">
        <v>1.0</v>
      </c>
      <c r="Q47" s="19">
        <v>0.0</v>
      </c>
      <c r="R47" s="19">
        <v>0.0</v>
      </c>
      <c r="S47" s="19">
        <v>3.0</v>
      </c>
      <c r="T47" s="19">
        <v>0.0</v>
      </c>
      <c r="U47" s="19">
        <v>0.0</v>
      </c>
      <c r="V47" s="19">
        <v>0.0</v>
      </c>
      <c r="W47" s="19">
        <v>1.0</v>
      </c>
      <c r="X47" s="19">
        <v>0.0</v>
      </c>
      <c r="Y47" s="19">
        <v>2.0</v>
      </c>
      <c r="Z47" s="19">
        <v>0.0</v>
      </c>
      <c r="AA47" s="19">
        <v>2.0</v>
      </c>
      <c r="AB47" s="13">
        <f t="shared" si="14"/>
        <v>22</v>
      </c>
    </row>
    <row r="48" ht="12.75" customHeight="1">
      <c r="A48" s="18"/>
      <c r="B48" s="55">
        <v>3.0</v>
      </c>
      <c r="C48" s="50" t="s">
        <v>42</v>
      </c>
      <c r="D48" s="16"/>
      <c r="E48" s="19">
        <v>4.0</v>
      </c>
      <c r="F48" s="19">
        <v>0.0</v>
      </c>
      <c r="G48" s="19">
        <v>0.0</v>
      </c>
      <c r="H48" s="19">
        <v>0.0</v>
      </c>
      <c r="I48" s="19">
        <v>2.0</v>
      </c>
      <c r="J48" s="19">
        <v>2.0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1.0</v>
      </c>
      <c r="S48" s="19">
        <v>0.0</v>
      </c>
      <c r="T48" s="19">
        <v>0.0</v>
      </c>
      <c r="U48" s="19">
        <v>0.0</v>
      </c>
      <c r="V48" s="19">
        <v>0.0</v>
      </c>
      <c r="W48" s="19">
        <v>2.0</v>
      </c>
      <c r="X48" s="19">
        <v>0.0</v>
      </c>
      <c r="Y48" s="19">
        <v>0.0</v>
      </c>
      <c r="Z48" s="19">
        <v>0.0</v>
      </c>
      <c r="AA48" s="19">
        <v>1.0</v>
      </c>
      <c r="AB48" s="13">
        <f t="shared" si="14"/>
        <v>12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1.0</v>
      </c>
      <c r="G49" s="19">
        <v>0.0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2.0</v>
      </c>
      <c r="O49" s="19">
        <v>1.0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2.0</v>
      </c>
      <c r="V49" s="19">
        <v>0.0</v>
      </c>
      <c r="W49" s="19">
        <v>0.0</v>
      </c>
      <c r="X49" s="19">
        <v>0.0</v>
      </c>
      <c r="Y49" s="19">
        <v>0.0</v>
      </c>
      <c r="Z49" s="19">
        <v>1.0</v>
      </c>
      <c r="AA49" s="19">
        <v>0.0</v>
      </c>
      <c r="AB49" s="13">
        <f t="shared" si="14"/>
        <v>10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1.0</v>
      </c>
      <c r="L50" s="19">
        <v>1.0</v>
      </c>
      <c r="M50" s="19">
        <v>2.0</v>
      </c>
      <c r="N50" s="19">
        <v>2.0</v>
      </c>
      <c r="O50" s="19">
        <v>0.0</v>
      </c>
      <c r="P50" s="19">
        <v>0.0</v>
      </c>
      <c r="Q50" s="19">
        <v>1.0</v>
      </c>
      <c r="R50" s="19">
        <v>1.0</v>
      </c>
      <c r="S50" s="19">
        <v>1.0</v>
      </c>
      <c r="T50" s="19">
        <v>0.0</v>
      </c>
      <c r="U50" s="19">
        <v>1.0</v>
      </c>
      <c r="V50" s="19">
        <v>1.0</v>
      </c>
      <c r="W50" s="19">
        <v>1.0</v>
      </c>
      <c r="X50" s="19">
        <v>1.0</v>
      </c>
      <c r="Y50" s="19">
        <v>1.0</v>
      </c>
      <c r="Z50" s="19">
        <v>0.0</v>
      </c>
      <c r="AA50" s="19">
        <v>0.0</v>
      </c>
      <c r="AB50" s="13">
        <f t="shared" si="14"/>
        <v>15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1.0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1.0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9">
        <v>1.0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3">
        <f t="shared" si="14"/>
        <v>7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2.0</v>
      </c>
      <c r="I52" s="19">
        <v>0.0</v>
      </c>
      <c r="J52" s="19">
        <v>0.0</v>
      </c>
      <c r="K52" s="19">
        <v>0.0</v>
      </c>
      <c r="L52" s="19">
        <v>2.0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1.0</v>
      </c>
      <c r="V52" s="19">
        <v>0.0</v>
      </c>
      <c r="W52" s="19">
        <v>2.0</v>
      </c>
      <c r="X52" s="19">
        <v>1.0</v>
      </c>
      <c r="Y52" s="19">
        <v>0.0</v>
      </c>
      <c r="Z52" s="19">
        <v>0.0</v>
      </c>
      <c r="AA52" s="19">
        <v>0.0</v>
      </c>
      <c r="AB52" s="13">
        <f t="shared" si="14"/>
        <v>9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B55" si="15">SUM(E45:E54)</f>
        <v>74</v>
      </c>
      <c r="F55" s="13">
        <f t="shared" si="15"/>
        <v>90</v>
      </c>
      <c r="G55" s="13">
        <f t="shared" si="15"/>
        <v>33</v>
      </c>
      <c r="H55" s="13">
        <f t="shared" si="15"/>
        <v>57</v>
      </c>
      <c r="I55" s="13">
        <f t="shared" si="15"/>
        <v>13</v>
      </c>
      <c r="J55" s="13">
        <f t="shared" si="15"/>
        <v>48</v>
      </c>
      <c r="K55" s="13">
        <f t="shared" si="15"/>
        <v>30</v>
      </c>
      <c r="L55" s="13">
        <f t="shared" si="15"/>
        <v>37</v>
      </c>
      <c r="M55" s="13">
        <f t="shared" si="15"/>
        <v>34</v>
      </c>
      <c r="N55" s="13">
        <f t="shared" si="15"/>
        <v>27</v>
      </c>
      <c r="O55" s="13">
        <f t="shared" si="15"/>
        <v>30</v>
      </c>
      <c r="P55" s="13">
        <f t="shared" si="15"/>
        <v>34</v>
      </c>
      <c r="Q55" s="13">
        <f t="shared" si="15"/>
        <v>22</v>
      </c>
      <c r="R55" s="13">
        <f t="shared" si="15"/>
        <v>40</v>
      </c>
      <c r="S55" s="13">
        <f t="shared" si="15"/>
        <v>32</v>
      </c>
      <c r="T55" s="13">
        <f t="shared" si="15"/>
        <v>15</v>
      </c>
      <c r="U55" s="13">
        <f t="shared" si="15"/>
        <v>15</v>
      </c>
      <c r="V55" s="13">
        <f t="shared" si="15"/>
        <v>10</v>
      </c>
      <c r="W55" s="13">
        <f t="shared" si="15"/>
        <v>18</v>
      </c>
      <c r="X55" s="13">
        <f t="shared" si="15"/>
        <v>22</v>
      </c>
      <c r="Y55" s="13">
        <f t="shared" si="15"/>
        <v>13</v>
      </c>
      <c r="Z55" s="13">
        <f t="shared" si="15"/>
        <v>13</v>
      </c>
      <c r="AA55" s="13">
        <f t="shared" si="15"/>
        <v>20</v>
      </c>
      <c r="AB55" s="13">
        <f t="shared" si="15"/>
        <v>727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3.0</v>
      </c>
      <c r="F57" s="19">
        <v>3.0</v>
      </c>
      <c r="G57" s="19">
        <v>4.0</v>
      </c>
      <c r="H57" s="19">
        <v>2.0</v>
      </c>
      <c r="I57" s="19">
        <v>12.0</v>
      </c>
      <c r="J57" s="19">
        <v>5.0</v>
      </c>
      <c r="K57" s="19">
        <v>7.0</v>
      </c>
      <c r="L57" s="19">
        <v>4.0</v>
      </c>
      <c r="M57" s="19">
        <v>6.0</v>
      </c>
      <c r="N57" s="19">
        <v>8.0</v>
      </c>
      <c r="O57" s="19">
        <v>1.0</v>
      </c>
      <c r="P57" s="19">
        <v>4.0</v>
      </c>
      <c r="Q57" s="19">
        <v>8.0</v>
      </c>
      <c r="R57" s="19">
        <v>6.0</v>
      </c>
      <c r="S57" s="19">
        <v>2.0</v>
      </c>
      <c r="T57" s="19">
        <v>4.0</v>
      </c>
      <c r="U57" s="19">
        <v>4.0</v>
      </c>
      <c r="V57" s="19">
        <v>4.0</v>
      </c>
      <c r="W57" s="19">
        <v>9.0</v>
      </c>
      <c r="X57" s="19">
        <v>17.0</v>
      </c>
      <c r="Y57" s="19">
        <v>14.0</v>
      </c>
      <c r="Z57" s="19">
        <v>6.0</v>
      </c>
      <c r="AA57" s="19">
        <v>8.0</v>
      </c>
      <c r="AB57" s="13">
        <f t="shared" ref="AB57:AB66" si="16">SUM(E57:AA57)</f>
        <v>141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8.0</v>
      </c>
      <c r="F58" s="19">
        <v>4.0</v>
      </c>
      <c r="G58" s="19">
        <v>8.0</v>
      </c>
      <c r="H58" s="19">
        <v>2.0</v>
      </c>
      <c r="I58" s="19">
        <v>4.0</v>
      </c>
      <c r="J58" s="19">
        <v>5.0</v>
      </c>
      <c r="K58" s="19">
        <v>1.0</v>
      </c>
      <c r="L58" s="19">
        <v>0.0</v>
      </c>
      <c r="M58" s="19">
        <v>2.0</v>
      </c>
      <c r="N58" s="19">
        <v>7.0</v>
      </c>
      <c r="O58" s="19">
        <v>3.0</v>
      </c>
      <c r="P58" s="19">
        <v>0.0</v>
      </c>
      <c r="Q58" s="19">
        <v>4.0</v>
      </c>
      <c r="R58" s="19">
        <v>4.0</v>
      </c>
      <c r="S58" s="19">
        <v>6.0</v>
      </c>
      <c r="T58" s="19">
        <v>5.0</v>
      </c>
      <c r="U58" s="19">
        <v>5.0</v>
      </c>
      <c r="V58" s="19">
        <v>1.0</v>
      </c>
      <c r="W58" s="19">
        <v>9.0</v>
      </c>
      <c r="X58" s="19">
        <v>8.0</v>
      </c>
      <c r="Y58" s="19">
        <v>5.0</v>
      </c>
      <c r="Z58" s="19">
        <v>7.0</v>
      </c>
      <c r="AA58" s="19">
        <v>8.0</v>
      </c>
      <c r="AB58" s="13">
        <f t="shared" si="16"/>
        <v>106</v>
      </c>
    </row>
    <row r="59" ht="12.75" customHeight="1">
      <c r="A59" s="18"/>
      <c r="B59" s="55">
        <v>2.0</v>
      </c>
      <c r="C59" s="50" t="s">
        <v>50</v>
      </c>
      <c r="D59" s="59"/>
      <c r="E59" s="19">
        <v>30.0</v>
      </c>
      <c r="F59" s="19">
        <v>12.0</v>
      </c>
      <c r="G59" s="19">
        <v>16.0</v>
      </c>
      <c r="H59" s="19">
        <v>12.0</v>
      </c>
      <c r="I59" s="19">
        <v>50.0</v>
      </c>
      <c r="J59" s="19">
        <v>36.0</v>
      </c>
      <c r="K59" s="19">
        <v>29.0</v>
      </c>
      <c r="L59" s="19">
        <v>9.0</v>
      </c>
      <c r="M59" s="19">
        <v>14.0</v>
      </c>
      <c r="N59" s="19">
        <v>39.0</v>
      </c>
      <c r="O59" s="19">
        <v>18.0</v>
      </c>
      <c r="P59" s="19">
        <v>11.0</v>
      </c>
      <c r="Q59" s="19">
        <v>2.0</v>
      </c>
      <c r="R59" s="19">
        <v>3.0</v>
      </c>
      <c r="S59" s="19">
        <v>1.0</v>
      </c>
      <c r="T59" s="19">
        <v>9.0</v>
      </c>
      <c r="U59" s="19">
        <v>17.0</v>
      </c>
      <c r="V59" s="19">
        <v>3.0</v>
      </c>
      <c r="W59" s="19">
        <v>6.0</v>
      </c>
      <c r="X59" s="19">
        <v>10.0</v>
      </c>
      <c r="Y59" s="19">
        <v>6.0</v>
      </c>
      <c r="Z59" s="19">
        <v>4.0</v>
      </c>
      <c r="AA59" s="19">
        <v>2.0</v>
      </c>
      <c r="AB59" s="13">
        <f t="shared" si="16"/>
        <v>339</v>
      </c>
    </row>
    <row r="60" ht="12.75" customHeight="1">
      <c r="A60" s="18"/>
      <c r="B60" s="55">
        <v>3.0</v>
      </c>
      <c r="C60" s="50" t="s">
        <v>51</v>
      </c>
      <c r="D60" s="59"/>
      <c r="E60" s="19">
        <v>2.0</v>
      </c>
      <c r="F60" s="19">
        <v>1.0</v>
      </c>
      <c r="G60" s="19">
        <v>2.0</v>
      </c>
      <c r="H60" s="19">
        <v>0.0</v>
      </c>
      <c r="I60" s="19">
        <v>0.0</v>
      </c>
      <c r="J60" s="19">
        <v>1.0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1.0</v>
      </c>
      <c r="R60" s="19">
        <v>0.0</v>
      </c>
      <c r="S60" s="19">
        <v>1.0</v>
      </c>
      <c r="T60" s="19">
        <v>1.0</v>
      </c>
      <c r="U60" s="19">
        <v>0.0</v>
      </c>
      <c r="V60" s="19">
        <v>0.0</v>
      </c>
      <c r="W60" s="19">
        <v>0.0</v>
      </c>
      <c r="X60" s="19">
        <v>0.0</v>
      </c>
      <c r="Y60" s="19">
        <v>0.0</v>
      </c>
      <c r="Z60" s="19">
        <v>1.0</v>
      </c>
      <c r="AA60" s="19">
        <v>2.0</v>
      </c>
      <c r="AB60" s="13">
        <f t="shared" si="16"/>
        <v>13</v>
      </c>
    </row>
    <row r="61" ht="12.75" customHeight="1">
      <c r="A61" s="18"/>
      <c r="B61" s="55">
        <v>4.0</v>
      </c>
      <c r="C61" s="50" t="s">
        <v>52</v>
      </c>
      <c r="D61" s="59"/>
      <c r="E61" s="19">
        <v>4.0</v>
      </c>
      <c r="F61" s="19">
        <v>2.0</v>
      </c>
      <c r="G61" s="19">
        <v>2.0</v>
      </c>
      <c r="H61" s="19">
        <v>3.0</v>
      </c>
      <c r="I61" s="19">
        <v>0.0</v>
      </c>
      <c r="J61" s="19">
        <v>1.0</v>
      </c>
      <c r="K61" s="19">
        <v>1.0</v>
      </c>
      <c r="L61" s="19">
        <v>1.0</v>
      </c>
      <c r="M61" s="19">
        <v>2.0</v>
      </c>
      <c r="N61" s="19">
        <v>1.0</v>
      </c>
      <c r="O61" s="19">
        <v>0.0</v>
      </c>
      <c r="P61" s="19">
        <v>0.0</v>
      </c>
      <c r="Q61" s="19">
        <v>4.0</v>
      </c>
      <c r="R61" s="19">
        <v>0.0</v>
      </c>
      <c r="S61" s="19">
        <v>4.0</v>
      </c>
      <c r="T61" s="19">
        <v>1.0</v>
      </c>
      <c r="U61" s="19">
        <v>2.0</v>
      </c>
      <c r="V61" s="19">
        <v>0.0</v>
      </c>
      <c r="W61" s="19">
        <v>2.0</v>
      </c>
      <c r="X61" s="19">
        <v>3.0</v>
      </c>
      <c r="Y61" s="19">
        <v>1.0</v>
      </c>
      <c r="Z61" s="19">
        <v>1.0</v>
      </c>
      <c r="AA61" s="19">
        <v>2.0</v>
      </c>
      <c r="AB61" s="13">
        <f t="shared" si="16"/>
        <v>37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1.0</v>
      </c>
      <c r="G62" s="19">
        <v>1.0</v>
      </c>
      <c r="H62" s="19">
        <v>1.0</v>
      </c>
      <c r="I62" s="19">
        <v>1.0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1.0</v>
      </c>
      <c r="W62" s="19">
        <v>0.0</v>
      </c>
      <c r="X62" s="19">
        <v>2.0</v>
      </c>
      <c r="Y62" s="19">
        <v>1.0</v>
      </c>
      <c r="Z62" s="19">
        <v>1.0</v>
      </c>
      <c r="AA62" s="19">
        <v>0.0</v>
      </c>
      <c r="AB62" s="13">
        <f t="shared" si="16"/>
        <v>10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2.0</v>
      </c>
      <c r="G63" s="19">
        <v>0.0</v>
      </c>
      <c r="H63" s="19">
        <v>1.0</v>
      </c>
      <c r="I63" s="19">
        <v>0.0</v>
      </c>
      <c r="J63" s="19">
        <v>1.0</v>
      </c>
      <c r="K63" s="19">
        <v>1.0</v>
      </c>
      <c r="L63" s="19">
        <v>2.0</v>
      </c>
      <c r="M63" s="19">
        <v>3.0</v>
      </c>
      <c r="N63" s="19">
        <v>4.0</v>
      </c>
      <c r="O63" s="19">
        <v>0.0</v>
      </c>
      <c r="P63" s="19">
        <v>0.0</v>
      </c>
      <c r="Q63" s="19">
        <v>3.0</v>
      </c>
      <c r="R63" s="19">
        <v>4.0</v>
      </c>
      <c r="S63" s="19">
        <v>0.0</v>
      </c>
      <c r="T63" s="19">
        <v>1.0</v>
      </c>
      <c r="U63" s="19">
        <v>0.0</v>
      </c>
      <c r="V63" s="19">
        <v>4.0</v>
      </c>
      <c r="W63" s="19">
        <v>1.0</v>
      </c>
      <c r="X63" s="19">
        <v>0.0</v>
      </c>
      <c r="Y63" s="19">
        <v>1.0</v>
      </c>
      <c r="Z63" s="19">
        <v>1.0</v>
      </c>
      <c r="AA63" s="19">
        <v>1.0</v>
      </c>
      <c r="AB63" s="13">
        <f t="shared" si="16"/>
        <v>31</v>
      </c>
    </row>
    <row r="64" ht="12.75" customHeight="1">
      <c r="A64" s="18"/>
      <c r="B64" s="55">
        <v>7.0</v>
      </c>
      <c r="C64" s="50" t="s">
        <v>55</v>
      </c>
      <c r="D64" s="59"/>
      <c r="E64" s="19">
        <v>1.0</v>
      </c>
      <c r="F64" s="19">
        <v>0.0</v>
      </c>
      <c r="G64" s="19">
        <v>0.0</v>
      </c>
      <c r="H64" s="19">
        <v>0.0</v>
      </c>
      <c r="I64" s="19">
        <v>3.0</v>
      </c>
      <c r="J64" s="19">
        <v>0.0</v>
      </c>
      <c r="K64" s="19">
        <v>1.0</v>
      </c>
      <c r="L64" s="19">
        <v>1.0</v>
      </c>
      <c r="M64" s="19">
        <v>3.0</v>
      </c>
      <c r="N64" s="19">
        <v>0.0</v>
      </c>
      <c r="O64" s="19">
        <v>0.0</v>
      </c>
      <c r="P64" s="19">
        <v>0.0</v>
      </c>
      <c r="Q64" s="19">
        <v>0.0</v>
      </c>
      <c r="R64" s="19">
        <v>1.0</v>
      </c>
      <c r="S64" s="19">
        <v>1.0</v>
      </c>
      <c r="T64" s="19">
        <v>0.0</v>
      </c>
      <c r="U64" s="19">
        <v>1.0</v>
      </c>
      <c r="V64" s="19">
        <v>0.0</v>
      </c>
      <c r="W64" s="19">
        <v>1.0</v>
      </c>
      <c r="X64" s="19">
        <v>0.0</v>
      </c>
      <c r="Y64" s="19">
        <v>1.0</v>
      </c>
      <c r="Z64" s="19">
        <v>1.0</v>
      </c>
      <c r="AA64" s="19">
        <v>0.0</v>
      </c>
      <c r="AB64" s="13">
        <f t="shared" si="16"/>
        <v>15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B67" si="17">SUM(E57:E66)</f>
        <v>49</v>
      </c>
      <c r="F67" s="13">
        <f t="shared" si="17"/>
        <v>25</v>
      </c>
      <c r="G67" s="13">
        <f t="shared" si="17"/>
        <v>33</v>
      </c>
      <c r="H67" s="13">
        <f t="shared" si="17"/>
        <v>21</v>
      </c>
      <c r="I67" s="13">
        <f t="shared" si="17"/>
        <v>70</v>
      </c>
      <c r="J67" s="13">
        <f t="shared" si="17"/>
        <v>49</v>
      </c>
      <c r="K67" s="13">
        <f t="shared" si="17"/>
        <v>41</v>
      </c>
      <c r="L67" s="13">
        <f t="shared" si="17"/>
        <v>18</v>
      </c>
      <c r="M67" s="13">
        <f t="shared" si="17"/>
        <v>30</v>
      </c>
      <c r="N67" s="13">
        <f t="shared" si="17"/>
        <v>59</v>
      </c>
      <c r="O67" s="13">
        <f t="shared" si="17"/>
        <v>22</v>
      </c>
      <c r="P67" s="13">
        <f t="shared" si="17"/>
        <v>15</v>
      </c>
      <c r="Q67" s="13">
        <f t="shared" si="17"/>
        <v>22</v>
      </c>
      <c r="R67" s="13">
        <f t="shared" si="17"/>
        <v>18</v>
      </c>
      <c r="S67" s="13">
        <f t="shared" si="17"/>
        <v>15</v>
      </c>
      <c r="T67" s="13">
        <f t="shared" si="17"/>
        <v>21</v>
      </c>
      <c r="U67" s="13">
        <f t="shared" si="17"/>
        <v>29</v>
      </c>
      <c r="V67" s="13">
        <f t="shared" si="17"/>
        <v>13</v>
      </c>
      <c r="W67" s="13">
        <f t="shared" si="17"/>
        <v>28</v>
      </c>
      <c r="X67" s="13">
        <f t="shared" si="17"/>
        <v>40</v>
      </c>
      <c r="Y67" s="13">
        <f t="shared" si="17"/>
        <v>29</v>
      </c>
      <c r="Z67" s="13">
        <f t="shared" si="17"/>
        <v>22</v>
      </c>
      <c r="AA67" s="13">
        <f t="shared" si="17"/>
        <v>23</v>
      </c>
      <c r="AB67" s="13">
        <f t="shared" si="17"/>
        <v>692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9.0</v>
      </c>
      <c r="F69" s="19">
        <v>7.0</v>
      </c>
      <c r="G69" s="19">
        <v>16.0</v>
      </c>
      <c r="H69" s="19">
        <v>5.0</v>
      </c>
      <c r="I69" s="19">
        <v>16.0</v>
      </c>
      <c r="J69" s="19">
        <v>5.0</v>
      </c>
      <c r="K69" s="19">
        <v>5.0</v>
      </c>
      <c r="L69" s="19">
        <v>9.0</v>
      </c>
      <c r="M69" s="19">
        <v>4.0</v>
      </c>
      <c r="N69" s="19">
        <v>9.0</v>
      </c>
      <c r="O69" s="19">
        <v>4.0</v>
      </c>
      <c r="P69" s="19">
        <v>1.0</v>
      </c>
      <c r="Q69" s="19">
        <v>8.0</v>
      </c>
      <c r="R69" s="19">
        <v>6.0</v>
      </c>
      <c r="S69" s="19">
        <v>3.0</v>
      </c>
      <c r="T69" s="19">
        <v>5.0</v>
      </c>
      <c r="U69" s="19">
        <v>8.0</v>
      </c>
      <c r="V69" s="19">
        <v>16.0</v>
      </c>
      <c r="W69" s="19">
        <v>10.0</v>
      </c>
      <c r="X69" s="19">
        <v>27.0</v>
      </c>
      <c r="Y69" s="19">
        <v>34.0</v>
      </c>
      <c r="Z69" s="19">
        <v>6.0</v>
      </c>
      <c r="AA69" s="19">
        <v>8.0</v>
      </c>
      <c r="AB69" s="13">
        <f t="shared" ref="AB69:AB78" si="18">SUM(E69:AA69)</f>
        <v>221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2.0</v>
      </c>
      <c r="F70" s="19">
        <v>4.0</v>
      </c>
      <c r="G70" s="19">
        <v>3.0</v>
      </c>
      <c r="H70" s="19">
        <v>9.0</v>
      </c>
      <c r="I70" s="19">
        <v>6.0</v>
      </c>
      <c r="J70" s="19">
        <v>1.0</v>
      </c>
      <c r="K70" s="19">
        <v>5.0</v>
      </c>
      <c r="L70" s="19">
        <v>20.0</v>
      </c>
      <c r="M70" s="19">
        <v>8.0</v>
      </c>
      <c r="N70" s="19">
        <v>10.0</v>
      </c>
      <c r="O70" s="19">
        <v>2.0</v>
      </c>
      <c r="P70" s="19">
        <v>3.0</v>
      </c>
      <c r="Q70" s="19">
        <v>52.0</v>
      </c>
      <c r="R70" s="19">
        <v>24.0</v>
      </c>
      <c r="S70" s="19">
        <v>3.0</v>
      </c>
      <c r="T70" s="19">
        <v>3.0</v>
      </c>
      <c r="U70" s="19">
        <v>16.0</v>
      </c>
      <c r="V70" s="19">
        <v>14.0</v>
      </c>
      <c r="W70" s="19">
        <v>16.0</v>
      </c>
      <c r="X70" s="19">
        <v>14.0</v>
      </c>
      <c r="Y70" s="19">
        <v>12.0</v>
      </c>
      <c r="Z70" s="19">
        <v>12.0</v>
      </c>
      <c r="AA70" s="19">
        <v>17.0</v>
      </c>
      <c r="AB70" s="13">
        <f t="shared" si="18"/>
        <v>256</v>
      </c>
    </row>
    <row r="71" ht="12.75" customHeight="1">
      <c r="A71" s="18"/>
      <c r="B71" s="55">
        <v>2.0</v>
      </c>
      <c r="C71" s="50" t="s">
        <v>58</v>
      </c>
      <c r="D71" s="60"/>
      <c r="E71" s="19">
        <v>3.0</v>
      </c>
      <c r="F71" s="19">
        <v>7.0</v>
      </c>
      <c r="G71" s="19">
        <v>1.0</v>
      </c>
      <c r="H71" s="19">
        <v>1.0</v>
      </c>
      <c r="I71" s="19">
        <v>2.0</v>
      </c>
      <c r="J71" s="19">
        <v>2.0</v>
      </c>
      <c r="K71" s="19">
        <v>1.0</v>
      </c>
      <c r="L71" s="19">
        <v>7.0</v>
      </c>
      <c r="M71" s="19">
        <v>3.0</v>
      </c>
      <c r="N71" s="19">
        <v>3.0</v>
      </c>
      <c r="O71" s="19">
        <v>2.0</v>
      </c>
      <c r="P71" s="19">
        <v>5.0</v>
      </c>
      <c r="Q71" s="19">
        <v>1.0</v>
      </c>
      <c r="R71" s="19">
        <v>0.0</v>
      </c>
      <c r="S71" s="19">
        <v>1.0</v>
      </c>
      <c r="T71" s="19">
        <v>4.0</v>
      </c>
      <c r="U71" s="19">
        <v>4.0</v>
      </c>
      <c r="V71" s="19">
        <v>47.0</v>
      </c>
      <c r="W71" s="19">
        <v>52.0</v>
      </c>
      <c r="X71" s="19">
        <v>38.0</v>
      </c>
      <c r="Y71" s="19">
        <v>23.0</v>
      </c>
      <c r="Z71" s="19">
        <v>29.0</v>
      </c>
      <c r="AA71" s="19">
        <v>36.0</v>
      </c>
      <c r="AB71" s="13">
        <f t="shared" si="18"/>
        <v>272</v>
      </c>
    </row>
    <row r="72" ht="12.75" customHeight="1">
      <c r="A72" s="18"/>
      <c r="B72" s="55">
        <v>3.0</v>
      </c>
      <c r="C72" s="50" t="s">
        <v>59</v>
      </c>
      <c r="D72" s="60"/>
      <c r="E72" s="19">
        <v>4.0</v>
      </c>
      <c r="F72" s="19">
        <v>8.0</v>
      </c>
      <c r="G72" s="19">
        <v>41.0</v>
      </c>
      <c r="H72" s="19">
        <v>2.0</v>
      </c>
      <c r="I72" s="19">
        <v>2.0</v>
      </c>
      <c r="J72" s="19">
        <v>6.0</v>
      </c>
      <c r="K72" s="19">
        <v>0.0</v>
      </c>
      <c r="L72" s="19">
        <v>4.0</v>
      </c>
      <c r="M72" s="19">
        <v>2.0</v>
      </c>
      <c r="N72" s="19">
        <v>4.0</v>
      </c>
      <c r="O72" s="19">
        <v>3.0</v>
      </c>
      <c r="P72" s="19">
        <v>2.0</v>
      </c>
      <c r="Q72" s="19">
        <v>0.0</v>
      </c>
      <c r="R72" s="19">
        <v>0.0</v>
      </c>
      <c r="S72" s="19">
        <v>0.0</v>
      </c>
      <c r="T72" s="19">
        <v>2.0</v>
      </c>
      <c r="U72" s="19">
        <v>1.0</v>
      </c>
      <c r="V72" s="19">
        <v>4.0</v>
      </c>
      <c r="W72" s="19">
        <v>0.0</v>
      </c>
      <c r="X72" s="19">
        <v>3.0</v>
      </c>
      <c r="Y72" s="19">
        <v>3.0</v>
      </c>
      <c r="Z72" s="19">
        <v>3.0</v>
      </c>
      <c r="AA72" s="19">
        <v>5.0</v>
      </c>
      <c r="AB72" s="13">
        <f t="shared" si="18"/>
        <v>99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3.0</v>
      </c>
      <c r="G73" s="19">
        <v>1.0</v>
      </c>
      <c r="H73" s="19">
        <v>1.0</v>
      </c>
      <c r="I73" s="19">
        <v>0.0</v>
      </c>
      <c r="J73" s="19">
        <v>0.0</v>
      </c>
      <c r="K73" s="19">
        <v>0.0</v>
      </c>
      <c r="L73" s="19">
        <v>1.0</v>
      </c>
      <c r="M73" s="19">
        <v>1.0</v>
      </c>
      <c r="N73" s="19">
        <v>4.0</v>
      </c>
      <c r="O73" s="19">
        <v>0.0</v>
      </c>
      <c r="P73" s="19">
        <v>1.0</v>
      </c>
      <c r="Q73" s="19">
        <v>0.0</v>
      </c>
      <c r="R73" s="19">
        <v>2.0</v>
      </c>
      <c r="S73" s="19">
        <v>2.0</v>
      </c>
      <c r="T73" s="19">
        <v>0.0</v>
      </c>
      <c r="U73" s="19">
        <v>1.0</v>
      </c>
      <c r="V73" s="19">
        <v>2.0</v>
      </c>
      <c r="W73" s="19">
        <v>2.0</v>
      </c>
      <c r="X73" s="19">
        <v>2.0</v>
      </c>
      <c r="Y73" s="19">
        <v>1.0</v>
      </c>
      <c r="Z73" s="19">
        <v>2.0</v>
      </c>
      <c r="AA73" s="19">
        <v>0.0</v>
      </c>
      <c r="AB73" s="13">
        <f t="shared" si="18"/>
        <v>27</v>
      </c>
    </row>
    <row r="74" ht="12.75" customHeight="1">
      <c r="A74" s="18"/>
      <c r="B74" s="55">
        <v>5.0</v>
      </c>
      <c r="C74" s="50" t="s">
        <v>61</v>
      </c>
      <c r="D74" s="60"/>
      <c r="E74" s="19">
        <v>3.0</v>
      </c>
      <c r="F74" s="19">
        <v>3.0</v>
      </c>
      <c r="G74" s="19">
        <v>8.0</v>
      </c>
      <c r="H74" s="19">
        <v>6.0</v>
      </c>
      <c r="I74" s="19">
        <v>7.0</v>
      </c>
      <c r="J74" s="19">
        <v>5.0</v>
      </c>
      <c r="K74" s="19">
        <v>3.0</v>
      </c>
      <c r="L74" s="19">
        <v>4.0</v>
      </c>
      <c r="M74" s="19">
        <v>3.0</v>
      </c>
      <c r="N74" s="19">
        <v>6.0</v>
      </c>
      <c r="O74" s="19">
        <v>2.0</v>
      </c>
      <c r="P74" s="19">
        <v>2.0</v>
      </c>
      <c r="Q74" s="19">
        <v>12.0</v>
      </c>
      <c r="R74" s="19">
        <v>5.0</v>
      </c>
      <c r="S74" s="19">
        <v>8.0</v>
      </c>
      <c r="T74" s="19">
        <v>5.0</v>
      </c>
      <c r="U74" s="19">
        <v>6.0</v>
      </c>
      <c r="V74" s="19">
        <v>18.0</v>
      </c>
      <c r="W74" s="19">
        <v>6.0</v>
      </c>
      <c r="X74" s="19">
        <v>8.0</v>
      </c>
      <c r="Y74" s="19">
        <v>5.0</v>
      </c>
      <c r="Z74" s="19">
        <v>3.0</v>
      </c>
      <c r="AA74" s="19">
        <v>4.0</v>
      </c>
      <c r="AB74" s="13">
        <f t="shared" si="18"/>
        <v>132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3.0</v>
      </c>
      <c r="G75" s="19">
        <v>1.0</v>
      </c>
      <c r="H75" s="19">
        <v>2.0</v>
      </c>
      <c r="I75" s="19">
        <v>1.0</v>
      </c>
      <c r="J75" s="19">
        <v>1.0</v>
      </c>
      <c r="K75" s="19">
        <v>0.0</v>
      </c>
      <c r="L75" s="19">
        <v>3.0</v>
      </c>
      <c r="M75" s="19">
        <v>1.0</v>
      </c>
      <c r="N75" s="19">
        <v>1.0</v>
      </c>
      <c r="O75" s="19">
        <v>1.0</v>
      </c>
      <c r="P75" s="19">
        <v>0.0</v>
      </c>
      <c r="Q75" s="19">
        <v>4.0</v>
      </c>
      <c r="R75" s="19">
        <v>2.0</v>
      </c>
      <c r="S75" s="19">
        <v>1.0</v>
      </c>
      <c r="T75" s="19">
        <v>1.0</v>
      </c>
      <c r="U75" s="19">
        <v>0.0</v>
      </c>
      <c r="V75" s="19">
        <v>2.0</v>
      </c>
      <c r="W75" s="19">
        <v>1.0</v>
      </c>
      <c r="X75" s="19">
        <v>0.0</v>
      </c>
      <c r="Y75" s="19">
        <v>3.0</v>
      </c>
      <c r="Z75" s="19">
        <v>1.0</v>
      </c>
      <c r="AA75" s="19">
        <v>5.0</v>
      </c>
      <c r="AB75" s="13">
        <f t="shared" si="18"/>
        <v>34</v>
      </c>
    </row>
    <row r="76" ht="12.75" customHeight="1">
      <c r="A76" s="18"/>
      <c r="B76" s="55">
        <v>7.0</v>
      </c>
      <c r="C76" s="50" t="s">
        <v>63</v>
      </c>
      <c r="D76" s="60"/>
      <c r="E76" s="19">
        <v>8.0</v>
      </c>
      <c r="F76" s="19">
        <v>10.0</v>
      </c>
      <c r="G76" s="19">
        <v>10.0</v>
      </c>
      <c r="H76" s="19">
        <v>17.0</v>
      </c>
      <c r="I76" s="19">
        <v>41.0</v>
      </c>
      <c r="J76" s="19">
        <v>12.0</v>
      </c>
      <c r="K76" s="19">
        <v>22.0</v>
      </c>
      <c r="L76" s="19">
        <v>19.0</v>
      </c>
      <c r="M76" s="19">
        <v>6.0</v>
      </c>
      <c r="N76" s="19">
        <v>16.0</v>
      </c>
      <c r="O76" s="19">
        <v>2.0</v>
      </c>
      <c r="P76" s="19">
        <v>10.0</v>
      </c>
      <c r="Q76" s="19">
        <v>4.0</v>
      </c>
      <c r="R76" s="19">
        <v>7.0</v>
      </c>
      <c r="S76" s="19">
        <v>6.0</v>
      </c>
      <c r="T76" s="19">
        <v>7.0</v>
      </c>
      <c r="U76" s="19">
        <v>6.0</v>
      </c>
      <c r="V76" s="19">
        <v>11.0</v>
      </c>
      <c r="W76" s="19">
        <v>3.0</v>
      </c>
      <c r="X76" s="19">
        <v>6.0</v>
      </c>
      <c r="Y76" s="19">
        <v>9.0</v>
      </c>
      <c r="Z76" s="19">
        <v>0.0</v>
      </c>
      <c r="AA76" s="19">
        <v>2.0</v>
      </c>
      <c r="AB76" s="13">
        <f t="shared" si="18"/>
        <v>234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B79" si="19">SUM(E69:E78)</f>
        <v>30</v>
      </c>
      <c r="F79" s="13">
        <f t="shared" si="19"/>
        <v>45</v>
      </c>
      <c r="G79" s="13">
        <f t="shared" si="19"/>
        <v>81</v>
      </c>
      <c r="H79" s="13">
        <f t="shared" si="19"/>
        <v>43</v>
      </c>
      <c r="I79" s="13">
        <f t="shared" si="19"/>
        <v>75</v>
      </c>
      <c r="J79" s="13">
        <f t="shared" si="19"/>
        <v>32</v>
      </c>
      <c r="K79" s="13">
        <f t="shared" si="19"/>
        <v>36</v>
      </c>
      <c r="L79" s="13">
        <f t="shared" si="19"/>
        <v>67</v>
      </c>
      <c r="M79" s="13">
        <f t="shared" si="19"/>
        <v>28</v>
      </c>
      <c r="N79" s="13">
        <f t="shared" si="19"/>
        <v>53</v>
      </c>
      <c r="O79" s="13">
        <f t="shared" si="19"/>
        <v>16</v>
      </c>
      <c r="P79" s="13">
        <f t="shared" si="19"/>
        <v>24</v>
      </c>
      <c r="Q79" s="13">
        <f t="shared" si="19"/>
        <v>81</v>
      </c>
      <c r="R79" s="13">
        <f t="shared" si="19"/>
        <v>46</v>
      </c>
      <c r="S79" s="13">
        <f t="shared" si="19"/>
        <v>24</v>
      </c>
      <c r="T79" s="13">
        <f t="shared" si="19"/>
        <v>27</v>
      </c>
      <c r="U79" s="13">
        <f t="shared" si="19"/>
        <v>42</v>
      </c>
      <c r="V79" s="13">
        <f t="shared" si="19"/>
        <v>114</v>
      </c>
      <c r="W79" s="13">
        <f t="shared" si="19"/>
        <v>90</v>
      </c>
      <c r="X79" s="13">
        <f t="shared" si="19"/>
        <v>98</v>
      </c>
      <c r="Y79" s="13">
        <f t="shared" si="19"/>
        <v>90</v>
      </c>
      <c r="Z79" s="13">
        <f t="shared" si="19"/>
        <v>56</v>
      </c>
      <c r="AA79" s="13">
        <f t="shared" si="19"/>
        <v>77</v>
      </c>
      <c r="AB79" s="13">
        <f t="shared" si="19"/>
        <v>1275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0.0</v>
      </c>
      <c r="G81" s="19">
        <v>1.0</v>
      </c>
      <c r="H81" s="19">
        <v>2.0</v>
      </c>
      <c r="I81" s="19">
        <v>1.0</v>
      </c>
      <c r="J81" s="19">
        <v>2.0</v>
      </c>
      <c r="K81" s="19">
        <v>2.0</v>
      </c>
      <c r="L81" s="19">
        <v>0.0</v>
      </c>
      <c r="M81" s="19">
        <v>2.0</v>
      </c>
      <c r="N81" s="19">
        <v>1.0</v>
      </c>
      <c r="O81" s="19">
        <v>0.0</v>
      </c>
      <c r="P81" s="19">
        <v>6.0</v>
      </c>
      <c r="Q81" s="19">
        <v>2.0</v>
      </c>
      <c r="R81" s="19">
        <v>3.0</v>
      </c>
      <c r="S81" s="19">
        <v>1.0</v>
      </c>
      <c r="T81" s="19">
        <v>3.0</v>
      </c>
      <c r="U81" s="19">
        <v>4.0</v>
      </c>
      <c r="V81" s="19">
        <v>2.0</v>
      </c>
      <c r="W81" s="19">
        <v>4.0</v>
      </c>
      <c r="X81" s="19">
        <v>4.0</v>
      </c>
      <c r="Y81" s="19">
        <v>3.0</v>
      </c>
      <c r="Z81" s="19">
        <v>3.0</v>
      </c>
      <c r="AA81" s="19">
        <v>1.0</v>
      </c>
      <c r="AB81" s="13">
        <f t="shared" ref="AB81:AB90" si="20">SUM(E81:AA81)</f>
        <v>48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1.0</v>
      </c>
      <c r="F82" s="19">
        <v>2.0</v>
      </c>
      <c r="G82" s="19">
        <v>3.0</v>
      </c>
      <c r="H82" s="19">
        <v>1.0</v>
      </c>
      <c r="I82" s="19">
        <v>0.0</v>
      </c>
      <c r="J82" s="19">
        <v>2.0</v>
      </c>
      <c r="K82" s="19">
        <v>2.0</v>
      </c>
      <c r="L82" s="19">
        <v>0.0</v>
      </c>
      <c r="M82" s="19">
        <v>0.0</v>
      </c>
      <c r="N82" s="19">
        <v>2.0</v>
      </c>
      <c r="O82" s="19">
        <v>5.0</v>
      </c>
      <c r="P82" s="19">
        <v>2.0</v>
      </c>
      <c r="Q82" s="19">
        <v>4.0</v>
      </c>
      <c r="R82" s="19">
        <v>27.0</v>
      </c>
      <c r="S82" s="19">
        <v>8.0</v>
      </c>
      <c r="T82" s="19">
        <v>11.0</v>
      </c>
      <c r="U82" s="19">
        <v>43.0</v>
      </c>
      <c r="V82" s="19">
        <v>1.0</v>
      </c>
      <c r="W82" s="19">
        <v>12.0</v>
      </c>
      <c r="X82" s="19">
        <v>31.0</v>
      </c>
      <c r="Y82" s="19">
        <v>7.0</v>
      </c>
      <c r="Z82" s="19">
        <v>8.0</v>
      </c>
      <c r="AA82" s="19">
        <v>8.0</v>
      </c>
      <c r="AB82" s="13">
        <f t="shared" si="20"/>
        <v>180</v>
      </c>
    </row>
    <row r="83" ht="12.75" customHeight="1">
      <c r="A83" s="18"/>
      <c r="B83" s="55">
        <v>2.0</v>
      </c>
      <c r="C83" s="50" t="s">
        <v>66</v>
      </c>
      <c r="D83" s="60"/>
      <c r="E83" s="19">
        <v>3.0</v>
      </c>
      <c r="F83" s="19">
        <v>0.0</v>
      </c>
      <c r="G83" s="19">
        <v>0.0</v>
      </c>
      <c r="H83" s="19">
        <v>0.0</v>
      </c>
      <c r="I83" s="19">
        <v>0.0</v>
      </c>
      <c r="J83" s="19">
        <v>7.0</v>
      </c>
      <c r="K83" s="19">
        <v>7.0</v>
      </c>
      <c r="L83" s="19">
        <v>2.0</v>
      </c>
      <c r="M83" s="19">
        <v>4.0</v>
      </c>
      <c r="N83" s="19">
        <v>2.0</v>
      </c>
      <c r="O83" s="19">
        <v>5.0</v>
      </c>
      <c r="P83" s="19">
        <v>4.0</v>
      </c>
      <c r="Q83" s="19">
        <v>4.0</v>
      </c>
      <c r="R83" s="19">
        <v>6.0</v>
      </c>
      <c r="S83" s="19">
        <v>3.0</v>
      </c>
      <c r="T83" s="19">
        <v>5.0</v>
      </c>
      <c r="U83" s="19">
        <v>0.0</v>
      </c>
      <c r="V83" s="19">
        <v>3.0</v>
      </c>
      <c r="W83" s="19">
        <v>2.0</v>
      </c>
      <c r="X83" s="19">
        <v>3.0</v>
      </c>
      <c r="Y83" s="19">
        <v>2.0</v>
      </c>
      <c r="Z83" s="19">
        <v>3.0</v>
      </c>
      <c r="AA83" s="19">
        <v>5.0</v>
      </c>
      <c r="AB83" s="13">
        <f t="shared" si="20"/>
        <v>70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1.0</v>
      </c>
      <c r="N84" s="19">
        <v>0.0</v>
      </c>
      <c r="O84" s="19">
        <v>1.0</v>
      </c>
      <c r="P84" s="19">
        <v>1.0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3">
        <f t="shared" si="20"/>
        <v>4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1.0</v>
      </c>
      <c r="I85" s="19">
        <v>0.0</v>
      </c>
      <c r="J85" s="19">
        <v>0.0</v>
      </c>
      <c r="K85" s="19">
        <v>3.0</v>
      </c>
      <c r="L85" s="19">
        <v>0.0</v>
      </c>
      <c r="M85" s="19">
        <v>0.0</v>
      </c>
      <c r="N85" s="19">
        <v>1.0</v>
      </c>
      <c r="O85" s="19">
        <v>37.0</v>
      </c>
      <c r="P85" s="19">
        <v>52.0</v>
      </c>
      <c r="Q85" s="19">
        <v>2.0</v>
      </c>
      <c r="R85" s="19">
        <v>0.0</v>
      </c>
      <c r="S85" s="19">
        <v>0.0</v>
      </c>
      <c r="T85" s="19">
        <v>1.0</v>
      </c>
      <c r="U85" s="19">
        <v>1.0</v>
      </c>
      <c r="V85" s="19">
        <v>0.0</v>
      </c>
      <c r="W85" s="19">
        <v>0.0</v>
      </c>
      <c r="X85" s="19">
        <v>1.0</v>
      </c>
      <c r="Y85" s="19">
        <v>0.0</v>
      </c>
      <c r="Z85" s="19">
        <v>0.0</v>
      </c>
      <c r="AA85" s="19">
        <v>0.0</v>
      </c>
      <c r="AB85" s="13">
        <f t="shared" si="20"/>
        <v>99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2.0</v>
      </c>
      <c r="H86" s="19">
        <v>0.0</v>
      </c>
      <c r="I86" s="19">
        <v>2.0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4.0</v>
      </c>
      <c r="Z86" s="19">
        <v>7.0</v>
      </c>
      <c r="AA86" s="19">
        <v>0.0</v>
      </c>
      <c r="AB86" s="13">
        <f t="shared" si="20"/>
        <v>16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1.0</v>
      </c>
      <c r="P87" s="19">
        <v>0.0</v>
      </c>
      <c r="Q87" s="19">
        <v>0.0</v>
      </c>
      <c r="R87" s="19">
        <v>0.0</v>
      </c>
      <c r="S87" s="19">
        <v>2.0</v>
      </c>
      <c r="T87" s="19">
        <v>0.0</v>
      </c>
      <c r="U87" s="19">
        <v>0.0</v>
      </c>
      <c r="V87" s="19">
        <v>1.0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3">
        <f t="shared" si="20"/>
        <v>6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1.0</v>
      </c>
      <c r="Z88" s="19">
        <v>0.0</v>
      </c>
      <c r="AA88" s="19">
        <v>1.0</v>
      </c>
      <c r="AB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B91" si="21">SUM(E81:E90)</f>
        <v>5</v>
      </c>
      <c r="F91" s="13">
        <f t="shared" si="21"/>
        <v>3</v>
      </c>
      <c r="G91" s="13">
        <f t="shared" si="21"/>
        <v>6</v>
      </c>
      <c r="H91" s="13">
        <f t="shared" si="21"/>
        <v>5</v>
      </c>
      <c r="I91" s="13">
        <f t="shared" si="21"/>
        <v>4</v>
      </c>
      <c r="J91" s="13">
        <f t="shared" si="21"/>
        <v>11</v>
      </c>
      <c r="K91" s="13">
        <f t="shared" si="21"/>
        <v>14</v>
      </c>
      <c r="L91" s="13">
        <f t="shared" si="21"/>
        <v>2</v>
      </c>
      <c r="M91" s="13">
        <f t="shared" si="21"/>
        <v>7</v>
      </c>
      <c r="N91" s="13">
        <f t="shared" si="21"/>
        <v>8</v>
      </c>
      <c r="O91" s="13">
        <f t="shared" si="21"/>
        <v>49</v>
      </c>
      <c r="P91" s="13">
        <f t="shared" si="21"/>
        <v>65</v>
      </c>
      <c r="Q91" s="13">
        <f t="shared" si="21"/>
        <v>12</v>
      </c>
      <c r="R91" s="13">
        <f t="shared" si="21"/>
        <v>36</v>
      </c>
      <c r="S91" s="13">
        <f t="shared" si="21"/>
        <v>14</v>
      </c>
      <c r="T91" s="13">
        <f t="shared" si="21"/>
        <v>20</v>
      </c>
      <c r="U91" s="13">
        <f t="shared" si="21"/>
        <v>48</v>
      </c>
      <c r="V91" s="13">
        <f t="shared" si="21"/>
        <v>7</v>
      </c>
      <c r="W91" s="13">
        <f t="shared" si="21"/>
        <v>18</v>
      </c>
      <c r="X91" s="13">
        <f t="shared" si="21"/>
        <v>39</v>
      </c>
      <c r="Y91" s="13">
        <f t="shared" si="21"/>
        <v>17</v>
      </c>
      <c r="Z91" s="13">
        <f t="shared" si="21"/>
        <v>21</v>
      </c>
      <c r="AA91" s="13">
        <f t="shared" si="21"/>
        <v>15</v>
      </c>
      <c r="AB91" s="13">
        <f t="shared" si="21"/>
        <v>426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1.0</v>
      </c>
      <c r="H93" s="19">
        <v>0.0</v>
      </c>
      <c r="I93" s="19">
        <v>2.0</v>
      </c>
      <c r="J93" s="19">
        <v>3.0</v>
      </c>
      <c r="K93" s="19">
        <v>1.0</v>
      </c>
      <c r="L93" s="19">
        <v>0.0</v>
      </c>
      <c r="M93" s="19">
        <v>1.0</v>
      </c>
      <c r="N93" s="19">
        <v>0.0</v>
      </c>
      <c r="O93" s="19">
        <v>1.0</v>
      </c>
      <c r="P93" s="19">
        <v>0.0</v>
      </c>
      <c r="Q93" s="19">
        <v>0.0</v>
      </c>
      <c r="R93" s="19">
        <v>0.0</v>
      </c>
      <c r="S93" s="19">
        <v>2.0</v>
      </c>
      <c r="T93" s="19">
        <v>2.0</v>
      </c>
      <c r="U93" s="19">
        <v>1.0</v>
      </c>
      <c r="V93" s="19">
        <v>0.0</v>
      </c>
      <c r="W93" s="19">
        <v>0.0</v>
      </c>
      <c r="X93" s="19">
        <v>4.0</v>
      </c>
      <c r="Y93" s="19">
        <v>0.0</v>
      </c>
      <c r="Z93" s="19">
        <v>0.0</v>
      </c>
      <c r="AA93" s="19">
        <v>0.0</v>
      </c>
      <c r="AB93" s="13">
        <f t="shared" ref="AB93:AB102" si="22">SUM(E93:AA93)</f>
        <v>19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0.0</v>
      </c>
      <c r="R94" s="19">
        <v>0.0</v>
      </c>
      <c r="S94" s="19">
        <v>0.0</v>
      </c>
      <c r="T94" s="19">
        <v>1.0</v>
      </c>
      <c r="U94" s="19">
        <v>0.0</v>
      </c>
      <c r="V94" s="19">
        <v>0.0</v>
      </c>
      <c r="W94" s="19">
        <v>1.0</v>
      </c>
      <c r="X94" s="19">
        <v>1.0</v>
      </c>
      <c r="Y94" s="19">
        <v>0.0</v>
      </c>
      <c r="Z94" s="19">
        <v>0.0</v>
      </c>
      <c r="AA94" s="19">
        <v>0.0</v>
      </c>
      <c r="AB94" s="13">
        <f t="shared" si="22"/>
        <v>4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3.0</v>
      </c>
      <c r="H95" s="19">
        <v>1.0</v>
      </c>
      <c r="I95" s="19">
        <v>1.0</v>
      </c>
      <c r="J95" s="19">
        <v>1.0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2.0</v>
      </c>
      <c r="T95" s="19">
        <v>3.0</v>
      </c>
      <c r="U95" s="19">
        <v>13.0</v>
      </c>
      <c r="V95" s="19">
        <v>13.0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3">
        <f t="shared" si="22"/>
        <v>37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1.0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1.0</v>
      </c>
      <c r="H97" s="19">
        <v>0.0</v>
      </c>
      <c r="I97" s="19">
        <v>2.0</v>
      </c>
      <c r="J97" s="19">
        <v>0.0</v>
      </c>
      <c r="K97" s="19">
        <v>1.0</v>
      </c>
      <c r="L97" s="19">
        <v>0.0</v>
      </c>
      <c r="M97" s="19">
        <v>0.0</v>
      </c>
      <c r="N97" s="19">
        <v>2.0</v>
      </c>
      <c r="O97" s="19">
        <v>2.0</v>
      </c>
      <c r="P97" s="19">
        <v>0.0</v>
      </c>
      <c r="Q97" s="19">
        <v>0.0</v>
      </c>
      <c r="R97" s="19">
        <v>1.0</v>
      </c>
      <c r="S97" s="19">
        <v>0.0</v>
      </c>
      <c r="T97" s="19">
        <v>1.0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2.0</v>
      </c>
      <c r="AA97" s="19">
        <v>0.0</v>
      </c>
      <c r="AB97" s="13">
        <f t="shared" si="22"/>
        <v>12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1.0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1.0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B103" si="23">SUM(E93:E102)</f>
        <v>1</v>
      </c>
      <c r="F103" s="13">
        <f t="shared" si="23"/>
        <v>1</v>
      </c>
      <c r="G103" s="13">
        <f t="shared" si="23"/>
        <v>5</v>
      </c>
      <c r="H103" s="13">
        <f t="shared" si="23"/>
        <v>1</v>
      </c>
      <c r="I103" s="13">
        <f t="shared" si="23"/>
        <v>6</v>
      </c>
      <c r="J103" s="13">
        <f t="shared" si="23"/>
        <v>4</v>
      </c>
      <c r="K103" s="13">
        <f t="shared" si="23"/>
        <v>3</v>
      </c>
      <c r="L103" s="13">
        <f t="shared" si="23"/>
        <v>0</v>
      </c>
      <c r="M103" s="13">
        <f t="shared" si="23"/>
        <v>1</v>
      </c>
      <c r="N103" s="13">
        <f t="shared" si="23"/>
        <v>3</v>
      </c>
      <c r="O103" s="13">
        <f t="shared" si="23"/>
        <v>3</v>
      </c>
      <c r="P103" s="13">
        <f t="shared" si="23"/>
        <v>0</v>
      </c>
      <c r="Q103" s="13">
        <f t="shared" si="23"/>
        <v>1</v>
      </c>
      <c r="R103" s="13">
        <f t="shared" si="23"/>
        <v>1</v>
      </c>
      <c r="S103" s="13">
        <f t="shared" si="23"/>
        <v>4</v>
      </c>
      <c r="T103" s="13">
        <f t="shared" si="23"/>
        <v>8</v>
      </c>
      <c r="U103" s="13">
        <f t="shared" si="23"/>
        <v>14</v>
      </c>
      <c r="V103" s="13">
        <f t="shared" si="23"/>
        <v>14</v>
      </c>
      <c r="W103" s="13">
        <f t="shared" si="23"/>
        <v>1</v>
      </c>
      <c r="X103" s="13">
        <f t="shared" si="23"/>
        <v>5</v>
      </c>
      <c r="Y103" s="13">
        <f t="shared" si="23"/>
        <v>0</v>
      </c>
      <c r="Z103" s="13">
        <f t="shared" si="23"/>
        <v>2</v>
      </c>
      <c r="AA103" s="13">
        <f t="shared" si="23"/>
        <v>0</v>
      </c>
      <c r="AB103" s="13">
        <f t="shared" si="23"/>
        <v>78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0.0</v>
      </c>
      <c r="G105" s="19">
        <v>0.0</v>
      </c>
      <c r="H105" s="19">
        <v>2.0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9">
        <v>1.0</v>
      </c>
      <c r="Z105" s="19">
        <v>0.0</v>
      </c>
      <c r="AA105" s="19">
        <v>0.0</v>
      </c>
      <c r="AB105" s="13">
        <f t="shared" ref="AB105:AB114" si="24">SUM(E105:AA105)</f>
        <v>6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2.0</v>
      </c>
      <c r="T106" s="19">
        <v>0.0</v>
      </c>
      <c r="U106" s="19">
        <v>2.0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1.0</v>
      </c>
      <c r="AB106" s="13">
        <f t="shared" si="24"/>
        <v>6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3.0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/>
      <c r="Y111" s="19">
        <v>0.0</v>
      </c>
      <c r="Z111" s="19">
        <v>0.0</v>
      </c>
      <c r="AA111" s="19">
        <v>0.0</v>
      </c>
      <c r="AB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1.0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/>
      <c r="U112" s="19"/>
      <c r="V112" s="19"/>
      <c r="W112" s="19"/>
      <c r="X112" s="19">
        <v>1.0</v>
      </c>
      <c r="Y112" s="19"/>
      <c r="Z112" s="19"/>
      <c r="AA112" s="19"/>
      <c r="AB112" s="13">
        <f t="shared" si="24"/>
        <v>2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B115" si="25">SUM(E105:E114)</f>
        <v>2</v>
      </c>
      <c r="F115" s="13">
        <f t="shared" si="25"/>
        <v>0</v>
      </c>
      <c r="G115" s="13">
        <f t="shared" si="25"/>
        <v>1</v>
      </c>
      <c r="H115" s="13">
        <f t="shared" si="25"/>
        <v>2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3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1</v>
      </c>
      <c r="U115" s="13">
        <f t="shared" si="25"/>
        <v>3</v>
      </c>
      <c r="V115" s="13">
        <f t="shared" si="25"/>
        <v>0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0</v>
      </c>
      <c r="AA115" s="13">
        <f t="shared" si="25"/>
        <v>1</v>
      </c>
      <c r="AB115" s="13">
        <f t="shared" si="25"/>
        <v>19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8.0</v>
      </c>
      <c r="H117" s="19">
        <v>2.0</v>
      </c>
      <c r="I117" s="19">
        <v>5.0</v>
      </c>
      <c r="J117" s="19">
        <v>1.0</v>
      </c>
      <c r="K117" s="19">
        <v>4.0</v>
      </c>
      <c r="L117" s="19">
        <v>4.0</v>
      </c>
      <c r="M117" s="19">
        <v>1.0</v>
      </c>
      <c r="N117" s="19">
        <v>2.0</v>
      </c>
      <c r="O117" s="19">
        <v>0.0</v>
      </c>
      <c r="P117" s="19">
        <v>0.0</v>
      </c>
      <c r="Q117" s="19">
        <v>1.0</v>
      </c>
      <c r="R117" s="19">
        <v>3.0</v>
      </c>
      <c r="S117" s="19">
        <v>2.0</v>
      </c>
      <c r="T117" s="19">
        <v>0.0</v>
      </c>
      <c r="U117" s="19">
        <v>0.0</v>
      </c>
      <c r="V117" s="19">
        <v>1.0</v>
      </c>
      <c r="W117" s="19">
        <v>1.0</v>
      </c>
      <c r="X117" s="19">
        <v>2.0</v>
      </c>
      <c r="Y117" s="19">
        <v>1.0</v>
      </c>
      <c r="Z117" s="19">
        <v>0.0</v>
      </c>
      <c r="AA117" s="19">
        <v>2.0</v>
      </c>
      <c r="AB117" s="13">
        <f t="shared" ref="AB117:AB126" si="26">SUM(E117:AA117)</f>
        <v>41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1.0</v>
      </c>
      <c r="G118" s="19">
        <v>0.0</v>
      </c>
      <c r="H118" s="19">
        <v>1.0</v>
      </c>
      <c r="I118" s="19">
        <v>0.0</v>
      </c>
      <c r="J118" s="19">
        <v>1.0</v>
      </c>
      <c r="K118" s="19">
        <v>1.0</v>
      </c>
      <c r="L118" s="19">
        <v>0.0</v>
      </c>
      <c r="M118" s="19">
        <v>1.0</v>
      </c>
      <c r="N118" s="19">
        <v>2.0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9">
        <v>1.0</v>
      </c>
      <c r="AB118" s="13">
        <f t="shared" si="26"/>
        <v>9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2.0</v>
      </c>
      <c r="I119" s="19">
        <v>1.0</v>
      </c>
      <c r="J119" s="19">
        <v>0.0</v>
      </c>
      <c r="K119" s="19">
        <v>0.0</v>
      </c>
      <c r="L119" s="19">
        <v>2.0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26"/>
        <v>5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1.0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1.0</v>
      </c>
      <c r="AA120" s="19">
        <v>0.0</v>
      </c>
      <c r="AB120" s="13">
        <f t="shared" si="26"/>
        <v>4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B127" si="27">SUM(E117:E126)</f>
        <v>0</v>
      </c>
      <c r="F127" s="13">
        <f t="shared" si="27"/>
        <v>2</v>
      </c>
      <c r="G127" s="13">
        <f t="shared" si="27"/>
        <v>8</v>
      </c>
      <c r="H127" s="13">
        <f t="shared" si="27"/>
        <v>5</v>
      </c>
      <c r="I127" s="13">
        <f t="shared" si="27"/>
        <v>6</v>
      </c>
      <c r="J127" s="13">
        <f t="shared" si="27"/>
        <v>2</v>
      </c>
      <c r="K127" s="13">
        <f t="shared" si="27"/>
        <v>6</v>
      </c>
      <c r="L127" s="13">
        <f t="shared" si="27"/>
        <v>6</v>
      </c>
      <c r="M127" s="13">
        <f t="shared" si="27"/>
        <v>2</v>
      </c>
      <c r="N127" s="13">
        <f t="shared" si="27"/>
        <v>4</v>
      </c>
      <c r="O127" s="13">
        <f t="shared" si="27"/>
        <v>0</v>
      </c>
      <c r="P127" s="13">
        <f t="shared" si="27"/>
        <v>0</v>
      </c>
      <c r="Q127" s="13">
        <f t="shared" si="27"/>
        <v>1</v>
      </c>
      <c r="R127" s="13">
        <f t="shared" si="27"/>
        <v>4</v>
      </c>
      <c r="S127" s="13">
        <f t="shared" si="27"/>
        <v>2</v>
      </c>
      <c r="T127" s="13">
        <f t="shared" si="27"/>
        <v>1</v>
      </c>
      <c r="U127" s="13">
        <f t="shared" si="27"/>
        <v>0</v>
      </c>
      <c r="V127" s="13">
        <f t="shared" si="27"/>
        <v>1</v>
      </c>
      <c r="W127" s="13">
        <f t="shared" si="27"/>
        <v>2</v>
      </c>
      <c r="X127" s="13">
        <f t="shared" si="27"/>
        <v>2</v>
      </c>
      <c r="Y127" s="13">
        <f t="shared" si="27"/>
        <v>1</v>
      </c>
      <c r="Z127" s="13">
        <f t="shared" si="27"/>
        <v>1</v>
      </c>
      <c r="AA127" s="13">
        <f t="shared" si="27"/>
        <v>3</v>
      </c>
      <c r="AB127" s="13">
        <f t="shared" si="27"/>
        <v>59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0.0</v>
      </c>
      <c r="H129" s="19">
        <v>0.0</v>
      </c>
      <c r="I129" s="19">
        <v>1.0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2.0</v>
      </c>
      <c r="U129" s="19">
        <v>0.0</v>
      </c>
      <c r="V129" s="19">
        <v>0.0</v>
      </c>
      <c r="W129" s="19">
        <v>1.0</v>
      </c>
      <c r="X129" s="19">
        <v>1.0</v>
      </c>
      <c r="Y129" s="19">
        <v>0.0</v>
      </c>
      <c r="Z129" s="19">
        <v>0.0</v>
      </c>
      <c r="AA129" s="19">
        <v>2.0</v>
      </c>
      <c r="AB129" s="13">
        <f t="shared" ref="AB129:AB138" si="28">SUM(E129:AA129)</f>
        <v>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3.0</v>
      </c>
      <c r="G130" s="19">
        <v>0.0</v>
      </c>
      <c r="H130" s="19">
        <v>0.0</v>
      </c>
      <c r="I130" s="19">
        <v>0.0</v>
      </c>
      <c r="J130" s="19">
        <v>0.0</v>
      </c>
      <c r="K130" s="19">
        <v>1.0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9">
        <v>1.0</v>
      </c>
      <c r="U130" s="19">
        <v>4.0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3">
        <f t="shared" si="28"/>
        <v>10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>
        <v>0.0</v>
      </c>
      <c r="W131" s="19">
        <v>0.0</v>
      </c>
      <c r="X131" s="19">
        <v>0.0</v>
      </c>
      <c r="Y131" s="19">
        <v>1.0</v>
      </c>
      <c r="Z131" s="19">
        <v>0.0</v>
      </c>
      <c r="AA131" s="19">
        <v>0.0</v>
      </c>
      <c r="AB131" s="13">
        <f t="shared" si="28"/>
        <v>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>
        <v>0.0</v>
      </c>
      <c r="AA132" s="19">
        <v>0.0</v>
      </c>
      <c r="AB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1.0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1.0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1.0</v>
      </c>
      <c r="Z136" s="19">
        <v>0.0</v>
      </c>
      <c r="AA136" s="19">
        <v>0.0</v>
      </c>
      <c r="AB136" s="13">
        <f t="shared" si="28"/>
        <v>2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B139" si="29">SUM(E129:E138)</f>
        <v>1</v>
      </c>
      <c r="F139" s="13">
        <f t="shared" si="29"/>
        <v>4</v>
      </c>
      <c r="G139" s="13">
        <f t="shared" si="29"/>
        <v>0</v>
      </c>
      <c r="H139" s="13">
        <f t="shared" si="29"/>
        <v>0</v>
      </c>
      <c r="I139" s="13">
        <f t="shared" si="29"/>
        <v>1</v>
      </c>
      <c r="J139" s="13">
        <f t="shared" si="29"/>
        <v>0</v>
      </c>
      <c r="K139" s="13">
        <f t="shared" si="29"/>
        <v>3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1</v>
      </c>
      <c r="R139" s="13">
        <f t="shared" si="29"/>
        <v>0</v>
      </c>
      <c r="S139" s="13">
        <f t="shared" si="29"/>
        <v>0</v>
      </c>
      <c r="T139" s="13">
        <f t="shared" si="29"/>
        <v>3</v>
      </c>
      <c r="U139" s="13">
        <f t="shared" si="29"/>
        <v>5</v>
      </c>
      <c r="V139" s="13">
        <f t="shared" si="29"/>
        <v>0</v>
      </c>
      <c r="W139" s="13">
        <f t="shared" si="29"/>
        <v>1</v>
      </c>
      <c r="X139" s="13">
        <f t="shared" si="29"/>
        <v>2</v>
      </c>
      <c r="Y139" s="13">
        <f t="shared" si="29"/>
        <v>2</v>
      </c>
      <c r="Z139" s="13">
        <f t="shared" si="29"/>
        <v>0</v>
      </c>
      <c r="AA139" s="13">
        <f t="shared" si="29"/>
        <v>2</v>
      </c>
      <c r="AB139" s="13">
        <f t="shared" si="29"/>
        <v>25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3">
        <f t="shared" ref="AB141:AB150" si="30">SUM(E141:AA141)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B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/>
      <c r="F153" s="19">
        <v>1.0</v>
      </c>
      <c r="G153" s="19"/>
      <c r="H153" s="19">
        <v>1.0</v>
      </c>
      <c r="I153" s="19"/>
      <c r="J153" s="19"/>
      <c r="K153" s="19"/>
      <c r="L153" s="19"/>
      <c r="M153" s="19"/>
      <c r="N153" s="19">
        <v>1.0</v>
      </c>
      <c r="O153" s="19"/>
      <c r="P153" s="19"/>
      <c r="Q153" s="19"/>
      <c r="R153" s="19"/>
      <c r="S153" s="19"/>
      <c r="T153" s="19">
        <v>1.0</v>
      </c>
      <c r="U153" s="19"/>
      <c r="V153" s="19"/>
      <c r="W153" s="19">
        <v>1.0</v>
      </c>
      <c r="X153" s="19"/>
      <c r="Y153" s="19"/>
      <c r="Z153" s="19"/>
      <c r="AA153" s="19"/>
      <c r="AB153" s="13">
        <f t="shared" ref="AB153:AB156" si="32">SUM(E154:AA154)</f>
        <v>0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3">
        <f t="shared" si="32"/>
        <v>0</v>
      </c>
    </row>
    <row r="155" ht="12.75" customHeight="1">
      <c r="A155" s="18"/>
      <c r="B155" s="55">
        <v>2.0</v>
      </c>
      <c r="C155" s="66" t="s">
        <v>116</v>
      </c>
      <c r="D155" s="60"/>
      <c r="E155" s="8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3">
        <f t="shared" ref="AB157:AB162" si="33">SUM(E163:AA163)</f>
        <v>5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3">
        <f t="shared" si="33"/>
        <v>5</v>
      </c>
    </row>
    <row r="160" ht="12.75" customHeight="1">
      <c r="A160" s="18"/>
      <c r="B160" s="56"/>
      <c r="C160" s="57"/>
      <c r="D160" s="61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3">
        <f t="shared" si="33"/>
        <v>3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3">
        <f t="shared" si="33"/>
        <v>2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3">
        <f t="shared" si="33"/>
        <v>2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B163" si="34">SUM(E153:E162)</f>
        <v>0</v>
      </c>
      <c r="F163" s="13">
        <f t="shared" si="34"/>
        <v>1</v>
      </c>
      <c r="G163" s="13">
        <f t="shared" si="34"/>
        <v>0</v>
      </c>
      <c r="H163" s="13">
        <f t="shared" si="34"/>
        <v>1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1</v>
      </c>
      <c r="U163" s="13">
        <f t="shared" si="34"/>
        <v>0</v>
      </c>
      <c r="V163" s="13">
        <f t="shared" si="34"/>
        <v>0</v>
      </c>
      <c r="W163" s="13">
        <f t="shared" si="34"/>
        <v>1</v>
      </c>
      <c r="X163" s="13">
        <f t="shared" si="34"/>
        <v>0</v>
      </c>
      <c r="Y163" s="13">
        <f t="shared" si="34"/>
        <v>0</v>
      </c>
      <c r="Z163" s="13">
        <f t="shared" si="34"/>
        <v>0</v>
      </c>
      <c r="AA163" s="13">
        <f t="shared" si="34"/>
        <v>0</v>
      </c>
      <c r="AB163" s="13">
        <f t="shared" si="34"/>
        <v>17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1.0</v>
      </c>
      <c r="N165" s="19">
        <v>1.0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0.0</v>
      </c>
      <c r="AB165" s="13">
        <f t="shared" ref="AB165:AB174" si="35">SUM(E165:AA165)</f>
        <v>5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1.0</v>
      </c>
      <c r="O166" s="19">
        <v>0.0</v>
      </c>
      <c r="P166" s="19">
        <v>0.0</v>
      </c>
      <c r="Q166" s="19">
        <v>1.0</v>
      </c>
      <c r="R166" s="19">
        <v>0.0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3">
        <f t="shared" si="35"/>
        <v>3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3">
        <f t="shared" si="35"/>
        <v>2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1.0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1.0</v>
      </c>
      <c r="Z168" s="19">
        <v>0.0</v>
      </c>
      <c r="AA168" s="19">
        <v>0.0</v>
      </c>
      <c r="AB168" s="13">
        <f t="shared" si="35"/>
        <v>2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1.0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1.0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35"/>
        <v>2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1.0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1.0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35"/>
        <v>2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B175" si="36">SUM(E165:E174)</f>
        <v>3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1</v>
      </c>
      <c r="N175" s="13">
        <f t="shared" si="36"/>
        <v>2</v>
      </c>
      <c r="O175" s="13">
        <f t="shared" si="36"/>
        <v>0</v>
      </c>
      <c r="P175" s="13">
        <f t="shared" si="36"/>
        <v>0</v>
      </c>
      <c r="Q175" s="13">
        <f t="shared" si="36"/>
        <v>2</v>
      </c>
      <c r="R175" s="13">
        <f t="shared" si="36"/>
        <v>2</v>
      </c>
      <c r="S175" s="13">
        <f t="shared" si="36"/>
        <v>2</v>
      </c>
      <c r="T175" s="13">
        <f t="shared" si="36"/>
        <v>0</v>
      </c>
      <c r="U175" s="13">
        <f t="shared" si="36"/>
        <v>1</v>
      </c>
      <c r="V175" s="13">
        <f t="shared" si="36"/>
        <v>0</v>
      </c>
      <c r="W175" s="13">
        <f t="shared" si="36"/>
        <v>1</v>
      </c>
      <c r="X175" s="13">
        <f t="shared" si="36"/>
        <v>0</v>
      </c>
      <c r="Y175" s="13">
        <f t="shared" si="36"/>
        <v>1</v>
      </c>
      <c r="Z175" s="13">
        <f t="shared" si="36"/>
        <v>0</v>
      </c>
      <c r="AA175" s="13">
        <f t="shared" si="36"/>
        <v>0</v>
      </c>
      <c r="AB175" s="13">
        <f t="shared" si="36"/>
        <v>16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0.0</v>
      </c>
      <c r="H177" s="19">
        <v>3.0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3.0</v>
      </c>
      <c r="W177" s="19">
        <v>0.0</v>
      </c>
      <c r="X177" s="19">
        <v>0.0</v>
      </c>
      <c r="Y177" s="19">
        <v>1.0</v>
      </c>
      <c r="Z177" s="19">
        <v>1.0</v>
      </c>
      <c r="AA177" s="19">
        <v>0.0</v>
      </c>
      <c r="AB177" s="13">
        <f t="shared" ref="AB177:AB186" si="37">SUM(E177:AA177)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1.0</v>
      </c>
      <c r="M178" s="19">
        <v>0.0</v>
      </c>
      <c r="N178" s="19">
        <v>0.0</v>
      </c>
      <c r="O178" s="19">
        <v>2.0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3">
        <f t="shared" si="37"/>
        <v>3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1.0</v>
      </c>
      <c r="Y179" s="19">
        <v>0.0</v>
      </c>
      <c r="Z179" s="19">
        <v>1.0</v>
      </c>
      <c r="AA179" s="19">
        <v>0.0</v>
      </c>
      <c r="AB179" s="13">
        <f t="shared" si="37"/>
        <v>2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3">
        <f t="shared" si="37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3">
        <f t="shared" si="37"/>
        <v>3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3">
        <f t="shared" si="37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B187" si="38">SUM(E177:E186)</f>
        <v>1</v>
      </c>
      <c r="F187" s="13">
        <f t="shared" si="38"/>
        <v>1</v>
      </c>
      <c r="G187" s="13">
        <f t="shared" si="38"/>
        <v>0</v>
      </c>
      <c r="H187" s="13">
        <f t="shared" si="38"/>
        <v>3</v>
      </c>
      <c r="I187" s="13">
        <f t="shared" si="38"/>
        <v>0</v>
      </c>
      <c r="J187" s="13">
        <f t="shared" si="38"/>
        <v>0</v>
      </c>
      <c r="K187" s="13">
        <f t="shared" si="38"/>
        <v>0</v>
      </c>
      <c r="L187" s="13">
        <f t="shared" si="38"/>
        <v>1</v>
      </c>
      <c r="M187" s="13">
        <f t="shared" si="38"/>
        <v>1</v>
      </c>
      <c r="N187" s="13">
        <f t="shared" si="38"/>
        <v>0</v>
      </c>
      <c r="O187" s="13">
        <f t="shared" si="38"/>
        <v>3</v>
      </c>
      <c r="P187" s="13">
        <f t="shared" si="38"/>
        <v>0</v>
      </c>
      <c r="Q187" s="13">
        <f t="shared" si="38"/>
        <v>0</v>
      </c>
      <c r="R187" s="13">
        <f t="shared" si="38"/>
        <v>0</v>
      </c>
      <c r="S187" s="13">
        <f t="shared" si="38"/>
        <v>1</v>
      </c>
      <c r="T187" s="13">
        <f t="shared" si="38"/>
        <v>0</v>
      </c>
      <c r="U187" s="13">
        <f t="shared" si="38"/>
        <v>0</v>
      </c>
      <c r="V187" s="13">
        <f t="shared" si="38"/>
        <v>3</v>
      </c>
      <c r="W187" s="13">
        <f t="shared" si="38"/>
        <v>0</v>
      </c>
      <c r="X187" s="13">
        <f t="shared" si="38"/>
        <v>1</v>
      </c>
      <c r="Y187" s="13">
        <f t="shared" si="38"/>
        <v>1</v>
      </c>
      <c r="Z187" s="13">
        <f t="shared" si="38"/>
        <v>2</v>
      </c>
      <c r="AA187" s="13">
        <f t="shared" si="38"/>
        <v>0</v>
      </c>
      <c r="AB187" s="13">
        <f t="shared" si="38"/>
        <v>18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>
        <v>1.0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3">
        <f t="shared" ref="AB189:AB198" si="39">SUM(E189:AA189)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3">
        <f t="shared" si="39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/>
      <c r="F191" s="19"/>
      <c r="G191" s="19"/>
      <c r="H191" s="19"/>
      <c r="I191" s="19">
        <v>1.0</v>
      </c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>
        <v>1.0</v>
      </c>
      <c r="W191" s="19"/>
      <c r="X191" s="19"/>
      <c r="Y191" s="19"/>
      <c r="Z191" s="19"/>
      <c r="AA191" s="19"/>
      <c r="AB191" s="13">
        <f t="shared" si="39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/>
      <c r="F192" s="19"/>
      <c r="G192" s="19"/>
      <c r="H192" s="19"/>
      <c r="I192" s="19"/>
      <c r="J192" s="19"/>
      <c r="K192" s="19"/>
      <c r="L192" s="19"/>
      <c r="M192" s="19"/>
      <c r="N192" s="19">
        <v>1.0</v>
      </c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3">
        <f t="shared" si="39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>
        <v>1.0</v>
      </c>
      <c r="AB194" s="13">
        <f t="shared" si="39"/>
        <v>1</v>
      </c>
    </row>
    <row r="195" ht="12.75" customHeight="1">
      <c r="A195" s="18"/>
      <c r="B195" s="55">
        <v>6.0</v>
      </c>
      <c r="C195" s="50" t="s">
        <v>144</v>
      </c>
      <c r="D195" s="60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B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2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1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1</v>
      </c>
      <c r="AB199" s="13">
        <f t="shared" si="40"/>
        <v>5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0.0</v>
      </c>
      <c r="G201" s="19">
        <v>0.0</v>
      </c>
      <c r="H201" s="19">
        <v>1.0</v>
      </c>
      <c r="I201" s="19">
        <v>0.0</v>
      </c>
      <c r="J201" s="19">
        <v>3.0</v>
      </c>
      <c r="K201" s="19">
        <v>4.0</v>
      </c>
      <c r="L201" s="19">
        <v>2.0</v>
      </c>
      <c r="M201" s="19">
        <v>1.0</v>
      </c>
      <c r="N201" s="19">
        <v>2.0</v>
      </c>
      <c r="O201" s="19">
        <v>2.0</v>
      </c>
      <c r="P201" s="19">
        <v>2.0</v>
      </c>
      <c r="Q201" s="19">
        <v>3.0</v>
      </c>
      <c r="R201" s="19">
        <v>13.0</v>
      </c>
      <c r="S201" s="19">
        <v>3.0</v>
      </c>
      <c r="T201" s="19">
        <v>5.0</v>
      </c>
      <c r="U201" s="19">
        <v>4.0</v>
      </c>
      <c r="V201" s="19">
        <v>2.0</v>
      </c>
      <c r="W201" s="19">
        <v>2.0</v>
      </c>
      <c r="X201" s="19">
        <v>0.0</v>
      </c>
      <c r="Y201" s="19">
        <v>0.0</v>
      </c>
      <c r="Z201" s="19">
        <v>2.0</v>
      </c>
      <c r="AA201" s="19">
        <v>1.0</v>
      </c>
      <c r="AB201" s="13">
        <f t="shared" ref="AB201:AB210" si="41">SUM(E201:AA201)</f>
        <v>53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3.0</v>
      </c>
      <c r="F202" s="19">
        <v>2.0</v>
      </c>
      <c r="G202" s="19">
        <v>1.0</v>
      </c>
      <c r="H202" s="19">
        <v>0.0</v>
      </c>
      <c r="I202" s="19">
        <v>3.0</v>
      </c>
      <c r="J202" s="19">
        <v>1.0</v>
      </c>
      <c r="K202" s="19">
        <v>12.0</v>
      </c>
      <c r="L202" s="19">
        <v>2.0</v>
      </c>
      <c r="M202" s="19">
        <v>6.0</v>
      </c>
      <c r="N202" s="19">
        <v>5.0</v>
      </c>
      <c r="O202" s="19">
        <v>7.0</v>
      </c>
      <c r="P202" s="19">
        <v>2.0</v>
      </c>
      <c r="Q202" s="19">
        <v>9.0</v>
      </c>
      <c r="R202" s="19">
        <v>1.0</v>
      </c>
      <c r="S202" s="19">
        <v>7.0</v>
      </c>
      <c r="T202" s="19">
        <v>3.0</v>
      </c>
      <c r="U202" s="19">
        <v>2.0</v>
      </c>
      <c r="V202" s="19">
        <v>2.0</v>
      </c>
      <c r="W202" s="19">
        <v>0.0</v>
      </c>
      <c r="X202" s="19">
        <v>1.0</v>
      </c>
      <c r="Y202" s="19">
        <v>1.0</v>
      </c>
      <c r="Z202" s="19">
        <v>1.0</v>
      </c>
      <c r="AA202" s="19">
        <v>7.0</v>
      </c>
      <c r="AB202" s="13">
        <f t="shared" si="41"/>
        <v>78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1.0</v>
      </c>
      <c r="G203" s="19">
        <v>0.0</v>
      </c>
      <c r="H203" s="19">
        <v>1.0</v>
      </c>
      <c r="I203" s="19">
        <v>0.0</v>
      </c>
      <c r="J203" s="19">
        <v>1.0</v>
      </c>
      <c r="K203" s="19">
        <v>1.0</v>
      </c>
      <c r="L203" s="19">
        <v>3.0</v>
      </c>
      <c r="M203" s="19">
        <v>2.0</v>
      </c>
      <c r="N203" s="19">
        <v>2.0</v>
      </c>
      <c r="O203" s="19">
        <v>0.0</v>
      </c>
      <c r="P203" s="19">
        <v>1.0</v>
      </c>
      <c r="Q203" s="19">
        <v>6.0</v>
      </c>
      <c r="R203" s="19">
        <v>1.0</v>
      </c>
      <c r="S203" s="19">
        <v>51.0</v>
      </c>
      <c r="T203" s="19">
        <v>0.0</v>
      </c>
      <c r="U203" s="19">
        <v>24.0</v>
      </c>
      <c r="V203" s="19">
        <v>1.0</v>
      </c>
      <c r="W203" s="19">
        <v>0.0</v>
      </c>
      <c r="X203" s="19">
        <v>2.0</v>
      </c>
      <c r="Y203" s="19">
        <v>0.0</v>
      </c>
      <c r="Z203" s="19">
        <v>1.0</v>
      </c>
      <c r="AA203" s="19">
        <v>0.0</v>
      </c>
      <c r="AB203" s="13">
        <f t="shared" si="41"/>
        <v>99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1.0</v>
      </c>
      <c r="H204" s="19">
        <v>10.0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0.0</v>
      </c>
      <c r="Q204" s="19">
        <v>1.0</v>
      </c>
      <c r="R204" s="19">
        <v>1.0</v>
      </c>
      <c r="S204" s="19">
        <v>1.0</v>
      </c>
      <c r="T204" s="19">
        <v>0.0</v>
      </c>
      <c r="U204" s="19">
        <v>0.0</v>
      </c>
      <c r="V204" s="19">
        <v>1.0</v>
      </c>
      <c r="W204" s="19">
        <v>0.0</v>
      </c>
      <c r="X204" s="19">
        <v>1.0</v>
      </c>
      <c r="Y204" s="19">
        <v>1.0</v>
      </c>
      <c r="Z204" s="19">
        <v>0.0</v>
      </c>
      <c r="AA204" s="19">
        <v>0.0</v>
      </c>
      <c r="AB204" s="13">
        <f t="shared" si="41"/>
        <v>18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3.0</v>
      </c>
      <c r="I205" s="19">
        <v>0.0</v>
      </c>
      <c r="J205" s="19">
        <v>0.0</v>
      </c>
      <c r="K205" s="19">
        <v>0.0</v>
      </c>
      <c r="L205" s="19">
        <v>2.0</v>
      </c>
      <c r="M205" s="19">
        <v>0.0</v>
      </c>
      <c r="N205" s="19">
        <v>2.0</v>
      </c>
      <c r="O205" s="19">
        <v>0.0</v>
      </c>
      <c r="P205" s="19">
        <v>4.0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3">
        <f t="shared" si="41"/>
        <v>12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1.0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3">
        <f t="shared" si="41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1.0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1.0</v>
      </c>
      <c r="T207" s="19">
        <v>1.0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3">
        <f t="shared" si="41"/>
        <v>3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2.0</v>
      </c>
      <c r="F208" s="19">
        <v>1.0</v>
      </c>
      <c r="G208" s="19">
        <v>0.0</v>
      </c>
      <c r="H208" s="19">
        <v>2.0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1.0</v>
      </c>
      <c r="O208" s="19">
        <v>0.0</v>
      </c>
      <c r="P208" s="19">
        <v>0.0</v>
      </c>
      <c r="Q208" s="19">
        <v>0.0</v>
      </c>
      <c r="R208" s="19">
        <v>1.0</v>
      </c>
      <c r="S208" s="19">
        <v>2.0</v>
      </c>
      <c r="T208" s="19">
        <v>0.0</v>
      </c>
      <c r="U208" s="19">
        <v>1.0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3">
        <f t="shared" si="41"/>
        <v>11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B211" si="42">SUM(E201:E210)</f>
        <v>7</v>
      </c>
      <c r="F211" s="13">
        <f t="shared" si="42"/>
        <v>4</v>
      </c>
      <c r="G211" s="13">
        <f t="shared" si="42"/>
        <v>2</v>
      </c>
      <c r="H211" s="13">
        <f t="shared" si="42"/>
        <v>18</v>
      </c>
      <c r="I211" s="13">
        <f t="shared" si="42"/>
        <v>3</v>
      </c>
      <c r="J211" s="13">
        <f t="shared" si="42"/>
        <v>5</v>
      </c>
      <c r="K211" s="13">
        <f t="shared" si="42"/>
        <v>17</v>
      </c>
      <c r="L211" s="13">
        <f t="shared" si="42"/>
        <v>11</v>
      </c>
      <c r="M211" s="13">
        <f t="shared" si="42"/>
        <v>9</v>
      </c>
      <c r="N211" s="13">
        <f t="shared" si="42"/>
        <v>13</v>
      </c>
      <c r="O211" s="13">
        <f t="shared" si="42"/>
        <v>9</v>
      </c>
      <c r="P211" s="13">
        <f t="shared" si="42"/>
        <v>9</v>
      </c>
      <c r="Q211" s="13">
        <f t="shared" si="42"/>
        <v>19</v>
      </c>
      <c r="R211" s="13">
        <f t="shared" si="42"/>
        <v>18</v>
      </c>
      <c r="S211" s="13">
        <f t="shared" si="42"/>
        <v>66</v>
      </c>
      <c r="T211" s="13">
        <f t="shared" si="42"/>
        <v>9</v>
      </c>
      <c r="U211" s="13">
        <f t="shared" si="42"/>
        <v>31</v>
      </c>
      <c r="V211" s="13">
        <f t="shared" si="42"/>
        <v>6</v>
      </c>
      <c r="W211" s="13">
        <f t="shared" si="42"/>
        <v>2</v>
      </c>
      <c r="X211" s="13">
        <f t="shared" si="42"/>
        <v>4</v>
      </c>
      <c r="Y211" s="13">
        <f t="shared" si="42"/>
        <v>2</v>
      </c>
      <c r="Z211" s="13">
        <f t="shared" si="42"/>
        <v>4</v>
      </c>
      <c r="AA211" s="13">
        <f t="shared" si="42"/>
        <v>8</v>
      </c>
      <c r="AB211" s="13">
        <f t="shared" si="42"/>
        <v>276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3.0</v>
      </c>
      <c r="G213" s="19">
        <v>2.0</v>
      </c>
      <c r="H213" s="19">
        <v>0.0</v>
      </c>
      <c r="I213" s="19">
        <v>3.0</v>
      </c>
      <c r="J213" s="19">
        <v>1.0</v>
      </c>
      <c r="K213" s="19">
        <v>2.0</v>
      </c>
      <c r="L213" s="19">
        <v>2.0</v>
      </c>
      <c r="M213" s="19">
        <v>3.0</v>
      </c>
      <c r="N213" s="19">
        <v>2.0</v>
      </c>
      <c r="O213" s="19">
        <v>0.0</v>
      </c>
      <c r="P213" s="19">
        <v>0.0</v>
      </c>
      <c r="Q213" s="19">
        <v>1.0</v>
      </c>
      <c r="R213" s="19">
        <v>0.0</v>
      </c>
      <c r="S213" s="19">
        <v>1.0</v>
      </c>
      <c r="T213" s="19">
        <v>2.0</v>
      </c>
      <c r="U213" s="19">
        <v>0.0</v>
      </c>
      <c r="V213" s="19">
        <v>3.0</v>
      </c>
      <c r="W213" s="19">
        <v>4.0</v>
      </c>
      <c r="X213" s="19">
        <v>2.0</v>
      </c>
      <c r="Y213" s="19">
        <v>1.0</v>
      </c>
      <c r="Z213" s="19">
        <v>0.0</v>
      </c>
      <c r="AA213" s="19">
        <v>0.0</v>
      </c>
      <c r="AB213" s="13">
        <f t="shared" ref="AB213:AB222" si="43">SUM(E213:AA213)</f>
        <v>33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2.0</v>
      </c>
      <c r="F214" s="19">
        <v>1.0</v>
      </c>
      <c r="G214" s="19">
        <v>2.0</v>
      </c>
      <c r="H214" s="19">
        <v>0.0</v>
      </c>
      <c r="I214" s="19">
        <v>2.0</v>
      </c>
      <c r="J214" s="19">
        <v>1.0</v>
      </c>
      <c r="K214" s="19">
        <v>0.0</v>
      </c>
      <c r="L214" s="19">
        <v>0.0</v>
      </c>
      <c r="M214" s="19">
        <v>0.0</v>
      </c>
      <c r="N214" s="19">
        <v>0.0</v>
      </c>
      <c r="O214" s="19">
        <v>2.0</v>
      </c>
      <c r="P214" s="19">
        <v>1.0</v>
      </c>
      <c r="Q214" s="19">
        <v>1.0</v>
      </c>
      <c r="R214" s="19">
        <v>1.0</v>
      </c>
      <c r="S214" s="19">
        <v>0.0</v>
      </c>
      <c r="T214" s="19">
        <v>3.0</v>
      </c>
      <c r="U214" s="19">
        <v>1.0</v>
      </c>
      <c r="V214" s="19">
        <v>0.0</v>
      </c>
      <c r="W214" s="19">
        <v>1.0</v>
      </c>
      <c r="X214" s="19">
        <v>0.0</v>
      </c>
      <c r="Y214" s="19">
        <v>2.0</v>
      </c>
      <c r="Z214" s="19">
        <v>0.0</v>
      </c>
      <c r="AA214" s="19">
        <v>0.0</v>
      </c>
      <c r="AB214" s="13">
        <f t="shared" si="43"/>
        <v>20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1.0</v>
      </c>
      <c r="G215" s="19">
        <v>0.0</v>
      </c>
      <c r="H215" s="19">
        <v>1.0</v>
      </c>
      <c r="I215" s="19">
        <v>3.0</v>
      </c>
      <c r="J215" s="19">
        <v>0.0</v>
      </c>
      <c r="K215" s="19">
        <v>12.0</v>
      </c>
      <c r="L215" s="19">
        <v>3.0</v>
      </c>
      <c r="M215" s="19">
        <v>12.0</v>
      </c>
      <c r="N215" s="19">
        <v>8.0</v>
      </c>
      <c r="O215" s="19">
        <v>1.0</v>
      </c>
      <c r="P215" s="19">
        <v>0.0</v>
      </c>
      <c r="Q215" s="19">
        <v>1.0</v>
      </c>
      <c r="R215" s="19">
        <v>0.0</v>
      </c>
      <c r="S215" s="19">
        <v>5.0</v>
      </c>
      <c r="T215" s="19">
        <v>0.0</v>
      </c>
      <c r="U215" s="19">
        <v>1.0</v>
      </c>
      <c r="V215" s="19">
        <v>0.0</v>
      </c>
      <c r="W215" s="19">
        <v>13.0</v>
      </c>
      <c r="X215" s="19">
        <v>5.0</v>
      </c>
      <c r="Y215" s="19">
        <v>0.0</v>
      </c>
      <c r="Z215" s="19">
        <v>2.0</v>
      </c>
      <c r="AA215" s="19">
        <v>1.0</v>
      </c>
      <c r="AB215" s="13">
        <f t="shared" si="43"/>
        <v>69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1.0</v>
      </c>
      <c r="I216" s="19">
        <v>0.0</v>
      </c>
      <c r="J216" s="19">
        <v>0.0</v>
      </c>
      <c r="K216" s="19">
        <v>2.0</v>
      </c>
      <c r="L216" s="19">
        <v>1.0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9">
        <v>0.0</v>
      </c>
      <c r="T216" s="19">
        <v>1.0</v>
      </c>
      <c r="U216" s="19">
        <v>0.0</v>
      </c>
      <c r="V216" s="19">
        <v>1.0</v>
      </c>
      <c r="W216" s="19">
        <v>0.0</v>
      </c>
      <c r="X216" s="19">
        <v>1.0</v>
      </c>
      <c r="Y216" s="19">
        <v>0.0</v>
      </c>
      <c r="Z216" s="19">
        <v>0.0</v>
      </c>
      <c r="AA216" s="19">
        <v>0.0</v>
      </c>
      <c r="AB216" s="13">
        <f t="shared" si="43"/>
        <v>9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3">
        <f t="shared" si="43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2.0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3">
        <f t="shared" si="43"/>
        <v>3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1.0</v>
      </c>
      <c r="O219" s="19">
        <v>1.0</v>
      </c>
      <c r="P219" s="19">
        <v>0.0</v>
      </c>
      <c r="Q219" s="19">
        <v>0.0</v>
      </c>
      <c r="R219" s="19">
        <v>1.0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3">
        <f t="shared" si="43"/>
        <v>5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3">
        <f t="shared" si="43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B223" si="44">SUM(E213:E222)</f>
        <v>4</v>
      </c>
      <c r="F223" s="13">
        <f t="shared" si="44"/>
        <v>7</v>
      </c>
      <c r="G223" s="13">
        <f t="shared" si="44"/>
        <v>4</v>
      </c>
      <c r="H223" s="13">
        <f t="shared" si="44"/>
        <v>2</v>
      </c>
      <c r="I223" s="13">
        <f t="shared" si="44"/>
        <v>8</v>
      </c>
      <c r="J223" s="13">
        <f t="shared" si="44"/>
        <v>2</v>
      </c>
      <c r="K223" s="13">
        <f t="shared" si="44"/>
        <v>16</v>
      </c>
      <c r="L223" s="13">
        <f t="shared" si="44"/>
        <v>7</v>
      </c>
      <c r="M223" s="13">
        <f t="shared" si="44"/>
        <v>16</v>
      </c>
      <c r="N223" s="13">
        <f t="shared" si="44"/>
        <v>13</v>
      </c>
      <c r="O223" s="13">
        <f t="shared" si="44"/>
        <v>4</v>
      </c>
      <c r="P223" s="13">
        <f t="shared" si="44"/>
        <v>1</v>
      </c>
      <c r="Q223" s="13">
        <f t="shared" si="44"/>
        <v>3</v>
      </c>
      <c r="R223" s="13">
        <f t="shared" si="44"/>
        <v>4</v>
      </c>
      <c r="S223" s="13">
        <f t="shared" si="44"/>
        <v>6</v>
      </c>
      <c r="T223" s="13">
        <f t="shared" si="44"/>
        <v>6</v>
      </c>
      <c r="U223" s="13">
        <f t="shared" si="44"/>
        <v>2</v>
      </c>
      <c r="V223" s="13">
        <f t="shared" si="44"/>
        <v>4</v>
      </c>
      <c r="W223" s="13">
        <f t="shared" si="44"/>
        <v>18</v>
      </c>
      <c r="X223" s="13">
        <f t="shared" si="44"/>
        <v>8</v>
      </c>
      <c r="Y223" s="13">
        <f t="shared" si="44"/>
        <v>3</v>
      </c>
      <c r="Z223" s="13">
        <f t="shared" si="44"/>
        <v>2</v>
      </c>
      <c r="AA223" s="13">
        <f t="shared" si="44"/>
        <v>1</v>
      </c>
      <c r="AB223" s="13">
        <f t="shared" si="44"/>
        <v>141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/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/>
      <c r="W225" s="19"/>
      <c r="X225" s="19"/>
      <c r="Y225" s="19"/>
      <c r="Z225" s="19"/>
      <c r="AA225" s="19"/>
      <c r="AB225" s="13">
        <f t="shared" ref="AB225:AB234" si="45">SUM(E225:AA225)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1.0</v>
      </c>
      <c r="I226" s="19">
        <v>1.0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1.0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1.0</v>
      </c>
      <c r="AA226" s="19">
        <v>0.0</v>
      </c>
      <c r="AB226" s="13">
        <f t="shared" si="45"/>
        <v>5</v>
      </c>
    </row>
    <row r="227" ht="12.75" customHeight="1">
      <c r="A227" s="18"/>
      <c r="B227" s="55">
        <v>2.0</v>
      </c>
      <c r="C227" s="50" t="s">
        <v>167</v>
      </c>
      <c r="D227" s="60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>
        <v>1.0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3">
        <f t="shared" si="45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>
        <v>1.0</v>
      </c>
      <c r="U230" s="19">
        <v>0.0</v>
      </c>
      <c r="V230" s="19">
        <v>1.0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3">
        <f t="shared" si="45"/>
        <v>2</v>
      </c>
    </row>
    <row r="231" ht="12.75" customHeight="1">
      <c r="A231" s="18"/>
      <c r="B231" s="55">
        <v>6.0</v>
      </c>
      <c r="C231" s="50" t="s">
        <v>171</v>
      </c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2.0</v>
      </c>
      <c r="J232" s="19">
        <v>0.0</v>
      </c>
      <c r="K232" s="19">
        <v>8.0</v>
      </c>
      <c r="L232" s="19">
        <v>0.0</v>
      </c>
      <c r="M232" s="19">
        <v>14.0</v>
      </c>
      <c r="N232" s="19">
        <v>21.0</v>
      </c>
      <c r="O232" s="19">
        <v>3.0</v>
      </c>
      <c r="P232" s="19">
        <v>2.0</v>
      </c>
      <c r="Q232" s="19">
        <v>0.0</v>
      </c>
      <c r="R232" s="19">
        <v>0.0</v>
      </c>
      <c r="S232" s="19">
        <v>2.0</v>
      </c>
      <c r="T232" s="19">
        <v>17.0</v>
      </c>
      <c r="U232" s="19">
        <v>12.0</v>
      </c>
      <c r="V232" s="19">
        <v>14.0</v>
      </c>
      <c r="W232" s="19">
        <v>8.0</v>
      </c>
      <c r="X232" s="19">
        <v>1.0</v>
      </c>
      <c r="Y232" s="19">
        <v>32.0</v>
      </c>
      <c r="Z232" s="19">
        <v>77.0</v>
      </c>
      <c r="AA232" s="19">
        <v>46.0</v>
      </c>
      <c r="AB232" s="13">
        <f t="shared" si="45"/>
        <v>259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B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1</v>
      </c>
      <c r="I235" s="13">
        <f t="shared" si="46"/>
        <v>3</v>
      </c>
      <c r="J235" s="13">
        <f t="shared" si="46"/>
        <v>0</v>
      </c>
      <c r="K235" s="13">
        <f t="shared" si="46"/>
        <v>9</v>
      </c>
      <c r="L235" s="13">
        <f t="shared" si="46"/>
        <v>0</v>
      </c>
      <c r="M235" s="13">
        <f t="shared" si="46"/>
        <v>14</v>
      </c>
      <c r="N235" s="13">
        <f t="shared" si="46"/>
        <v>22</v>
      </c>
      <c r="O235" s="13">
        <f t="shared" si="46"/>
        <v>3</v>
      </c>
      <c r="P235" s="13">
        <f t="shared" si="46"/>
        <v>2</v>
      </c>
      <c r="Q235" s="13">
        <f t="shared" si="46"/>
        <v>1</v>
      </c>
      <c r="R235" s="13">
        <f t="shared" si="46"/>
        <v>0</v>
      </c>
      <c r="S235" s="13">
        <f t="shared" si="46"/>
        <v>2</v>
      </c>
      <c r="T235" s="13">
        <f t="shared" si="46"/>
        <v>19</v>
      </c>
      <c r="U235" s="13">
        <f t="shared" si="46"/>
        <v>12</v>
      </c>
      <c r="V235" s="13">
        <f t="shared" si="46"/>
        <v>15</v>
      </c>
      <c r="W235" s="13">
        <f t="shared" si="46"/>
        <v>8</v>
      </c>
      <c r="X235" s="13">
        <f t="shared" si="46"/>
        <v>1</v>
      </c>
      <c r="Y235" s="13">
        <f t="shared" si="46"/>
        <v>32</v>
      </c>
      <c r="Z235" s="13">
        <f t="shared" si="46"/>
        <v>78</v>
      </c>
      <c r="AA235" s="13">
        <f t="shared" si="46"/>
        <v>46</v>
      </c>
      <c r="AB235" s="13">
        <f t="shared" si="46"/>
        <v>268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2.0</v>
      </c>
      <c r="G237" s="19">
        <v>1.0</v>
      </c>
      <c r="H237" s="19">
        <v>3.0</v>
      </c>
      <c r="I237" s="19">
        <v>1.0</v>
      </c>
      <c r="J237" s="19">
        <v>1.0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1.0</v>
      </c>
      <c r="S237" s="19">
        <v>0.0</v>
      </c>
      <c r="T237" s="19">
        <v>0.0</v>
      </c>
      <c r="U237" s="19">
        <v>0.0</v>
      </c>
      <c r="V237" s="19">
        <v>0.0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0.0</v>
      </c>
      <c r="AB237" s="13">
        <f t="shared" ref="AB237:AB246" si="47">SUM(E237:AA237)</f>
        <v>9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1.0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1.0</v>
      </c>
      <c r="R238" s="19">
        <v>0.0</v>
      </c>
      <c r="S238" s="19">
        <v>0.0</v>
      </c>
      <c r="T238" s="19">
        <v>0.0</v>
      </c>
      <c r="U238" s="19">
        <v>1.0</v>
      </c>
      <c r="V238" s="19">
        <v>0.0</v>
      </c>
      <c r="W238" s="19">
        <v>0.0</v>
      </c>
      <c r="X238" s="19">
        <v>0.0</v>
      </c>
      <c r="Y238" s="19">
        <v>0.0</v>
      </c>
      <c r="Z238" s="19">
        <v>1.0</v>
      </c>
      <c r="AA238" s="19">
        <v>0.0</v>
      </c>
      <c r="AB238" s="13">
        <f t="shared" si="47"/>
        <v>5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1.0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3">
        <f t="shared" si="47"/>
        <v>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2.0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3">
        <f t="shared" si="47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3">
        <f t="shared" si="47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1.0</v>
      </c>
      <c r="G243" s="19">
        <v>0.0</v>
      </c>
      <c r="H243" s="19">
        <v>0.0</v>
      </c>
      <c r="I243" s="19">
        <v>1.0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1.0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3">
        <f t="shared" si="47"/>
        <v>3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36.0</v>
      </c>
      <c r="F244" s="19">
        <v>25.0</v>
      </c>
      <c r="G244" s="19">
        <v>42.0</v>
      </c>
      <c r="H244" s="19">
        <v>37.0</v>
      </c>
      <c r="I244" s="19">
        <v>20.0</v>
      </c>
      <c r="J244" s="19">
        <v>5.0</v>
      </c>
      <c r="K244" s="19">
        <v>5.0</v>
      </c>
      <c r="L244" s="19">
        <v>3.0</v>
      </c>
      <c r="M244" s="19">
        <v>16.0</v>
      </c>
      <c r="N244" s="19">
        <v>14.0</v>
      </c>
      <c r="O244" s="19">
        <v>0.0</v>
      </c>
      <c r="P244" s="19">
        <v>0.0</v>
      </c>
      <c r="Q244" s="19">
        <v>2.0</v>
      </c>
      <c r="R244" s="19">
        <v>0.0</v>
      </c>
      <c r="S244" s="19">
        <v>1.0</v>
      </c>
      <c r="T244" s="19">
        <v>3.0</v>
      </c>
      <c r="U244" s="19">
        <v>3.0</v>
      </c>
      <c r="V244" s="19">
        <v>1.0</v>
      </c>
      <c r="W244" s="19">
        <v>3.0</v>
      </c>
      <c r="X244" s="19">
        <v>1.0</v>
      </c>
      <c r="Y244" s="19">
        <v>0.0</v>
      </c>
      <c r="Z244" s="19">
        <v>2.0</v>
      </c>
      <c r="AA244" s="19">
        <v>19.0</v>
      </c>
      <c r="AB244" s="13">
        <f t="shared" si="47"/>
        <v>238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B247" si="48">SUM(E237:E246)</f>
        <v>36</v>
      </c>
      <c r="F247" s="13">
        <f t="shared" si="48"/>
        <v>29</v>
      </c>
      <c r="G247" s="13">
        <f t="shared" si="48"/>
        <v>43</v>
      </c>
      <c r="H247" s="13">
        <f t="shared" si="48"/>
        <v>42</v>
      </c>
      <c r="I247" s="13">
        <f t="shared" si="48"/>
        <v>22</v>
      </c>
      <c r="J247" s="13">
        <f t="shared" si="48"/>
        <v>7</v>
      </c>
      <c r="K247" s="13">
        <f t="shared" si="48"/>
        <v>5</v>
      </c>
      <c r="L247" s="13">
        <f t="shared" si="48"/>
        <v>3</v>
      </c>
      <c r="M247" s="13">
        <f t="shared" si="48"/>
        <v>16</v>
      </c>
      <c r="N247" s="13">
        <f t="shared" si="48"/>
        <v>14</v>
      </c>
      <c r="O247" s="13">
        <f t="shared" si="48"/>
        <v>1</v>
      </c>
      <c r="P247" s="13">
        <f t="shared" si="48"/>
        <v>1</v>
      </c>
      <c r="Q247" s="13">
        <f t="shared" si="48"/>
        <v>3</v>
      </c>
      <c r="R247" s="13">
        <f t="shared" si="48"/>
        <v>1</v>
      </c>
      <c r="S247" s="13">
        <f t="shared" si="48"/>
        <v>2</v>
      </c>
      <c r="T247" s="13">
        <f t="shared" si="48"/>
        <v>3</v>
      </c>
      <c r="U247" s="13">
        <f t="shared" si="48"/>
        <v>5</v>
      </c>
      <c r="V247" s="13">
        <f t="shared" si="48"/>
        <v>1</v>
      </c>
      <c r="W247" s="13">
        <f t="shared" si="48"/>
        <v>3</v>
      </c>
      <c r="X247" s="13">
        <f t="shared" si="48"/>
        <v>1</v>
      </c>
      <c r="Y247" s="13">
        <f t="shared" si="48"/>
        <v>0</v>
      </c>
      <c r="Z247" s="13">
        <f t="shared" si="48"/>
        <v>3</v>
      </c>
      <c r="AA247" s="13">
        <f t="shared" si="48"/>
        <v>19</v>
      </c>
      <c r="AB247" s="13">
        <f t="shared" si="48"/>
        <v>260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1.0</v>
      </c>
      <c r="V249" s="19">
        <v>0.0</v>
      </c>
      <c r="W249" s="19">
        <v>0.0</v>
      </c>
      <c r="X249" s="19">
        <v>1.0</v>
      </c>
      <c r="Y249" s="19">
        <v>0.0</v>
      </c>
      <c r="Z249" s="19">
        <v>0.0</v>
      </c>
      <c r="AA249" s="19">
        <v>0.0</v>
      </c>
      <c r="AB249" s="13">
        <f t="shared" ref="AB249:AB258" si="49">SUM(E249:AA249)</f>
        <v>3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1.0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3">
        <f t="shared" si="49"/>
        <v>1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1.0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3">
        <f t="shared" si="49"/>
        <v>1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B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1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1</v>
      </c>
      <c r="T259" s="13">
        <f t="shared" si="50"/>
        <v>0</v>
      </c>
      <c r="U259" s="13">
        <f t="shared" si="50"/>
        <v>1</v>
      </c>
      <c r="V259" s="13">
        <f t="shared" si="50"/>
        <v>1</v>
      </c>
      <c r="W259" s="13">
        <f t="shared" si="50"/>
        <v>0</v>
      </c>
      <c r="X259" s="13">
        <f t="shared" si="50"/>
        <v>1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A262" si="51">E55+E67+E79+E91+E103+E115+E127+E139+E151+E163+E175+E187+E199+E211+E223+E235+E247+E259</f>
        <v>213</v>
      </c>
      <c r="F262" s="19">
        <f t="shared" si="51"/>
        <v>212</v>
      </c>
      <c r="G262" s="19">
        <f t="shared" si="51"/>
        <v>216</v>
      </c>
      <c r="H262" s="19">
        <f t="shared" si="51"/>
        <v>201</v>
      </c>
      <c r="I262" s="19">
        <f t="shared" si="51"/>
        <v>212</v>
      </c>
      <c r="J262" s="19">
        <f t="shared" si="51"/>
        <v>160</v>
      </c>
      <c r="K262" s="19">
        <f t="shared" si="51"/>
        <v>181</v>
      </c>
      <c r="L262" s="19">
        <f t="shared" si="51"/>
        <v>153</v>
      </c>
      <c r="M262" s="19">
        <f t="shared" si="51"/>
        <v>159</v>
      </c>
      <c r="N262" s="19">
        <f t="shared" si="51"/>
        <v>225</v>
      </c>
      <c r="O262" s="19">
        <f t="shared" si="51"/>
        <v>141</v>
      </c>
      <c r="P262" s="19">
        <f t="shared" si="51"/>
        <v>151</v>
      </c>
      <c r="Q262" s="19">
        <f t="shared" si="51"/>
        <v>168</v>
      </c>
      <c r="R262" s="19">
        <f t="shared" si="51"/>
        <v>170</v>
      </c>
      <c r="S262" s="19">
        <f t="shared" si="51"/>
        <v>173</v>
      </c>
      <c r="T262" s="19">
        <f t="shared" si="51"/>
        <v>134</v>
      </c>
      <c r="U262" s="19">
        <f t="shared" si="51"/>
        <v>208</v>
      </c>
      <c r="V262" s="19">
        <f t="shared" si="51"/>
        <v>190</v>
      </c>
      <c r="W262" s="19">
        <f t="shared" si="51"/>
        <v>191</v>
      </c>
      <c r="X262" s="19">
        <f t="shared" si="51"/>
        <v>225</v>
      </c>
      <c r="Y262" s="19">
        <f t="shared" si="51"/>
        <v>192</v>
      </c>
      <c r="Z262" s="19">
        <f t="shared" si="51"/>
        <v>204</v>
      </c>
      <c r="AA262" s="19">
        <f t="shared" si="51"/>
        <v>216</v>
      </c>
      <c r="AB262" s="13">
        <f t="shared" ref="AB262:AB264" si="52">SUM(E262:AA262)</f>
        <v>4295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10.0</v>
      </c>
      <c r="F263" s="19">
        <v>5.0</v>
      </c>
      <c r="G263" s="19">
        <v>13.0</v>
      </c>
      <c r="H263" s="19">
        <v>16.0</v>
      </c>
      <c r="I263" s="19">
        <v>16.0</v>
      </c>
      <c r="J263" s="19">
        <v>34.0</v>
      </c>
      <c r="K263" s="19">
        <v>14.0</v>
      </c>
      <c r="L263" s="19">
        <v>15.0</v>
      </c>
      <c r="M263" s="19">
        <v>52.0</v>
      </c>
      <c r="N263" s="19">
        <v>25.0</v>
      </c>
      <c r="O263" s="19">
        <v>13.0</v>
      </c>
      <c r="P263" s="19">
        <v>5.0</v>
      </c>
      <c r="Q263" s="19">
        <v>27.0</v>
      </c>
      <c r="R263" s="19">
        <v>19.0</v>
      </c>
      <c r="S263" s="19">
        <v>59.0</v>
      </c>
      <c r="T263" s="19">
        <v>18.0</v>
      </c>
      <c r="U263" s="19">
        <v>24.0</v>
      </c>
      <c r="V263" s="19">
        <v>36.0</v>
      </c>
      <c r="W263" s="19">
        <v>36.0</v>
      </c>
      <c r="X263" s="19">
        <v>12.0</v>
      </c>
      <c r="Y263" s="19">
        <v>7.0</v>
      </c>
      <c r="Z263" s="19">
        <v>17.0</v>
      </c>
      <c r="AA263" s="19">
        <v>12.0</v>
      </c>
      <c r="AB263" s="13">
        <f t="shared" si="52"/>
        <v>485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A264" si="53">SUM(E262:E263)</f>
        <v>223</v>
      </c>
      <c r="F264" s="13">
        <f t="shared" si="53"/>
        <v>217</v>
      </c>
      <c r="G264" s="13">
        <f t="shared" si="53"/>
        <v>229</v>
      </c>
      <c r="H264" s="13">
        <f t="shared" si="53"/>
        <v>217</v>
      </c>
      <c r="I264" s="13">
        <f t="shared" si="53"/>
        <v>228</v>
      </c>
      <c r="J264" s="13">
        <f t="shared" si="53"/>
        <v>194</v>
      </c>
      <c r="K264" s="13">
        <f t="shared" si="53"/>
        <v>195</v>
      </c>
      <c r="L264" s="13">
        <f t="shared" si="53"/>
        <v>168</v>
      </c>
      <c r="M264" s="13">
        <f t="shared" si="53"/>
        <v>211</v>
      </c>
      <c r="N264" s="13">
        <f t="shared" si="53"/>
        <v>250</v>
      </c>
      <c r="O264" s="13">
        <f t="shared" si="53"/>
        <v>154</v>
      </c>
      <c r="P264" s="13">
        <f t="shared" si="53"/>
        <v>156</v>
      </c>
      <c r="Q264" s="13">
        <f t="shared" si="53"/>
        <v>195</v>
      </c>
      <c r="R264" s="13">
        <f t="shared" si="53"/>
        <v>189</v>
      </c>
      <c r="S264" s="13">
        <f t="shared" si="53"/>
        <v>232</v>
      </c>
      <c r="T264" s="13">
        <f t="shared" si="53"/>
        <v>152</v>
      </c>
      <c r="U264" s="13">
        <f t="shared" si="53"/>
        <v>232</v>
      </c>
      <c r="V264" s="13">
        <f t="shared" si="53"/>
        <v>226</v>
      </c>
      <c r="W264" s="13">
        <f t="shared" si="53"/>
        <v>227</v>
      </c>
      <c r="X264" s="13">
        <f t="shared" si="53"/>
        <v>237</v>
      </c>
      <c r="Y264" s="13">
        <f t="shared" si="53"/>
        <v>199</v>
      </c>
      <c r="Z264" s="13">
        <f t="shared" si="53"/>
        <v>221</v>
      </c>
      <c r="AA264" s="13">
        <f t="shared" si="53"/>
        <v>228</v>
      </c>
      <c r="AB264" s="13">
        <f t="shared" si="52"/>
        <v>4780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9.14"/>
    <col customWidth="1" min="6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1"/>
      <c r="V11" s="1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145.0</v>
      </c>
      <c r="F14" s="19">
        <v>131.0</v>
      </c>
      <c r="G14" s="19">
        <v>134.0</v>
      </c>
      <c r="H14" s="19">
        <v>122.0</v>
      </c>
      <c r="I14" s="19">
        <v>121.0</v>
      </c>
      <c r="J14" s="19">
        <v>109.0</v>
      </c>
      <c r="K14" s="19">
        <v>127.0</v>
      </c>
      <c r="L14" s="19">
        <v>130.0</v>
      </c>
      <c r="M14" s="19">
        <v>140.0</v>
      </c>
      <c r="N14" s="19">
        <v>125.0</v>
      </c>
      <c r="O14" s="19">
        <v>136.0</v>
      </c>
      <c r="P14" s="19">
        <v>142.0</v>
      </c>
      <c r="Q14" s="19">
        <v>134.0</v>
      </c>
      <c r="R14" s="19">
        <v>131.0</v>
      </c>
      <c r="S14" s="19">
        <v>124.0</v>
      </c>
      <c r="T14" s="19">
        <v>148.0</v>
      </c>
      <c r="U14" s="19">
        <v>136.0</v>
      </c>
      <c r="V14" s="19">
        <v>131.0</v>
      </c>
      <c r="W14" s="19">
        <v>138.0</v>
      </c>
      <c r="X14" s="19">
        <v>139.0</v>
      </c>
      <c r="Y14" s="19">
        <v>139.0</v>
      </c>
      <c r="Z14" s="19">
        <v>133.0</v>
      </c>
      <c r="AA14" s="19">
        <v>136.0</v>
      </c>
      <c r="AB14" s="13">
        <f t="shared" ref="AB14:AB16" si="1">SUM(E14:AA14)</f>
        <v>3051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123.0</v>
      </c>
      <c r="G15" s="19">
        <v>135.0</v>
      </c>
      <c r="H15" s="19">
        <v>131.0</v>
      </c>
      <c r="I15" s="19">
        <v>133.0</v>
      </c>
      <c r="J15" s="19">
        <v>129.0</v>
      </c>
      <c r="K15" s="19">
        <v>126.0</v>
      </c>
      <c r="L15" s="19">
        <v>137.0</v>
      </c>
      <c r="M15" s="19">
        <v>131.0</v>
      </c>
      <c r="N15" s="19">
        <v>144.0</v>
      </c>
      <c r="O15" s="19">
        <v>134.0</v>
      </c>
      <c r="P15" s="19">
        <v>126.0</v>
      </c>
      <c r="Q15" s="19">
        <v>133.0</v>
      </c>
      <c r="R15" s="19">
        <v>140.0</v>
      </c>
      <c r="S15" s="19">
        <v>142.0</v>
      </c>
      <c r="T15" s="19">
        <v>125.0</v>
      </c>
      <c r="U15" s="19">
        <v>143.0</v>
      </c>
      <c r="V15" s="19">
        <v>124.0</v>
      </c>
      <c r="W15" s="19">
        <v>145.0</v>
      </c>
      <c r="X15" s="19">
        <v>141.0</v>
      </c>
      <c r="Y15" s="19">
        <v>137.0</v>
      </c>
      <c r="Z15" s="19">
        <v>126.0</v>
      </c>
      <c r="AA15" s="19">
        <v>132.0</v>
      </c>
      <c r="AB15" s="13">
        <f t="shared" si="1"/>
        <v>3062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270</v>
      </c>
      <c r="F16" s="13">
        <f t="shared" si="2"/>
        <v>254</v>
      </c>
      <c r="G16" s="13">
        <f t="shared" si="2"/>
        <v>269</v>
      </c>
      <c r="H16" s="13">
        <f t="shared" si="2"/>
        <v>253</v>
      </c>
      <c r="I16" s="13">
        <f t="shared" si="2"/>
        <v>254</v>
      </c>
      <c r="J16" s="13">
        <f t="shared" si="2"/>
        <v>238</v>
      </c>
      <c r="K16" s="13">
        <f t="shared" si="2"/>
        <v>253</v>
      </c>
      <c r="L16" s="13">
        <f t="shared" si="2"/>
        <v>267</v>
      </c>
      <c r="M16" s="13">
        <f t="shared" si="2"/>
        <v>271</v>
      </c>
      <c r="N16" s="13">
        <f t="shared" si="2"/>
        <v>269</v>
      </c>
      <c r="O16" s="13">
        <f t="shared" si="2"/>
        <v>270</v>
      </c>
      <c r="P16" s="13">
        <f t="shared" si="2"/>
        <v>268</v>
      </c>
      <c r="Q16" s="13">
        <f t="shared" si="2"/>
        <v>267</v>
      </c>
      <c r="R16" s="13">
        <f t="shared" si="2"/>
        <v>271</v>
      </c>
      <c r="S16" s="13">
        <f t="shared" si="2"/>
        <v>266</v>
      </c>
      <c r="T16" s="13">
        <f t="shared" si="2"/>
        <v>273</v>
      </c>
      <c r="U16" s="13">
        <f t="shared" si="2"/>
        <v>279</v>
      </c>
      <c r="V16" s="13">
        <f t="shared" si="2"/>
        <v>255</v>
      </c>
      <c r="W16" s="13">
        <f t="shared" si="2"/>
        <v>283</v>
      </c>
      <c r="X16" s="13">
        <f t="shared" si="2"/>
        <v>280</v>
      </c>
      <c r="Y16" s="13">
        <f t="shared" si="2"/>
        <v>276</v>
      </c>
      <c r="Z16" s="13">
        <f t="shared" si="2"/>
        <v>259</v>
      </c>
      <c r="AA16" s="13">
        <f t="shared" si="2"/>
        <v>268</v>
      </c>
      <c r="AB16" s="13">
        <f t="shared" si="1"/>
        <v>6113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19"/>
      <c r="S17" s="19"/>
      <c r="T17" s="19"/>
      <c r="U17" s="19"/>
      <c r="V17" s="19"/>
      <c r="W17" s="19"/>
      <c r="X17" s="19"/>
      <c r="Y17" s="19"/>
      <c r="Z17" s="75"/>
      <c r="AA17" s="75"/>
      <c r="AB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19"/>
      <c r="S18" s="19"/>
      <c r="T18" s="19"/>
      <c r="U18" s="19"/>
      <c r="V18" s="19"/>
      <c r="W18" s="19"/>
      <c r="X18" s="19"/>
      <c r="Y18" s="19"/>
      <c r="Z18" s="75"/>
      <c r="AA18" s="75"/>
      <c r="AB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97.0</v>
      </c>
      <c r="G19" s="19">
        <v>104.0</v>
      </c>
      <c r="H19" s="19">
        <v>86.0</v>
      </c>
      <c r="I19" s="19">
        <v>89.0</v>
      </c>
      <c r="J19" s="19">
        <v>83.0</v>
      </c>
      <c r="K19" s="19">
        <v>89.0</v>
      </c>
      <c r="L19" s="19">
        <v>100.0</v>
      </c>
      <c r="M19" s="19">
        <v>107.0</v>
      </c>
      <c r="N19" s="19">
        <v>93.0</v>
      </c>
      <c r="O19" s="19">
        <v>91.0</v>
      </c>
      <c r="P19" s="19">
        <v>94.0</v>
      </c>
      <c r="Q19" s="19">
        <v>97.0</v>
      </c>
      <c r="R19" s="19">
        <v>96.0</v>
      </c>
      <c r="S19" s="19">
        <v>88.0</v>
      </c>
      <c r="T19" s="19">
        <v>113.0</v>
      </c>
      <c r="U19" s="19">
        <v>109.0</v>
      </c>
      <c r="V19" s="19">
        <v>90.0</v>
      </c>
      <c r="W19" s="19">
        <v>109.0</v>
      </c>
      <c r="X19" s="19">
        <v>110.0</v>
      </c>
      <c r="Y19" s="19">
        <v>104.0</v>
      </c>
      <c r="Z19" s="19">
        <v>94.0</v>
      </c>
      <c r="AA19" s="19">
        <v>100.0</v>
      </c>
      <c r="AB19" s="13">
        <f t="shared" ref="AB19:AB30" si="3">SUM(E19:AA19)</f>
        <v>2252</v>
      </c>
    </row>
    <row r="20" ht="12.75" customHeight="1">
      <c r="A20" s="33"/>
      <c r="B20" s="27"/>
      <c r="C20" s="34"/>
      <c r="D20" s="19" t="s">
        <v>13</v>
      </c>
      <c r="E20" s="19">
        <v>98.0</v>
      </c>
      <c r="F20" s="19">
        <v>104.0</v>
      </c>
      <c r="G20" s="19">
        <v>107.0</v>
      </c>
      <c r="H20" s="19">
        <v>98.0</v>
      </c>
      <c r="I20" s="19">
        <v>105.0</v>
      </c>
      <c r="J20" s="19">
        <v>108.0</v>
      </c>
      <c r="K20" s="19">
        <v>100.0</v>
      </c>
      <c r="L20" s="19">
        <v>108.0</v>
      </c>
      <c r="M20" s="19">
        <v>104.0</v>
      </c>
      <c r="N20" s="19">
        <v>112.0</v>
      </c>
      <c r="O20" s="19">
        <v>101.0</v>
      </c>
      <c r="P20" s="19">
        <v>87.0</v>
      </c>
      <c r="Q20" s="19">
        <v>99.0</v>
      </c>
      <c r="R20" s="19">
        <v>109.0</v>
      </c>
      <c r="S20" s="19">
        <v>95.0</v>
      </c>
      <c r="T20" s="19">
        <v>98.0</v>
      </c>
      <c r="U20" s="19">
        <v>120.0</v>
      </c>
      <c r="V20" s="19">
        <v>94.0</v>
      </c>
      <c r="W20" s="19">
        <v>119.0</v>
      </c>
      <c r="X20" s="19">
        <v>122.0</v>
      </c>
      <c r="Y20" s="19">
        <v>111.0</v>
      </c>
      <c r="Z20" s="19">
        <v>95.0</v>
      </c>
      <c r="AA20" s="19">
        <v>99.0</v>
      </c>
      <c r="AB20" s="13">
        <f t="shared" si="3"/>
        <v>2393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207</v>
      </c>
      <c r="F21" s="13">
        <f t="shared" si="4"/>
        <v>201</v>
      </c>
      <c r="G21" s="13">
        <f t="shared" si="4"/>
        <v>211</v>
      </c>
      <c r="H21" s="13">
        <f t="shared" si="4"/>
        <v>184</v>
      </c>
      <c r="I21" s="13">
        <f t="shared" si="4"/>
        <v>194</v>
      </c>
      <c r="J21" s="13">
        <f t="shared" si="4"/>
        <v>191</v>
      </c>
      <c r="K21" s="13">
        <f t="shared" si="4"/>
        <v>189</v>
      </c>
      <c r="L21" s="13">
        <f t="shared" si="4"/>
        <v>208</v>
      </c>
      <c r="M21" s="13">
        <f t="shared" si="4"/>
        <v>211</v>
      </c>
      <c r="N21" s="13">
        <f t="shared" si="4"/>
        <v>205</v>
      </c>
      <c r="O21" s="13">
        <f t="shared" si="4"/>
        <v>192</v>
      </c>
      <c r="P21" s="13">
        <f t="shared" si="4"/>
        <v>181</v>
      </c>
      <c r="Q21" s="13">
        <f t="shared" si="4"/>
        <v>196</v>
      </c>
      <c r="R21" s="13">
        <f t="shared" si="4"/>
        <v>205</v>
      </c>
      <c r="S21" s="13">
        <f t="shared" si="4"/>
        <v>183</v>
      </c>
      <c r="T21" s="13">
        <f t="shared" si="4"/>
        <v>211</v>
      </c>
      <c r="U21" s="13">
        <f t="shared" si="4"/>
        <v>229</v>
      </c>
      <c r="V21" s="13">
        <f t="shared" si="4"/>
        <v>184</v>
      </c>
      <c r="W21" s="13">
        <f t="shared" si="4"/>
        <v>228</v>
      </c>
      <c r="X21" s="13">
        <f t="shared" si="4"/>
        <v>232</v>
      </c>
      <c r="Y21" s="13">
        <f t="shared" si="4"/>
        <v>215</v>
      </c>
      <c r="Z21" s="13">
        <f t="shared" si="4"/>
        <v>189</v>
      </c>
      <c r="AA21" s="13">
        <f t="shared" si="4"/>
        <v>199</v>
      </c>
      <c r="AB21" s="13">
        <f t="shared" si="3"/>
        <v>4645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/>
      <c r="U22" s="19"/>
      <c r="V22" s="19"/>
      <c r="W22" s="19"/>
      <c r="X22" s="19"/>
      <c r="Y22" s="19"/>
      <c r="Z22" s="19"/>
      <c r="AA22" s="19"/>
      <c r="AB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4.0</v>
      </c>
      <c r="H25" s="19">
        <v>1.0</v>
      </c>
      <c r="I25" s="19">
        <v>1.0</v>
      </c>
      <c r="J25" s="19">
        <v>6.0</v>
      </c>
      <c r="K25" s="19">
        <v>5.0</v>
      </c>
      <c r="L25" s="19">
        <v>1.0</v>
      </c>
      <c r="M25" s="19">
        <v>0.0</v>
      </c>
      <c r="N25" s="19">
        <v>1.0</v>
      </c>
      <c r="O25" s="19">
        <v>0.0</v>
      </c>
      <c r="P25" s="19">
        <v>4.0</v>
      </c>
      <c r="Q25" s="19">
        <v>0.0</v>
      </c>
      <c r="R25" s="19">
        <v>3.0</v>
      </c>
      <c r="S25" s="19">
        <v>2.0</v>
      </c>
      <c r="T25" s="19">
        <v>2.0</v>
      </c>
      <c r="U25" s="19">
        <v>4.0</v>
      </c>
      <c r="V25" s="19">
        <v>2.0</v>
      </c>
      <c r="W25" s="19">
        <v>0.0</v>
      </c>
      <c r="X25" s="19">
        <v>0.0</v>
      </c>
      <c r="Y25" s="19">
        <v>1.0</v>
      </c>
      <c r="Z25" s="19">
        <v>5.0</v>
      </c>
      <c r="AA25" s="19">
        <v>1.0</v>
      </c>
      <c r="AB25" s="13">
        <f t="shared" si="3"/>
        <v>47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6.0</v>
      </c>
      <c r="G26" s="19">
        <v>6.0</v>
      </c>
      <c r="H26" s="19">
        <v>3.0</v>
      </c>
      <c r="I26" s="19">
        <v>4.0</v>
      </c>
      <c r="J26" s="19">
        <v>4.0</v>
      </c>
      <c r="K26" s="19">
        <v>4.0</v>
      </c>
      <c r="L26" s="19">
        <v>0.0</v>
      </c>
      <c r="M26" s="19">
        <v>5.0</v>
      </c>
      <c r="N26" s="19">
        <v>5.0</v>
      </c>
      <c r="O26" s="19">
        <v>1.0</v>
      </c>
      <c r="P26" s="19">
        <v>9.0</v>
      </c>
      <c r="Q26" s="19">
        <v>1.0</v>
      </c>
      <c r="R26" s="19">
        <v>2.0</v>
      </c>
      <c r="S26" s="19">
        <v>1.0</v>
      </c>
      <c r="T26" s="19">
        <v>5.0</v>
      </c>
      <c r="U26" s="19">
        <v>3.0</v>
      </c>
      <c r="V26" s="19">
        <v>2.0</v>
      </c>
      <c r="W26" s="19">
        <v>2.0</v>
      </c>
      <c r="X26" s="19">
        <v>2.0</v>
      </c>
      <c r="Y26" s="19">
        <v>2.0</v>
      </c>
      <c r="Z26" s="19">
        <v>3.0</v>
      </c>
      <c r="AA26" s="19">
        <v>2.0</v>
      </c>
      <c r="AB26" s="13">
        <f t="shared" si="3"/>
        <v>75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5</v>
      </c>
      <c r="F27" s="13">
        <f t="shared" si="6"/>
        <v>8</v>
      </c>
      <c r="G27" s="13">
        <f t="shared" si="6"/>
        <v>10</v>
      </c>
      <c r="H27" s="13">
        <f t="shared" si="6"/>
        <v>4</v>
      </c>
      <c r="I27" s="13">
        <f t="shared" si="6"/>
        <v>5</v>
      </c>
      <c r="J27" s="13">
        <f t="shared" si="6"/>
        <v>10</v>
      </c>
      <c r="K27" s="13">
        <f t="shared" si="6"/>
        <v>9</v>
      </c>
      <c r="L27" s="13">
        <f t="shared" si="6"/>
        <v>1</v>
      </c>
      <c r="M27" s="13">
        <f t="shared" si="6"/>
        <v>5</v>
      </c>
      <c r="N27" s="13">
        <f t="shared" si="6"/>
        <v>6</v>
      </c>
      <c r="O27" s="13">
        <f t="shared" si="6"/>
        <v>1</v>
      </c>
      <c r="P27" s="13">
        <f t="shared" si="6"/>
        <v>13</v>
      </c>
      <c r="Q27" s="13">
        <f t="shared" si="6"/>
        <v>1</v>
      </c>
      <c r="R27" s="13">
        <f t="shared" si="6"/>
        <v>5</v>
      </c>
      <c r="S27" s="13">
        <f t="shared" si="6"/>
        <v>3</v>
      </c>
      <c r="T27" s="13">
        <f t="shared" si="6"/>
        <v>7</v>
      </c>
      <c r="U27" s="13">
        <f t="shared" si="6"/>
        <v>7</v>
      </c>
      <c r="V27" s="13">
        <f t="shared" si="6"/>
        <v>4</v>
      </c>
      <c r="W27" s="13">
        <f t="shared" si="6"/>
        <v>2</v>
      </c>
      <c r="X27" s="13">
        <f t="shared" si="6"/>
        <v>2</v>
      </c>
      <c r="Y27" s="13">
        <f t="shared" si="6"/>
        <v>3</v>
      </c>
      <c r="Z27" s="13">
        <f t="shared" si="6"/>
        <v>8</v>
      </c>
      <c r="AA27" s="13">
        <f t="shared" si="6"/>
        <v>3</v>
      </c>
      <c r="AB27" s="13">
        <f t="shared" si="3"/>
        <v>122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111</v>
      </c>
      <c r="F28" s="13">
        <f t="shared" si="7"/>
        <v>99</v>
      </c>
      <c r="G28" s="13">
        <f t="shared" si="7"/>
        <v>108</v>
      </c>
      <c r="H28" s="13">
        <f t="shared" si="7"/>
        <v>87</v>
      </c>
      <c r="I28" s="13">
        <f t="shared" si="7"/>
        <v>90</v>
      </c>
      <c r="J28" s="13">
        <f t="shared" si="7"/>
        <v>89</v>
      </c>
      <c r="K28" s="13">
        <f t="shared" si="7"/>
        <v>94</v>
      </c>
      <c r="L28" s="13">
        <f t="shared" si="7"/>
        <v>101</v>
      </c>
      <c r="M28" s="13">
        <f t="shared" si="7"/>
        <v>107</v>
      </c>
      <c r="N28" s="13">
        <f t="shared" si="7"/>
        <v>94</v>
      </c>
      <c r="O28" s="13">
        <f t="shared" si="7"/>
        <v>91</v>
      </c>
      <c r="P28" s="13">
        <f t="shared" si="7"/>
        <v>98</v>
      </c>
      <c r="Q28" s="13">
        <f t="shared" si="7"/>
        <v>97</v>
      </c>
      <c r="R28" s="13">
        <f t="shared" si="7"/>
        <v>99</v>
      </c>
      <c r="S28" s="13">
        <f t="shared" si="7"/>
        <v>91</v>
      </c>
      <c r="T28" s="13">
        <f t="shared" si="7"/>
        <v>115</v>
      </c>
      <c r="U28" s="13">
        <f t="shared" si="7"/>
        <v>113</v>
      </c>
      <c r="V28" s="13">
        <f t="shared" si="7"/>
        <v>92</v>
      </c>
      <c r="W28" s="13">
        <f t="shared" si="7"/>
        <v>109</v>
      </c>
      <c r="X28" s="13">
        <f t="shared" si="7"/>
        <v>110</v>
      </c>
      <c r="Y28" s="13">
        <f t="shared" si="7"/>
        <v>105</v>
      </c>
      <c r="Z28" s="13">
        <f t="shared" si="7"/>
        <v>99</v>
      </c>
      <c r="AA28" s="13">
        <f t="shared" si="7"/>
        <v>101</v>
      </c>
      <c r="AB28" s="13">
        <f t="shared" si="3"/>
        <v>2300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101</v>
      </c>
      <c r="F29" s="13">
        <f t="shared" si="8"/>
        <v>110</v>
      </c>
      <c r="G29" s="13">
        <f t="shared" si="8"/>
        <v>113</v>
      </c>
      <c r="H29" s="13">
        <f t="shared" si="8"/>
        <v>101</v>
      </c>
      <c r="I29" s="13">
        <f t="shared" si="8"/>
        <v>109</v>
      </c>
      <c r="J29" s="13">
        <f t="shared" si="8"/>
        <v>112</v>
      </c>
      <c r="K29" s="13">
        <f t="shared" si="8"/>
        <v>104</v>
      </c>
      <c r="L29" s="13">
        <f t="shared" si="8"/>
        <v>108</v>
      </c>
      <c r="M29" s="13">
        <f t="shared" si="8"/>
        <v>109</v>
      </c>
      <c r="N29" s="13">
        <f t="shared" si="8"/>
        <v>117</v>
      </c>
      <c r="O29" s="13">
        <f t="shared" si="8"/>
        <v>102</v>
      </c>
      <c r="P29" s="13">
        <f t="shared" si="8"/>
        <v>96</v>
      </c>
      <c r="Q29" s="13">
        <f t="shared" si="8"/>
        <v>100</v>
      </c>
      <c r="R29" s="13">
        <f t="shared" si="8"/>
        <v>111</v>
      </c>
      <c r="S29" s="13">
        <f t="shared" si="8"/>
        <v>96</v>
      </c>
      <c r="T29" s="13">
        <f t="shared" si="8"/>
        <v>103</v>
      </c>
      <c r="U29" s="13">
        <f t="shared" si="8"/>
        <v>123</v>
      </c>
      <c r="V29" s="13">
        <f t="shared" si="8"/>
        <v>96</v>
      </c>
      <c r="W29" s="13">
        <f t="shared" si="8"/>
        <v>121</v>
      </c>
      <c r="X29" s="13">
        <f t="shared" si="8"/>
        <v>124</v>
      </c>
      <c r="Y29" s="13">
        <f t="shared" si="8"/>
        <v>113</v>
      </c>
      <c r="Z29" s="13">
        <f t="shared" si="8"/>
        <v>98</v>
      </c>
      <c r="AA29" s="13">
        <f t="shared" si="8"/>
        <v>101</v>
      </c>
      <c r="AB29" s="13">
        <f t="shared" si="3"/>
        <v>2468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212</v>
      </c>
      <c r="F30" s="13">
        <f t="shared" si="9"/>
        <v>209</v>
      </c>
      <c r="G30" s="13">
        <f t="shared" si="9"/>
        <v>221</v>
      </c>
      <c r="H30" s="13">
        <f t="shared" si="9"/>
        <v>188</v>
      </c>
      <c r="I30" s="13">
        <f t="shared" si="9"/>
        <v>199</v>
      </c>
      <c r="J30" s="13">
        <f t="shared" si="9"/>
        <v>201</v>
      </c>
      <c r="K30" s="13">
        <f t="shared" si="9"/>
        <v>198</v>
      </c>
      <c r="L30" s="13">
        <f t="shared" si="9"/>
        <v>209</v>
      </c>
      <c r="M30" s="13">
        <f t="shared" si="9"/>
        <v>216</v>
      </c>
      <c r="N30" s="13">
        <f t="shared" si="9"/>
        <v>211</v>
      </c>
      <c r="O30" s="13">
        <f t="shared" si="9"/>
        <v>193</v>
      </c>
      <c r="P30" s="13">
        <f t="shared" si="9"/>
        <v>194</v>
      </c>
      <c r="Q30" s="13">
        <f t="shared" si="9"/>
        <v>197</v>
      </c>
      <c r="R30" s="13">
        <f t="shared" si="9"/>
        <v>210</v>
      </c>
      <c r="S30" s="13">
        <f t="shared" si="9"/>
        <v>187</v>
      </c>
      <c r="T30" s="13">
        <f t="shared" si="9"/>
        <v>218</v>
      </c>
      <c r="U30" s="13">
        <f t="shared" si="9"/>
        <v>236</v>
      </c>
      <c r="V30" s="13">
        <f t="shared" si="9"/>
        <v>188</v>
      </c>
      <c r="W30" s="13">
        <f t="shared" si="9"/>
        <v>230</v>
      </c>
      <c r="X30" s="13">
        <f t="shared" si="9"/>
        <v>234</v>
      </c>
      <c r="Y30" s="13">
        <f t="shared" si="9"/>
        <v>218</v>
      </c>
      <c r="Z30" s="13">
        <f t="shared" si="9"/>
        <v>197</v>
      </c>
      <c r="AA30" s="13">
        <f t="shared" si="9"/>
        <v>202</v>
      </c>
      <c r="AB30" s="13">
        <f t="shared" si="3"/>
        <v>4768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19"/>
      <c r="S31" s="19"/>
      <c r="T31" s="19"/>
      <c r="U31" s="19"/>
      <c r="V31" s="19"/>
      <c r="W31" s="19"/>
      <c r="X31" s="19"/>
      <c r="Y31" s="19"/>
      <c r="Z31" s="75"/>
      <c r="AA31" s="75"/>
      <c r="AB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13"/>
      <c r="S32" s="13"/>
      <c r="T32" s="13"/>
      <c r="U32" s="13"/>
      <c r="V32" s="13"/>
      <c r="W32" s="13"/>
      <c r="X32" s="13"/>
      <c r="Y32" s="13"/>
      <c r="Z32" s="77"/>
      <c r="AA32" s="77"/>
      <c r="AB32" s="76"/>
    </row>
    <row r="33" ht="12.75" customHeight="1">
      <c r="A33" s="19">
        <v>1.0</v>
      </c>
      <c r="B33" s="20" t="s">
        <v>27</v>
      </c>
      <c r="C33" s="15"/>
      <c r="D33" s="16"/>
      <c r="E33" s="19">
        <v>266.0</v>
      </c>
      <c r="F33" s="19">
        <v>260.0</v>
      </c>
      <c r="G33" s="19">
        <v>275.0</v>
      </c>
      <c r="H33" s="19">
        <v>259.0</v>
      </c>
      <c r="I33" s="19">
        <v>260.0</v>
      </c>
      <c r="J33" s="19">
        <v>243.0</v>
      </c>
      <c r="K33" s="19">
        <v>259.0</v>
      </c>
      <c r="L33" s="19">
        <v>273.0</v>
      </c>
      <c r="M33" s="19">
        <v>276.0</v>
      </c>
      <c r="N33" s="19">
        <v>275.0</v>
      </c>
      <c r="O33" s="19">
        <v>276.0</v>
      </c>
      <c r="P33" s="19">
        <v>274.0</v>
      </c>
      <c r="Q33" s="19">
        <v>273.0</v>
      </c>
      <c r="R33" s="19">
        <v>277.0</v>
      </c>
      <c r="S33" s="19">
        <v>272.0</v>
      </c>
      <c r="T33" s="19">
        <v>279.0</v>
      </c>
      <c r="U33" s="19">
        <v>285.0</v>
      </c>
      <c r="V33" s="19">
        <v>261.0</v>
      </c>
      <c r="W33" s="19">
        <v>291.0</v>
      </c>
      <c r="X33" s="19">
        <v>286.0</v>
      </c>
      <c r="Y33" s="19">
        <v>282.0</v>
      </c>
      <c r="Z33" s="19">
        <v>265.0</v>
      </c>
      <c r="AA33" s="19">
        <v>264.0</v>
      </c>
      <c r="AB33" s="13">
        <f t="shared" ref="AB33:AB36" si="10">SUM(E33:AA33)</f>
        <v>6231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209.0</v>
      </c>
      <c r="G34" s="13">
        <v>221.0</v>
      </c>
      <c r="H34" s="13">
        <v>188.0</v>
      </c>
      <c r="I34" s="13">
        <v>199.0</v>
      </c>
      <c r="J34" s="13">
        <v>201.0</v>
      </c>
      <c r="K34" s="13">
        <v>198.0</v>
      </c>
      <c r="L34" s="13">
        <v>209.0</v>
      </c>
      <c r="M34" s="13">
        <v>216.0</v>
      </c>
      <c r="N34" s="13">
        <v>211.0</v>
      </c>
      <c r="O34" s="13">
        <v>193.0</v>
      </c>
      <c r="P34" s="13">
        <v>194.0</v>
      </c>
      <c r="Q34" s="13">
        <v>197.0</v>
      </c>
      <c r="R34" s="13">
        <v>210.0</v>
      </c>
      <c r="S34" s="13">
        <v>187.0</v>
      </c>
      <c r="T34" s="13">
        <v>218.0</v>
      </c>
      <c r="U34" s="13">
        <v>236.0</v>
      </c>
      <c r="V34" s="13">
        <v>188.0</v>
      </c>
      <c r="W34" s="13">
        <v>230.0</v>
      </c>
      <c r="X34" s="13">
        <v>234.0</v>
      </c>
      <c r="Y34" s="13">
        <v>218.0</v>
      </c>
      <c r="Z34" s="13">
        <v>197.0</v>
      </c>
      <c r="AA34" s="13">
        <v>202.0</v>
      </c>
      <c r="AB34" s="13">
        <f t="shared" si="10"/>
        <v>4768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1.0</v>
      </c>
      <c r="P35" s="19">
        <v>3.0</v>
      </c>
      <c r="Q35" s="19">
        <v>0.0</v>
      </c>
      <c r="R35" s="19">
        <v>0.0</v>
      </c>
      <c r="S35" s="19">
        <v>1.0</v>
      </c>
      <c r="T35" s="19"/>
      <c r="U35" s="19"/>
      <c r="V35" s="19"/>
      <c r="W35" s="19"/>
      <c r="X35" s="19"/>
      <c r="Y35" s="19"/>
      <c r="Z35" s="19"/>
      <c r="AA35" s="19"/>
      <c r="AB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54</v>
      </c>
      <c r="F36" s="13">
        <f t="shared" si="11"/>
        <v>51</v>
      </c>
      <c r="G36" s="13">
        <f t="shared" si="11"/>
        <v>54</v>
      </c>
      <c r="H36" s="13">
        <f t="shared" si="11"/>
        <v>71</v>
      </c>
      <c r="I36" s="13">
        <f t="shared" si="11"/>
        <v>61</v>
      </c>
      <c r="J36" s="13">
        <f t="shared" si="11"/>
        <v>42</v>
      </c>
      <c r="K36" s="13">
        <f t="shared" si="11"/>
        <v>61</v>
      </c>
      <c r="L36" s="13">
        <f t="shared" si="11"/>
        <v>64</v>
      </c>
      <c r="M36" s="13">
        <f t="shared" si="11"/>
        <v>60</v>
      </c>
      <c r="N36" s="13">
        <f t="shared" si="11"/>
        <v>63</v>
      </c>
      <c r="O36" s="13">
        <f t="shared" si="11"/>
        <v>82</v>
      </c>
      <c r="P36" s="13">
        <f t="shared" si="11"/>
        <v>77</v>
      </c>
      <c r="Q36" s="13">
        <f t="shared" si="11"/>
        <v>76</v>
      </c>
      <c r="R36" s="13">
        <f t="shared" si="11"/>
        <v>67</v>
      </c>
      <c r="S36" s="13">
        <f t="shared" si="11"/>
        <v>84</v>
      </c>
      <c r="T36" s="13">
        <f t="shared" si="11"/>
        <v>61</v>
      </c>
      <c r="U36" s="13">
        <f t="shared" si="11"/>
        <v>49</v>
      </c>
      <c r="V36" s="13">
        <f t="shared" si="11"/>
        <v>73</v>
      </c>
      <c r="W36" s="13">
        <f t="shared" si="11"/>
        <v>61</v>
      </c>
      <c r="X36" s="13">
        <f t="shared" si="11"/>
        <v>52</v>
      </c>
      <c r="Y36" s="13">
        <f t="shared" si="11"/>
        <v>64</v>
      </c>
      <c r="Z36" s="13">
        <f t="shared" si="11"/>
        <v>68</v>
      </c>
      <c r="AA36" s="13">
        <f t="shared" si="11"/>
        <v>62</v>
      </c>
      <c r="AB36" s="13">
        <f t="shared" si="10"/>
        <v>1457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9"/>
      <c r="W37" s="19"/>
      <c r="X37" s="19"/>
      <c r="Y37" s="19"/>
      <c r="Z37" s="75"/>
      <c r="AA37" s="81"/>
      <c r="AB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13"/>
      <c r="S38" s="13"/>
      <c r="T38" s="13"/>
      <c r="U38" s="13"/>
      <c r="V38" s="13"/>
      <c r="W38" s="13"/>
      <c r="X38" s="13"/>
      <c r="Y38" s="13"/>
      <c r="Z38" s="77"/>
      <c r="AA38" s="77"/>
      <c r="AB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>
        <v>1.0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>
        <v>1.0</v>
      </c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>
        <v>1.0</v>
      </c>
      <c r="K40" s="19"/>
      <c r="L40" s="19"/>
      <c r="M40" s="19"/>
      <c r="N40" s="19">
        <v>1.0</v>
      </c>
      <c r="O40" s="19"/>
      <c r="P40" s="19"/>
      <c r="Q40" s="19"/>
      <c r="R40" s="19"/>
      <c r="S40" s="19"/>
      <c r="T40" s="19"/>
      <c r="U40" s="19"/>
      <c r="V40" s="19"/>
      <c r="W40" s="19"/>
      <c r="X40" s="19">
        <v>2.0</v>
      </c>
      <c r="Y40" s="19"/>
      <c r="Z40" s="19"/>
      <c r="AA40" s="19">
        <v>1.0</v>
      </c>
      <c r="AB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9"/>
      <c r="W42" s="19"/>
      <c r="X42" s="19"/>
      <c r="Y42" s="19"/>
      <c r="Z42" s="75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13"/>
      <c r="S43" s="13"/>
      <c r="T43" s="13"/>
      <c r="U43" s="13"/>
      <c r="V43" s="13"/>
      <c r="W43" s="13"/>
      <c r="X43" s="13"/>
      <c r="Y43" s="13"/>
      <c r="Z43" s="77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19"/>
      <c r="S44" s="19"/>
      <c r="T44" s="19"/>
      <c r="U44" s="19"/>
      <c r="V44" s="19"/>
      <c r="W44" s="19"/>
      <c r="X44" s="19"/>
      <c r="Y44" s="19"/>
      <c r="Z44" s="75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12.0</v>
      </c>
      <c r="F45" s="19">
        <v>9.0</v>
      </c>
      <c r="G45" s="19">
        <v>7.0</v>
      </c>
      <c r="H45" s="19">
        <v>5.0</v>
      </c>
      <c r="I45" s="19">
        <v>7.0</v>
      </c>
      <c r="J45" s="19">
        <v>14.0</v>
      </c>
      <c r="K45" s="19">
        <v>3.0</v>
      </c>
      <c r="L45" s="19">
        <v>7.0</v>
      </c>
      <c r="M45" s="19">
        <v>4.0</v>
      </c>
      <c r="N45" s="19">
        <v>3.0</v>
      </c>
      <c r="O45" s="19">
        <v>6.0</v>
      </c>
      <c r="P45" s="19">
        <v>5.0</v>
      </c>
      <c r="Q45" s="19">
        <v>16.0</v>
      </c>
      <c r="R45" s="19">
        <v>10.0</v>
      </c>
      <c r="S45" s="19">
        <v>6.0</v>
      </c>
      <c r="T45" s="19">
        <v>11.0</v>
      </c>
      <c r="U45" s="19">
        <v>6.0</v>
      </c>
      <c r="V45" s="19">
        <v>3.0</v>
      </c>
      <c r="W45" s="19">
        <v>1.0</v>
      </c>
      <c r="X45" s="19">
        <v>1.0</v>
      </c>
      <c r="Y45" s="19">
        <v>8.0</v>
      </c>
      <c r="Z45" s="19">
        <v>5.0</v>
      </c>
      <c r="AA45" s="19">
        <v>9.0</v>
      </c>
      <c r="AB45" s="13">
        <f t="shared" ref="AB45:AB54" si="14">SUM(E45:AA45)</f>
        <v>158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42.0</v>
      </c>
      <c r="F46" s="19">
        <v>22.0</v>
      </c>
      <c r="G46" s="19">
        <v>18.0</v>
      </c>
      <c r="H46" s="19">
        <v>14.0</v>
      </c>
      <c r="I46" s="19">
        <v>8.0</v>
      </c>
      <c r="J46" s="19">
        <v>12.0</v>
      </c>
      <c r="K46" s="19">
        <v>20.0</v>
      </c>
      <c r="L46" s="19">
        <v>11.0</v>
      </c>
      <c r="M46" s="19">
        <v>5.0</v>
      </c>
      <c r="N46" s="19">
        <v>12.0</v>
      </c>
      <c r="O46" s="19">
        <v>14.0</v>
      </c>
      <c r="P46" s="19">
        <v>19.0</v>
      </c>
      <c r="Q46" s="19">
        <v>44.0</v>
      </c>
      <c r="R46" s="19">
        <v>40.0</v>
      </c>
      <c r="S46" s="19">
        <v>23.0</v>
      </c>
      <c r="T46" s="19">
        <v>23.0</v>
      </c>
      <c r="U46" s="19">
        <v>33.0</v>
      </c>
      <c r="V46" s="19">
        <v>23.0</v>
      </c>
      <c r="W46" s="19">
        <v>12.0</v>
      </c>
      <c r="X46" s="19">
        <v>28.0</v>
      </c>
      <c r="Y46" s="19">
        <v>42.0</v>
      </c>
      <c r="Z46" s="19">
        <v>9.0</v>
      </c>
      <c r="AA46" s="19">
        <v>18.0</v>
      </c>
      <c r="AB46" s="13">
        <f t="shared" si="14"/>
        <v>492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2.0</v>
      </c>
      <c r="G47" s="19">
        <v>0.0</v>
      </c>
      <c r="H47" s="19">
        <v>0.0</v>
      </c>
      <c r="I47" s="19">
        <v>1.0</v>
      </c>
      <c r="J47" s="19">
        <v>1.0</v>
      </c>
      <c r="K47" s="19">
        <v>0.0</v>
      </c>
      <c r="L47" s="19">
        <v>6.0</v>
      </c>
      <c r="M47" s="19">
        <v>2.0</v>
      </c>
      <c r="N47" s="19">
        <v>2.0</v>
      </c>
      <c r="O47" s="19">
        <v>1.0</v>
      </c>
      <c r="P47" s="19">
        <v>2.0</v>
      </c>
      <c r="Q47" s="19">
        <v>2.0</v>
      </c>
      <c r="R47" s="19">
        <v>1.0</v>
      </c>
      <c r="S47" s="19">
        <v>0.0</v>
      </c>
      <c r="T47" s="19">
        <v>1.0</v>
      </c>
      <c r="U47" s="19">
        <v>2.0</v>
      </c>
      <c r="V47" s="19">
        <v>0.0</v>
      </c>
      <c r="W47" s="19">
        <v>0.0</v>
      </c>
      <c r="X47" s="19">
        <v>1.0</v>
      </c>
      <c r="Y47" s="19">
        <v>1.0</v>
      </c>
      <c r="Z47" s="19">
        <v>8.0</v>
      </c>
      <c r="AA47" s="19">
        <v>3.0</v>
      </c>
      <c r="AB47" s="13">
        <f t="shared" si="14"/>
        <v>39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1.0</v>
      </c>
      <c r="J48" s="19">
        <v>1.0</v>
      </c>
      <c r="K48" s="19">
        <v>0.0</v>
      </c>
      <c r="L48" s="19">
        <v>1.0</v>
      </c>
      <c r="M48" s="19">
        <v>0.0</v>
      </c>
      <c r="N48" s="19">
        <v>0.0</v>
      </c>
      <c r="O48" s="19">
        <v>1.0</v>
      </c>
      <c r="P48" s="19">
        <v>1.0</v>
      </c>
      <c r="Q48" s="19">
        <v>1.0</v>
      </c>
      <c r="R48" s="19">
        <v>0.0</v>
      </c>
      <c r="S48" s="19">
        <v>1.0</v>
      </c>
      <c r="T48" s="19">
        <v>0.0</v>
      </c>
      <c r="U48" s="19">
        <v>1.0</v>
      </c>
      <c r="V48" s="19">
        <v>1.0</v>
      </c>
      <c r="W48" s="19">
        <v>0.0</v>
      </c>
      <c r="X48" s="19">
        <v>0.0</v>
      </c>
      <c r="Y48" s="19">
        <v>1.0</v>
      </c>
      <c r="Z48" s="19">
        <v>2.0</v>
      </c>
      <c r="AA48" s="19">
        <v>0.0</v>
      </c>
      <c r="AB48" s="13">
        <f t="shared" si="14"/>
        <v>13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3.0</v>
      </c>
      <c r="I49" s="19">
        <v>3.0</v>
      </c>
      <c r="J49" s="19">
        <v>4.0</v>
      </c>
      <c r="K49" s="19">
        <v>1.0</v>
      </c>
      <c r="L49" s="19">
        <v>1.0</v>
      </c>
      <c r="M49" s="19">
        <v>0.0</v>
      </c>
      <c r="N49" s="19">
        <v>0.0</v>
      </c>
      <c r="O49" s="19">
        <v>1.0</v>
      </c>
      <c r="P49" s="19">
        <v>1.0</v>
      </c>
      <c r="Q49" s="19">
        <v>0.0</v>
      </c>
      <c r="R49" s="19">
        <v>2.0</v>
      </c>
      <c r="S49" s="19">
        <v>1.0</v>
      </c>
      <c r="T49" s="19">
        <v>0.0</v>
      </c>
      <c r="U49" s="19">
        <v>4.0</v>
      </c>
      <c r="V49" s="19">
        <v>0.0</v>
      </c>
      <c r="W49" s="19">
        <v>0.0</v>
      </c>
      <c r="X49" s="19">
        <v>2.0</v>
      </c>
      <c r="Y49" s="19">
        <v>2.0</v>
      </c>
      <c r="Z49" s="19">
        <v>0.0</v>
      </c>
      <c r="AA49" s="19">
        <v>0.0</v>
      </c>
      <c r="AB49" s="13">
        <f t="shared" si="14"/>
        <v>25</v>
      </c>
    </row>
    <row r="50" ht="12.75" customHeight="1">
      <c r="A50" s="18"/>
      <c r="B50" s="55">
        <v>5.0</v>
      </c>
      <c r="C50" s="50" t="s">
        <v>44</v>
      </c>
      <c r="D50" s="16"/>
      <c r="E50" s="19">
        <v>4.0</v>
      </c>
      <c r="F50" s="19">
        <v>1.0</v>
      </c>
      <c r="G50" s="19">
        <v>1.0</v>
      </c>
      <c r="H50" s="19">
        <v>0.0</v>
      </c>
      <c r="I50" s="19">
        <v>1.0</v>
      </c>
      <c r="J50" s="19">
        <v>1.0</v>
      </c>
      <c r="K50" s="19">
        <v>1.0</v>
      </c>
      <c r="L50" s="19">
        <v>0.0</v>
      </c>
      <c r="M50" s="19">
        <v>1.0</v>
      </c>
      <c r="N50" s="19">
        <v>2.0</v>
      </c>
      <c r="O50" s="19">
        <v>0.0</v>
      </c>
      <c r="P50" s="19">
        <v>1.0</v>
      </c>
      <c r="Q50" s="19">
        <v>0.0</v>
      </c>
      <c r="R50" s="19">
        <v>2.0</v>
      </c>
      <c r="S50" s="19">
        <v>1.0</v>
      </c>
      <c r="T50" s="19">
        <v>1.0</v>
      </c>
      <c r="U50" s="19">
        <v>0.0</v>
      </c>
      <c r="V50" s="19">
        <v>1.0</v>
      </c>
      <c r="W50" s="19">
        <v>1.0</v>
      </c>
      <c r="X50" s="19">
        <v>4.0</v>
      </c>
      <c r="Y50" s="19">
        <v>3.0</v>
      </c>
      <c r="Z50" s="19">
        <v>2.0</v>
      </c>
      <c r="AA50" s="19">
        <v>3.0</v>
      </c>
      <c r="AB50" s="13">
        <f t="shared" si="14"/>
        <v>31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2.0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1.0</v>
      </c>
      <c r="O51" s="19">
        <v>2.0</v>
      </c>
      <c r="P51" s="19">
        <v>2.0</v>
      </c>
      <c r="Q51" s="19">
        <v>0.0</v>
      </c>
      <c r="R51" s="19">
        <v>1.0</v>
      </c>
      <c r="S51" s="19">
        <v>0.0</v>
      </c>
      <c r="T51" s="19">
        <v>0.0</v>
      </c>
      <c r="U51" s="19">
        <v>0.0</v>
      </c>
      <c r="V51" s="19">
        <v>3.0</v>
      </c>
      <c r="W51" s="19">
        <v>2.0</v>
      </c>
      <c r="X51" s="19">
        <v>1.0</v>
      </c>
      <c r="Y51" s="19">
        <v>0.0</v>
      </c>
      <c r="Z51" s="19">
        <v>1.0</v>
      </c>
      <c r="AA51" s="19">
        <v>1.0</v>
      </c>
      <c r="AB51" s="13">
        <f t="shared" si="14"/>
        <v>18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1.0</v>
      </c>
      <c r="P52" s="19">
        <v>0.0</v>
      </c>
      <c r="Q52" s="19">
        <v>0.0</v>
      </c>
      <c r="R52" s="19">
        <v>1.0</v>
      </c>
      <c r="S52" s="19">
        <v>0.0</v>
      </c>
      <c r="T52" s="19">
        <v>0.0</v>
      </c>
      <c r="U52" s="19">
        <v>1.0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3">
        <f t="shared" si="14"/>
        <v>5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B55" si="15">SUM(E45:E54)</f>
        <v>62</v>
      </c>
      <c r="F55" s="13">
        <f t="shared" si="15"/>
        <v>34</v>
      </c>
      <c r="G55" s="13">
        <f t="shared" si="15"/>
        <v>28</v>
      </c>
      <c r="H55" s="13">
        <f t="shared" si="15"/>
        <v>24</v>
      </c>
      <c r="I55" s="13">
        <f t="shared" si="15"/>
        <v>21</v>
      </c>
      <c r="J55" s="13">
        <f t="shared" si="15"/>
        <v>34</v>
      </c>
      <c r="K55" s="13">
        <f t="shared" si="15"/>
        <v>26</v>
      </c>
      <c r="L55" s="13">
        <f t="shared" si="15"/>
        <v>26</v>
      </c>
      <c r="M55" s="13">
        <f t="shared" si="15"/>
        <v>12</v>
      </c>
      <c r="N55" s="13">
        <f t="shared" si="15"/>
        <v>20</v>
      </c>
      <c r="O55" s="13">
        <f t="shared" si="15"/>
        <v>26</v>
      </c>
      <c r="P55" s="13">
        <f t="shared" si="15"/>
        <v>31</v>
      </c>
      <c r="Q55" s="13">
        <f t="shared" si="15"/>
        <v>63</v>
      </c>
      <c r="R55" s="13">
        <f t="shared" si="15"/>
        <v>57</v>
      </c>
      <c r="S55" s="13">
        <f t="shared" si="15"/>
        <v>32</v>
      </c>
      <c r="T55" s="13">
        <f t="shared" si="15"/>
        <v>36</v>
      </c>
      <c r="U55" s="13">
        <f t="shared" si="15"/>
        <v>47</v>
      </c>
      <c r="V55" s="13">
        <f t="shared" si="15"/>
        <v>31</v>
      </c>
      <c r="W55" s="13">
        <f t="shared" si="15"/>
        <v>16</v>
      </c>
      <c r="X55" s="13">
        <f t="shared" si="15"/>
        <v>37</v>
      </c>
      <c r="Y55" s="13">
        <f t="shared" si="15"/>
        <v>57</v>
      </c>
      <c r="Z55" s="13">
        <f t="shared" si="15"/>
        <v>27</v>
      </c>
      <c r="AA55" s="13">
        <f t="shared" si="15"/>
        <v>34</v>
      </c>
      <c r="AB55" s="13">
        <f t="shared" si="15"/>
        <v>781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15.0</v>
      </c>
      <c r="F57" s="19">
        <v>14.0</v>
      </c>
      <c r="G57" s="19">
        <v>12.0</v>
      </c>
      <c r="H57" s="19">
        <v>12.0</v>
      </c>
      <c r="I57" s="19">
        <v>12.0</v>
      </c>
      <c r="J57" s="19">
        <v>12.0</v>
      </c>
      <c r="K57" s="19">
        <v>14.0</v>
      </c>
      <c r="L57" s="19">
        <v>14.0</v>
      </c>
      <c r="M57" s="19">
        <v>17.0</v>
      </c>
      <c r="N57" s="19">
        <v>14.0</v>
      </c>
      <c r="O57" s="19">
        <v>21.0</v>
      </c>
      <c r="P57" s="19">
        <v>14.0</v>
      </c>
      <c r="Q57" s="19">
        <v>23.0</v>
      </c>
      <c r="R57" s="19">
        <v>9.0</v>
      </c>
      <c r="S57" s="19">
        <v>14.0</v>
      </c>
      <c r="T57" s="19">
        <v>8.0</v>
      </c>
      <c r="U57" s="19">
        <v>16.0</v>
      </c>
      <c r="V57" s="19">
        <v>9.0</v>
      </c>
      <c r="W57" s="19">
        <v>15.0</v>
      </c>
      <c r="X57" s="19">
        <v>12.0</v>
      </c>
      <c r="Y57" s="19">
        <v>7.0</v>
      </c>
      <c r="Z57" s="19">
        <v>18.0</v>
      </c>
      <c r="AA57" s="19">
        <v>23.0</v>
      </c>
      <c r="AB57" s="13">
        <f t="shared" ref="AB57:AB66" si="16">SUM(E57:AA57)</f>
        <v>325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15.0</v>
      </c>
      <c r="F58" s="19">
        <v>6.0</v>
      </c>
      <c r="G58" s="19">
        <v>10.0</v>
      </c>
      <c r="H58" s="19">
        <v>9.0</v>
      </c>
      <c r="I58" s="19">
        <v>5.0</v>
      </c>
      <c r="J58" s="19">
        <v>9.0</v>
      </c>
      <c r="K58" s="19">
        <v>15.0</v>
      </c>
      <c r="L58" s="19">
        <v>5.0</v>
      </c>
      <c r="M58" s="19">
        <v>11.0</v>
      </c>
      <c r="N58" s="19">
        <v>18.0</v>
      </c>
      <c r="O58" s="19">
        <v>2.0</v>
      </c>
      <c r="P58" s="19">
        <v>5.0</v>
      </c>
      <c r="Q58" s="19">
        <v>5.0</v>
      </c>
      <c r="R58" s="19">
        <v>13.0</v>
      </c>
      <c r="S58" s="19">
        <v>4.0</v>
      </c>
      <c r="T58" s="19">
        <v>4.0</v>
      </c>
      <c r="U58" s="19">
        <v>7.0</v>
      </c>
      <c r="V58" s="19">
        <v>7.0</v>
      </c>
      <c r="W58" s="19">
        <v>3.0</v>
      </c>
      <c r="X58" s="19">
        <v>0.0</v>
      </c>
      <c r="Y58" s="19">
        <v>5.0</v>
      </c>
      <c r="Z58" s="19">
        <v>4.0</v>
      </c>
      <c r="AA58" s="19">
        <v>8.0</v>
      </c>
      <c r="AB58" s="13">
        <f t="shared" si="16"/>
        <v>170</v>
      </c>
    </row>
    <row r="59" ht="12.75" customHeight="1">
      <c r="A59" s="18"/>
      <c r="B59" s="55">
        <v>2.0</v>
      </c>
      <c r="C59" s="50" t="s">
        <v>50</v>
      </c>
      <c r="D59" s="59"/>
      <c r="E59" s="19">
        <v>6.0</v>
      </c>
      <c r="F59" s="19">
        <v>13.0</v>
      </c>
      <c r="G59" s="19">
        <v>30.0</v>
      </c>
      <c r="H59" s="19">
        <v>12.0</v>
      </c>
      <c r="I59" s="19">
        <v>4.0</v>
      </c>
      <c r="J59" s="19">
        <v>6.0</v>
      </c>
      <c r="K59" s="19">
        <v>6.0</v>
      </c>
      <c r="L59" s="19">
        <v>22.0</v>
      </c>
      <c r="M59" s="19">
        <v>40.0</v>
      </c>
      <c r="N59" s="19">
        <v>27.0</v>
      </c>
      <c r="O59" s="19">
        <v>18.0</v>
      </c>
      <c r="P59" s="19">
        <v>6.0</v>
      </c>
      <c r="Q59" s="19">
        <v>4.0</v>
      </c>
      <c r="R59" s="19">
        <v>12.0</v>
      </c>
      <c r="S59" s="19">
        <v>2.0</v>
      </c>
      <c r="T59" s="19">
        <v>13.0</v>
      </c>
      <c r="U59" s="19">
        <v>21.0</v>
      </c>
      <c r="V59" s="19">
        <v>5.0</v>
      </c>
      <c r="W59" s="19">
        <v>5.0</v>
      </c>
      <c r="X59" s="19">
        <v>4.0</v>
      </c>
      <c r="Y59" s="19">
        <v>7.0</v>
      </c>
      <c r="Z59" s="19">
        <v>4.0</v>
      </c>
      <c r="AA59" s="19">
        <v>19.0</v>
      </c>
      <c r="AB59" s="13">
        <f t="shared" si="16"/>
        <v>286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3.0</v>
      </c>
      <c r="G60" s="19">
        <v>1.0</v>
      </c>
      <c r="H60" s="19">
        <v>1.0</v>
      </c>
      <c r="I60" s="19">
        <v>8.0</v>
      </c>
      <c r="J60" s="19">
        <v>0.0</v>
      </c>
      <c r="K60" s="19">
        <v>2.0</v>
      </c>
      <c r="L60" s="19">
        <v>1.0</v>
      </c>
      <c r="M60" s="19">
        <v>1.0</v>
      </c>
      <c r="N60" s="19">
        <v>3.0</v>
      </c>
      <c r="O60" s="19">
        <v>3.0</v>
      </c>
      <c r="P60" s="19">
        <v>3.0</v>
      </c>
      <c r="Q60" s="19">
        <v>1.0</v>
      </c>
      <c r="R60" s="19">
        <v>2.0</v>
      </c>
      <c r="S60" s="19">
        <v>0.0</v>
      </c>
      <c r="T60" s="19">
        <v>1.0</v>
      </c>
      <c r="U60" s="19">
        <v>7.0</v>
      </c>
      <c r="V60" s="19">
        <v>2.0</v>
      </c>
      <c r="W60" s="19">
        <v>3.0</v>
      </c>
      <c r="X60" s="19">
        <v>1.0</v>
      </c>
      <c r="Y60" s="19">
        <v>1.0</v>
      </c>
      <c r="Z60" s="19">
        <v>0.0</v>
      </c>
      <c r="AA60" s="19">
        <v>1.0</v>
      </c>
      <c r="AB60" s="13">
        <f t="shared" si="16"/>
        <v>46</v>
      </c>
    </row>
    <row r="61" ht="12.75" customHeight="1">
      <c r="A61" s="18"/>
      <c r="B61" s="55">
        <v>4.0</v>
      </c>
      <c r="C61" s="50" t="s">
        <v>52</v>
      </c>
      <c r="D61" s="59"/>
      <c r="E61" s="19">
        <v>3.0</v>
      </c>
      <c r="F61" s="19">
        <v>3.0</v>
      </c>
      <c r="G61" s="19">
        <v>6.0</v>
      </c>
      <c r="H61" s="19">
        <v>3.0</v>
      </c>
      <c r="I61" s="19">
        <v>1.0</v>
      </c>
      <c r="J61" s="19">
        <v>4.0</v>
      </c>
      <c r="K61" s="19">
        <v>2.0</v>
      </c>
      <c r="L61" s="19">
        <v>4.0</v>
      </c>
      <c r="M61" s="19">
        <v>3.0</v>
      </c>
      <c r="N61" s="19">
        <v>4.0</v>
      </c>
      <c r="O61" s="19">
        <v>3.0</v>
      </c>
      <c r="P61" s="19">
        <v>3.0</v>
      </c>
      <c r="Q61" s="19">
        <v>3.0</v>
      </c>
      <c r="R61" s="19">
        <v>2.0</v>
      </c>
      <c r="S61" s="19">
        <v>4.0</v>
      </c>
      <c r="T61" s="19">
        <v>4.0</v>
      </c>
      <c r="U61" s="19">
        <v>4.0</v>
      </c>
      <c r="V61" s="19">
        <v>5.0</v>
      </c>
      <c r="W61" s="19">
        <v>2.0</v>
      </c>
      <c r="X61" s="19">
        <v>4.0</v>
      </c>
      <c r="Y61" s="19">
        <v>1.0</v>
      </c>
      <c r="Z61" s="19">
        <v>0.0</v>
      </c>
      <c r="AA61" s="19">
        <v>2.0</v>
      </c>
      <c r="AB61" s="13">
        <f t="shared" si="16"/>
        <v>70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1.0</v>
      </c>
      <c r="H62" s="19">
        <v>0.0</v>
      </c>
      <c r="I62" s="19">
        <v>3.0</v>
      </c>
      <c r="J62" s="19">
        <v>1.0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9">
        <v>1.0</v>
      </c>
      <c r="U62" s="19">
        <v>0.0</v>
      </c>
      <c r="V62" s="19">
        <v>0.0</v>
      </c>
      <c r="W62" s="19">
        <v>0.0</v>
      </c>
      <c r="X62" s="19">
        <v>1.0</v>
      </c>
      <c r="Y62" s="19">
        <v>0.0</v>
      </c>
      <c r="Z62" s="19">
        <v>0.0</v>
      </c>
      <c r="AA62" s="19">
        <v>0.0</v>
      </c>
      <c r="AB62" s="13">
        <f t="shared" si="16"/>
        <v>9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3.0</v>
      </c>
      <c r="G63" s="19">
        <v>0.0</v>
      </c>
      <c r="H63" s="19">
        <v>1.0</v>
      </c>
      <c r="I63" s="19">
        <v>1.0</v>
      </c>
      <c r="J63" s="19">
        <v>0.0</v>
      </c>
      <c r="K63" s="19">
        <v>3.0</v>
      </c>
      <c r="L63" s="19">
        <v>2.0</v>
      </c>
      <c r="M63" s="19">
        <v>5.0</v>
      </c>
      <c r="N63" s="19">
        <v>4.0</v>
      </c>
      <c r="O63" s="19">
        <v>3.0</v>
      </c>
      <c r="P63" s="19">
        <v>2.0</v>
      </c>
      <c r="Q63" s="19">
        <v>1.0</v>
      </c>
      <c r="R63" s="19">
        <v>6.0</v>
      </c>
      <c r="S63" s="19">
        <v>5.0</v>
      </c>
      <c r="T63" s="19">
        <v>2.0</v>
      </c>
      <c r="U63" s="19">
        <v>2.0</v>
      </c>
      <c r="V63" s="19">
        <v>5.0</v>
      </c>
      <c r="W63" s="19">
        <v>5.0</v>
      </c>
      <c r="X63" s="19">
        <v>2.0</v>
      </c>
      <c r="Y63" s="19">
        <v>2.0</v>
      </c>
      <c r="Z63" s="19">
        <v>3.0</v>
      </c>
      <c r="AA63" s="19">
        <v>3.0</v>
      </c>
      <c r="AB63" s="13">
        <f t="shared" si="16"/>
        <v>61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1.0</v>
      </c>
      <c r="H64" s="19">
        <v>0.0</v>
      </c>
      <c r="I64" s="19">
        <v>0.0</v>
      </c>
      <c r="J64" s="19">
        <v>2.0</v>
      </c>
      <c r="K64" s="19">
        <v>1.0</v>
      </c>
      <c r="L64" s="19">
        <v>0.0</v>
      </c>
      <c r="M64" s="19">
        <v>0.0</v>
      </c>
      <c r="N64" s="19">
        <v>3.0</v>
      </c>
      <c r="O64" s="19">
        <v>0.0</v>
      </c>
      <c r="P64" s="19">
        <v>0.0</v>
      </c>
      <c r="Q64" s="19">
        <v>1.0</v>
      </c>
      <c r="R64" s="19">
        <v>0.0</v>
      </c>
      <c r="S64" s="19">
        <v>0.0</v>
      </c>
      <c r="T64" s="19">
        <v>1.0</v>
      </c>
      <c r="U64" s="19">
        <v>0.0</v>
      </c>
      <c r="V64" s="19">
        <v>1.0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3">
        <f t="shared" si="16"/>
        <v>11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B67" si="17">SUM(E57:E66)</f>
        <v>41</v>
      </c>
      <c r="F67" s="13">
        <f t="shared" si="17"/>
        <v>43</v>
      </c>
      <c r="G67" s="13">
        <f t="shared" si="17"/>
        <v>61</v>
      </c>
      <c r="H67" s="13">
        <f t="shared" si="17"/>
        <v>38</v>
      </c>
      <c r="I67" s="13">
        <f t="shared" si="17"/>
        <v>34</v>
      </c>
      <c r="J67" s="13">
        <f t="shared" si="17"/>
        <v>34</v>
      </c>
      <c r="K67" s="13">
        <f t="shared" si="17"/>
        <v>43</v>
      </c>
      <c r="L67" s="13">
        <f t="shared" si="17"/>
        <v>49</v>
      </c>
      <c r="M67" s="13">
        <f t="shared" si="17"/>
        <v>77</v>
      </c>
      <c r="N67" s="13">
        <f t="shared" si="17"/>
        <v>73</v>
      </c>
      <c r="O67" s="13">
        <f t="shared" si="17"/>
        <v>50</v>
      </c>
      <c r="P67" s="13">
        <f t="shared" si="17"/>
        <v>33</v>
      </c>
      <c r="Q67" s="13">
        <f t="shared" si="17"/>
        <v>38</v>
      </c>
      <c r="R67" s="13">
        <f t="shared" si="17"/>
        <v>44</v>
      </c>
      <c r="S67" s="13">
        <f t="shared" si="17"/>
        <v>30</v>
      </c>
      <c r="T67" s="13">
        <f t="shared" si="17"/>
        <v>34</v>
      </c>
      <c r="U67" s="13">
        <f t="shared" si="17"/>
        <v>57</v>
      </c>
      <c r="V67" s="13">
        <f t="shared" si="17"/>
        <v>34</v>
      </c>
      <c r="W67" s="13">
        <f t="shared" si="17"/>
        <v>33</v>
      </c>
      <c r="X67" s="13">
        <f t="shared" si="17"/>
        <v>24</v>
      </c>
      <c r="Y67" s="13">
        <f t="shared" si="17"/>
        <v>23</v>
      </c>
      <c r="Z67" s="13">
        <f t="shared" si="17"/>
        <v>29</v>
      </c>
      <c r="AA67" s="13">
        <f t="shared" si="17"/>
        <v>56</v>
      </c>
      <c r="AB67" s="13">
        <f t="shared" si="17"/>
        <v>978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12.0</v>
      </c>
      <c r="G69" s="19">
        <v>4.0</v>
      </c>
      <c r="H69" s="19">
        <v>8.0</v>
      </c>
      <c r="I69" s="19">
        <v>6.0</v>
      </c>
      <c r="J69" s="19">
        <v>12.0</v>
      </c>
      <c r="K69" s="19">
        <v>8.0</v>
      </c>
      <c r="L69" s="19">
        <v>17.0</v>
      </c>
      <c r="M69" s="19">
        <v>8.0</v>
      </c>
      <c r="N69" s="19">
        <v>4.0</v>
      </c>
      <c r="O69" s="19">
        <v>10.0</v>
      </c>
      <c r="P69" s="19">
        <v>13.0</v>
      </c>
      <c r="Q69" s="19">
        <v>9.0</v>
      </c>
      <c r="R69" s="19">
        <v>3.0</v>
      </c>
      <c r="S69" s="19">
        <v>12.0</v>
      </c>
      <c r="T69" s="19">
        <v>6.0</v>
      </c>
      <c r="U69" s="19">
        <v>12.0</v>
      </c>
      <c r="V69" s="19">
        <v>5.0</v>
      </c>
      <c r="W69" s="19">
        <v>10.0</v>
      </c>
      <c r="X69" s="19">
        <v>6.0</v>
      </c>
      <c r="Y69" s="19">
        <v>13.0</v>
      </c>
      <c r="Z69" s="19">
        <v>20.0</v>
      </c>
      <c r="AA69" s="19">
        <v>11.0</v>
      </c>
      <c r="AB69" s="13">
        <f t="shared" ref="AB69:AB78" si="18">SUM(E69:AA69)</f>
        <v>215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0.0</v>
      </c>
      <c r="F70" s="19">
        <v>7.0</v>
      </c>
      <c r="G70" s="19">
        <v>6.0</v>
      </c>
      <c r="H70" s="19">
        <v>4.0</v>
      </c>
      <c r="I70" s="19">
        <v>7.0</v>
      </c>
      <c r="J70" s="19">
        <v>5.0</v>
      </c>
      <c r="K70" s="19">
        <v>7.0</v>
      </c>
      <c r="L70" s="19">
        <v>1.0</v>
      </c>
      <c r="M70" s="19">
        <v>9.0</v>
      </c>
      <c r="N70" s="19">
        <v>3.0</v>
      </c>
      <c r="O70" s="19">
        <v>1.0</v>
      </c>
      <c r="P70" s="19">
        <v>4.0</v>
      </c>
      <c r="Q70" s="19">
        <v>1.0</v>
      </c>
      <c r="R70" s="19">
        <v>2.0</v>
      </c>
      <c r="S70" s="19">
        <v>7.0</v>
      </c>
      <c r="T70" s="19">
        <v>7.0</v>
      </c>
      <c r="U70" s="19">
        <v>4.0</v>
      </c>
      <c r="V70" s="19">
        <v>4.0</v>
      </c>
      <c r="W70" s="19">
        <v>6.0</v>
      </c>
      <c r="X70" s="19">
        <v>5.0</v>
      </c>
      <c r="Y70" s="19">
        <v>2.0</v>
      </c>
      <c r="Z70" s="19">
        <v>8.0</v>
      </c>
      <c r="AA70" s="19">
        <v>8.0</v>
      </c>
      <c r="AB70" s="13">
        <f t="shared" si="18"/>
        <v>108</v>
      </c>
    </row>
    <row r="71" ht="12.75" customHeight="1">
      <c r="A71" s="18"/>
      <c r="B71" s="55">
        <v>2.0</v>
      </c>
      <c r="C71" s="50" t="s">
        <v>58</v>
      </c>
      <c r="D71" s="60"/>
      <c r="E71" s="19">
        <v>5.0</v>
      </c>
      <c r="F71" s="19">
        <v>5.0</v>
      </c>
      <c r="G71" s="19">
        <v>0.0</v>
      </c>
      <c r="H71" s="19">
        <v>4.0</v>
      </c>
      <c r="I71" s="19">
        <v>2.0</v>
      </c>
      <c r="J71" s="19">
        <v>9.0</v>
      </c>
      <c r="K71" s="19">
        <v>5.0</v>
      </c>
      <c r="L71" s="19">
        <v>0.0</v>
      </c>
      <c r="M71" s="19">
        <v>7.0</v>
      </c>
      <c r="N71" s="19">
        <v>4.0</v>
      </c>
      <c r="O71" s="19">
        <v>6.0</v>
      </c>
      <c r="P71" s="19">
        <v>7.0</v>
      </c>
      <c r="Q71" s="19">
        <v>2.0</v>
      </c>
      <c r="R71" s="19">
        <v>0.0</v>
      </c>
      <c r="S71" s="19">
        <v>2.0</v>
      </c>
      <c r="T71" s="19">
        <v>9.0</v>
      </c>
      <c r="U71" s="19">
        <v>3.0</v>
      </c>
      <c r="V71" s="19">
        <v>6.0</v>
      </c>
      <c r="W71" s="19">
        <v>16.0</v>
      </c>
      <c r="X71" s="19">
        <v>8.0</v>
      </c>
      <c r="Y71" s="19">
        <v>5.0</v>
      </c>
      <c r="Z71" s="19">
        <v>0.0</v>
      </c>
      <c r="AA71" s="19">
        <v>5.0</v>
      </c>
      <c r="AB71" s="13">
        <f t="shared" si="18"/>
        <v>110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2.0</v>
      </c>
      <c r="G72" s="19">
        <v>6.0</v>
      </c>
      <c r="H72" s="19">
        <v>4.0</v>
      </c>
      <c r="I72" s="19">
        <v>6.0</v>
      </c>
      <c r="J72" s="19">
        <v>0.0</v>
      </c>
      <c r="K72" s="19">
        <v>2.0</v>
      </c>
      <c r="L72" s="19">
        <v>2.0</v>
      </c>
      <c r="M72" s="19">
        <v>4.0</v>
      </c>
      <c r="N72" s="19">
        <v>5.0</v>
      </c>
      <c r="O72" s="19">
        <v>4.0</v>
      </c>
      <c r="P72" s="19">
        <v>5.0</v>
      </c>
      <c r="Q72" s="19">
        <v>1.0</v>
      </c>
      <c r="R72" s="19">
        <v>2.0</v>
      </c>
      <c r="S72" s="19">
        <v>2.0</v>
      </c>
      <c r="T72" s="19">
        <v>5.0</v>
      </c>
      <c r="U72" s="19">
        <v>3.0</v>
      </c>
      <c r="V72" s="19">
        <v>2.0</v>
      </c>
      <c r="W72" s="19">
        <v>2.0</v>
      </c>
      <c r="X72" s="19">
        <v>7.0</v>
      </c>
      <c r="Y72" s="19">
        <v>14.0</v>
      </c>
      <c r="Z72" s="19">
        <v>1.0</v>
      </c>
      <c r="AA72" s="19">
        <v>6.0</v>
      </c>
      <c r="AB72" s="13">
        <f t="shared" si="18"/>
        <v>85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1.0</v>
      </c>
      <c r="J73" s="19">
        <v>1.0</v>
      </c>
      <c r="K73" s="19">
        <v>0.0</v>
      </c>
      <c r="L73" s="19">
        <v>1.0</v>
      </c>
      <c r="M73" s="19">
        <v>1.0</v>
      </c>
      <c r="N73" s="19">
        <v>4.0</v>
      </c>
      <c r="O73" s="19">
        <v>0.0</v>
      </c>
      <c r="P73" s="19">
        <v>2.0</v>
      </c>
      <c r="Q73" s="19">
        <v>1.0</v>
      </c>
      <c r="R73" s="19">
        <v>1.0</v>
      </c>
      <c r="S73" s="19">
        <v>1.0</v>
      </c>
      <c r="T73" s="19">
        <v>0.0</v>
      </c>
      <c r="U73" s="19">
        <v>1.0</v>
      </c>
      <c r="V73" s="19">
        <v>0.0</v>
      </c>
      <c r="W73" s="19">
        <v>2.0</v>
      </c>
      <c r="X73" s="19">
        <v>1.0</v>
      </c>
      <c r="Y73" s="19">
        <v>0.0</v>
      </c>
      <c r="Z73" s="19">
        <v>1.0</v>
      </c>
      <c r="AA73" s="19">
        <v>0.0</v>
      </c>
      <c r="AB73" s="13">
        <f t="shared" si="18"/>
        <v>18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3.0</v>
      </c>
      <c r="G74" s="19">
        <v>3.0</v>
      </c>
      <c r="H74" s="19">
        <v>5.0</v>
      </c>
      <c r="I74" s="19">
        <v>13.0</v>
      </c>
      <c r="J74" s="19">
        <v>3.0</v>
      </c>
      <c r="K74" s="19">
        <v>3.0</v>
      </c>
      <c r="L74" s="19">
        <v>8.0</v>
      </c>
      <c r="M74" s="19">
        <v>2.0</v>
      </c>
      <c r="N74" s="19">
        <v>7.0</v>
      </c>
      <c r="O74" s="19">
        <v>4.0</v>
      </c>
      <c r="P74" s="19">
        <v>6.0</v>
      </c>
      <c r="Q74" s="19">
        <v>4.0</v>
      </c>
      <c r="R74" s="19">
        <v>3.0</v>
      </c>
      <c r="S74" s="19">
        <v>5.0</v>
      </c>
      <c r="T74" s="19">
        <v>3.0</v>
      </c>
      <c r="U74" s="19">
        <v>3.0</v>
      </c>
      <c r="V74" s="19">
        <v>4.0</v>
      </c>
      <c r="W74" s="19">
        <v>5.0</v>
      </c>
      <c r="X74" s="19">
        <v>4.0</v>
      </c>
      <c r="Y74" s="19">
        <v>1.0</v>
      </c>
      <c r="Z74" s="19">
        <v>5.0</v>
      </c>
      <c r="AA74" s="19">
        <v>2.0</v>
      </c>
      <c r="AB74" s="13">
        <f t="shared" si="18"/>
        <v>97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0.0</v>
      </c>
      <c r="H75" s="19">
        <v>4.0</v>
      </c>
      <c r="I75" s="19">
        <v>1.0</v>
      </c>
      <c r="J75" s="19">
        <v>2.0</v>
      </c>
      <c r="K75" s="19">
        <v>2.0</v>
      </c>
      <c r="L75" s="19">
        <v>3.0</v>
      </c>
      <c r="M75" s="19">
        <v>2.0</v>
      </c>
      <c r="N75" s="19">
        <v>0.0</v>
      </c>
      <c r="O75" s="19">
        <v>1.0</v>
      </c>
      <c r="P75" s="19">
        <v>3.0</v>
      </c>
      <c r="Q75" s="19">
        <v>0.0</v>
      </c>
      <c r="R75" s="19">
        <v>2.0</v>
      </c>
      <c r="S75" s="19">
        <v>1.0</v>
      </c>
      <c r="T75" s="19">
        <v>1.0</v>
      </c>
      <c r="U75" s="19">
        <v>1.0</v>
      </c>
      <c r="V75" s="19">
        <v>3.0</v>
      </c>
      <c r="W75" s="19">
        <v>3.0</v>
      </c>
      <c r="X75" s="19">
        <v>1.0</v>
      </c>
      <c r="Y75" s="19">
        <v>3.0</v>
      </c>
      <c r="Z75" s="19">
        <v>3.0</v>
      </c>
      <c r="AA75" s="19">
        <v>1.0</v>
      </c>
      <c r="AB75" s="13">
        <f t="shared" si="18"/>
        <v>38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1.0</v>
      </c>
      <c r="G76" s="19">
        <v>1.0</v>
      </c>
      <c r="H76" s="19">
        <v>0.0</v>
      </c>
      <c r="I76" s="19">
        <v>5.0</v>
      </c>
      <c r="J76" s="19">
        <v>1.0</v>
      </c>
      <c r="K76" s="19">
        <v>1.0</v>
      </c>
      <c r="L76" s="19">
        <v>0.0</v>
      </c>
      <c r="M76" s="19">
        <v>1.0</v>
      </c>
      <c r="N76" s="19">
        <v>2.0</v>
      </c>
      <c r="O76" s="19">
        <v>0.0</v>
      </c>
      <c r="P76" s="19">
        <v>0.0</v>
      </c>
      <c r="Q76" s="19">
        <v>1.0</v>
      </c>
      <c r="R76" s="19">
        <v>1.0</v>
      </c>
      <c r="S76" s="19">
        <v>2.0</v>
      </c>
      <c r="T76" s="19">
        <v>4.0</v>
      </c>
      <c r="U76" s="19">
        <v>8.0</v>
      </c>
      <c r="V76" s="19">
        <v>1.0</v>
      </c>
      <c r="W76" s="19">
        <v>6.0</v>
      </c>
      <c r="X76" s="19">
        <v>1.0</v>
      </c>
      <c r="Y76" s="19">
        <v>1.0</v>
      </c>
      <c r="Z76" s="19">
        <v>0.0</v>
      </c>
      <c r="AA76" s="19">
        <v>2.0</v>
      </c>
      <c r="AB76" s="13">
        <f t="shared" si="18"/>
        <v>39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B79" si="19">SUM(E69:E78)</f>
        <v>12</v>
      </c>
      <c r="F79" s="13">
        <f t="shared" si="19"/>
        <v>31</v>
      </c>
      <c r="G79" s="13">
        <f t="shared" si="19"/>
        <v>20</v>
      </c>
      <c r="H79" s="13">
        <f t="shared" si="19"/>
        <v>29</v>
      </c>
      <c r="I79" s="13">
        <f t="shared" si="19"/>
        <v>41</v>
      </c>
      <c r="J79" s="13">
        <f t="shared" si="19"/>
        <v>33</v>
      </c>
      <c r="K79" s="13">
        <f t="shared" si="19"/>
        <v>28</v>
      </c>
      <c r="L79" s="13">
        <f t="shared" si="19"/>
        <v>32</v>
      </c>
      <c r="M79" s="13">
        <f t="shared" si="19"/>
        <v>34</v>
      </c>
      <c r="N79" s="13">
        <f t="shared" si="19"/>
        <v>29</v>
      </c>
      <c r="O79" s="13">
        <f t="shared" si="19"/>
        <v>26</v>
      </c>
      <c r="P79" s="13">
        <f t="shared" si="19"/>
        <v>40</v>
      </c>
      <c r="Q79" s="13">
        <f t="shared" si="19"/>
        <v>19</v>
      </c>
      <c r="R79" s="13">
        <f t="shared" si="19"/>
        <v>14</v>
      </c>
      <c r="S79" s="13">
        <f t="shared" si="19"/>
        <v>32</v>
      </c>
      <c r="T79" s="13">
        <f t="shared" si="19"/>
        <v>35</v>
      </c>
      <c r="U79" s="13">
        <f t="shared" si="19"/>
        <v>35</v>
      </c>
      <c r="V79" s="13">
        <f t="shared" si="19"/>
        <v>25</v>
      </c>
      <c r="W79" s="13">
        <f t="shared" si="19"/>
        <v>50</v>
      </c>
      <c r="X79" s="13">
        <f t="shared" si="19"/>
        <v>33</v>
      </c>
      <c r="Y79" s="13">
        <f t="shared" si="19"/>
        <v>39</v>
      </c>
      <c r="Z79" s="13">
        <f t="shared" si="19"/>
        <v>38</v>
      </c>
      <c r="AA79" s="13">
        <f t="shared" si="19"/>
        <v>35</v>
      </c>
      <c r="AB79" s="13">
        <f t="shared" si="19"/>
        <v>710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5.0</v>
      </c>
      <c r="G81" s="19">
        <v>4.0</v>
      </c>
      <c r="H81" s="19">
        <v>3.0</v>
      </c>
      <c r="I81" s="19">
        <v>3.0</v>
      </c>
      <c r="J81" s="19">
        <v>3.0</v>
      </c>
      <c r="K81" s="19">
        <v>10.0</v>
      </c>
      <c r="L81" s="19">
        <v>2.0</v>
      </c>
      <c r="M81" s="19">
        <v>1.0</v>
      </c>
      <c r="N81" s="19">
        <v>6.0</v>
      </c>
      <c r="O81" s="19">
        <v>4.0</v>
      </c>
      <c r="P81" s="19">
        <v>3.0</v>
      </c>
      <c r="Q81" s="19">
        <v>1.0</v>
      </c>
      <c r="R81" s="19">
        <v>7.0</v>
      </c>
      <c r="S81" s="19">
        <v>11.0</v>
      </c>
      <c r="T81" s="19">
        <v>5.0</v>
      </c>
      <c r="U81" s="19">
        <v>3.0</v>
      </c>
      <c r="V81" s="19">
        <v>2.0</v>
      </c>
      <c r="W81" s="19">
        <v>8.0</v>
      </c>
      <c r="X81" s="19">
        <v>1.0</v>
      </c>
      <c r="Y81" s="19">
        <v>5.0</v>
      </c>
      <c r="Z81" s="19">
        <v>10.0</v>
      </c>
      <c r="AA81" s="19">
        <v>3.0</v>
      </c>
      <c r="AB81" s="13">
        <f t="shared" ref="AB81:AB90" si="20">SUM(E81:AA81)</f>
        <v>102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14.0</v>
      </c>
      <c r="F82" s="19">
        <v>12.0</v>
      </c>
      <c r="G82" s="19">
        <v>7.0</v>
      </c>
      <c r="H82" s="19">
        <v>9.0</v>
      </c>
      <c r="I82" s="19">
        <v>12.0</v>
      </c>
      <c r="J82" s="19">
        <v>9.0</v>
      </c>
      <c r="K82" s="19">
        <v>11.0</v>
      </c>
      <c r="L82" s="19">
        <v>8.0</v>
      </c>
      <c r="M82" s="19">
        <v>6.0</v>
      </c>
      <c r="N82" s="19">
        <v>10.0</v>
      </c>
      <c r="O82" s="19">
        <v>24.0</v>
      </c>
      <c r="P82" s="19">
        <v>11.0</v>
      </c>
      <c r="Q82" s="19">
        <v>8.0</v>
      </c>
      <c r="R82" s="19">
        <v>4.0</v>
      </c>
      <c r="S82" s="19">
        <v>9.0</v>
      </c>
      <c r="T82" s="19">
        <v>5.0</v>
      </c>
      <c r="U82" s="19">
        <v>5.0</v>
      </c>
      <c r="V82" s="19">
        <v>8.0</v>
      </c>
      <c r="W82" s="19">
        <v>7.0</v>
      </c>
      <c r="X82" s="19">
        <v>15.0</v>
      </c>
      <c r="Y82" s="19">
        <v>32.0</v>
      </c>
      <c r="Z82" s="19">
        <v>52.0</v>
      </c>
      <c r="AA82" s="19">
        <v>17.0</v>
      </c>
      <c r="AB82" s="13">
        <f t="shared" si="20"/>
        <v>295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5.0</v>
      </c>
      <c r="G83" s="19">
        <v>15.0</v>
      </c>
      <c r="H83" s="19">
        <v>7.0</v>
      </c>
      <c r="I83" s="19">
        <v>4.0</v>
      </c>
      <c r="J83" s="19">
        <v>5.0</v>
      </c>
      <c r="K83" s="19">
        <v>5.0</v>
      </c>
      <c r="L83" s="19">
        <v>5.0</v>
      </c>
      <c r="M83" s="19">
        <v>2.0</v>
      </c>
      <c r="N83" s="19">
        <v>3.0</v>
      </c>
      <c r="O83" s="19">
        <v>6.0</v>
      </c>
      <c r="P83" s="19">
        <v>2.0</v>
      </c>
      <c r="Q83" s="19">
        <v>6.0</v>
      </c>
      <c r="R83" s="19">
        <v>3.0</v>
      </c>
      <c r="S83" s="19">
        <v>3.0</v>
      </c>
      <c r="T83" s="19">
        <v>14.0</v>
      </c>
      <c r="U83" s="19">
        <v>10.0</v>
      </c>
      <c r="V83" s="19">
        <v>9.0</v>
      </c>
      <c r="W83" s="19">
        <v>32.0</v>
      </c>
      <c r="X83" s="19">
        <v>33.0</v>
      </c>
      <c r="Y83" s="19">
        <v>8.0</v>
      </c>
      <c r="Z83" s="19">
        <v>10.0</v>
      </c>
      <c r="AA83" s="19">
        <v>4.0</v>
      </c>
      <c r="AB83" s="13">
        <f t="shared" si="20"/>
        <v>191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1.0</v>
      </c>
      <c r="I84" s="19">
        <v>1.0</v>
      </c>
      <c r="J84" s="19">
        <v>0.0</v>
      </c>
      <c r="K84" s="19">
        <v>1.0</v>
      </c>
      <c r="L84" s="19">
        <v>0.0</v>
      </c>
      <c r="M84" s="19">
        <v>0.0</v>
      </c>
      <c r="N84" s="19">
        <v>1.0</v>
      </c>
      <c r="O84" s="19">
        <v>0.0</v>
      </c>
      <c r="P84" s="19">
        <v>0.0</v>
      </c>
      <c r="Q84" s="19">
        <v>0.0</v>
      </c>
      <c r="R84" s="19">
        <v>0.0</v>
      </c>
      <c r="S84" s="19">
        <v>1.0</v>
      </c>
      <c r="T84" s="19">
        <v>0.0</v>
      </c>
      <c r="U84" s="19">
        <v>1.0</v>
      </c>
      <c r="V84" s="19">
        <v>2.0</v>
      </c>
      <c r="W84" s="19">
        <v>1.0</v>
      </c>
      <c r="X84" s="19">
        <v>0.0</v>
      </c>
      <c r="Y84" s="19">
        <v>1.0</v>
      </c>
      <c r="Z84" s="19">
        <v>1.0</v>
      </c>
      <c r="AA84" s="19">
        <v>2.0</v>
      </c>
      <c r="AB84" s="13">
        <f t="shared" si="20"/>
        <v>14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1.0</v>
      </c>
      <c r="L85" s="19">
        <v>1.0</v>
      </c>
      <c r="M85" s="19">
        <v>1.0</v>
      </c>
      <c r="N85" s="19">
        <v>2.0</v>
      </c>
      <c r="O85" s="19">
        <v>0.0</v>
      </c>
      <c r="P85" s="19">
        <v>2.0</v>
      </c>
      <c r="Q85" s="19">
        <v>0.0</v>
      </c>
      <c r="R85" s="19">
        <v>1.0</v>
      </c>
      <c r="S85" s="19">
        <v>1.0</v>
      </c>
      <c r="T85" s="19">
        <v>2.0</v>
      </c>
      <c r="U85" s="19">
        <v>1.0</v>
      </c>
      <c r="V85" s="19">
        <v>2.0</v>
      </c>
      <c r="W85" s="19">
        <v>0.0</v>
      </c>
      <c r="X85" s="19">
        <v>0.0</v>
      </c>
      <c r="Y85" s="19">
        <v>0.0</v>
      </c>
      <c r="Z85" s="19">
        <v>4.0</v>
      </c>
      <c r="AA85" s="19">
        <v>0.0</v>
      </c>
      <c r="AB85" s="13">
        <f t="shared" si="20"/>
        <v>18</v>
      </c>
    </row>
    <row r="86" ht="12.75" customHeight="1">
      <c r="A86" s="18"/>
      <c r="B86" s="55">
        <v>5.0</v>
      </c>
      <c r="C86" s="50" t="s">
        <v>69</v>
      </c>
      <c r="D86" s="60"/>
      <c r="E86" s="19">
        <v>1.0</v>
      </c>
      <c r="F86" s="19">
        <v>0.0</v>
      </c>
      <c r="G86" s="19">
        <v>1.0</v>
      </c>
      <c r="H86" s="19">
        <v>0.0</v>
      </c>
      <c r="I86" s="19">
        <v>8.0</v>
      </c>
      <c r="J86" s="19">
        <v>4.0</v>
      </c>
      <c r="K86" s="19">
        <v>1.0</v>
      </c>
      <c r="L86" s="19">
        <v>2.0</v>
      </c>
      <c r="M86" s="19">
        <v>1.0</v>
      </c>
      <c r="N86" s="19">
        <v>2.0</v>
      </c>
      <c r="O86" s="19">
        <v>0.0</v>
      </c>
      <c r="P86" s="19">
        <v>2.0</v>
      </c>
      <c r="Q86" s="19">
        <v>0.0</v>
      </c>
      <c r="R86" s="19">
        <v>0.0</v>
      </c>
      <c r="S86" s="19">
        <v>1.0</v>
      </c>
      <c r="T86" s="19">
        <v>3.0</v>
      </c>
      <c r="U86" s="19">
        <v>2.0</v>
      </c>
      <c r="V86" s="19">
        <v>1.0</v>
      </c>
      <c r="W86" s="19">
        <v>0.0</v>
      </c>
      <c r="X86" s="19">
        <v>0.0</v>
      </c>
      <c r="Y86" s="19">
        <v>1.0</v>
      </c>
      <c r="Z86" s="19">
        <v>0.0</v>
      </c>
      <c r="AA86" s="19">
        <v>0.0</v>
      </c>
      <c r="AB86" s="13">
        <f t="shared" si="20"/>
        <v>30</v>
      </c>
    </row>
    <row r="87" ht="12.75" customHeight="1">
      <c r="A87" s="18"/>
      <c r="B87" s="55">
        <v>6.0</v>
      </c>
      <c r="C87" s="50" t="s">
        <v>70</v>
      </c>
      <c r="D87" s="60"/>
      <c r="E87" s="19">
        <v>1.0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1.0</v>
      </c>
      <c r="T87" s="19">
        <v>0.0</v>
      </c>
      <c r="U87" s="19">
        <v>0.0</v>
      </c>
      <c r="V87" s="19">
        <v>2.0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3">
        <f t="shared" si="20"/>
        <v>7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1.0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1.0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B91" si="21">SUM(E81:E90)</f>
        <v>18</v>
      </c>
      <c r="F91" s="13">
        <f t="shared" si="21"/>
        <v>22</v>
      </c>
      <c r="G91" s="13">
        <f t="shared" si="21"/>
        <v>28</v>
      </c>
      <c r="H91" s="13">
        <f t="shared" si="21"/>
        <v>21</v>
      </c>
      <c r="I91" s="13">
        <f t="shared" si="21"/>
        <v>29</v>
      </c>
      <c r="J91" s="13">
        <f t="shared" si="21"/>
        <v>21</v>
      </c>
      <c r="K91" s="13">
        <f t="shared" si="21"/>
        <v>29</v>
      </c>
      <c r="L91" s="13">
        <f t="shared" si="21"/>
        <v>20</v>
      </c>
      <c r="M91" s="13">
        <f t="shared" si="21"/>
        <v>11</v>
      </c>
      <c r="N91" s="13">
        <f t="shared" si="21"/>
        <v>24</v>
      </c>
      <c r="O91" s="13">
        <f t="shared" si="21"/>
        <v>34</v>
      </c>
      <c r="P91" s="13">
        <f t="shared" si="21"/>
        <v>21</v>
      </c>
      <c r="Q91" s="13">
        <f t="shared" si="21"/>
        <v>15</v>
      </c>
      <c r="R91" s="13">
        <f t="shared" si="21"/>
        <v>15</v>
      </c>
      <c r="S91" s="13">
        <f t="shared" si="21"/>
        <v>27</v>
      </c>
      <c r="T91" s="13">
        <f t="shared" si="21"/>
        <v>30</v>
      </c>
      <c r="U91" s="13">
        <f t="shared" si="21"/>
        <v>22</v>
      </c>
      <c r="V91" s="13">
        <f t="shared" si="21"/>
        <v>26</v>
      </c>
      <c r="W91" s="13">
        <f t="shared" si="21"/>
        <v>48</v>
      </c>
      <c r="X91" s="13">
        <f t="shared" si="21"/>
        <v>49</v>
      </c>
      <c r="Y91" s="13">
        <f t="shared" si="21"/>
        <v>47</v>
      </c>
      <c r="Z91" s="13">
        <f t="shared" si="21"/>
        <v>77</v>
      </c>
      <c r="AA91" s="13">
        <f t="shared" si="21"/>
        <v>26</v>
      </c>
      <c r="AB91" s="13">
        <f t="shared" si="21"/>
        <v>660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2.0</v>
      </c>
      <c r="G93" s="19">
        <v>1.0</v>
      </c>
      <c r="H93" s="19">
        <v>1.0</v>
      </c>
      <c r="I93" s="19">
        <v>3.0</v>
      </c>
      <c r="J93" s="19">
        <v>3.0</v>
      </c>
      <c r="K93" s="19">
        <v>1.0</v>
      </c>
      <c r="L93" s="19">
        <v>4.0</v>
      </c>
      <c r="M93" s="19">
        <v>3.0</v>
      </c>
      <c r="N93" s="19">
        <v>5.0</v>
      </c>
      <c r="O93" s="19">
        <v>3.0</v>
      </c>
      <c r="P93" s="19">
        <v>3.0</v>
      </c>
      <c r="Q93" s="19">
        <v>0.0</v>
      </c>
      <c r="R93" s="19">
        <v>0.0</v>
      </c>
      <c r="S93" s="19">
        <v>1.0</v>
      </c>
      <c r="T93" s="19">
        <v>2.0</v>
      </c>
      <c r="U93" s="19">
        <v>3.0</v>
      </c>
      <c r="V93" s="19">
        <v>1.0</v>
      </c>
      <c r="W93" s="19">
        <v>1.0</v>
      </c>
      <c r="X93" s="19">
        <v>1.0</v>
      </c>
      <c r="Y93" s="19">
        <v>1.0</v>
      </c>
      <c r="Z93" s="19">
        <v>1.0</v>
      </c>
      <c r="AA93" s="19">
        <v>1.0</v>
      </c>
      <c r="AB93" s="13">
        <f t="shared" ref="AB93:AB102" si="22">SUM(E93:AA93)</f>
        <v>42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3.0</v>
      </c>
      <c r="H94" s="19">
        <v>0.0</v>
      </c>
      <c r="I94" s="19">
        <v>4.0</v>
      </c>
      <c r="J94" s="19">
        <v>0.0</v>
      </c>
      <c r="K94" s="19">
        <v>0.0</v>
      </c>
      <c r="L94" s="19">
        <v>1.0</v>
      </c>
      <c r="M94" s="19">
        <v>4.0</v>
      </c>
      <c r="N94" s="19">
        <v>1.0</v>
      </c>
      <c r="O94" s="19">
        <v>2.0</v>
      </c>
      <c r="P94" s="19">
        <v>0.0</v>
      </c>
      <c r="Q94" s="19">
        <v>0.0</v>
      </c>
      <c r="R94" s="19">
        <v>1.0</v>
      </c>
      <c r="S94" s="19">
        <v>1.0</v>
      </c>
      <c r="T94" s="19">
        <v>1.0</v>
      </c>
      <c r="U94" s="19">
        <v>3.0</v>
      </c>
      <c r="V94" s="19">
        <v>1.0</v>
      </c>
      <c r="W94" s="19">
        <v>3.0</v>
      </c>
      <c r="X94" s="19">
        <v>2.0</v>
      </c>
      <c r="Y94" s="19">
        <v>0.0</v>
      </c>
      <c r="Z94" s="19">
        <v>2.0</v>
      </c>
      <c r="AA94" s="19">
        <v>0.0</v>
      </c>
      <c r="AB94" s="13">
        <f t="shared" si="22"/>
        <v>30</v>
      </c>
    </row>
    <row r="95" ht="12.75" customHeight="1">
      <c r="A95" s="18"/>
      <c r="B95" s="55">
        <v>2.0</v>
      </c>
      <c r="C95" s="50" t="s">
        <v>75</v>
      </c>
      <c r="D95" s="60"/>
      <c r="E95" s="19">
        <v>2.0</v>
      </c>
      <c r="F95" s="19">
        <v>3.0</v>
      </c>
      <c r="G95" s="19">
        <v>4.0</v>
      </c>
      <c r="H95" s="19">
        <v>1.0</v>
      </c>
      <c r="I95" s="19">
        <v>3.0</v>
      </c>
      <c r="J95" s="19">
        <v>1.0</v>
      </c>
      <c r="K95" s="19">
        <v>19.0</v>
      </c>
      <c r="L95" s="19">
        <v>5.0</v>
      </c>
      <c r="M95" s="19">
        <v>2.0</v>
      </c>
      <c r="N95" s="19">
        <v>0.0</v>
      </c>
      <c r="O95" s="19">
        <v>0.0</v>
      </c>
      <c r="P95" s="19">
        <v>0.0</v>
      </c>
      <c r="Q95" s="19">
        <v>1.0</v>
      </c>
      <c r="R95" s="19">
        <v>3.0</v>
      </c>
      <c r="S95" s="19">
        <v>0.0</v>
      </c>
      <c r="T95" s="19">
        <v>2.0</v>
      </c>
      <c r="U95" s="19">
        <v>0.0</v>
      </c>
      <c r="V95" s="19">
        <v>0.0</v>
      </c>
      <c r="W95" s="19">
        <v>2.0</v>
      </c>
      <c r="X95" s="19">
        <v>2.0</v>
      </c>
      <c r="Y95" s="19">
        <v>14.0</v>
      </c>
      <c r="Z95" s="19">
        <v>0.0</v>
      </c>
      <c r="AA95" s="19">
        <v>0.0</v>
      </c>
      <c r="AB95" s="13">
        <f t="shared" si="22"/>
        <v>64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2.0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2.0</v>
      </c>
      <c r="X96" s="19">
        <v>1.0</v>
      </c>
      <c r="Y96" s="19">
        <v>0.0</v>
      </c>
      <c r="Z96" s="19">
        <v>0.0</v>
      </c>
      <c r="AA96" s="19">
        <v>0.0</v>
      </c>
      <c r="AB96" s="13">
        <f t="shared" si="22"/>
        <v>9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1.0</v>
      </c>
      <c r="H97" s="19">
        <v>1.0</v>
      </c>
      <c r="I97" s="19">
        <v>2.0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1.0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1.0</v>
      </c>
      <c r="X97" s="19">
        <v>0.0</v>
      </c>
      <c r="Y97" s="19">
        <v>0.0</v>
      </c>
      <c r="Z97" s="19">
        <v>0.0</v>
      </c>
      <c r="AA97" s="19">
        <v>0.0</v>
      </c>
      <c r="AB97" s="13">
        <f t="shared" si="22"/>
        <v>6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1.0</v>
      </c>
      <c r="M98" s="19">
        <v>1.0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9">
        <v>1.0</v>
      </c>
      <c r="W98" s="19">
        <v>0.0</v>
      </c>
      <c r="X98" s="19">
        <v>0.0</v>
      </c>
      <c r="Y98" s="19">
        <v>1.0</v>
      </c>
      <c r="Z98" s="19">
        <v>0.0</v>
      </c>
      <c r="AA98" s="19">
        <v>1.0</v>
      </c>
      <c r="AB98" s="13">
        <f t="shared" si="22"/>
        <v>7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1.0</v>
      </c>
      <c r="R100" s="19">
        <v>0.0</v>
      </c>
      <c r="S100" s="19">
        <v>1.0</v>
      </c>
      <c r="T100" s="19">
        <v>0.0</v>
      </c>
      <c r="U100" s="19">
        <v>1.0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3">
        <f t="shared" si="22"/>
        <v>3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B103" si="23">SUM(E93:E102)</f>
        <v>4</v>
      </c>
      <c r="F103" s="13">
        <f t="shared" si="23"/>
        <v>6</v>
      </c>
      <c r="G103" s="13">
        <f t="shared" si="23"/>
        <v>10</v>
      </c>
      <c r="H103" s="13">
        <f t="shared" si="23"/>
        <v>3</v>
      </c>
      <c r="I103" s="13">
        <f t="shared" si="23"/>
        <v>13</v>
      </c>
      <c r="J103" s="13">
        <f t="shared" si="23"/>
        <v>6</v>
      </c>
      <c r="K103" s="13">
        <f t="shared" si="23"/>
        <v>20</v>
      </c>
      <c r="L103" s="13">
        <f t="shared" si="23"/>
        <v>12</v>
      </c>
      <c r="M103" s="13">
        <f t="shared" si="23"/>
        <v>10</v>
      </c>
      <c r="N103" s="13">
        <f t="shared" si="23"/>
        <v>6</v>
      </c>
      <c r="O103" s="13">
        <f t="shared" si="23"/>
        <v>5</v>
      </c>
      <c r="P103" s="13">
        <f t="shared" si="23"/>
        <v>4</v>
      </c>
      <c r="Q103" s="13">
        <f t="shared" si="23"/>
        <v>3</v>
      </c>
      <c r="R103" s="13">
        <f t="shared" si="23"/>
        <v>4</v>
      </c>
      <c r="S103" s="13">
        <f t="shared" si="23"/>
        <v>5</v>
      </c>
      <c r="T103" s="13">
        <f t="shared" si="23"/>
        <v>5</v>
      </c>
      <c r="U103" s="13">
        <f t="shared" si="23"/>
        <v>7</v>
      </c>
      <c r="V103" s="13">
        <f t="shared" si="23"/>
        <v>3</v>
      </c>
      <c r="W103" s="13">
        <f t="shared" si="23"/>
        <v>9</v>
      </c>
      <c r="X103" s="13">
        <f t="shared" si="23"/>
        <v>6</v>
      </c>
      <c r="Y103" s="13">
        <f t="shared" si="23"/>
        <v>16</v>
      </c>
      <c r="Z103" s="13">
        <f t="shared" si="23"/>
        <v>3</v>
      </c>
      <c r="AA103" s="13">
        <f t="shared" si="23"/>
        <v>2</v>
      </c>
      <c r="AB103" s="13">
        <f t="shared" si="23"/>
        <v>162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/>
      <c r="F105" s="19"/>
      <c r="G105" s="19"/>
      <c r="H105" s="19">
        <v>1.0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9">
        <v>0.0</v>
      </c>
      <c r="AB105" s="13">
        <f t="shared" ref="AB105:AB114" si="24">SUM(E105:AA105)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/>
      <c r="F106" s="19">
        <v>1.0</v>
      </c>
      <c r="G106" s="19">
        <v>1.0</v>
      </c>
      <c r="H106" s="19"/>
      <c r="I106" s="19"/>
      <c r="J106" s="19"/>
      <c r="K106" s="19"/>
      <c r="L106" s="19"/>
      <c r="M106" s="19"/>
      <c r="N106" s="19">
        <v>1.0</v>
      </c>
      <c r="O106" s="19"/>
      <c r="P106" s="19"/>
      <c r="Q106" s="19">
        <v>1.0</v>
      </c>
      <c r="R106" s="19"/>
      <c r="S106" s="19"/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1.0</v>
      </c>
      <c r="Z106" s="19">
        <v>0.0</v>
      </c>
      <c r="AA106" s="19">
        <v>0.0</v>
      </c>
      <c r="AB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60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0.0</v>
      </c>
      <c r="U107" s="19">
        <v>0.0</v>
      </c>
      <c r="V107" s="19">
        <v>1.0</v>
      </c>
      <c r="W107" s="19">
        <v>0.0</v>
      </c>
      <c r="X107" s="19">
        <v>1.0</v>
      </c>
      <c r="Y107" s="19">
        <v>0.0</v>
      </c>
      <c r="Z107" s="19">
        <v>0.0</v>
      </c>
      <c r="AA107" s="19">
        <v>0.0</v>
      </c>
      <c r="AB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>
        <v>2.0</v>
      </c>
      <c r="Q109" s="19"/>
      <c r="R109" s="19"/>
      <c r="S109" s="19"/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/>
      <c r="F111" s="19"/>
      <c r="G111" s="19"/>
      <c r="H111" s="19">
        <v>1.0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1.0</v>
      </c>
      <c r="AA112" s="19">
        <v>0.0</v>
      </c>
      <c r="AB112" s="13">
        <f t="shared" si="24"/>
        <v>1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B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2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2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1</v>
      </c>
      <c r="X115" s="13">
        <f t="shared" si="25"/>
        <v>1</v>
      </c>
      <c r="Y115" s="13">
        <f t="shared" si="25"/>
        <v>1</v>
      </c>
      <c r="Z115" s="13">
        <f t="shared" si="25"/>
        <v>1</v>
      </c>
      <c r="AA115" s="13">
        <f t="shared" si="25"/>
        <v>0</v>
      </c>
      <c r="AB115" s="13">
        <f t="shared" si="25"/>
        <v>13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3.0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3.0</v>
      </c>
      <c r="M117" s="19">
        <v>2.0</v>
      </c>
      <c r="N117" s="19">
        <v>1.0</v>
      </c>
      <c r="O117" s="19">
        <v>0.0</v>
      </c>
      <c r="P117" s="19">
        <v>0.0</v>
      </c>
      <c r="Q117" s="19">
        <v>0.0</v>
      </c>
      <c r="R117" s="19">
        <v>1.0</v>
      </c>
      <c r="S117" s="19">
        <v>0.0</v>
      </c>
      <c r="T117" s="19">
        <v>0.0</v>
      </c>
      <c r="U117" s="19">
        <v>3.0</v>
      </c>
      <c r="V117" s="19">
        <v>2.0</v>
      </c>
      <c r="W117" s="19">
        <v>1.0</v>
      </c>
      <c r="X117" s="19">
        <v>3.0</v>
      </c>
      <c r="Y117" s="19">
        <v>1.0</v>
      </c>
      <c r="Z117" s="19">
        <v>0.0</v>
      </c>
      <c r="AA117" s="19">
        <v>4.0</v>
      </c>
      <c r="AB117" s="13">
        <f t="shared" ref="AB117:AB126" si="26">SUM(E117:AA117)</f>
        <v>24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1.0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1.0</v>
      </c>
      <c r="AB118" s="13">
        <f t="shared" si="26"/>
        <v>4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1.0</v>
      </c>
      <c r="H120" s="19">
        <v>2.0</v>
      </c>
      <c r="I120" s="19">
        <v>1.0</v>
      </c>
      <c r="J120" s="19">
        <v>0.0</v>
      </c>
      <c r="K120" s="19">
        <v>0.0</v>
      </c>
      <c r="L120" s="19">
        <v>1.0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26"/>
        <v>6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B127" si="27">SUM(E117:E126)</f>
        <v>0</v>
      </c>
      <c r="F127" s="13">
        <f t="shared" si="27"/>
        <v>3</v>
      </c>
      <c r="G127" s="13">
        <f t="shared" si="27"/>
        <v>1</v>
      </c>
      <c r="H127" s="13">
        <f t="shared" si="27"/>
        <v>2</v>
      </c>
      <c r="I127" s="13">
        <f t="shared" si="27"/>
        <v>1</v>
      </c>
      <c r="J127" s="13">
        <f t="shared" si="27"/>
        <v>0</v>
      </c>
      <c r="K127" s="13">
        <f t="shared" si="27"/>
        <v>0</v>
      </c>
      <c r="L127" s="13">
        <f t="shared" si="27"/>
        <v>4</v>
      </c>
      <c r="M127" s="13">
        <f t="shared" si="27"/>
        <v>2</v>
      </c>
      <c r="N127" s="13">
        <f t="shared" si="27"/>
        <v>2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2</v>
      </c>
      <c r="S127" s="13">
        <f t="shared" si="27"/>
        <v>1</v>
      </c>
      <c r="T127" s="13">
        <f t="shared" si="27"/>
        <v>0</v>
      </c>
      <c r="U127" s="13">
        <f t="shared" si="27"/>
        <v>3</v>
      </c>
      <c r="V127" s="13">
        <f t="shared" si="27"/>
        <v>3</v>
      </c>
      <c r="W127" s="13">
        <f t="shared" si="27"/>
        <v>1</v>
      </c>
      <c r="X127" s="13">
        <f t="shared" si="27"/>
        <v>3</v>
      </c>
      <c r="Y127" s="13">
        <f t="shared" si="27"/>
        <v>1</v>
      </c>
      <c r="Z127" s="13">
        <f t="shared" si="27"/>
        <v>0</v>
      </c>
      <c r="AA127" s="13">
        <f t="shared" si="27"/>
        <v>5</v>
      </c>
      <c r="AB127" s="13">
        <f t="shared" si="27"/>
        <v>34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4.0</v>
      </c>
      <c r="G129" s="19">
        <v>0.0</v>
      </c>
      <c r="H129" s="19">
        <v>4.0</v>
      </c>
      <c r="I129" s="19">
        <v>4.0</v>
      </c>
      <c r="J129" s="19">
        <v>4.0</v>
      </c>
      <c r="K129" s="19">
        <v>0.0</v>
      </c>
      <c r="L129" s="19">
        <v>0.0</v>
      </c>
      <c r="M129" s="19">
        <v>0.0</v>
      </c>
      <c r="N129" s="19">
        <v>2.0</v>
      </c>
      <c r="O129" s="19">
        <v>0.0</v>
      </c>
      <c r="P129" s="19">
        <v>4.0</v>
      </c>
      <c r="Q129" s="19">
        <v>0.0</v>
      </c>
      <c r="R129" s="19">
        <v>1.0</v>
      </c>
      <c r="S129" s="19">
        <v>1.0</v>
      </c>
      <c r="T129" s="19">
        <v>0.0</v>
      </c>
      <c r="U129" s="19">
        <v>0.0</v>
      </c>
      <c r="V129" s="19">
        <v>0.0</v>
      </c>
      <c r="W129" s="19">
        <v>1.0</v>
      </c>
      <c r="X129" s="19">
        <v>0.0</v>
      </c>
      <c r="Y129" s="19">
        <v>1.0</v>
      </c>
      <c r="Z129" s="19">
        <v>0.0</v>
      </c>
      <c r="AA129" s="19">
        <v>0.0</v>
      </c>
      <c r="AB129" s="13">
        <f t="shared" ref="AB129:AB138" si="28">SUM(E129:AA129)</f>
        <v>28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12.0</v>
      </c>
      <c r="F130" s="19">
        <v>20.0</v>
      </c>
      <c r="G130" s="19">
        <v>3.0</v>
      </c>
      <c r="H130" s="19">
        <v>2.0</v>
      </c>
      <c r="I130" s="19">
        <v>3.0</v>
      </c>
      <c r="J130" s="19">
        <v>2.0</v>
      </c>
      <c r="K130" s="19">
        <v>1.0</v>
      </c>
      <c r="L130" s="19">
        <v>4.0</v>
      </c>
      <c r="M130" s="19">
        <v>2.0</v>
      </c>
      <c r="N130" s="19">
        <v>4.0</v>
      </c>
      <c r="O130" s="19">
        <v>1.0</v>
      </c>
      <c r="P130" s="19">
        <v>0.0</v>
      </c>
      <c r="Q130" s="19">
        <v>0.0</v>
      </c>
      <c r="R130" s="19">
        <v>0.0</v>
      </c>
      <c r="S130" s="19">
        <v>1.0</v>
      </c>
      <c r="T130" s="19">
        <v>1.0</v>
      </c>
      <c r="U130" s="19">
        <v>1.0</v>
      </c>
      <c r="V130" s="19">
        <v>1.0</v>
      </c>
      <c r="W130" s="19">
        <v>4.0</v>
      </c>
      <c r="X130" s="19">
        <v>1.0</v>
      </c>
      <c r="Y130" s="19">
        <v>1.0</v>
      </c>
      <c r="Z130" s="19">
        <v>1.0</v>
      </c>
      <c r="AA130" s="19">
        <v>1.0</v>
      </c>
      <c r="AB130" s="13">
        <f t="shared" si="28"/>
        <v>66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0.0</v>
      </c>
      <c r="G131" s="19">
        <v>1.0</v>
      </c>
      <c r="H131" s="19">
        <v>1.0</v>
      </c>
      <c r="I131" s="19">
        <v>2.0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1.0</v>
      </c>
      <c r="P131" s="19">
        <v>1.0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>
        <v>0.0</v>
      </c>
      <c r="W131" s="19">
        <v>1.0</v>
      </c>
      <c r="X131" s="19">
        <v>1.0</v>
      </c>
      <c r="Y131" s="19">
        <v>0.0</v>
      </c>
      <c r="Z131" s="19">
        <v>0.0</v>
      </c>
      <c r="AA131" s="19">
        <v>1.0</v>
      </c>
      <c r="AB131" s="13">
        <f t="shared" si="28"/>
        <v>11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1.0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1.0</v>
      </c>
      <c r="V132" s="19">
        <v>1.0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3">
        <f t="shared" si="28"/>
        <v>5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1.0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B139" si="29">SUM(E129:E138)</f>
        <v>16</v>
      </c>
      <c r="F139" s="13">
        <f t="shared" si="29"/>
        <v>24</v>
      </c>
      <c r="G139" s="13">
        <f t="shared" si="29"/>
        <v>5</v>
      </c>
      <c r="H139" s="13">
        <f t="shared" si="29"/>
        <v>7</v>
      </c>
      <c r="I139" s="13">
        <f t="shared" si="29"/>
        <v>9</v>
      </c>
      <c r="J139" s="13">
        <f t="shared" si="29"/>
        <v>6</v>
      </c>
      <c r="K139" s="13">
        <f t="shared" si="29"/>
        <v>1</v>
      </c>
      <c r="L139" s="13">
        <f t="shared" si="29"/>
        <v>4</v>
      </c>
      <c r="M139" s="13">
        <f t="shared" si="29"/>
        <v>2</v>
      </c>
      <c r="N139" s="13">
        <f t="shared" si="29"/>
        <v>6</v>
      </c>
      <c r="O139" s="13">
        <f t="shared" si="29"/>
        <v>2</v>
      </c>
      <c r="P139" s="13">
        <f t="shared" si="29"/>
        <v>6</v>
      </c>
      <c r="Q139" s="13">
        <f t="shared" si="29"/>
        <v>0</v>
      </c>
      <c r="R139" s="13">
        <f t="shared" si="29"/>
        <v>1</v>
      </c>
      <c r="S139" s="13">
        <f t="shared" si="29"/>
        <v>2</v>
      </c>
      <c r="T139" s="13">
        <f t="shared" si="29"/>
        <v>1</v>
      </c>
      <c r="U139" s="13">
        <f t="shared" si="29"/>
        <v>4</v>
      </c>
      <c r="V139" s="13">
        <f t="shared" si="29"/>
        <v>2</v>
      </c>
      <c r="W139" s="13">
        <f t="shared" si="29"/>
        <v>6</v>
      </c>
      <c r="X139" s="13">
        <f t="shared" si="29"/>
        <v>2</v>
      </c>
      <c r="Y139" s="13">
        <f t="shared" si="29"/>
        <v>2</v>
      </c>
      <c r="Z139" s="13">
        <f t="shared" si="29"/>
        <v>1</v>
      </c>
      <c r="AA139" s="13">
        <f t="shared" si="29"/>
        <v>2</v>
      </c>
      <c r="AB139" s="13">
        <f t="shared" si="29"/>
        <v>111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1.0</v>
      </c>
      <c r="P141" s="19">
        <v>0.0</v>
      </c>
      <c r="Q141" s="19">
        <v>0.0</v>
      </c>
      <c r="R141" s="19">
        <v>0.0</v>
      </c>
      <c r="S141" s="19">
        <v>1.0</v>
      </c>
      <c r="T141" s="19"/>
      <c r="U141" s="19"/>
      <c r="V141" s="19"/>
      <c r="W141" s="19"/>
      <c r="X141" s="19"/>
      <c r="Y141" s="19"/>
      <c r="Z141" s="19"/>
      <c r="AA141" s="19"/>
      <c r="AB141" s="13">
        <f t="shared" ref="AB141:AB150" si="30">SUM(E141:AA141)</f>
        <v>2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1.0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/>
      <c r="U142" s="19"/>
      <c r="V142" s="19"/>
      <c r="W142" s="19"/>
      <c r="X142" s="19"/>
      <c r="Y142" s="19"/>
      <c r="Z142" s="19"/>
      <c r="AA142" s="19"/>
      <c r="AB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/>
      <c r="U143" s="19"/>
      <c r="V143" s="19"/>
      <c r="W143" s="19"/>
      <c r="X143" s="19"/>
      <c r="Y143" s="19"/>
      <c r="Z143" s="19"/>
      <c r="AA143" s="19"/>
      <c r="AB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/>
      <c r="U144" s="19"/>
      <c r="V144" s="19"/>
      <c r="W144" s="19"/>
      <c r="X144" s="19"/>
      <c r="Y144" s="19"/>
      <c r="Z144" s="19"/>
      <c r="AA144" s="19"/>
      <c r="AB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/>
      <c r="U145" s="19"/>
      <c r="V145" s="19"/>
      <c r="W145" s="19"/>
      <c r="X145" s="19"/>
      <c r="Y145" s="19"/>
      <c r="Z145" s="19"/>
      <c r="AA145" s="19"/>
      <c r="AB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1.0</v>
      </c>
      <c r="P146" s="19">
        <v>0.0</v>
      </c>
      <c r="Q146" s="19">
        <v>0.0</v>
      </c>
      <c r="R146" s="19">
        <v>0.0</v>
      </c>
      <c r="S146" s="19">
        <v>0.0</v>
      </c>
      <c r="T146" s="19"/>
      <c r="U146" s="19"/>
      <c r="V146" s="19"/>
      <c r="W146" s="19"/>
      <c r="X146" s="19"/>
      <c r="Y146" s="19"/>
      <c r="Z146" s="19"/>
      <c r="AA146" s="19"/>
      <c r="AB146" s="13">
        <f t="shared" si="30"/>
        <v>1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/>
      <c r="U147" s="19"/>
      <c r="V147" s="19"/>
      <c r="W147" s="19"/>
      <c r="X147" s="19"/>
      <c r="Y147" s="19"/>
      <c r="Z147" s="19"/>
      <c r="AA147" s="19"/>
      <c r="AB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B151" si="31">SUM(E141:E150)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2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4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1.0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3">
        <f t="shared" ref="AB153:AB162" si="32">SUM(E153:AA153)</f>
        <v>2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1.0</v>
      </c>
      <c r="X154" s="19">
        <v>0.0</v>
      </c>
      <c r="Y154" s="19">
        <v>0.0</v>
      </c>
      <c r="Z154" s="19">
        <v>0.0</v>
      </c>
      <c r="AA154" s="19">
        <v>0.0</v>
      </c>
      <c r="AB154" s="13">
        <f t="shared" si="32"/>
        <v>3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1.0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3">
        <f t="shared" si="32"/>
        <v>1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3">
        <f t="shared" si="32"/>
        <v>0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3">
        <f t="shared" si="32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3">
        <f t="shared" si="32"/>
        <v>0</v>
      </c>
    </row>
    <row r="160" ht="12.75" customHeight="1">
      <c r="A160" s="18"/>
      <c r="B160" s="56"/>
      <c r="C160" s="57"/>
      <c r="D160" s="61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3">
        <f t="shared" si="32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3">
        <f t="shared" si="32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B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1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7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0.0</v>
      </c>
      <c r="AB165" s="13">
        <f t="shared" ref="AB165:AB174" si="34">SUM(E165:AA165)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1.0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2.0</v>
      </c>
      <c r="X166" s="19">
        <v>0.0</v>
      </c>
      <c r="Y166" s="19">
        <v>0.0</v>
      </c>
      <c r="Z166" s="19">
        <v>0.0</v>
      </c>
      <c r="AA166" s="19">
        <v>0.0</v>
      </c>
      <c r="AB166" s="13">
        <f t="shared" si="34"/>
        <v>4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1.0</v>
      </c>
      <c r="X167" s="19">
        <v>0.0</v>
      </c>
      <c r="Y167" s="19">
        <v>0.0</v>
      </c>
      <c r="Z167" s="19">
        <v>0.0</v>
      </c>
      <c r="AA167" s="19">
        <v>0.0</v>
      </c>
      <c r="AB167" s="13">
        <f t="shared" si="34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1.0</v>
      </c>
      <c r="Y168" s="19">
        <v>0.0</v>
      </c>
      <c r="Z168" s="19">
        <v>0.0</v>
      </c>
      <c r="AA168" s="19">
        <v>1.0</v>
      </c>
      <c r="AB168" s="13">
        <f t="shared" si="34"/>
        <v>3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1.0</v>
      </c>
      <c r="K170" s="19">
        <v>0.0</v>
      </c>
      <c r="L170" s="19">
        <v>0.0</v>
      </c>
      <c r="M170" s="19">
        <v>0.0</v>
      </c>
      <c r="N170" s="19">
        <v>1.0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34"/>
        <v>2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B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4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13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3.0</v>
      </c>
      <c r="H177" s="19">
        <v>2.0</v>
      </c>
      <c r="I177" s="19">
        <v>2.0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1.0</v>
      </c>
      <c r="P177" s="19">
        <v>1.0</v>
      </c>
      <c r="Q177" s="19">
        <v>0.0</v>
      </c>
      <c r="R177" s="19">
        <v>0.0</v>
      </c>
      <c r="S177" s="19">
        <v>1.0</v>
      </c>
      <c r="T177" s="19">
        <v>0.0</v>
      </c>
      <c r="U177" s="19">
        <v>1.0</v>
      </c>
      <c r="V177" s="19">
        <v>0.0</v>
      </c>
      <c r="W177" s="19">
        <v>0.0</v>
      </c>
      <c r="X177" s="19">
        <v>0.0</v>
      </c>
      <c r="Y177" s="19">
        <v>0.0</v>
      </c>
      <c r="Z177" s="19">
        <v>1.0</v>
      </c>
      <c r="AA177" s="19">
        <v>0.0</v>
      </c>
      <c r="AB177" s="13">
        <f t="shared" ref="AB177:AB186" si="36">SUM(E177:AA177)</f>
        <v>13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0.0</v>
      </c>
      <c r="G178" s="19">
        <v>3.0</v>
      </c>
      <c r="H178" s="19">
        <v>1.0</v>
      </c>
      <c r="I178" s="19">
        <v>0.0</v>
      </c>
      <c r="J178" s="19">
        <v>0.0</v>
      </c>
      <c r="K178" s="19">
        <v>2.0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1.0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3">
        <f t="shared" si="36"/>
        <v>9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1.0</v>
      </c>
      <c r="G179" s="19">
        <v>1.0</v>
      </c>
      <c r="H179" s="19">
        <v>1.0</v>
      </c>
      <c r="I179" s="19">
        <v>1.0</v>
      </c>
      <c r="J179" s="19">
        <v>0.0</v>
      </c>
      <c r="K179" s="19">
        <v>1.0</v>
      </c>
      <c r="L179" s="19">
        <v>0.0</v>
      </c>
      <c r="M179" s="19">
        <v>0.0</v>
      </c>
      <c r="N179" s="19">
        <v>1.0</v>
      </c>
      <c r="O179" s="19">
        <v>1.0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0.0</v>
      </c>
      <c r="V179" s="19">
        <v>1.0</v>
      </c>
      <c r="W179" s="19">
        <v>0.0</v>
      </c>
      <c r="X179" s="19">
        <v>1.0</v>
      </c>
      <c r="Y179" s="19">
        <v>0.0</v>
      </c>
      <c r="Z179" s="19">
        <v>0.0</v>
      </c>
      <c r="AA179" s="19">
        <v>1.0</v>
      </c>
      <c r="AB179" s="13">
        <f t="shared" si="36"/>
        <v>11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1.0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1.0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3">
        <f t="shared" si="36"/>
        <v>4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1.0</v>
      </c>
      <c r="H181" s="19">
        <v>0.0</v>
      </c>
      <c r="I181" s="19">
        <v>1.0</v>
      </c>
      <c r="J181" s="19">
        <v>0.0</v>
      </c>
      <c r="K181" s="19">
        <v>0.0</v>
      </c>
      <c r="L181" s="19">
        <v>1.0</v>
      </c>
      <c r="M181" s="19">
        <v>1.0</v>
      </c>
      <c r="N181" s="19">
        <v>1.0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1.0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3">
        <f t="shared" si="36"/>
        <v>6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1.0</v>
      </c>
      <c r="Z182" s="19">
        <v>0.0</v>
      </c>
      <c r="AA182" s="19">
        <v>0.0</v>
      </c>
      <c r="AB182" s="13">
        <f t="shared" si="36"/>
        <v>2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1.0</v>
      </c>
      <c r="N183" s="19">
        <v>1.0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36"/>
        <v>3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2.0</v>
      </c>
      <c r="I184" s="19">
        <v>0.0</v>
      </c>
      <c r="J184" s="19">
        <v>1.0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1.0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3">
        <f t="shared" si="36"/>
        <v>4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B187" si="37">SUM(E177:E186)</f>
        <v>1</v>
      </c>
      <c r="F187" s="13">
        <f t="shared" si="37"/>
        <v>2</v>
      </c>
      <c r="G187" s="13">
        <f t="shared" si="37"/>
        <v>8</v>
      </c>
      <c r="H187" s="13">
        <f t="shared" si="37"/>
        <v>8</v>
      </c>
      <c r="I187" s="13">
        <f t="shared" si="37"/>
        <v>4</v>
      </c>
      <c r="J187" s="13">
        <f t="shared" si="37"/>
        <v>1</v>
      </c>
      <c r="K187" s="13">
        <f t="shared" si="37"/>
        <v>4</v>
      </c>
      <c r="L187" s="13">
        <f t="shared" si="37"/>
        <v>1</v>
      </c>
      <c r="M187" s="13">
        <f t="shared" si="37"/>
        <v>2</v>
      </c>
      <c r="N187" s="13">
        <f t="shared" si="37"/>
        <v>4</v>
      </c>
      <c r="O187" s="13">
        <f t="shared" si="37"/>
        <v>3</v>
      </c>
      <c r="P187" s="13">
        <f t="shared" si="37"/>
        <v>2</v>
      </c>
      <c r="Q187" s="13">
        <f t="shared" si="37"/>
        <v>0</v>
      </c>
      <c r="R187" s="13">
        <f t="shared" si="37"/>
        <v>0</v>
      </c>
      <c r="S187" s="13">
        <f t="shared" si="37"/>
        <v>3</v>
      </c>
      <c r="T187" s="13">
        <f t="shared" si="37"/>
        <v>1</v>
      </c>
      <c r="U187" s="13">
        <f t="shared" si="37"/>
        <v>2</v>
      </c>
      <c r="V187" s="13">
        <f t="shared" si="37"/>
        <v>2</v>
      </c>
      <c r="W187" s="13">
        <f t="shared" si="37"/>
        <v>0</v>
      </c>
      <c r="X187" s="13">
        <f t="shared" si="37"/>
        <v>1</v>
      </c>
      <c r="Y187" s="13">
        <f t="shared" si="37"/>
        <v>1</v>
      </c>
      <c r="Z187" s="13">
        <f t="shared" si="37"/>
        <v>1</v>
      </c>
      <c r="AA187" s="13">
        <f t="shared" si="37"/>
        <v>1</v>
      </c>
      <c r="AB187" s="13">
        <f t="shared" si="37"/>
        <v>52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R188" s="78"/>
      <c r="S188" s="78"/>
      <c r="T188" s="78"/>
      <c r="U188" s="78"/>
      <c r="V188" s="78"/>
      <c r="W188" s="78"/>
      <c r="X188" s="78"/>
      <c r="Y188" s="78"/>
      <c r="Z188" s="78"/>
      <c r="A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3">
        <f t="shared" ref="AB189:AB198" si="38">SUM(E189:AA189)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1.0</v>
      </c>
      <c r="AB192" s="13">
        <f t="shared" si="38"/>
        <v>1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1.0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2.0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1.0</v>
      </c>
      <c r="Y194" s="19">
        <v>0.0</v>
      </c>
      <c r="Z194" s="19">
        <v>0.0</v>
      </c>
      <c r="AA194" s="19">
        <v>0.0</v>
      </c>
      <c r="AB194" s="13">
        <f t="shared" si="38"/>
        <v>4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B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6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8.0</v>
      </c>
      <c r="G201" s="19">
        <v>6.0</v>
      </c>
      <c r="H201" s="19">
        <v>5.0</v>
      </c>
      <c r="I201" s="19">
        <v>6.0</v>
      </c>
      <c r="J201" s="19">
        <v>3.0</v>
      </c>
      <c r="K201" s="19">
        <v>1.0</v>
      </c>
      <c r="L201" s="19">
        <v>6.0</v>
      </c>
      <c r="M201" s="19">
        <v>2.0</v>
      </c>
      <c r="N201" s="19">
        <v>3.0</v>
      </c>
      <c r="O201" s="19">
        <v>1.0</v>
      </c>
      <c r="P201" s="19">
        <v>1.0</v>
      </c>
      <c r="Q201" s="19">
        <v>2.0</v>
      </c>
      <c r="R201" s="19">
        <v>3.0</v>
      </c>
      <c r="S201" s="19">
        <v>7.0</v>
      </c>
      <c r="T201" s="19">
        <v>7.0</v>
      </c>
      <c r="U201" s="19">
        <v>5.0</v>
      </c>
      <c r="V201" s="19">
        <v>2.0</v>
      </c>
      <c r="W201" s="19">
        <v>7.0</v>
      </c>
      <c r="X201" s="19">
        <v>11.0</v>
      </c>
      <c r="Y201" s="19">
        <v>3.0</v>
      </c>
      <c r="Z201" s="19">
        <v>1.0</v>
      </c>
      <c r="AA201" s="19">
        <v>0.0</v>
      </c>
      <c r="AB201" s="13">
        <f t="shared" ref="AB201:AB210" si="40">SUM(E201:AA201)</f>
        <v>94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6.0</v>
      </c>
      <c r="F202" s="19">
        <v>1.0</v>
      </c>
      <c r="G202" s="19">
        <v>12.0</v>
      </c>
      <c r="H202" s="19">
        <v>3.0</v>
      </c>
      <c r="I202" s="19">
        <v>8.0</v>
      </c>
      <c r="J202" s="19">
        <v>5.0</v>
      </c>
      <c r="K202" s="19">
        <v>8.0</v>
      </c>
      <c r="L202" s="19">
        <v>4.0</v>
      </c>
      <c r="M202" s="19">
        <v>8.0</v>
      </c>
      <c r="N202" s="19">
        <v>2.0</v>
      </c>
      <c r="O202" s="19">
        <v>3.0</v>
      </c>
      <c r="P202" s="19">
        <v>6.0</v>
      </c>
      <c r="Q202" s="19">
        <v>8.0</v>
      </c>
      <c r="R202" s="19">
        <v>8.0</v>
      </c>
      <c r="S202" s="19">
        <v>10.0</v>
      </c>
      <c r="T202" s="19">
        <v>7.0</v>
      </c>
      <c r="U202" s="19">
        <v>7.0</v>
      </c>
      <c r="V202" s="19">
        <v>3.0</v>
      </c>
      <c r="W202" s="19">
        <v>11.0</v>
      </c>
      <c r="X202" s="19">
        <v>13.0</v>
      </c>
      <c r="Y202" s="19">
        <v>3.0</v>
      </c>
      <c r="Z202" s="19">
        <v>1.0</v>
      </c>
      <c r="AA202" s="19">
        <v>3.0</v>
      </c>
      <c r="AB202" s="13">
        <f t="shared" si="40"/>
        <v>140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2.0</v>
      </c>
      <c r="G203" s="19">
        <v>4.0</v>
      </c>
      <c r="H203" s="19">
        <v>1.0</v>
      </c>
      <c r="I203" s="19">
        <v>1.0</v>
      </c>
      <c r="J203" s="19">
        <v>4.0</v>
      </c>
      <c r="K203" s="19">
        <v>1.0</v>
      </c>
      <c r="L203" s="19">
        <v>1.0</v>
      </c>
      <c r="M203" s="19">
        <v>5.0</v>
      </c>
      <c r="N203" s="19">
        <v>3.0</v>
      </c>
      <c r="O203" s="19">
        <v>2.0</v>
      </c>
      <c r="P203" s="19">
        <v>3.0</v>
      </c>
      <c r="Q203" s="19">
        <v>1.0</v>
      </c>
      <c r="R203" s="19">
        <v>0.0</v>
      </c>
      <c r="S203" s="19">
        <v>2.0</v>
      </c>
      <c r="T203" s="19">
        <v>1.0</v>
      </c>
      <c r="U203" s="19">
        <v>2.0</v>
      </c>
      <c r="V203" s="19">
        <v>1.0</v>
      </c>
      <c r="W203" s="19">
        <v>1.0</v>
      </c>
      <c r="X203" s="19">
        <v>1.0</v>
      </c>
      <c r="Y203" s="19">
        <v>2.0</v>
      </c>
      <c r="Z203" s="19">
        <v>0.0</v>
      </c>
      <c r="AA203" s="19">
        <v>1.0</v>
      </c>
      <c r="AB203" s="13">
        <f t="shared" si="40"/>
        <v>39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1.0</v>
      </c>
      <c r="H204" s="19">
        <v>2.0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0.0</v>
      </c>
      <c r="Q204" s="19">
        <v>1.0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1.0</v>
      </c>
      <c r="X204" s="19">
        <v>1.0</v>
      </c>
      <c r="Y204" s="19">
        <v>0.0</v>
      </c>
      <c r="Z204" s="19">
        <v>0.0</v>
      </c>
      <c r="AA204" s="19">
        <v>0.0</v>
      </c>
      <c r="AB204" s="13">
        <f t="shared" si="40"/>
        <v>7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13.0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0.0</v>
      </c>
      <c r="L205" s="19">
        <v>14.0</v>
      </c>
      <c r="M205" s="19">
        <v>2.0</v>
      </c>
      <c r="N205" s="19">
        <v>1.0</v>
      </c>
      <c r="O205" s="19">
        <v>1.0</v>
      </c>
      <c r="P205" s="19">
        <v>0.0</v>
      </c>
      <c r="Q205" s="19">
        <v>0.0</v>
      </c>
      <c r="R205" s="19">
        <v>2.0</v>
      </c>
      <c r="S205" s="19">
        <v>0.0</v>
      </c>
      <c r="T205" s="19">
        <v>0.0</v>
      </c>
      <c r="U205" s="19">
        <v>0.0</v>
      </c>
      <c r="V205" s="19">
        <v>4.0</v>
      </c>
      <c r="W205" s="19">
        <v>7.0</v>
      </c>
      <c r="X205" s="19">
        <v>16.0</v>
      </c>
      <c r="Y205" s="19">
        <v>1.0</v>
      </c>
      <c r="Z205" s="19">
        <v>1.0</v>
      </c>
      <c r="AA205" s="19">
        <v>0.0</v>
      </c>
      <c r="AB205" s="13">
        <f t="shared" si="40"/>
        <v>63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2.0</v>
      </c>
      <c r="T206" s="19">
        <v>1.0</v>
      </c>
      <c r="U206" s="19">
        <v>0.0</v>
      </c>
      <c r="V206" s="19">
        <v>1.0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3">
        <f t="shared" si="40"/>
        <v>5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1.0</v>
      </c>
      <c r="F208" s="19">
        <v>0.0</v>
      </c>
      <c r="G208" s="19">
        <v>0.0</v>
      </c>
      <c r="H208" s="19">
        <v>1.0</v>
      </c>
      <c r="I208" s="19">
        <v>0.0</v>
      </c>
      <c r="J208" s="19">
        <v>0.0</v>
      </c>
      <c r="K208" s="19">
        <v>1.0</v>
      </c>
      <c r="L208" s="19">
        <v>0.0</v>
      </c>
      <c r="M208" s="19">
        <v>1.0</v>
      </c>
      <c r="N208" s="19">
        <v>0.0</v>
      </c>
      <c r="O208" s="19">
        <v>2.0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1.0</v>
      </c>
      <c r="X208" s="19">
        <v>0.0</v>
      </c>
      <c r="Y208" s="19">
        <v>1.0</v>
      </c>
      <c r="Z208" s="19">
        <v>0.0</v>
      </c>
      <c r="AA208" s="19">
        <v>0.0</v>
      </c>
      <c r="AB208" s="13">
        <f t="shared" si="40"/>
        <v>8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B211" si="41">SUM(E201:E210)</f>
        <v>24</v>
      </c>
      <c r="F211" s="13">
        <f t="shared" si="41"/>
        <v>11</v>
      </c>
      <c r="G211" s="13">
        <f t="shared" si="41"/>
        <v>23</v>
      </c>
      <c r="H211" s="13">
        <f t="shared" si="41"/>
        <v>12</v>
      </c>
      <c r="I211" s="13">
        <f t="shared" si="41"/>
        <v>15</v>
      </c>
      <c r="J211" s="13">
        <f t="shared" si="41"/>
        <v>13</v>
      </c>
      <c r="K211" s="13">
        <f t="shared" si="41"/>
        <v>11</v>
      </c>
      <c r="L211" s="13">
        <f t="shared" si="41"/>
        <v>26</v>
      </c>
      <c r="M211" s="13">
        <f t="shared" si="41"/>
        <v>18</v>
      </c>
      <c r="N211" s="13">
        <f t="shared" si="41"/>
        <v>10</v>
      </c>
      <c r="O211" s="13">
        <f t="shared" si="41"/>
        <v>9</v>
      </c>
      <c r="P211" s="13">
        <f t="shared" si="41"/>
        <v>10</v>
      </c>
      <c r="Q211" s="13">
        <f t="shared" si="41"/>
        <v>12</v>
      </c>
      <c r="R211" s="13">
        <f t="shared" si="41"/>
        <v>13</v>
      </c>
      <c r="S211" s="13">
        <f t="shared" si="41"/>
        <v>21</v>
      </c>
      <c r="T211" s="13">
        <f t="shared" si="41"/>
        <v>16</v>
      </c>
      <c r="U211" s="13">
        <f t="shared" si="41"/>
        <v>14</v>
      </c>
      <c r="V211" s="13">
        <f t="shared" si="41"/>
        <v>11</v>
      </c>
      <c r="W211" s="13">
        <f t="shared" si="41"/>
        <v>28</v>
      </c>
      <c r="X211" s="13">
        <f t="shared" si="41"/>
        <v>42</v>
      </c>
      <c r="Y211" s="13">
        <f t="shared" si="41"/>
        <v>10</v>
      </c>
      <c r="Z211" s="13">
        <f t="shared" si="41"/>
        <v>3</v>
      </c>
      <c r="AA211" s="13">
        <f t="shared" si="41"/>
        <v>4</v>
      </c>
      <c r="AB211" s="13">
        <f t="shared" si="41"/>
        <v>356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0.0</v>
      </c>
      <c r="G213" s="19">
        <v>1.0</v>
      </c>
      <c r="H213" s="19">
        <v>3.0</v>
      </c>
      <c r="I213" s="19">
        <v>2.0</v>
      </c>
      <c r="J213" s="19">
        <v>4.0</v>
      </c>
      <c r="K213" s="19">
        <v>3.0</v>
      </c>
      <c r="L213" s="19">
        <v>3.0</v>
      </c>
      <c r="M213" s="19">
        <v>1.0</v>
      </c>
      <c r="N213" s="19">
        <v>2.0</v>
      </c>
      <c r="O213" s="19">
        <v>0.0</v>
      </c>
      <c r="P213" s="19">
        <v>1.0</v>
      </c>
      <c r="Q213" s="19">
        <v>1.0</v>
      </c>
      <c r="R213" s="19">
        <v>7.0</v>
      </c>
      <c r="S213" s="19">
        <v>2.0</v>
      </c>
      <c r="T213" s="19">
        <v>3.0</v>
      </c>
      <c r="U213" s="19">
        <v>2.0</v>
      </c>
      <c r="V213" s="19">
        <v>0.0</v>
      </c>
      <c r="W213" s="19">
        <v>4.0</v>
      </c>
      <c r="X213" s="19">
        <v>1.0</v>
      </c>
      <c r="Y213" s="19">
        <v>0.0</v>
      </c>
      <c r="Z213" s="19">
        <v>0.0</v>
      </c>
      <c r="AA213" s="19">
        <v>0.0</v>
      </c>
      <c r="AB213" s="13">
        <f t="shared" ref="AB213:AB222" si="42">SUM(E213:AA213)</f>
        <v>43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4.0</v>
      </c>
      <c r="G214" s="19">
        <v>3.0</v>
      </c>
      <c r="H214" s="19">
        <v>1.0</v>
      </c>
      <c r="I214" s="19">
        <v>1.0</v>
      </c>
      <c r="J214" s="19">
        <v>2.0</v>
      </c>
      <c r="K214" s="19">
        <v>0.0</v>
      </c>
      <c r="L214" s="19">
        <v>0.0</v>
      </c>
      <c r="M214" s="19">
        <v>2.0</v>
      </c>
      <c r="N214" s="19">
        <v>1.0</v>
      </c>
      <c r="O214" s="19">
        <v>1.0</v>
      </c>
      <c r="P214" s="19">
        <v>1.0</v>
      </c>
      <c r="Q214" s="19">
        <v>2.0</v>
      </c>
      <c r="R214" s="19">
        <v>4.0</v>
      </c>
      <c r="S214" s="19">
        <v>4.0</v>
      </c>
      <c r="T214" s="19">
        <v>3.0</v>
      </c>
      <c r="U214" s="19">
        <v>0.0</v>
      </c>
      <c r="V214" s="19">
        <v>1.0</v>
      </c>
      <c r="W214" s="19">
        <v>0.0</v>
      </c>
      <c r="X214" s="19">
        <v>2.0</v>
      </c>
      <c r="Y214" s="19">
        <v>0.0</v>
      </c>
      <c r="Z214" s="19">
        <v>1.0</v>
      </c>
      <c r="AA214" s="19">
        <v>1.0</v>
      </c>
      <c r="AB214" s="13">
        <f t="shared" si="42"/>
        <v>35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3.0</v>
      </c>
      <c r="G215" s="19">
        <v>1.0</v>
      </c>
      <c r="H215" s="19">
        <v>7.0</v>
      </c>
      <c r="I215" s="19">
        <v>1.0</v>
      </c>
      <c r="J215" s="19">
        <v>0.0</v>
      </c>
      <c r="K215" s="19">
        <v>1.0</v>
      </c>
      <c r="L215" s="19">
        <v>6.0</v>
      </c>
      <c r="M215" s="19">
        <v>17.0</v>
      </c>
      <c r="N215" s="19">
        <v>9.0</v>
      </c>
      <c r="O215" s="19">
        <v>4.0</v>
      </c>
      <c r="P215" s="19">
        <v>6.0</v>
      </c>
      <c r="Q215" s="19">
        <v>6.0</v>
      </c>
      <c r="R215" s="19">
        <v>13.0</v>
      </c>
      <c r="S215" s="19">
        <v>2.0</v>
      </c>
      <c r="T215" s="19">
        <v>14.0</v>
      </c>
      <c r="U215" s="19">
        <v>2.0</v>
      </c>
      <c r="V215" s="19">
        <v>1.0</v>
      </c>
      <c r="W215" s="19">
        <v>0.0</v>
      </c>
      <c r="X215" s="19">
        <v>1.0</v>
      </c>
      <c r="Y215" s="19">
        <v>1.0</v>
      </c>
      <c r="Z215" s="19">
        <v>1.0</v>
      </c>
      <c r="AA215" s="19">
        <v>0.0</v>
      </c>
      <c r="AB215" s="13">
        <f t="shared" si="42"/>
        <v>96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1.0</v>
      </c>
      <c r="J216" s="19">
        <v>0.0</v>
      </c>
      <c r="K216" s="19">
        <v>1.0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0.0</v>
      </c>
      <c r="U216" s="19">
        <v>1.0</v>
      </c>
      <c r="V216" s="19">
        <v>1.0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3">
        <f t="shared" si="42"/>
        <v>7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1.0</v>
      </c>
      <c r="M217" s="19">
        <v>1.0</v>
      </c>
      <c r="N217" s="19">
        <v>0.0</v>
      </c>
      <c r="O217" s="19">
        <v>0.0</v>
      </c>
      <c r="P217" s="19">
        <v>0.0</v>
      </c>
      <c r="Q217" s="19">
        <v>1.0</v>
      </c>
      <c r="R217" s="19">
        <v>0.0</v>
      </c>
      <c r="S217" s="19">
        <v>1.0</v>
      </c>
      <c r="T217" s="19">
        <v>0.0</v>
      </c>
      <c r="U217" s="19">
        <v>1.0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3">
        <f t="shared" si="42"/>
        <v>6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1.0</v>
      </c>
      <c r="I218" s="19">
        <v>0.0</v>
      </c>
      <c r="J218" s="19">
        <v>1.0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1.0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1.0</v>
      </c>
      <c r="AB218" s="13">
        <f t="shared" si="42"/>
        <v>4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1.0</v>
      </c>
      <c r="F219" s="19">
        <v>0.0</v>
      </c>
      <c r="G219" s="19">
        <v>1.0</v>
      </c>
      <c r="H219" s="19">
        <v>0.0</v>
      </c>
      <c r="I219" s="19">
        <v>0.0</v>
      </c>
      <c r="J219" s="19">
        <v>0.0</v>
      </c>
      <c r="K219" s="19">
        <v>2.0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3">
        <f t="shared" si="42"/>
        <v>4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1.0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3">
        <f t="shared" si="42"/>
        <v>3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B223" si="43">SUM(E213:E222)</f>
        <v>5</v>
      </c>
      <c r="F223" s="13">
        <f t="shared" si="43"/>
        <v>7</v>
      </c>
      <c r="G223" s="13">
        <f t="shared" si="43"/>
        <v>8</v>
      </c>
      <c r="H223" s="13">
        <f t="shared" si="43"/>
        <v>12</v>
      </c>
      <c r="I223" s="13">
        <f t="shared" si="43"/>
        <v>6</v>
      </c>
      <c r="J223" s="13">
        <f t="shared" si="43"/>
        <v>7</v>
      </c>
      <c r="K223" s="13">
        <f t="shared" si="43"/>
        <v>8</v>
      </c>
      <c r="L223" s="13">
        <f t="shared" si="43"/>
        <v>10</v>
      </c>
      <c r="M223" s="13">
        <f t="shared" si="43"/>
        <v>22</v>
      </c>
      <c r="N223" s="13">
        <f t="shared" si="43"/>
        <v>13</v>
      </c>
      <c r="O223" s="13">
        <f t="shared" si="43"/>
        <v>5</v>
      </c>
      <c r="P223" s="13">
        <f t="shared" si="43"/>
        <v>8</v>
      </c>
      <c r="Q223" s="13">
        <f t="shared" si="43"/>
        <v>10</v>
      </c>
      <c r="R223" s="13">
        <f t="shared" si="43"/>
        <v>24</v>
      </c>
      <c r="S223" s="13">
        <f t="shared" si="43"/>
        <v>10</v>
      </c>
      <c r="T223" s="13">
        <f t="shared" si="43"/>
        <v>20</v>
      </c>
      <c r="U223" s="13">
        <f t="shared" si="43"/>
        <v>7</v>
      </c>
      <c r="V223" s="13">
        <f t="shared" si="43"/>
        <v>3</v>
      </c>
      <c r="W223" s="13">
        <f t="shared" si="43"/>
        <v>4</v>
      </c>
      <c r="X223" s="13">
        <f t="shared" si="43"/>
        <v>4</v>
      </c>
      <c r="Y223" s="13">
        <f t="shared" si="43"/>
        <v>1</v>
      </c>
      <c r="Z223" s="13">
        <f t="shared" si="43"/>
        <v>2</v>
      </c>
      <c r="AA223" s="13">
        <f t="shared" si="43"/>
        <v>2</v>
      </c>
      <c r="AB223" s="13">
        <f t="shared" si="43"/>
        <v>198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1.0</v>
      </c>
      <c r="H225" s="19">
        <v>1.0</v>
      </c>
      <c r="I225" s="19">
        <v>0.0</v>
      </c>
      <c r="J225" s="19">
        <v>0.0</v>
      </c>
      <c r="K225" s="19">
        <v>0.0</v>
      </c>
      <c r="L225" s="19">
        <v>2.0</v>
      </c>
      <c r="M225" s="19">
        <v>1.0</v>
      </c>
      <c r="N225" s="19">
        <v>0.0</v>
      </c>
      <c r="O225" s="19">
        <v>0.0</v>
      </c>
      <c r="P225" s="19">
        <v>1.0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3">
        <f t="shared" ref="AB225:AB234" si="44">SUM(E225:AA225)</f>
        <v>7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7.0</v>
      </c>
      <c r="F226" s="19">
        <v>2.0</v>
      </c>
      <c r="G226" s="19">
        <v>0.0</v>
      </c>
      <c r="H226" s="19">
        <v>0.0</v>
      </c>
      <c r="I226" s="19">
        <v>1.0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1.0</v>
      </c>
      <c r="R226" s="19">
        <v>1.0</v>
      </c>
      <c r="S226" s="19">
        <v>1.0</v>
      </c>
      <c r="T226" s="19">
        <v>1.0</v>
      </c>
      <c r="U226" s="19">
        <v>6.0</v>
      </c>
      <c r="V226" s="19">
        <v>6.0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3">
        <f t="shared" si="44"/>
        <v>27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1.0</v>
      </c>
      <c r="Y228" s="19">
        <v>0.0</v>
      </c>
      <c r="Z228" s="19">
        <v>0.0</v>
      </c>
      <c r="AA228" s="19">
        <v>0.0</v>
      </c>
      <c r="AB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1.0</v>
      </c>
      <c r="G232" s="19">
        <v>0.0</v>
      </c>
      <c r="H232" s="19">
        <v>2.0</v>
      </c>
      <c r="I232" s="19">
        <v>1.0</v>
      </c>
      <c r="J232" s="19">
        <v>1.0</v>
      </c>
      <c r="K232" s="19">
        <v>3.0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1.0</v>
      </c>
      <c r="X232" s="19">
        <v>0.0</v>
      </c>
      <c r="Y232" s="19">
        <v>0.0</v>
      </c>
      <c r="Z232" s="19">
        <v>0.0</v>
      </c>
      <c r="AA232" s="19">
        <v>0.0</v>
      </c>
      <c r="AB232" s="13">
        <f t="shared" si="44"/>
        <v>9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B235" si="45">SUM(E225:E234)</f>
        <v>8</v>
      </c>
      <c r="F235" s="13">
        <f t="shared" si="45"/>
        <v>3</v>
      </c>
      <c r="G235" s="13">
        <f t="shared" si="45"/>
        <v>1</v>
      </c>
      <c r="H235" s="13">
        <f t="shared" si="45"/>
        <v>3</v>
      </c>
      <c r="I235" s="13">
        <f t="shared" si="45"/>
        <v>2</v>
      </c>
      <c r="J235" s="13">
        <f t="shared" si="45"/>
        <v>1</v>
      </c>
      <c r="K235" s="13">
        <f t="shared" si="45"/>
        <v>4</v>
      </c>
      <c r="L235" s="13">
        <f t="shared" si="45"/>
        <v>2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1</v>
      </c>
      <c r="R235" s="13">
        <f t="shared" si="45"/>
        <v>1</v>
      </c>
      <c r="S235" s="13">
        <f t="shared" si="45"/>
        <v>1</v>
      </c>
      <c r="T235" s="13">
        <f t="shared" si="45"/>
        <v>1</v>
      </c>
      <c r="U235" s="13">
        <f t="shared" si="45"/>
        <v>6</v>
      </c>
      <c r="V235" s="13">
        <f t="shared" si="45"/>
        <v>6</v>
      </c>
      <c r="W235" s="13">
        <f t="shared" si="45"/>
        <v>1</v>
      </c>
      <c r="X235" s="13">
        <f t="shared" si="45"/>
        <v>1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44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2.0</v>
      </c>
      <c r="G237" s="19">
        <v>1.0</v>
      </c>
      <c r="H237" s="19">
        <v>0.0</v>
      </c>
      <c r="I237" s="19">
        <v>0.0</v>
      </c>
      <c r="J237" s="19">
        <v>0.0</v>
      </c>
      <c r="K237" s="19">
        <v>1.0</v>
      </c>
      <c r="L237" s="19">
        <v>0.0</v>
      </c>
      <c r="M237" s="19">
        <v>1.0</v>
      </c>
      <c r="N237" s="19">
        <v>0.0</v>
      </c>
      <c r="O237" s="19">
        <v>0.0</v>
      </c>
      <c r="P237" s="19">
        <v>1.0</v>
      </c>
      <c r="Q237" s="19">
        <v>1.0</v>
      </c>
      <c r="R237" s="19">
        <v>3.0</v>
      </c>
      <c r="S237" s="19">
        <v>0.0</v>
      </c>
      <c r="T237" s="19">
        <v>1.0</v>
      </c>
      <c r="U237" s="19">
        <v>3.0</v>
      </c>
      <c r="V237" s="19">
        <v>0.0</v>
      </c>
      <c r="W237" s="19">
        <v>0.0</v>
      </c>
      <c r="X237" s="19">
        <v>0.0</v>
      </c>
      <c r="Y237" s="19">
        <v>2.0</v>
      </c>
      <c r="Z237" s="19">
        <v>0.0</v>
      </c>
      <c r="AA237" s="19">
        <v>0.0</v>
      </c>
      <c r="AB237" s="13">
        <f t="shared" ref="AB237:AB246" si="46">SUM(E237:AA237)</f>
        <v>16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2.0</v>
      </c>
      <c r="G238" s="19">
        <v>2.0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3.0</v>
      </c>
      <c r="V238" s="19">
        <v>0.0</v>
      </c>
      <c r="W238" s="19">
        <v>0.0</v>
      </c>
      <c r="X238" s="19">
        <v>3.0</v>
      </c>
      <c r="Y238" s="19">
        <v>4.0</v>
      </c>
      <c r="Z238" s="19">
        <v>0.0</v>
      </c>
      <c r="AA238" s="19">
        <v>0.0</v>
      </c>
      <c r="AB238" s="13">
        <f t="shared" si="46"/>
        <v>15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1.0</v>
      </c>
      <c r="I239" s="19">
        <v>0.0</v>
      </c>
      <c r="J239" s="19">
        <v>0.0</v>
      </c>
      <c r="K239" s="19">
        <v>1.0</v>
      </c>
      <c r="L239" s="19">
        <v>0.0</v>
      </c>
      <c r="M239" s="19">
        <v>0.0</v>
      </c>
      <c r="N239" s="19">
        <v>1.0</v>
      </c>
      <c r="O239" s="19">
        <v>0.0</v>
      </c>
      <c r="P239" s="19">
        <v>1.0</v>
      </c>
      <c r="Q239" s="19">
        <v>1.0</v>
      </c>
      <c r="R239" s="19">
        <v>0.0</v>
      </c>
      <c r="S239" s="19">
        <v>0.0</v>
      </c>
      <c r="T239" s="19">
        <v>2.0</v>
      </c>
      <c r="U239" s="19">
        <v>0.0</v>
      </c>
      <c r="V239" s="19">
        <v>0.0</v>
      </c>
      <c r="W239" s="19">
        <v>1.0</v>
      </c>
      <c r="X239" s="19">
        <v>2.0</v>
      </c>
      <c r="Y239" s="19">
        <v>0.0</v>
      </c>
      <c r="Z239" s="19">
        <v>0.0</v>
      </c>
      <c r="AA239" s="19">
        <v>0.0</v>
      </c>
      <c r="AB239" s="13">
        <f t="shared" si="46"/>
        <v>10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1.0</v>
      </c>
      <c r="S240" s="19">
        <v>0.0</v>
      </c>
      <c r="T240" s="19">
        <v>0.0</v>
      </c>
      <c r="U240" s="19">
        <v>1.0</v>
      </c>
      <c r="V240" s="19">
        <v>0.0</v>
      </c>
      <c r="W240" s="19">
        <v>0.0</v>
      </c>
      <c r="X240" s="19">
        <v>1.0</v>
      </c>
      <c r="Y240" s="19">
        <v>0.0</v>
      </c>
      <c r="Z240" s="19">
        <v>0.0</v>
      </c>
      <c r="AA240" s="19">
        <v>0.0</v>
      </c>
      <c r="AB240" s="13">
        <f t="shared" si="46"/>
        <v>4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2.0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1.0</v>
      </c>
      <c r="U241" s="19">
        <v>1.0</v>
      </c>
      <c r="V241" s="19">
        <v>0.0</v>
      </c>
      <c r="W241" s="19">
        <v>0.0</v>
      </c>
      <c r="X241" s="19">
        <v>1.0</v>
      </c>
      <c r="Y241" s="19">
        <v>0.0</v>
      </c>
      <c r="Z241" s="19">
        <v>0.0</v>
      </c>
      <c r="AA241" s="19">
        <v>0.0</v>
      </c>
      <c r="AB241" s="13">
        <f t="shared" si="46"/>
        <v>5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1.0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2.0</v>
      </c>
      <c r="F244" s="19">
        <v>0.0</v>
      </c>
      <c r="G244" s="19">
        <v>1.0</v>
      </c>
      <c r="H244" s="19">
        <v>0.0</v>
      </c>
      <c r="I244" s="19">
        <v>1.0</v>
      </c>
      <c r="J244" s="19">
        <v>0.0</v>
      </c>
      <c r="K244" s="19">
        <v>0.0</v>
      </c>
      <c r="L244" s="19">
        <v>2.0</v>
      </c>
      <c r="M244" s="19">
        <v>1.0</v>
      </c>
      <c r="N244" s="19">
        <v>2.0</v>
      </c>
      <c r="O244" s="19">
        <v>2.0</v>
      </c>
      <c r="P244" s="19">
        <v>2.0</v>
      </c>
      <c r="Q244" s="19">
        <v>2.0</v>
      </c>
      <c r="R244" s="19">
        <v>11.0</v>
      </c>
      <c r="S244" s="19">
        <v>1.0</v>
      </c>
      <c r="T244" s="19">
        <v>2.0</v>
      </c>
      <c r="U244" s="19">
        <v>0.0</v>
      </c>
      <c r="V244" s="19">
        <v>3.0</v>
      </c>
      <c r="W244" s="19">
        <v>1.0</v>
      </c>
      <c r="X244" s="19">
        <v>1.0</v>
      </c>
      <c r="Y244" s="19">
        <v>0.0</v>
      </c>
      <c r="Z244" s="19">
        <v>4.0</v>
      </c>
      <c r="AA244" s="19">
        <v>1.0</v>
      </c>
      <c r="AB244" s="13">
        <f t="shared" si="46"/>
        <v>39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B247" si="47">SUM(E237:E246)</f>
        <v>2</v>
      </c>
      <c r="F247" s="13">
        <f t="shared" si="47"/>
        <v>4</v>
      </c>
      <c r="G247" s="13">
        <f t="shared" si="47"/>
        <v>6</v>
      </c>
      <c r="H247" s="13">
        <f t="shared" si="47"/>
        <v>2</v>
      </c>
      <c r="I247" s="13">
        <f t="shared" si="47"/>
        <v>1</v>
      </c>
      <c r="J247" s="13">
        <f t="shared" si="47"/>
        <v>0</v>
      </c>
      <c r="K247" s="13">
        <f t="shared" si="47"/>
        <v>3</v>
      </c>
      <c r="L247" s="13">
        <f t="shared" si="47"/>
        <v>2</v>
      </c>
      <c r="M247" s="13">
        <f t="shared" si="47"/>
        <v>2</v>
      </c>
      <c r="N247" s="13">
        <f t="shared" si="47"/>
        <v>3</v>
      </c>
      <c r="O247" s="13">
        <f t="shared" si="47"/>
        <v>2</v>
      </c>
      <c r="P247" s="13">
        <f t="shared" si="47"/>
        <v>4</v>
      </c>
      <c r="Q247" s="13">
        <f t="shared" si="47"/>
        <v>4</v>
      </c>
      <c r="R247" s="13">
        <f t="shared" si="47"/>
        <v>15</v>
      </c>
      <c r="S247" s="13">
        <f t="shared" si="47"/>
        <v>1</v>
      </c>
      <c r="T247" s="13">
        <f t="shared" si="47"/>
        <v>6</v>
      </c>
      <c r="U247" s="13">
        <f t="shared" si="47"/>
        <v>8</v>
      </c>
      <c r="V247" s="13">
        <f t="shared" si="47"/>
        <v>4</v>
      </c>
      <c r="W247" s="13">
        <f t="shared" si="47"/>
        <v>2</v>
      </c>
      <c r="X247" s="13">
        <f t="shared" si="47"/>
        <v>8</v>
      </c>
      <c r="Y247" s="13">
        <f t="shared" si="47"/>
        <v>6</v>
      </c>
      <c r="Z247" s="13">
        <f t="shared" si="47"/>
        <v>4</v>
      </c>
      <c r="AA247" s="13">
        <f t="shared" si="47"/>
        <v>1</v>
      </c>
      <c r="AB247" s="13">
        <f t="shared" si="47"/>
        <v>90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/>
      <c r="F249" s="19">
        <v>1.0</v>
      </c>
      <c r="G249" s="19">
        <v>0.0</v>
      </c>
      <c r="H249" s="19">
        <v>1.0</v>
      </c>
      <c r="I249" s="19">
        <v>0.0</v>
      </c>
      <c r="J249" s="19">
        <v>2.0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2.0</v>
      </c>
      <c r="Y249" s="19">
        <v>0.0</v>
      </c>
      <c r="Z249" s="19">
        <v>0.0</v>
      </c>
      <c r="AA249" s="19">
        <v>0.0</v>
      </c>
      <c r="AB249" s="13">
        <f t="shared" ref="AB249:AB258" si="48">SUM(E249:AA249)</f>
        <v>6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4.0</v>
      </c>
      <c r="F250" s="19">
        <v>0.0</v>
      </c>
      <c r="G250" s="19">
        <v>1.0</v>
      </c>
      <c r="H250" s="19">
        <v>1.0</v>
      </c>
      <c r="I250" s="19">
        <v>1.0</v>
      </c>
      <c r="J250" s="19">
        <v>4.0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3">
        <f t="shared" si="48"/>
        <v>12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1.0</v>
      </c>
      <c r="H251" s="19">
        <v>1.0</v>
      </c>
      <c r="I251" s="19">
        <v>0.0</v>
      </c>
      <c r="J251" s="19">
        <v>1.0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1.0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3">
        <f t="shared" si="48"/>
        <v>4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3">
        <f t="shared" si="48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1.0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3">
        <f t="shared" si="48"/>
        <v>1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3.0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3">
        <f t="shared" si="48"/>
        <v>4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1.0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3">
        <f t="shared" si="48"/>
        <v>1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3">
        <f t="shared" si="48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3">
        <f t="shared" si="48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B259" si="49">SUM(E249:E258)</f>
        <v>5</v>
      </c>
      <c r="F259" s="13">
        <f t="shared" si="49"/>
        <v>1</v>
      </c>
      <c r="G259" s="13">
        <f t="shared" si="49"/>
        <v>2</v>
      </c>
      <c r="H259" s="13">
        <f t="shared" si="49"/>
        <v>3</v>
      </c>
      <c r="I259" s="13">
        <f t="shared" si="49"/>
        <v>1</v>
      </c>
      <c r="J259" s="13">
        <f t="shared" si="49"/>
        <v>11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2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28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13"/>
      <c r="S261" s="13"/>
      <c r="T261" s="13"/>
      <c r="U261" s="13"/>
      <c r="V261" s="13"/>
      <c r="W261" s="13"/>
      <c r="X261" s="13"/>
      <c r="Y261" s="13"/>
      <c r="Z261" s="77"/>
      <c r="AA261" s="77"/>
      <c r="AB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A262" si="50">E55+E67+E79+E91+E103+E115+E127+E139+E151+E163+E175+E187+E199+E211+E223+E235+E247+E259</f>
        <v>199</v>
      </c>
      <c r="F262" s="19">
        <f t="shared" si="50"/>
        <v>193</v>
      </c>
      <c r="G262" s="19">
        <f t="shared" si="50"/>
        <v>204</v>
      </c>
      <c r="H262" s="19">
        <f t="shared" si="50"/>
        <v>168</v>
      </c>
      <c r="I262" s="19">
        <f t="shared" si="50"/>
        <v>177</v>
      </c>
      <c r="J262" s="19">
        <f t="shared" si="50"/>
        <v>170</v>
      </c>
      <c r="K262" s="19">
        <f t="shared" si="50"/>
        <v>177</v>
      </c>
      <c r="L262" s="19">
        <f t="shared" si="50"/>
        <v>189</v>
      </c>
      <c r="M262" s="19">
        <f t="shared" si="50"/>
        <v>193</v>
      </c>
      <c r="N262" s="19">
        <f t="shared" si="50"/>
        <v>193</v>
      </c>
      <c r="O262" s="19">
        <f t="shared" si="50"/>
        <v>164</v>
      </c>
      <c r="P262" s="19">
        <f t="shared" si="50"/>
        <v>163</v>
      </c>
      <c r="Q262" s="19">
        <f t="shared" si="50"/>
        <v>168</v>
      </c>
      <c r="R262" s="19">
        <f t="shared" si="50"/>
        <v>191</v>
      </c>
      <c r="S262" s="19">
        <f t="shared" si="50"/>
        <v>167</v>
      </c>
      <c r="T262" s="19">
        <f t="shared" si="50"/>
        <v>186</v>
      </c>
      <c r="U262" s="19">
        <f t="shared" si="50"/>
        <v>214</v>
      </c>
      <c r="V262" s="19">
        <f t="shared" si="50"/>
        <v>152</v>
      </c>
      <c r="W262" s="19">
        <f t="shared" si="50"/>
        <v>204</v>
      </c>
      <c r="X262" s="19">
        <f t="shared" si="50"/>
        <v>215</v>
      </c>
      <c r="Y262" s="19">
        <f t="shared" si="50"/>
        <v>204</v>
      </c>
      <c r="Z262" s="19">
        <f t="shared" si="50"/>
        <v>186</v>
      </c>
      <c r="AA262" s="19">
        <f t="shared" si="50"/>
        <v>170</v>
      </c>
      <c r="AB262" s="13">
        <f t="shared" ref="AB262:AB264" si="51">SUM(E262:AA262)</f>
        <v>4247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13.0</v>
      </c>
      <c r="F263" s="19">
        <v>16.0</v>
      </c>
      <c r="G263" s="19">
        <v>17.0</v>
      </c>
      <c r="H263" s="19">
        <v>20.0</v>
      </c>
      <c r="I263" s="19">
        <v>22.0</v>
      </c>
      <c r="J263" s="19">
        <v>32.0</v>
      </c>
      <c r="K263" s="19">
        <v>20.0</v>
      </c>
      <c r="L263" s="19">
        <v>20.0</v>
      </c>
      <c r="M263" s="19">
        <v>23.0</v>
      </c>
      <c r="N263" s="19">
        <v>18.0</v>
      </c>
      <c r="O263" s="19">
        <v>29.0</v>
      </c>
      <c r="P263" s="19">
        <v>31.0</v>
      </c>
      <c r="Q263" s="19">
        <v>29.0</v>
      </c>
      <c r="R263" s="19">
        <v>19.0</v>
      </c>
      <c r="S263" s="19">
        <v>20.0</v>
      </c>
      <c r="T263" s="19">
        <v>32.0</v>
      </c>
      <c r="U263" s="19">
        <v>22.0</v>
      </c>
      <c r="V263" s="19">
        <v>36.0</v>
      </c>
      <c r="W263" s="19">
        <v>26.0</v>
      </c>
      <c r="X263" s="19">
        <v>19.0</v>
      </c>
      <c r="Y263" s="19">
        <v>14.0</v>
      </c>
      <c r="Z263" s="19">
        <v>11.0</v>
      </c>
      <c r="AA263" s="19">
        <v>32.0</v>
      </c>
      <c r="AB263" s="13">
        <f t="shared" si="51"/>
        <v>521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A264" si="52">SUM(E262:E263)</f>
        <v>212</v>
      </c>
      <c r="F264" s="13">
        <f t="shared" si="52"/>
        <v>209</v>
      </c>
      <c r="G264" s="13">
        <f t="shared" si="52"/>
        <v>221</v>
      </c>
      <c r="H264" s="13">
        <f t="shared" si="52"/>
        <v>188</v>
      </c>
      <c r="I264" s="13">
        <f t="shared" si="52"/>
        <v>199</v>
      </c>
      <c r="J264" s="13">
        <f t="shared" si="52"/>
        <v>202</v>
      </c>
      <c r="K264" s="13">
        <f t="shared" si="52"/>
        <v>197</v>
      </c>
      <c r="L264" s="13">
        <f t="shared" si="52"/>
        <v>209</v>
      </c>
      <c r="M264" s="13">
        <f t="shared" si="52"/>
        <v>216</v>
      </c>
      <c r="N264" s="13">
        <f t="shared" si="52"/>
        <v>211</v>
      </c>
      <c r="O264" s="13">
        <f t="shared" si="52"/>
        <v>193</v>
      </c>
      <c r="P264" s="13">
        <f t="shared" si="52"/>
        <v>194</v>
      </c>
      <c r="Q264" s="13">
        <f t="shared" si="52"/>
        <v>197</v>
      </c>
      <c r="R264" s="13">
        <f t="shared" si="52"/>
        <v>210</v>
      </c>
      <c r="S264" s="13">
        <f t="shared" si="52"/>
        <v>187</v>
      </c>
      <c r="T264" s="13">
        <f t="shared" si="52"/>
        <v>218</v>
      </c>
      <c r="U264" s="13">
        <f t="shared" si="52"/>
        <v>236</v>
      </c>
      <c r="V264" s="13">
        <f t="shared" si="52"/>
        <v>188</v>
      </c>
      <c r="W264" s="13">
        <f t="shared" si="52"/>
        <v>230</v>
      </c>
      <c r="X264" s="13">
        <f t="shared" si="52"/>
        <v>234</v>
      </c>
      <c r="Y264" s="13">
        <f t="shared" si="52"/>
        <v>218</v>
      </c>
      <c r="Z264" s="13">
        <f t="shared" si="52"/>
        <v>197</v>
      </c>
      <c r="AA264" s="13">
        <f t="shared" si="52"/>
        <v>202</v>
      </c>
      <c r="AB264" s="13">
        <f t="shared" si="51"/>
        <v>4768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U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