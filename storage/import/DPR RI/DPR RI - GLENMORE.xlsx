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UMIHARJO" sheetId="2" r:id="rId5"/>
    <sheet state="visible" name="KARANGHARJO" sheetId="3" r:id="rId6"/>
    <sheet state="visible" name="MARGOMULYO" sheetId="4" r:id="rId7"/>
    <sheet state="visible" name="SEPANJANG" sheetId="5" r:id="rId8"/>
    <sheet state="visible" name="SUMBERGONDO" sheetId="6" r:id="rId9"/>
    <sheet state="visible" name="TEGALHARJO" sheetId="7" r:id="rId10"/>
    <sheet state="visible" name="TULUNGREJO" sheetId="8" r:id="rId11"/>
  </sheets>
  <definedNames/>
  <calcPr/>
  <extLst>
    <ext uri="GoogleSheetsCustomDataVersion2">
      <go:sheetsCustomData xmlns:go="http://customooxmlschemas.google.com/" r:id="rId12" roundtripDataChecksum="vtG88xGe7VZAGkTto/ZEqY5lPgyxDuAN9EVZLayaXuk="/>
    </ext>
  </extLst>
</workbook>
</file>

<file path=xl/sharedStrings.xml><?xml version="1.0" encoding="utf-8"?>
<sst xmlns="http://schemas.openxmlformats.org/spreadsheetml/2006/main" count="2550" uniqueCount="265">
  <si>
    <t>Kecamatan</t>
  </si>
  <si>
    <t>GLENMORE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</si>
  <si>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</si>
  <si>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</si>
  <si>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</si>
  <si>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</si>
  <si>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</si>
  <si>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</si>
  <si>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</si>
  <si>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</si>
  <si>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</si>
  <si>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</si>
  <si>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</si>
  <si>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</si>
  <si>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</si>
  <si>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</si>
  <si>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</si>
  <si>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</si>
  <si>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</si>
  <si>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</si>
  <si>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</si>
  <si>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</si>
  <si>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</si>
  <si>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</si>
  <si>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</si>
  <si>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</si>
  <si>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</si>
  <si>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</si>
  <si>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</si>
  <si>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</si>
  <si>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</si>
  <si>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</si>
  <si>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</si>
  <si>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</si>
  <si>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</si>
  <si>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</si>
  <si>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</si>
  <si>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</si>
  <si>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</si>
  <si>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</si>
  <si>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</si>
  <si>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</si>
  <si>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</si>
  <si>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</si>
  <si>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</si>
  <si>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</si>
  <si>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</si>
  <si>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</si>
  <si>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</si>
  <si>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</si>
  <si>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</si>
  <si>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</si>
  <si>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</si>
  <si>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</si>
  <si>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</si>
  <si>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</si>
  <si>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</si>
  <si>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</si>
  <si>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</si>
  <si>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</si>
  <si>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</si>
  <si>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</si>
  <si>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</si>
  <si>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</si>
  <si>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</si>
  <si>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</si>
  <si>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</si>
  <si>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</si>
  <si>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</si>
  <si>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</si>
  <si>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</si>
  <si>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</si>
  <si>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</si>
  <si>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</si>
  <si>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</si>
  <si>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</si>
  <si>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</si>
  <si>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</si>
  <si>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</si>
  <si>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</si>
  <si>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</si>
  <si>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</si>
  <si>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</si>
  <si>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</si>
  <si>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</si>
  <si>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</si>
  <si>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</si>
  <si>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</si>
  <si>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</si>
  <si>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</si>
  <si>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</si>
  <si>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</si>
  <si>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</si>
  <si>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</si>
  <si>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</si>
  <si>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</si>
  <si>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</si>
  <si>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</si>
  <si>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</si>
  <si>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</si>
  <si>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</si>
  <si>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</si>
  <si>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</si>
  <si>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</si>
  <si>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</si>
  <si>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</si>
  <si>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</si>
  <si>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</si>
  <si>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</si>
  <si>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</si>
  <si>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</si>
  <si>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</si>
  <si>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</si>
  <si>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</si>
  <si>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</si>
  <si>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</si>
  <si>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</si>
  <si>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</si>
  <si>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</si>
  <si>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</si>
  <si>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</si>
  <si>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</si>
  <si>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</si>
  <si>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</si>
  <si>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</si>
  <si>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</si>
  <si>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</si>
  <si>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</si>
  <si>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</si>
  <si>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</si>
  <si>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</si>
  <si>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</si>
  <si>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</si>
  <si>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</si>
  <si>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</si>
  <si>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</si>
  <si>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</si>
  <si>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</si>
  <si>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</si>
  <si>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</si>
  <si>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</si>
  <si>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</si>
  <si>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</si>
  <si>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</si>
  <si>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</si>
  <si>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</si>
  <si>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</si>
  <si>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</si>
  <si>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</si>
  <si>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</si>
  <si>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</si>
  <si>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</si>
  <si>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</si>
  <si>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</si>
  <si>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</si>
  <si>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</si>
  <si>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</si>
  <si>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</si>
  <si>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</si>
  <si>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</si>
  <si>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</si>
  <si>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</si>
  <si>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</si>
  <si>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</si>
  <si>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</si>
  <si>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</si>
  <si>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</si>
  <si>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</si>
  <si>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</si>
  <si>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</si>
  <si>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</si>
  <si>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</si>
  <si>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</si>
  <si>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</si>
  <si>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</si>
  <si>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</si>
  <si>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</si>
  <si>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</si>
  <si>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</si>
  <si>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</si>
  <si>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</si>
  <si>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</si>
  <si>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</si>
  <si>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</si>
  <si>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</si>
  <si>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</si>
  <si>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</si>
  <si>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</si>
  <si>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</si>
  <si>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</si>
  <si>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</si>
  <si>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</si>
  <si>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</si>
  <si>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</si>
  <si>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</si>
  <si>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</si>
  <si>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</si>
  <si>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</si>
  <si>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</si>
  <si>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BUMIHARJO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</si>
  <si>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</si>
  <si>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</si>
  <si>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</si>
  <si>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</si>
  <si>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</si>
  <si>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</si>
  <si>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</si>
  <si>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</si>
  <si>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</si>
  <si>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</si>
  <si>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</si>
  <si>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</si>
  <si>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</si>
  <si>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</si>
  <si>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</si>
  <si>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</si>
  <si>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</si>
  <si>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</si>
  <si>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</si>
  <si>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</si>
  <si>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</si>
  <si>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</si>
  <si>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</si>
  <si>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</si>
  <si>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</si>
  <si>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</si>
  <si>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KARANGHARJO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</si>
  <si>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</si>
  <si>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</si>
  <si>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</si>
  <si>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</si>
  <si>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</si>
  <si>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</si>
  <si>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</si>
  <si>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</si>
  <si>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</si>
  <si>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</si>
  <si>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</si>
  <si>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</si>
  <si>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</si>
  <si>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</si>
  <si>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</si>
  <si>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</si>
  <si>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</si>
  <si>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</si>
  <si>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</si>
  <si>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</si>
  <si>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</si>
  <si>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</si>
  <si>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</si>
  <si>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</si>
  <si>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</si>
  <si>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</si>
  <si>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</si>
  <si>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</si>
  <si>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</si>
  <si>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</si>
  <si>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</si>
  <si>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</si>
  <si>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MARGOMULYO</t>
  </si>
  <si>
    <t>SEPANJANG</t>
  </si>
  <si>
    <t>SUMBERGONDO</t>
  </si>
  <si>
    <t>TEGALHARJO</t>
  </si>
  <si>
    <t>TULUNGREJO</t>
  </si>
  <si>
    <t>TPS 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</si>
</sst>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BUMIHARJO!AE14+KARANGHARJO!BK14+MARGOMULYO!S14+SEPANJANG!AJ14+SUMBERGONDO!AB14+TEGALHARJO!AP14+TULUNGREJO!BL14</f>
        <v>29418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BUMIHARJO!AE15+KARANGHARJO!BK15+MARGOMULYO!S15+SEPANJANG!AJ15+SUMBERGONDO!AB15+TEGALHARJO!AP15+TULUNGREJO!BL15</f>
        <v>30287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59705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BUMIHARJO!AE19+KARANGHARJO!BK19+MARGOMULYO!S19+SEPANJANG!AJ19+SUMBERGONDO!AB19+TEGALHARJO!AP19+TULUNGREJO!BL19</f>
        <v>21595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BUMIHARJO!AE20+KARANGHARJO!BK20+MARGOMULYO!S20+SEPANJANG!AJ20+SUMBERGONDO!AB20+TEGALHARJO!AP20+TULUNGREJO!BL20</f>
        <v>23895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45490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BUMIHARJO!AE22+KARANGHARJO!BK22+MARGOMULYO!S22+SEPANJANG!AJ22+SUMBERGONDO!AB22+TEGALHARJO!AP22+TULUNGREJO!BL22</f>
        <v>77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BUMIHARJO!AE23+KARANGHARJO!BK23+MARGOMULYO!S23+SEPANJANG!AJ23+SUMBERGONDO!AB23+TEGALHARJO!AP23+TULUNGREJO!BL23</f>
        <v>56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133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BUMIHARJO!AE25+KARANGHARJO!BK25+MARGOMULYO!S25+SEPANJANG!AJ25+SUMBERGONDO!AB25+TEGALHARJO!AP25+TULUNGREJO!BL25</f>
        <v>144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BUMIHARJO!AE26+KARANGHARJO!BK26+MARGOMULYO!S26+SEPANJANG!AJ26+SUMBERGONDO!AB26+TEGALHARJO!AP26+TULUNGREJO!BL26</f>
        <v>198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342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21816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24149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45965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BUMIHARJO!AE33+KARANGHARJO!BK33+MARGOMULYO!S33+SEPANJANG!AJ33+SUMBERGONDO!AB33+TEGALHARJO!AP33+TULUNGREJO!BL33</f>
        <v>61018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BUMIHARJO!AE34+KARANGHARJO!BK34+MARGOMULYO!S34+SEPANJANG!AJ34+SUMBERGONDO!AB34+TEGALHARJO!AP34+TULUNGREJO!BL34</f>
        <v>45965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BUMIHARJO!AE35+KARANGHARJO!BK35+MARGOMULYO!S35+SEPANJANG!AJ35+SUMBERGONDO!AB35+TEGALHARJO!AP35+TULUNGREJO!BL35</f>
        <v>106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14947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BUMIHARJO!AE39+KARANGHARJO!BK39+MARGOMULYO!S39+SEPANJANG!AJ39+SUMBERGONDO!AB39+TEGALHARJO!AP39+TULUNGREJO!BL39</f>
        <v>39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BUMIHARJO!AE40+KARANGHARJO!BK40+MARGOMULYO!S40+SEPANJANG!AJ40+SUMBERGONDO!AB40+TEGALHARJO!AP40+TULUNGREJO!BL40</f>
        <v>66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105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BUMIHARJO!AE45+KARANGHARJO!BK45+MARGOMULYO!S45+SEPANJANG!AJ45+SUMBERGONDO!AB45+TEGALHARJO!AP45+TULUNGREJO!BL45</f>
        <v>1192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BUMIHARJO!AE46+KARANGHARJO!BK46+MARGOMULYO!S46+SEPANJANG!AJ46+SUMBERGONDO!AB46+TEGALHARJO!AP46+TULUNGREJO!BL46</f>
        <v>3037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BUMIHARJO!AE47+KARANGHARJO!BK47+MARGOMULYO!S47+SEPANJANG!AJ47+SUMBERGONDO!AB47+TEGALHARJO!AP47+TULUNGREJO!BL47</f>
        <v>1360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BUMIHARJO!AE48+KARANGHARJO!BK48+MARGOMULYO!S48+SEPANJANG!AJ48+SUMBERGONDO!AB48+TEGALHARJO!AP48+TULUNGREJO!BL48</f>
        <v>299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BUMIHARJO!AE49+KARANGHARJO!BK49+MARGOMULYO!S49+SEPANJANG!AJ49+SUMBERGONDO!AB49+TEGALHARJO!AP49+TULUNGREJO!BL49</f>
        <v>153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BUMIHARJO!AE50+KARANGHARJO!BK50+MARGOMULYO!S50+SEPANJANG!AJ50+SUMBERGONDO!AB50+TEGALHARJO!AP50+TULUNGREJO!BL50</f>
        <v>87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BUMIHARJO!AE51+KARANGHARJO!BK51+MARGOMULYO!S51+SEPANJANG!AJ51+SUMBERGONDO!AB51+TEGALHARJO!AP51+TULUNGREJO!BL51</f>
        <v>35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BUMIHARJO!AE52+KARANGHARJO!BK52+MARGOMULYO!S52+SEPANJANG!AJ52+SUMBERGONDO!AB52+TEGALHARJO!AP52+TULUNGREJO!BL52</f>
        <v>15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6178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BUMIHARJO!AE57+KARANGHARJO!BK57+MARGOMULYO!S57+SEPANJANG!AJ57+SUMBERGONDO!AB57+TEGALHARJO!AP57+TULUNGREJO!BL57</f>
        <v>1615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BUMIHARJO!AE58+KARANGHARJO!BK58+MARGOMULYO!S58+SEPANJANG!AJ58+SUMBERGONDO!AB58+TEGALHARJO!AP58+TULUNGREJO!BL58</f>
        <v>2657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BUMIHARJO!AE59+KARANGHARJO!BK59+MARGOMULYO!S59+SEPANJANG!AJ59+SUMBERGONDO!AB59+TEGALHARJO!AP59+TULUNGREJO!BL59</f>
        <v>2347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BUMIHARJO!AE60+KARANGHARJO!BK60+MARGOMULYO!S60+SEPANJANG!AJ60+SUMBERGONDO!AB60+TEGALHARJO!AP60+TULUNGREJO!BL60</f>
        <v>172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BUMIHARJO!AE61+KARANGHARJO!BK61+MARGOMULYO!S61+SEPANJANG!AJ61+SUMBERGONDO!AB61+TEGALHARJO!AP61+TULUNGREJO!BL61</f>
        <v>1168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BUMIHARJO!AE62+KARANGHARJO!BK62+MARGOMULYO!S62+SEPANJANG!AJ62+SUMBERGONDO!AB62+TEGALHARJO!AP62+TULUNGREJO!BL62</f>
        <v>102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BUMIHARJO!AE63+KARANGHARJO!BK63+MARGOMULYO!S63+SEPANJANG!AJ63+SUMBERGONDO!AB63+TEGALHARJO!AP63+TULUNGREJO!BL63</f>
        <v>98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BUMIHARJO!AE64+KARANGHARJO!BK64+MARGOMULYO!S64+SEPANJANG!AJ64+SUMBERGONDO!AB64+TEGALHARJO!AP64+TULUNGREJO!BL64</f>
        <v>235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8394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BUMIHARJO!AE69+KARANGHARJO!BK69+MARGOMULYO!S69+SEPANJANG!AJ69+SUMBERGONDO!AB69+TEGALHARJO!AP69+TULUNGREJO!BL69</f>
        <v>1237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BUMIHARJO!AE70+KARANGHARJO!BK70+MARGOMULYO!S70+SEPANJANG!AJ70+SUMBERGONDO!AB70+TEGALHARJO!AP70+TULUNGREJO!BL70</f>
        <v>2447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BUMIHARJO!AE71+KARANGHARJO!BK71+MARGOMULYO!S71+SEPANJANG!AJ71+SUMBERGONDO!AB71+TEGALHARJO!AP71+TULUNGREJO!BL71</f>
        <v>568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BUMIHARJO!AE72+KARANGHARJO!BK72+MARGOMULYO!S72+SEPANJANG!AJ72+SUMBERGONDO!AB72+TEGALHARJO!AP72+TULUNGREJO!BL72</f>
        <v>2003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BUMIHARJO!AE73+KARANGHARJO!BK73+MARGOMULYO!S73+SEPANJANG!AJ73+SUMBERGONDO!AB73+TEGALHARJO!AP73+TULUNGREJO!BL73</f>
        <v>116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BUMIHARJO!AE74+KARANGHARJO!BK74+MARGOMULYO!S74+SEPANJANG!AJ74+SUMBERGONDO!AB74+TEGALHARJO!AP74+TULUNGREJO!BL74</f>
        <v>530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BUMIHARJO!AE75+KARANGHARJO!BK75+MARGOMULYO!S75+SEPANJANG!AJ75+SUMBERGONDO!AB75+TEGALHARJO!AP75+TULUNGREJO!BL75</f>
        <v>70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BUMIHARJO!AE76+KARANGHARJO!BK76+MARGOMULYO!S76+SEPANJANG!AJ76+SUMBERGONDO!AB76+TEGALHARJO!AP76+TULUNGREJO!BL76</f>
        <v>71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7042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BUMIHARJO!AE81+KARANGHARJO!BK81+MARGOMULYO!S81+SEPANJANG!AJ81+SUMBERGONDO!AB81+TEGALHARJO!AP81+TULUNGREJO!BL81</f>
        <v>1565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BUMIHARJO!AE82+KARANGHARJO!BK82+MARGOMULYO!S82+SEPANJANG!AJ82+SUMBERGONDO!AB82+TEGALHARJO!AP82+TULUNGREJO!BL82</f>
        <v>3980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BUMIHARJO!AE83+KARANGHARJO!BK83+MARGOMULYO!S83+SEPANJANG!AJ83+SUMBERGONDO!AB83+TEGALHARJO!AP83+TULUNGREJO!BL83</f>
        <v>3459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BUMIHARJO!AE84+KARANGHARJO!BK84+MARGOMULYO!S84+SEPANJANG!AJ84+SUMBERGONDO!AB84+TEGALHARJO!AP84+TULUNGREJO!BL84</f>
        <v>167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BUMIHARJO!AE85+KARANGHARJO!BK85+MARGOMULYO!S85+SEPANJANG!AJ85+SUMBERGONDO!AB85+TEGALHARJO!AP85+TULUNGREJO!BL85</f>
        <v>168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BUMIHARJO!AE86+KARANGHARJO!BK86+MARGOMULYO!S86+SEPANJANG!AJ86+SUMBERGONDO!AB86+TEGALHARJO!AP86+TULUNGREJO!BL86</f>
        <v>198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BUMIHARJO!AE87+KARANGHARJO!BK87+MARGOMULYO!S87+SEPANJANG!AJ87+SUMBERGONDO!AB87+TEGALHARJO!AP87+TULUNGREJO!BL87</f>
        <v>38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BUMIHARJO!AE88+KARANGHARJO!BK88+MARGOMULYO!S88+SEPANJANG!AJ88+SUMBERGONDO!AB88+TEGALHARJO!AP88+TULUNGREJO!BL88</f>
        <v>22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9597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BUMIHARJO!AE93+KARANGHARJO!BK93+MARGOMULYO!S93+SEPANJANG!AJ93+SUMBERGONDO!AB93+TEGALHARJO!AP93+TULUNGREJO!BL93</f>
        <v>277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BUMIHARJO!AE94+KARANGHARJO!BK94+MARGOMULYO!S94+SEPANJANG!AJ94+SUMBERGONDO!AB94+TEGALHARJO!AP94+TULUNGREJO!BL94</f>
        <v>509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BUMIHARJO!AE95+KARANGHARJO!BK95+MARGOMULYO!S95+SEPANJANG!AJ95+SUMBERGONDO!AB95+TEGALHARJO!AP95+TULUNGREJO!BL95</f>
        <v>789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BUMIHARJO!AE96+KARANGHARJO!BK96+MARGOMULYO!S96+SEPANJANG!AJ96+SUMBERGONDO!AB96+TEGALHARJO!AP96+TULUNGREJO!BL96</f>
        <v>47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BUMIHARJO!AE97+KARANGHARJO!BK97+MARGOMULYO!S97+SEPANJANG!AJ97+SUMBERGONDO!AB97+TEGALHARJO!AP97+TULUNGREJO!BL97</f>
        <v>134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BUMIHARJO!AE98+KARANGHARJO!BK98+MARGOMULYO!S98+SEPANJANG!AJ98+SUMBERGONDO!AB98+TEGALHARJO!AP98+TULUNGREJO!BL98</f>
        <v>66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BUMIHARJO!AE99+KARANGHARJO!BK99+MARGOMULYO!S99+SEPANJANG!AJ99+SUMBERGONDO!AB99+TEGALHARJO!AP99+TULUNGREJO!BL99</f>
        <v>26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BUMIHARJO!AE100+KARANGHARJO!BK100+MARGOMULYO!S100+SEPANJANG!AJ100+SUMBERGONDO!AB100+TEGALHARJO!AP100+TULUNGREJO!BL100</f>
        <v>52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1900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BUMIHARJO!AE105+KARANGHARJO!BK105+MARGOMULYO!S105+SEPANJANG!AJ105+SUMBERGONDO!AB105+TEGALHARJO!AP105+TULUNGREJO!BL105</f>
        <v>49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BUMIHARJO!AE106+KARANGHARJO!BK106+MARGOMULYO!S106+SEPANJANG!AJ106+SUMBERGONDO!AB106+TEGALHARJO!AP106+TULUNGREJO!BL106</f>
        <v>50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BUMIHARJO!AE107+KARANGHARJO!BK107+MARGOMULYO!S107+SEPANJANG!AJ107+SUMBERGONDO!AB107+TEGALHARJO!AP107+TULUNGREJO!BL107</f>
        <v>35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BUMIHARJO!AE108+KARANGHARJO!BK108+MARGOMULYO!S108+SEPANJANG!AJ108+SUMBERGONDO!AB108+TEGALHARJO!AP108+TULUNGREJO!BL108</f>
        <v>16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BUMIHARJO!AE109+KARANGHARJO!BK109+MARGOMULYO!S109+SEPANJANG!AJ109+SUMBERGONDO!AB109+TEGALHARJO!AP109+TULUNGREJO!BL109</f>
        <v>14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BUMIHARJO!AE110+KARANGHARJO!BK110+MARGOMULYO!S110+SEPANJANG!AJ110+SUMBERGONDO!AB110+TEGALHARJO!AP110+TULUNGREJO!BL110</f>
        <v>5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BUMIHARJO!AE111+KARANGHARJO!BK111+MARGOMULYO!S111+SEPANJANG!AJ111+SUMBERGONDO!AB111+TEGALHARJO!AP111+TULUNGREJO!BL111</f>
        <v>5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BUMIHARJO!AE112+KARANGHARJO!BK112+MARGOMULYO!S112+SEPANJANG!AJ112+SUMBERGONDO!AB112+TEGALHARJO!AP112+TULUNGREJO!BL112</f>
        <v>5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179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BUMIHARJO!AE117+KARANGHARJO!BK117+MARGOMULYO!S117+SEPANJANG!AJ117+SUMBERGONDO!AB117+TEGALHARJO!AP117+TULUNGREJO!BL117</f>
        <v>226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BUMIHARJO!AE118+KARANGHARJO!BK118+MARGOMULYO!S118+SEPANJANG!AJ118+SUMBERGONDO!AB118+TEGALHARJO!AP118+TULUNGREJO!BL118</f>
        <v>68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BUMIHARJO!AE119+KARANGHARJO!BK119+MARGOMULYO!S119+SEPANJANG!AJ119+SUMBERGONDO!AB119+TEGALHARJO!AP119+TULUNGREJO!BL119</f>
        <v>24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BUMIHARJO!AE120+KARANGHARJO!BK120+MARGOMULYO!S120+SEPANJANG!AJ120+SUMBERGONDO!AB120+TEGALHARJO!AP120+TULUNGREJO!BL120</f>
        <v>17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335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BUMIHARJO!AE129+KARANGHARJO!BK129+MARGOMULYO!S129+SEPANJANG!AJ129+SUMBERGONDO!AB129+TEGALHARJO!AP129+TULUNGREJO!BL129</f>
        <v>256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BUMIHARJO!AE130+KARANGHARJO!BK130+MARGOMULYO!S130+SEPANJANG!AJ130+SUMBERGONDO!AB130+TEGALHARJO!AP130+TULUNGREJO!BL130</f>
        <v>388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BUMIHARJO!AE131+KARANGHARJO!BK131+MARGOMULYO!S131+SEPANJANG!AJ131+SUMBERGONDO!AB131+TEGALHARJO!AP131+TULUNGREJO!BL131</f>
        <v>134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BUMIHARJO!AE132+KARANGHARJO!BK132+MARGOMULYO!S132+SEPANJANG!AJ132+SUMBERGONDO!AB132+TEGALHARJO!AP132+TULUNGREJO!BL132</f>
        <v>46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BUMIHARJO!AE133+KARANGHARJO!BK133+MARGOMULYO!S133+SEPANJANG!AJ133+SUMBERGONDO!AB133+TEGALHARJO!AP133+TULUNGREJO!BL133</f>
        <v>12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BUMIHARJO!AE134+KARANGHARJO!BK134+MARGOMULYO!S134+SEPANJANG!AJ134+SUMBERGONDO!AB134+TEGALHARJO!AP134+TULUNGREJO!BL134</f>
        <v>16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BUMIHARJO!AE135+KARANGHARJO!BK135+MARGOMULYO!S135+SEPANJANG!AJ135+SUMBERGONDO!AB135+TEGALHARJO!AP135+TULUNGREJO!BL135</f>
        <v>14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BUMIHARJO!AE136+KARANGHARJO!BK136+MARGOMULYO!S136+SEPANJANG!AJ136+SUMBERGONDO!AB136+TEGALHARJO!AP136+TULUNGREJO!BL136</f>
        <v>6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872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BUMIHARJO!AE141+KARANGHARJO!BK141+MARGOMULYO!S141+SEPANJANG!AJ141+SUMBERGONDO!AB141+TEGALHARJO!AP141+TULUNGREJO!BL141</f>
        <v>12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BUMIHARJO!AE142+KARANGHARJO!BK142+MARGOMULYO!S142+SEPANJANG!AJ142+SUMBERGONDO!AB142+TEGALHARJO!AP142+TULUNGREJO!BL142</f>
        <v>8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BUMIHARJO!AE143+KARANGHARJO!BK143+MARGOMULYO!S143+SEPANJANG!AJ143+SUMBERGONDO!AB143+TEGALHARJO!AP143+TULUNGREJO!BL143</f>
        <v>7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BUMIHARJO!AE144+KARANGHARJO!BK144+MARGOMULYO!S144+SEPANJANG!AJ144+SUMBERGONDO!AB144+TEGALHARJO!AP144+TULUNGREJO!BL144</f>
        <v>2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BUMIHARJO!AE145+KARANGHARJO!BK145+MARGOMULYO!S145+SEPANJANG!AJ145+SUMBERGONDO!AB145+TEGALHARJO!AP145+TULUNGREJO!BL145</f>
        <v>2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BUMIHARJO!AE146+KARANGHARJO!BK146+MARGOMULYO!S146+SEPANJANG!AJ146+SUMBERGONDO!AB146+TEGALHARJO!AP146+TULUNGREJO!BL146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BUMIHARJO!AE147+KARANGHARJO!BK147+MARGOMULYO!S147+SEPANJANG!AJ147+SUMBERGONDO!AB147+TEGALHARJO!AP147+TULUNGREJO!BL147</f>
        <v>3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BUMIHARJO!AE148+KARANGHARJO!BK148+MARGOMULYO!S148+SEPANJANG!AJ148+SUMBERGONDO!AB148+TEGALHARJO!AP148+TULUNGREJO!BL148</f>
        <v>2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37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BUMIHARJO!AE153+KARANGHARJO!BK153+MARGOMULYO!S153+SEPANJANG!AJ153+SUMBERGONDO!AB153+TEGALHARJO!AP153+TULUNGREJO!BL153</f>
        <v>54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BUMIHARJO!AE154+KARANGHARJO!BK154+MARGOMULYO!S154+SEPANJANG!AJ154+SUMBERGONDO!AB154+TEGALHARJO!AP154+TULUNGREJO!BL154</f>
        <v>68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BUMIHARJO!AE155+KARANGHARJO!BK155+MARGOMULYO!S155+SEPANJANG!AJ155+SUMBERGONDO!AB155+TEGALHARJO!AP155+TULUNGREJO!BL155</f>
        <v>38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BUMIHARJO!AE156+KARANGHARJO!BK156+MARGOMULYO!S156+SEPANJANG!AJ156+SUMBERGONDO!AB156+TEGALHARJO!AP156+TULUNGREJO!BL156</f>
        <v>19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BUMIHARJO!AE157+KARANGHARJO!BK157+MARGOMULYO!S157+SEPANJANG!AJ157+SUMBERGONDO!AB157+TEGALHARJO!AP157+TULUNGREJO!BL157</f>
        <v>24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203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BUMIHARJO!AE165+KARANGHARJO!BK165+MARGOMULYO!S165+SEPANJANG!AJ165+SUMBERGONDO!AB165+TEGALHARJO!AP165+TULUNGREJO!BL165</f>
        <v>41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BUMIHARJO!AE166+KARANGHARJO!BK166+MARGOMULYO!S166+SEPANJANG!AJ166+SUMBERGONDO!AB166+TEGALHARJO!AP166+TULUNGREJO!BL166</f>
        <v>57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BUMIHARJO!AE167+KARANGHARJO!BK167+MARGOMULYO!S167+SEPANJANG!AJ167+SUMBERGONDO!AB167+TEGALHARJO!AP167+TULUNGREJO!BL167</f>
        <v>21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BUMIHARJO!AE168+KARANGHARJO!BK168+MARGOMULYO!S168+SEPANJANG!AJ168+SUMBERGONDO!AB168+TEGALHARJO!AP168+TULUNGREJO!BL168</f>
        <v>8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BUMIHARJO!AE169+KARANGHARJO!BK169+MARGOMULYO!S169+SEPANJANG!AJ169+SUMBERGONDO!AB169+TEGALHARJO!AP169+TULUNGREJO!BL169</f>
        <v>11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BUMIHARJO!AE170+KARANGHARJO!BK170+MARGOMULYO!S170+SEPANJANG!AJ170+SUMBERGONDO!AB170+TEGALHARJO!AP170+TULUNGREJO!BL170</f>
        <v>5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BUMIHARJO!AE171+KARANGHARJO!BK171+MARGOMULYO!S171+SEPANJANG!AJ171+SUMBERGONDO!AB171+TEGALHARJO!AP171+TULUNGREJO!BL171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BUMIHARJO!AE172+KARANGHARJO!BK172+MARGOMULYO!S172+SEPANJANG!AJ172+SUMBERGONDO!AB172+TEGALHARJO!AP172+TULUNGREJO!BL172</f>
        <v>5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149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BUMIHARJO!AE177+KARANGHARJO!BK177+MARGOMULYO!S177+SEPANJANG!AJ177+SUMBERGONDO!AB177+TEGALHARJO!AP177+TULUNGREJO!BL177</f>
        <v>124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BUMIHARJO!AE178+KARANGHARJO!BK178+MARGOMULYO!S178+SEPANJANG!AJ178+SUMBERGONDO!AB178+TEGALHARJO!AP178+TULUNGREJO!BL178</f>
        <v>218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BUMIHARJO!AE179+KARANGHARJO!BK179+MARGOMULYO!S179+SEPANJANG!AJ179+SUMBERGONDO!AB179+TEGALHARJO!AP179+TULUNGREJO!BL179</f>
        <v>63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BUMIHARJO!AE180+KARANGHARJO!BK180+MARGOMULYO!S180+SEPANJANG!AJ180+SUMBERGONDO!AB180+TEGALHARJO!AP180+TULUNGREJO!BL180</f>
        <v>41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BUMIHARJO!AE181+KARANGHARJO!BK181+MARGOMULYO!S181+SEPANJANG!AJ181+SUMBERGONDO!AB181+TEGALHARJO!AP181+TULUNGREJO!BL181</f>
        <v>24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BUMIHARJO!AE182+KARANGHARJO!BK182+MARGOMULYO!S182+SEPANJANG!AJ182+SUMBERGONDO!AB182+TEGALHARJO!AP182+TULUNGREJO!BL182</f>
        <v>14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BUMIHARJO!AE183+KARANGHARJO!BK183+MARGOMULYO!S183+SEPANJANG!AJ183+SUMBERGONDO!AB183+TEGALHARJO!AP183+TULUNGREJO!BL183</f>
        <v>11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BUMIHARJO!AE184+KARANGHARJO!BK184+MARGOMULYO!S184+SEPANJANG!AJ184+SUMBERGONDO!AB184+TEGALHARJO!AP184+TULUNGREJO!BL184</f>
        <v>12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507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BUMIHARJO!AE189+KARANGHARJO!BK189+MARGOMULYO!S189+SEPANJANG!AJ189+SUMBERGONDO!AB189+TEGALHARJO!AP189+TULUNGREJO!BL189</f>
        <v>20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BUMIHARJO!AE190+KARANGHARJO!BK190+MARGOMULYO!S190+SEPANJANG!AJ190+SUMBERGONDO!AB190+TEGALHARJO!AP190+TULUNGREJO!BL190</f>
        <v>29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BUMIHARJO!AE191+KARANGHARJO!BK191+MARGOMULYO!S191+SEPANJANG!AJ191+SUMBERGONDO!AB191+TEGALHARJO!AP191+TULUNGREJO!BL191</f>
        <v>5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BUMIHARJO!AE192+KARANGHARJO!BK192+MARGOMULYO!S192+SEPANJANG!AJ192+SUMBERGONDO!AB192+TEGALHARJO!AP192+TULUNGREJO!BL192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BUMIHARJO!AE193+KARANGHARJO!BK193+MARGOMULYO!S193+SEPANJANG!AJ193+SUMBERGONDO!AB193+TEGALHARJO!AP193+TULUNGREJO!BL193</f>
        <v>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BUMIHARJO!AE194+KARANGHARJO!BK194+MARGOMULYO!S194+SEPANJANG!AJ194+SUMBERGONDO!AB194+TEGALHARJO!AP194+TULUNGREJO!BL194</f>
        <v>11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BUMIHARJO!AE195+KARANGHARJO!BK195+MARGOMULYO!S195+SEPANJANG!AJ195+SUMBERGONDO!AB195+TEGALHARJO!AP195+TULUNGREJO!BL195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BUMIHARJO!AE196+KARANGHARJO!BK196+MARGOMULYO!S196+SEPANJANG!AJ196+SUMBERGONDO!AB196+TEGALHARJO!AP196+TULUNGREJO!BL196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74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BUMIHARJO!AE201+KARANGHARJO!BK201+MARGOMULYO!S201+SEPANJANG!AJ201+SUMBERGONDO!AB201+TEGALHARJO!AP201+TULUNGREJO!BL201</f>
        <v>941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BUMIHARJO!AE202+KARANGHARJO!BK202+MARGOMULYO!S202+SEPANJANG!AJ202+SUMBERGONDO!AB202+TEGALHARJO!AP202+TULUNGREJO!BL202</f>
        <v>1274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BUMIHARJO!AE203+KARANGHARJO!BK203+MARGOMULYO!S203+SEPANJANG!AJ203+SUMBERGONDO!AB203+TEGALHARJO!AP203+TULUNGREJO!BL203</f>
        <v>258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BUMIHARJO!AE204+KARANGHARJO!BK204+MARGOMULYO!S204+SEPANJANG!AJ204+SUMBERGONDO!AB204+TEGALHARJO!AP204+TULUNGREJO!BL204</f>
        <v>110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BUMIHARJO!AE205+KARANGHARJO!BK205+MARGOMULYO!S205+SEPANJANG!AJ205+SUMBERGONDO!AB205+TEGALHARJO!AP205+TULUNGREJO!BL205</f>
        <v>103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BUMIHARJO!AE206+KARANGHARJO!BK206+MARGOMULYO!S206+SEPANJANG!AJ206+SUMBERGONDO!AB206+TEGALHARJO!AP206+TULUNGREJO!BL206</f>
        <v>113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BUMIHARJO!AE207+KARANGHARJO!BK207+MARGOMULYO!S207+SEPANJANG!AJ207+SUMBERGONDO!AB207+TEGALHARJO!AP207+TULUNGREJO!BL207</f>
        <v>13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BUMIHARJO!AE208+KARANGHARJO!BK208+MARGOMULYO!S208+SEPANJANG!AJ208+SUMBERGONDO!AB208+TEGALHARJO!AP208+TULUNGREJO!BL208</f>
        <v>53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2865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BUMIHARJO!AE213+KARANGHARJO!BK213+MARGOMULYO!S213+SEPANJANG!AJ213+SUMBERGONDO!AB213+TEGALHARJO!AP213+TULUNGREJO!BL213</f>
        <v>210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BUMIHARJO!AE214+KARANGHARJO!BK214+MARGOMULYO!S214+SEPANJANG!AJ214+SUMBERGONDO!AB214+TEGALHARJO!AP214+TULUNGREJO!BL214</f>
        <v>195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BUMIHARJO!AE215+KARANGHARJO!BK215+MARGOMULYO!S215+SEPANJANG!AJ215+SUMBERGONDO!AB215+TEGALHARJO!AP215+TULUNGREJO!BL215</f>
        <v>562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BUMIHARJO!AE216+KARANGHARJO!BK216+MARGOMULYO!S216+SEPANJANG!AJ216+SUMBERGONDO!AB216+TEGALHARJO!AP216+TULUNGREJO!BL216</f>
        <v>47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BUMIHARJO!AE217+KARANGHARJO!BK217+MARGOMULYO!S217+SEPANJANG!AJ217+SUMBERGONDO!AB217+TEGALHARJO!AP217+TULUNGREJO!BL217</f>
        <v>11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BUMIHARJO!AE218+KARANGHARJO!BK218+MARGOMULYO!S218+SEPANJANG!AJ218+SUMBERGONDO!AB218+TEGALHARJO!AP218+TULUNGREJO!BL218</f>
        <v>10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BUMIHARJO!AE219+KARANGHARJO!BK219+MARGOMULYO!S219+SEPANJANG!AJ219+SUMBERGONDO!AB219+TEGALHARJO!AP219+TULUNGREJO!BL219</f>
        <v>13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BUMIHARJO!AE220+KARANGHARJO!BK220+MARGOMULYO!S220+SEPANJANG!AJ220+SUMBERGONDO!AB220+TEGALHARJO!AP220+TULUNGREJO!BL220</f>
        <v>18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1066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BUMIHARJO!AE225+KARANGHARJO!BK225+MARGOMULYO!S225+SEPANJANG!AJ225+SUMBERGONDO!AB225+TEGALHARJO!AP225+TULUNGREJO!BL225</f>
        <v>79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BUMIHARJO!AE226+KARANGHARJO!BK226+MARGOMULYO!S226+SEPANJANG!AJ226+SUMBERGONDO!AB226+TEGALHARJO!AP226+TULUNGREJO!BL226</f>
        <v>527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BUMIHARJO!AE227+KARANGHARJO!BK227+MARGOMULYO!S227+SEPANJANG!AJ227+SUMBERGONDO!AB227+TEGALHARJO!AP227+TULUNGREJO!BL227</f>
        <v>13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BUMIHARJO!AE228+KARANGHARJO!BK228+MARGOMULYO!S228+SEPANJANG!AJ228+SUMBERGONDO!AB228+TEGALHARJO!AP228+TULUNGREJO!BL228</f>
        <v>11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BUMIHARJO!AE229+KARANGHARJO!BK229+MARGOMULYO!S229+SEPANJANG!AJ229+SUMBERGONDO!AB229+TEGALHARJO!AP229+TULUNGREJO!BL229</f>
        <v>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BUMIHARJO!AE230+KARANGHARJO!BK230+MARGOMULYO!S230+SEPANJANG!AJ230+SUMBERGONDO!AB230+TEGALHARJO!AP230+TULUNGREJO!BL230</f>
        <v>4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BUMIHARJO!AE231+KARANGHARJO!BK231+MARGOMULYO!S231+SEPANJANG!AJ231+SUMBERGONDO!AB231+TEGALHARJO!AP231+TULUNGREJO!BL231</f>
        <v>3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BUMIHARJO!AE232+KARANGHARJO!BK232+MARGOMULYO!S232+SEPANJANG!AJ232+SUMBERGONDO!AB232+TEGALHARJO!AP232+TULUNGREJO!BL232</f>
        <v>33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674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BUMIHARJO!AE237+KARANGHARJO!BK237+MARGOMULYO!S237+SEPANJANG!AJ237+SUMBERGONDO!AB237+TEGALHARJO!AP237+TULUNGREJO!BL237</f>
        <v>261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BUMIHARJO!AE238+KARANGHARJO!BK238+MARGOMULYO!S238+SEPANJANG!AJ238+SUMBERGONDO!AB238+TEGALHARJO!AP238+TULUNGREJO!BL238</f>
        <v>354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BUMIHARJO!AE239+KARANGHARJO!BK239+MARGOMULYO!S239+SEPANJANG!AJ239+SUMBERGONDO!AB239+TEGALHARJO!AP239+TULUNGREJO!BL239</f>
        <v>457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BUMIHARJO!AE240+KARANGHARJO!BK240+MARGOMULYO!S240+SEPANJANG!AJ240+SUMBERGONDO!AB240+TEGALHARJO!AP240+TULUNGREJO!BL240</f>
        <v>46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BUMIHARJO!AE241+KARANGHARJO!BK241+MARGOMULYO!S241+SEPANJANG!AJ241+SUMBERGONDO!AB241+TEGALHARJO!AP241+TULUNGREJO!BL241</f>
        <v>50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BUMIHARJO!AE242+KARANGHARJO!BK242+MARGOMULYO!S242+SEPANJANG!AJ242+SUMBERGONDO!AB242+TEGALHARJO!AP242+TULUNGREJO!BL242</f>
        <v>20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BUMIHARJO!AE243+KARANGHARJO!BK243+MARGOMULYO!S243+SEPANJANG!AJ243+SUMBERGONDO!AB243+TEGALHARJO!AP243+TULUNGREJO!BL243</f>
        <v>11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BUMIHARJO!AE244+KARANGHARJO!BK244+MARGOMULYO!S244+SEPANJANG!AJ244+SUMBERGONDO!AB244+TEGALHARJO!AP244+TULUNGREJO!BL244</f>
        <v>316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1515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BUMIHARJO!AE249+KARANGHARJO!BK249+MARGOMULYO!S249+SEPANJANG!AJ249+SUMBERGONDO!AB249+TEGALHARJO!AP249+TULUNGREJO!BL249</f>
        <v>41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BUMIHARJO!AE250+KARANGHARJO!BK250+MARGOMULYO!S250+SEPANJANG!AJ250+SUMBERGONDO!AB250+TEGALHARJO!AP250+TULUNGREJO!BL250</f>
        <v>31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BUMIHARJO!AE251+KARANGHARJO!BK251+MARGOMULYO!S251+SEPANJANG!AJ251+SUMBERGONDO!AB251+TEGALHARJO!AP251+TULUNGREJO!BL251</f>
        <v>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BUMIHARJO!AE252+KARANGHARJO!BK252+MARGOMULYO!S252+SEPANJANG!AJ252+SUMBERGONDO!AB252+TEGALHARJO!AP252+TULUNGREJO!BL252</f>
        <v>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BUMIHARJO!AE253+KARANGHARJO!BK253+MARGOMULYO!S253+SEPANJANG!AJ253+SUMBERGONDO!AB253+TEGALHARJO!AP253+TULUNGREJO!BL253</f>
        <v>3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BUMIHARJO!AE254+KARANGHARJO!BK254+MARGOMULYO!S254+SEPANJANG!AJ254+SUMBERGONDO!AB254+TEGALHARJO!AP254+TULUNGREJO!BL254</f>
        <v>14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BUMIHARJO!AE255+KARANGHARJO!BK255+MARGOMULYO!S255+SEPANJANG!AJ255+SUMBERGONDO!AB255+TEGALHARJO!AP255+TULUNGREJO!BL255</f>
        <v>3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106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BUMIHARJO!AE262+KARANGHARJO!BK262+MARGOMULYO!S262+SEPANJANG!AJ262+SUMBERGONDO!AB262+TEGALHARJO!AP262+TULUNGREJO!BL262</f>
        <v>41693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BUMIHARJO!AE263+KARANGHARJO!BK263+MARGOMULYO!S263+SEPANJANG!AJ263+SUMBERGONDO!AB263+TEGALHARJO!AP263+TULUNGREJO!BL263</f>
        <v>4272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45965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118.0</v>
      </c>
      <c r="G14" s="19">
        <v>130.0</v>
      </c>
      <c r="H14" s="19">
        <v>112.0</v>
      </c>
      <c r="I14" s="19">
        <v>147.0</v>
      </c>
      <c r="J14" s="19">
        <v>159.0</v>
      </c>
      <c r="K14" s="19">
        <v>144.0</v>
      </c>
      <c r="L14" s="19">
        <v>151.0</v>
      </c>
      <c r="M14" s="19">
        <v>141.0</v>
      </c>
      <c r="N14" s="19">
        <v>144.0</v>
      </c>
      <c r="O14" s="19">
        <v>122.0</v>
      </c>
      <c r="P14" s="19">
        <v>124.0</v>
      </c>
      <c r="Q14" s="19">
        <v>123.0</v>
      </c>
      <c r="R14" s="19">
        <v>92.0</v>
      </c>
      <c r="S14" s="19">
        <v>142.0</v>
      </c>
      <c r="T14" s="19">
        <v>126.0</v>
      </c>
      <c r="U14" s="19">
        <v>127.0</v>
      </c>
      <c r="V14" s="19">
        <v>116.0</v>
      </c>
      <c r="W14" s="19">
        <v>145.0</v>
      </c>
      <c r="X14" s="19">
        <v>142.0</v>
      </c>
      <c r="Y14" s="19">
        <v>119.0</v>
      </c>
      <c r="Z14" s="19">
        <v>140.0</v>
      </c>
      <c r="AA14" s="19">
        <v>108.0</v>
      </c>
      <c r="AB14" s="19">
        <v>103.0</v>
      </c>
      <c r="AC14" s="19">
        <v>123.0</v>
      </c>
      <c r="AD14" s="19">
        <v>138.0</v>
      </c>
      <c r="AE14" s="13">
        <f t="shared" ref="AE14:AE16" si="1">SUM(E14:AD14)</f>
        <v>3368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126.0</v>
      </c>
      <c r="G15" s="19">
        <v>123.0</v>
      </c>
      <c r="H15" s="19">
        <v>114.0</v>
      </c>
      <c r="I15" s="19">
        <v>142.0</v>
      </c>
      <c r="J15" s="19">
        <v>141.0</v>
      </c>
      <c r="K15" s="19">
        <v>149.0</v>
      </c>
      <c r="L15" s="19">
        <v>145.0</v>
      </c>
      <c r="M15" s="19">
        <v>147.0</v>
      </c>
      <c r="N15" s="19">
        <v>153.0</v>
      </c>
      <c r="O15" s="19">
        <v>116.0</v>
      </c>
      <c r="P15" s="19">
        <v>128.0</v>
      </c>
      <c r="Q15" s="19">
        <v>116.0</v>
      </c>
      <c r="R15" s="19">
        <v>106.0</v>
      </c>
      <c r="S15" s="19">
        <v>126.0</v>
      </c>
      <c r="T15" s="19">
        <v>124.0</v>
      </c>
      <c r="U15" s="19">
        <v>145.0</v>
      </c>
      <c r="V15" s="19">
        <v>97.0</v>
      </c>
      <c r="W15" s="19">
        <v>134.0</v>
      </c>
      <c r="X15" s="19">
        <v>137.0</v>
      </c>
      <c r="Y15" s="19">
        <v>126.0</v>
      </c>
      <c r="Z15" s="19">
        <v>151.0</v>
      </c>
      <c r="AA15" s="19">
        <v>115.0</v>
      </c>
      <c r="AB15" s="19">
        <v>118.0</v>
      </c>
      <c r="AC15" s="19">
        <v>132.0</v>
      </c>
      <c r="AD15" s="19">
        <v>149.0</v>
      </c>
      <c r="AE15" s="13">
        <f t="shared" si="1"/>
        <v>3387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259</v>
      </c>
      <c r="F16" s="13">
        <f t="shared" si="2"/>
        <v>244</v>
      </c>
      <c r="G16" s="13">
        <f t="shared" si="2"/>
        <v>253</v>
      </c>
      <c r="H16" s="13">
        <f t="shared" si="2"/>
        <v>226</v>
      </c>
      <c r="I16" s="13">
        <f t="shared" si="2"/>
        <v>289</v>
      </c>
      <c r="J16" s="13">
        <f t="shared" si="2"/>
        <v>300</v>
      </c>
      <c r="K16" s="13">
        <f t="shared" si="2"/>
        <v>293</v>
      </c>
      <c r="L16" s="13">
        <f t="shared" si="2"/>
        <v>296</v>
      </c>
      <c r="M16" s="13">
        <f t="shared" si="2"/>
        <v>288</v>
      </c>
      <c r="N16" s="13">
        <f t="shared" si="2"/>
        <v>297</v>
      </c>
      <c r="O16" s="13">
        <f t="shared" si="2"/>
        <v>238</v>
      </c>
      <c r="P16" s="13">
        <f t="shared" si="2"/>
        <v>252</v>
      </c>
      <c r="Q16" s="13">
        <f t="shared" si="2"/>
        <v>239</v>
      </c>
      <c r="R16" s="13">
        <f t="shared" si="2"/>
        <v>198</v>
      </c>
      <c r="S16" s="13">
        <f t="shared" si="2"/>
        <v>268</v>
      </c>
      <c r="T16" s="13">
        <f t="shared" si="2"/>
        <v>250</v>
      </c>
      <c r="U16" s="13">
        <f t="shared" si="2"/>
        <v>272</v>
      </c>
      <c r="V16" s="13">
        <f t="shared" si="2"/>
        <v>213</v>
      </c>
      <c r="W16" s="13">
        <f t="shared" si="2"/>
        <v>279</v>
      </c>
      <c r="X16" s="13">
        <f t="shared" si="2"/>
        <v>279</v>
      </c>
      <c r="Y16" s="13">
        <f t="shared" si="2"/>
        <v>245</v>
      </c>
      <c r="Z16" s="13">
        <f t="shared" si="2"/>
        <v>291</v>
      </c>
      <c r="AA16" s="13">
        <f t="shared" si="2"/>
        <v>223</v>
      </c>
      <c r="AB16" s="13">
        <f t="shared" si="2"/>
        <v>221</v>
      </c>
      <c r="AC16" s="13">
        <f t="shared" si="2"/>
        <v>255</v>
      </c>
      <c r="AD16" s="13">
        <f t="shared" si="2"/>
        <v>287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100.0</v>
      </c>
      <c r="G19" s="19">
        <v>94.0</v>
      </c>
      <c r="H19" s="19">
        <v>91.0</v>
      </c>
      <c r="I19" s="19">
        <v>104.0</v>
      </c>
      <c r="J19" s="19">
        <v>118.0</v>
      </c>
      <c r="K19" s="19">
        <v>109.0</v>
      </c>
      <c r="L19" s="19">
        <v>115.0</v>
      </c>
      <c r="M19" s="19">
        <v>105.0</v>
      </c>
      <c r="N19" s="19">
        <v>107.0</v>
      </c>
      <c r="O19" s="19">
        <v>87.0</v>
      </c>
      <c r="P19" s="19">
        <v>97.0</v>
      </c>
      <c r="Q19" s="19">
        <v>90.0</v>
      </c>
      <c r="R19" s="19">
        <v>68.0</v>
      </c>
      <c r="S19" s="19">
        <v>113.0</v>
      </c>
      <c r="T19" s="19">
        <v>89.0</v>
      </c>
      <c r="U19" s="19">
        <v>87.0</v>
      </c>
      <c r="V19" s="19">
        <v>95.0</v>
      </c>
      <c r="W19" s="19">
        <v>113.0</v>
      </c>
      <c r="X19" s="19">
        <v>101.0</v>
      </c>
      <c r="Y19" s="19">
        <v>87.0</v>
      </c>
      <c r="Z19" s="19">
        <v>96.0</v>
      </c>
      <c r="AA19" s="19">
        <v>77.0</v>
      </c>
      <c r="AB19" s="19">
        <v>76.0</v>
      </c>
      <c r="AC19" s="19">
        <v>80.0</v>
      </c>
      <c r="AD19" s="19">
        <v>95.0</v>
      </c>
      <c r="AE19" s="13">
        <f t="shared" ref="AE19:AE30" si="3">SUM(E19:AD19)</f>
        <v>2499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100.0</v>
      </c>
      <c r="G20" s="19">
        <v>107.0</v>
      </c>
      <c r="H20" s="19">
        <v>93.0</v>
      </c>
      <c r="I20" s="19">
        <v>104.0</v>
      </c>
      <c r="J20" s="19">
        <v>112.0</v>
      </c>
      <c r="K20" s="19">
        <v>115.0</v>
      </c>
      <c r="L20" s="19">
        <v>114.0</v>
      </c>
      <c r="M20" s="19">
        <v>118.0</v>
      </c>
      <c r="N20" s="19">
        <v>119.0</v>
      </c>
      <c r="O20" s="19">
        <v>89.0</v>
      </c>
      <c r="P20" s="19">
        <v>116.0</v>
      </c>
      <c r="Q20" s="19">
        <v>93.0</v>
      </c>
      <c r="R20" s="19">
        <v>86.0</v>
      </c>
      <c r="S20" s="19">
        <v>107.0</v>
      </c>
      <c r="T20" s="19">
        <v>105.0</v>
      </c>
      <c r="U20" s="19">
        <v>112.0</v>
      </c>
      <c r="V20" s="19">
        <v>86.0</v>
      </c>
      <c r="W20" s="19">
        <v>110.0</v>
      </c>
      <c r="X20" s="19">
        <v>105.0</v>
      </c>
      <c r="Y20" s="19">
        <v>104.0</v>
      </c>
      <c r="Z20" s="19">
        <v>126.0</v>
      </c>
      <c r="AA20" s="19">
        <v>100.0</v>
      </c>
      <c r="AB20" s="19">
        <v>78.0</v>
      </c>
      <c r="AC20" s="19">
        <v>92.0</v>
      </c>
      <c r="AD20" s="19">
        <v>112.0</v>
      </c>
      <c r="AE20" s="13">
        <f t="shared" si="3"/>
        <v>2704</v>
      </c>
    </row>
    <row r="21" ht="12.75" customHeight="1">
      <c r="A21" s="35"/>
      <c r="B21" s="28"/>
      <c r="C21" s="36"/>
      <c r="D21" s="13" t="s">
        <v>14</v>
      </c>
      <c r="E21" s="13">
        <f t="shared" ref="E21:AD21" si="4">SUM(E19:E20)</f>
        <v>206</v>
      </c>
      <c r="F21" s="13">
        <f t="shared" si="4"/>
        <v>200</v>
      </c>
      <c r="G21" s="13">
        <f t="shared" si="4"/>
        <v>201</v>
      </c>
      <c r="H21" s="13">
        <f t="shared" si="4"/>
        <v>184</v>
      </c>
      <c r="I21" s="13">
        <f t="shared" si="4"/>
        <v>208</v>
      </c>
      <c r="J21" s="13">
        <f t="shared" si="4"/>
        <v>230</v>
      </c>
      <c r="K21" s="13">
        <f t="shared" si="4"/>
        <v>224</v>
      </c>
      <c r="L21" s="13">
        <f t="shared" si="4"/>
        <v>229</v>
      </c>
      <c r="M21" s="13">
        <f t="shared" si="4"/>
        <v>223</v>
      </c>
      <c r="N21" s="13">
        <f t="shared" si="4"/>
        <v>226</v>
      </c>
      <c r="O21" s="13">
        <f t="shared" si="4"/>
        <v>176</v>
      </c>
      <c r="P21" s="13">
        <f t="shared" si="4"/>
        <v>213</v>
      </c>
      <c r="Q21" s="13">
        <f t="shared" si="4"/>
        <v>183</v>
      </c>
      <c r="R21" s="13">
        <f t="shared" si="4"/>
        <v>154</v>
      </c>
      <c r="S21" s="13">
        <f t="shared" si="4"/>
        <v>220</v>
      </c>
      <c r="T21" s="13">
        <f t="shared" si="4"/>
        <v>194</v>
      </c>
      <c r="U21" s="13">
        <f t="shared" si="4"/>
        <v>199</v>
      </c>
      <c r="V21" s="13">
        <f t="shared" si="4"/>
        <v>181</v>
      </c>
      <c r="W21" s="13">
        <f t="shared" si="4"/>
        <v>223</v>
      </c>
      <c r="X21" s="13">
        <f t="shared" si="4"/>
        <v>206</v>
      </c>
      <c r="Y21" s="13">
        <f t="shared" si="4"/>
        <v>191</v>
      </c>
      <c r="Z21" s="13">
        <f t="shared" si="4"/>
        <v>222</v>
      </c>
      <c r="AA21" s="13">
        <f t="shared" si="4"/>
        <v>177</v>
      </c>
      <c r="AB21" s="13">
        <f t="shared" si="4"/>
        <v>154</v>
      </c>
      <c r="AC21" s="13">
        <f t="shared" si="4"/>
        <v>172</v>
      </c>
      <c r="AD21" s="13">
        <f t="shared" si="4"/>
        <v>207</v>
      </c>
      <c r="AE21" s="13">
        <f t="shared" si="3"/>
        <v>5203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>
        <v>2.0</v>
      </c>
      <c r="O22" s="19"/>
      <c r="P22" s="19">
        <v>1.0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>
        <v>1.0</v>
      </c>
      <c r="P23" s="19"/>
      <c r="Q23" s="19"/>
      <c r="R23" s="19"/>
      <c r="S23" s="19">
        <v>1.0</v>
      </c>
      <c r="T23" s="19"/>
      <c r="U23" s="19"/>
      <c r="V23" s="19">
        <v>1.0</v>
      </c>
      <c r="W23" s="19"/>
      <c r="X23" s="19"/>
      <c r="Y23" s="19"/>
      <c r="Z23" s="19"/>
      <c r="AA23" s="19"/>
      <c r="AB23" s="19"/>
      <c r="AC23" s="19"/>
      <c r="AD23" s="19"/>
      <c r="AE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/>
      <c r="G25" s="19"/>
      <c r="H25" s="19"/>
      <c r="I25" s="19">
        <v>2.0</v>
      </c>
      <c r="J25" s="19"/>
      <c r="K25" s="19"/>
      <c r="L25" s="19"/>
      <c r="M25" s="19"/>
      <c r="N25" s="19"/>
      <c r="O25" s="19"/>
      <c r="P25" s="19"/>
      <c r="Q25" s="19"/>
      <c r="R25" s="19">
        <v>1.0</v>
      </c>
      <c r="S25" s="19"/>
      <c r="T25" s="19"/>
      <c r="U25" s="19"/>
      <c r="V25" s="19">
        <v>2.0</v>
      </c>
      <c r="W25" s="19">
        <v>1.0</v>
      </c>
      <c r="X25" s="19"/>
      <c r="Y25" s="19"/>
      <c r="Z25" s="19"/>
      <c r="AA25" s="19"/>
      <c r="AB25" s="19"/>
      <c r="AC25" s="19"/>
      <c r="AD25" s="19"/>
      <c r="AE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1.0</v>
      </c>
      <c r="X26" s="19">
        <v>4.0</v>
      </c>
      <c r="Y26" s="19"/>
      <c r="Z26" s="19"/>
      <c r="AA26" s="19"/>
      <c r="AB26" s="19"/>
      <c r="AC26" s="19"/>
      <c r="AD26" s="19"/>
      <c r="AE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AD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D28" si="7">SUM(E19,E22,E25)</f>
        <v>106</v>
      </c>
      <c r="F28" s="13">
        <f t="shared" si="7"/>
        <v>100</v>
      </c>
      <c r="G28" s="13">
        <f t="shared" si="7"/>
        <v>94</v>
      </c>
      <c r="H28" s="13">
        <f t="shared" si="7"/>
        <v>91</v>
      </c>
      <c r="I28" s="13">
        <f t="shared" si="7"/>
        <v>106</v>
      </c>
      <c r="J28" s="13">
        <f t="shared" si="7"/>
        <v>118</v>
      </c>
      <c r="K28" s="13">
        <f t="shared" si="7"/>
        <v>109</v>
      </c>
      <c r="L28" s="13">
        <f t="shared" si="7"/>
        <v>115</v>
      </c>
      <c r="M28" s="13">
        <f t="shared" si="7"/>
        <v>105</v>
      </c>
      <c r="N28" s="13">
        <f t="shared" si="7"/>
        <v>109</v>
      </c>
      <c r="O28" s="13">
        <f t="shared" si="7"/>
        <v>87</v>
      </c>
      <c r="P28" s="13">
        <f t="shared" si="7"/>
        <v>98</v>
      </c>
      <c r="Q28" s="13">
        <f t="shared" si="7"/>
        <v>90</v>
      </c>
      <c r="R28" s="13">
        <f t="shared" si="7"/>
        <v>69</v>
      </c>
      <c r="S28" s="13">
        <f t="shared" si="7"/>
        <v>113</v>
      </c>
      <c r="T28" s="13">
        <f t="shared" si="7"/>
        <v>89</v>
      </c>
      <c r="U28" s="13">
        <f t="shared" si="7"/>
        <v>87</v>
      </c>
      <c r="V28" s="13">
        <f t="shared" si="7"/>
        <v>97</v>
      </c>
      <c r="W28" s="13">
        <f t="shared" si="7"/>
        <v>114</v>
      </c>
      <c r="X28" s="13">
        <f t="shared" si="7"/>
        <v>101</v>
      </c>
      <c r="Y28" s="13">
        <f t="shared" si="7"/>
        <v>87</v>
      </c>
      <c r="Z28" s="13">
        <f t="shared" si="7"/>
        <v>96</v>
      </c>
      <c r="AA28" s="13">
        <f t="shared" si="7"/>
        <v>77</v>
      </c>
      <c r="AB28" s="13">
        <f t="shared" si="7"/>
        <v>76</v>
      </c>
      <c r="AC28" s="13">
        <f t="shared" si="7"/>
        <v>80</v>
      </c>
      <c r="AD28" s="13">
        <f t="shared" si="7"/>
        <v>95</v>
      </c>
      <c r="AE28" s="13">
        <f t="shared" si="3"/>
        <v>2509</v>
      </c>
    </row>
    <row r="29" ht="12.75" customHeight="1">
      <c r="A29" s="35"/>
      <c r="B29" s="27"/>
      <c r="C29" s="34"/>
      <c r="D29" s="13" t="s">
        <v>13</v>
      </c>
      <c r="E29" s="13">
        <f t="shared" ref="E29:AD29" si="8">SUM(E20,E23,E26)</f>
        <v>101</v>
      </c>
      <c r="F29" s="13">
        <f t="shared" si="8"/>
        <v>100</v>
      </c>
      <c r="G29" s="13">
        <f t="shared" si="8"/>
        <v>107</v>
      </c>
      <c r="H29" s="13">
        <f t="shared" si="8"/>
        <v>93</v>
      </c>
      <c r="I29" s="13">
        <f t="shared" si="8"/>
        <v>104</v>
      </c>
      <c r="J29" s="13">
        <f t="shared" si="8"/>
        <v>112</v>
      </c>
      <c r="K29" s="13">
        <f t="shared" si="8"/>
        <v>115</v>
      </c>
      <c r="L29" s="13">
        <f t="shared" si="8"/>
        <v>114</v>
      </c>
      <c r="M29" s="13">
        <f t="shared" si="8"/>
        <v>118</v>
      </c>
      <c r="N29" s="13">
        <f t="shared" si="8"/>
        <v>120</v>
      </c>
      <c r="O29" s="13">
        <f t="shared" si="8"/>
        <v>90</v>
      </c>
      <c r="P29" s="13">
        <f t="shared" si="8"/>
        <v>117</v>
      </c>
      <c r="Q29" s="13">
        <f t="shared" si="8"/>
        <v>93</v>
      </c>
      <c r="R29" s="13">
        <f t="shared" si="8"/>
        <v>86</v>
      </c>
      <c r="S29" s="13">
        <f t="shared" si="8"/>
        <v>108</v>
      </c>
      <c r="T29" s="13">
        <f t="shared" si="8"/>
        <v>105</v>
      </c>
      <c r="U29" s="13">
        <f t="shared" si="8"/>
        <v>112</v>
      </c>
      <c r="V29" s="13">
        <f t="shared" si="8"/>
        <v>88</v>
      </c>
      <c r="W29" s="13">
        <f t="shared" si="8"/>
        <v>111</v>
      </c>
      <c r="X29" s="13">
        <f t="shared" si="8"/>
        <v>109</v>
      </c>
      <c r="Y29" s="13">
        <f t="shared" si="8"/>
        <v>104</v>
      </c>
      <c r="Z29" s="13">
        <f t="shared" si="8"/>
        <v>126</v>
      </c>
      <c r="AA29" s="13">
        <f t="shared" si="8"/>
        <v>100</v>
      </c>
      <c r="AB29" s="13">
        <f t="shared" si="8"/>
        <v>78</v>
      </c>
      <c r="AC29" s="13">
        <f t="shared" si="8"/>
        <v>92</v>
      </c>
      <c r="AD29" s="13">
        <f t="shared" si="8"/>
        <v>112</v>
      </c>
      <c r="AE29" s="13">
        <f t="shared" si="3"/>
        <v>2715</v>
      </c>
    </row>
    <row r="30" ht="12.75" customHeight="1">
      <c r="A30" s="35"/>
      <c r="B30" s="28"/>
      <c r="C30" s="36"/>
      <c r="D30" s="13" t="s">
        <v>14</v>
      </c>
      <c r="E30" s="13">
        <f t="shared" ref="E30:AD30" si="9">SUM(E28:E29)</f>
        <v>207</v>
      </c>
      <c r="F30" s="13">
        <f t="shared" si="9"/>
        <v>200</v>
      </c>
      <c r="G30" s="13">
        <f t="shared" si="9"/>
        <v>201</v>
      </c>
      <c r="H30" s="13">
        <f t="shared" si="9"/>
        <v>184</v>
      </c>
      <c r="I30" s="13">
        <f t="shared" si="9"/>
        <v>210</v>
      </c>
      <c r="J30" s="13">
        <f t="shared" si="9"/>
        <v>230</v>
      </c>
      <c r="K30" s="13">
        <f t="shared" si="9"/>
        <v>224</v>
      </c>
      <c r="L30" s="13">
        <f t="shared" si="9"/>
        <v>229</v>
      </c>
      <c r="M30" s="13">
        <f t="shared" si="9"/>
        <v>223</v>
      </c>
      <c r="N30" s="13">
        <f t="shared" si="9"/>
        <v>229</v>
      </c>
      <c r="O30" s="13">
        <f t="shared" si="9"/>
        <v>177</v>
      </c>
      <c r="P30" s="13">
        <f t="shared" si="9"/>
        <v>215</v>
      </c>
      <c r="Q30" s="13">
        <f t="shared" si="9"/>
        <v>183</v>
      </c>
      <c r="R30" s="13">
        <f t="shared" si="9"/>
        <v>155</v>
      </c>
      <c r="S30" s="13">
        <f t="shared" si="9"/>
        <v>221</v>
      </c>
      <c r="T30" s="13">
        <f t="shared" si="9"/>
        <v>194</v>
      </c>
      <c r="U30" s="13">
        <f t="shared" si="9"/>
        <v>199</v>
      </c>
      <c r="V30" s="13">
        <f t="shared" si="9"/>
        <v>185</v>
      </c>
      <c r="W30" s="13">
        <f t="shared" si="9"/>
        <v>225</v>
      </c>
      <c r="X30" s="13">
        <f t="shared" si="9"/>
        <v>210</v>
      </c>
      <c r="Y30" s="13">
        <f t="shared" si="9"/>
        <v>191</v>
      </c>
      <c r="Z30" s="13">
        <f t="shared" si="9"/>
        <v>222</v>
      </c>
      <c r="AA30" s="13">
        <f t="shared" si="9"/>
        <v>177</v>
      </c>
      <c r="AB30" s="13">
        <f t="shared" si="9"/>
        <v>154</v>
      </c>
      <c r="AC30" s="13">
        <f t="shared" si="9"/>
        <v>172</v>
      </c>
      <c r="AD30" s="13">
        <f t="shared" si="9"/>
        <v>207</v>
      </c>
      <c r="AE30" s="13">
        <f t="shared" si="3"/>
        <v>5224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68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249.0</v>
      </c>
      <c r="G33" s="19">
        <v>259.0</v>
      </c>
      <c r="H33" s="19">
        <v>231.0</v>
      </c>
      <c r="I33" s="19">
        <v>295.0</v>
      </c>
      <c r="J33" s="19">
        <v>306.0</v>
      </c>
      <c r="K33" s="19">
        <v>299.0</v>
      </c>
      <c r="L33" s="19">
        <v>302.0</v>
      </c>
      <c r="M33" s="19">
        <v>294.0</v>
      </c>
      <c r="N33" s="19">
        <v>303.0</v>
      </c>
      <c r="O33" s="19">
        <v>243.0</v>
      </c>
      <c r="P33" s="19">
        <v>258.0</v>
      </c>
      <c r="Q33" s="19">
        <v>244.0</v>
      </c>
      <c r="R33" s="19">
        <v>202.0</v>
      </c>
      <c r="S33" s="19">
        <v>274.0</v>
      </c>
      <c r="T33" s="19">
        <v>255.0</v>
      </c>
      <c r="U33" s="19">
        <v>278.0</v>
      </c>
      <c r="V33" s="19">
        <v>218.0</v>
      </c>
      <c r="W33" s="19">
        <v>285.0</v>
      </c>
      <c r="X33" s="19">
        <v>285.0</v>
      </c>
      <c r="Y33" s="19">
        <v>250.0</v>
      </c>
      <c r="Z33" s="19">
        <v>297.0</v>
      </c>
      <c r="AA33" s="19">
        <v>228.0</v>
      </c>
      <c r="AB33" s="19">
        <v>226.0</v>
      </c>
      <c r="AC33" s="19">
        <v>261.0</v>
      </c>
      <c r="AD33" s="19">
        <v>293.0</v>
      </c>
      <c r="AE33" s="13">
        <f t="shared" ref="AE33:AE36" si="10">SUM(E33:AD33)</f>
        <v>6900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200.0</v>
      </c>
      <c r="G34" s="13">
        <v>201.0</v>
      </c>
      <c r="H34" s="13">
        <v>184.0</v>
      </c>
      <c r="I34" s="13">
        <v>210.0</v>
      </c>
      <c r="J34" s="13">
        <v>230.0</v>
      </c>
      <c r="K34" s="13">
        <v>224.0</v>
      </c>
      <c r="L34" s="13">
        <v>229.0</v>
      </c>
      <c r="M34" s="13">
        <v>223.0</v>
      </c>
      <c r="N34" s="13">
        <v>229.0</v>
      </c>
      <c r="O34" s="13">
        <v>177.0</v>
      </c>
      <c r="P34" s="13">
        <v>215.0</v>
      </c>
      <c r="Q34" s="13">
        <v>183.0</v>
      </c>
      <c r="R34" s="13">
        <v>155.0</v>
      </c>
      <c r="S34" s="13">
        <v>221.0</v>
      </c>
      <c r="T34" s="13">
        <v>194.0</v>
      </c>
      <c r="U34" s="13">
        <v>199.0</v>
      </c>
      <c r="V34" s="13">
        <v>185.0</v>
      </c>
      <c r="W34" s="13">
        <v>225.0</v>
      </c>
      <c r="X34" s="13">
        <v>210.0</v>
      </c>
      <c r="Y34" s="13">
        <v>191.0</v>
      </c>
      <c r="Z34" s="13">
        <v>222.0</v>
      </c>
      <c r="AA34" s="13">
        <v>177.0</v>
      </c>
      <c r="AB34" s="13">
        <v>154.0</v>
      </c>
      <c r="AC34" s="13">
        <v>172.0</v>
      </c>
      <c r="AD34" s="13">
        <v>207.0</v>
      </c>
      <c r="AE34" s="13">
        <f t="shared" si="10"/>
        <v>5224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3.0</v>
      </c>
      <c r="I35" s="19"/>
      <c r="J35" s="19"/>
      <c r="K35" s="19"/>
      <c r="L35" s="19"/>
      <c r="M35" s="19"/>
      <c r="N35" s="19"/>
      <c r="O35" s="19">
        <v>1.0</v>
      </c>
      <c r="P35" s="19"/>
      <c r="Q35" s="19"/>
      <c r="R35" s="19">
        <v>1.0</v>
      </c>
      <c r="S35" s="19"/>
      <c r="T35" s="19"/>
      <c r="U35" s="19"/>
      <c r="V35" s="19"/>
      <c r="W35" s="19"/>
      <c r="X35" s="19"/>
      <c r="Y35" s="19"/>
      <c r="Z35" s="19">
        <v>6.0</v>
      </c>
      <c r="AA35" s="19"/>
      <c r="AB35" s="19"/>
      <c r="AC35" s="19"/>
      <c r="AD35" s="19">
        <v>1.0</v>
      </c>
      <c r="AE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v>58.0</v>
      </c>
      <c r="F36" s="13">
        <v>48.0</v>
      </c>
      <c r="G36" s="13">
        <v>58.0</v>
      </c>
      <c r="H36" s="13">
        <v>45.0</v>
      </c>
      <c r="I36" s="13">
        <v>85.0</v>
      </c>
      <c r="J36" s="13">
        <v>76.0</v>
      </c>
      <c r="K36" s="13">
        <v>75.0</v>
      </c>
      <c r="L36" s="13">
        <v>73.0</v>
      </c>
      <c r="M36" s="13">
        <v>71.0</v>
      </c>
      <c r="N36" s="13">
        <v>74.0</v>
      </c>
      <c r="O36" s="13">
        <v>66.0</v>
      </c>
      <c r="P36" s="13">
        <v>43.0</v>
      </c>
      <c r="Q36" s="13">
        <v>61.0</v>
      </c>
      <c r="R36" s="13">
        <v>47.0</v>
      </c>
      <c r="S36" s="13">
        <v>53.0</v>
      </c>
      <c r="T36" s="13">
        <v>61.0</v>
      </c>
      <c r="U36" s="13">
        <v>79.0</v>
      </c>
      <c r="V36" s="13">
        <v>33.0</v>
      </c>
      <c r="W36" s="13">
        <v>60.0</v>
      </c>
      <c r="X36" s="13">
        <v>75.0</v>
      </c>
      <c r="Y36" s="13">
        <v>59.0</v>
      </c>
      <c r="Z36" s="13">
        <v>75.0</v>
      </c>
      <c r="AA36" s="13">
        <v>50.0</v>
      </c>
      <c r="AB36" s="13">
        <v>72.0</v>
      </c>
      <c r="AC36" s="13">
        <v>89.0</v>
      </c>
      <c r="AD36" s="13">
        <v>86.0</v>
      </c>
      <c r="AE36" s="13">
        <f t="shared" si="10"/>
        <v>1672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68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1.0</v>
      </c>
      <c r="V39" s="19">
        <v>1.0</v>
      </c>
      <c r="W39" s="19"/>
      <c r="X39" s="19"/>
      <c r="Y39" s="19">
        <v>1.0</v>
      </c>
      <c r="Z39" s="19"/>
      <c r="AA39" s="19">
        <v>3.0</v>
      </c>
      <c r="AB39" s="19">
        <v>1.0</v>
      </c>
      <c r="AC39" s="19"/>
      <c r="AD39" s="19"/>
      <c r="AE39" s="13">
        <f t="shared" ref="AE39:AE41" si="11">SUM(E39:AD39)</f>
        <v>10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>
        <v>2.0</v>
      </c>
      <c r="S40" s="19"/>
      <c r="T40" s="19"/>
      <c r="U40" s="19"/>
      <c r="V40" s="19"/>
      <c r="W40" s="19">
        <v>2.0</v>
      </c>
      <c r="X40" s="19"/>
      <c r="Y40" s="19">
        <v>1.0</v>
      </c>
      <c r="Z40" s="19">
        <v>1.0</v>
      </c>
      <c r="AA40" s="19">
        <v>2.0</v>
      </c>
      <c r="AB40" s="19">
        <v>3.0</v>
      </c>
      <c r="AC40" s="19"/>
      <c r="AD40" s="19"/>
      <c r="AE40" s="13">
        <f t="shared" si="11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D41" si="12">SUM(E39:E40)</f>
        <v>4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1</v>
      </c>
      <c r="J41" s="13">
        <f t="shared" si="12"/>
        <v>1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2</v>
      </c>
      <c r="S41" s="13">
        <f t="shared" si="12"/>
        <v>0</v>
      </c>
      <c r="T41" s="13">
        <f t="shared" si="12"/>
        <v>0</v>
      </c>
      <c r="U41" s="13">
        <f t="shared" si="12"/>
        <v>1</v>
      </c>
      <c r="V41" s="13">
        <f t="shared" si="12"/>
        <v>1</v>
      </c>
      <c r="W41" s="13">
        <f t="shared" si="12"/>
        <v>2</v>
      </c>
      <c r="X41" s="13">
        <f t="shared" si="12"/>
        <v>0</v>
      </c>
      <c r="Y41" s="13">
        <f t="shared" si="12"/>
        <v>2</v>
      </c>
      <c r="Z41" s="13">
        <f t="shared" si="12"/>
        <v>1</v>
      </c>
      <c r="AA41" s="13">
        <f t="shared" si="12"/>
        <v>5</v>
      </c>
      <c r="AB41" s="13">
        <f t="shared" si="12"/>
        <v>4</v>
      </c>
      <c r="AC41" s="13">
        <f t="shared" si="12"/>
        <v>0</v>
      </c>
      <c r="AD41" s="13">
        <f t="shared" si="12"/>
        <v>0</v>
      </c>
      <c r="AE41" s="13">
        <f t="shared" si="11"/>
        <v>24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5.0</v>
      </c>
      <c r="G45" s="19">
        <v>3.0</v>
      </c>
      <c r="H45" s="19">
        <v>0.0</v>
      </c>
      <c r="I45" s="19">
        <v>8.0</v>
      </c>
      <c r="J45" s="19">
        <v>5.0</v>
      </c>
      <c r="K45" s="19">
        <v>6.0</v>
      </c>
      <c r="L45" s="19">
        <v>5.0</v>
      </c>
      <c r="M45" s="19">
        <v>5.0</v>
      </c>
      <c r="N45" s="19">
        <v>4.0</v>
      </c>
      <c r="O45" s="19">
        <v>1.0</v>
      </c>
      <c r="P45" s="19">
        <v>7.0</v>
      </c>
      <c r="Q45" s="19">
        <v>4.0</v>
      </c>
      <c r="R45" s="19">
        <v>3.0</v>
      </c>
      <c r="S45" s="19">
        <v>5.0</v>
      </c>
      <c r="T45" s="19">
        <v>5.0</v>
      </c>
      <c r="U45" s="19">
        <v>4.0</v>
      </c>
      <c r="V45" s="19">
        <v>1.0</v>
      </c>
      <c r="W45" s="19">
        <v>5.0</v>
      </c>
      <c r="X45" s="19">
        <v>5.0</v>
      </c>
      <c r="Y45" s="19">
        <v>10.0</v>
      </c>
      <c r="Z45" s="19">
        <v>6.0</v>
      </c>
      <c r="AA45" s="19">
        <v>3.0</v>
      </c>
      <c r="AB45" s="19">
        <v>6.0</v>
      </c>
      <c r="AC45" s="19">
        <v>6.0</v>
      </c>
      <c r="AD45" s="19">
        <v>7.0</v>
      </c>
      <c r="AE45" s="13">
        <f t="shared" ref="AE45:AE55" si="13">SUM(E45:AD45)</f>
        <v>124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13.0</v>
      </c>
      <c r="G46" s="19">
        <v>42.0</v>
      </c>
      <c r="H46" s="19">
        <v>0.0</v>
      </c>
      <c r="I46" s="19">
        <v>25.0</v>
      </c>
      <c r="J46" s="19">
        <v>20.0</v>
      </c>
      <c r="K46" s="19">
        <v>6.0</v>
      </c>
      <c r="L46" s="19">
        <v>10.0</v>
      </c>
      <c r="M46" s="19">
        <v>10.0</v>
      </c>
      <c r="N46" s="19">
        <v>21.0</v>
      </c>
      <c r="O46" s="19">
        <v>6.0</v>
      </c>
      <c r="P46" s="19">
        <v>4.0</v>
      </c>
      <c r="Q46" s="19">
        <v>9.0</v>
      </c>
      <c r="R46" s="19">
        <v>6.0</v>
      </c>
      <c r="S46" s="19">
        <v>14.0</v>
      </c>
      <c r="T46" s="19">
        <v>7.0</v>
      </c>
      <c r="U46" s="19">
        <v>5.0</v>
      </c>
      <c r="V46" s="19">
        <v>1.0</v>
      </c>
      <c r="W46" s="19">
        <v>18.0</v>
      </c>
      <c r="X46" s="19">
        <v>13.0</v>
      </c>
      <c r="Y46" s="19">
        <v>26.0</v>
      </c>
      <c r="Z46" s="19">
        <v>19.0</v>
      </c>
      <c r="AA46" s="19">
        <v>17.0</v>
      </c>
      <c r="AB46" s="19">
        <v>2.0</v>
      </c>
      <c r="AC46" s="19">
        <v>9.0</v>
      </c>
      <c r="AD46" s="19">
        <v>20.0</v>
      </c>
      <c r="AE46" s="13">
        <f t="shared" si="13"/>
        <v>332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3.0</v>
      </c>
      <c r="H47" s="19">
        <v>0.0</v>
      </c>
      <c r="I47" s="19">
        <v>1.0</v>
      </c>
      <c r="J47" s="19">
        <v>0.0</v>
      </c>
      <c r="K47" s="19">
        <v>1.0</v>
      </c>
      <c r="L47" s="19">
        <v>2.0</v>
      </c>
      <c r="M47" s="19">
        <v>2.0</v>
      </c>
      <c r="N47" s="19">
        <v>3.0</v>
      </c>
      <c r="O47" s="19">
        <v>1.0</v>
      </c>
      <c r="P47" s="19">
        <v>0.0</v>
      </c>
      <c r="Q47" s="19">
        <v>0.0</v>
      </c>
      <c r="R47" s="19">
        <v>0.0</v>
      </c>
      <c r="S47" s="19">
        <v>2.0</v>
      </c>
      <c r="T47" s="19">
        <v>0.0</v>
      </c>
      <c r="U47" s="19">
        <v>0.0</v>
      </c>
      <c r="V47" s="19">
        <v>0.0</v>
      </c>
      <c r="W47" s="19">
        <v>1.0</v>
      </c>
      <c r="X47" s="19">
        <v>2.0</v>
      </c>
      <c r="Y47" s="19">
        <v>1.0</v>
      </c>
      <c r="Z47" s="19">
        <v>5.0</v>
      </c>
      <c r="AA47" s="19">
        <v>1.0</v>
      </c>
      <c r="AB47" s="19">
        <v>0.0</v>
      </c>
      <c r="AC47" s="19">
        <v>2.0</v>
      </c>
      <c r="AD47" s="19">
        <v>1.0</v>
      </c>
      <c r="AE47" s="13">
        <f t="shared" si="13"/>
        <v>28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1.0</v>
      </c>
      <c r="G48" s="19">
        <v>1.0</v>
      </c>
      <c r="H48" s="19">
        <v>0.0</v>
      </c>
      <c r="I48" s="19">
        <v>4.0</v>
      </c>
      <c r="J48" s="19">
        <v>0.0</v>
      </c>
      <c r="K48" s="19">
        <v>0.0</v>
      </c>
      <c r="L48" s="19">
        <v>2.0</v>
      </c>
      <c r="M48" s="19">
        <v>4.0</v>
      </c>
      <c r="N48" s="19">
        <v>3.0</v>
      </c>
      <c r="O48" s="19">
        <v>2.0</v>
      </c>
      <c r="P48" s="19">
        <v>1.0</v>
      </c>
      <c r="Q48" s="19">
        <v>1.0</v>
      </c>
      <c r="R48" s="19">
        <v>0.0</v>
      </c>
      <c r="S48" s="19">
        <v>1.0</v>
      </c>
      <c r="T48" s="19">
        <v>1.0</v>
      </c>
      <c r="U48" s="19">
        <v>1.0</v>
      </c>
      <c r="V48" s="19">
        <v>0.0</v>
      </c>
      <c r="W48" s="19">
        <v>3.0</v>
      </c>
      <c r="X48" s="19">
        <v>1.0</v>
      </c>
      <c r="Y48" s="19">
        <v>0.0</v>
      </c>
      <c r="Z48" s="19">
        <v>4.0</v>
      </c>
      <c r="AA48" s="19">
        <v>1.0</v>
      </c>
      <c r="AB48" s="19">
        <v>0.0</v>
      </c>
      <c r="AC48" s="19">
        <v>0.0</v>
      </c>
      <c r="AD48" s="19">
        <v>1.0</v>
      </c>
      <c r="AE48" s="13">
        <f t="shared" si="13"/>
        <v>35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2.0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2.0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1.0</v>
      </c>
      <c r="X49" s="19">
        <v>0.0</v>
      </c>
      <c r="Y49" s="19">
        <v>0.0</v>
      </c>
      <c r="Z49" s="19">
        <v>0.0</v>
      </c>
      <c r="AA49" s="19">
        <v>1.0</v>
      </c>
      <c r="AB49" s="19">
        <v>0.0</v>
      </c>
      <c r="AC49" s="19">
        <v>2.0</v>
      </c>
      <c r="AD49" s="19">
        <v>0.0</v>
      </c>
      <c r="AE49" s="13">
        <f t="shared" si="13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1.0</v>
      </c>
      <c r="K50" s="19">
        <v>0.0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2.0</v>
      </c>
      <c r="Z50" s="19">
        <v>0.0</v>
      </c>
      <c r="AA50" s="19">
        <v>0.0</v>
      </c>
      <c r="AB50" s="19">
        <v>0.0</v>
      </c>
      <c r="AC50" s="19">
        <v>0.0</v>
      </c>
      <c r="AD50" s="19">
        <v>2.0</v>
      </c>
      <c r="AE50" s="13">
        <f t="shared" si="13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3">
        <f t="shared" si="13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0.0</v>
      </c>
      <c r="AE52" s="13">
        <f t="shared" si="13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3">
        <f t="shared" si="13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3">
        <f t="shared" si="13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D55" si="14">SUM(E45:E52)</f>
        <v>17</v>
      </c>
      <c r="F55" s="13">
        <f t="shared" si="14"/>
        <v>19</v>
      </c>
      <c r="G55" s="13">
        <f t="shared" si="14"/>
        <v>51</v>
      </c>
      <c r="H55" s="13">
        <f t="shared" si="14"/>
        <v>1</v>
      </c>
      <c r="I55" s="13">
        <f t="shared" si="14"/>
        <v>39</v>
      </c>
      <c r="J55" s="13">
        <f t="shared" si="14"/>
        <v>26</v>
      </c>
      <c r="K55" s="13">
        <f t="shared" si="14"/>
        <v>13</v>
      </c>
      <c r="L55" s="13">
        <f t="shared" si="14"/>
        <v>20</v>
      </c>
      <c r="M55" s="13">
        <f t="shared" si="14"/>
        <v>23</v>
      </c>
      <c r="N55" s="13">
        <f t="shared" si="14"/>
        <v>34</v>
      </c>
      <c r="O55" s="13">
        <f t="shared" si="14"/>
        <v>10</v>
      </c>
      <c r="P55" s="13">
        <f t="shared" si="14"/>
        <v>12</v>
      </c>
      <c r="Q55" s="13">
        <f t="shared" si="14"/>
        <v>14</v>
      </c>
      <c r="R55" s="13">
        <f t="shared" si="14"/>
        <v>9</v>
      </c>
      <c r="S55" s="13">
        <f t="shared" si="14"/>
        <v>22</v>
      </c>
      <c r="T55" s="13">
        <f t="shared" si="14"/>
        <v>14</v>
      </c>
      <c r="U55" s="13">
        <f t="shared" si="14"/>
        <v>11</v>
      </c>
      <c r="V55" s="13">
        <f t="shared" si="14"/>
        <v>2</v>
      </c>
      <c r="W55" s="13">
        <f t="shared" si="14"/>
        <v>28</v>
      </c>
      <c r="X55" s="13">
        <f t="shared" si="14"/>
        <v>21</v>
      </c>
      <c r="Y55" s="13">
        <f t="shared" si="14"/>
        <v>39</v>
      </c>
      <c r="Z55" s="13">
        <f t="shared" si="14"/>
        <v>34</v>
      </c>
      <c r="AA55" s="13">
        <f t="shared" si="14"/>
        <v>23</v>
      </c>
      <c r="AB55" s="13">
        <f t="shared" si="14"/>
        <v>8</v>
      </c>
      <c r="AC55" s="13">
        <f t="shared" si="14"/>
        <v>20</v>
      </c>
      <c r="AD55" s="13">
        <f t="shared" si="14"/>
        <v>31</v>
      </c>
      <c r="AE55" s="13">
        <f t="shared" si="13"/>
        <v>541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5.0</v>
      </c>
      <c r="F57" s="19">
        <v>6.0</v>
      </c>
      <c r="G57" s="19">
        <v>2.0</v>
      </c>
      <c r="H57" s="19">
        <v>4.0</v>
      </c>
      <c r="I57" s="19">
        <v>7.0</v>
      </c>
      <c r="J57" s="19">
        <v>7.0</v>
      </c>
      <c r="K57" s="19">
        <v>9.0</v>
      </c>
      <c r="L57" s="19">
        <v>7.0</v>
      </c>
      <c r="M57" s="19">
        <v>7.0</v>
      </c>
      <c r="N57" s="19">
        <v>12.0</v>
      </c>
      <c r="O57" s="19">
        <v>4.0</v>
      </c>
      <c r="P57" s="19">
        <v>2.0</v>
      </c>
      <c r="Q57" s="19">
        <v>4.0</v>
      </c>
      <c r="R57" s="19">
        <v>3.0</v>
      </c>
      <c r="S57" s="19">
        <v>2.0</v>
      </c>
      <c r="T57" s="19">
        <v>1.0</v>
      </c>
      <c r="U57" s="19">
        <v>8.0</v>
      </c>
      <c r="V57" s="19">
        <v>3.0</v>
      </c>
      <c r="W57" s="19">
        <v>4.0</v>
      </c>
      <c r="X57" s="19">
        <v>4.0</v>
      </c>
      <c r="Y57" s="19">
        <v>3.0</v>
      </c>
      <c r="Z57" s="19">
        <v>5.0</v>
      </c>
      <c r="AA57" s="19">
        <v>5.0</v>
      </c>
      <c r="AB57" s="19">
        <v>6.0</v>
      </c>
      <c r="AC57" s="19">
        <v>7.0</v>
      </c>
      <c r="AD57" s="19">
        <v>10.0</v>
      </c>
      <c r="AE57" s="13">
        <f t="shared" ref="AE57:AE67" si="15">SUM(E57:AD57)</f>
        <v>137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2.0</v>
      </c>
      <c r="F58" s="19">
        <v>0.0</v>
      </c>
      <c r="G58" s="19">
        <v>1.0</v>
      </c>
      <c r="H58" s="19">
        <v>3.0</v>
      </c>
      <c r="I58" s="19">
        <v>2.0</v>
      </c>
      <c r="J58" s="19">
        <v>2.0</v>
      </c>
      <c r="K58" s="19">
        <v>2.0</v>
      </c>
      <c r="L58" s="19">
        <v>5.0</v>
      </c>
      <c r="M58" s="19">
        <v>6.0</v>
      </c>
      <c r="N58" s="19">
        <v>2.0</v>
      </c>
      <c r="O58" s="19">
        <v>5.0</v>
      </c>
      <c r="P58" s="19">
        <v>1.0</v>
      </c>
      <c r="Q58" s="19">
        <v>4.0</v>
      </c>
      <c r="R58" s="19">
        <v>0.0</v>
      </c>
      <c r="S58" s="19">
        <v>4.0</v>
      </c>
      <c r="T58" s="19">
        <v>0.0</v>
      </c>
      <c r="U58" s="19">
        <v>0.0</v>
      </c>
      <c r="V58" s="19">
        <v>3.0</v>
      </c>
      <c r="W58" s="19">
        <v>3.0</v>
      </c>
      <c r="X58" s="19">
        <v>13.0</v>
      </c>
      <c r="Y58" s="19">
        <v>1.0</v>
      </c>
      <c r="Z58" s="19">
        <v>1.0</v>
      </c>
      <c r="AA58" s="19">
        <v>1.0</v>
      </c>
      <c r="AB58" s="19">
        <v>2.0</v>
      </c>
      <c r="AC58" s="19">
        <v>3.0</v>
      </c>
      <c r="AD58" s="19">
        <v>5.0</v>
      </c>
      <c r="AE58" s="13">
        <f t="shared" si="15"/>
        <v>71</v>
      </c>
    </row>
    <row r="59" ht="12.75" customHeight="1">
      <c r="A59" s="18"/>
      <c r="B59" s="55">
        <v>2.0</v>
      </c>
      <c r="C59" s="50" t="s">
        <v>50</v>
      </c>
      <c r="D59" s="56"/>
      <c r="E59" s="19">
        <v>17.0</v>
      </c>
      <c r="F59" s="19">
        <v>19.0</v>
      </c>
      <c r="G59" s="19">
        <v>9.0</v>
      </c>
      <c r="H59" s="19">
        <v>10.0</v>
      </c>
      <c r="I59" s="19">
        <v>17.0</v>
      </c>
      <c r="J59" s="19">
        <v>17.0</v>
      </c>
      <c r="K59" s="19">
        <v>9.0</v>
      </c>
      <c r="L59" s="19">
        <v>17.0</v>
      </c>
      <c r="M59" s="19">
        <v>34.0</v>
      </c>
      <c r="N59" s="19">
        <v>12.0</v>
      </c>
      <c r="O59" s="19">
        <v>10.0</v>
      </c>
      <c r="P59" s="19">
        <v>2.0</v>
      </c>
      <c r="Q59" s="19">
        <v>3.0</v>
      </c>
      <c r="R59" s="19">
        <v>0.0</v>
      </c>
      <c r="S59" s="19">
        <v>4.0</v>
      </c>
      <c r="T59" s="19">
        <v>1.0</v>
      </c>
      <c r="U59" s="19">
        <v>5.0</v>
      </c>
      <c r="V59" s="19">
        <v>0.0</v>
      </c>
      <c r="W59" s="19">
        <v>9.0</v>
      </c>
      <c r="X59" s="19">
        <v>22.0</v>
      </c>
      <c r="Y59" s="19">
        <v>4.0</v>
      </c>
      <c r="Z59" s="19">
        <v>18.0</v>
      </c>
      <c r="AA59" s="19">
        <v>14.0</v>
      </c>
      <c r="AB59" s="19">
        <v>14.0</v>
      </c>
      <c r="AC59" s="19">
        <v>27.0</v>
      </c>
      <c r="AD59" s="19">
        <v>14.0</v>
      </c>
      <c r="AE59" s="13">
        <f t="shared" si="15"/>
        <v>308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0.0</v>
      </c>
      <c r="L60" s="19">
        <v>0.0</v>
      </c>
      <c r="M60" s="19">
        <v>2.0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1.0</v>
      </c>
      <c r="V60" s="19">
        <v>0.0</v>
      </c>
      <c r="W60" s="19">
        <v>5.0</v>
      </c>
      <c r="X60" s="19">
        <v>0.0</v>
      </c>
      <c r="Y60" s="19">
        <v>2.0</v>
      </c>
      <c r="Z60" s="19">
        <v>2.0</v>
      </c>
      <c r="AA60" s="19">
        <v>1.0</v>
      </c>
      <c r="AB60" s="19">
        <v>0.0</v>
      </c>
      <c r="AC60" s="19">
        <v>0.0</v>
      </c>
      <c r="AD60" s="19">
        <v>0.0</v>
      </c>
      <c r="AE60" s="13">
        <f t="shared" si="15"/>
        <v>15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1.0</v>
      </c>
      <c r="H61" s="19">
        <v>14.0</v>
      </c>
      <c r="I61" s="19">
        <v>1.0</v>
      </c>
      <c r="J61" s="19">
        <v>5.0</v>
      </c>
      <c r="K61" s="19">
        <v>8.0</v>
      </c>
      <c r="L61" s="19">
        <v>5.0</v>
      </c>
      <c r="M61" s="19">
        <v>1.0</v>
      </c>
      <c r="N61" s="19">
        <v>2.0</v>
      </c>
      <c r="O61" s="19">
        <v>3.0</v>
      </c>
      <c r="P61" s="19">
        <v>1.0</v>
      </c>
      <c r="Q61" s="19">
        <v>4.0</v>
      </c>
      <c r="R61" s="19">
        <v>1.0</v>
      </c>
      <c r="S61" s="19">
        <v>0.0</v>
      </c>
      <c r="T61" s="19">
        <v>0.0</v>
      </c>
      <c r="U61" s="19">
        <v>9.0</v>
      </c>
      <c r="V61" s="19">
        <v>5.0</v>
      </c>
      <c r="W61" s="19">
        <v>2.0</v>
      </c>
      <c r="X61" s="19">
        <v>2.0</v>
      </c>
      <c r="Y61" s="19">
        <v>0.0</v>
      </c>
      <c r="Z61" s="19">
        <v>0.0</v>
      </c>
      <c r="AA61" s="19">
        <v>2.0</v>
      </c>
      <c r="AB61" s="19">
        <v>9.0</v>
      </c>
      <c r="AC61" s="19">
        <v>20.0</v>
      </c>
      <c r="AD61" s="19">
        <v>11.0</v>
      </c>
      <c r="AE61" s="13">
        <f t="shared" si="15"/>
        <v>109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2.0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3">
        <f t="shared" si="15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2.0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1.0</v>
      </c>
      <c r="AC63" s="19">
        <v>0.0</v>
      </c>
      <c r="AD63" s="19">
        <v>0.0</v>
      </c>
      <c r="AE63" s="13">
        <f t="shared" si="15"/>
        <v>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1.0</v>
      </c>
      <c r="H64" s="19">
        <v>0.0</v>
      </c>
      <c r="I64" s="19">
        <v>1.0</v>
      </c>
      <c r="J64" s="19">
        <v>1.0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1.0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5.0</v>
      </c>
      <c r="Z64" s="19">
        <v>1.0</v>
      </c>
      <c r="AA64" s="19">
        <v>0.0</v>
      </c>
      <c r="AB64" s="19">
        <v>0.0</v>
      </c>
      <c r="AC64" s="19">
        <v>0.0</v>
      </c>
      <c r="AD64" s="19">
        <v>0.0</v>
      </c>
      <c r="AE64" s="13">
        <f t="shared" si="15"/>
        <v>13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3">
        <f t="shared" si="15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3">
        <f t="shared" si="15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D67" si="16">SUM(E57:E64)</f>
        <v>26</v>
      </c>
      <c r="F67" s="13">
        <f t="shared" si="16"/>
        <v>29</v>
      </c>
      <c r="G67" s="13">
        <f t="shared" si="16"/>
        <v>17</v>
      </c>
      <c r="H67" s="13">
        <f t="shared" si="16"/>
        <v>31</v>
      </c>
      <c r="I67" s="13">
        <f t="shared" si="16"/>
        <v>28</v>
      </c>
      <c r="J67" s="13">
        <f t="shared" si="16"/>
        <v>34</v>
      </c>
      <c r="K67" s="13">
        <f t="shared" si="16"/>
        <v>29</v>
      </c>
      <c r="L67" s="13">
        <f t="shared" si="16"/>
        <v>34</v>
      </c>
      <c r="M67" s="13">
        <f t="shared" si="16"/>
        <v>52</v>
      </c>
      <c r="N67" s="13">
        <f t="shared" si="16"/>
        <v>28</v>
      </c>
      <c r="O67" s="13">
        <f t="shared" si="16"/>
        <v>22</v>
      </c>
      <c r="P67" s="13">
        <f t="shared" si="16"/>
        <v>7</v>
      </c>
      <c r="Q67" s="13">
        <f t="shared" si="16"/>
        <v>17</v>
      </c>
      <c r="R67" s="13">
        <f t="shared" si="16"/>
        <v>5</v>
      </c>
      <c r="S67" s="13">
        <f t="shared" si="16"/>
        <v>10</v>
      </c>
      <c r="T67" s="13">
        <f t="shared" si="16"/>
        <v>2</v>
      </c>
      <c r="U67" s="13">
        <f t="shared" si="16"/>
        <v>23</v>
      </c>
      <c r="V67" s="13">
        <f t="shared" si="16"/>
        <v>11</v>
      </c>
      <c r="W67" s="13">
        <f t="shared" si="16"/>
        <v>24</v>
      </c>
      <c r="X67" s="13">
        <f t="shared" si="16"/>
        <v>41</v>
      </c>
      <c r="Y67" s="13">
        <f t="shared" si="16"/>
        <v>15</v>
      </c>
      <c r="Z67" s="13">
        <f t="shared" si="16"/>
        <v>27</v>
      </c>
      <c r="AA67" s="13">
        <f t="shared" si="16"/>
        <v>23</v>
      </c>
      <c r="AB67" s="13">
        <f t="shared" si="16"/>
        <v>32</v>
      </c>
      <c r="AC67" s="13">
        <f t="shared" si="16"/>
        <v>57</v>
      </c>
      <c r="AD67" s="13">
        <f t="shared" si="16"/>
        <v>40</v>
      </c>
      <c r="AE67" s="13">
        <f t="shared" si="15"/>
        <v>664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18.0</v>
      </c>
      <c r="F69" s="19">
        <v>7.0</v>
      </c>
      <c r="G69" s="19">
        <v>5.0</v>
      </c>
      <c r="H69" s="19">
        <v>10.0</v>
      </c>
      <c r="I69" s="19">
        <v>6.0</v>
      </c>
      <c r="J69" s="19">
        <v>13.0</v>
      </c>
      <c r="K69" s="19">
        <v>11.0</v>
      </c>
      <c r="L69" s="19">
        <v>14.0</v>
      </c>
      <c r="M69" s="19">
        <v>5.0</v>
      </c>
      <c r="N69" s="19">
        <v>18.0</v>
      </c>
      <c r="O69" s="19">
        <v>3.0</v>
      </c>
      <c r="P69" s="19">
        <v>2.0</v>
      </c>
      <c r="Q69" s="19">
        <v>1.0</v>
      </c>
      <c r="R69" s="19">
        <v>3.0</v>
      </c>
      <c r="S69" s="19">
        <v>2.0</v>
      </c>
      <c r="T69" s="19">
        <v>3.0</v>
      </c>
      <c r="U69" s="19">
        <v>3.0</v>
      </c>
      <c r="V69" s="19">
        <v>14.0</v>
      </c>
      <c r="W69" s="19">
        <v>18.0</v>
      </c>
      <c r="X69" s="19">
        <v>9.0</v>
      </c>
      <c r="Y69" s="19">
        <v>3.0</v>
      </c>
      <c r="Z69" s="19">
        <v>7.0</v>
      </c>
      <c r="AA69" s="19">
        <v>5.0</v>
      </c>
      <c r="AB69" s="19">
        <v>8.0</v>
      </c>
      <c r="AC69" s="19">
        <v>6.0</v>
      </c>
      <c r="AD69" s="19">
        <v>7.0</v>
      </c>
      <c r="AE69" s="13">
        <f t="shared" ref="AE69:AE79" si="17">SUM(E69:AD69)</f>
        <v>201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45.0</v>
      </c>
      <c r="F70" s="19">
        <v>27.0</v>
      </c>
      <c r="G70" s="19">
        <v>11.0</v>
      </c>
      <c r="H70" s="19">
        <v>8.0</v>
      </c>
      <c r="I70" s="19">
        <v>6.0</v>
      </c>
      <c r="J70" s="19">
        <v>16.0</v>
      </c>
      <c r="K70" s="19">
        <v>28.0</v>
      </c>
      <c r="L70" s="19">
        <v>46.0</v>
      </c>
      <c r="M70" s="19">
        <v>38.0</v>
      </c>
      <c r="N70" s="19">
        <v>8.0</v>
      </c>
      <c r="O70" s="19">
        <v>4.0</v>
      </c>
      <c r="P70" s="19">
        <v>4.0</v>
      </c>
      <c r="Q70" s="19">
        <v>18.0</v>
      </c>
      <c r="R70" s="19">
        <v>0.0</v>
      </c>
      <c r="S70" s="19">
        <v>1.0</v>
      </c>
      <c r="T70" s="19">
        <v>1.0</v>
      </c>
      <c r="U70" s="19">
        <v>6.0</v>
      </c>
      <c r="V70" s="19">
        <v>75.0</v>
      </c>
      <c r="W70" s="19">
        <v>48.0</v>
      </c>
      <c r="X70" s="19">
        <v>33.0</v>
      </c>
      <c r="Y70" s="19">
        <v>3.0</v>
      </c>
      <c r="Z70" s="19">
        <v>16.0</v>
      </c>
      <c r="AA70" s="19">
        <v>5.0</v>
      </c>
      <c r="AB70" s="19">
        <v>33.0</v>
      </c>
      <c r="AC70" s="19">
        <v>2.0</v>
      </c>
      <c r="AD70" s="19">
        <v>6.0</v>
      </c>
      <c r="AE70" s="13">
        <f t="shared" si="17"/>
        <v>488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4.0</v>
      </c>
      <c r="G71" s="19">
        <v>3.0</v>
      </c>
      <c r="H71" s="19">
        <v>1.0</v>
      </c>
      <c r="I71" s="19">
        <v>1.0</v>
      </c>
      <c r="J71" s="19">
        <v>3.0</v>
      </c>
      <c r="K71" s="19">
        <v>6.0</v>
      </c>
      <c r="L71" s="19">
        <v>0.0</v>
      </c>
      <c r="M71" s="19">
        <v>1.0</v>
      </c>
      <c r="N71" s="19">
        <v>1.0</v>
      </c>
      <c r="O71" s="19">
        <v>0.0</v>
      </c>
      <c r="P71" s="19">
        <v>3.0</v>
      </c>
      <c r="Q71" s="19">
        <v>0.0</v>
      </c>
      <c r="R71" s="19">
        <v>1.0</v>
      </c>
      <c r="S71" s="19">
        <v>1.0</v>
      </c>
      <c r="T71" s="19">
        <v>0.0</v>
      </c>
      <c r="U71" s="19">
        <v>0.0</v>
      </c>
      <c r="V71" s="19">
        <v>1.0</v>
      </c>
      <c r="W71" s="19">
        <v>2.0</v>
      </c>
      <c r="X71" s="19">
        <v>1.0</v>
      </c>
      <c r="Y71" s="19">
        <v>0.0</v>
      </c>
      <c r="Z71" s="19">
        <v>1.0</v>
      </c>
      <c r="AA71" s="19">
        <v>0.0</v>
      </c>
      <c r="AB71" s="19">
        <v>0.0</v>
      </c>
      <c r="AC71" s="19">
        <v>1.0</v>
      </c>
      <c r="AD71" s="19">
        <v>1.0</v>
      </c>
      <c r="AE71" s="13">
        <f t="shared" si="17"/>
        <v>35</v>
      </c>
    </row>
    <row r="72" ht="12.75" customHeight="1">
      <c r="A72" s="18"/>
      <c r="B72" s="55">
        <v>3.0</v>
      </c>
      <c r="C72" s="50" t="s">
        <v>59</v>
      </c>
      <c r="D72" s="57"/>
      <c r="E72" s="19">
        <v>13.0</v>
      </c>
      <c r="F72" s="19">
        <v>1.0</v>
      </c>
      <c r="G72" s="19">
        <v>10.0</v>
      </c>
      <c r="H72" s="19">
        <v>0.0</v>
      </c>
      <c r="I72" s="19">
        <v>21.0</v>
      </c>
      <c r="J72" s="19">
        <v>17.0</v>
      </c>
      <c r="K72" s="19">
        <v>4.0</v>
      </c>
      <c r="L72" s="19">
        <v>6.0</v>
      </c>
      <c r="M72" s="19">
        <v>8.0</v>
      </c>
      <c r="N72" s="19">
        <v>13.0</v>
      </c>
      <c r="O72" s="19">
        <v>2.0</v>
      </c>
      <c r="P72" s="19">
        <v>8.0</v>
      </c>
      <c r="Q72" s="19">
        <v>7.0</v>
      </c>
      <c r="R72" s="19">
        <v>5.0</v>
      </c>
      <c r="S72" s="19">
        <v>0.0</v>
      </c>
      <c r="T72" s="19">
        <v>2.0</v>
      </c>
      <c r="U72" s="19">
        <v>5.0</v>
      </c>
      <c r="V72" s="19">
        <v>6.0</v>
      </c>
      <c r="W72" s="19">
        <v>16.0</v>
      </c>
      <c r="X72" s="19">
        <v>16.0</v>
      </c>
      <c r="Y72" s="19">
        <v>2.0</v>
      </c>
      <c r="Z72" s="19">
        <v>65.0</v>
      </c>
      <c r="AA72" s="19">
        <v>45.0</v>
      </c>
      <c r="AB72" s="19">
        <v>23.0</v>
      </c>
      <c r="AC72" s="19">
        <v>9.0</v>
      </c>
      <c r="AD72" s="19">
        <v>22.0</v>
      </c>
      <c r="AE72" s="13">
        <f t="shared" si="17"/>
        <v>326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0.0</v>
      </c>
      <c r="H73" s="19">
        <v>1.0</v>
      </c>
      <c r="I73" s="19">
        <v>0.0</v>
      </c>
      <c r="J73" s="19">
        <v>0.0</v>
      </c>
      <c r="K73" s="19">
        <v>1.0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0.0</v>
      </c>
      <c r="V73" s="19">
        <v>0.0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1.0</v>
      </c>
      <c r="AE73" s="13">
        <f t="shared" si="17"/>
        <v>6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1.0</v>
      </c>
      <c r="H74" s="19">
        <v>0.0</v>
      </c>
      <c r="I74" s="19">
        <v>0.0</v>
      </c>
      <c r="J74" s="19">
        <v>2.0</v>
      </c>
      <c r="K74" s="19">
        <v>2.0</v>
      </c>
      <c r="L74" s="19">
        <v>0.0</v>
      </c>
      <c r="M74" s="19">
        <v>2.0</v>
      </c>
      <c r="N74" s="19">
        <v>0.0</v>
      </c>
      <c r="O74" s="19">
        <v>0.0</v>
      </c>
      <c r="P74" s="19">
        <v>2.0</v>
      </c>
      <c r="Q74" s="19">
        <v>0.0</v>
      </c>
      <c r="R74" s="19">
        <v>1.0</v>
      </c>
      <c r="S74" s="19">
        <v>1.0</v>
      </c>
      <c r="T74" s="19">
        <v>0.0</v>
      </c>
      <c r="U74" s="19">
        <v>0.0</v>
      </c>
      <c r="V74" s="19">
        <v>0.0</v>
      </c>
      <c r="W74" s="19">
        <v>5.0</v>
      </c>
      <c r="X74" s="19">
        <v>1.0</v>
      </c>
      <c r="Y74" s="19">
        <v>1.0</v>
      </c>
      <c r="Z74" s="19">
        <v>0.0</v>
      </c>
      <c r="AA74" s="19">
        <v>1.0</v>
      </c>
      <c r="AB74" s="19">
        <v>1.0</v>
      </c>
      <c r="AC74" s="19">
        <v>0.0</v>
      </c>
      <c r="AD74" s="19">
        <v>0.0</v>
      </c>
      <c r="AE74" s="13">
        <f t="shared" si="17"/>
        <v>21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1.0</v>
      </c>
      <c r="L75" s="19">
        <v>1.0</v>
      </c>
      <c r="M75" s="19">
        <v>0.0</v>
      </c>
      <c r="N75" s="19">
        <v>0.0</v>
      </c>
      <c r="O75" s="19">
        <v>1.0</v>
      </c>
      <c r="P75" s="19">
        <v>1.0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3">
        <f t="shared" si="17"/>
        <v>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1.0</v>
      </c>
      <c r="L76" s="19">
        <v>1.0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2.0</v>
      </c>
      <c r="Y76" s="19">
        <v>0.0</v>
      </c>
      <c r="Z76" s="19">
        <v>0.0</v>
      </c>
      <c r="AA76" s="19">
        <v>0.0</v>
      </c>
      <c r="AB76" s="19">
        <v>2.0</v>
      </c>
      <c r="AC76" s="19">
        <v>0.0</v>
      </c>
      <c r="AD76" s="19">
        <v>0.0</v>
      </c>
      <c r="AE76" s="13">
        <f t="shared" si="17"/>
        <v>8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3">
        <f t="shared" si="17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3">
        <f t="shared" si="17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D79" si="18">SUM(E69:E76)</f>
        <v>79</v>
      </c>
      <c r="F79" s="13">
        <f t="shared" si="18"/>
        <v>41</v>
      </c>
      <c r="G79" s="13">
        <f t="shared" si="18"/>
        <v>30</v>
      </c>
      <c r="H79" s="13">
        <f t="shared" si="18"/>
        <v>20</v>
      </c>
      <c r="I79" s="13">
        <f t="shared" si="18"/>
        <v>34</v>
      </c>
      <c r="J79" s="13">
        <f t="shared" si="18"/>
        <v>52</v>
      </c>
      <c r="K79" s="13">
        <f t="shared" si="18"/>
        <v>54</v>
      </c>
      <c r="L79" s="13">
        <f t="shared" si="18"/>
        <v>68</v>
      </c>
      <c r="M79" s="13">
        <f t="shared" si="18"/>
        <v>54</v>
      </c>
      <c r="N79" s="13">
        <f t="shared" si="18"/>
        <v>40</v>
      </c>
      <c r="O79" s="13">
        <f t="shared" si="18"/>
        <v>10</v>
      </c>
      <c r="P79" s="13">
        <f t="shared" si="18"/>
        <v>20</v>
      </c>
      <c r="Q79" s="13">
        <f t="shared" si="18"/>
        <v>27</v>
      </c>
      <c r="R79" s="13">
        <f t="shared" si="18"/>
        <v>10</v>
      </c>
      <c r="S79" s="13">
        <f t="shared" si="18"/>
        <v>6</v>
      </c>
      <c r="T79" s="13">
        <f t="shared" si="18"/>
        <v>6</v>
      </c>
      <c r="U79" s="13">
        <f t="shared" si="18"/>
        <v>14</v>
      </c>
      <c r="V79" s="13">
        <f t="shared" si="18"/>
        <v>96</v>
      </c>
      <c r="W79" s="13">
        <f t="shared" si="18"/>
        <v>90</v>
      </c>
      <c r="X79" s="13">
        <f t="shared" si="18"/>
        <v>62</v>
      </c>
      <c r="Y79" s="13">
        <f t="shared" si="18"/>
        <v>9</v>
      </c>
      <c r="Z79" s="13">
        <f t="shared" si="18"/>
        <v>89</v>
      </c>
      <c r="AA79" s="13">
        <f t="shared" si="18"/>
        <v>56</v>
      </c>
      <c r="AB79" s="13">
        <f t="shared" si="18"/>
        <v>67</v>
      </c>
      <c r="AC79" s="13">
        <f t="shared" si="18"/>
        <v>18</v>
      </c>
      <c r="AD79" s="13">
        <f t="shared" si="18"/>
        <v>37</v>
      </c>
      <c r="AE79" s="13">
        <f t="shared" si="17"/>
        <v>1089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4.0</v>
      </c>
      <c r="G81" s="19">
        <v>6.0</v>
      </c>
      <c r="H81" s="19">
        <v>9.0</v>
      </c>
      <c r="I81" s="19">
        <v>12.0</v>
      </c>
      <c r="J81" s="19">
        <v>8.0</v>
      </c>
      <c r="K81" s="19">
        <v>5.0</v>
      </c>
      <c r="L81" s="19">
        <v>7.0</v>
      </c>
      <c r="M81" s="19">
        <v>2.0</v>
      </c>
      <c r="N81" s="19">
        <v>6.0</v>
      </c>
      <c r="O81" s="19">
        <v>10.0</v>
      </c>
      <c r="P81" s="19">
        <v>6.0</v>
      </c>
      <c r="Q81" s="19">
        <v>3.0</v>
      </c>
      <c r="R81" s="19">
        <v>0.0</v>
      </c>
      <c r="S81" s="19">
        <v>5.0</v>
      </c>
      <c r="T81" s="19">
        <v>6.0</v>
      </c>
      <c r="U81" s="19">
        <v>9.0</v>
      </c>
      <c r="V81" s="19">
        <v>4.0</v>
      </c>
      <c r="W81" s="19">
        <v>5.0</v>
      </c>
      <c r="X81" s="19">
        <v>7.0</v>
      </c>
      <c r="Y81" s="19">
        <v>2.0</v>
      </c>
      <c r="Z81" s="19">
        <v>5.0</v>
      </c>
      <c r="AA81" s="19">
        <v>2.0</v>
      </c>
      <c r="AB81" s="19">
        <v>1.0</v>
      </c>
      <c r="AC81" s="19">
        <v>12.0</v>
      </c>
      <c r="AD81" s="19">
        <v>5.0</v>
      </c>
      <c r="AE81" s="13">
        <f t="shared" ref="AE81:AE91" si="19">SUM(E81:AD81)</f>
        <v>144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6.0</v>
      </c>
      <c r="F82" s="19">
        <v>34.0</v>
      </c>
      <c r="G82" s="19">
        <v>7.0</v>
      </c>
      <c r="H82" s="19">
        <v>31.0</v>
      </c>
      <c r="I82" s="19">
        <v>7.0</v>
      </c>
      <c r="J82" s="19">
        <v>1.0</v>
      </c>
      <c r="K82" s="19">
        <v>7.0</v>
      </c>
      <c r="L82" s="19">
        <v>10.0</v>
      </c>
      <c r="M82" s="19">
        <v>1.0</v>
      </c>
      <c r="N82" s="19">
        <v>21.0</v>
      </c>
      <c r="O82" s="19">
        <v>4.0</v>
      </c>
      <c r="P82" s="19">
        <v>0.0</v>
      </c>
      <c r="Q82" s="19">
        <v>1.0</v>
      </c>
      <c r="R82" s="19">
        <v>1.0</v>
      </c>
      <c r="S82" s="19">
        <v>1.0</v>
      </c>
      <c r="T82" s="19">
        <v>5.0</v>
      </c>
      <c r="U82" s="19">
        <v>3.0</v>
      </c>
      <c r="V82" s="19">
        <v>3.0</v>
      </c>
      <c r="W82" s="19">
        <v>2.0</v>
      </c>
      <c r="X82" s="19">
        <v>1.0</v>
      </c>
      <c r="Y82" s="19">
        <v>60.0</v>
      </c>
      <c r="Z82" s="19">
        <v>8.0</v>
      </c>
      <c r="AA82" s="19">
        <v>14.0</v>
      </c>
      <c r="AB82" s="19">
        <v>6.0</v>
      </c>
      <c r="AC82" s="19">
        <v>11.0</v>
      </c>
      <c r="AD82" s="19">
        <v>1.0</v>
      </c>
      <c r="AE82" s="13">
        <f t="shared" si="19"/>
        <v>246</v>
      </c>
    </row>
    <row r="83" ht="12.75" customHeight="1">
      <c r="A83" s="18"/>
      <c r="B83" s="55">
        <v>2.0</v>
      </c>
      <c r="C83" s="50" t="s">
        <v>66</v>
      </c>
      <c r="D83" s="57"/>
      <c r="E83" s="19">
        <v>43.0</v>
      </c>
      <c r="F83" s="19">
        <v>20.0</v>
      </c>
      <c r="G83" s="19">
        <v>52.0</v>
      </c>
      <c r="H83" s="19">
        <v>34.0</v>
      </c>
      <c r="I83" s="19">
        <v>40.0</v>
      </c>
      <c r="J83" s="19">
        <v>15.0</v>
      </c>
      <c r="K83" s="19">
        <v>38.0</v>
      </c>
      <c r="L83" s="19">
        <v>54.0</v>
      </c>
      <c r="M83" s="19">
        <v>41.0</v>
      </c>
      <c r="N83" s="19">
        <v>59.0</v>
      </c>
      <c r="O83" s="19">
        <v>84.0</v>
      </c>
      <c r="P83" s="19">
        <v>136.0</v>
      </c>
      <c r="Q83" s="19">
        <v>86.0</v>
      </c>
      <c r="R83" s="19">
        <v>119.0</v>
      </c>
      <c r="S83" s="19">
        <v>153.0</v>
      </c>
      <c r="T83" s="19">
        <v>144.0</v>
      </c>
      <c r="U83" s="19">
        <v>123.0</v>
      </c>
      <c r="V83" s="19">
        <v>40.0</v>
      </c>
      <c r="W83" s="19">
        <v>34.0</v>
      </c>
      <c r="X83" s="19">
        <v>37.0</v>
      </c>
      <c r="Y83" s="19">
        <v>34.0</v>
      </c>
      <c r="Z83" s="19">
        <v>9.0</v>
      </c>
      <c r="AA83" s="19">
        <v>20.0</v>
      </c>
      <c r="AB83" s="19">
        <v>3.0</v>
      </c>
      <c r="AC83" s="19">
        <v>28.0</v>
      </c>
      <c r="AD83" s="19">
        <v>43.0</v>
      </c>
      <c r="AE83" s="13">
        <f t="shared" si="19"/>
        <v>1489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0.0</v>
      </c>
      <c r="H84" s="19">
        <v>0.0</v>
      </c>
      <c r="I84" s="19">
        <v>0.0</v>
      </c>
      <c r="J84" s="19">
        <v>0.0</v>
      </c>
      <c r="K84" s="19">
        <v>2.0</v>
      </c>
      <c r="L84" s="19">
        <v>0.0</v>
      </c>
      <c r="M84" s="19">
        <v>2.0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0.0</v>
      </c>
      <c r="T84" s="19">
        <v>1.0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1.0</v>
      </c>
      <c r="AE84" s="13">
        <f t="shared" si="19"/>
        <v>11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9">
        <v>1.0</v>
      </c>
      <c r="AA85" s="19">
        <v>0.0</v>
      </c>
      <c r="AB85" s="19">
        <v>2.0</v>
      </c>
      <c r="AC85" s="19">
        <v>1.0</v>
      </c>
      <c r="AD85" s="19">
        <v>0.0</v>
      </c>
      <c r="AE85" s="13">
        <f t="shared" si="19"/>
        <v>6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4.0</v>
      </c>
      <c r="K86" s="19">
        <v>0.0</v>
      </c>
      <c r="L86" s="19">
        <v>3.0</v>
      </c>
      <c r="M86" s="19">
        <v>0.0</v>
      </c>
      <c r="N86" s="19">
        <v>0.0</v>
      </c>
      <c r="O86" s="19">
        <v>1.0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9">
        <v>0.0</v>
      </c>
      <c r="V86" s="19">
        <v>1.0</v>
      </c>
      <c r="W86" s="19">
        <v>1.0</v>
      </c>
      <c r="X86" s="19">
        <v>0.0</v>
      </c>
      <c r="Y86" s="19">
        <v>1.0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3">
        <f t="shared" si="19"/>
        <v>13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1.0</v>
      </c>
      <c r="AB87" s="19">
        <v>0.0</v>
      </c>
      <c r="AC87" s="19">
        <v>0.0</v>
      </c>
      <c r="AD87" s="19">
        <v>0.0</v>
      </c>
      <c r="AE87" s="13">
        <f t="shared" si="19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2.0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1.0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3">
        <f t="shared" si="19"/>
        <v>5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3">
        <f t="shared" si="19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3">
        <f t="shared" si="19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D91" si="20">SUM(E81:E88)</f>
        <v>54</v>
      </c>
      <c r="F91" s="13">
        <f t="shared" si="20"/>
        <v>60</v>
      </c>
      <c r="G91" s="13">
        <f t="shared" si="20"/>
        <v>65</v>
      </c>
      <c r="H91" s="13">
        <f t="shared" si="20"/>
        <v>74</v>
      </c>
      <c r="I91" s="13">
        <f t="shared" si="20"/>
        <v>59</v>
      </c>
      <c r="J91" s="13">
        <f t="shared" si="20"/>
        <v>28</v>
      </c>
      <c r="K91" s="13">
        <f t="shared" si="20"/>
        <v>54</v>
      </c>
      <c r="L91" s="13">
        <f t="shared" si="20"/>
        <v>74</v>
      </c>
      <c r="M91" s="13">
        <f t="shared" si="20"/>
        <v>47</v>
      </c>
      <c r="N91" s="13">
        <f t="shared" si="20"/>
        <v>87</v>
      </c>
      <c r="O91" s="13">
        <f t="shared" si="20"/>
        <v>100</v>
      </c>
      <c r="P91" s="13">
        <f t="shared" si="20"/>
        <v>142</v>
      </c>
      <c r="Q91" s="13">
        <f t="shared" si="20"/>
        <v>91</v>
      </c>
      <c r="R91" s="13">
        <f t="shared" si="20"/>
        <v>120</v>
      </c>
      <c r="S91" s="13">
        <f t="shared" si="20"/>
        <v>160</v>
      </c>
      <c r="T91" s="13">
        <f t="shared" si="20"/>
        <v>156</v>
      </c>
      <c r="U91" s="13">
        <f t="shared" si="20"/>
        <v>135</v>
      </c>
      <c r="V91" s="13">
        <f t="shared" si="20"/>
        <v>49</v>
      </c>
      <c r="W91" s="13">
        <f t="shared" si="20"/>
        <v>44</v>
      </c>
      <c r="X91" s="13">
        <f t="shared" si="20"/>
        <v>45</v>
      </c>
      <c r="Y91" s="13">
        <f t="shared" si="20"/>
        <v>98</v>
      </c>
      <c r="Z91" s="13">
        <f t="shared" si="20"/>
        <v>23</v>
      </c>
      <c r="AA91" s="13">
        <f t="shared" si="20"/>
        <v>37</v>
      </c>
      <c r="AB91" s="13">
        <f t="shared" si="20"/>
        <v>12</v>
      </c>
      <c r="AC91" s="13">
        <f t="shared" si="20"/>
        <v>52</v>
      </c>
      <c r="AD91" s="13">
        <f t="shared" si="20"/>
        <v>50</v>
      </c>
      <c r="AE91" s="13">
        <f t="shared" si="19"/>
        <v>1916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3.0</v>
      </c>
      <c r="I93" s="19">
        <v>0.0</v>
      </c>
      <c r="J93" s="19">
        <v>0.0</v>
      </c>
      <c r="K93" s="19">
        <v>0.0</v>
      </c>
      <c r="L93" s="19">
        <v>1.0</v>
      </c>
      <c r="M93" s="19">
        <v>0.0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1.0</v>
      </c>
      <c r="Y93" s="19">
        <v>0.0</v>
      </c>
      <c r="Z93" s="19">
        <v>0.0</v>
      </c>
      <c r="AA93" s="19">
        <v>0.0</v>
      </c>
      <c r="AB93" s="19">
        <v>0.0</v>
      </c>
      <c r="AC93" s="19">
        <v>0.0</v>
      </c>
      <c r="AD93" s="19">
        <v>0.0</v>
      </c>
      <c r="AE93" s="13">
        <f t="shared" ref="AE93:AE103" si="21">SUM(E93:AD93)</f>
        <v>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1.0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3.0</v>
      </c>
      <c r="O94" s="19">
        <v>1.0</v>
      </c>
      <c r="P94" s="19">
        <v>0.0</v>
      </c>
      <c r="Q94" s="19">
        <v>1.0</v>
      </c>
      <c r="R94" s="19">
        <v>0.0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1.0</v>
      </c>
      <c r="Y94" s="19">
        <v>0.0</v>
      </c>
      <c r="Z94" s="19">
        <v>3.0</v>
      </c>
      <c r="AA94" s="19">
        <v>0.0</v>
      </c>
      <c r="AB94" s="19">
        <v>0.0</v>
      </c>
      <c r="AC94" s="19">
        <v>0.0</v>
      </c>
      <c r="AD94" s="19">
        <v>2.0</v>
      </c>
      <c r="AE94" s="13">
        <f t="shared" si="21"/>
        <v>14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2.0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3">
        <f t="shared" si="21"/>
        <v>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3">
        <f t="shared" si="21"/>
        <v>3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1.0</v>
      </c>
      <c r="X97" s="19">
        <v>1.0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3">
        <f t="shared" si="21"/>
        <v>3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3">
        <f t="shared" si="21"/>
        <v>0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3">
        <f t="shared" si="21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3">
        <f t="shared" si="21"/>
        <v>1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3">
        <f t="shared" si="21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3">
        <f t="shared" si="21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D103" si="22">SUM(E93:E100)</f>
        <v>3</v>
      </c>
      <c r="F103" s="13">
        <f t="shared" si="22"/>
        <v>2</v>
      </c>
      <c r="G103" s="13">
        <f t="shared" si="22"/>
        <v>0</v>
      </c>
      <c r="H103" s="13">
        <f t="shared" si="22"/>
        <v>4</v>
      </c>
      <c r="I103" s="13">
        <f t="shared" si="22"/>
        <v>0</v>
      </c>
      <c r="J103" s="13">
        <f t="shared" si="22"/>
        <v>1</v>
      </c>
      <c r="K103" s="13">
        <f t="shared" si="22"/>
        <v>2</v>
      </c>
      <c r="L103" s="13">
        <f t="shared" si="22"/>
        <v>1</v>
      </c>
      <c r="M103" s="13">
        <f t="shared" si="22"/>
        <v>0</v>
      </c>
      <c r="N103" s="13">
        <f t="shared" si="22"/>
        <v>3</v>
      </c>
      <c r="O103" s="13">
        <f t="shared" si="22"/>
        <v>1</v>
      </c>
      <c r="P103" s="13">
        <f t="shared" si="22"/>
        <v>1</v>
      </c>
      <c r="Q103" s="13">
        <f t="shared" si="22"/>
        <v>2</v>
      </c>
      <c r="R103" s="13">
        <f t="shared" si="22"/>
        <v>0</v>
      </c>
      <c r="S103" s="13">
        <f t="shared" si="22"/>
        <v>0</v>
      </c>
      <c r="T103" s="13">
        <f t="shared" si="22"/>
        <v>1</v>
      </c>
      <c r="U103" s="13">
        <f t="shared" si="22"/>
        <v>0</v>
      </c>
      <c r="V103" s="13">
        <f t="shared" si="22"/>
        <v>0</v>
      </c>
      <c r="W103" s="13">
        <f t="shared" si="22"/>
        <v>1</v>
      </c>
      <c r="X103" s="13">
        <f t="shared" si="22"/>
        <v>4</v>
      </c>
      <c r="Y103" s="13">
        <f t="shared" si="22"/>
        <v>0</v>
      </c>
      <c r="Z103" s="13">
        <f t="shared" si="22"/>
        <v>3</v>
      </c>
      <c r="AA103" s="13">
        <f t="shared" si="22"/>
        <v>0</v>
      </c>
      <c r="AB103" s="13">
        <f t="shared" si="22"/>
        <v>0</v>
      </c>
      <c r="AC103" s="13">
        <f t="shared" si="22"/>
        <v>0</v>
      </c>
      <c r="AD103" s="13">
        <f t="shared" si="22"/>
        <v>2</v>
      </c>
      <c r="AE103" s="13">
        <f t="shared" si="21"/>
        <v>31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3">
        <f t="shared" ref="AE105:AE115" si="23">SUM(E105:AD105)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1.0</v>
      </c>
      <c r="L106" s="19">
        <v>1.0</v>
      </c>
      <c r="M106" s="19">
        <v>0.0</v>
      </c>
      <c r="N106" s="19">
        <v>0.0</v>
      </c>
      <c r="O106" s="19">
        <v>1.0</v>
      </c>
      <c r="P106" s="19">
        <v>0.0</v>
      </c>
      <c r="Q106" s="19">
        <v>2.0</v>
      </c>
      <c r="R106" s="19">
        <v>0.0</v>
      </c>
      <c r="S106" s="19">
        <v>0.0</v>
      </c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3">
        <f t="shared" si="23"/>
        <v>6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2.0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/>
      <c r="U107" s="19"/>
      <c r="V107" s="19"/>
      <c r="W107" s="19"/>
      <c r="X107" s="19"/>
      <c r="Y107" s="19"/>
      <c r="Z107" s="19"/>
      <c r="AA107" s="19"/>
      <c r="AB107" s="19">
        <v>1.0</v>
      </c>
      <c r="AC107" s="19"/>
      <c r="AD107" s="19"/>
      <c r="AE107" s="13">
        <f t="shared" si="23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3">
        <f t="shared" si="23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0.0</v>
      </c>
      <c r="S109" s="19">
        <v>0.0</v>
      </c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3">
        <f t="shared" si="23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3">
        <f t="shared" si="23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3">
        <f t="shared" si="23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3">
        <f t="shared" si="23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3">
        <f t="shared" si="23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3">
        <f t="shared" si="23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D115" si="24">SUM(E105:E112)</f>
        <v>0</v>
      </c>
      <c r="F115" s="13">
        <f t="shared" si="24"/>
        <v>0</v>
      </c>
      <c r="G115" s="13">
        <f t="shared" si="24"/>
        <v>0</v>
      </c>
      <c r="H115" s="13">
        <f t="shared" si="24"/>
        <v>0</v>
      </c>
      <c r="I115" s="13">
        <f t="shared" si="24"/>
        <v>1</v>
      </c>
      <c r="J115" s="13">
        <f t="shared" si="24"/>
        <v>1</v>
      </c>
      <c r="K115" s="13">
        <f t="shared" si="24"/>
        <v>3</v>
      </c>
      <c r="L115" s="13">
        <f t="shared" si="24"/>
        <v>2</v>
      </c>
      <c r="M115" s="13">
        <f t="shared" si="24"/>
        <v>0</v>
      </c>
      <c r="N115" s="13">
        <f t="shared" si="24"/>
        <v>2</v>
      </c>
      <c r="O115" s="13">
        <f t="shared" si="24"/>
        <v>1</v>
      </c>
      <c r="P115" s="13">
        <f t="shared" si="24"/>
        <v>0</v>
      </c>
      <c r="Q115" s="13">
        <f t="shared" si="24"/>
        <v>3</v>
      </c>
      <c r="R115" s="13">
        <f t="shared" si="24"/>
        <v>0</v>
      </c>
      <c r="S115" s="13">
        <f t="shared" si="24"/>
        <v>1</v>
      </c>
      <c r="T115" s="13">
        <f t="shared" si="24"/>
        <v>0</v>
      </c>
      <c r="U115" s="13">
        <f t="shared" si="24"/>
        <v>0</v>
      </c>
      <c r="V115" s="13">
        <f t="shared" si="24"/>
        <v>0</v>
      </c>
      <c r="W115" s="13">
        <f t="shared" si="24"/>
        <v>0</v>
      </c>
      <c r="X115" s="13">
        <f t="shared" si="24"/>
        <v>0</v>
      </c>
      <c r="Y115" s="13">
        <f t="shared" si="24"/>
        <v>0</v>
      </c>
      <c r="Z115" s="13">
        <f t="shared" si="24"/>
        <v>0</v>
      </c>
      <c r="AA115" s="13">
        <f t="shared" si="24"/>
        <v>0</v>
      </c>
      <c r="AB115" s="13">
        <f t="shared" si="24"/>
        <v>1</v>
      </c>
      <c r="AC115" s="13">
        <f t="shared" si="24"/>
        <v>0</v>
      </c>
      <c r="AD115" s="13">
        <f t="shared" si="24"/>
        <v>0</v>
      </c>
      <c r="AE115" s="13">
        <f t="shared" si="23"/>
        <v>15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1.0</v>
      </c>
      <c r="G117" s="19">
        <v>2.0</v>
      </c>
      <c r="H117" s="19"/>
      <c r="I117" s="19">
        <v>1.0</v>
      </c>
      <c r="J117" s="19">
        <v>10.0</v>
      </c>
      <c r="K117" s="19">
        <v>13.0</v>
      </c>
      <c r="L117" s="19">
        <v>2.0</v>
      </c>
      <c r="M117" s="19">
        <v>1.0</v>
      </c>
      <c r="N117" s="19">
        <v>4.0</v>
      </c>
      <c r="O117" s="19">
        <v>4.0</v>
      </c>
      <c r="P117" s="19">
        <v>1.0</v>
      </c>
      <c r="Q117" s="19">
        <v>1.0</v>
      </c>
      <c r="R117" s="19"/>
      <c r="S117" s="19"/>
      <c r="T117" s="19">
        <v>2.0</v>
      </c>
      <c r="U117" s="19">
        <v>1.0</v>
      </c>
      <c r="V117" s="19"/>
      <c r="W117" s="19">
        <v>3.0</v>
      </c>
      <c r="X117" s="19"/>
      <c r="Y117" s="19">
        <v>1.0</v>
      </c>
      <c r="Z117" s="19">
        <v>2.0</v>
      </c>
      <c r="AA117" s="19">
        <v>1.0</v>
      </c>
      <c r="AB117" s="19">
        <v>5.0</v>
      </c>
      <c r="AC117" s="19">
        <v>3.0</v>
      </c>
      <c r="AD117" s="19">
        <v>2.0</v>
      </c>
      <c r="AE117" s="13">
        <f t="shared" ref="AE117:AE127" si="25">SUM(E117:AD117)</f>
        <v>62</v>
      </c>
      <c r="AF117" s="5"/>
      <c r="AG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2.0</v>
      </c>
      <c r="G118" s="19"/>
      <c r="H118" s="19"/>
      <c r="I118" s="19"/>
      <c r="J118" s="19"/>
      <c r="K118" s="19">
        <v>1.0</v>
      </c>
      <c r="L118" s="19">
        <v>2.0</v>
      </c>
      <c r="M118" s="19"/>
      <c r="N118" s="19"/>
      <c r="O118" s="19"/>
      <c r="P118" s="19"/>
      <c r="Q118" s="19">
        <v>1.0</v>
      </c>
      <c r="R118" s="19"/>
      <c r="S118" s="19"/>
      <c r="T118" s="19"/>
      <c r="U118" s="19"/>
      <c r="V118" s="19"/>
      <c r="W118" s="19"/>
      <c r="X118" s="19">
        <v>1.0</v>
      </c>
      <c r="Y118" s="19">
        <v>1.0</v>
      </c>
      <c r="Z118" s="19">
        <v>1.0</v>
      </c>
      <c r="AA118" s="19"/>
      <c r="AB118" s="19"/>
      <c r="AC118" s="19"/>
      <c r="AD118" s="19"/>
      <c r="AE118" s="13">
        <f t="shared" si="25"/>
        <v>10</v>
      </c>
      <c r="AF118" s="5"/>
      <c r="AG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/>
      <c r="H119" s="19"/>
      <c r="I119" s="19"/>
      <c r="J119" s="19"/>
      <c r="K119" s="19"/>
      <c r="L119" s="19"/>
      <c r="M119" s="19"/>
      <c r="N119" s="19">
        <v>2.0</v>
      </c>
      <c r="O119" s="19"/>
      <c r="P119" s="19"/>
      <c r="Q119" s="19"/>
      <c r="R119" s="19"/>
      <c r="S119" s="19">
        <v>1.0</v>
      </c>
      <c r="T119" s="19"/>
      <c r="U119" s="19"/>
      <c r="V119" s="19"/>
      <c r="W119" s="19"/>
      <c r="X119" s="19"/>
      <c r="Y119" s="19"/>
      <c r="Z119" s="19">
        <v>2.0</v>
      </c>
      <c r="AA119" s="19"/>
      <c r="AB119" s="19"/>
      <c r="AC119" s="19"/>
      <c r="AD119" s="19"/>
      <c r="AE119" s="13">
        <f t="shared" si="25"/>
        <v>5</v>
      </c>
      <c r="AF119" s="5"/>
      <c r="AG119" s="5"/>
    </row>
    <row r="120" ht="12.75" customHeight="1">
      <c r="A120" s="18"/>
      <c r="B120" s="55">
        <v>3.0</v>
      </c>
      <c r="C120" s="50" t="s">
        <v>94</v>
      </c>
      <c r="D120" s="57"/>
      <c r="E120" s="19">
        <v>1.0</v>
      </c>
      <c r="F120" s="19"/>
      <c r="G120" s="19"/>
      <c r="H120" s="19"/>
      <c r="I120" s="19">
        <v>1.0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3">
        <f t="shared" si="25"/>
        <v>2</v>
      </c>
      <c r="AF120" s="5"/>
      <c r="AG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3">
        <f t="shared" si="25"/>
        <v>0</v>
      </c>
      <c r="AF121" s="5"/>
      <c r="AG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3">
        <f t="shared" si="25"/>
        <v>0</v>
      </c>
      <c r="AF122" s="5"/>
      <c r="AG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13">
        <f t="shared" si="25"/>
        <v>0</v>
      </c>
      <c r="AF123" s="5"/>
      <c r="AG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13">
        <f t="shared" si="25"/>
        <v>0</v>
      </c>
      <c r="AF124" s="5"/>
      <c r="AG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13">
        <f t="shared" si="25"/>
        <v>0</v>
      </c>
      <c r="AF125" s="5"/>
      <c r="AG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13">
        <f t="shared" si="25"/>
        <v>0</v>
      </c>
      <c r="AF126" s="5"/>
      <c r="AG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D127" si="26">SUM(E117:E120)</f>
        <v>4</v>
      </c>
      <c r="F127" s="58">
        <f t="shared" si="26"/>
        <v>3</v>
      </c>
      <c r="G127" s="58">
        <f t="shared" si="26"/>
        <v>2</v>
      </c>
      <c r="H127" s="58">
        <f t="shared" si="26"/>
        <v>0</v>
      </c>
      <c r="I127" s="58">
        <f t="shared" si="26"/>
        <v>2</v>
      </c>
      <c r="J127" s="58">
        <f t="shared" si="26"/>
        <v>10</v>
      </c>
      <c r="K127" s="58">
        <f t="shared" si="26"/>
        <v>14</v>
      </c>
      <c r="L127" s="58">
        <f t="shared" si="26"/>
        <v>4</v>
      </c>
      <c r="M127" s="58">
        <f t="shared" si="26"/>
        <v>1</v>
      </c>
      <c r="N127" s="58">
        <f t="shared" si="26"/>
        <v>6</v>
      </c>
      <c r="O127" s="58">
        <f t="shared" si="26"/>
        <v>4</v>
      </c>
      <c r="P127" s="58">
        <f t="shared" si="26"/>
        <v>1</v>
      </c>
      <c r="Q127" s="58">
        <f t="shared" si="26"/>
        <v>2</v>
      </c>
      <c r="R127" s="58">
        <f t="shared" si="26"/>
        <v>0</v>
      </c>
      <c r="S127" s="58">
        <f t="shared" si="26"/>
        <v>1</v>
      </c>
      <c r="T127" s="58">
        <f t="shared" si="26"/>
        <v>2</v>
      </c>
      <c r="U127" s="58">
        <f t="shared" si="26"/>
        <v>1</v>
      </c>
      <c r="V127" s="58">
        <f t="shared" si="26"/>
        <v>0</v>
      </c>
      <c r="W127" s="58">
        <f t="shared" si="26"/>
        <v>3</v>
      </c>
      <c r="X127" s="58">
        <f t="shared" si="26"/>
        <v>1</v>
      </c>
      <c r="Y127" s="58">
        <f t="shared" si="26"/>
        <v>2</v>
      </c>
      <c r="Z127" s="58">
        <f t="shared" si="26"/>
        <v>5</v>
      </c>
      <c r="AA127" s="58">
        <f t="shared" si="26"/>
        <v>1</v>
      </c>
      <c r="AB127" s="58">
        <f t="shared" si="26"/>
        <v>5</v>
      </c>
      <c r="AC127" s="58">
        <f t="shared" si="26"/>
        <v>3</v>
      </c>
      <c r="AD127" s="58">
        <f t="shared" si="26"/>
        <v>2</v>
      </c>
      <c r="AE127" s="13">
        <f t="shared" si="25"/>
        <v>79</v>
      </c>
      <c r="AF127" s="5"/>
      <c r="AG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5"/>
      <c r="AG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/>
      <c r="H129" s="19"/>
      <c r="I129" s="19"/>
      <c r="J129" s="19">
        <v>1.0</v>
      </c>
      <c r="K129" s="19">
        <v>1.0</v>
      </c>
      <c r="L129" s="19"/>
      <c r="M129" s="19"/>
      <c r="N129" s="19"/>
      <c r="O129" s="19">
        <v>2.0</v>
      </c>
      <c r="P129" s="19">
        <v>2.0</v>
      </c>
      <c r="Q129" s="19"/>
      <c r="R129" s="19"/>
      <c r="S129" s="19"/>
      <c r="T129" s="19"/>
      <c r="U129" s="19"/>
      <c r="V129" s="19">
        <v>1.0</v>
      </c>
      <c r="W129" s="19"/>
      <c r="X129" s="19"/>
      <c r="Y129" s="19">
        <v>4.0</v>
      </c>
      <c r="Z129" s="19"/>
      <c r="AA129" s="19"/>
      <c r="AB129" s="19">
        <v>1.0</v>
      </c>
      <c r="AC129" s="19"/>
      <c r="AD129" s="19"/>
      <c r="AE129" s="13">
        <f t="shared" ref="AE129:AE139" si="27">SUM(E129:AD129)</f>
        <v>12</v>
      </c>
      <c r="AF129" s="5"/>
      <c r="AG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/>
      <c r="F130" s="19"/>
      <c r="G130" s="19"/>
      <c r="H130" s="19"/>
      <c r="I130" s="19"/>
      <c r="J130" s="19"/>
      <c r="K130" s="19">
        <v>1.0</v>
      </c>
      <c r="L130" s="19"/>
      <c r="M130" s="19"/>
      <c r="N130" s="19"/>
      <c r="O130" s="19">
        <v>1.0</v>
      </c>
      <c r="P130" s="19">
        <v>7.0</v>
      </c>
      <c r="Q130" s="19">
        <v>1.0</v>
      </c>
      <c r="R130" s="19"/>
      <c r="S130" s="19"/>
      <c r="T130" s="19"/>
      <c r="U130" s="19"/>
      <c r="V130" s="19">
        <v>1.0</v>
      </c>
      <c r="W130" s="19"/>
      <c r="X130" s="19"/>
      <c r="Y130" s="19"/>
      <c r="Z130" s="19"/>
      <c r="AA130" s="19">
        <v>2.0</v>
      </c>
      <c r="AB130" s="19"/>
      <c r="AC130" s="19">
        <v>1.0</v>
      </c>
      <c r="AD130" s="19"/>
      <c r="AE130" s="13">
        <f t="shared" si="27"/>
        <v>14</v>
      </c>
      <c r="AF130" s="1"/>
      <c r="AG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>
        <v>1.0</v>
      </c>
      <c r="Q131" s="19">
        <v>1.0</v>
      </c>
      <c r="R131" s="19"/>
      <c r="S131" s="19"/>
      <c r="T131" s="19"/>
      <c r="U131" s="19">
        <v>1.0</v>
      </c>
      <c r="V131" s="19">
        <v>1.0</v>
      </c>
      <c r="W131" s="19"/>
      <c r="X131" s="19"/>
      <c r="Y131" s="19"/>
      <c r="Z131" s="19"/>
      <c r="AA131" s="19">
        <v>1.0</v>
      </c>
      <c r="AB131" s="19"/>
      <c r="AC131" s="19"/>
      <c r="AD131" s="19"/>
      <c r="AE131" s="13">
        <f t="shared" si="27"/>
        <v>5</v>
      </c>
      <c r="AF131" s="52"/>
      <c r="AG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>
        <v>1.0</v>
      </c>
      <c r="AA132" s="19"/>
      <c r="AB132" s="19"/>
      <c r="AC132" s="19"/>
      <c r="AD132" s="19"/>
      <c r="AE132" s="13">
        <f t="shared" si="27"/>
        <v>1</v>
      </c>
      <c r="AF132" s="5"/>
      <c r="AG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/>
      <c r="I133" s="19">
        <v>1.0</v>
      </c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3">
        <f t="shared" si="27"/>
        <v>1</v>
      </c>
      <c r="AF133" s="5"/>
      <c r="AG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>
        <v>1.0</v>
      </c>
      <c r="AA134" s="19"/>
      <c r="AB134" s="19"/>
      <c r="AC134" s="19"/>
      <c r="AD134" s="19"/>
      <c r="AE134" s="13">
        <f t="shared" si="27"/>
        <v>1</v>
      </c>
      <c r="AF134" s="5"/>
      <c r="AG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>
        <v>1.0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3">
        <f t="shared" si="27"/>
        <v>1</v>
      </c>
      <c r="AF135" s="5"/>
      <c r="AG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3">
        <f t="shared" si="27"/>
        <v>0</v>
      </c>
      <c r="AF136" s="5"/>
      <c r="AG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3">
        <f t="shared" si="27"/>
        <v>0</v>
      </c>
      <c r="AF137" s="5"/>
      <c r="AG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3">
        <f t="shared" si="27"/>
        <v>0</v>
      </c>
      <c r="AF138" s="5"/>
      <c r="AG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D139" si="28">SUM(E129:E136)</f>
        <v>0</v>
      </c>
      <c r="F139" s="13">
        <f t="shared" si="28"/>
        <v>0</v>
      </c>
      <c r="G139" s="13">
        <f t="shared" si="28"/>
        <v>0</v>
      </c>
      <c r="H139" s="13">
        <f t="shared" si="28"/>
        <v>0</v>
      </c>
      <c r="I139" s="13">
        <f t="shared" si="28"/>
        <v>1</v>
      </c>
      <c r="J139" s="13">
        <f t="shared" si="28"/>
        <v>1</v>
      </c>
      <c r="K139" s="13">
        <f t="shared" si="28"/>
        <v>2</v>
      </c>
      <c r="L139" s="13">
        <f t="shared" si="28"/>
        <v>0</v>
      </c>
      <c r="M139" s="13">
        <f t="shared" si="28"/>
        <v>0</v>
      </c>
      <c r="N139" s="13">
        <f t="shared" si="28"/>
        <v>0</v>
      </c>
      <c r="O139" s="13">
        <f t="shared" si="28"/>
        <v>3</v>
      </c>
      <c r="P139" s="13">
        <f t="shared" si="28"/>
        <v>11</v>
      </c>
      <c r="Q139" s="13">
        <f t="shared" si="28"/>
        <v>2</v>
      </c>
      <c r="R139" s="13">
        <f t="shared" si="28"/>
        <v>0</v>
      </c>
      <c r="S139" s="13">
        <f t="shared" si="28"/>
        <v>0</v>
      </c>
      <c r="T139" s="13">
        <f t="shared" si="28"/>
        <v>0</v>
      </c>
      <c r="U139" s="13">
        <f t="shared" si="28"/>
        <v>1</v>
      </c>
      <c r="V139" s="13">
        <f t="shared" si="28"/>
        <v>3</v>
      </c>
      <c r="W139" s="13">
        <f t="shared" si="28"/>
        <v>0</v>
      </c>
      <c r="X139" s="13">
        <f t="shared" si="28"/>
        <v>0</v>
      </c>
      <c r="Y139" s="13">
        <f t="shared" si="28"/>
        <v>4</v>
      </c>
      <c r="Z139" s="13">
        <f t="shared" si="28"/>
        <v>2</v>
      </c>
      <c r="AA139" s="13">
        <f t="shared" si="28"/>
        <v>3</v>
      </c>
      <c r="AB139" s="13">
        <f t="shared" si="28"/>
        <v>1</v>
      </c>
      <c r="AC139" s="13">
        <f t="shared" si="28"/>
        <v>1</v>
      </c>
      <c r="AD139" s="13">
        <f t="shared" si="28"/>
        <v>0</v>
      </c>
      <c r="AE139" s="13">
        <f t="shared" si="27"/>
        <v>35</v>
      </c>
      <c r="AF139" s="5"/>
      <c r="AG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5"/>
      <c r="AG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>
        <v>2.0</v>
      </c>
      <c r="Y141" s="19"/>
      <c r="Z141" s="19"/>
      <c r="AA141" s="19"/>
      <c r="AB141" s="19"/>
      <c r="AC141" s="19"/>
      <c r="AD141" s="19"/>
      <c r="AE141" s="13">
        <f t="shared" ref="AE141:AE151" si="29">SUM(E141:AD141)</f>
        <v>2</v>
      </c>
      <c r="AF141" s="1"/>
      <c r="AG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3">
        <f t="shared" si="29"/>
        <v>0</v>
      </c>
      <c r="AF142" s="52"/>
      <c r="AG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>
        <v>1.0</v>
      </c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3">
        <f t="shared" si="29"/>
        <v>1</v>
      </c>
      <c r="AF143" s="5"/>
      <c r="AG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3">
        <f t="shared" si="29"/>
        <v>0</v>
      </c>
      <c r="AF144" s="5"/>
      <c r="AG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3">
        <f t="shared" si="29"/>
        <v>0</v>
      </c>
      <c r="AF145" s="5"/>
      <c r="AG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3">
        <f t="shared" si="29"/>
        <v>0</v>
      </c>
      <c r="AF146" s="5"/>
      <c r="AG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3">
        <f t="shared" si="29"/>
        <v>0</v>
      </c>
      <c r="AF147" s="5"/>
      <c r="AG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>
        <v>1.0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3">
        <f t="shared" si="29"/>
        <v>1</v>
      </c>
      <c r="AF148" s="5"/>
      <c r="AG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3">
        <f t="shared" si="29"/>
        <v>0</v>
      </c>
      <c r="AF149" s="5"/>
      <c r="AG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3">
        <f t="shared" si="29"/>
        <v>0</v>
      </c>
      <c r="AF150" s="5"/>
      <c r="AG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D151" si="30">SUM(E141:E148)</f>
        <v>0</v>
      </c>
      <c r="F151" s="13">
        <f t="shared" si="30"/>
        <v>0</v>
      </c>
      <c r="G151" s="13">
        <f t="shared" si="30"/>
        <v>0</v>
      </c>
      <c r="H151" s="13">
        <f t="shared" si="30"/>
        <v>0</v>
      </c>
      <c r="I151" s="13">
        <f t="shared" si="30"/>
        <v>0</v>
      </c>
      <c r="J151" s="13">
        <f t="shared" si="30"/>
        <v>1</v>
      </c>
      <c r="K151" s="13">
        <f t="shared" si="30"/>
        <v>0</v>
      </c>
      <c r="L151" s="13">
        <f t="shared" si="30"/>
        <v>1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0</v>
      </c>
      <c r="U151" s="13">
        <f t="shared" si="30"/>
        <v>0</v>
      </c>
      <c r="V151" s="13">
        <f t="shared" si="30"/>
        <v>0</v>
      </c>
      <c r="W151" s="13">
        <f t="shared" si="30"/>
        <v>0</v>
      </c>
      <c r="X151" s="13">
        <f t="shared" si="30"/>
        <v>2</v>
      </c>
      <c r="Y151" s="13">
        <f t="shared" si="30"/>
        <v>0</v>
      </c>
      <c r="Z151" s="13">
        <f t="shared" si="30"/>
        <v>0</v>
      </c>
      <c r="AA151" s="13">
        <f t="shared" si="30"/>
        <v>0</v>
      </c>
      <c r="AB151" s="13">
        <f t="shared" si="30"/>
        <v>0</v>
      </c>
      <c r="AC151" s="13">
        <f t="shared" si="30"/>
        <v>0</v>
      </c>
      <c r="AD151" s="13">
        <f t="shared" si="30"/>
        <v>0</v>
      </c>
      <c r="AE151" s="13">
        <f t="shared" si="29"/>
        <v>4</v>
      </c>
      <c r="AF151" s="1"/>
      <c r="AG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13"/>
      <c r="AF152" s="52"/>
      <c r="AG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/>
      <c r="G153" s="19">
        <v>2.0</v>
      </c>
      <c r="H153" s="19"/>
      <c r="I153" s="19"/>
      <c r="J153" s="19">
        <v>2.0</v>
      </c>
      <c r="K153" s="19">
        <v>2.0</v>
      </c>
      <c r="L153" s="19"/>
      <c r="M153" s="19">
        <v>1.0</v>
      </c>
      <c r="N153" s="19">
        <v>1.0</v>
      </c>
      <c r="O153" s="19"/>
      <c r="P153" s="19">
        <v>1.0</v>
      </c>
      <c r="Q153" s="19"/>
      <c r="R153" s="19"/>
      <c r="S153" s="19">
        <v>1.0</v>
      </c>
      <c r="T153" s="19"/>
      <c r="U153" s="19">
        <v>2.0</v>
      </c>
      <c r="V153" s="19"/>
      <c r="W153" s="19">
        <v>2.0</v>
      </c>
      <c r="X153" s="19">
        <v>2.0</v>
      </c>
      <c r="Y153" s="19"/>
      <c r="Z153" s="19"/>
      <c r="AA153" s="19"/>
      <c r="AB153" s="19">
        <v>1.0</v>
      </c>
      <c r="AC153" s="19"/>
      <c r="AD153" s="19"/>
      <c r="AE153" s="13">
        <f t="shared" ref="AE153:AE163" si="31">SUM(E153:AD153)</f>
        <v>18</v>
      </c>
      <c r="AF153" s="5"/>
      <c r="AG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>
        <v>3.0</v>
      </c>
      <c r="G154" s="19">
        <v>1.0</v>
      </c>
      <c r="H154" s="19"/>
      <c r="I154" s="19"/>
      <c r="J154" s="19">
        <v>1.0</v>
      </c>
      <c r="K154" s="19">
        <v>1.0</v>
      </c>
      <c r="L154" s="19"/>
      <c r="M154" s="19"/>
      <c r="N154" s="19">
        <v>1.0</v>
      </c>
      <c r="O154" s="19"/>
      <c r="P154" s="19"/>
      <c r="Q154" s="19"/>
      <c r="R154" s="19"/>
      <c r="S154" s="19"/>
      <c r="T154" s="19"/>
      <c r="U154" s="19"/>
      <c r="V154" s="19"/>
      <c r="W154" s="19">
        <v>1.0</v>
      </c>
      <c r="X154" s="19"/>
      <c r="Y154" s="19">
        <v>1.0</v>
      </c>
      <c r="Z154" s="19">
        <v>1.0</v>
      </c>
      <c r="AA154" s="19"/>
      <c r="AB154" s="19"/>
      <c r="AC154" s="19"/>
      <c r="AD154" s="19"/>
      <c r="AE154" s="13">
        <f t="shared" si="31"/>
        <v>10</v>
      </c>
      <c r="AF154" s="5"/>
      <c r="AG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>
        <v>1.0</v>
      </c>
      <c r="G155" s="19">
        <v>1.0</v>
      </c>
      <c r="H155" s="19"/>
      <c r="I155" s="19">
        <v>2.0</v>
      </c>
      <c r="J155" s="19">
        <v>1.0</v>
      </c>
      <c r="K155" s="19"/>
      <c r="L155" s="19"/>
      <c r="M155" s="19">
        <v>1.0</v>
      </c>
      <c r="N155" s="19"/>
      <c r="O155" s="19"/>
      <c r="P155" s="19"/>
      <c r="Q155" s="19"/>
      <c r="R155" s="19"/>
      <c r="S155" s="19">
        <v>1.0</v>
      </c>
      <c r="T155" s="19"/>
      <c r="U155" s="19"/>
      <c r="V155" s="19"/>
      <c r="W155" s="19">
        <v>1.0</v>
      </c>
      <c r="X155" s="19">
        <v>1.0</v>
      </c>
      <c r="Y155" s="19"/>
      <c r="Z155" s="19"/>
      <c r="AA155" s="19"/>
      <c r="AB155" s="19">
        <v>2.0</v>
      </c>
      <c r="AC155" s="19"/>
      <c r="AD155" s="19"/>
      <c r="AE155" s="13">
        <f t="shared" si="31"/>
        <v>11</v>
      </c>
      <c r="AF155" s="5"/>
      <c r="AG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>
        <v>2.0</v>
      </c>
      <c r="G156" s="19"/>
      <c r="H156" s="19">
        <v>1.0</v>
      </c>
      <c r="I156" s="19">
        <v>1.0</v>
      </c>
      <c r="J156" s="19"/>
      <c r="K156" s="19">
        <v>2.0</v>
      </c>
      <c r="L156" s="19"/>
      <c r="M156" s="19">
        <v>1.0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>
        <v>1.0</v>
      </c>
      <c r="AC156" s="19"/>
      <c r="AD156" s="19"/>
      <c r="AE156" s="13">
        <f t="shared" si="31"/>
        <v>8</v>
      </c>
      <c r="AF156" s="5"/>
      <c r="AG156" s="5"/>
    </row>
    <row r="157" ht="12.75" customHeight="1">
      <c r="A157" s="18"/>
      <c r="B157" s="55">
        <v>4.0</v>
      </c>
      <c r="C157" s="59" t="s">
        <v>118</v>
      </c>
      <c r="D157" s="57"/>
      <c r="E157" s="19">
        <v>1.0</v>
      </c>
      <c r="F157" s="19">
        <v>2.0</v>
      </c>
      <c r="G157" s="19"/>
      <c r="H157" s="19">
        <v>1.0</v>
      </c>
      <c r="I157" s="19"/>
      <c r="J157" s="19">
        <v>2.0</v>
      </c>
      <c r="K157" s="19">
        <v>3.0</v>
      </c>
      <c r="L157" s="19"/>
      <c r="M157" s="19">
        <v>1.0</v>
      </c>
      <c r="N157" s="19">
        <v>2.0</v>
      </c>
      <c r="O157" s="19"/>
      <c r="P157" s="19"/>
      <c r="Q157" s="19"/>
      <c r="R157" s="19"/>
      <c r="S157" s="19"/>
      <c r="T157" s="19"/>
      <c r="U157" s="19"/>
      <c r="V157" s="19"/>
      <c r="W157" s="19">
        <v>1.0</v>
      </c>
      <c r="X157" s="19"/>
      <c r="Y157" s="19"/>
      <c r="Z157" s="19"/>
      <c r="AA157" s="19">
        <v>1.0</v>
      </c>
      <c r="AB157" s="19">
        <v>1.0</v>
      </c>
      <c r="AC157" s="19"/>
      <c r="AD157" s="19"/>
      <c r="AE157" s="13">
        <f t="shared" si="31"/>
        <v>15</v>
      </c>
      <c r="AF157" s="5"/>
      <c r="AG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3">
        <f t="shared" si="31"/>
        <v>0</v>
      </c>
      <c r="AF158" s="5"/>
      <c r="AG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3">
        <f t="shared" si="31"/>
        <v>0</v>
      </c>
      <c r="AF159" s="5"/>
      <c r="AG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3">
        <f t="shared" si="31"/>
        <v>0</v>
      </c>
      <c r="AF160" s="5"/>
      <c r="AG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3">
        <f t="shared" si="31"/>
        <v>0</v>
      </c>
      <c r="AF161" s="5"/>
      <c r="AG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3">
        <f t="shared" si="31"/>
        <v>0</v>
      </c>
      <c r="AF162" s="5"/>
      <c r="AG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D163" si="32">SUM(E153:E157)</f>
        <v>2</v>
      </c>
      <c r="F163" s="13">
        <f t="shared" si="32"/>
        <v>8</v>
      </c>
      <c r="G163" s="13">
        <f t="shared" si="32"/>
        <v>4</v>
      </c>
      <c r="H163" s="13">
        <f t="shared" si="32"/>
        <v>2</v>
      </c>
      <c r="I163" s="13">
        <f t="shared" si="32"/>
        <v>3</v>
      </c>
      <c r="J163" s="13">
        <f t="shared" si="32"/>
        <v>6</v>
      </c>
      <c r="K163" s="13">
        <f t="shared" si="32"/>
        <v>8</v>
      </c>
      <c r="L163" s="13">
        <f t="shared" si="32"/>
        <v>0</v>
      </c>
      <c r="M163" s="13">
        <f t="shared" si="32"/>
        <v>4</v>
      </c>
      <c r="N163" s="13">
        <f t="shared" si="32"/>
        <v>4</v>
      </c>
      <c r="O163" s="13">
        <f t="shared" si="32"/>
        <v>0</v>
      </c>
      <c r="P163" s="13">
        <f t="shared" si="32"/>
        <v>1</v>
      </c>
      <c r="Q163" s="13">
        <f t="shared" si="32"/>
        <v>0</v>
      </c>
      <c r="R163" s="13">
        <f t="shared" si="32"/>
        <v>0</v>
      </c>
      <c r="S163" s="13">
        <f t="shared" si="32"/>
        <v>2</v>
      </c>
      <c r="T163" s="13">
        <f t="shared" si="32"/>
        <v>0</v>
      </c>
      <c r="U163" s="13">
        <f t="shared" si="32"/>
        <v>2</v>
      </c>
      <c r="V163" s="13">
        <f t="shared" si="32"/>
        <v>0</v>
      </c>
      <c r="W163" s="13">
        <f t="shared" si="32"/>
        <v>5</v>
      </c>
      <c r="X163" s="13">
        <f t="shared" si="32"/>
        <v>3</v>
      </c>
      <c r="Y163" s="13">
        <f t="shared" si="32"/>
        <v>1</v>
      </c>
      <c r="Z163" s="13">
        <f t="shared" si="32"/>
        <v>1</v>
      </c>
      <c r="AA163" s="13">
        <f t="shared" si="32"/>
        <v>1</v>
      </c>
      <c r="AB163" s="13">
        <f t="shared" si="32"/>
        <v>5</v>
      </c>
      <c r="AC163" s="13">
        <f t="shared" si="32"/>
        <v>0</v>
      </c>
      <c r="AD163" s="13">
        <f t="shared" si="32"/>
        <v>0</v>
      </c>
      <c r="AE163" s="13">
        <f t="shared" si="31"/>
        <v>62</v>
      </c>
      <c r="AF163" s="5"/>
      <c r="AG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5"/>
      <c r="AG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/>
      <c r="G165" s="19"/>
      <c r="H165" s="19"/>
      <c r="I165" s="19"/>
      <c r="J165" s="19"/>
      <c r="K165" s="19"/>
      <c r="L165" s="19"/>
      <c r="M165" s="19"/>
      <c r="N165" s="19">
        <v>1.0</v>
      </c>
      <c r="O165" s="19"/>
      <c r="P165" s="19"/>
      <c r="Q165" s="19">
        <v>1.0</v>
      </c>
      <c r="R165" s="19"/>
      <c r="S165" s="19"/>
      <c r="T165" s="19"/>
      <c r="U165" s="19"/>
      <c r="V165" s="19"/>
      <c r="W165" s="19">
        <v>1.0</v>
      </c>
      <c r="X165" s="19"/>
      <c r="Y165" s="19"/>
      <c r="Z165" s="19"/>
      <c r="AA165" s="19"/>
      <c r="AB165" s="19"/>
      <c r="AC165" s="19"/>
      <c r="AD165" s="19">
        <v>1.0</v>
      </c>
      <c r="AE165" s="13">
        <f t="shared" ref="AE165:AE175" si="33">SUM(E165:AD165)</f>
        <v>5</v>
      </c>
      <c r="AF165" s="1"/>
      <c r="AG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/>
      <c r="K166" s="19">
        <v>1.0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>
        <v>1.0</v>
      </c>
      <c r="V166" s="19"/>
      <c r="W166" s="19"/>
      <c r="X166" s="19">
        <v>1.0</v>
      </c>
      <c r="Y166" s="19"/>
      <c r="Z166" s="19"/>
      <c r="AA166" s="19"/>
      <c r="AB166" s="19"/>
      <c r="AC166" s="19"/>
      <c r="AD166" s="19"/>
      <c r="AE166" s="13">
        <f t="shared" si="33"/>
        <v>3</v>
      </c>
      <c r="AF166" s="52"/>
      <c r="AG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/>
      <c r="G167" s="19"/>
      <c r="H167" s="19"/>
      <c r="I167" s="19"/>
      <c r="J167" s="19"/>
      <c r="K167" s="19"/>
      <c r="L167" s="19"/>
      <c r="M167" s="19">
        <v>1.0</v>
      </c>
      <c r="N167" s="19"/>
      <c r="O167" s="19"/>
      <c r="P167" s="19">
        <v>1.0</v>
      </c>
      <c r="Q167" s="19"/>
      <c r="R167" s="19"/>
      <c r="S167" s="19"/>
      <c r="T167" s="19"/>
      <c r="U167" s="19"/>
      <c r="V167" s="19"/>
      <c r="W167" s="19">
        <v>1.0</v>
      </c>
      <c r="X167" s="19"/>
      <c r="Y167" s="19"/>
      <c r="Z167" s="19"/>
      <c r="AA167" s="19"/>
      <c r="AB167" s="19"/>
      <c r="AC167" s="19"/>
      <c r="AD167" s="19"/>
      <c r="AE167" s="13">
        <f t="shared" si="33"/>
        <v>4</v>
      </c>
      <c r="AF167" s="5"/>
      <c r="AG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3">
        <f t="shared" si="33"/>
        <v>0</v>
      </c>
      <c r="AF168" s="5"/>
      <c r="AG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>
        <v>1.0</v>
      </c>
      <c r="Y169" s="19"/>
      <c r="Z169" s="19"/>
      <c r="AA169" s="19"/>
      <c r="AB169" s="19"/>
      <c r="AC169" s="19"/>
      <c r="AD169" s="19"/>
      <c r="AE169" s="13">
        <f t="shared" si="33"/>
        <v>1</v>
      </c>
      <c r="AF169" s="5"/>
      <c r="AG169" s="5"/>
    </row>
    <row r="170" ht="12.75" customHeight="1">
      <c r="A170" s="18"/>
      <c r="B170" s="55">
        <v>5.0</v>
      </c>
      <c r="C170" s="50" t="s">
        <v>125</v>
      </c>
      <c r="D170" s="57"/>
      <c r="E170" s="19">
        <v>1.0</v>
      </c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3">
        <f t="shared" si="33"/>
        <v>1</v>
      </c>
      <c r="AF170" s="5"/>
      <c r="AG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3">
        <f t="shared" si="33"/>
        <v>0</v>
      </c>
      <c r="AF171" s="5"/>
      <c r="AG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3">
        <f t="shared" si="33"/>
        <v>0</v>
      </c>
      <c r="AF172" s="5"/>
      <c r="AG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3">
        <f t="shared" si="33"/>
        <v>0</v>
      </c>
      <c r="AF173" s="5"/>
      <c r="AG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3">
        <f t="shared" si="33"/>
        <v>0</v>
      </c>
      <c r="AF174" s="5"/>
      <c r="AG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D175" si="34">SUM(E165:E172)</f>
        <v>3</v>
      </c>
      <c r="F175" s="13">
        <f t="shared" si="34"/>
        <v>0</v>
      </c>
      <c r="G175" s="13">
        <f t="shared" si="34"/>
        <v>0</v>
      </c>
      <c r="H175" s="13">
        <f t="shared" si="34"/>
        <v>0</v>
      </c>
      <c r="I175" s="13">
        <f t="shared" si="34"/>
        <v>0</v>
      </c>
      <c r="J175" s="13">
        <f t="shared" si="34"/>
        <v>0</v>
      </c>
      <c r="K175" s="13">
        <f t="shared" si="34"/>
        <v>1</v>
      </c>
      <c r="L175" s="13">
        <f t="shared" si="34"/>
        <v>0</v>
      </c>
      <c r="M175" s="13">
        <f t="shared" si="34"/>
        <v>1</v>
      </c>
      <c r="N175" s="13">
        <f t="shared" si="34"/>
        <v>1</v>
      </c>
      <c r="O175" s="13">
        <f t="shared" si="34"/>
        <v>0</v>
      </c>
      <c r="P175" s="13">
        <f t="shared" si="34"/>
        <v>1</v>
      </c>
      <c r="Q175" s="13">
        <f t="shared" si="34"/>
        <v>1</v>
      </c>
      <c r="R175" s="13">
        <f t="shared" si="34"/>
        <v>0</v>
      </c>
      <c r="S175" s="13">
        <f t="shared" si="34"/>
        <v>0</v>
      </c>
      <c r="T175" s="13">
        <f t="shared" si="34"/>
        <v>0</v>
      </c>
      <c r="U175" s="13">
        <f t="shared" si="34"/>
        <v>1</v>
      </c>
      <c r="V175" s="13">
        <f t="shared" si="34"/>
        <v>0</v>
      </c>
      <c r="W175" s="13">
        <f t="shared" si="34"/>
        <v>2</v>
      </c>
      <c r="X175" s="13">
        <f t="shared" si="34"/>
        <v>2</v>
      </c>
      <c r="Y175" s="13">
        <f t="shared" si="34"/>
        <v>0</v>
      </c>
      <c r="Z175" s="13">
        <f t="shared" si="34"/>
        <v>0</v>
      </c>
      <c r="AA175" s="13">
        <f t="shared" si="34"/>
        <v>0</v>
      </c>
      <c r="AB175" s="13">
        <f t="shared" si="34"/>
        <v>0</v>
      </c>
      <c r="AC175" s="13">
        <f t="shared" si="34"/>
        <v>0</v>
      </c>
      <c r="AD175" s="13">
        <f t="shared" si="34"/>
        <v>1</v>
      </c>
      <c r="AE175" s="13">
        <f t="shared" si="33"/>
        <v>14</v>
      </c>
      <c r="AF175" s="5"/>
      <c r="AG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1"/>
      <c r="AG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/>
      <c r="I177" s="19"/>
      <c r="J177" s="19">
        <v>1.0</v>
      </c>
      <c r="K177" s="19"/>
      <c r="L177" s="19"/>
      <c r="M177" s="19"/>
      <c r="N177" s="19"/>
      <c r="O177" s="19">
        <v>1.0</v>
      </c>
      <c r="P177" s="19">
        <v>1.0</v>
      </c>
      <c r="Q177" s="19"/>
      <c r="R177" s="19"/>
      <c r="S177" s="19"/>
      <c r="T177" s="19">
        <v>1.0</v>
      </c>
      <c r="U177" s="19"/>
      <c r="V177" s="19"/>
      <c r="W177" s="19"/>
      <c r="X177" s="19">
        <v>1.0</v>
      </c>
      <c r="Y177" s="19"/>
      <c r="Z177" s="19">
        <v>1.0</v>
      </c>
      <c r="AA177" s="19"/>
      <c r="AB177" s="19">
        <v>1.0</v>
      </c>
      <c r="AC177" s="19"/>
      <c r="AD177" s="19"/>
      <c r="AE177" s="13">
        <f t="shared" ref="AE177:AE187" si="35">SUM(E177:AD177)</f>
        <v>7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/>
      <c r="G178" s="19"/>
      <c r="H178" s="19"/>
      <c r="I178" s="19">
        <v>1.0</v>
      </c>
      <c r="J178" s="19">
        <v>2.0</v>
      </c>
      <c r="K178" s="19">
        <v>1.0</v>
      </c>
      <c r="L178" s="19"/>
      <c r="M178" s="19"/>
      <c r="N178" s="19"/>
      <c r="O178" s="19"/>
      <c r="P178" s="19"/>
      <c r="Q178" s="19">
        <v>1.0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3">
        <f t="shared" si="35"/>
        <v>5</v>
      </c>
      <c r="AF178" s="5"/>
      <c r="AG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3">
        <f t="shared" si="35"/>
        <v>1</v>
      </c>
      <c r="AF179" s="5"/>
      <c r="AG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/>
      <c r="H180" s="19"/>
      <c r="I180" s="19"/>
      <c r="J180" s="19"/>
      <c r="K180" s="19">
        <v>1.0</v>
      </c>
      <c r="L180" s="19"/>
      <c r="M180" s="19"/>
      <c r="N180" s="19"/>
      <c r="O180" s="19"/>
      <c r="P180" s="19">
        <v>1.0</v>
      </c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3">
        <f t="shared" si="35"/>
        <v>2</v>
      </c>
      <c r="AF180" s="5"/>
      <c r="AG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/>
      <c r="G181" s="19"/>
      <c r="H181" s="19"/>
      <c r="I181" s="19"/>
      <c r="J181" s="19"/>
      <c r="K181" s="19"/>
      <c r="L181" s="19"/>
      <c r="M181" s="19"/>
      <c r="N181" s="19">
        <v>1.0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3">
        <f t="shared" si="35"/>
        <v>1</v>
      </c>
      <c r="AF181" s="5"/>
      <c r="AG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3">
        <f t="shared" si="35"/>
        <v>0</v>
      </c>
      <c r="AF182" s="5"/>
      <c r="AG182" s="5"/>
    </row>
    <row r="183" ht="12.75" customHeight="1">
      <c r="A183" s="18"/>
      <c r="B183" s="55">
        <v>6.0</v>
      </c>
      <c r="C183" s="50" t="s">
        <v>135</v>
      </c>
      <c r="D183" s="5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3">
        <f t="shared" si="35"/>
        <v>0</v>
      </c>
      <c r="AF183" s="5"/>
      <c r="AG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3">
        <f t="shared" si="35"/>
        <v>0</v>
      </c>
      <c r="AF184" s="5"/>
      <c r="AG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3">
        <f t="shared" si="35"/>
        <v>0</v>
      </c>
      <c r="AF185" s="5"/>
      <c r="AG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3">
        <f t="shared" si="35"/>
        <v>0</v>
      </c>
      <c r="AF186" s="5"/>
      <c r="AG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D187" si="36">SUM(E177:E184)</f>
        <v>1</v>
      </c>
      <c r="F187" s="13">
        <f t="shared" si="36"/>
        <v>0</v>
      </c>
      <c r="G187" s="13">
        <f t="shared" si="36"/>
        <v>0</v>
      </c>
      <c r="H187" s="13">
        <f t="shared" si="36"/>
        <v>0</v>
      </c>
      <c r="I187" s="13">
        <f t="shared" si="36"/>
        <v>1</v>
      </c>
      <c r="J187" s="13">
        <f t="shared" si="36"/>
        <v>3</v>
      </c>
      <c r="K187" s="13">
        <f t="shared" si="36"/>
        <v>2</v>
      </c>
      <c r="L187" s="13">
        <f t="shared" si="36"/>
        <v>0</v>
      </c>
      <c r="M187" s="13">
        <f t="shared" si="36"/>
        <v>0</v>
      </c>
      <c r="N187" s="13">
        <f t="shared" si="36"/>
        <v>1</v>
      </c>
      <c r="O187" s="13">
        <f t="shared" si="36"/>
        <v>1</v>
      </c>
      <c r="P187" s="13">
        <f t="shared" si="36"/>
        <v>2</v>
      </c>
      <c r="Q187" s="13">
        <f t="shared" si="36"/>
        <v>1</v>
      </c>
      <c r="R187" s="13">
        <f t="shared" si="36"/>
        <v>0</v>
      </c>
      <c r="S187" s="13">
        <f t="shared" si="36"/>
        <v>0</v>
      </c>
      <c r="T187" s="13">
        <f t="shared" si="36"/>
        <v>1</v>
      </c>
      <c r="U187" s="13">
        <f t="shared" si="36"/>
        <v>0</v>
      </c>
      <c r="V187" s="13">
        <f t="shared" si="36"/>
        <v>0</v>
      </c>
      <c r="W187" s="13">
        <f t="shared" si="36"/>
        <v>0</v>
      </c>
      <c r="X187" s="13">
        <f t="shared" si="36"/>
        <v>1</v>
      </c>
      <c r="Y187" s="13">
        <f t="shared" si="36"/>
        <v>0</v>
      </c>
      <c r="Z187" s="13">
        <f t="shared" si="36"/>
        <v>1</v>
      </c>
      <c r="AA187" s="13">
        <f t="shared" si="36"/>
        <v>0</v>
      </c>
      <c r="AB187" s="13">
        <f t="shared" si="36"/>
        <v>1</v>
      </c>
      <c r="AC187" s="13">
        <f t="shared" si="36"/>
        <v>0</v>
      </c>
      <c r="AD187" s="13">
        <f t="shared" si="36"/>
        <v>0</v>
      </c>
      <c r="AE187" s="13">
        <f t="shared" si="35"/>
        <v>16</v>
      </c>
      <c r="AF187" s="1"/>
      <c r="AG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>
        <v>1.0</v>
      </c>
      <c r="AB189" s="19"/>
      <c r="AC189" s="19"/>
      <c r="AD189" s="19">
        <v>1.0</v>
      </c>
      <c r="AE189" s="13">
        <f t="shared" ref="AE189:AE199" si="37">SUM(E189:AD189)</f>
        <v>2</v>
      </c>
      <c r="AF189" s="5"/>
      <c r="AG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>
        <v>1.0</v>
      </c>
      <c r="AE190" s="13">
        <f t="shared" si="37"/>
        <v>1</v>
      </c>
      <c r="AF190" s="5"/>
      <c r="AG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3">
        <f t="shared" si="37"/>
        <v>0</v>
      </c>
      <c r="AF191" s="5"/>
      <c r="AG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3">
        <f t="shared" si="37"/>
        <v>0</v>
      </c>
      <c r="AF192" s="5"/>
      <c r="AG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3">
        <f t="shared" si="37"/>
        <v>0</v>
      </c>
      <c r="AF193" s="5"/>
      <c r="AG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>
        <v>1.0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3">
        <f t="shared" si="37"/>
        <v>1</v>
      </c>
      <c r="AF194" s="5"/>
      <c r="AG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3">
        <f t="shared" si="37"/>
        <v>0</v>
      </c>
      <c r="AF195" s="5"/>
      <c r="AG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3">
        <f t="shared" si="37"/>
        <v>0</v>
      </c>
      <c r="AF196" s="1"/>
      <c r="AG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3">
        <f t="shared" si="37"/>
        <v>0</v>
      </c>
      <c r="AF197" s="1"/>
      <c r="AG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3">
        <f t="shared" si="37"/>
        <v>0</v>
      </c>
      <c r="AF198" s="1"/>
      <c r="AG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D199" si="38">SUM(E189:E196)</f>
        <v>0</v>
      </c>
      <c r="F199" s="13">
        <f t="shared" si="38"/>
        <v>0</v>
      </c>
      <c r="G199" s="13">
        <f t="shared" si="38"/>
        <v>0</v>
      </c>
      <c r="H199" s="13">
        <f t="shared" si="38"/>
        <v>0</v>
      </c>
      <c r="I199" s="13">
        <f t="shared" si="38"/>
        <v>1</v>
      </c>
      <c r="J199" s="13">
        <f t="shared" si="38"/>
        <v>0</v>
      </c>
      <c r="K199" s="13">
        <f t="shared" si="38"/>
        <v>0</v>
      </c>
      <c r="L199" s="13">
        <f t="shared" si="38"/>
        <v>0</v>
      </c>
      <c r="M199" s="13">
        <f t="shared" si="38"/>
        <v>0</v>
      </c>
      <c r="N199" s="13">
        <f t="shared" si="38"/>
        <v>0</v>
      </c>
      <c r="O199" s="13">
        <f t="shared" si="38"/>
        <v>0</v>
      </c>
      <c r="P199" s="13">
        <f t="shared" si="38"/>
        <v>0</v>
      </c>
      <c r="Q199" s="13">
        <f t="shared" si="38"/>
        <v>0</v>
      </c>
      <c r="R199" s="13">
        <f t="shared" si="38"/>
        <v>0</v>
      </c>
      <c r="S199" s="13">
        <f t="shared" si="38"/>
        <v>0</v>
      </c>
      <c r="T199" s="13">
        <f t="shared" si="38"/>
        <v>0</v>
      </c>
      <c r="U199" s="13">
        <f t="shared" si="38"/>
        <v>0</v>
      </c>
      <c r="V199" s="13">
        <f t="shared" si="38"/>
        <v>0</v>
      </c>
      <c r="W199" s="13">
        <f t="shared" si="38"/>
        <v>0</v>
      </c>
      <c r="X199" s="13">
        <f t="shared" si="38"/>
        <v>0</v>
      </c>
      <c r="Y199" s="13">
        <f t="shared" si="38"/>
        <v>0</v>
      </c>
      <c r="Z199" s="13">
        <f t="shared" si="38"/>
        <v>0</v>
      </c>
      <c r="AA199" s="13">
        <f t="shared" si="38"/>
        <v>1</v>
      </c>
      <c r="AB199" s="13">
        <f t="shared" si="38"/>
        <v>0</v>
      </c>
      <c r="AC199" s="13">
        <f t="shared" si="38"/>
        <v>0</v>
      </c>
      <c r="AD199" s="13">
        <f t="shared" si="38"/>
        <v>2</v>
      </c>
      <c r="AE199" s="13">
        <f t="shared" si="37"/>
        <v>4</v>
      </c>
      <c r="AF199" s="52"/>
      <c r="AG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5"/>
      <c r="AG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2.0</v>
      </c>
      <c r="G201" s="19">
        <v>3.0</v>
      </c>
      <c r="H201" s="19"/>
      <c r="I201" s="19">
        <v>4.0</v>
      </c>
      <c r="J201" s="19">
        <v>4.0</v>
      </c>
      <c r="K201" s="19">
        <v>7.0</v>
      </c>
      <c r="L201" s="19">
        <v>1.0</v>
      </c>
      <c r="M201" s="19">
        <v>1.0</v>
      </c>
      <c r="N201" s="19">
        <v>2.0</v>
      </c>
      <c r="O201" s="19"/>
      <c r="P201" s="19">
        <v>2.0</v>
      </c>
      <c r="Q201" s="19">
        <v>3.0</v>
      </c>
      <c r="R201" s="19">
        <v>1.0</v>
      </c>
      <c r="S201" s="19"/>
      <c r="T201" s="19"/>
      <c r="U201" s="19"/>
      <c r="V201" s="19"/>
      <c r="W201" s="19"/>
      <c r="X201" s="19">
        <v>1.0</v>
      </c>
      <c r="Y201" s="19">
        <v>3.0</v>
      </c>
      <c r="Z201" s="19">
        <v>4.0</v>
      </c>
      <c r="AA201" s="19"/>
      <c r="AB201" s="19">
        <v>2.0</v>
      </c>
      <c r="AC201" s="19">
        <v>2.0</v>
      </c>
      <c r="AD201" s="19">
        <v>4.0</v>
      </c>
      <c r="AE201" s="13">
        <f t="shared" ref="AE201:AE211" si="39">SUM(E201:AD201)</f>
        <v>48</v>
      </c>
      <c r="AF201" s="5"/>
      <c r="AG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/>
      <c r="F202" s="19"/>
      <c r="G202" s="19">
        <v>11.0</v>
      </c>
      <c r="H202" s="19">
        <v>1.0</v>
      </c>
      <c r="I202" s="19">
        <v>3.0</v>
      </c>
      <c r="J202" s="19">
        <v>2.0</v>
      </c>
      <c r="K202" s="19"/>
      <c r="L202" s="19">
        <v>2.0</v>
      </c>
      <c r="M202" s="19">
        <v>3.0</v>
      </c>
      <c r="N202" s="19"/>
      <c r="O202" s="19">
        <v>4.0</v>
      </c>
      <c r="P202" s="19">
        <v>1.0</v>
      </c>
      <c r="Q202" s="19">
        <v>1.0</v>
      </c>
      <c r="R202" s="19"/>
      <c r="S202" s="19"/>
      <c r="T202" s="19"/>
      <c r="U202" s="19">
        <v>1.0</v>
      </c>
      <c r="V202" s="19"/>
      <c r="W202" s="19">
        <v>1.0</v>
      </c>
      <c r="X202" s="19">
        <v>2.0</v>
      </c>
      <c r="Y202" s="19">
        <v>2.0</v>
      </c>
      <c r="Z202" s="19">
        <v>7.0</v>
      </c>
      <c r="AA202" s="19">
        <v>2.0</v>
      </c>
      <c r="AB202" s="19">
        <v>2.0</v>
      </c>
      <c r="AC202" s="19">
        <v>3.0</v>
      </c>
      <c r="AD202" s="19">
        <v>8.0</v>
      </c>
      <c r="AE202" s="13">
        <f t="shared" si="39"/>
        <v>56</v>
      </c>
      <c r="AF202" s="5"/>
      <c r="AG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1.0</v>
      </c>
      <c r="H203" s="19"/>
      <c r="I203" s="19"/>
      <c r="J203" s="19">
        <v>3.0</v>
      </c>
      <c r="K203" s="19"/>
      <c r="L203" s="19"/>
      <c r="M203" s="19"/>
      <c r="N203" s="19">
        <v>1.0</v>
      </c>
      <c r="O203" s="19"/>
      <c r="P203" s="19">
        <v>1.0</v>
      </c>
      <c r="Q203" s="19">
        <v>1.0</v>
      </c>
      <c r="R203" s="19"/>
      <c r="S203" s="19"/>
      <c r="T203" s="19"/>
      <c r="U203" s="19"/>
      <c r="V203" s="19"/>
      <c r="W203" s="19">
        <v>1.0</v>
      </c>
      <c r="X203" s="19">
        <v>2.0</v>
      </c>
      <c r="Y203" s="19"/>
      <c r="Z203" s="19">
        <v>1.0</v>
      </c>
      <c r="AA203" s="19">
        <v>1.0</v>
      </c>
      <c r="AB203" s="19"/>
      <c r="AC203" s="19">
        <v>1.0</v>
      </c>
      <c r="AD203" s="19"/>
      <c r="AE203" s="13">
        <f t="shared" si="39"/>
        <v>15</v>
      </c>
      <c r="AF203" s="5"/>
      <c r="AG203" s="5"/>
    </row>
    <row r="204" ht="12.75" customHeight="1">
      <c r="A204" s="18"/>
      <c r="B204" s="55">
        <v>3.0</v>
      </c>
      <c r="C204" s="50" t="s">
        <v>150</v>
      </c>
      <c r="D204" s="57"/>
      <c r="E204" s="19"/>
      <c r="F204" s="19">
        <v>1.0</v>
      </c>
      <c r="G204" s="19"/>
      <c r="H204" s="19"/>
      <c r="I204" s="19"/>
      <c r="J204" s="19"/>
      <c r="K204" s="19">
        <v>2.0</v>
      </c>
      <c r="L204" s="19"/>
      <c r="M204" s="19">
        <v>1.0</v>
      </c>
      <c r="N204" s="19">
        <v>1.0</v>
      </c>
      <c r="O204" s="19">
        <v>1.0</v>
      </c>
      <c r="P204" s="19"/>
      <c r="Q204" s="19"/>
      <c r="R204" s="19">
        <v>1.0</v>
      </c>
      <c r="S204" s="19"/>
      <c r="T204" s="19"/>
      <c r="U204" s="19"/>
      <c r="V204" s="19"/>
      <c r="W204" s="19">
        <v>1.0</v>
      </c>
      <c r="X204" s="19"/>
      <c r="Y204" s="19"/>
      <c r="Z204" s="19"/>
      <c r="AA204" s="19">
        <v>1.0</v>
      </c>
      <c r="AB204" s="19"/>
      <c r="AC204" s="19"/>
      <c r="AD204" s="19"/>
      <c r="AE204" s="13">
        <f t="shared" si="39"/>
        <v>9</v>
      </c>
      <c r="AF204" s="5"/>
      <c r="AG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/>
      <c r="G205" s="19"/>
      <c r="H205" s="19"/>
      <c r="I205" s="19">
        <v>2.0</v>
      </c>
      <c r="J205" s="19">
        <v>2.0</v>
      </c>
      <c r="K205" s="19"/>
      <c r="L205" s="19"/>
      <c r="M205" s="19"/>
      <c r="N205" s="19"/>
      <c r="O205" s="19"/>
      <c r="P205" s="19"/>
      <c r="Q205" s="19">
        <v>1.0</v>
      </c>
      <c r="R205" s="19"/>
      <c r="S205" s="19"/>
      <c r="T205" s="19"/>
      <c r="U205" s="19"/>
      <c r="V205" s="19"/>
      <c r="W205" s="19"/>
      <c r="X205" s="19"/>
      <c r="Y205" s="19"/>
      <c r="Z205" s="19">
        <v>17.0</v>
      </c>
      <c r="AA205" s="19">
        <v>1.0</v>
      </c>
      <c r="AB205" s="19"/>
      <c r="AC205" s="19"/>
      <c r="AD205" s="19">
        <v>1.0</v>
      </c>
      <c r="AE205" s="13">
        <f t="shared" si="39"/>
        <v>25</v>
      </c>
      <c r="AF205" s="5"/>
      <c r="AG205" s="5"/>
    </row>
    <row r="206" ht="12.75" customHeight="1">
      <c r="A206" s="18"/>
      <c r="B206" s="55">
        <v>5.0</v>
      </c>
      <c r="C206" s="50" t="s">
        <v>152</v>
      </c>
      <c r="D206" s="57"/>
      <c r="E206" s="19"/>
      <c r="F206" s="19"/>
      <c r="G206" s="19">
        <v>2.0</v>
      </c>
      <c r="H206" s="19"/>
      <c r="I206" s="19">
        <v>1.0</v>
      </c>
      <c r="J206" s="19">
        <v>1.0</v>
      </c>
      <c r="K206" s="19"/>
      <c r="L206" s="19"/>
      <c r="M206" s="19"/>
      <c r="N206" s="19"/>
      <c r="O206" s="19"/>
      <c r="P206" s="19"/>
      <c r="Q206" s="19">
        <v>1.0</v>
      </c>
      <c r="R206" s="19"/>
      <c r="S206" s="19"/>
      <c r="T206" s="19"/>
      <c r="U206" s="19"/>
      <c r="V206" s="19"/>
      <c r="W206" s="19"/>
      <c r="X206" s="19"/>
      <c r="Y206" s="19">
        <v>1.0</v>
      </c>
      <c r="Z206" s="19"/>
      <c r="AA206" s="19"/>
      <c r="AB206" s="19"/>
      <c r="AC206" s="19"/>
      <c r="AD206" s="19">
        <v>2.0</v>
      </c>
      <c r="AE206" s="13">
        <f t="shared" si="39"/>
        <v>8</v>
      </c>
      <c r="AF206" s="5"/>
      <c r="AG206" s="5"/>
    </row>
    <row r="207" ht="12.75" customHeight="1">
      <c r="A207" s="18"/>
      <c r="B207" s="55">
        <v>6.0</v>
      </c>
      <c r="C207" s="50" t="s">
        <v>153</v>
      </c>
      <c r="D207" s="5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3">
        <f t="shared" si="39"/>
        <v>0</v>
      </c>
      <c r="AF207" s="1"/>
      <c r="AG207" s="1"/>
    </row>
    <row r="208" ht="12.75" customHeight="1">
      <c r="A208" s="18"/>
      <c r="B208" s="55">
        <v>7.0</v>
      </c>
      <c r="C208" s="50" t="s">
        <v>154</v>
      </c>
      <c r="D208" s="57"/>
      <c r="E208" s="19"/>
      <c r="F208" s="19"/>
      <c r="G208" s="19">
        <v>2.0</v>
      </c>
      <c r="H208" s="19"/>
      <c r="I208" s="19">
        <v>2.0</v>
      </c>
      <c r="J208" s="19">
        <v>4.0</v>
      </c>
      <c r="K208" s="19"/>
      <c r="L208" s="19">
        <v>3.0</v>
      </c>
      <c r="M208" s="19">
        <v>2.0</v>
      </c>
      <c r="N208" s="19">
        <v>1.0</v>
      </c>
      <c r="O208" s="19">
        <v>2.0</v>
      </c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>
        <v>3.0</v>
      </c>
      <c r="AE208" s="13">
        <f t="shared" si="39"/>
        <v>19</v>
      </c>
      <c r="AF208" s="52"/>
      <c r="AG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3">
        <f t="shared" si="39"/>
        <v>0</v>
      </c>
      <c r="AF209" s="52"/>
      <c r="AG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3">
        <f t="shared" si="39"/>
        <v>0</v>
      </c>
      <c r="AF210" s="52"/>
      <c r="AG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D211" si="40">SUM(E201:E208)</f>
        <v>4</v>
      </c>
      <c r="F211" s="13">
        <f t="shared" si="40"/>
        <v>4</v>
      </c>
      <c r="G211" s="13">
        <f t="shared" si="40"/>
        <v>19</v>
      </c>
      <c r="H211" s="13">
        <f t="shared" si="40"/>
        <v>1</v>
      </c>
      <c r="I211" s="13">
        <f t="shared" si="40"/>
        <v>12</v>
      </c>
      <c r="J211" s="13">
        <f t="shared" si="40"/>
        <v>16</v>
      </c>
      <c r="K211" s="13">
        <f t="shared" si="40"/>
        <v>9</v>
      </c>
      <c r="L211" s="13">
        <f t="shared" si="40"/>
        <v>6</v>
      </c>
      <c r="M211" s="13">
        <f t="shared" si="40"/>
        <v>7</v>
      </c>
      <c r="N211" s="13">
        <f t="shared" si="40"/>
        <v>5</v>
      </c>
      <c r="O211" s="13">
        <f t="shared" si="40"/>
        <v>7</v>
      </c>
      <c r="P211" s="13">
        <f t="shared" si="40"/>
        <v>4</v>
      </c>
      <c r="Q211" s="13">
        <f t="shared" si="40"/>
        <v>7</v>
      </c>
      <c r="R211" s="13">
        <f t="shared" si="40"/>
        <v>2</v>
      </c>
      <c r="S211" s="13">
        <f t="shared" si="40"/>
        <v>0</v>
      </c>
      <c r="T211" s="13">
        <f t="shared" si="40"/>
        <v>0</v>
      </c>
      <c r="U211" s="13">
        <f t="shared" si="40"/>
        <v>1</v>
      </c>
      <c r="V211" s="13">
        <f t="shared" si="40"/>
        <v>0</v>
      </c>
      <c r="W211" s="13">
        <f t="shared" si="40"/>
        <v>3</v>
      </c>
      <c r="X211" s="13">
        <f t="shared" si="40"/>
        <v>5</v>
      </c>
      <c r="Y211" s="13">
        <f t="shared" si="40"/>
        <v>6</v>
      </c>
      <c r="Z211" s="13">
        <f t="shared" si="40"/>
        <v>29</v>
      </c>
      <c r="AA211" s="13">
        <f t="shared" si="40"/>
        <v>5</v>
      </c>
      <c r="AB211" s="13">
        <f t="shared" si="40"/>
        <v>4</v>
      </c>
      <c r="AC211" s="13">
        <f t="shared" si="40"/>
        <v>6</v>
      </c>
      <c r="AD211" s="13">
        <f t="shared" si="40"/>
        <v>18</v>
      </c>
      <c r="AE211" s="13">
        <f t="shared" si="39"/>
        <v>180</v>
      </c>
      <c r="AF211" s="5"/>
      <c r="AG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5"/>
      <c r="AG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/>
      <c r="F213" s="19">
        <v>1.0</v>
      </c>
      <c r="G213" s="19"/>
      <c r="H213" s="19"/>
      <c r="I213" s="19">
        <v>2.0</v>
      </c>
      <c r="J213" s="19"/>
      <c r="K213" s="19"/>
      <c r="L213" s="19">
        <v>1.0</v>
      </c>
      <c r="M213" s="19"/>
      <c r="N213" s="19"/>
      <c r="O213" s="19"/>
      <c r="P213" s="19">
        <v>1.0</v>
      </c>
      <c r="Q213" s="19">
        <v>1.0</v>
      </c>
      <c r="R213" s="19"/>
      <c r="S213" s="19"/>
      <c r="T213" s="19">
        <v>1.0</v>
      </c>
      <c r="U213" s="19"/>
      <c r="V213" s="19"/>
      <c r="W213" s="19"/>
      <c r="X213" s="19">
        <v>2.0</v>
      </c>
      <c r="Y213" s="19"/>
      <c r="Z213" s="19"/>
      <c r="AA213" s="19"/>
      <c r="AB213" s="19">
        <v>1.0</v>
      </c>
      <c r="AC213" s="19"/>
      <c r="AD213" s="19"/>
      <c r="AE213" s="13">
        <f t="shared" ref="AE213:AE223" si="41">SUM(E213:AD213)</f>
        <v>10</v>
      </c>
      <c r="AF213" s="5"/>
      <c r="AG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/>
      <c r="F214" s="19"/>
      <c r="G214" s="19">
        <v>1.0</v>
      </c>
      <c r="H214" s="19"/>
      <c r="I214" s="19"/>
      <c r="J214" s="19">
        <v>1.0</v>
      </c>
      <c r="K214" s="19"/>
      <c r="L214" s="19">
        <v>1.0</v>
      </c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>
        <v>3.0</v>
      </c>
      <c r="X214" s="19">
        <v>1.0</v>
      </c>
      <c r="Y214" s="19"/>
      <c r="Z214" s="19">
        <v>1.0</v>
      </c>
      <c r="AA214" s="19">
        <v>3.0</v>
      </c>
      <c r="AB214" s="19"/>
      <c r="AC214" s="19"/>
      <c r="AD214" s="19"/>
      <c r="AE214" s="13">
        <f t="shared" si="41"/>
        <v>11</v>
      </c>
      <c r="AF214" s="5"/>
      <c r="AG214" s="5"/>
    </row>
    <row r="215" ht="12.75" customHeight="1">
      <c r="A215" s="18"/>
      <c r="B215" s="55">
        <v>2.0</v>
      </c>
      <c r="C215" s="50" t="s">
        <v>158</v>
      </c>
      <c r="D215" s="56"/>
      <c r="E215" s="19"/>
      <c r="F215" s="19"/>
      <c r="G215" s="19"/>
      <c r="H215" s="19"/>
      <c r="I215" s="19">
        <v>1.0</v>
      </c>
      <c r="J215" s="19">
        <v>1.0</v>
      </c>
      <c r="K215" s="19"/>
      <c r="L215" s="19">
        <v>1.0</v>
      </c>
      <c r="M215" s="19">
        <v>2.0</v>
      </c>
      <c r="N215" s="19"/>
      <c r="O215" s="19"/>
      <c r="P215" s="19"/>
      <c r="Q215" s="19"/>
      <c r="R215" s="19"/>
      <c r="S215" s="19"/>
      <c r="T215" s="19"/>
      <c r="U215" s="19"/>
      <c r="V215" s="19">
        <v>1.0</v>
      </c>
      <c r="W215" s="19"/>
      <c r="X215" s="19">
        <v>2.0</v>
      </c>
      <c r="Y215" s="19">
        <v>1.0</v>
      </c>
      <c r="Z215" s="19"/>
      <c r="AA215" s="19">
        <v>12.0</v>
      </c>
      <c r="AB215" s="19">
        <v>4.0</v>
      </c>
      <c r="AC215" s="19"/>
      <c r="AD215" s="19"/>
      <c r="AE215" s="13">
        <f t="shared" si="41"/>
        <v>25</v>
      </c>
      <c r="AF215" s="5"/>
      <c r="AG215" s="5"/>
    </row>
    <row r="216" ht="12.75" customHeight="1">
      <c r="A216" s="18"/>
      <c r="B216" s="55">
        <v>3.0</v>
      </c>
      <c r="C216" s="61" t="s">
        <v>159</v>
      </c>
      <c r="E216" s="19"/>
      <c r="F216" s="19"/>
      <c r="G216" s="19"/>
      <c r="H216" s="19"/>
      <c r="I216" s="19"/>
      <c r="J216" s="19"/>
      <c r="K216" s="19">
        <v>1.0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>
        <v>1.0</v>
      </c>
      <c r="Y216" s="19"/>
      <c r="Z216" s="19"/>
      <c r="AA216" s="19"/>
      <c r="AB216" s="19"/>
      <c r="AC216" s="19"/>
      <c r="AD216" s="19"/>
      <c r="AE216" s="13">
        <f t="shared" si="41"/>
        <v>2</v>
      </c>
      <c r="AF216" s="5"/>
      <c r="AG216" s="5"/>
    </row>
    <row r="217" ht="12.75" customHeight="1">
      <c r="A217" s="18"/>
      <c r="B217" s="55">
        <v>4.0</v>
      </c>
      <c r="C217" s="50" t="s">
        <v>160</v>
      </c>
      <c r="D217" s="5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>
        <v>1.0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3">
        <f t="shared" si="41"/>
        <v>1</v>
      </c>
      <c r="AF217" s="5"/>
      <c r="AG217" s="5"/>
    </row>
    <row r="218" ht="12.75" customHeight="1">
      <c r="A218" s="18"/>
      <c r="B218" s="55">
        <v>5.0</v>
      </c>
      <c r="C218" s="50" t="s">
        <v>161</v>
      </c>
      <c r="D218" s="5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>
        <v>1.0</v>
      </c>
      <c r="X218" s="19"/>
      <c r="Y218" s="19"/>
      <c r="Z218" s="19"/>
      <c r="AA218" s="19"/>
      <c r="AB218" s="19"/>
      <c r="AC218" s="19"/>
      <c r="AD218" s="19"/>
      <c r="AE218" s="13">
        <f t="shared" si="41"/>
        <v>1</v>
      </c>
      <c r="AF218" s="1"/>
      <c r="AG218" s="1"/>
    </row>
    <row r="219" ht="12.75" customHeight="1">
      <c r="A219" s="18"/>
      <c r="B219" s="55">
        <v>6.0</v>
      </c>
      <c r="C219" s="50" t="s">
        <v>162</v>
      </c>
      <c r="D219" s="56"/>
      <c r="E219" s="19"/>
      <c r="F219" s="19"/>
      <c r="G219" s="19"/>
      <c r="H219" s="19"/>
      <c r="I219" s="19"/>
      <c r="J219" s="19"/>
      <c r="K219" s="19"/>
      <c r="L219" s="19"/>
      <c r="M219" s="19"/>
      <c r="N219" s="19">
        <v>1.0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3">
        <f t="shared" si="41"/>
        <v>1</v>
      </c>
      <c r="AF219" s="52"/>
      <c r="AG219" s="52"/>
    </row>
    <row r="220" ht="12.75" customHeight="1">
      <c r="A220" s="18"/>
      <c r="B220" s="55">
        <v>7.0</v>
      </c>
      <c r="C220" s="50" t="s">
        <v>163</v>
      </c>
      <c r="D220" s="56"/>
      <c r="E220" s="19"/>
      <c r="F220" s="19">
        <v>1.0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>
        <v>1.0</v>
      </c>
      <c r="X220" s="19"/>
      <c r="Y220" s="19"/>
      <c r="Z220" s="19"/>
      <c r="AA220" s="19"/>
      <c r="AB220" s="19"/>
      <c r="AC220" s="19"/>
      <c r="AD220" s="19"/>
      <c r="AE220" s="13">
        <f t="shared" si="41"/>
        <v>2</v>
      </c>
      <c r="AF220" s="5"/>
      <c r="AG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3">
        <f t="shared" si="41"/>
        <v>0</v>
      </c>
      <c r="AF221" s="5"/>
      <c r="AG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3">
        <f t="shared" si="41"/>
        <v>0</v>
      </c>
      <c r="AF222" s="5"/>
      <c r="AG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D223" si="42">SUM(E213:E220)</f>
        <v>0</v>
      </c>
      <c r="F223" s="13">
        <f t="shared" si="42"/>
        <v>2</v>
      </c>
      <c r="G223" s="13">
        <f t="shared" si="42"/>
        <v>1</v>
      </c>
      <c r="H223" s="13">
        <f t="shared" si="42"/>
        <v>0</v>
      </c>
      <c r="I223" s="13">
        <f t="shared" si="42"/>
        <v>3</v>
      </c>
      <c r="J223" s="13">
        <f t="shared" si="42"/>
        <v>2</v>
      </c>
      <c r="K223" s="13">
        <f t="shared" si="42"/>
        <v>1</v>
      </c>
      <c r="L223" s="13">
        <f t="shared" si="42"/>
        <v>3</v>
      </c>
      <c r="M223" s="13">
        <f t="shared" si="42"/>
        <v>2</v>
      </c>
      <c r="N223" s="13">
        <f t="shared" si="42"/>
        <v>1</v>
      </c>
      <c r="O223" s="13">
        <f t="shared" si="42"/>
        <v>1</v>
      </c>
      <c r="P223" s="13">
        <f t="shared" si="42"/>
        <v>1</v>
      </c>
      <c r="Q223" s="13">
        <f t="shared" si="42"/>
        <v>1</v>
      </c>
      <c r="R223" s="13">
        <f t="shared" si="42"/>
        <v>0</v>
      </c>
      <c r="S223" s="13">
        <f t="shared" si="42"/>
        <v>0</v>
      </c>
      <c r="T223" s="13">
        <f t="shared" si="42"/>
        <v>1</v>
      </c>
      <c r="U223" s="13">
        <f t="shared" si="42"/>
        <v>0</v>
      </c>
      <c r="V223" s="13">
        <f t="shared" si="42"/>
        <v>1</v>
      </c>
      <c r="W223" s="13">
        <f t="shared" si="42"/>
        <v>5</v>
      </c>
      <c r="X223" s="13">
        <f t="shared" si="42"/>
        <v>6</v>
      </c>
      <c r="Y223" s="13">
        <f t="shared" si="42"/>
        <v>1</v>
      </c>
      <c r="Z223" s="13">
        <f t="shared" si="42"/>
        <v>1</v>
      </c>
      <c r="AA223" s="13">
        <f t="shared" si="42"/>
        <v>15</v>
      </c>
      <c r="AB223" s="13">
        <f t="shared" si="42"/>
        <v>5</v>
      </c>
      <c r="AC223" s="13">
        <f t="shared" si="42"/>
        <v>0</v>
      </c>
      <c r="AD223" s="13">
        <f t="shared" si="42"/>
        <v>0</v>
      </c>
      <c r="AE223" s="13">
        <f t="shared" si="41"/>
        <v>53</v>
      </c>
      <c r="AF223" s="5"/>
      <c r="AG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5"/>
      <c r="AG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>
        <v>1.0</v>
      </c>
      <c r="L225" s="19">
        <v>2.0</v>
      </c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>
        <v>1.0</v>
      </c>
      <c r="AC225" s="19">
        <v>1.0</v>
      </c>
      <c r="AD225" s="19"/>
      <c r="AE225" s="13">
        <f t="shared" ref="AE225:AE235" si="43">SUM(E225:AD225)</f>
        <v>5</v>
      </c>
      <c r="AF225" s="5"/>
      <c r="AG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/>
      <c r="F226" s="19">
        <v>1.0</v>
      </c>
      <c r="G226" s="19"/>
      <c r="H226" s="19">
        <v>1.0</v>
      </c>
      <c r="I226" s="19"/>
      <c r="J226" s="19"/>
      <c r="K226" s="19"/>
      <c r="L226" s="19">
        <v>1.0</v>
      </c>
      <c r="M226" s="19">
        <v>1.0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>
        <v>1.0</v>
      </c>
      <c r="Z226" s="19"/>
      <c r="AA226" s="19"/>
      <c r="AB226" s="19"/>
      <c r="AC226" s="19"/>
      <c r="AD226" s="19"/>
      <c r="AE226" s="13">
        <f t="shared" si="43"/>
        <v>5</v>
      </c>
      <c r="AF226" s="5"/>
      <c r="AG226" s="5"/>
    </row>
    <row r="227" ht="12.75" customHeight="1">
      <c r="A227" s="18"/>
      <c r="B227" s="55">
        <v>2.0</v>
      </c>
      <c r="C227" s="50" t="s">
        <v>167</v>
      </c>
      <c r="D227" s="5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>
        <v>1.0</v>
      </c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3">
        <f t="shared" si="43"/>
        <v>1</v>
      </c>
      <c r="AF227" s="5"/>
      <c r="AG227" s="5"/>
    </row>
    <row r="228" ht="12.75" customHeight="1">
      <c r="A228" s="18"/>
      <c r="B228" s="55">
        <v>3.0</v>
      </c>
      <c r="C228" s="50" t="s">
        <v>168</v>
      </c>
      <c r="D228" s="57"/>
      <c r="E228" s="19"/>
      <c r="F228" s="19"/>
      <c r="G228" s="19"/>
      <c r="H228" s="19"/>
      <c r="I228" s="19"/>
      <c r="J228" s="19"/>
      <c r="K228" s="19"/>
      <c r="L228" s="19"/>
      <c r="M228" s="19"/>
      <c r="N228" s="19">
        <v>1.0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3">
        <f t="shared" si="43"/>
        <v>1</v>
      </c>
      <c r="AF228" s="5"/>
      <c r="AG228" s="5"/>
    </row>
    <row r="229" ht="12.75" customHeight="1">
      <c r="A229" s="18"/>
      <c r="B229" s="55">
        <v>4.0</v>
      </c>
      <c r="C229" s="50" t="s">
        <v>169</v>
      </c>
      <c r="D229" s="57"/>
      <c r="E229" s="19"/>
      <c r="F229" s="19"/>
      <c r="G229" s="19"/>
      <c r="H229" s="19"/>
      <c r="I229" s="19"/>
      <c r="J229" s="19"/>
      <c r="K229" s="19">
        <v>1.0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3">
        <f t="shared" si="43"/>
        <v>1</v>
      </c>
      <c r="AF229" s="1"/>
      <c r="AG229" s="1"/>
    </row>
    <row r="230" ht="12.75" customHeight="1">
      <c r="A230" s="18"/>
      <c r="B230" s="55">
        <v>5.0</v>
      </c>
      <c r="C230" s="50" t="s">
        <v>170</v>
      </c>
      <c r="D230" s="5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3">
        <f t="shared" si="43"/>
        <v>0</v>
      </c>
      <c r="AF230" s="52"/>
      <c r="AG230" s="52"/>
    </row>
    <row r="231" ht="12.75" customHeight="1">
      <c r="A231" s="18"/>
      <c r="B231" s="55">
        <v>6.0</v>
      </c>
      <c r="C231" s="50" t="s">
        <v>171</v>
      </c>
      <c r="D231" s="5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3">
        <f t="shared" si="43"/>
        <v>0</v>
      </c>
      <c r="AF231" s="5"/>
      <c r="AG231" s="5"/>
    </row>
    <row r="232" ht="12.75" customHeight="1">
      <c r="A232" s="18"/>
      <c r="B232" s="55">
        <v>7.0</v>
      </c>
      <c r="C232" s="50" t="s">
        <v>172</v>
      </c>
      <c r="D232" s="57"/>
      <c r="E232" s="19"/>
      <c r="F232" s="19"/>
      <c r="G232" s="19">
        <v>1.0</v>
      </c>
      <c r="H232" s="19"/>
      <c r="I232" s="19"/>
      <c r="J232" s="19"/>
      <c r="K232" s="19"/>
      <c r="L232" s="19"/>
      <c r="M232" s="19"/>
      <c r="N232" s="19"/>
      <c r="O232" s="19">
        <v>1.0</v>
      </c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3">
        <f t="shared" si="43"/>
        <v>2</v>
      </c>
      <c r="AF232" s="5"/>
      <c r="AG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3">
        <f t="shared" si="43"/>
        <v>0</v>
      </c>
      <c r="AF233" s="5"/>
      <c r="AG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3">
        <f t="shared" si="43"/>
        <v>0</v>
      </c>
      <c r="AF234" s="5"/>
      <c r="AG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D235" si="44">SUM(E225:E232)</f>
        <v>0</v>
      </c>
      <c r="F235" s="13">
        <f t="shared" si="44"/>
        <v>1</v>
      </c>
      <c r="G235" s="13">
        <f t="shared" si="44"/>
        <v>1</v>
      </c>
      <c r="H235" s="13">
        <f t="shared" si="44"/>
        <v>1</v>
      </c>
      <c r="I235" s="13">
        <f t="shared" si="44"/>
        <v>0</v>
      </c>
      <c r="J235" s="13">
        <f t="shared" si="44"/>
        <v>0</v>
      </c>
      <c r="K235" s="13">
        <f t="shared" si="44"/>
        <v>2</v>
      </c>
      <c r="L235" s="13">
        <f t="shared" si="44"/>
        <v>3</v>
      </c>
      <c r="M235" s="13">
        <f t="shared" si="44"/>
        <v>1</v>
      </c>
      <c r="N235" s="13">
        <f t="shared" si="44"/>
        <v>1</v>
      </c>
      <c r="O235" s="13">
        <f t="shared" si="44"/>
        <v>2</v>
      </c>
      <c r="P235" s="13">
        <f t="shared" si="44"/>
        <v>0</v>
      </c>
      <c r="Q235" s="13">
        <f t="shared" si="44"/>
        <v>0</v>
      </c>
      <c r="R235" s="13">
        <f t="shared" si="44"/>
        <v>0</v>
      </c>
      <c r="S235" s="13">
        <f t="shared" si="44"/>
        <v>0</v>
      </c>
      <c r="T235" s="13">
        <f t="shared" si="44"/>
        <v>0</v>
      </c>
      <c r="U235" s="13">
        <f t="shared" si="44"/>
        <v>0</v>
      </c>
      <c r="V235" s="13">
        <f t="shared" si="44"/>
        <v>0</v>
      </c>
      <c r="W235" s="13">
        <f t="shared" si="44"/>
        <v>0</v>
      </c>
      <c r="X235" s="13">
        <f t="shared" si="44"/>
        <v>0</v>
      </c>
      <c r="Y235" s="13">
        <f t="shared" si="44"/>
        <v>1</v>
      </c>
      <c r="Z235" s="13">
        <f t="shared" si="44"/>
        <v>0</v>
      </c>
      <c r="AA235" s="13">
        <f t="shared" si="44"/>
        <v>0</v>
      </c>
      <c r="AB235" s="13">
        <f t="shared" si="44"/>
        <v>1</v>
      </c>
      <c r="AC235" s="13">
        <f t="shared" si="44"/>
        <v>1</v>
      </c>
      <c r="AD235" s="13">
        <f t="shared" si="44"/>
        <v>0</v>
      </c>
      <c r="AE235" s="13">
        <f t="shared" si="43"/>
        <v>15</v>
      </c>
      <c r="AF235" s="5"/>
      <c r="AG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5"/>
      <c r="AG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/>
      <c r="F237" s="19">
        <v>1.0</v>
      </c>
      <c r="G237" s="19"/>
      <c r="H237" s="19">
        <v>2.0</v>
      </c>
      <c r="I237" s="19">
        <v>1.0</v>
      </c>
      <c r="J237" s="19"/>
      <c r="K237" s="19">
        <v>2.0</v>
      </c>
      <c r="L237" s="19">
        <v>1.0</v>
      </c>
      <c r="M237" s="19">
        <v>2.0</v>
      </c>
      <c r="N237" s="19">
        <v>1.0</v>
      </c>
      <c r="O237" s="19">
        <v>1.0</v>
      </c>
      <c r="P237" s="19"/>
      <c r="Q237" s="19">
        <v>3.0</v>
      </c>
      <c r="R237" s="19"/>
      <c r="S237" s="19"/>
      <c r="T237" s="19"/>
      <c r="U237" s="19">
        <v>1.0</v>
      </c>
      <c r="V237" s="19"/>
      <c r="W237" s="19"/>
      <c r="X237" s="19"/>
      <c r="Y237" s="19"/>
      <c r="Z237" s="19"/>
      <c r="AA237" s="19"/>
      <c r="AB237" s="19"/>
      <c r="AC237" s="19"/>
      <c r="AD237" s="19"/>
      <c r="AE237" s="13">
        <f t="shared" ref="AE237:AE247" si="45">SUM(E237:AD237)</f>
        <v>15</v>
      </c>
      <c r="AF237" s="5"/>
      <c r="AG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/>
      <c r="F238" s="19">
        <v>1.0</v>
      </c>
      <c r="G238" s="19"/>
      <c r="H238" s="19"/>
      <c r="I238" s="19"/>
      <c r="J238" s="19"/>
      <c r="K238" s="19"/>
      <c r="L238" s="19"/>
      <c r="M238" s="19">
        <v>1.0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>
        <v>1.0</v>
      </c>
      <c r="Z238" s="19"/>
      <c r="AA238" s="19"/>
      <c r="AB238" s="19"/>
      <c r="AC238" s="19"/>
      <c r="AD238" s="19">
        <v>1.0</v>
      </c>
      <c r="AE238" s="13">
        <f t="shared" si="45"/>
        <v>4</v>
      </c>
      <c r="AF238" s="5"/>
      <c r="AG238" s="5"/>
    </row>
    <row r="239" ht="12.75" customHeight="1">
      <c r="A239" s="18"/>
      <c r="B239" s="55">
        <v>2.0</v>
      </c>
      <c r="C239" s="50" t="s">
        <v>176</v>
      </c>
      <c r="D239" s="57"/>
      <c r="E239" s="19"/>
      <c r="F239" s="19"/>
      <c r="G239" s="19"/>
      <c r="H239" s="19"/>
      <c r="I239" s="19"/>
      <c r="J239" s="19"/>
      <c r="K239" s="19"/>
      <c r="L239" s="19"/>
      <c r="M239" s="19">
        <v>1.0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>
        <v>1.0</v>
      </c>
      <c r="AE239" s="13">
        <f t="shared" si="45"/>
        <v>2</v>
      </c>
      <c r="AF239" s="5"/>
      <c r="AG239" s="5"/>
    </row>
    <row r="240" ht="12.75" customHeight="1">
      <c r="A240" s="18"/>
      <c r="B240" s="55">
        <v>3.0</v>
      </c>
      <c r="C240" s="50" t="s">
        <v>177</v>
      </c>
      <c r="D240" s="57"/>
      <c r="E240" s="19"/>
      <c r="F240" s="19"/>
      <c r="G240" s="19"/>
      <c r="H240" s="19"/>
      <c r="I240" s="19"/>
      <c r="J240" s="19">
        <v>1.0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3">
        <f t="shared" si="45"/>
        <v>1</v>
      </c>
      <c r="AF240" s="1"/>
      <c r="AG240" s="1"/>
    </row>
    <row r="241" ht="12.75" customHeight="1">
      <c r="A241" s="18"/>
      <c r="B241" s="55">
        <v>4.0</v>
      </c>
      <c r="C241" s="50" t="s">
        <v>178</v>
      </c>
      <c r="D241" s="57"/>
      <c r="E241" s="19"/>
      <c r="F241" s="19"/>
      <c r="G241" s="19"/>
      <c r="H241" s="19">
        <v>1.0</v>
      </c>
      <c r="I241" s="19"/>
      <c r="J241" s="19"/>
      <c r="K241" s="19"/>
      <c r="L241" s="19"/>
      <c r="M241" s="19"/>
      <c r="N241" s="19"/>
      <c r="O241" s="19">
        <v>1.0</v>
      </c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3">
        <f t="shared" si="45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3">
        <f t="shared" si="45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3">
        <f t="shared" si="45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21.0</v>
      </c>
      <c r="G244" s="19">
        <v>1.0</v>
      </c>
      <c r="H244" s="19">
        <v>41.0</v>
      </c>
      <c r="I244" s="19">
        <v>1.0</v>
      </c>
      <c r="J244" s="19">
        <v>11.0</v>
      </c>
      <c r="K244" s="19">
        <v>6.0</v>
      </c>
      <c r="L244" s="19">
        <v>2.0</v>
      </c>
      <c r="M244" s="19">
        <v>17.0</v>
      </c>
      <c r="N244" s="19"/>
      <c r="O244" s="19">
        <v>2.0</v>
      </c>
      <c r="P244" s="19"/>
      <c r="Q244" s="19">
        <v>8.0</v>
      </c>
      <c r="R244" s="19">
        <v>4.0</v>
      </c>
      <c r="S244" s="19"/>
      <c r="T244" s="19">
        <v>1.0</v>
      </c>
      <c r="U244" s="19"/>
      <c r="V244" s="19">
        <v>2.0</v>
      </c>
      <c r="W244" s="19"/>
      <c r="X244" s="19">
        <v>1.0</v>
      </c>
      <c r="Y244" s="19"/>
      <c r="Z244" s="19">
        <v>1.0</v>
      </c>
      <c r="AA244" s="19"/>
      <c r="AB244" s="19"/>
      <c r="AC244" s="19"/>
      <c r="AD244" s="19"/>
      <c r="AE244" s="13">
        <f t="shared" si="45"/>
        <v>121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3">
        <f t="shared" si="45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3">
        <f t="shared" si="45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D247" si="46">SUM(E237:E244)</f>
        <v>2</v>
      </c>
      <c r="F247" s="13">
        <f t="shared" si="46"/>
        <v>23</v>
      </c>
      <c r="G247" s="13">
        <f t="shared" si="46"/>
        <v>1</v>
      </c>
      <c r="H247" s="13">
        <f t="shared" si="46"/>
        <v>44</v>
      </c>
      <c r="I247" s="13">
        <f t="shared" si="46"/>
        <v>2</v>
      </c>
      <c r="J247" s="13">
        <f t="shared" si="46"/>
        <v>12</v>
      </c>
      <c r="K247" s="13">
        <f t="shared" si="46"/>
        <v>8</v>
      </c>
      <c r="L247" s="13">
        <f t="shared" si="46"/>
        <v>3</v>
      </c>
      <c r="M247" s="13">
        <f t="shared" si="46"/>
        <v>21</v>
      </c>
      <c r="N247" s="13">
        <f t="shared" si="46"/>
        <v>1</v>
      </c>
      <c r="O247" s="13">
        <f t="shared" si="46"/>
        <v>4</v>
      </c>
      <c r="P247" s="13">
        <f t="shared" si="46"/>
        <v>0</v>
      </c>
      <c r="Q247" s="13">
        <f t="shared" si="46"/>
        <v>11</v>
      </c>
      <c r="R247" s="13">
        <f t="shared" si="46"/>
        <v>4</v>
      </c>
      <c r="S247" s="13">
        <f t="shared" si="46"/>
        <v>0</v>
      </c>
      <c r="T247" s="13">
        <f t="shared" si="46"/>
        <v>1</v>
      </c>
      <c r="U247" s="13">
        <f t="shared" si="46"/>
        <v>1</v>
      </c>
      <c r="V247" s="13">
        <f t="shared" si="46"/>
        <v>2</v>
      </c>
      <c r="W247" s="13">
        <f t="shared" si="46"/>
        <v>0</v>
      </c>
      <c r="X247" s="13">
        <f t="shared" si="46"/>
        <v>1</v>
      </c>
      <c r="Y247" s="13">
        <f t="shared" si="46"/>
        <v>1</v>
      </c>
      <c r="Z247" s="13">
        <f t="shared" si="46"/>
        <v>1</v>
      </c>
      <c r="AA247" s="13">
        <f t="shared" si="46"/>
        <v>0</v>
      </c>
      <c r="AB247" s="13">
        <f t="shared" si="46"/>
        <v>0</v>
      </c>
      <c r="AC247" s="13">
        <f t="shared" si="46"/>
        <v>0</v>
      </c>
      <c r="AD247" s="13">
        <f t="shared" si="46"/>
        <v>2</v>
      </c>
      <c r="AE247" s="13">
        <f t="shared" si="45"/>
        <v>145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>
        <v>1.0</v>
      </c>
      <c r="J249" s="19">
        <v>1.0</v>
      </c>
      <c r="K249" s="19"/>
      <c r="L249" s="19"/>
      <c r="M249" s="19"/>
      <c r="N249" s="19">
        <v>1.0</v>
      </c>
      <c r="O249" s="19">
        <v>1.0</v>
      </c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>
        <v>1.0</v>
      </c>
      <c r="AC249" s="19"/>
      <c r="AD249" s="19"/>
      <c r="AE249" s="13">
        <f t="shared" ref="AE249:AE259" si="47">SUM(E249:AD249)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>
        <v>1.0</v>
      </c>
      <c r="AE250" s="13">
        <f t="shared" si="47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3">
        <f t="shared" si="47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3">
        <f t="shared" si="47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/>
      <c r="F253" s="19"/>
      <c r="G253" s="19"/>
      <c r="H253" s="19"/>
      <c r="I253" s="19"/>
      <c r="J253" s="19"/>
      <c r="K253" s="19"/>
      <c r="L253" s="19"/>
      <c r="M253" s="19"/>
      <c r="N253" s="19">
        <v>1.0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3">
        <f t="shared" si="47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/>
      <c r="F254" s="19"/>
      <c r="G254" s="19"/>
      <c r="H254" s="19">
        <v>1.0</v>
      </c>
      <c r="I254" s="19"/>
      <c r="J254" s="19"/>
      <c r="K254" s="19"/>
      <c r="L254" s="19"/>
      <c r="M254" s="19">
        <v>1.0</v>
      </c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3">
        <f t="shared" si="47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/>
      <c r="F255" s="19"/>
      <c r="G255" s="19"/>
      <c r="H255" s="19"/>
      <c r="I255" s="19"/>
      <c r="J255" s="19"/>
      <c r="K255" s="19"/>
      <c r="L255" s="19"/>
      <c r="M255" s="19"/>
      <c r="N255" s="19">
        <v>1.0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3">
        <f t="shared" si="47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3">
        <f t="shared" si="47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3">
        <f t="shared" si="47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3">
        <f t="shared" si="47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D259" si="48">SUM(E249:E255)</f>
        <v>1</v>
      </c>
      <c r="F259" s="13">
        <f t="shared" si="48"/>
        <v>0</v>
      </c>
      <c r="G259" s="13">
        <f t="shared" si="48"/>
        <v>0</v>
      </c>
      <c r="H259" s="13">
        <f t="shared" si="48"/>
        <v>1</v>
      </c>
      <c r="I259" s="13">
        <f t="shared" si="48"/>
        <v>1</v>
      </c>
      <c r="J259" s="13">
        <f t="shared" si="48"/>
        <v>1</v>
      </c>
      <c r="K259" s="13">
        <f t="shared" si="48"/>
        <v>0</v>
      </c>
      <c r="L259" s="13">
        <f t="shared" si="48"/>
        <v>0</v>
      </c>
      <c r="M259" s="13">
        <f t="shared" si="48"/>
        <v>1</v>
      </c>
      <c r="N259" s="13">
        <f t="shared" si="48"/>
        <v>3</v>
      </c>
      <c r="O259" s="13">
        <f t="shared" si="48"/>
        <v>1</v>
      </c>
      <c r="P259" s="13">
        <f t="shared" si="48"/>
        <v>0</v>
      </c>
      <c r="Q259" s="13">
        <f t="shared" si="48"/>
        <v>0</v>
      </c>
      <c r="R259" s="13">
        <f t="shared" si="48"/>
        <v>0</v>
      </c>
      <c r="S259" s="13">
        <f t="shared" si="48"/>
        <v>0</v>
      </c>
      <c r="T259" s="13">
        <f t="shared" si="48"/>
        <v>0</v>
      </c>
      <c r="U259" s="13">
        <f t="shared" si="48"/>
        <v>0</v>
      </c>
      <c r="V259" s="13">
        <f t="shared" si="48"/>
        <v>0</v>
      </c>
      <c r="W259" s="13">
        <f t="shared" si="48"/>
        <v>0</v>
      </c>
      <c r="X259" s="13">
        <f t="shared" si="48"/>
        <v>0</v>
      </c>
      <c r="Y259" s="13">
        <f t="shared" si="48"/>
        <v>0</v>
      </c>
      <c r="Z259" s="13">
        <f t="shared" si="48"/>
        <v>0</v>
      </c>
      <c r="AA259" s="13">
        <f t="shared" si="48"/>
        <v>0</v>
      </c>
      <c r="AB259" s="13">
        <f t="shared" si="48"/>
        <v>1</v>
      </c>
      <c r="AC259" s="13">
        <f t="shared" si="48"/>
        <v>0</v>
      </c>
      <c r="AD259" s="13">
        <f t="shared" si="48"/>
        <v>1</v>
      </c>
      <c r="AE259" s="13">
        <f t="shared" si="47"/>
        <v>11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D262" si="49">E55+E67+E79+E91+E103+E115+E127+E139+E151+E163+E175+E187+E199+E211+E223+E235+E247+E259</f>
        <v>196</v>
      </c>
      <c r="F262" s="19">
        <f t="shared" si="49"/>
        <v>192</v>
      </c>
      <c r="G262" s="19">
        <f t="shared" si="49"/>
        <v>191</v>
      </c>
      <c r="H262" s="19">
        <f t="shared" si="49"/>
        <v>179</v>
      </c>
      <c r="I262" s="19">
        <f t="shared" si="49"/>
        <v>187</v>
      </c>
      <c r="J262" s="19">
        <f t="shared" si="49"/>
        <v>194</v>
      </c>
      <c r="K262" s="19">
        <f t="shared" si="49"/>
        <v>202</v>
      </c>
      <c r="L262" s="19">
        <f t="shared" si="49"/>
        <v>219</v>
      </c>
      <c r="M262" s="19">
        <f t="shared" si="49"/>
        <v>214</v>
      </c>
      <c r="N262" s="19">
        <f t="shared" si="49"/>
        <v>217</v>
      </c>
      <c r="O262" s="19">
        <f t="shared" si="49"/>
        <v>167</v>
      </c>
      <c r="P262" s="19">
        <f t="shared" si="49"/>
        <v>203</v>
      </c>
      <c r="Q262" s="19">
        <f t="shared" si="49"/>
        <v>179</v>
      </c>
      <c r="R262" s="19">
        <f t="shared" si="49"/>
        <v>150</v>
      </c>
      <c r="S262" s="19">
        <f t="shared" si="49"/>
        <v>202</v>
      </c>
      <c r="T262" s="19">
        <f t="shared" si="49"/>
        <v>184</v>
      </c>
      <c r="U262" s="19">
        <f t="shared" si="49"/>
        <v>190</v>
      </c>
      <c r="V262" s="19">
        <f t="shared" si="49"/>
        <v>164</v>
      </c>
      <c r="W262" s="19">
        <f t="shared" si="49"/>
        <v>205</v>
      </c>
      <c r="X262" s="19">
        <f t="shared" si="49"/>
        <v>194</v>
      </c>
      <c r="Y262" s="19">
        <f t="shared" si="49"/>
        <v>177</v>
      </c>
      <c r="Z262" s="19">
        <f t="shared" si="49"/>
        <v>216</v>
      </c>
      <c r="AA262" s="19">
        <f t="shared" si="49"/>
        <v>165</v>
      </c>
      <c r="AB262" s="19">
        <f t="shared" si="49"/>
        <v>143</v>
      </c>
      <c r="AC262" s="19">
        <f t="shared" si="49"/>
        <v>158</v>
      </c>
      <c r="AD262" s="19">
        <f t="shared" si="49"/>
        <v>186</v>
      </c>
      <c r="AE262" s="13">
        <f t="shared" ref="AE262:AE264" si="50">SUM(E262:AD262)</f>
        <v>4874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11.0</v>
      </c>
      <c r="F263" s="19">
        <v>8.0</v>
      </c>
      <c r="G263" s="19">
        <v>10.0</v>
      </c>
      <c r="H263" s="19">
        <v>5.0</v>
      </c>
      <c r="I263" s="19">
        <v>23.0</v>
      </c>
      <c r="J263" s="19">
        <v>36.0</v>
      </c>
      <c r="K263" s="19">
        <v>22.0</v>
      </c>
      <c r="L263" s="19">
        <v>10.0</v>
      </c>
      <c r="M263" s="19">
        <v>9.0</v>
      </c>
      <c r="N263" s="19">
        <v>12.0</v>
      </c>
      <c r="O263" s="19">
        <v>10.0</v>
      </c>
      <c r="P263" s="19">
        <v>12.0</v>
      </c>
      <c r="Q263" s="19">
        <v>4.0</v>
      </c>
      <c r="R263" s="19">
        <v>5.0</v>
      </c>
      <c r="S263" s="19">
        <v>19.0</v>
      </c>
      <c r="T263" s="19">
        <v>10.0</v>
      </c>
      <c r="U263" s="19">
        <v>9.0</v>
      </c>
      <c r="V263" s="19">
        <v>21.0</v>
      </c>
      <c r="W263" s="19">
        <v>20.0</v>
      </c>
      <c r="X263" s="19">
        <v>16.0</v>
      </c>
      <c r="Y263" s="19">
        <v>14.0</v>
      </c>
      <c r="Z263" s="19">
        <v>6.0</v>
      </c>
      <c r="AA263" s="19">
        <v>12.0</v>
      </c>
      <c r="AB263" s="19">
        <v>11.0</v>
      </c>
      <c r="AC263" s="19">
        <v>14.0</v>
      </c>
      <c r="AD263" s="19">
        <v>21.0</v>
      </c>
      <c r="AE263" s="13">
        <f t="shared" si="50"/>
        <v>350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D264" si="51">SUM(E262:E263)</f>
        <v>207</v>
      </c>
      <c r="F264" s="13">
        <f t="shared" si="51"/>
        <v>200</v>
      </c>
      <c r="G264" s="13">
        <f t="shared" si="51"/>
        <v>201</v>
      </c>
      <c r="H264" s="13">
        <f t="shared" si="51"/>
        <v>184</v>
      </c>
      <c r="I264" s="13">
        <f t="shared" si="51"/>
        <v>210</v>
      </c>
      <c r="J264" s="13">
        <f t="shared" si="51"/>
        <v>230</v>
      </c>
      <c r="K264" s="13">
        <f t="shared" si="51"/>
        <v>224</v>
      </c>
      <c r="L264" s="13">
        <f t="shared" si="51"/>
        <v>229</v>
      </c>
      <c r="M264" s="13">
        <f t="shared" si="51"/>
        <v>223</v>
      </c>
      <c r="N264" s="13">
        <f t="shared" si="51"/>
        <v>229</v>
      </c>
      <c r="O264" s="13">
        <f t="shared" si="51"/>
        <v>177</v>
      </c>
      <c r="P264" s="13">
        <f t="shared" si="51"/>
        <v>215</v>
      </c>
      <c r="Q264" s="13">
        <f t="shared" si="51"/>
        <v>183</v>
      </c>
      <c r="R264" s="13">
        <f t="shared" si="51"/>
        <v>155</v>
      </c>
      <c r="S264" s="13">
        <f t="shared" si="51"/>
        <v>221</v>
      </c>
      <c r="T264" s="13">
        <f t="shared" si="51"/>
        <v>194</v>
      </c>
      <c r="U264" s="13">
        <f t="shared" si="51"/>
        <v>199</v>
      </c>
      <c r="V264" s="13">
        <f t="shared" si="51"/>
        <v>185</v>
      </c>
      <c r="W264" s="13">
        <f t="shared" si="51"/>
        <v>225</v>
      </c>
      <c r="X264" s="13">
        <f t="shared" si="51"/>
        <v>210</v>
      </c>
      <c r="Y264" s="13">
        <f t="shared" si="51"/>
        <v>191</v>
      </c>
      <c r="Z264" s="13">
        <f t="shared" si="51"/>
        <v>222</v>
      </c>
      <c r="AA264" s="13">
        <f t="shared" si="51"/>
        <v>177</v>
      </c>
      <c r="AB264" s="13">
        <f t="shared" si="51"/>
        <v>154</v>
      </c>
      <c r="AC264" s="13">
        <f t="shared" si="51"/>
        <v>172</v>
      </c>
      <c r="AD264" s="13">
        <f t="shared" si="51"/>
        <v>207</v>
      </c>
      <c r="AE264" s="13">
        <f t="shared" si="50"/>
        <v>5224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9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  <col customWidth="1" min="64" max="6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36"/>
    </row>
    <row r="14" ht="12.75" customHeight="1">
      <c r="A14" s="18"/>
      <c r="B14" s="22" t="s">
        <v>11</v>
      </c>
      <c r="C14" s="23"/>
      <c r="D14" s="19" t="s">
        <v>12</v>
      </c>
      <c r="E14" s="19">
        <v>48.0</v>
      </c>
      <c r="F14" s="19">
        <v>60.0</v>
      </c>
      <c r="G14" s="19">
        <v>57.0</v>
      </c>
      <c r="H14" s="19">
        <v>49.0</v>
      </c>
      <c r="I14" s="19">
        <v>111.0</v>
      </c>
      <c r="J14" s="19">
        <v>137.0</v>
      </c>
      <c r="K14" s="19">
        <v>142.0</v>
      </c>
      <c r="L14" s="19">
        <v>129.0</v>
      </c>
      <c r="M14" s="19">
        <v>134.0</v>
      </c>
      <c r="N14" s="19">
        <v>50.0</v>
      </c>
      <c r="O14" s="19">
        <v>120.0</v>
      </c>
      <c r="P14" s="19">
        <v>109.0</v>
      </c>
      <c r="Q14" s="19">
        <v>109.0</v>
      </c>
      <c r="R14" s="19">
        <v>73.0</v>
      </c>
      <c r="S14" s="19">
        <v>120.0</v>
      </c>
      <c r="T14" s="19">
        <v>78.0</v>
      </c>
      <c r="U14" s="19">
        <v>127.0</v>
      </c>
      <c r="V14" s="19">
        <v>147.0</v>
      </c>
      <c r="W14" s="19">
        <v>111.0</v>
      </c>
      <c r="X14" s="19">
        <v>150.0</v>
      </c>
      <c r="Y14" s="19">
        <v>128.0</v>
      </c>
      <c r="Z14" s="19">
        <v>100.0</v>
      </c>
      <c r="AA14" s="19">
        <v>119.0</v>
      </c>
      <c r="AB14" s="19">
        <v>97.0</v>
      </c>
      <c r="AC14" s="19">
        <v>150.0</v>
      </c>
      <c r="AD14" s="19">
        <v>108.0</v>
      </c>
      <c r="AE14" s="19">
        <v>87.0</v>
      </c>
      <c r="AF14" s="19">
        <v>66.0</v>
      </c>
      <c r="AG14" s="19">
        <v>128.0</v>
      </c>
      <c r="AH14" s="19">
        <v>143.0</v>
      </c>
      <c r="AI14" s="19">
        <v>113.0</v>
      </c>
      <c r="AJ14" s="19">
        <v>92.0</v>
      </c>
      <c r="AK14" s="19">
        <v>99.0</v>
      </c>
      <c r="AL14" s="19">
        <v>130.0</v>
      </c>
      <c r="AM14" s="19">
        <v>107.0</v>
      </c>
      <c r="AN14" s="19">
        <v>94.0</v>
      </c>
      <c r="AO14" s="19">
        <v>81.0</v>
      </c>
      <c r="AP14" s="19">
        <v>102.0</v>
      </c>
      <c r="AQ14" s="19">
        <v>90.0</v>
      </c>
      <c r="AR14" s="19">
        <v>99.0</v>
      </c>
      <c r="AS14" s="19">
        <v>81.0</v>
      </c>
      <c r="AT14" s="19">
        <v>145.0</v>
      </c>
      <c r="AU14" s="19">
        <v>141.0</v>
      </c>
      <c r="AV14" s="19">
        <v>131.0</v>
      </c>
      <c r="AW14" s="19">
        <v>138.0</v>
      </c>
      <c r="AX14" s="19">
        <v>105.0</v>
      </c>
      <c r="AY14" s="19">
        <v>132.0</v>
      </c>
      <c r="AZ14" s="19">
        <v>81.0</v>
      </c>
      <c r="BA14" s="19">
        <v>103.0</v>
      </c>
      <c r="BB14" s="19">
        <v>87.0</v>
      </c>
      <c r="BC14" s="19">
        <v>128.0</v>
      </c>
      <c r="BD14" s="19">
        <v>117.0</v>
      </c>
      <c r="BE14" s="19">
        <v>132.0</v>
      </c>
      <c r="BF14" s="19">
        <v>84.0</v>
      </c>
      <c r="BG14" s="19">
        <v>135.0</v>
      </c>
      <c r="BH14" s="19">
        <v>139.0</v>
      </c>
      <c r="BI14" s="19">
        <v>117.0</v>
      </c>
      <c r="BJ14" s="19">
        <v>134.0</v>
      </c>
      <c r="BK14" s="13">
        <f t="shared" ref="BK14:BK16" si="1">SUM(E14:BJ14)</f>
        <v>6324</v>
      </c>
    </row>
    <row r="15" ht="12.75" customHeight="1">
      <c r="A15" s="18"/>
      <c r="B15" s="26"/>
      <c r="C15" s="27"/>
      <c r="D15" s="19" t="s">
        <v>13</v>
      </c>
      <c r="E15" s="19">
        <v>53.0</v>
      </c>
      <c r="F15" s="19">
        <v>48.0</v>
      </c>
      <c r="G15" s="19">
        <v>58.0</v>
      </c>
      <c r="H15" s="19">
        <v>39.0</v>
      </c>
      <c r="I15" s="19">
        <v>110.0</v>
      </c>
      <c r="J15" s="19">
        <v>137.0</v>
      </c>
      <c r="K15" s="19">
        <v>146.0</v>
      </c>
      <c r="L15" s="19">
        <v>145.0</v>
      </c>
      <c r="M15" s="19">
        <v>132.0</v>
      </c>
      <c r="N15" s="19">
        <v>43.0</v>
      </c>
      <c r="O15" s="19">
        <v>152.0</v>
      </c>
      <c r="P15" s="19">
        <v>115.0</v>
      </c>
      <c r="Q15" s="19">
        <v>101.0</v>
      </c>
      <c r="R15" s="19">
        <v>68.0</v>
      </c>
      <c r="S15" s="19">
        <v>123.0</v>
      </c>
      <c r="T15" s="19">
        <v>84.0</v>
      </c>
      <c r="U15" s="19">
        <v>118.0</v>
      </c>
      <c r="V15" s="19">
        <v>147.0</v>
      </c>
      <c r="W15" s="19">
        <v>122.0</v>
      </c>
      <c r="X15" s="19">
        <v>138.0</v>
      </c>
      <c r="Y15" s="19">
        <v>125.0</v>
      </c>
      <c r="Z15" s="19">
        <v>109.0</v>
      </c>
      <c r="AA15" s="19">
        <v>136.0</v>
      </c>
      <c r="AB15" s="19">
        <v>82.0</v>
      </c>
      <c r="AC15" s="19">
        <v>144.0</v>
      </c>
      <c r="AD15" s="19">
        <v>97.0</v>
      </c>
      <c r="AE15" s="19">
        <v>95.0</v>
      </c>
      <c r="AF15" s="19">
        <v>74.0</v>
      </c>
      <c r="AG15" s="19">
        <v>139.0</v>
      </c>
      <c r="AH15" s="19">
        <v>154.0</v>
      </c>
      <c r="AI15" s="19">
        <v>125.0</v>
      </c>
      <c r="AJ15" s="19">
        <v>101.0</v>
      </c>
      <c r="AK15" s="19">
        <v>99.0</v>
      </c>
      <c r="AL15" s="19">
        <v>139.0</v>
      </c>
      <c r="AM15" s="19">
        <v>121.0</v>
      </c>
      <c r="AN15" s="19">
        <v>91.0</v>
      </c>
      <c r="AO15" s="19">
        <v>77.0</v>
      </c>
      <c r="AP15" s="19">
        <v>109.0</v>
      </c>
      <c r="AQ15" s="19">
        <v>91.0</v>
      </c>
      <c r="AR15" s="19">
        <v>89.0</v>
      </c>
      <c r="AS15" s="19">
        <v>77.0</v>
      </c>
      <c r="AT15" s="19">
        <v>151.0</v>
      </c>
      <c r="AU15" s="19">
        <v>133.0</v>
      </c>
      <c r="AV15" s="19">
        <v>156.0</v>
      </c>
      <c r="AW15" s="19">
        <v>159.0</v>
      </c>
      <c r="AX15" s="19">
        <v>121.0</v>
      </c>
      <c r="AY15" s="19">
        <v>162.0</v>
      </c>
      <c r="AZ15" s="19">
        <v>93.0</v>
      </c>
      <c r="BA15" s="19">
        <v>108.0</v>
      </c>
      <c r="BB15" s="19">
        <v>89.0</v>
      </c>
      <c r="BC15" s="19">
        <v>130.0</v>
      </c>
      <c r="BD15" s="19">
        <v>129.0</v>
      </c>
      <c r="BE15" s="19">
        <v>148.0</v>
      </c>
      <c r="BF15" s="19">
        <v>99.0</v>
      </c>
      <c r="BG15" s="19">
        <v>147.0</v>
      </c>
      <c r="BH15" s="19">
        <v>152.0</v>
      </c>
      <c r="BI15" s="19">
        <v>121.0</v>
      </c>
      <c r="BJ15" s="19">
        <v>138.0</v>
      </c>
      <c r="BK15" s="13">
        <f t="shared" si="1"/>
        <v>6589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101</v>
      </c>
      <c r="F16" s="13">
        <f t="shared" si="2"/>
        <v>108</v>
      </c>
      <c r="G16" s="13">
        <f t="shared" si="2"/>
        <v>115</v>
      </c>
      <c r="H16" s="13">
        <f t="shared" si="2"/>
        <v>88</v>
      </c>
      <c r="I16" s="13">
        <f t="shared" si="2"/>
        <v>221</v>
      </c>
      <c r="J16" s="13">
        <f t="shared" si="2"/>
        <v>274</v>
      </c>
      <c r="K16" s="13">
        <f t="shared" si="2"/>
        <v>288</v>
      </c>
      <c r="L16" s="13">
        <f t="shared" si="2"/>
        <v>274</v>
      </c>
      <c r="M16" s="13">
        <f t="shared" si="2"/>
        <v>266</v>
      </c>
      <c r="N16" s="13">
        <f t="shared" si="2"/>
        <v>93</v>
      </c>
      <c r="O16" s="13">
        <f t="shared" si="2"/>
        <v>272</v>
      </c>
      <c r="P16" s="13">
        <f t="shared" si="2"/>
        <v>224</v>
      </c>
      <c r="Q16" s="13">
        <f t="shared" si="2"/>
        <v>210</v>
      </c>
      <c r="R16" s="13">
        <f t="shared" si="2"/>
        <v>141</v>
      </c>
      <c r="S16" s="13">
        <f t="shared" si="2"/>
        <v>243</v>
      </c>
      <c r="T16" s="13">
        <f t="shared" si="2"/>
        <v>162</v>
      </c>
      <c r="U16" s="13">
        <f t="shared" si="2"/>
        <v>245</v>
      </c>
      <c r="V16" s="13">
        <f t="shared" si="2"/>
        <v>294</v>
      </c>
      <c r="W16" s="13">
        <f t="shared" si="2"/>
        <v>233</v>
      </c>
      <c r="X16" s="13">
        <f t="shared" si="2"/>
        <v>288</v>
      </c>
      <c r="Y16" s="13">
        <f t="shared" si="2"/>
        <v>253</v>
      </c>
      <c r="Z16" s="13">
        <f t="shared" si="2"/>
        <v>209</v>
      </c>
      <c r="AA16" s="13">
        <f t="shared" si="2"/>
        <v>255</v>
      </c>
      <c r="AB16" s="13">
        <f t="shared" si="2"/>
        <v>179</v>
      </c>
      <c r="AC16" s="13">
        <f t="shared" si="2"/>
        <v>294</v>
      </c>
      <c r="AD16" s="13">
        <f t="shared" si="2"/>
        <v>205</v>
      </c>
      <c r="AE16" s="13">
        <f t="shared" si="2"/>
        <v>182</v>
      </c>
      <c r="AF16" s="13">
        <f t="shared" si="2"/>
        <v>140</v>
      </c>
      <c r="AG16" s="13">
        <f t="shared" si="2"/>
        <v>267</v>
      </c>
      <c r="AH16" s="13">
        <f t="shared" si="2"/>
        <v>297</v>
      </c>
      <c r="AI16" s="13">
        <f t="shared" si="2"/>
        <v>238</v>
      </c>
      <c r="AJ16" s="13">
        <f t="shared" si="2"/>
        <v>193</v>
      </c>
      <c r="AK16" s="13">
        <f t="shared" si="2"/>
        <v>198</v>
      </c>
      <c r="AL16" s="13">
        <f t="shared" si="2"/>
        <v>269</v>
      </c>
      <c r="AM16" s="13">
        <f t="shared" si="2"/>
        <v>228</v>
      </c>
      <c r="AN16" s="13">
        <f t="shared" si="2"/>
        <v>185</v>
      </c>
      <c r="AO16" s="13">
        <f t="shared" si="2"/>
        <v>158</v>
      </c>
      <c r="AP16" s="13">
        <f t="shared" si="2"/>
        <v>211</v>
      </c>
      <c r="AQ16" s="13">
        <f t="shared" si="2"/>
        <v>181</v>
      </c>
      <c r="AR16" s="13">
        <f t="shared" si="2"/>
        <v>188</v>
      </c>
      <c r="AS16" s="13">
        <f t="shared" si="2"/>
        <v>158</v>
      </c>
      <c r="AT16" s="13">
        <f t="shared" si="2"/>
        <v>296</v>
      </c>
      <c r="AU16" s="13">
        <f t="shared" si="2"/>
        <v>274</v>
      </c>
      <c r="AV16" s="13">
        <f t="shared" si="2"/>
        <v>287</v>
      </c>
      <c r="AW16" s="13">
        <f t="shared" si="2"/>
        <v>297</v>
      </c>
      <c r="AX16" s="13">
        <f t="shared" si="2"/>
        <v>226</v>
      </c>
      <c r="AY16" s="13">
        <f t="shared" si="2"/>
        <v>294</v>
      </c>
      <c r="AZ16" s="13">
        <f t="shared" si="2"/>
        <v>174</v>
      </c>
      <c r="BA16" s="13">
        <f t="shared" si="2"/>
        <v>211</v>
      </c>
      <c r="BB16" s="13">
        <f t="shared" si="2"/>
        <v>176</v>
      </c>
      <c r="BC16" s="13">
        <f t="shared" si="2"/>
        <v>258</v>
      </c>
      <c r="BD16" s="13">
        <f t="shared" si="2"/>
        <v>246</v>
      </c>
      <c r="BE16" s="13">
        <f t="shared" si="2"/>
        <v>280</v>
      </c>
      <c r="BF16" s="13">
        <f t="shared" si="2"/>
        <v>183</v>
      </c>
      <c r="BG16" s="13">
        <f t="shared" si="2"/>
        <v>282</v>
      </c>
      <c r="BH16" s="13">
        <f t="shared" si="2"/>
        <v>291</v>
      </c>
      <c r="BI16" s="13">
        <f t="shared" si="2"/>
        <v>238</v>
      </c>
      <c r="BJ16" s="13">
        <f t="shared" si="2"/>
        <v>272</v>
      </c>
      <c r="BK16" s="13">
        <f t="shared" si="1"/>
        <v>12913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19"/>
      <c r="BD17" s="19"/>
      <c r="BE17" s="19"/>
      <c r="BF17" s="19"/>
      <c r="BG17" s="67"/>
      <c r="BH17" s="19"/>
      <c r="BI17" s="19"/>
      <c r="BJ17" s="19"/>
      <c r="B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19"/>
      <c r="BD18" s="19"/>
      <c r="BE18" s="19"/>
      <c r="BF18" s="19"/>
      <c r="BG18" s="67"/>
      <c r="BH18" s="19"/>
      <c r="BI18" s="19"/>
      <c r="BJ18" s="19"/>
      <c r="B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39.0</v>
      </c>
      <c r="F19" s="19">
        <v>49.0</v>
      </c>
      <c r="G19" s="19">
        <v>45.0</v>
      </c>
      <c r="H19" s="19">
        <v>30.0</v>
      </c>
      <c r="I19" s="19">
        <v>77.0</v>
      </c>
      <c r="J19" s="19">
        <v>91.0</v>
      </c>
      <c r="K19" s="19">
        <v>77.0</v>
      </c>
      <c r="L19" s="19">
        <v>83.0</v>
      </c>
      <c r="M19" s="19">
        <v>88.0</v>
      </c>
      <c r="N19" s="19">
        <v>50.0</v>
      </c>
      <c r="O19" s="19">
        <v>85.0</v>
      </c>
      <c r="P19" s="19">
        <v>70.0</v>
      </c>
      <c r="Q19" s="19">
        <v>75.0</v>
      </c>
      <c r="R19" s="19">
        <v>44.0</v>
      </c>
      <c r="S19" s="19">
        <v>92.0</v>
      </c>
      <c r="T19" s="19">
        <v>54.0</v>
      </c>
      <c r="U19" s="19">
        <v>94.0</v>
      </c>
      <c r="V19" s="19">
        <v>99.0</v>
      </c>
      <c r="W19" s="19">
        <v>95.0</v>
      </c>
      <c r="X19" s="19">
        <v>120.0</v>
      </c>
      <c r="Y19" s="19">
        <v>76.0</v>
      </c>
      <c r="Z19" s="19">
        <v>72.0</v>
      </c>
      <c r="AA19" s="19">
        <v>82.0</v>
      </c>
      <c r="AB19" s="19">
        <v>56.0</v>
      </c>
      <c r="AC19" s="19">
        <v>109.0</v>
      </c>
      <c r="AD19" s="19">
        <v>59.0</v>
      </c>
      <c r="AE19" s="19">
        <v>67.0</v>
      </c>
      <c r="AF19" s="19">
        <v>55.0</v>
      </c>
      <c r="AG19" s="19">
        <v>75.0</v>
      </c>
      <c r="AH19" s="19">
        <v>109.0</v>
      </c>
      <c r="AI19" s="19">
        <v>78.0</v>
      </c>
      <c r="AJ19" s="19">
        <v>64.0</v>
      </c>
      <c r="AK19" s="19">
        <v>73.0</v>
      </c>
      <c r="AL19" s="19">
        <v>112.0</v>
      </c>
      <c r="AM19" s="19">
        <v>74.0</v>
      </c>
      <c r="AN19" s="19">
        <v>64.0</v>
      </c>
      <c r="AO19" s="19">
        <v>69.0</v>
      </c>
      <c r="AP19" s="19">
        <v>86.0</v>
      </c>
      <c r="AQ19" s="19">
        <v>75.0</v>
      </c>
      <c r="AR19" s="19">
        <v>79.0</v>
      </c>
      <c r="AS19" s="19">
        <v>64.0</v>
      </c>
      <c r="AT19" s="19">
        <v>98.0</v>
      </c>
      <c r="AU19" s="19">
        <v>101.0</v>
      </c>
      <c r="AV19" s="19">
        <v>92.0</v>
      </c>
      <c r="AW19" s="19">
        <v>86.0</v>
      </c>
      <c r="AX19" s="19">
        <v>68.0</v>
      </c>
      <c r="AY19" s="19">
        <v>96.0</v>
      </c>
      <c r="AZ19" s="19">
        <v>59.0</v>
      </c>
      <c r="BA19" s="19">
        <v>72.0</v>
      </c>
      <c r="BB19" s="19">
        <v>67.0</v>
      </c>
      <c r="BC19" s="19">
        <v>99.0</v>
      </c>
      <c r="BD19" s="19">
        <v>83.0</v>
      </c>
      <c r="BE19" s="19">
        <v>79.0</v>
      </c>
      <c r="BF19" s="19">
        <v>72.0</v>
      </c>
      <c r="BG19" s="19">
        <v>86.0</v>
      </c>
      <c r="BH19" s="19">
        <v>95.0</v>
      </c>
      <c r="BI19" s="19">
        <v>99.0</v>
      </c>
      <c r="BJ19" s="19">
        <v>87.0</v>
      </c>
      <c r="BK19" s="13">
        <f t="shared" ref="BK19:BK30" si="3">SUM(E19:BJ19)</f>
        <v>4494</v>
      </c>
    </row>
    <row r="20" ht="12.75" customHeight="1">
      <c r="A20" s="33"/>
      <c r="B20" s="27"/>
      <c r="C20" s="34"/>
      <c r="D20" s="19" t="s">
        <v>13</v>
      </c>
      <c r="E20" s="19">
        <v>35.0</v>
      </c>
      <c r="F20" s="19">
        <v>37.0</v>
      </c>
      <c r="G20" s="19">
        <v>50.0</v>
      </c>
      <c r="H20" s="19">
        <v>21.0</v>
      </c>
      <c r="I20" s="19">
        <v>82.0</v>
      </c>
      <c r="J20" s="19">
        <v>102.0</v>
      </c>
      <c r="K20" s="19">
        <v>103.0</v>
      </c>
      <c r="L20" s="19">
        <v>110.0</v>
      </c>
      <c r="M20" s="19">
        <v>90.0</v>
      </c>
      <c r="N20" s="19">
        <v>42.0</v>
      </c>
      <c r="O20" s="19">
        <v>120.0</v>
      </c>
      <c r="P20" s="19">
        <v>78.0</v>
      </c>
      <c r="Q20" s="19">
        <v>76.0</v>
      </c>
      <c r="R20" s="19">
        <v>46.0</v>
      </c>
      <c r="S20" s="19">
        <v>88.0</v>
      </c>
      <c r="T20" s="19">
        <v>65.0</v>
      </c>
      <c r="U20" s="19">
        <v>102.0</v>
      </c>
      <c r="V20" s="19">
        <v>121.0</v>
      </c>
      <c r="W20" s="19">
        <v>107.0</v>
      </c>
      <c r="X20" s="19">
        <v>126.0</v>
      </c>
      <c r="Y20" s="19">
        <v>89.0</v>
      </c>
      <c r="Z20" s="19">
        <v>85.0</v>
      </c>
      <c r="AA20" s="19">
        <v>112.0</v>
      </c>
      <c r="AB20" s="19">
        <v>68.0</v>
      </c>
      <c r="AC20" s="19">
        <v>112.0</v>
      </c>
      <c r="AD20" s="19">
        <v>72.0</v>
      </c>
      <c r="AE20" s="19">
        <v>78.0</v>
      </c>
      <c r="AF20" s="19">
        <v>59.0</v>
      </c>
      <c r="AG20" s="19">
        <v>103.0</v>
      </c>
      <c r="AH20" s="19">
        <v>116.0</v>
      </c>
      <c r="AI20" s="19">
        <v>104.0</v>
      </c>
      <c r="AJ20" s="19">
        <v>71.0</v>
      </c>
      <c r="AK20" s="19">
        <v>69.0</v>
      </c>
      <c r="AL20" s="19">
        <v>123.0</v>
      </c>
      <c r="AM20" s="19">
        <v>86.0</v>
      </c>
      <c r="AN20" s="19">
        <v>66.0</v>
      </c>
      <c r="AO20" s="19">
        <v>71.0</v>
      </c>
      <c r="AP20" s="19">
        <v>86.0</v>
      </c>
      <c r="AQ20" s="19">
        <v>74.0</v>
      </c>
      <c r="AR20" s="19">
        <v>79.0</v>
      </c>
      <c r="AS20" s="19">
        <v>62.0</v>
      </c>
      <c r="AT20" s="19">
        <v>116.0</v>
      </c>
      <c r="AU20" s="19">
        <v>100.0</v>
      </c>
      <c r="AV20" s="19">
        <v>106.0</v>
      </c>
      <c r="AW20" s="19">
        <v>108.0</v>
      </c>
      <c r="AX20" s="19">
        <v>92.0</v>
      </c>
      <c r="AY20" s="19">
        <v>124.0</v>
      </c>
      <c r="AZ20" s="19">
        <v>83.0</v>
      </c>
      <c r="BA20" s="19">
        <v>80.0</v>
      </c>
      <c r="BB20" s="19">
        <v>71.0</v>
      </c>
      <c r="BC20" s="19">
        <v>102.0</v>
      </c>
      <c r="BD20" s="19">
        <v>99.0</v>
      </c>
      <c r="BE20" s="19">
        <v>79.0</v>
      </c>
      <c r="BF20" s="19">
        <v>86.0</v>
      </c>
      <c r="BG20" s="19">
        <v>110.0</v>
      </c>
      <c r="BH20" s="19">
        <v>128.0</v>
      </c>
      <c r="BI20" s="19">
        <v>99.0</v>
      </c>
      <c r="BJ20" s="19">
        <v>103.0</v>
      </c>
      <c r="BK20" s="13">
        <f t="shared" si="3"/>
        <v>5072</v>
      </c>
    </row>
    <row r="21" ht="12.75" customHeight="1">
      <c r="A21" s="35"/>
      <c r="B21" s="28"/>
      <c r="C21" s="36"/>
      <c r="D21" s="13" t="s">
        <v>14</v>
      </c>
      <c r="E21" s="13">
        <f t="shared" ref="E21:BJ21" si="4">SUM(E19:E20)</f>
        <v>74</v>
      </c>
      <c r="F21" s="13">
        <f t="shared" si="4"/>
        <v>86</v>
      </c>
      <c r="G21" s="13">
        <f t="shared" si="4"/>
        <v>95</v>
      </c>
      <c r="H21" s="13">
        <f t="shared" si="4"/>
        <v>51</v>
      </c>
      <c r="I21" s="13">
        <f t="shared" si="4"/>
        <v>159</v>
      </c>
      <c r="J21" s="13">
        <f t="shared" si="4"/>
        <v>193</v>
      </c>
      <c r="K21" s="13">
        <f t="shared" si="4"/>
        <v>180</v>
      </c>
      <c r="L21" s="13">
        <f t="shared" si="4"/>
        <v>193</v>
      </c>
      <c r="M21" s="13">
        <f t="shared" si="4"/>
        <v>178</v>
      </c>
      <c r="N21" s="13">
        <f t="shared" si="4"/>
        <v>92</v>
      </c>
      <c r="O21" s="13">
        <f t="shared" si="4"/>
        <v>205</v>
      </c>
      <c r="P21" s="13">
        <f t="shared" si="4"/>
        <v>148</v>
      </c>
      <c r="Q21" s="13">
        <f t="shared" si="4"/>
        <v>151</v>
      </c>
      <c r="R21" s="13">
        <f t="shared" si="4"/>
        <v>90</v>
      </c>
      <c r="S21" s="13">
        <f t="shared" si="4"/>
        <v>180</v>
      </c>
      <c r="T21" s="13">
        <f t="shared" si="4"/>
        <v>119</v>
      </c>
      <c r="U21" s="13">
        <f t="shared" si="4"/>
        <v>196</v>
      </c>
      <c r="V21" s="13">
        <f t="shared" si="4"/>
        <v>220</v>
      </c>
      <c r="W21" s="13">
        <f t="shared" si="4"/>
        <v>202</v>
      </c>
      <c r="X21" s="13">
        <f t="shared" si="4"/>
        <v>246</v>
      </c>
      <c r="Y21" s="13">
        <f t="shared" si="4"/>
        <v>165</v>
      </c>
      <c r="Z21" s="13">
        <f t="shared" si="4"/>
        <v>157</v>
      </c>
      <c r="AA21" s="13">
        <f t="shared" si="4"/>
        <v>194</v>
      </c>
      <c r="AB21" s="13">
        <f t="shared" si="4"/>
        <v>124</v>
      </c>
      <c r="AC21" s="13">
        <f t="shared" si="4"/>
        <v>221</v>
      </c>
      <c r="AD21" s="13">
        <f t="shared" si="4"/>
        <v>131</v>
      </c>
      <c r="AE21" s="13">
        <f t="shared" si="4"/>
        <v>145</v>
      </c>
      <c r="AF21" s="13">
        <f t="shared" si="4"/>
        <v>114</v>
      </c>
      <c r="AG21" s="13">
        <f t="shared" si="4"/>
        <v>178</v>
      </c>
      <c r="AH21" s="13">
        <f t="shared" si="4"/>
        <v>225</v>
      </c>
      <c r="AI21" s="13">
        <f t="shared" si="4"/>
        <v>182</v>
      </c>
      <c r="AJ21" s="13">
        <f t="shared" si="4"/>
        <v>135</v>
      </c>
      <c r="AK21" s="13">
        <f t="shared" si="4"/>
        <v>142</v>
      </c>
      <c r="AL21" s="13">
        <f t="shared" si="4"/>
        <v>235</v>
      </c>
      <c r="AM21" s="13">
        <f t="shared" si="4"/>
        <v>160</v>
      </c>
      <c r="AN21" s="13">
        <f t="shared" si="4"/>
        <v>130</v>
      </c>
      <c r="AO21" s="13">
        <f t="shared" si="4"/>
        <v>140</v>
      </c>
      <c r="AP21" s="13">
        <f t="shared" si="4"/>
        <v>172</v>
      </c>
      <c r="AQ21" s="13">
        <f t="shared" si="4"/>
        <v>149</v>
      </c>
      <c r="AR21" s="13">
        <f t="shared" si="4"/>
        <v>158</v>
      </c>
      <c r="AS21" s="13">
        <f t="shared" si="4"/>
        <v>126</v>
      </c>
      <c r="AT21" s="13">
        <f t="shared" si="4"/>
        <v>214</v>
      </c>
      <c r="AU21" s="13">
        <f t="shared" si="4"/>
        <v>201</v>
      </c>
      <c r="AV21" s="13">
        <f t="shared" si="4"/>
        <v>198</v>
      </c>
      <c r="AW21" s="13">
        <f t="shared" si="4"/>
        <v>194</v>
      </c>
      <c r="AX21" s="13">
        <f t="shared" si="4"/>
        <v>160</v>
      </c>
      <c r="AY21" s="13">
        <f t="shared" si="4"/>
        <v>220</v>
      </c>
      <c r="AZ21" s="13">
        <f t="shared" si="4"/>
        <v>142</v>
      </c>
      <c r="BA21" s="13">
        <f t="shared" si="4"/>
        <v>152</v>
      </c>
      <c r="BB21" s="13">
        <f t="shared" si="4"/>
        <v>138</v>
      </c>
      <c r="BC21" s="13">
        <f t="shared" si="4"/>
        <v>201</v>
      </c>
      <c r="BD21" s="13">
        <f t="shared" si="4"/>
        <v>182</v>
      </c>
      <c r="BE21" s="13">
        <f t="shared" si="4"/>
        <v>158</v>
      </c>
      <c r="BF21" s="13">
        <f t="shared" si="4"/>
        <v>158</v>
      </c>
      <c r="BG21" s="13">
        <f t="shared" si="4"/>
        <v>196</v>
      </c>
      <c r="BH21" s="13">
        <f t="shared" si="4"/>
        <v>223</v>
      </c>
      <c r="BI21" s="13">
        <f t="shared" si="4"/>
        <v>198</v>
      </c>
      <c r="BJ21" s="13">
        <f t="shared" si="4"/>
        <v>190</v>
      </c>
      <c r="BK21" s="13">
        <f t="shared" si="3"/>
        <v>9566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1.0</v>
      </c>
      <c r="I22" s="19">
        <v>1.0</v>
      </c>
      <c r="J22" s="19">
        <v>1.0</v>
      </c>
      <c r="K22" s="19">
        <v>1.0</v>
      </c>
      <c r="L22" s="19">
        <v>1.0</v>
      </c>
      <c r="M22" s="19">
        <v>1.0</v>
      </c>
      <c r="N22" s="19">
        <v>1.0</v>
      </c>
      <c r="O22" s="19">
        <v>1.0</v>
      </c>
      <c r="P22" s="19"/>
      <c r="Q22" s="19"/>
      <c r="R22" s="19">
        <v>1.0</v>
      </c>
      <c r="S22" s="19"/>
      <c r="T22" s="19"/>
      <c r="U22" s="19">
        <v>1.0</v>
      </c>
      <c r="V22" s="19">
        <v>1.0</v>
      </c>
      <c r="W22" s="19">
        <v>1.0</v>
      </c>
      <c r="X22" s="19"/>
      <c r="Y22" s="19"/>
      <c r="Z22" s="19">
        <v>1.0</v>
      </c>
      <c r="AA22" s="19">
        <v>1.0</v>
      </c>
      <c r="AB22" s="19">
        <v>1.0</v>
      </c>
      <c r="AC22" s="19">
        <v>1.0</v>
      </c>
      <c r="AD22" s="19">
        <v>1.0</v>
      </c>
      <c r="AE22" s="19"/>
      <c r="AF22" s="19">
        <v>2.0</v>
      </c>
      <c r="AG22" s="19"/>
      <c r="AH22" s="19"/>
      <c r="AI22" s="19">
        <v>1.0</v>
      </c>
      <c r="AJ22" s="19">
        <v>1.0</v>
      </c>
      <c r="AK22" s="19"/>
      <c r="AL22" s="19">
        <v>1.0</v>
      </c>
      <c r="AM22" s="19"/>
      <c r="AN22" s="19"/>
      <c r="AO22" s="19"/>
      <c r="AP22" s="19">
        <v>1.0</v>
      </c>
      <c r="AQ22" s="19"/>
      <c r="AR22" s="19"/>
      <c r="AS22" s="19">
        <v>1.0</v>
      </c>
      <c r="AT22" s="19"/>
      <c r="AU22" s="19">
        <v>1.0</v>
      </c>
      <c r="AV22" s="19"/>
      <c r="AW22" s="19"/>
      <c r="AX22" s="19">
        <v>1.0</v>
      </c>
      <c r="AY22" s="19"/>
      <c r="AZ22" s="19"/>
      <c r="BA22" s="19">
        <v>2.0</v>
      </c>
      <c r="BB22" s="19">
        <v>1.0</v>
      </c>
      <c r="BC22" s="19"/>
      <c r="BD22" s="19"/>
      <c r="BE22" s="19"/>
      <c r="BF22" s="19"/>
      <c r="BG22" s="19"/>
      <c r="BH22" s="19">
        <v>1.0</v>
      </c>
      <c r="BI22" s="19"/>
      <c r="BJ22" s="19"/>
      <c r="BK22" s="13">
        <f t="shared" si="3"/>
        <v>33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1.0</v>
      </c>
      <c r="R23" s="19"/>
      <c r="S23" s="19"/>
      <c r="T23" s="19"/>
      <c r="U23" s="19"/>
      <c r="V23" s="19"/>
      <c r="W23" s="19"/>
      <c r="X23" s="19">
        <v>1.0</v>
      </c>
      <c r="Y23" s="19"/>
      <c r="Z23" s="19"/>
      <c r="AA23" s="19"/>
      <c r="AB23" s="19"/>
      <c r="AC23" s="19"/>
      <c r="AD23" s="19"/>
      <c r="AE23" s="19"/>
      <c r="AF23" s="19">
        <v>1.0</v>
      </c>
      <c r="AG23" s="19"/>
      <c r="AH23" s="19"/>
      <c r="AI23" s="19"/>
      <c r="AJ23" s="19"/>
      <c r="AK23" s="19">
        <v>1.0</v>
      </c>
      <c r="AL23" s="19"/>
      <c r="AM23" s="19">
        <v>1.0</v>
      </c>
      <c r="AN23" s="19">
        <v>1.0</v>
      </c>
      <c r="AO23" s="19"/>
      <c r="AP23" s="19"/>
      <c r="AQ23" s="19"/>
      <c r="AR23" s="19"/>
      <c r="AS23" s="19"/>
      <c r="AT23" s="19">
        <v>1.0</v>
      </c>
      <c r="AU23" s="19"/>
      <c r="AV23" s="19">
        <v>1.0</v>
      </c>
      <c r="AW23" s="19"/>
      <c r="AX23" s="19">
        <v>1.0</v>
      </c>
      <c r="AY23" s="19">
        <v>3.0</v>
      </c>
      <c r="AZ23" s="19">
        <v>1.0</v>
      </c>
      <c r="BA23" s="19">
        <v>2.0</v>
      </c>
      <c r="BB23" s="19"/>
      <c r="BC23" s="19"/>
      <c r="BD23" s="19"/>
      <c r="BE23" s="19"/>
      <c r="BF23" s="19">
        <v>1.0</v>
      </c>
      <c r="BG23" s="19">
        <v>1.0</v>
      </c>
      <c r="BH23" s="19"/>
      <c r="BI23" s="19">
        <v>1.0</v>
      </c>
      <c r="BJ23" s="19">
        <v>1.0</v>
      </c>
      <c r="BK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BJ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0</v>
      </c>
      <c r="AF24" s="13">
        <f t="shared" si="5"/>
        <v>3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1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0</v>
      </c>
      <c r="AS24" s="13">
        <f t="shared" si="5"/>
        <v>1</v>
      </c>
      <c r="AT24" s="13">
        <f t="shared" si="5"/>
        <v>1</v>
      </c>
      <c r="AU24" s="13">
        <f t="shared" si="5"/>
        <v>1</v>
      </c>
      <c r="AV24" s="13">
        <f t="shared" si="5"/>
        <v>1</v>
      </c>
      <c r="AW24" s="13">
        <f t="shared" si="5"/>
        <v>0</v>
      </c>
      <c r="AX24" s="13">
        <f t="shared" si="5"/>
        <v>2</v>
      </c>
      <c r="AY24" s="13">
        <f t="shared" si="5"/>
        <v>3</v>
      </c>
      <c r="AZ24" s="13">
        <f t="shared" si="5"/>
        <v>1</v>
      </c>
      <c r="BA24" s="13">
        <f t="shared" si="5"/>
        <v>4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1</v>
      </c>
      <c r="BG24" s="13">
        <f t="shared" si="5"/>
        <v>1</v>
      </c>
      <c r="BH24" s="13">
        <f t="shared" si="5"/>
        <v>1</v>
      </c>
      <c r="BI24" s="13">
        <f t="shared" si="5"/>
        <v>1</v>
      </c>
      <c r="BJ24" s="13">
        <f t="shared" si="5"/>
        <v>1</v>
      </c>
      <c r="BK24" s="13">
        <f t="shared" si="3"/>
        <v>52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>
        <v>3.0</v>
      </c>
      <c r="AB25" s="19">
        <v>1.0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>
        <v>6.0</v>
      </c>
      <c r="AW25" s="19"/>
      <c r="AX25" s="19">
        <v>1.0</v>
      </c>
      <c r="AY25" s="19"/>
      <c r="AZ25" s="19"/>
      <c r="BA25" s="19"/>
      <c r="BB25" s="19"/>
      <c r="BC25" s="19"/>
      <c r="BD25" s="19">
        <v>3.0</v>
      </c>
      <c r="BE25" s="19"/>
      <c r="BF25" s="19"/>
      <c r="BG25" s="19"/>
      <c r="BH25" s="19">
        <v>1.0</v>
      </c>
      <c r="BI25" s="19">
        <v>1.0</v>
      </c>
      <c r="BJ25" s="19"/>
      <c r="BK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>
        <v>3.0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>
        <v>5.0</v>
      </c>
      <c r="AB26" s="19">
        <v>2.0</v>
      </c>
      <c r="AC26" s="19"/>
      <c r="AD26" s="19"/>
      <c r="AE26" s="19"/>
      <c r="AF26" s="19">
        <v>1.0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>
        <v>1.0</v>
      </c>
      <c r="AR26" s="19"/>
      <c r="AS26" s="19"/>
      <c r="AT26" s="19"/>
      <c r="AU26" s="19"/>
      <c r="AV26" s="19">
        <v>3.0</v>
      </c>
      <c r="AW26" s="19"/>
      <c r="AX26" s="19"/>
      <c r="AY26" s="19">
        <v>2.0</v>
      </c>
      <c r="AZ26" s="19"/>
      <c r="BA26" s="19">
        <v>2.0</v>
      </c>
      <c r="BB26" s="19"/>
      <c r="BC26" s="19"/>
      <c r="BD26" s="19">
        <v>1.0</v>
      </c>
      <c r="BE26" s="19"/>
      <c r="BF26" s="19"/>
      <c r="BG26" s="19">
        <v>4.0</v>
      </c>
      <c r="BH26" s="19"/>
      <c r="BI26" s="19">
        <v>4.0</v>
      </c>
      <c r="BJ26" s="19">
        <v>2.0</v>
      </c>
      <c r="BK26" s="13">
        <f t="shared" si="3"/>
        <v>30</v>
      </c>
    </row>
    <row r="27" ht="12.75" customHeight="1">
      <c r="A27" s="35"/>
      <c r="B27" s="28"/>
      <c r="C27" s="36"/>
      <c r="D27" s="13" t="s">
        <v>14</v>
      </c>
      <c r="E27" s="13">
        <f t="shared" ref="E27:B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8</v>
      </c>
      <c r="AB27" s="13">
        <f t="shared" si="6"/>
        <v>3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9</v>
      </c>
      <c r="AW27" s="13">
        <f t="shared" si="6"/>
        <v>0</v>
      </c>
      <c r="AX27" s="13">
        <f t="shared" si="6"/>
        <v>1</v>
      </c>
      <c r="AY27" s="13">
        <f t="shared" si="6"/>
        <v>2</v>
      </c>
      <c r="AZ27" s="13">
        <f t="shared" si="6"/>
        <v>0</v>
      </c>
      <c r="BA27" s="13">
        <f t="shared" si="6"/>
        <v>2</v>
      </c>
      <c r="BB27" s="13">
        <f t="shared" si="6"/>
        <v>0</v>
      </c>
      <c r="BC27" s="13">
        <f t="shared" si="6"/>
        <v>0</v>
      </c>
      <c r="BD27" s="13">
        <f t="shared" si="6"/>
        <v>4</v>
      </c>
      <c r="BE27" s="13">
        <f t="shared" si="6"/>
        <v>0</v>
      </c>
      <c r="BF27" s="13">
        <f t="shared" si="6"/>
        <v>0</v>
      </c>
      <c r="BG27" s="13">
        <f t="shared" si="6"/>
        <v>4</v>
      </c>
      <c r="BH27" s="13">
        <f t="shared" si="6"/>
        <v>1</v>
      </c>
      <c r="BI27" s="13">
        <f t="shared" si="6"/>
        <v>5</v>
      </c>
      <c r="BJ27" s="13">
        <f t="shared" si="6"/>
        <v>2</v>
      </c>
      <c r="BK27" s="13">
        <f t="shared" si="3"/>
        <v>46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J28" si="7">SUM(E19,E22,E25)</f>
        <v>40</v>
      </c>
      <c r="F28" s="13">
        <f t="shared" si="7"/>
        <v>50</v>
      </c>
      <c r="G28" s="13">
        <f t="shared" si="7"/>
        <v>46</v>
      </c>
      <c r="H28" s="13">
        <f t="shared" si="7"/>
        <v>31</v>
      </c>
      <c r="I28" s="13">
        <f t="shared" si="7"/>
        <v>78</v>
      </c>
      <c r="J28" s="13">
        <f t="shared" si="7"/>
        <v>92</v>
      </c>
      <c r="K28" s="13">
        <f t="shared" si="7"/>
        <v>78</v>
      </c>
      <c r="L28" s="13">
        <f t="shared" si="7"/>
        <v>84</v>
      </c>
      <c r="M28" s="13">
        <f t="shared" si="7"/>
        <v>89</v>
      </c>
      <c r="N28" s="13">
        <f t="shared" si="7"/>
        <v>51</v>
      </c>
      <c r="O28" s="13">
        <f t="shared" si="7"/>
        <v>86</v>
      </c>
      <c r="P28" s="13">
        <f t="shared" si="7"/>
        <v>70</v>
      </c>
      <c r="Q28" s="13">
        <f t="shared" si="7"/>
        <v>75</v>
      </c>
      <c r="R28" s="13">
        <f t="shared" si="7"/>
        <v>45</v>
      </c>
      <c r="S28" s="13">
        <f t="shared" si="7"/>
        <v>92</v>
      </c>
      <c r="T28" s="13">
        <f t="shared" si="7"/>
        <v>54</v>
      </c>
      <c r="U28" s="13">
        <f t="shared" si="7"/>
        <v>95</v>
      </c>
      <c r="V28" s="13">
        <f t="shared" si="7"/>
        <v>100</v>
      </c>
      <c r="W28" s="13">
        <f t="shared" si="7"/>
        <v>96</v>
      </c>
      <c r="X28" s="13">
        <f t="shared" si="7"/>
        <v>120</v>
      </c>
      <c r="Y28" s="13">
        <f t="shared" si="7"/>
        <v>76</v>
      </c>
      <c r="Z28" s="13">
        <f t="shared" si="7"/>
        <v>73</v>
      </c>
      <c r="AA28" s="13">
        <f t="shared" si="7"/>
        <v>86</v>
      </c>
      <c r="AB28" s="13">
        <f t="shared" si="7"/>
        <v>58</v>
      </c>
      <c r="AC28" s="13">
        <f t="shared" si="7"/>
        <v>110</v>
      </c>
      <c r="AD28" s="13">
        <f t="shared" si="7"/>
        <v>60</v>
      </c>
      <c r="AE28" s="13">
        <f t="shared" si="7"/>
        <v>67</v>
      </c>
      <c r="AF28" s="13">
        <f t="shared" si="7"/>
        <v>57</v>
      </c>
      <c r="AG28" s="13">
        <f t="shared" si="7"/>
        <v>75</v>
      </c>
      <c r="AH28" s="13">
        <f t="shared" si="7"/>
        <v>109</v>
      </c>
      <c r="AI28" s="13">
        <f t="shared" si="7"/>
        <v>79</v>
      </c>
      <c r="AJ28" s="13">
        <f t="shared" si="7"/>
        <v>65</v>
      </c>
      <c r="AK28" s="13">
        <f t="shared" si="7"/>
        <v>73</v>
      </c>
      <c r="AL28" s="13">
        <f t="shared" si="7"/>
        <v>113</v>
      </c>
      <c r="AM28" s="13">
        <f t="shared" si="7"/>
        <v>74</v>
      </c>
      <c r="AN28" s="13">
        <f t="shared" si="7"/>
        <v>64</v>
      </c>
      <c r="AO28" s="13">
        <f t="shared" si="7"/>
        <v>69</v>
      </c>
      <c r="AP28" s="13">
        <f t="shared" si="7"/>
        <v>87</v>
      </c>
      <c r="AQ28" s="13">
        <f t="shared" si="7"/>
        <v>75</v>
      </c>
      <c r="AR28" s="13">
        <f t="shared" si="7"/>
        <v>79</v>
      </c>
      <c r="AS28" s="13">
        <f t="shared" si="7"/>
        <v>65</v>
      </c>
      <c r="AT28" s="13">
        <f t="shared" si="7"/>
        <v>98</v>
      </c>
      <c r="AU28" s="13">
        <f t="shared" si="7"/>
        <v>102</v>
      </c>
      <c r="AV28" s="13">
        <f t="shared" si="7"/>
        <v>98</v>
      </c>
      <c r="AW28" s="13">
        <f t="shared" si="7"/>
        <v>86</v>
      </c>
      <c r="AX28" s="13">
        <f t="shared" si="7"/>
        <v>70</v>
      </c>
      <c r="AY28" s="13">
        <f t="shared" si="7"/>
        <v>96</v>
      </c>
      <c r="AZ28" s="13">
        <f t="shared" si="7"/>
        <v>59</v>
      </c>
      <c r="BA28" s="13">
        <f t="shared" si="7"/>
        <v>74</v>
      </c>
      <c r="BB28" s="13">
        <f t="shared" si="7"/>
        <v>68</v>
      </c>
      <c r="BC28" s="13">
        <f t="shared" si="7"/>
        <v>99</v>
      </c>
      <c r="BD28" s="13">
        <f t="shared" si="7"/>
        <v>86</v>
      </c>
      <c r="BE28" s="13">
        <f t="shared" si="7"/>
        <v>79</v>
      </c>
      <c r="BF28" s="13">
        <f t="shared" si="7"/>
        <v>72</v>
      </c>
      <c r="BG28" s="13">
        <f t="shared" si="7"/>
        <v>86</v>
      </c>
      <c r="BH28" s="13">
        <f t="shared" si="7"/>
        <v>97</v>
      </c>
      <c r="BI28" s="13">
        <f t="shared" si="7"/>
        <v>100</v>
      </c>
      <c r="BJ28" s="13">
        <f t="shared" si="7"/>
        <v>87</v>
      </c>
      <c r="BK28" s="13">
        <f t="shared" si="3"/>
        <v>4543</v>
      </c>
    </row>
    <row r="29" ht="12.75" customHeight="1">
      <c r="A29" s="35"/>
      <c r="B29" s="27"/>
      <c r="C29" s="34"/>
      <c r="D29" s="13" t="s">
        <v>13</v>
      </c>
      <c r="E29" s="13">
        <f t="shared" ref="E29:BJ29" si="8">SUM(E20,E23,E26)</f>
        <v>35</v>
      </c>
      <c r="F29" s="13">
        <f t="shared" si="8"/>
        <v>37</v>
      </c>
      <c r="G29" s="13">
        <f t="shared" si="8"/>
        <v>50</v>
      </c>
      <c r="H29" s="13">
        <f t="shared" si="8"/>
        <v>21</v>
      </c>
      <c r="I29" s="13">
        <f t="shared" si="8"/>
        <v>82</v>
      </c>
      <c r="J29" s="13">
        <f t="shared" si="8"/>
        <v>102</v>
      </c>
      <c r="K29" s="13">
        <f t="shared" si="8"/>
        <v>103</v>
      </c>
      <c r="L29" s="13">
        <f t="shared" si="8"/>
        <v>110</v>
      </c>
      <c r="M29" s="13">
        <f t="shared" si="8"/>
        <v>93</v>
      </c>
      <c r="N29" s="13">
        <f t="shared" si="8"/>
        <v>42</v>
      </c>
      <c r="O29" s="13">
        <f t="shared" si="8"/>
        <v>120</v>
      </c>
      <c r="P29" s="13">
        <f t="shared" si="8"/>
        <v>78</v>
      </c>
      <c r="Q29" s="13">
        <f t="shared" si="8"/>
        <v>77</v>
      </c>
      <c r="R29" s="13">
        <f t="shared" si="8"/>
        <v>46</v>
      </c>
      <c r="S29" s="13">
        <f t="shared" si="8"/>
        <v>88</v>
      </c>
      <c r="T29" s="13">
        <f t="shared" si="8"/>
        <v>65</v>
      </c>
      <c r="U29" s="13">
        <f t="shared" si="8"/>
        <v>102</v>
      </c>
      <c r="V29" s="13">
        <f t="shared" si="8"/>
        <v>121</v>
      </c>
      <c r="W29" s="13">
        <f t="shared" si="8"/>
        <v>107</v>
      </c>
      <c r="X29" s="13">
        <f t="shared" si="8"/>
        <v>127</v>
      </c>
      <c r="Y29" s="13">
        <f t="shared" si="8"/>
        <v>89</v>
      </c>
      <c r="Z29" s="13">
        <f t="shared" si="8"/>
        <v>85</v>
      </c>
      <c r="AA29" s="13">
        <f t="shared" si="8"/>
        <v>117</v>
      </c>
      <c r="AB29" s="13">
        <f t="shared" si="8"/>
        <v>70</v>
      </c>
      <c r="AC29" s="13">
        <f t="shared" si="8"/>
        <v>112</v>
      </c>
      <c r="AD29" s="13">
        <f t="shared" si="8"/>
        <v>72</v>
      </c>
      <c r="AE29" s="13">
        <f t="shared" si="8"/>
        <v>78</v>
      </c>
      <c r="AF29" s="13">
        <f t="shared" si="8"/>
        <v>61</v>
      </c>
      <c r="AG29" s="13">
        <f t="shared" si="8"/>
        <v>103</v>
      </c>
      <c r="AH29" s="13">
        <f t="shared" si="8"/>
        <v>116</v>
      </c>
      <c r="AI29" s="13">
        <f t="shared" si="8"/>
        <v>104</v>
      </c>
      <c r="AJ29" s="13">
        <f t="shared" si="8"/>
        <v>71</v>
      </c>
      <c r="AK29" s="13">
        <f t="shared" si="8"/>
        <v>70</v>
      </c>
      <c r="AL29" s="13">
        <f t="shared" si="8"/>
        <v>123</v>
      </c>
      <c r="AM29" s="13">
        <f t="shared" si="8"/>
        <v>87</v>
      </c>
      <c r="AN29" s="13">
        <f t="shared" si="8"/>
        <v>67</v>
      </c>
      <c r="AO29" s="13">
        <f t="shared" si="8"/>
        <v>71</v>
      </c>
      <c r="AP29" s="13">
        <f t="shared" si="8"/>
        <v>86</v>
      </c>
      <c r="AQ29" s="13">
        <f t="shared" si="8"/>
        <v>75</v>
      </c>
      <c r="AR29" s="13">
        <f t="shared" si="8"/>
        <v>79</v>
      </c>
      <c r="AS29" s="13">
        <f t="shared" si="8"/>
        <v>62</v>
      </c>
      <c r="AT29" s="13">
        <f t="shared" si="8"/>
        <v>117</v>
      </c>
      <c r="AU29" s="13">
        <f t="shared" si="8"/>
        <v>100</v>
      </c>
      <c r="AV29" s="13">
        <f t="shared" si="8"/>
        <v>110</v>
      </c>
      <c r="AW29" s="13">
        <f t="shared" si="8"/>
        <v>108</v>
      </c>
      <c r="AX29" s="13">
        <f t="shared" si="8"/>
        <v>93</v>
      </c>
      <c r="AY29" s="13">
        <f t="shared" si="8"/>
        <v>129</v>
      </c>
      <c r="AZ29" s="13">
        <f t="shared" si="8"/>
        <v>84</v>
      </c>
      <c r="BA29" s="13">
        <f t="shared" si="8"/>
        <v>84</v>
      </c>
      <c r="BB29" s="13">
        <f t="shared" si="8"/>
        <v>71</v>
      </c>
      <c r="BC29" s="13">
        <f t="shared" si="8"/>
        <v>102</v>
      </c>
      <c r="BD29" s="13">
        <f t="shared" si="8"/>
        <v>100</v>
      </c>
      <c r="BE29" s="13">
        <f t="shared" si="8"/>
        <v>79</v>
      </c>
      <c r="BF29" s="13">
        <f t="shared" si="8"/>
        <v>87</v>
      </c>
      <c r="BG29" s="13">
        <f t="shared" si="8"/>
        <v>115</v>
      </c>
      <c r="BH29" s="13">
        <f t="shared" si="8"/>
        <v>128</v>
      </c>
      <c r="BI29" s="13">
        <f t="shared" si="8"/>
        <v>104</v>
      </c>
      <c r="BJ29" s="13">
        <f t="shared" si="8"/>
        <v>106</v>
      </c>
      <c r="BK29" s="13">
        <f t="shared" si="3"/>
        <v>5121</v>
      </c>
    </row>
    <row r="30" ht="12.75" customHeight="1">
      <c r="A30" s="35"/>
      <c r="B30" s="28"/>
      <c r="C30" s="36"/>
      <c r="D30" s="13" t="s">
        <v>14</v>
      </c>
      <c r="E30" s="13">
        <f t="shared" ref="E30:BJ30" si="9">SUM(E28:E29)</f>
        <v>75</v>
      </c>
      <c r="F30" s="13">
        <f t="shared" si="9"/>
        <v>87</v>
      </c>
      <c r="G30" s="13">
        <f t="shared" si="9"/>
        <v>96</v>
      </c>
      <c r="H30" s="13">
        <f t="shared" si="9"/>
        <v>52</v>
      </c>
      <c r="I30" s="13">
        <f t="shared" si="9"/>
        <v>160</v>
      </c>
      <c r="J30" s="13">
        <f t="shared" si="9"/>
        <v>194</v>
      </c>
      <c r="K30" s="13">
        <f t="shared" si="9"/>
        <v>181</v>
      </c>
      <c r="L30" s="13">
        <f t="shared" si="9"/>
        <v>194</v>
      </c>
      <c r="M30" s="13">
        <f t="shared" si="9"/>
        <v>182</v>
      </c>
      <c r="N30" s="13">
        <f t="shared" si="9"/>
        <v>93</v>
      </c>
      <c r="O30" s="13">
        <f t="shared" si="9"/>
        <v>206</v>
      </c>
      <c r="P30" s="13">
        <f t="shared" si="9"/>
        <v>148</v>
      </c>
      <c r="Q30" s="13">
        <f t="shared" si="9"/>
        <v>152</v>
      </c>
      <c r="R30" s="13">
        <f t="shared" si="9"/>
        <v>91</v>
      </c>
      <c r="S30" s="13">
        <f t="shared" si="9"/>
        <v>180</v>
      </c>
      <c r="T30" s="13">
        <f t="shared" si="9"/>
        <v>119</v>
      </c>
      <c r="U30" s="13">
        <f t="shared" si="9"/>
        <v>197</v>
      </c>
      <c r="V30" s="13">
        <f t="shared" si="9"/>
        <v>221</v>
      </c>
      <c r="W30" s="13">
        <f t="shared" si="9"/>
        <v>203</v>
      </c>
      <c r="X30" s="13">
        <f t="shared" si="9"/>
        <v>247</v>
      </c>
      <c r="Y30" s="13">
        <f t="shared" si="9"/>
        <v>165</v>
      </c>
      <c r="Z30" s="13">
        <f t="shared" si="9"/>
        <v>158</v>
      </c>
      <c r="AA30" s="13">
        <f t="shared" si="9"/>
        <v>203</v>
      </c>
      <c r="AB30" s="13">
        <f t="shared" si="9"/>
        <v>128</v>
      </c>
      <c r="AC30" s="13">
        <f t="shared" si="9"/>
        <v>222</v>
      </c>
      <c r="AD30" s="13">
        <f t="shared" si="9"/>
        <v>132</v>
      </c>
      <c r="AE30" s="13">
        <f t="shared" si="9"/>
        <v>145</v>
      </c>
      <c r="AF30" s="13">
        <f t="shared" si="9"/>
        <v>118</v>
      </c>
      <c r="AG30" s="13">
        <f t="shared" si="9"/>
        <v>178</v>
      </c>
      <c r="AH30" s="13">
        <f t="shared" si="9"/>
        <v>225</v>
      </c>
      <c r="AI30" s="13">
        <f t="shared" si="9"/>
        <v>183</v>
      </c>
      <c r="AJ30" s="13">
        <f t="shared" si="9"/>
        <v>136</v>
      </c>
      <c r="AK30" s="13">
        <f t="shared" si="9"/>
        <v>143</v>
      </c>
      <c r="AL30" s="13">
        <f t="shared" si="9"/>
        <v>236</v>
      </c>
      <c r="AM30" s="13">
        <f t="shared" si="9"/>
        <v>161</v>
      </c>
      <c r="AN30" s="13">
        <f t="shared" si="9"/>
        <v>131</v>
      </c>
      <c r="AO30" s="13">
        <f t="shared" si="9"/>
        <v>140</v>
      </c>
      <c r="AP30" s="13">
        <f t="shared" si="9"/>
        <v>173</v>
      </c>
      <c r="AQ30" s="13">
        <f t="shared" si="9"/>
        <v>150</v>
      </c>
      <c r="AR30" s="13">
        <f t="shared" si="9"/>
        <v>158</v>
      </c>
      <c r="AS30" s="13">
        <f t="shared" si="9"/>
        <v>127</v>
      </c>
      <c r="AT30" s="13">
        <f t="shared" si="9"/>
        <v>215</v>
      </c>
      <c r="AU30" s="13">
        <f t="shared" si="9"/>
        <v>202</v>
      </c>
      <c r="AV30" s="13">
        <f t="shared" si="9"/>
        <v>208</v>
      </c>
      <c r="AW30" s="13">
        <f t="shared" si="9"/>
        <v>194</v>
      </c>
      <c r="AX30" s="13">
        <f t="shared" si="9"/>
        <v>163</v>
      </c>
      <c r="AY30" s="13">
        <f t="shared" si="9"/>
        <v>225</v>
      </c>
      <c r="AZ30" s="13">
        <f t="shared" si="9"/>
        <v>143</v>
      </c>
      <c r="BA30" s="13">
        <f t="shared" si="9"/>
        <v>158</v>
      </c>
      <c r="BB30" s="13">
        <f t="shared" si="9"/>
        <v>139</v>
      </c>
      <c r="BC30" s="13">
        <f t="shared" si="9"/>
        <v>201</v>
      </c>
      <c r="BD30" s="13">
        <f t="shared" si="9"/>
        <v>186</v>
      </c>
      <c r="BE30" s="13">
        <f t="shared" si="9"/>
        <v>158</v>
      </c>
      <c r="BF30" s="13">
        <f t="shared" si="9"/>
        <v>159</v>
      </c>
      <c r="BG30" s="13">
        <f t="shared" si="9"/>
        <v>201</v>
      </c>
      <c r="BH30" s="13">
        <f t="shared" si="9"/>
        <v>225</v>
      </c>
      <c r="BI30" s="13">
        <f t="shared" si="9"/>
        <v>204</v>
      </c>
      <c r="BJ30" s="13">
        <f t="shared" si="9"/>
        <v>193</v>
      </c>
      <c r="BK30" s="13">
        <f t="shared" si="3"/>
        <v>9664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19"/>
      <c r="BD31" s="19"/>
      <c r="BE31" s="19"/>
      <c r="BF31" s="19"/>
      <c r="BG31" s="67"/>
      <c r="BH31" s="19"/>
      <c r="BI31" s="19"/>
      <c r="BJ31" s="19"/>
      <c r="B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13"/>
      <c r="BD32" s="13"/>
      <c r="BE32" s="13"/>
      <c r="BF32" s="13"/>
      <c r="BG32" s="69"/>
      <c r="BH32" s="13"/>
      <c r="BI32" s="13"/>
      <c r="BJ32" s="13"/>
      <c r="BK32" s="68"/>
    </row>
    <row r="33" ht="12.75" customHeight="1">
      <c r="A33" s="19">
        <v>1.0</v>
      </c>
      <c r="B33" s="20" t="s">
        <v>27</v>
      </c>
      <c r="C33" s="15"/>
      <c r="D33" s="16"/>
      <c r="E33" s="19">
        <v>104.0</v>
      </c>
      <c r="F33" s="19">
        <v>111.0</v>
      </c>
      <c r="G33" s="19">
        <v>118.0</v>
      </c>
      <c r="H33" s="19">
        <v>90.0</v>
      </c>
      <c r="I33" s="19">
        <v>226.0</v>
      </c>
      <c r="J33" s="19">
        <v>281.0</v>
      </c>
      <c r="K33" s="19">
        <v>294.0</v>
      </c>
      <c r="L33" s="19">
        <v>292.0</v>
      </c>
      <c r="M33" s="19">
        <v>272.0</v>
      </c>
      <c r="N33" s="19">
        <v>95.0</v>
      </c>
      <c r="O33" s="19">
        <v>278.0</v>
      </c>
      <c r="P33" s="19">
        <v>229.0</v>
      </c>
      <c r="Q33" s="19">
        <v>215.0</v>
      </c>
      <c r="R33" s="19">
        <v>144.0</v>
      </c>
      <c r="S33" s="19">
        <v>248.0</v>
      </c>
      <c r="T33" s="19">
        <v>166.0</v>
      </c>
      <c r="U33" s="19">
        <v>250.0</v>
      </c>
      <c r="V33" s="19">
        <v>309.0</v>
      </c>
      <c r="W33" s="19">
        <v>238.0</v>
      </c>
      <c r="X33" s="19">
        <v>295.0</v>
      </c>
      <c r="Y33" s="19">
        <v>259.0</v>
      </c>
      <c r="Z33" s="19">
        <v>218.0</v>
      </c>
      <c r="AA33" s="19">
        <v>261.0</v>
      </c>
      <c r="AB33" s="19">
        <v>183.0</v>
      </c>
      <c r="AC33" s="19">
        <v>300.0</v>
      </c>
      <c r="AD33" s="19">
        <v>210.0</v>
      </c>
      <c r="AE33" s="19">
        <v>186.0</v>
      </c>
      <c r="AF33" s="19">
        <v>143.0</v>
      </c>
      <c r="AG33" s="19">
        <v>273.0</v>
      </c>
      <c r="AH33" s="19">
        <v>303.0</v>
      </c>
      <c r="AI33" s="19">
        <v>243.0</v>
      </c>
      <c r="AJ33" s="19">
        <v>197.0</v>
      </c>
      <c r="AK33" s="19">
        <v>202.0</v>
      </c>
      <c r="AL33" s="19">
        <v>275.0</v>
      </c>
      <c r="AM33" s="19">
        <v>233.0</v>
      </c>
      <c r="AN33" s="19">
        <v>189.0</v>
      </c>
      <c r="AO33" s="19">
        <v>162.0</v>
      </c>
      <c r="AP33" s="19">
        <v>216.0</v>
      </c>
      <c r="AQ33" s="19">
        <v>185.0</v>
      </c>
      <c r="AR33" s="19">
        <v>192.0</v>
      </c>
      <c r="AS33" s="19">
        <v>162.0</v>
      </c>
      <c r="AT33" s="19">
        <v>312.0</v>
      </c>
      <c r="AU33" s="19">
        <v>280.0</v>
      </c>
      <c r="AV33" s="19">
        <v>316.0</v>
      </c>
      <c r="AW33" s="19">
        <v>303.0</v>
      </c>
      <c r="AX33" s="19">
        <v>231.0</v>
      </c>
      <c r="AY33" s="19">
        <v>300.0</v>
      </c>
      <c r="AZ33" s="19">
        <v>178.0</v>
      </c>
      <c r="BA33" s="19">
        <v>216.0</v>
      </c>
      <c r="BB33" s="19">
        <v>180.0</v>
      </c>
      <c r="BC33" s="19">
        <v>264.0</v>
      </c>
      <c r="BD33" s="19">
        <v>253.0</v>
      </c>
      <c r="BE33" s="19">
        <v>192.0</v>
      </c>
      <c r="BF33" s="19">
        <v>187.0</v>
      </c>
      <c r="BG33" s="19">
        <v>288.0</v>
      </c>
      <c r="BH33" s="19">
        <v>297.0</v>
      </c>
      <c r="BI33" s="19">
        <v>243.0</v>
      </c>
      <c r="BJ33" s="19">
        <v>278.0</v>
      </c>
      <c r="BK33" s="13">
        <f t="shared" ref="BK33:BK36" si="10">SUM(E33:BJ33)</f>
        <v>13165</v>
      </c>
    </row>
    <row r="34" ht="12.75" customHeight="1">
      <c r="A34" s="19">
        <v>2.0</v>
      </c>
      <c r="B34" s="20" t="s">
        <v>28</v>
      </c>
      <c r="C34" s="15"/>
      <c r="D34" s="16"/>
      <c r="E34" s="13">
        <v>75.0</v>
      </c>
      <c r="F34" s="13">
        <v>87.0</v>
      </c>
      <c r="G34" s="13">
        <v>96.0</v>
      </c>
      <c r="H34" s="13">
        <v>52.0</v>
      </c>
      <c r="I34" s="13">
        <v>160.0</v>
      </c>
      <c r="J34" s="13">
        <v>194.0</v>
      </c>
      <c r="K34" s="13">
        <v>181.0</v>
      </c>
      <c r="L34" s="13">
        <v>194.0</v>
      </c>
      <c r="M34" s="13">
        <v>182.0</v>
      </c>
      <c r="N34" s="13">
        <v>93.0</v>
      </c>
      <c r="O34" s="13">
        <v>206.0</v>
      </c>
      <c r="P34" s="13">
        <v>148.0</v>
      </c>
      <c r="Q34" s="13">
        <v>152.0</v>
      </c>
      <c r="R34" s="13">
        <v>91.0</v>
      </c>
      <c r="S34" s="13">
        <v>180.0</v>
      </c>
      <c r="T34" s="13">
        <v>119.0</v>
      </c>
      <c r="U34" s="13">
        <v>197.0</v>
      </c>
      <c r="V34" s="13">
        <v>221.0</v>
      </c>
      <c r="W34" s="13">
        <v>203.0</v>
      </c>
      <c r="X34" s="13">
        <v>247.0</v>
      </c>
      <c r="Y34" s="13">
        <v>165.0</v>
      </c>
      <c r="Z34" s="13">
        <v>158.0</v>
      </c>
      <c r="AA34" s="13">
        <v>203.0</v>
      </c>
      <c r="AB34" s="13">
        <v>128.0</v>
      </c>
      <c r="AC34" s="13">
        <v>222.0</v>
      </c>
      <c r="AD34" s="13">
        <v>132.0</v>
      </c>
      <c r="AE34" s="13">
        <v>145.0</v>
      </c>
      <c r="AF34" s="13">
        <v>118.0</v>
      </c>
      <c r="AG34" s="13">
        <v>178.0</v>
      </c>
      <c r="AH34" s="13">
        <v>225.0</v>
      </c>
      <c r="AI34" s="13">
        <v>183.0</v>
      </c>
      <c r="AJ34" s="13">
        <v>136.0</v>
      </c>
      <c r="AK34" s="13">
        <v>143.0</v>
      </c>
      <c r="AL34" s="13">
        <v>236.0</v>
      </c>
      <c r="AM34" s="13">
        <v>161.0</v>
      </c>
      <c r="AN34" s="13">
        <v>131.0</v>
      </c>
      <c r="AO34" s="13">
        <v>140.0</v>
      </c>
      <c r="AP34" s="13">
        <v>173.0</v>
      </c>
      <c r="AQ34" s="13">
        <v>150.0</v>
      </c>
      <c r="AR34" s="13">
        <v>158.0</v>
      </c>
      <c r="AS34" s="13">
        <v>127.0</v>
      </c>
      <c r="AT34" s="13">
        <v>215.0</v>
      </c>
      <c r="AU34" s="13">
        <v>202.0</v>
      </c>
      <c r="AV34" s="13">
        <v>208.0</v>
      </c>
      <c r="AW34" s="13">
        <v>194.0</v>
      </c>
      <c r="AX34" s="13">
        <v>163.0</v>
      </c>
      <c r="AY34" s="13">
        <v>225.0</v>
      </c>
      <c r="AZ34" s="13">
        <v>143.0</v>
      </c>
      <c r="BA34" s="13">
        <v>158.0</v>
      </c>
      <c r="BB34" s="13">
        <v>139.0</v>
      </c>
      <c r="BC34" s="13">
        <v>201.0</v>
      </c>
      <c r="BD34" s="13">
        <v>186.0</v>
      </c>
      <c r="BE34" s="13">
        <v>158.0</v>
      </c>
      <c r="BF34" s="13">
        <v>159.0</v>
      </c>
      <c r="BG34" s="13">
        <v>201.0</v>
      </c>
      <c r="BH34" s="13">
        <v>225.0</v>
      </c>
      <c r="BI34" s="13">
        <v>204.0</v>
      </c>
      <c r="BJ34" s="13">
        <v>193.0</v>
      </c>
      <c r="BK34" s="13">
        <f t="shared" si="10"/>
        <v>9664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/>
      <c r="J35" s="19"/>
      <c r="K35" s="19"/>
      <c r="L35" s="19"/>
      <c r="M35" s="19"/>
      <c r="N35" s="19"/>
      <c r="O35" s="19"/>
      <c r="P35" s="19"/>
      <c r="Q35" s="19">
        <v>1.0</v>
      </c>
      <c r="R35" s="19"/>
      <c r="S35" s="19"/>
      <c r="T35" s="19"/>
      <c r="U35" s="19"/>
      <c r="V35" s="19"/>
      <c r="W35" s="19"/>
      <c r="X35" s="19"/>
      <c r="Y35" s="19"/>
      <c r="Z35" s="19"/>
      <c r="AA35" s="19">
        <v>1.0</v>
      </c>
      <c r="AB35" s="19"/>
      <c r="AC35" s="19"/>
      <c r="AD35" s="19">
        <v>3.0</v>
      </c>
      <c r="AE35" s="19"/>
      <c r="AF35" s="19"/>
      <c r="AG35" s="19">
        <v>2.0</v>
      </c>
      <c r="AH35" s="19"/>
      <c r="AI35" s="19"/>
      <c r="AJ35" s="19"/>
      <c r="AK35" s="19"/>
      <c r="AL35" s="19">
        <v>1.0</v>
      </c>
      <c r="AM35" s="19"/>
      <c r="AN35" s="19"/>
      <c r="AO35" s="19"/>
      <c r="AP35" s="19"/>
      <c r="AQ35" s="19"/>
      <c r="AR35" s="19"/>
      <c r="AS35" s="19"/>
      <c r="AT35" s="19"/>
      <c r="AU35" s="19">
        <v>1.0</v>
      </c>
      <c r="AV35" s="19">
        <v>23.0</v>
      </c>
      <c r="AW35" s="19"/>
      <c r="AX35" s="19"/>
      <c r="AY35" s="19"/>
      <c r="AZ35" s="19"/>
      <c r="BA35" s="19"/>
      <c r="BB35" s="19"/>
      <c r="BC35" s="19"/>
      <c r="BD35" s="19"/>
      <c r="BE35" s="19"/>
      <c r="BF35" s="19">
        <v>1.0</v>
      </c>
      <c r="BG35" s="19"/>
      <c r="BH35" s="19"/>
      <c r="BI35" s="19">
        <v>3.0</v>
      </c>
      <c r="BJ35" s="19">
        <v>2.0</v>
      </c>
      <c r="BK35" s="13">
        <f t="shared" si="10"/>
        <v>39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29</v>
      </c>
      <c r="F36" s="13">
        <f t="shared" si="11"/>
        <v>24</v>
      </c>
      <c r="G36" s="13">
        <f t="shared" si="11"/>
        <v>21</v>
      </c>
      <c r="H36" s="13">
        <f t="shared" si="11"/>
        <v>38</v>
      </c>
      <c r="I36" s="13">
        <f t="shared" si="11"/>
        <v>66</v>
      </c>
      <c r="J36" s="13">
        <f t="shared" si="11"/>
        <v>87</v>
      </c>
      <c r="K36" s="13">
        <f t="shared" si="11"/>
        <v>113</v>
      </c>
      <c r="L36" s="13">
        <f t="shared" si="11"/>
        <v>98</v>
      </c>
      <c r="M36" s="13">
        <f t="shared" si="11"/>
        <v>90</v>
      </c>
      <c r="N36" s="13">
        <f t="shared" si="11"/>
        <v>2</v>
      </c>
      <c r="O36" s="13">
        <f t="shared" si="11"/>
        <v>72</v>
      </c>
      <c r="P36" s="13">
        <f t="shared" si="11"/>
        <v>81</v>
      </c>
      <c r="Q36" s="13">
        <f t="shared" si="11"/>
        <v>62</v>
      </c>
      <c r="R36" s="13">
        <f t="shared" si="11"/>
        <v>53</v>
      </c>
      <c r="S36" s="13">
        <f t="shared" si="11"/>
        <v>68</v>
      </c>
      <c r="T36" s="13">
        <f t="shared" si="11"/>
        <v>47</v>
      </c>
      <c r="U36" s="13">
        <f t="shared" si="11"/>
        <v>53</v>
      </c>
      <c r="V36" s="13">
        <f t="shared" si="11"/>
        <v>88</v>
      </c>
      <c r="W36" s="13">
        <f t="shared" si="11"/>
        <v>35</v>
      </c>
      <c r="X36" s="13">
        <f t="shared" si="11"/>
        <v>48</v>
      </c>
      <c r="Y36" s="13">
        <f t="shared" si="11"/>
        <v>94</v>
      </c>
      <c r="Z36" s="13">
        <f t="shared" si="11"/>
        <v>60</v>
      </c>
      <c r="AA36" s="13">
        <f t="shared" si="11"/>
        <v>57</v>
      </c>
      <c r="AB36" s="13">
        <f t="shared" si="11"/>
        <v>55</v>
      </c>
      <c r="AC36" s="13">
        <f t="shared" si="11"/>
        <v>78</v>
      </c>
      <c r="AD36" s="13">
        <f t="shared" si="11"/>
        <v>75</v>
      </c>
      <c r="AE36" s="13">
        <f t="shared" si="11"/>
        <v>41</v>
      </c>
      <c r="AF36" s="13">
        <f t="shared" si="11"/>
        <v>25</v>
      </c>
      <c r="AG36" s="13">
        <f t="shared" si="11"/>
        <v>93</v>
      </c>
      <c r="AH36" s="13">
        <f t="shared" si="11"/>
        <v>78</v>
      </c>
      <c r="AI36" s="13">
        <f t="shared" si="11"/>
        <v>60</v>
      </c>
      <c r="AJ36" s="13">
        <f t="shared" si="11"/>
        <v>61</v>
      </c>
      <c r="AK36" s="13">
        <f t="shared" si="11"/>
        <v>59</v>
      </c>
      <c r="AL36" s="13">
        <f t="shared" si="11"/>
        <v>38</v>
      </c>
      <c r="AM36" s="13">
        <f t="shared" si="11"/>
        <v>72</v>
      </c>
      <c r="AN36" s="13">
        <f t="shared" si="11"/>
        <v>58</v>
      </c>
      <c r="AO36" s="13">
        <f t="shared" si="11"/>
        <v>22</v>
      </c>
      <c r="AP36" s="13">
        <f t="shared" si="11"/>
        <v>43</v>
      </c>
      <c r="AQ36" s="13">
        <f t="shared" si="11"/>
        <v>35</v>
      </c>
      <c r="AR36" s="13">
        <f t="shared" si="11"/>
        <v>34</v>
      </c>
      <c r="AS36" s="13">
        <f t="shared" si="11"/>
        <v>35</v>
      </c>
      <c r="AT36" s="13">
        <f t="shared" si="11"/>
        <v>97</v>
      </c>
      <c r="AU36" s="13">
        <f t="shared" si="11"/>
        <v>77</v>
      </c>
      <c r="AV36" s="13">
        <f t="shared" si="11"/>
        <v>85</v>
      </c>
      <c r="AW36" s="13">
        <f t="shared" si="11"/>
        <v>109</v>
      </c>
      <c r="AX36" s="13">
        <f t="shared" si="11"/>
        <v>68</v>
      </c>
      <c r="AY36" s="13">
        <f t="shared" si="11"/>
        <v>75</v>
      </c>
      <c r="AZ36" s="13">
        <f t="shared" si="11"/>
        <v>35</v>
      </c>
      <c r="BA36" s="13">
        <f t="shared" si="11"/>
        <v>58</v>
      </c>
      <c r="BB36" s="13">
        <f t="shared" si="11"/>
        <v>41</v>
      </c>
      <c r="BC36" s="13">
        <f t="shared" si="11"/>
        <v>63</v>
      </c>
      <c r="BD36" s="13">
        <f t="shared" si="11"/>
        <v>67</v>
      </c>
      <c r="BE36" s="13">
        <f t="shared" si="11"/>
        <v>34</v>
      </c>
      <c r="BF36" s="13">
        <f t="shared" si="11"/>
        <v>27</v>
      </c>
      <c r="BG36" s="13">
        <f t="shared" si="11"/>
        <v>87</v>
      </c>
      <c r="BH36" s="13">
        <f t="shared" si="11"/>
        <v>72</v>
      </c>
      <c r="BI36" s="13">
        <f t="shared" si="11"/>
        <v>36</v>
      </c>
      <c r="BJ36" s="13">
        <f t="shared" si="11"/>
        <v>83</v>
      </c>
      <c r="BK36" s="13">
        <f t="shared" si="10"/>
        <v>3462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19"/>
      <c r="BD37" s="19"/>
      <c r="BE37" s="19"/>
      <c r="BF37" s="19"/>
      <c r="BG37" s="67"/>
      <c r="BH37" s="19"/>
      <c r="BI37" s="19"/>
      <c r="BJ37" s="19"/>
      <c r="B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13"/>
      <c r="BD38" s="13"/>
      <c r="BE38" s="13"/>
      <c r="BF38" s="13"/>
      <c r="BG38" s="69"/>
      <c r="BH38" s="13"/>
      <c r="BI38" s="13"/>
      <c r="BJ38" s="13"/>
      <c r="BK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>
        <v>1.0</v>
      </c>
      <c r="Y39" s="19">
        <v>1.0</v>
      </c>
      <c r="Z39" s="19">
        <v>1.0</v>
      </c>
      <c r="AA39" s="19"/>
      <c r="AB39" s="19"/>
      <c r="AC39" s="19"/>
      <c r="AD39" s="19"/>
      <c r="AE39" s="19"/>
      <c r="AF39" s="19"/>
      <c r="AG39" s="19">
        <v>1.0</v>
      </c>
      <c r="AH39" s="19"/>
      <c r="AI39" s="19">
        <v>2.0</v>
      </c>
      <c r="AJ39" s="19"/>
      <c r="AK39" s="19"/>
      <c r="AL39" s="19"/>
      <c r="AM39" s="19"/>
      <c r="AN39" s="19"/>
      <c r="AO39" s="19"/>
      <c r="AP39" s="19"/>
      <c r="AQ39" s="19"/>
      <c r="AR39" s="19">
        <v>1.0</v>
      </c>
      <c r="AS39" s="19"/>
      <c r="AT39" s="19"/>
      <c r="AU39" s="19"/>
      <c r="AV39" s="19"/>
      <c r="AW39" s="19"/>
      <c r="AX39" s="19">
        <v>1.0</v>
      </c>
      <c r="AY39" s="19"/>
      <c r="AZ39" s="19"/>
      <c r="BA39" s="19"/>
      <c r="BB39" s="19"/>
      <c r="BC39" s="19"/>
      <c r="BD39" s="19"/>
      <c r="BE39" s="19">
        <v>1.0</v>
      </c>
      <c r="BF39" s="19"/>
      <c r="BG39" s="19"/>
      <c r="BH39" s="19"/>
      <c r="BI39" s="19"/>
      <c r="BJ39" s="19"/>
      <c r="BK39" s="13">
        <f t="shared" ref="BK39:BK41" si="12">SUM(E39:BJ39)</f>
        <v>10</v>
      </c>
    </row>
    <row r="40" ht="12.75" customHeight="1">
      <c r="A40" s="33"/>
      <c r="C40" s="27"/>
      <c r="D40" s="19" t="s">
        <v>13</v>
      </c>
      <c r="E40" s="19"/>
      <c r="F40" s="19">
        <v>1.0</v>
      </c>
      <c r="G40" s="19"/>
      <c r="H40" s="19"/>
      <c r="I40" s="19"/>
      <c r="J40" s="19"/>
      <c r="K40" s="19"/>
      <c r="L40" s="19"/>
      <c r="M40" s="19"/>
      <c r="N40" s="19"/>
      <c r="O40" s="19">
        <v>1.0</v>
      </c>
      <c r="P40" s="19"/>
      <c r="Q40" s="19"/>
      <c r="R40" s="19"/>
      <c r="S40" s="19">
        <v>2.0</v>
      </c>
      <c r="T40" s="19">
        <v>1.0</v>
      </c>
      <c r="U40" s="19"/>
      <c r="V40" s="19"/>
      <c r="W40" s="19"/>
      <c r="X40" s="19">
        <v>3.0</v>
      </c>
      <c r="Y40" s="19"/>
      <c r="Z40" s="19">
        <v>1.0</v>
      </c>
      <c r="AA40" s="19"/>
      <c r="AB40" s="19"/>
      <c r="AC40" s="19"/>
      <c r="AD40" s="19"/>
      <c r="AE40" s="19"/>
      <c r="AF40" s="19"/>
      <c r="AG40" s="19"/>
      <c r="AH40" s="19"/>
      <c r="AI40" s="19">
        <v>3.0</v>
      </c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>
        <v>1.0</v>
      </c>
      <c r="AU40" s="19"/>
      <c r="AV40" s="19"/>
      <c r="AW40" s="19"/>
      <c r="AX40" s="19">
        <v>3.0</v>
      </c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3">
        <f t="shared" si="12"/>
        <v>16</v>
      </c>
    </row>
    <row r="41" ht="12.75" customHeight="1">
      <c r="A41" s="41"/>
      <c r="B41" s="44"/>
      <c r="C41" s="28"/>
      <c r="D41" s="13" t="s">
        <v>14</v>
      </c>
      <c r="E41" s="13">
        <f t="shared" ref="E41:BJ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4</v>
      </c>
      <c r="Y41" s="13">
        <f t="shared" si="13"/>
        <v>1</v>
      </c>
      <c r="Z41" s="13">
        <f t="shared" si="13"/>
        <v>2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5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4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1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9"/>
      <c r="BD42" s="19"/>
      <c r="BE42" s="19"/>
      <c r="BF42" s="19"/>
      <c r="BG42" s="67"/>
      <c r="BH42" s="19"/>
      <c r="BI42" s="19"/>
      <c r="BJ42" s="19"/>
      <c r="B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  <c r="BD43" s="13"/>
      <c r="BE43" s="13"/>
      <c r="BF43" s="13"/>
      <c r="BG43" s="69"/>
      <c r="BH43" s="13"/>
      <c r="BI43" s="13"/>
      <c r="BJ43" s="13"/>
      <c r="B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9"/>
      <c r="BD44" s="19"/>
      <c r="BE44" s="19"/>
      <c r="BF44" s="19"/>
      <c r="BG44" s="67"/>
      <c r="BH44" s="19"/>
      <c r="BI44" s="19"/>
      <c r="BJ44" s="19"/>
      <c r="B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0.0</v>
      </c>
      <c r="F45" s="19">
        <v>0.0</v>
      </c>
      <c r="G45" s="19">
        <v>4.0</v>
      </c>
      <c r="H45" s="19">
        <v>1.0</v>
      </c>
      <c r="I45" s="19">
        <v>10.0</v>
      </c>
      <c r="J45" s="19">
        <v>7.0</v>
      </c>
      <c r="K45" s="19">
        <v>7.0</v>
      </c>
      <c r="L45" s="19">
        <v>4.0</v>
      </c>
      <c r="M45" s="19">
        <v>11.0</v>
      </c>
      <c r="N45" s="19">
        <v>0.0</v>
      </c>
      <c r="O45" s="19">
        <v>2.0</v>
      </c>
      <c r="P45" s="19">
        <v>3.0</v>
      </c>
      <c r="Q45" s="19">
        <v>8.0</v>
      </c>
      <c r="R45" s="19">
        <v>1.0</v>
      </c>
      <c r="S45" s="19">
        <v>3.0</v>
      </c>
      <c r="T45" s="19">
        <v>1.0</v>
      </c>
      <c r="U45" s="19">
        <v>5.0</v>
      </c>
      <c r="V45" s="19">
        <v>2.0</v>
      </c>
      <c r="W45" s="19">
        <v>5.0</v>
      </c>
      <c r="X45" s="19">
        <v>1.0</v>
      </c>
      <c r="Y45" s="19">
        <v>8.0</v>
      </c>
      <c r="Z45" s="19">
        <v>0.0</v>
      </c>
      <c r="AA45" s="19">
        <v>0.0</v>
      </c>
      <c r="AB45" s="19">
        <v>5.0</v>
      </c>
      <c r="AC45" s="19">
        <v>10.0</v>
      </c>
      <c r="AD45" s="19">
        <v>7.0</v>
      </c>
      <c r="AE45" s="19">
        <v>1.0</v>
      </c>
      <c r="AF45" s="19">
        <v>0.0</v>
      </c>
      <c r="AG45" s="19">
        <v>5.0</v>
      </c>
      <c r="AH45" s="19">
        <v>8.0</v>
      </c>
      <c r="AI45" s="19">
        <v>6.0</v>
      </c>
      <c r="AJ45" s="19">
        <v>6.0</v>
      </c>
      <c r="AK45" s="19">
        <v>4.0</v>
      </c>
      <c r="AL45" s="19">
        <v>5.0</v>
      </c>
      <c r="AM45" s="19">
        <v>7.0</v>
      </c>
      <c r="AN45" s="19">
        <v>2.0</v>
      </c>
      <c r="AO45" s="19">
        <v>1.0</v>
      </c>
      <c r="AP45" s="19">
        <v>3.0</v>
      </c>
      <c r="AQ45" s="19">
        <v>5.0</v>
      </c>
      <c r="AR45" s="19">
        <v>1.0</v>
      </c>
      <c r="AS45" s="19">
        <v>2.0</v>
      </c>
      <c r="AT45" s="19">
        <v>6.0</v>
      </c>
      <c r="AU45" s="19">
        <v>7.0</v>
      </c>
      <c r="AV45" s="19">
        <v>10.0</v>
      </c>
      <c r="AW45" s="19">
        <v>5.0</v>
      </c>
      <c r="AX45" s="19">
        <v>4.0</v>
      </c>
      <c r="AY45" s="19">
        <v>8.0</v>
      </c>
      <c r="AZ45" s="19">
        <v>2.0</v>
      </c>
      <c r="BA45" s="19">
        <v>1.0</v>
      </c>
      <c r="BB45" s="19">
        <v>3.0</v>
      </c>
      <c r="BC45" s="19">
        <v>6.0</v>
      </c>
      <c r="BD45" s="19">
        <v>2.0</v>
      </c>
      <c r="BE45" s="19">
        <v>9.0</v>
      </c>
      <c r="BF45" s="19">
        <v>9.0</v>
      </c>
      <c r="BG45" s="19">
        <v>13.0</v>
      </c>
      <c r="BH45" s="19">
        <v>19.0</v>
      </c>
      <c r="BI45" s="19">
        <v>11.0</v>
      </c>
      <c r="BJ45" s="19">
        <v>6.0</v>
      </c>
      <c r="BK45" s="13">
        <f t="shared" ref="BK45:BK55" si="14">SUM(E45:BJ45)</f>
        <v>282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0.0</v>
      </c>
      <c r="F46" s="19">
        <v>2.0</v>
      </c>
      <c r="G46" s="19">
        <v>1.0</v>
      </c>
      <c r="H46" s="19">
        <v>2.0</v>
      </c>
      <c r="I46" s="19">
        <v>6.0</v>
      </c>
      <c r="J46" s="19">
        <v>8.0</v>
      </c>
      <c r="K46" s="19">
        <v>8.0</v>
      </c>
      <c r="L46" s="19">
        <v>13.0</v>
      </c>
      <c r="M46" s="19">
        <v>17.0</v>
      </c>
      <c r="N46" s="19">
        <v>0.0</v>
      </c>
      <c r="O46" s="19">
        <v>4.0</v>
      </c>
      <c r="P46" s="19">
        <v>6.0</v>
      </c>
      <c r="Q46" s="19">
        <v>6.0</v>
      </c>
      <c r="R46" s="19">
        <v>5.0</v>
      </c>
      <c r="S46" s="19">
        <v>4.0</v>
      </c>
      <c r="T46" s="19">
        <v>7.0</v>
      </c>
      <c r="U46" s="19">
        <v>9.0</v>
      </c>
      <c r="V46" s="19">
        <v>12.0</v>
      </c>
      <c r="W46" s="19">
        <v>11.0</v>
      </c>
      <c r="X46" s="19">
        <v>17.0</v>
      </c>
      <c r="Y46" s="19">
        <v>3.0</v>
      </c>
      <c r="Z46" s="19">
        <v>3.0</v>
      </c>
      <c r="AA46" s="19">
        <v>6.0</v>
      </c>
      <c r="AB46" s="19">
        <v>13.0</v>
      </c>
      <c r="AC46" s="19">
        <v>45.0</v>
      </c>
      <c r="AD46" s="19">
        <v>5.0</v>
      </c>
      <c r="AE46" s="19">
        <v>6.0</v>
      </c>
      <c r="AF46" s="19">
        <v>0.0</v>
      </c>
      <c r="AG46" s="19">
        <v>10.0</v>
      </c>
      <c r="AH46" s="19">
        <v>0.0</v>
      </c>
      <c r="AI46" s="19">
        <v>5.0</v>
      </c>
      <c r="AJ46" s="19">
        <v>5.0</v>
      </c>
      <c r="AK46" s="19">
        <v>2.0</v>
      </c>
      <c r="AL46" s="19">
        <v>10.0</v>
      </c>
      <c r="AM46" s="19">
        <v>10.0</v>
      </c>
      <c r="AN46" s="19">
        <v>10.0</v>
      </c>
      <c r="AO46" s="19">
        <v>1.0</v>
      </c>
      <c r="AP46" s="19">
        <v>9.0</v>
      </c>
      <c r="AQ46" s="19">
        <v>7.0</v>
      </c>
      <c r="AR46" s="19">
        <v>4.0</v>
      </c>
      <c r="AS46" s="19">
        <v>7.0</v>
      </c>
      <c r="AT46" s="19">
        <v>15.0</v>
      </c>
      <c r="AU46" s="19">
        <v>26.0</v>
      </c>
      <c r="AV46" s="19">
        <v>11.0</v>
      </c>
      <c r="AW46" s="19">
        <v>7.0</v>
      </c>
      <c r="AX46" s="19">
        <v>7.0</v>
      </c>
      <c r="AY46" s="19">
        <v>18.0</v>
      </c>
      <c r="AZ46" s="19">
        <v>2.0</v>
      </c>
      <c r="BA46" s="19">
        <v>1.0</v>
      </c>
      <c r="BB46" s="19">
        <v>4.0</v>
      </c>
      <c r="BC46" s="19">
        <v>5.0</v>
      </c>
      <c r="BD46" s="19">
        <v>5.0</v>
      </c>
      <c r="BE46" s="19">
        <v>6.0</v>
      </c>
      <c r="BF46" s="19">
        <v>12.0</v>
      </c>
      <c r="BG46" s="19">
        <v>8.0</v>
      </c>
      <c r="BH46" s="19">
        <v>46.0</v>
      </c>
      <c r="BI46" s="19">
        <v>34.0</v>
      </c>
      <c r="BJ46" s="19">
        <v>23.0</v>
      </c>
      <c r="BK46" s="13">
        <f t="shared" si="14"/>
        <v>529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4.0</v>
      </c>
      <c r="H47" s="19">
        <v>2.0</v>
      </c>
      <c r="I47" s="19">
        <v>2.0</v>
      </c>
      <c r="J47" s="19">
        <v>20.0</v>
      </c>
      <c r="K47" s="19">
        <v>13.0</v>
      </c>
      <c r="L47" s="19">
        <v>28.0</v>
      </c>
      <c r="M47" s="19">
        <v>25.0</v>
      </c>
      <c r="N47" s="19">
        <v>0.0</v>
      </c>
      <c r="O47" s="19">
        <v>3.0</v>
      </c>
      <c r="P47" s="19">
        <v>2.0</v>
      </c>
      <c r="Q47" s="19">
        <v>0.0</v>
      </c>
      <c r="R47" s="19">
        <v>1.0</v>
      </c>
      <c r="S47" s="19">
        <v>5.0</v>
      </c>
      <c r="T47" s="19">
        <v>3.0</v>
      </c>
      <c r="U47" s="19">
        <v>1.0</v>
      </c>
      <c r="V47" s="19">
        <v>6.0</v>
      </c>
      <c r="W47" s="19">
        <v>3.0</v>
      </c>
      <c r="X47" s="19">
        <v>13.0</v>
      </c>
      <c r="Y47" s="19">
        <v>3.0</v>
      </c>
      <c r="Z47" s="19">
        <v>1.0</v>
      </c>
      <c r="AA47" s="19">
        <v>2.0</v>
      </c>
      <c r="AB47" s="19">
        <v>1.0</v>
      </c>
      <c r="AC47" s="19">
        <v>0.0</v>
      </c>
      <c r="AD47" s="19">
        <v>6.0</v>
      </c>
      <c r="AE47" s="19">
        <v>3.0</v>
      </c>
      <c r="AF47" s="19">
        <v>1.0</v>
      </c>
      <c r="AG47" s="19">
        <v>30.0</v>
      </c>
      <c r="AH47" s="19">
        <v>5.0</v>
      </c>
      <c r="AI47" s="19">
        <v>2.0</v>
      </c>
      <c r="AJ47" s="19">
        <v>1.0</v>
      </c>
      <c r="AK47" s="19">
        <v>2.0</v>
      </c>
      <c r="AL47" s="19">
        <v>1.0</v>
      </c>
      <c r="AM47" s="19">
        <v>3.0</v>
      </c>
      <c r="AN47" s="19">
        <v>1.0</v>
      </c>
      <c r="AO47" s="19">
        <v>2.0</v>
      </c>
      <c r="AP47" s="19">
        <v>5.0</v>
      </c>
      <c r="AQ47" s="19">
        <v>9.0</v>
      </c>
      <c r="AR47" s="19">
        <v>0.0</v>
      </c>
      <c r="AS47" s="19">
        <v>3.0</v>
      </c>
      <c r="AT47" s="19">
        <v>1.0</v>
      </c>
      <c r="AU47" s="19">
        <v>2.0</v>
      </c>
      <c r="AV47" s="19">
        <v>3.0</v>
      </c>
      <c r="AW47" s="19">
        <v>2.0</v>
      </c>
      <c r="AX47" s="19">
        <v>1.0</v>
      </c>
      <c r="AY47" s="19">
        <v>3.0</v>
      </c>
      <c r="AZ47" s="19">
        <v>1.0</v>
      </c>
      <c r="BA47" s="19">
        <v>0.0</v>
      </c>
      <c r="BB47" s="19">
        <v>7.0</v>
      </c>
      <c r="BC47" s="19">
        <v>5.0</v>
      </c>
      <c r="BD47" s="19">
        <v>5.0</v>
      </c>
      <c r="BE47" s="19">
        <v>7.0</v>
      </c>
      <c r="BF47" s="19">
        <v>47.0</v>
      </c>
      <c r="BG47" s="19">
        <v>42.0</v>
      </c>
      <c r="BH47" s="19">
        <v>31.0</v>
      </c>
      <c r="BI47" s="19">
        <v>1.0</v>
      </c>
      <c r="BJ47" s="19">
        <v>1.0</v>
      </c>
      <c r="BK47" s="13">
        <f t="shared" si="14"/>
        <v>372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0.0</v>
      </c>
      <c r="J48" s="19">
        <v>0.0</v>
      </c>
      <c r="K48" s="19">
        <v>0.0</v>
      </c>
      <c r="L48" s="19">
        <v>0.0</v>
      </c>
      <c r="M48" s="19">
        <v>3.0</v>
      </c>
      <c r="N48" s="19">
        <v>0.0</v>
      </c>
      <c r="O48" s="19">
        <v>1.0</v>
      </c>
      <c r="P48" s="19">
        <v>0.0</v>
      </c>
      <c r="Q48" s="19">
        <v>1.0</v>
      </c>
      <c r="R48" s="19">
        <v>1.0</v>
      </c>
      <c r="S48" s="19">
        <v>0.0</v>
      </c>
      <c r="T48" s="19">
        <v>0.0</v>
      </c>
      <c r="U48" s="19">
        <v>1.0</v>
      </c>
      <c r="V48" s="19">
        <v>4.0</v>
      </c>
      <c r="W48" s="19">
        <v>5.0</v>
      </c>
      <c r="X48" s="19">
        <v>1.0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2.0</v>
      </c>
      <c r="AE48" s="19">
        <v>0.0</v>
      </c>
      <c r="AF48" s="19">
        <v>0.0</v>
      </c>
      <c r="AG48" s="19">
        <v>0.0</v>
      </c>
      <c r="AH48" s="19">
        <v>6.0</v>
      </c>
      <c r="AI48" s="19">
        <v>1.0</v>
      </c>
      <c r="AJ48" s="19">
        <v>1.0</v>
      </c>
      <c r="AK48" s="19">
        <v>0.0</v>
      </c>
      <c r="AL48" s="19">
        <v>0.0</v>
      </c>
      <c r="AM48" s="19">
        <v>0.0</v>
      </c>
      <c r="AN48" s="19">
        <v>0.0</v>
      </c>
      <c r="AO48" s="19">
        <v>0.0</v>
      </c>
      <c r="AP48" s="19">
        <v>2.0</v>
      </c>
      <c r="AQ48" s="19">
        <v>0.0</v>
      </c>
      <c r="AR48" s="19">
        <v>0.0</v>
      </c>
      <c r="AS48" s="19">
        <v>0.0</v>
      </c>
      <c r="AT48" s="19">
        <v>0.0</v>
      </c>
      <c r="AU48" s="19">
        <v>2.0</v>
      </c>
      <c r="AV48" s="19">
        <v>1.0</v>
      </c>
      <c r="AW48" s="19">
        <v>3.0</v>
      </c>
      <c r="AX48" s="19"/>
      <c r="AY48" s="19"/>
      <c r="AZ48" s="19">
        <v>1.0</v>
      </c>
      <c r="BA48" s="19"/>
      <c r="BB48" s="19">
        <v>2.0</v>
      </c>
      <c r="BC48" s="19"/>
      <c r="BD48" s="19">
        <v>1.0</v>
      </c>
      <c r="BE48" s="19"/>
      <c r="BF48" s="19">
        <v>4.0</v>
      </c>
      <c r="BG48" s="19">
        <v>1.0</v>
      </c>
      <c r="BH48" s="19">
        <v>3.0</v>
      </c>
      <c r="BI48" s="19"/>
      <c r="BJ48" s="19">
        <v>2.0</v>
      </c>
      <c r="BK48" s="13">
        <f t="shared" si="14"/>
        <v>51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1.0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2.0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2.0</v>
      </c>
      <c r="W49" s="19">
        <v>0.0</v>
      </c>
      <c r="X49" s="19">
        <v>1.0</v>
      </c>
      <c r="Y49" s="19">
        <v>1.0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19">
        <v>1.0</v>
      </c>
      <c r="AG49" s="19">
        <v>1.0</v>
      </c>
      <c r="AH49" s="19">
        <v>0.0</v>
      </c>
      <c r="AI49" s="19">
        <v>2.0</v>
      </c>
      <c r="AJ49" s="19">
        <v>1.0</v>
      </c>
      <c r="AK49" s="19">
        <v>1.0</v>
      </c>
      <c r="AL49" s="19">
        <v>1.0</v>
      </c>
      <c r="AM49" s="19">
        <v>0.0</v>
      </c>
      <c r="AN49" s="19">
        <v>2.0</v>
      </c>
      <c r="AO49" s="19">
        <v>0.0</v>
      </c>
      <c r="AP49" s="19">
        <v>1.0</v>
      </c>
      <c r="AQ49" s="19">
        <v>0.0</v>
      </c>
      <c r="AR49" s="19">
        <v>0.0</v>
      </c>
      <c r="AS49" s="19">
        <v>0.0</v>
      </c>
      <c r="AT49" s="19">
        <v>2.0</v>
      </c>
      <c r="AU49" s="19">
        <v>2.0</v>
      </c>
      <c r="AV49" s="19">
        <v>1.0</v>
      </c>
      <c r="AW49" s="19">
        <v>0.0</v>
      </c>
      <c r="AX49" s="19">
        <v>1.0</v>
      </c>
      <c r="AY49" s="19"/>
      <c r="AZ49" s="19">
        <v>2.0</v>
      </c>
      <c r="BA49" s="19"/>
      <c r="BB49" s="19"/>
      <c r="BC49" s="19">
        <v>1.0</v>
      </c>
      <c r="BD49" s="19">
        <v>1.0</v>
      </c>
      <c r="BE49" s="19"/>
      <c r="BF49" s="19"/>
      <c r="BG49" s="19">
        <v>3.0</v>
      </c>
      <c r="BH49" s="19">
        <v>4.0</v>
      </c>
      <c r="BI49" s="19">
        <v>5.0</v>
      </c>
      <c r="BJ49" s="19">
        <v>1.0</v>
      </c>
      <c r="BK49" s="13">
        <f t="shared" si="14"/>
        <v>43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2.0</v>
      </c>
      <c r="K50" s="19">
        <v>1.0</v>
      </c>
      <c r="L50" s="19">
        <v>0.0</v>
      </c>
      <c r="M50" s="19">
        <v>1.0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1.0</v>
      </c>
      <c r="T50" s="19">
        <v>0.0</v>
      </c>
      <c r="U50" s="19">
        <v>1.0</v>
      </c>
      <c r="V50" s="19">
        <v>2.0</v>
      </c>
      <c r="W50" s="19">
        <v>1.0</v>
      </c>
      <c r="X50" s="19">
        <v>0.0</v>
      </c>
      <c r="Y50" s="19">
        <v>0.0</v>
      </c>
      <c r="Z50" s="19">
        <v>0.0</v>
      </c>
      <c r="AA50" s="19">
        <v>1.0</v>
      </c>
      <c r="AB50" s="19">
        <v>0.0</v>
      </c>
      <c r="AC50" s="19">
        <v>2.0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1.0</v>
      </c>
      <c r="AM50" s="19">
        <v>0.0</v>
      </c>
      <c r="AN50" s="19">
        <v>1.0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1.0</v>
      </c>
      <c r="AV50" s="19">
        <v>0.0</v>
      </c>
      <c r="AW50" s="19">
        <v>1.0</v>
      </c>
      <c r="AX50" s="19">
        <v>2.0</v>
      </c>
      <c r="AY50" s="19"/>
      <c r="AZ50" s="19"/>
      <c r="BA50" s="19"/>
      <c r="BB50" s="19"/>
      <c r="BC50" s="19"/>
      <c r="BD50" s="19"/>
      <c r="BE50" s="19"/>
      <c r="BF50" s="19"/>
      <c r="BG50" s="19"/>
      <c r="BH50" s="19">
        <v>1.0</v>
      </c>
      <c r="BI50" s="19"/>
      <c r="BJ50" s="19"/>
      <c r="BK50" s="13">
        <f t="shared" si="14"/>
        <v>20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2.0</v>
      </c>
      <c r="L51" s="19">
        <v>1.0</v>
      </c>
      <c r="M51" s="19">
        <v>1.0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9">
        <v>0.0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9">
        <v>0.0</v>
      </c>
      <c r="BC51" s="19">
        <v>0.0</v>
      </c>
      <c r="BD51" s="19">
        <v>0.0</v>
      </c>
      <c r="BE51" s="19">
        <v>1.0</v>
      </c>
      <c r="BF51" s="19">
        <v>0.0</v>
      </c>
      <c r="BG51" s="19">
        <v>1.0</v>
      </c>
      <c r="BH51" s="19">
        <v>0.0</v>
      </c>
      <c r="BI51" s="19">
        <v>1.0</v>
      </c>
      <c r="BJ51" s="19">
        <v>0.0</v>
      </c>
      <c r="BK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1.0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0.0</v>
      </c>
      <c r="BF52" s="19">
        <v>0.0</v>
      </c>
      <c r="BG52" s="19">
        <v>1.0</v>
      </c>
      <c r="BH52" s="19">
        <v>0.0</v>
      </c>
      <c r="BI52" s="19">
        <v>0.0</v>
      </c>
      <c r="BJ52" s="19">
        <v>0.0</v>
      </c>
      <c r="BK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BJ55" si="15">SUM(E45:E52)</f>
        <v>0</v>
      </c>
      <c r="F55" s="13">
        <f t="shared" si="15"/>
        <v>3</v>
      </c>
      <c r="G55" s="13">
        <f t="shared" si="15"/>
        <v>9</v>
      </c>
      <c r="H55" s="13">
        <f t="shared" si="15"/>
        <v>7</v>
      </c>
      <c r="I55" s="13">
        <f t="shared" si="15"/>
        <v>19</v>
      </c>
      <c r="J55" s="13">
        <f t="shared" si="15"/>
        <v>38</v>
      </c>
      <c r="K55" s="13">
        <f t="shared" si="15"/>
        <v>31</v>
      </c>
      <c r="L55" s="13">
        <f t="shared" si="15"/>
        <v>46</v>
      </c>
      <c r="M55" s="13">
        <f t="shared" si="15"/>
        <v>59</v>
      </c>
      <c r="N55" s="13">
        <f t="shared" si="15"/>
        <v>0</v>
      </c>
      <c r="O55" s="13">
        <f t="shared" si="15"/>
        <v>10</v>
      </c>
      <c r="P55" s="13">
        <f t="shared" si="15"/>
        <v>13</v>
      </c>
      <c r="Q55" s="13">
        <f t="shared" si="15"/>
        <v>16</v>
      </c>
      <c r="R55" s="13">
        <f t="shared" si="15"/>
        <v>9</v>
      </c>
      <c r="S55" s="13">
        <f t="shared" si="15"/>
        <v>13</v>
      </c>
      <c r="T55" s="13">
        <f t="shared" si="15"/>
        <v>11</v>
      </c>
      <c r="U55" s="13">
        <f t="shared" si="15"/>
        <v>18</v>
      </c>
      <c r="V55" s="13">
        <f t="shared" si="15"/>
        <v>28</v>
      </c>
      <c r="W55" s="13">
        <f t="shared" si="15"/>
        <v>25</v>
      </c>
      <c r="X55" s="13">
        <f t="shared" si="15"/>
        <v>33</v>
      </c>
      <c r="Y55" s="13">
        <f t="shared" si="15"/>
        <v>16</v>
      </c>
      <c r="Z55" s="13">
        <f t="shared" si="15"/>
        <v>4</v>
      </c>
      <c r="AA55" s="13">
        <f t="shared" si="15"/>
        <v>10</v>
      </c>
      <c r="AB55" s="13">
        <f t="shared" si="15"/>
        <v>19</v>
      </c>
      <c r="AC55" s="13">
        <f t="shared" si="15"/>
        <v>57</v>
      </c>
      <c r="AD55" s="13">
        <f t="shared" si="15"/>
        <v>20</v>
      </c>
      <c r="AE55" s="13">
        <f t="shared" si="15"/>
        <v>10</v>
      </c>
      <c r="AF55" s="13">
        <f t="shared" si="15"/>
        <v>2</v>
      </c>
      <c r="AG55" s="13">
        <f t="shared" si="15"/>
        <v>47</v>
      </c>
      <c r="AH55" s="13">
        <f t="shared" si="15"/>
        <v>19</v>
      </c>
      <c r="AI55" s="13">
        <f t="shared" si="15"/>
        <v>16</v>
      </c>
      <c r="AJ55" s="13">
        <f t="shared" si="15"/>
        <v>14</v>
      </c>
      <c r="AK55" s="13">
        <f t="shared" si="15"/>
        <v>9</v>
      </c>
      <c r="AL55" s="13">
        <f t="shared" si="15"/>
        <v>18</v>
      </c>
      <c r="AM55" s="13">
        <f t="shared" si="15"/>
        <v>20</v>
      </c>
      <c r="AN55" s="13">
        <f t="shared" si="15"/>
        <v>16</v>
      </c>
      <c r="AO55" s="13">
        <f t="shared" si="15"/>
        <v>4</v>
      </c>
      <c r="AP55" s="13">
        <f t="shared" si="15"/>
        <v>20</v>
      </c>
      <c r="AQ55" s="13">
        <f t="shared" si="15"/>
        <v>21</v>
      </c>
      <c r="AR55" s="13">
        <f t="shared" si="15"/>
        <v>5</v>
      </c>
      <c r="AS55" s="13">
        <f t="shared" si="15"/>
        <v>12</v>
      </c>
      <c r="AT55" s="13">
        <f t="shared" si="15"/>
        <v>24</v>
      </c>
      <c r="AU55" s="13">
        <f t="shared" si="15"/>
        <v>40</v>
      </c>
      <c r="AV55" s="13">
        <f t="shared" si="15"/>
        <v>26</v>
      </c>
      <c r="AW55" s="13">
        <f t="shared" si="15"/>
        <v>18</v>
      </c>
      <c r="AX55" s="13">
        <f t="shared" si="15"/>
        <v>15</v>
      </c>
      <c r="AY55" s="13">
        <f t="shared" si="15"/>
        <v>30</v>
      </c>
      <c r="AZ55" s="13">
        <f t="shared" si="15"/>
        <v>8</v>
      </c>
      <c r="BA55" s="13">
        <f t="shared" si="15"/>
        <v>2</v>
      </c>
      <c r="BB55" s="13">
        <f t="shared" si="15"/>
        <v>16</v>
      </c>
      <c r="BC55" s="13">
        <f t="shared" si="15"/>
        <v>17</v>
      </c>
      <c r="BD55" s="13">
        <f t="shared" si="15"/>
        <v>14</v>
      </c>
      <c r="BE55" s="13">
        <f t="shared" si="15"/>
        <v>23</v>
      </c>
      <c r="BF55" s="13">
        <f t="shared" si="15"/>
        <v>72</v>
      </c>
      <c r="BG55" s="13">
        <f t="shared" si="15"/>
        <v>69</v>
      </c>
      <c r="BH55" s="13">
        <f t="shared" si="15"/>
        <v>104</v>
      </c>
      <c r="BI55" s="13">
        <f t="shared" si="15"/>
        <v>52</v>
      </c>
      <c r="BJ55" s="13">
        <f t="shared" si="15"/>
        <v>33</v>
      </c>
      <c r="BK55" s="13">
        <f t="shared" si="14"/>
        <v>1310</v>
      </c>
    </row>
    <row r="56" ht="12.75" customHeight="1">
      <c r="A56" s="45"/>
      <c r="B56" s="44"/>
      <c r="C56" s="44"/>
      <c r="D56" s="44"/>
      <c r="E56" s="44"/>
      <c r="B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2.0</v>
      </c>
      <c r="F57" s="19">
        <v>1.0</v>
      </c>
      <c r="G57" s="19">
        <v>3.0</v>
      </c>
      <c r="H57" s="19">
        <v>0.0</v>
      </c>
      <c r="I57" s="19">
        <v>5.0</v>
      </c>
      <c r="J57" s="19">
        <v>9.0</v>
      </c>
      <c r="K57" s="19">
        <v>13.0</v>
      </c>
      <c r="L57" s="19">
        <v>11.0</v>
      </c>
      <c r="M57" s="19">
        <v>10.0</v>
      </c>
      <c r="N57" s="19">
        <v>0.0</v>
      </c>
      <c r="O57" s="19">
        <v>6.0</v>
      </c>
      <c r="P57" s="19">
        <v>8.0</v>
      </c>
      <c r="Q57" s="19">
        <v>10.0</v>
      </c>
      <c r="R57" s="19">
        <v>1.0</v>
      </c>
      <c r="S57" s="19">
        <v>7.0</v>
      </c>
      <c r="T57" s="19">
        <v>5.0</v>
      </c>
      <c r="U57" s="19">
        <v>5.0</v>
      </c>
      <c r="V57" s="19">
        <v>12.0</v>
      </c>
      <c r="W57" s="19">
        <v>12.0</v>
      </c>
      <c r="X57" s="19">
        <v>12.0</v>
      </c>
      <c r="Y57" s="19">
        <v>10.0</v>
      </c>
      <c r="Z57" s="19">
        <v>6.0</v>
      </c>
      <c r="AA57" s="19">
        <v>5.0</v>
      </c>
      <c r="AB57" s="19">
        <v>4.0</v>
      </c>
      <c r="AC57" s="19">
        <v>6.0</v>
      </c>
      <c r="AD57" s="19">
        <v>9.0</v>
      </c>
      <c r="AE57" s="19">
        <v>5.0</v>
      </c>
      <c r="AF57" s="19">
        <v>1.0</v>
      </c>
      <c r="AG57" s="19">
        <v>7.0</v>
      </c>
      <c r="AH57" s="19">
        <v>18.0</v>
      </c>
      <c r="AI57" s="19">
        <v>12.0</v>
      </c>
      <c r="AJ57" s="19">
        <v>10.0</v>
      </c>
      <c r="AK57" s="19">
        <v>5.0</v>
      </c>
      <c r="AL57" s="19">
        <v>10.0</v>
      </c>
      <c r="AM57" s="19">
        <v>4.0</v>
      </c>
      <c r="AN57" s="19">
        <v>5.0</v>
      </c>
      <c r="AO57" s="19">
        <v>9.0</v>
      </c>
      <c r="AP57" s="19">
        <v>15.0</v>
      </c>
      <c r="AQ57" s="19">
        <v>8.0</v>
      </c>
      <c r="AR57" s="19">
        <v>5.0</v>
      </c>
      <c r="AS57" s="19">
        <v>4.0</v>
      </c>
      <c r="AT57" s="19">
        <v>7.0</v>
      </c>
      <c r="AU57" s="19">
        <v>3.0</v>
      </c>
      <c r="AV57" s="19">
        <v>9.0</v>
      </c>
      <c r="AW57" s="19">
        <v>16.0</v>
      </c>
      <c r="AX57" s="19">
        <v>4.0</v>
      </c>
      <c r="AY57" s="19">
        <v>6.0</v>
      </c>
      <c r="AZ57" s="19">
        <v>1.0</v>
      </c>
      <c r="BA57" s="19">
        <v>6.0</v>
      </c>
      <c r="BB57" s="19">
        <v>5.0</v>
      </c>
      <c r="BC57" s="19">
        <v>4.0</v>
      </c>
      <c r="BD57" s="19">
        <v>3.0</v>
      </c>
      <c r="BE57" s="19">
        <v>14.0</v>
      </c>
      <c r="BF57" s="19">
        <v>2.0</v>
      </c>
      <c r="BG57" s="19">
        <v>7.0</v>
      </c>
      <c r="BH57" s="19">
        <v>13.0</v>
      </c>
      <c r="BI57" s="19">
        <v>7.0</v>
      </c>
      <c r="BJ57" s="19">
        <v>9.0</v>
      </c>
      <c r="BK57" s="13">
        <f t="shared" ref="BK57:BK67" si="16">SUM(E57:BJ57)</f>
        <v>406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2.0</v>
      </c>
      <c r="F58" s="19">
        <v>1.0</v>
      </c>
      <c r="G58" s="19">
        <v>4.0</v>
      </c>
      <c r="H58" s="19">
        <v>0.0</v>
      </c>
      <c r="I58" s="19">
        <v>7.0</v>
      </c>
      <c r="J58" s="19">
        <v>2.0</v>
      </c>
      <c r="K58" s="19">
        <v>4.0</v>
      </c>
      <c r="L58" s="19">
        <v>1.0</v>
      </c>
      <c r="M58" s="19">
        <v>0.0</v>
      </c>
      <c r="N58" s="19">
        <v>0.0</v>
      </c>
      <c r="O58" s="19">
        <v>2.0</v>
      </c>
      <c r="P58" s="19">
        <v>4.0</v>
      </c>
      <c r="Q58" s="19">
        <v>1.0</v>
      </c>
      <c r="R58" s="19">
        <v>1.0</v>
      </c>
      <c r="S58" s="19">
        <v>2.0</v>
      </c>
      <c r="T58" s="19">
        <v>1.0</v>
      </c>
      <c r="U58" s="19">
        <v>4.0</v>
      </c>
      <c r="V58" s="19">
        <v>4.0</v>
      </c>
      <c r="W58" s="19">
        <v>6.0</v>
      </c>
      <c r="X58" s="19">
        <v>15.0</v>
      </c>
      <c r="Y58" s="19">
        <v>4.0</v>
      </c>
      <c r="Z58" s="19">
        <v>6.0</v>
      </c>
      <c r="AA58" s="19">
        <v>2.0</v>
      </c>
      <c r="AB58" s="19">
        <v>2.0</v>
      </c>
      <c r="AC58" s="19">
        <v>8.0</v>
      </c>
      <c r="AD58" s="19">
        <v>7.0</v>
      </c>
      <c r="AE58" s="19">
        <v>10.0</v>
      </c>
      <c r="AF58" s="19">
        <v>6.0</v>
      </c>
      <c r="AG58" s="19">
        <v>6.0</v>
      </c>
      <c r="AH58" s="19">
        <v>12.0</v>
      </c>
      <c r="AI58" s="19">
        <v>4.0</v>
      </c>
      <c r="AJ58" s="19">
        <v>3.0</v>
      </c>
      <c r="AK58" s="19">
        <v>13.0</v>
      </c>
      <c r="AL58" s="19">
        <v>8.0</v>
      </c>
      <c r="AM58" s="19">
        <v>1.0</v>
      </c>
      <c r="AN58" s="19">
        <v>5.0</v>
      </c>
      <c r="AO58" s="19">
        <v>2.0</v>
      </c>
      <c r="AP58" s="19">
        <v>6.0</v>
      </c>
      <c r="AQ58" s="19">
        <v>2.0</v>
      </c>
      <c r="AR58" s="19">
        <v>5.0</v>
      </c>
      <c r="AS58" s="19">
        <v>2.0</v>
      </c>
      <c r="AT58" s="19">
        <v>7.0</v>
      </c>
      <c r="AU58" s="19">
        <v>3.0</v>
      </c>
      <c r="AV58" s="19">
        <v>6.0</v>
      </c>
      <c r="AW58" s="19">
        <v>5.0</v>
      </c>
      <c r="AX58" s="19">
        <v>3.0</v>
      </c>
      <c r="AY58" s="19">
        <v>8.0</v>
      </c>
      <c r="AZ58" s="19">
        <v>5.0</v>
      </c>
      <c r="BA58" s="19">
        <v>10.0</v>
      </c>
      <c r="BB58" s="19">
        <v>5.0</v>
      </c>
      <c r="BC58" s="19">
        <v>10.0</v>
      </c>
      <c r="BD58" s="19">
        <v>11.0</v>
      </c>
      <c r="BE58" s="19">
        <v>5.0</v>
      </c>
      <c r="BF58" s="19">
        <v>2.0</v>
      </c>
      <c r="BG58" s="19">
        <v>5.0</v>
      </c>
      <c r="BH58" s="19">
        <v>7.0</v>
      </c>
      <c r="BI58" s="19">
        <v>3.0</v>
      </c>
      <c r="BJ58" s="19">
        <v>9.0</v>
      </c>
      <c r="BK58" s="13">
        <f t="shared" si="16"/>
        <v>279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2.0</v>
      </c>
      <c r="G59" s="19">
        <v>1.0</v>
      </c>
      <c r="H59" s="19">
        <v>1.0</v>
      </c>
      <c r="I59" s="19">
        <v>6.0</v>
      </c>
      <c r="J59" s="19">
        <v>4.0</v>
      </c>
      <c r="K59" s="19">
        <v>0.0</v>
      </c>
      <c r="L59" s="19">
        <v>2.0</v>
      </c>
      <c r="M59" s="19">
        <v>0.0</v>
      </c>
      <c r="N59" s="19">
        <v>0.0</v>
      </c>
      <c r="O59" s="19">
        <v>5.0</v>
      </c>
      <c r="P59" s="19">
        <v>1.0</v>
      </c>
      <c r="Q59" s="19">
        <v>3.0</v>
      </c>
      <c r="R59" s="19">
        <v>1.0</v>
      </c>
      <c r="S59" s="19">
        <v>2.0</v>
      </c>
      <c r="T59" s="19">
        <v>0.0</v>
      </c>
      <c r="U59" s="19">
        <v>4.0</v>
      </c>
      <c r="V59" s="19">
        <v>9.0</v>
      </c>
      <c r="W59" s="19">
        <v>3.0</v>
      </c>
      <c r="X59" s="19">
        <v>11.0</v>
      </c>
      <c r="Y59" s="19">
        <v>11.0</v>
      </c>
      <c r="Z59" s="19">
        <v>4.0</v>
      </c>
      <c r="AA59" s="19">
        <v>5.0</v>
      </c>
      <c r="AB59" s="19">
        <v>0.0</v>
      </c>
      <c r="AC59" s="19">
        <v>3.0</v>
      </c>
      <c r="AD59" s="19">
        <v>3.0</v>
      </c>
      <c r="AE59" s="19">
        <v>1.0</v>
      </c>
      <c r="AF59" s="19">
        <v>1.0</v>
      </c>
      <c r="AG59" s="19">
        <v>2.0</v>
      </c>
      <c r="AH59" s="19">
        <v>2.0</v>
      </c>
      <c r="AI59" s="19">
        <v>1.0</v>
      </c>
      <c r="AJ59" s="19">
        <v>5.0</v>
      </c>
      <c r="AK59" s="19">
        <v>0.0</v>
      </c>
      <c r="AL59" s="19">
        <v>3.0</v>
      </c>
      <c r="AM59" s="19">
        <v>3.0</v>
      </c>
      <c r="AN59" s="19">
        <v>1.0</v>
      </c>
      <c r="AO59" s="19">
        <v>4.0</v>
      </c>
      <c r="AP59" s="19">
        <v>3.0</v>
      </c>
      <c r="AQ59" s="19">
        <v>7.0</v>
      </c>
      <c r="AR59" s="19">
        <v>5.0</v>
      </c>
      <c r="AS59" s="19">
        <v>5.0</v>
      </c>
      <c r="AT59" s="19">
        <v>4.0</v>
      </c>
      <c r="AU59" s="19">
        <v>1.0</v>
      </c>
      <c r="AV59" s="19">
        <v>2.0</v>
      </c>
      <c r="AW59" s="19">
        <v>9.0</v>
      </c>
      <c r="AX59" s="19">
        <v>4.0</v>
      </c>
      <c r="AY59" s="19">
        <v>1.0</v>
      </c>
      <c r="AZ59" s="19">
        <v>1.0</v>
      </c>
      <c r="BA59" s="19">
        <v>0.0</v>
      </c>
      <c r="BB59" s="19">
        <v>1.0</v>
      </c>
      <c r="BC59" s="19">
        <v>8.0</v>
      </c>
      <c r="BD59" s="19">
        <v>0.0</v>
      </c>
      <c r="BE59" s="19">
        <v>2.0</v>
      </c>
      <c r="BF59" s="19">
        <v>0.0</v>
      </c>
      <c r="BG59" s="19">
        <v>2.0</v>
      </c>
      <c r="BH59" s="19">
        <v>5.0</v>
      </c>
      <c r="BI59" s="19">
        <v>2.0</v>
      </c>
      <c r="BJ59" s="19">
        <v>1.0</v>
      </c>
      <c r="BK59" s="13">
        <f t="shared" si="16"/>
        <v>169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2.0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5.0</v>
      </c>
      <c r="P60" s="19">
        <v>0.0</v>
      </c>
      <c r="Q60" s="19">
        <v>1.0</v>
      </c>
      <c r="R60" s="19">
        <v>2.0</v>
      </c>
      <c r="S60" s="19">
        <v>1.0</v>
      </c>
      <c r="T60" s="19">
        <v>1.0</v>
      </c>
      <c r="U60" s="19">
        <v>0.0</v>
      </c>
      <c r="V60" s="19">
        <v>2.0</v>
      </c>
      <c r="W60" s="19">
        <v>2.0</v>
      </c>
      <c r="X60" s="19">
        <v>4.0</v>
      </c>
      <c r="Y60" s="19">
        <v>1.0</v>
      </c>
      <c r="Z60" s="19">
        <v>0.0</v>
      </c>
      <c r="AA60" s="19">
        <v>0.0</v>
      </c>
      <c r="AB60" s="19">
        <v>0.0</v>
      </c>
      <c r="AC60" s="19">
        <v>1.0</v>
      </c>
      <c r="AD60" s="19">
        <v>1.0</v>
      </c>
      <c r="AE60" s="19">
        <v>0.0</v>
      </c>
      <c r="AF60" s="19">
        <v>0.0</v>
      </c>
      <c r="AG60" s="19">
        <v>0.0</v>
      </c>
      <c r="AH60" s="19">
        <v>2.0</v>
      </c>
      <c r="AI60" s="19">
        <v>2.0</v>
      </c>
      <c r="AJ60" s="19">
        <v>0.0</v>
      </c>
      <c r="AK60" s="19">
        <v>0.0</v>
      </c>
      <c r="AL60" s="19">
        <v>0.0</v>
      </c>
      <c r="AM60" s="19">
        <v>1.0</v>
      </c>
      <c r="AN60" s="19">
        <v>1.0</v>
      </c>
      <c r="AO60" s="19">
        <v>0.0</v>
      </c>
      <c r="AP60" s="19">
        <v>0.0</v>
      </c>
      <c r="AQ60" s="19">
        <v>2.0</v>
      </c>
      <c r="AR60" s="19">
        <v>2.0</v>
      </c>
      <c r="AS60" s="19">
        <v>1.0</v>
      </c>
      <c r="AT60" s="19">
        <v>0.0</v>
      </c>
      <c r="AU60" s="19">
        <v>2.0</v>
      </c>
      <c r="AV60" s="19">
        <v>0.0</v>
      </c>
      <c r="AW60" s="19">
        <v>0.0</v>
      </c>
      <c r="AX60" s="19">
        <v>0.0</v>
      </c>
      <c r="AY60" s="19">
        <v>0.0</v>
      </c>
      <c r="AZ60" s="19">
        <v>1.0</v>
      </c>
      <c r="BA60" s="19">
        <v>0.0</v>
      </c>
      <c r="BB60" s="19">
        <v>1.0</v>
      </c>
      <c r="BC60" s="19">
        <v>0.0</v>
      </c>
      <c r="BD60" s="19">
        <v>1.0</v>
      </c>
      <c r="BE60" s="19">
        <v>1.0</v>
      </c>
      <c r="BF60" s="19">
        <v>0.0</v>
      </c>
      <c r="BG60" s="19">
        <v>1.0</v>
      </c>
      <c r="BH60" s="19">
        <v>0.0</v>
      </c>
      <c r="BI60" s="19">
        <v>1.0</v>
      </c>
      <c r="BJ60" s="19">
        <v>1.0</v>
      </c>
      <c r="BK60" s="13">
        <f t="shared" si="16"/>
        <v>43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0.0</v>
      </c>
      <c r="H61" s="19">
        <v>0.0</v>
      </c>
      <c r="I61" s="19">
        <v>5.0</v>
      </c>
      <c r="J61" s="19">
        <v>1.0</v>
      </c>
      <c r="K61" s="19">
        <v>2.0</v>
      </c>
      <c r="L61" s="19">
        <v>0.0</v>
      </c>
      <c r="M61" s="19">
        <v>0.0</v>
      </c>
      <c r="N61" s="19"/>
      <c r="O61" s="19">
        <v>3.0</v>
      </c>
      <c r="P61" s="19">
        <v>4.0</v>
      </c>
      <c r="Q61" s="19">
        <v>1.0</v>
      </c>
      <c r="R61" s="19">
        <v>0.0</v>
      </c>
      <c r="S61" s="19">
        <v>1.0</v>
      </c>
      <c r="T61" s="19">
        <v>0.0</v>
      </c>
      <c r="U61" s="19">
        <v>2.0</v>
      </c>
      <c r="V61" s="19">
        <v>4.0</v>
      </c>
      <c r="W61" s="19">
        <v>8.0</v>
      </c>
      <c r="X61" s="19">
        <v>12.0</v>
      </c>
      <c r="Y61" s="19">
        <v>2.0</v>
      </c>
      <c r="Z61" s="19">
        <v>0.0</v>
      </c>
      <c r="AA61" s="19">
        <v>1.0</v>
      </c>
      <c r="AB61" s="19">
        <v>0.0</v>
      </c>
      <c r="AC61" s="19">
        <v>3.0</v>
      </c>
      <c r="AD61" s="19">
        <v>3.0</v>
      </c>
      <c r="AE61" s="19">
        <v>2.0</v>
      </c>
      <c r="AF61" s="19">
        <v>4.0</v>
      </c>
      <c r="AG61" s="19">
        <v>2.0</v>
      </c>
      <c r="AH61" s="19">
        <v>5.0</v>
      </c>
      <c r="AI61" s="19">
        <v>1.0</v>
      </c>
      <c r="AJ61" s="19">
        <v>0.0</v>
      </c>
      <c r="AK61" s="19">
        <v>5.0</v>
      </c>
      <c r="AL61" s="19">
        <v>3.0</v>
      </c>
      <c r="AM61" s="19">
        <v>1.0</v>
      </c>
      <c r="AN61" s="19">
        <v>1.0</v>
      </c>
      <c r="AO61" s="19">
        <v>1.0</v>
      </c>
      <c r="AP61" s="19">
        <v>3.0</v>
      </c>
      <c r="AQ61" s="19">
        <v>4.0</v>
      </c>
      <c r="AR61" s="19">
        <v>8.0</v>
      </c>
      <c r="AS61" s="19">
        <v>0.0</v>
      </c>
      <c r="AT61" s="19">
        <v>11.0</v>
      </c>
      <c r="AU61" s="19">
        <v>1.0</v>
      </c>
      <c r="AV61" s="19">
        <v>19.0</v>
      </c>
      <c r="AW61" s="19">
        <v>8.0</v>
      </c>
      <c r="AX61" s="19">
        <v>5.0</v>
      </c>
      <c r="AY61" s="19">
        <v>8.0</v>
      </c>
      <c r="AZ61" s="19">
        <v>0.0</v>
      </c>
      <c r="BA61" s="19">
        <v>0.0</v>
      </c>
      <c r="BB61" s="19">
        <v>5.0</v>
      </c>
      <c r="BC61" s="19">
        <v>2.0</v>
      </c>
      <c r="BD61" s="19">
        <v>1.0</v>
      </c>
      <c r="BE61" s="19">
        <v>0.0</v>
      </c>
      <c r="BF61" s="19">
        <v>1.0</v>
      </c>
      <c r="BG61" s="19">
        <v>2.0</v>
      </c>
      <c r="BH61" s="19">
        <v>1.0</v>
      </c>
      <c r="BI61" s="19">
        <v>3.0</v>
      </c>
      <c r="BJ61" s="19">
        <v>4.0</v>
      </c>
      <c r="BK61" s="13">
        <f t="shared" si="16"/>
        <v>163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2.0</v>
      </c>
      <c r="I62" s="19">
        <v>1.0</v>
      </c>
      <c r="J62" s="19">
        <v>1.0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3.0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1.0</v>
      </c>
      <c r="AK62" s="19">
        <v>1.0</v>
      </c>
      <c r="AL62" s="19">
        <v>0.0</v>
      </c>
      <c r="AM62" s="19">
        <v>1.0</v>
      </c>
      <c r="AN62" s="19">
        <v>0.0</v>
      </c>
      <c r="AO62" s="19">
        <v>1.0</v>
      </c>
      <c r="AP62" s="19">
        <v>1.0</v>
      </c>
      <c r="AQ62" s="19">
        <v>1.0</v>
      </c>
      <c r="AR62" s="19">
        <v>0.0</v>
      </c>
      <c r="AS62" s="19">
        <v>0.0</v>
      </c>
      <c r="AT62" s="19">
        <v>4.0</v>
      </c>
      <c r="AU62" s="19">
        <v>0.0</v>
      </c>
      <c r="AV62" s="19">
        <v>0.0</v>
      </c>
      <c r="AW62" s="19">
        <v>1.0</v>
      </c>
      <c r="AX62" s="19">
        <v>0.0</v>
      </c>
      <c r="AY62" s="19">
        <v>0.0</v>
      </c>
      <c r="AZ62" s="19">
        <v>1.0</v>
      </c>
      <c r="BA62" s="19">
        <v>1.0</v>
      </c>
      <c r="BB62" s="19">
        <v>0.0</v>
      </c>
      <c r="BC62" s="19">
        <v>0.0</v>
      </c>
      <c r="BD62" s="19">
        <v>1.0</v>
      </c>
      <c r="BE62" s="19">
        <v>1.0</v>
      </c>
      <c r="BF62" s="19">
        <v>0.0</v>
      </c>
      <c r="BG62" s="19">
        <v>1.0</v>
      </c>
      <c r="BH62" s="19">
        <v>2.0</v>
      </c>
      <c r="BI62" s="19">
        <v>0.0</v>
      </c>
      <c r="BJ62" s="19">
        <v>1.0</v>
      </c>
      <c r="BK62" s="13">
        <f t="shared" si="16"/>
        <v>28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1.0</v>
      </c>
      <c r="R63" s="19">
        <v>1.0</v>
      </c>
      <c r="S63" s="19">
        <v>1.0</v>
      </c>
      <c r="T63" s="19">
        <v>0.0</v>
      </c>
      <c r="U63" s="19">
        <v>5.0</v>
      </c>
      <c r="V63" s="19">
        <v>0.0</v>
      </c>
      <c r="W63" s="19">
        <v>0.0</v>
      </c>
      <c r="X63" s="19">
        <v>2.0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0.0</v>
      </c>
      <c r="AF63" s="19">
        <v>1.0</v>
      </c>
      <c r="AG63" s="19">
        <v>1.0</v>
      </c>
      <c r="AH63" s="19">
        <v>1.0</v>
      </c>
      <c r="AI63" s="19">
        <v>0.0</v>
      </c>
      <c r="AJ63" s="19">
        <v>0.0</v>
      </c>
      <c r="AK63" s="19">
        <v>0.0</v>
      </c>
      <c r="AL63" s="19">
        <v>2.0</v>
      </c>
      <c r="AM63" s="19">
        <v>0.0</v>
      </c>
      <c r="AN63" s="19">
        <v>0.0</v>
      </c>
      <c r="AO63" s="19">
        <v>2.0</v>
      </c>
      <c r="AP63" s="19">
        <v>1.0</v>
      </c>
      <c r="AQ63" s="19">
        <v>2.0</v>
      </c>
      <c r="AR63" s="19">
        <v>5.0</v>
      </c>
      <c r="AS63" s="19">
        <v>1.0</v>
      </c>
      <c r="AT63" s="19">
        <v>0.0</v>
      </c>
      <c r="AU63" s="19">
        <v>0.0</v>
      </c>
      <c r="AV63" s="19">
        <v>1.0</v>
      </c>
      <c r="AW63" s="19">
        <v>1.0</v>
      </c>
      <c r="AX63" s="19">
        <v>0.0</v>
      </c>
      <c r="AY63" s="19">
        <v>0.0</v>
      </c>
      <c r="AZ63" s="19">
        <v>1.0</v>
      </c>
      <c r="BA63" s="19">
        <v>0.0</v>
      </c>
      <c r="BB63" s="19">
        <v>0.0</v>
      </c>
      <c r="BC63" s="19">
        <v>1.0</v>
      </c>
      <c r="BD63" s="19">
        <v>1.0</v>
      </c>
      <c r="BE63" s="19">
        <v>0.0</v>
      </c>
      <c r="BF63" s="19">
        <v>0.0</v>
      </c>
      <c r="BG63" s="19">
        <v>1.0</v>
      </c>
      <c r="BH63" s="19">
        <v>1.0</v>
      </c>
      <c r="BI63" s="19">
        <v>0.0</v>
      </c>
      <c r="BJ63" s="19">
        <v>1.0</v>
      </c>
      <c r="BK63" s="13">
        <f t="shared" si="16"/>
        <v>35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2.0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1.0</v>
      </c>
      <c r="V64" s="19">
        <v>1.0</v>
      </c>
      <c r="W64" s="19">
        <v>0.0</v>
      </c>
      <c r="X64" s="19">
        <v>0.0</v>
      </c>
      <c r="Y64" s="19">
        <v>2.0</v>
      </c>
      <c r="Z64" s="19">
        <v>1.0</v>
      </c>
      <c r="AA64" s="19">
        <v>0.0</v>
      </c>
      <c r="AB64" s="19">
        <v>0.0</v>
      </c>
      <c r="AC64" s="19">
        <v>0.0</v>
      </c>
      <c r="AD64" s="19">
        <v>1.0</v>
      </c>
      <c r="AE64" s="19">
        <v>0.0</v>
      </c>
      <c r="AF64" s="19">
        <v>0.0</v>
      </c>
      <c r="AG64" s="19">
        <v>4.0</v>
      </c>
      <c r="AH64" s="19">
        <v>0.0</v>
      </c>
      <c r="AI64" s="19">
        <v>0.0</v>
      </c>
      <c r="AJ64" s="19">
        <v>1.0</v>
      </c>
      <c r="AK64" s="19">
        <v>0.0</v>
      </c>
      <c r="AL64" s="19">
        <v>0.0</v>
      </c>
      <c r="AM64" s="19">
        <v>0.0</v>
      </c>
      <c r="AN64" s="19">
        <v>0.0</v>
      </c>
      <c r="AO64" s="19">
        <v>56.0</v>
      </c>
      <c r="AP64" s="19">
        <v>6.0</v>
      </c>
      <c r="AQ64" s="19">
        <v>1.0</v>
      </c>
      <c r="AR64" s="19">
        <v>0.0</v>
      </c>
      <c r="AS64" s="19">
        <v>5.0</v>
      </c>
      <c r="AT64" s="19">
        <v>2.0</v>
      </c>
      <c r="AU64" s="19">
        <v>2.0</v>
      </c>
      <c r="AV64" s="19">
        <v>5.0</v>
      </c>
      <c r="AW64" s="19">
        <v>1.0</v>
      </c>
      <c r="AX64" s="19">
        <v>0.0</v>
      </c>
      <c r="AY64" s="19">
        <v>1.0</v>
      </c>
      <c r="AZ64" s="19">
        <v>0.0</v>
      </c>
      <c r="BA64" s="19">
        <v>0.0</v>
      </c>
      <c r="BB64" s="19">
        <v>0.0</v>
      </c>
      <c r="BC64" s="19">
        <v>0.0</v>
      </c>
      <c r="BD64" s="19">
        <v>0.0</v>
      </c>
      <c r="BE64" s="19">
        <v>3.0</v>
      </c>
      <c r="BF64" s="19">
        <v>0.0</v>
      </c>
      <c r="BG64" s="19">
        <v>1.0</v>
      </c>
      <c r="BH64" s="19">
        <v>2.0</v>
      </c>
      <c r="BI64" s="19">
        <v>2.0</v>
      </c>
      <c r="BJ64" s="19">
        <v>18.0</v>
      </c>
      <c r="BK64" s="13">
        <f t="shared" si="16"/>
        <v>119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BJ67" si="17">SUM(E57:E64)</f>
        <v>6</v>
      </c>
      <c r="F67" s="13">
        <f t="shared" si="17"/>
        <v>4</v>
      </c>
      <c r="G67" s="13">
        <f t="shared" si="17"/>
        <v>8</v>
      </c>
      <c r="H67" s="13">
        <f t="shared" si="17"/>
        <v>3</v>
      </c>
      <c r="I67" s="13">
        <f t="shared" si="17"/>
        <v>26</v>
      </c>
      <c r="J67" s="13">
        <f t="shared" si="17"/>
        <v>17</v>
      </c>
      <c r="K67" s="13">
        <f t="shared" si="17"/>
        <v>22</v>
      </c>
      <c r="L67" s="13">
        <f t="shared" si="17"/>
        <v>14</v>
      </c>
      <c r="M67" s="13">
        <f t="shared" si="17"/>
        <v>11</v>
      </c>
      <c r="N67" s="13">
        <f t="shared" si="17"/>
        <v>0</v>
      </c>
      <c r="O67" s="13">
        <f t="shared" si="17"/>
        <v>21</v>
      </c>
      <c r="P67" s="13">
        <f t="shared" si="17"/>
        <v>17</v>
      </c>
      <c r="Q67" s="13">
        <f t="shared" si="17"/>
        <v>18</v>
      </c>
      <c r="R67" s="13">
        <f t="shared" si="17"/>
        <v>6</v>
      </c>
      <c r="S67" s="13">
        <f t="shared" si="17"/>
        <v>14</v>
      </c>
      <c r="T67" s="13">
        <f t="shared" si="17"/>
        <v>7</v>
      </c>
      <c r="U67" s="13">
        <f t="shared" si="17"/>
        <v>21</v>
      </c>
      <c r="V67" s="13">
        <f t="shared" si="17"/>
        <v>32</v>
      </c>
      <c r="W67" s="13">
        <f t="shared" si="17"/>
        <v>34</v>
      </c>
      <c r="X67" s="13">
        <f t="shared" si="17"/>
        <v>56</v>
      </c>
      <c r="Y67" s="13">
        <f t="shared" si="17"/>
        <v>31</v>
      </c>
      <c r="Z67" s="13">
        <f t="shared" si="17"/>
        <v>17</v>
      </c>
      <c r="AA67" s="13">
        <f t="shared" si="17"/>
        <v>13</v>
      </c>
      <c r="AB67" s="13">
        <f t="shared" si="17"/>
        <v>6</v>
      </c>
      <c r="AC67" s="13">
        <f t="shared" si="17"/>
        <v>21</v>
      </c>
      <c r="AD67" s="13">
        <f t="shared" si="17"/>
        <v>24</v>
      </c>
      <c r="AE67" s="13">
        <f t="shared" si="17"/>
        <v>18</v>
      </c>
      <c r="AF67" s="13">
        <f t="shared" si="17"/>
        <v>13</v>
      </c>
      <c r="AG67" s="13">
        <f t="shared" si="17"/>
        <v>22</v>
      </c>
      <c r="AH67" s="13">
        <f t="shared" si="17"/>
        <v>40</v>
      </c>
      <c r="AI67" s="13">
        <f t="shared" si="17"/>
        <v>20</v>
      </c>
      <c r="AJ67" s="13">
        <f t="shared" si="17"/>
        <v>20</v>
      </c>
      <c r="AK67" s="13">
        <f t="shared" si="17"/>
        <v>24</v>
      </c>
      <c r="AL67" s="13">
        <f t="shared" si="17"/>
        <v>26</v>
      </c>
      <c r="AM67" s="13">
        <f t="shared" si="17"/>
        <v>11</v>
      </c>
      <c r="AN67" s="13">
        <f t="shared" si="17"/>
        <v>13</v>
      </c>
      <c r="AO67" s="13">
        <f t="shared" si="17"/>
        <v>75</v>
      </c>
      <c r="AP67" s="13">
        <f t="shared" si="17"/>
        <v>35</v>
      </c>
      <c r="AQ67" s="13">
        <f t="shared" si="17"/>
        <v>27</v>
      </c>
      <c r="AR67" s="13">
        <f t="shared" si="17"/>
        <v>30</v>
      </c>
      <c r="AS67" s="13">
        <f t="shared" si="17"/>
        <v>18</v>
      </c>
      <c r="AT67" s="13">
        <f t="shared" si="17"/>
        <v>35</v>
      </c>
      <c r="AU67" s="13">
        <f t="shared" si="17"/>
        <v>12</v>
      </c>
      <c r="AV67" s="13">
        <f t="shared" si="17"/>
        <v>42</v>
      </c>
      <c r="AW67" s="13">
        <f t="shared" si="17"/>
        <v>41</v>
      </c>
      <c r="AX67" s="13">
        <f t="shared" si="17"/>
        <v>16</v>
      </c>
      <c r="AY67" s="13">
        <f t="shared" si="17"/>
        <v>24</v>
      </c>
      <c r="AZ67" s="13">
        <f t="shared" si="17"/>
        <v>10</v>
      </c>
      <c r="BA67" s="13">
        <f t="shared" si="17"/>
        <v>17</v>
      </c>
      <c r="BB67" s="13">
        <f t="shared" si="17"/>
        <v>17</v>
      </c>
      <c r="BC67" s="13">
        <f t="shared" si="17"/>
        <v>25</v>
      </c>
      <c r="BD67" s="13">
        <f t="shared" si="17"/>
        <v>18</v>
      </c>
      <c r="BE67" s="13">
        <f t="shared" si="17"/>
        <v>26</v>
      </c>
      <c r="BF67" s="13">
        <f t="shared" si="17"/>
        <v>5</v>
      </c>
      <c r="BG67" s="13">
        <f t="shared" si="17"/>
        <v>20</v>
      </c>
      <c r="BH67" s="13">
        <f t="shared" si="17"/>
        <v>31</v>
      </c>
      <c r="BI67" s="13">
        <f t="shared" si="17"/>
        <v>18</v>
      </c>
      <c r="BJ67" s="13">
        <f t="shared" si="17"/>
        <v>44</v>
      </c>
      <c r="BK67" s="13">
        <f t="shared" si="16"/>
        <v>1242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1.0</v>
      </c>
      <c r="F69" s="19">
        <v>1.0</v>
      </c>
      <c r="G69" s="19">
        <v>0.0</v>
      </c>
      <c r="H69" s="19">
        <v>0.0</v>
      </c>
      <c r="I69" s="19">
        <v>2.0</v>
      </c>
      <c r="J69" s="19">
        <v>0.0</v>
      </c>
      <c r="K69" s="19">
        <v>0.0</v>
      </c>
      <c r="L69" s="19">
        <v>2.0</v>
      </c>
      <c r="M69" s="19">
        <v>2.0</v>
      </c>
      <c r="N69" s="19">
        <v>0.0</v>
      </c>
      <c r="O69" s="19">
        <v>4.0</v>
      </c>
      <c r="P69" s="19">
        <v>6.0</v>
      </c>
      <c r="Q69" s="19">
        <v>0.0</v>
      </c>
      <c r="R69" s="19">
        <v>1.0</v>
      </c>
      <c r="S69" s="19">
        <v>0.0</v>
      </c>
      <c r="T69" s="19">
        <v>1.0</v>
      </c>
      <c r="U69" s="19">
        <v>4.0</v>
      </c>
      <c r="V69" s="19">
        <v>3.0</v>
      </c>
      <c r="W69" s="19">
        <v>3.0</v>
      </c>
      <c r="X69" s="19">
        <v>1.0</v>
      </c>
      <c r="Y69" s="19">
        <v>2.0</v>
      </c>
      <c r="Z69" s="19">
        <v>5.0</v>
      </c>
      <c r="AA69" s="19">
        <v>7.0</v>
      </c>
      <c r="AB69" s="19">
        <v>2.0</v>
      </c>
      <c r="AC69" s="19">
        <v>9.0</v>
      </c>
      <c r="AD69" s="19">
        <v>6.0</v>
      </c>
      <c r="AE69" s="19">
        <v>3.0</v>
      </c>
      <c r="AF69" s="19">
        <v>9.0</v>
      </c>
      <c r="AG69" s="19">
        <v>2.0</v>
      </c>
      <c r="AH69" s="19">
        <v>8.0</v>
      </c>
      <c r="AI69" s="19">
        <v>27.0</v>
      </c>
      <c r="AJ69" s="19">
        <v>4.0</v>
      </c>
      <c r="AK69" s="19">
        <v>3.0</v>
      </c>
      <c r="AL69" s="19">
        <v>1.0</v>
      </c>
      <c r="AM69" s="19">
        <v>1.0</v>
      </c>
      <c r="AN69" s="19">
        <v>1.0</v>
      </c>
      <c r="AO69" s="19">
        <v>2.0</v>
      </c>
      <c r="AP69" s="19">
        <v>2.0</v>
      </c>
      <c r="AQ69" s="19">
        <v>2.0</v>
      </c>
      <c r="AR69" s="19">
        <v>2.0</v>
      </c>
      <c r="AS69" s="19">
        <v>0.0</v>
      </c>
      <c r="AT69" s="19">
        <v>0.0</v>
      </c>
      <c r="AU69" s="19">
        <v>4.0</v>
      </c>
      <c r="AV69" s="19">
        <v>10.0</v>
      </c>
      <c r="AW69" s="19">
        <v>4.0</v>
      </c>
      <c r="AX69" s="19">
        <v>4.0</v>
      </c>
      <c r="AY69" s="19">
        <v>4.0</v>
      </c>
      <c r="AZ69" s="19">
        <v>2.0</v>
      </c>
      <c r="BA69" s="19">
        <v>3.0</v>
      </c>
      <c r="BB69" s="19">
        <v>3.0</v>
      </c>
      <c r="BC69" s="19">
        <v>5.0</v>
      </c>
      <c r="BD69" s="19">
        <v>5.0</v>
      </c>
      <c r="BE69" s="19">
        <v>7.0</v>
      </c>
      <c r="BF69" s="19">
        <v>2.0</v>
      </c>
      <c r="BG69" s="19">
        <v>2.0</v>
      </c>
      <c r="BH69" s="19">
        <v>1.0</v>
      </c>
      <c r="BI69" s="19">
        <v>2.0</v>
      </c>
      <c r="BJ69" s="19">
        <v>0.0</v>
      </c>
      <c r="BK69" s="13">
        <f t="shared" ref="BK69:BK79" si="18">SUM(E69:BJ69)</f>
        <v>187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1.0</v>
      </c>
      <c r="F70" s="19">
        <v>3.0</v>
      </c>
      <c r="G70" s="19">
        <v>2.0</v>
      </c>
      <c r="H70" s="19">
        <v>0.0</v>
      </c>
      <c r="I70" s="19">
        <v>3.0</v>
      </c>
      <c r="J70" s="19">
        <v>5.0</v>
      </c>
      <c r="K70" s="19">
        <v>4.0</v>
      </c>
      <c r="L70" s="19">
        <v>2.0</v>
      </c>
      <c r="M70" s="19">
        <v>0.0</v>
      </c>
      <c r="N70" s="19">
        <v>0.0</v>
      </c>
      <c r="O70" s="19">
        <v>0.0</v>
      </c>
      <c r="P70" s="19">
        <v>6.0</v>
      </c>
      <c r="Q70" s="19">
        <v>7.0</v>
      </c>
      <c r="R70" s="19">
        <v>1.0</v>
      </c>
      <c r="S70" s="19">
        <v>4.0</v>
      </c>
      <c r="T70" s="19">
        <v>3.0</v>
      </c>
      <c r="U70" s="19">
        <v>1.0</v>
      </c>
      <c r="V70" s="19">
        <v>1.0</v>
      </c>
      <c r="W70" s="19">
        <v>1.0</v>
      </c>
      <c r="X70" s="19">
        <v>3.0</v>
      </c>
      <c r="Y70" s="19">
        <v>4.0</v>
      </c>
      <c r="Z70" s="19">
        <v>1.0</v>
      </c>
      <c r="AA70" s="19">
        <v>24.0</v>
      </c>
      <c r="AB70" s="19">
        <v>5.0</v>
      </c>
      <c r="AC70" s="19">
        <v>11.0</v>
      </c>
      <c r="AD70" s="19">
        <v>4.0</v>
      </c>
      <c r="AE70" s="19">
        <v>5.0</v>
      </c>
      <c r="AF70" s="19">
        <v>3.0</v>
      </c>
      <c r="AG70" s="19">
        <v>8.0</v>
      </c>
      <c r="AH70" s="19">
        <v>3.0</v>
      </c>
      <c r="AI70" s="19">
        <v>3.0</v>
      </c>
      <c r="AJ70" s="19">
        <v>1.0</v>
      </c>
      <c r="AK70" s="19">
        <v>4.0</v>
      </c>
      <c r="AL70" s="19">
        <v>4.0</v>
      </c>
      <c r="AM70" s="19">
        <v>3.0</v>
      </c>
      <c r="AN70" s="19">
        <v>2.0</v>
      </c>
      <c r="AO70" s="19">
        <v>0.0</v>
      </c>
      <c r="AP70" s="19">
        <v>0.0</v>
      </c>
      <c r="AQ70" s="19">
        <v>0.0</v>
      </c>
      <c r="AR70" s="19">
        <v>1.0</v>
      </c>
      <c r="AS70" s="19">
        <v>1.0</v>
      </c>
      <c r="AT70" s="19">
        <v>3.0</v>
      </c>
      <c r="AU70" s="19">
        <v>6.0</v>
      </c>
      <c r="AV70" s="19">
        <v>1.0</v>
      </c>
      <c r="AW70" s="19">
        <v>4.0</v>
      </c>
      <c r="AX70" s="19">
        <v>5.0</v>
      </c>
      <c r="AY70" s="19">
        <v>11.0</v>
      </c>
      <c r="AZ70" s="19">
        <v>2.0</v>
      </c>
      <c r="BA70" s="19">
        <v>9.0</v>
      </c>
      <c r="BB70" s="19">
        <v>3.0</v>
      </c>
      <c r="BC70" s="19">
        <v>28.0</v>
      </c>
      <c r="BD70" s="19">
        <v>24.0</v>
      </c>
      <c r="BE70" s="19">
        <v>9.0</v>
      </c>
      <c r="BF70" s="19">
        <v>2.0</v>
      </c>
      <c r="BG70" s="19">
        <v>6.0</v>
      </c>
      <c r="BH70" s="19">
        <v>11.0</v>
      </c>
      <c r="BI70" s="19">
        <v>3.0</v>
      </c>
      <c r="BJ70" s="19">
        <v>4.0</v>
      </c>
      <c r="BK70" s="13">
        <f t="shared" si="18"/>
        <v>265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0.0</v>
      </c>
      <c r="H71" s="19">
        <v>0.0</v>
      </c>
      <c r="I71" s="19">
        <v>3.0</v>
      </c>
      <c r="J71" s="19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10.0</v>
      </c>
      <c r="P71" s="19">
        <v>19.0</v>
      </c>
      <c r="Q71" s="19">
        <v>7.0</v>
      </c>
      <c r="R71" s="19">
        <v>0.0</v>
      </c>
      <c r="S71" s="19">
        <v>1.0</v>
      </c>
      <c r="T71" s="19">
        <v>1.0</v>
      </c>
      <c r="U71" s="19">
        <v>1.0</v>
      </c>
      <c r="V71" s="19">
        <v>1.0</v>
      </c>
      <c r="W71" s="19">
        <v>0.0</v>
      </c>
      <c r="X71" s="19">
        <v>0.0</v>
      </c>
      <c r="Y71" s="19">
        <v>1.0</v>
      </c>
      <c r="Z71" s="19">
        <v>1.0</v>
      </c>
      <c r="AA71" s="19">
        <v>43.0</v>
      </c>
      <c r="AB71" s="19">
        <v>15.0</v>
      </c>
      <c r="AC71" s="19">
        <v>0.0</v>
      </c>
      <c r="AD71" s="19">
        <v>0.0</v>
      </c>
      <c r="AE71" s="19">
        <v>2.0</v>
      </c>
      <c r="AF71" s="19">
        <v>1.0</v>
      </c>
      <c r="AG71" s="19">
        <v>2.0</v>
      </c>
      <c r="AH71" s="19">
        <v>2.0</v>
      </c>
      <c r="AI71" s="19">
        <v>28.0</v>
      </c>
      <c r="AJ71" s="19">
        <v>1.0</v>
      </c>
      <c r="AK71" s="19">
        <v>2.0</v>
      </c>
      <c r="AL71" s="19">
        <v>0.0</v>
      </c>
      <c r="AM71" s="19">
        <v>1.0</v>
      </c>
      <c r="AN71" s="19">
        <v>1.0</v>
      </c>
      <c r="AO71" s="19">
        <v>3.0</v>
      </c>
      <c r="AP71" s="19">
        <v>1.0</v>
      </c>
      <c r="AQ71" s="19">
        <v>0.0</v>
      </c>
      <c r="AR71" s="19">
        <v>2.0</v>
      </c>
      <c r="AS71" s="19">
        <v>0.0</v>
      </c>
      <c r="AT71" s="19">
        <v>0.0</v>
      </c>
      <c r="AU71" s="19">
        <v>1.0</v>
      </c>
      <c r="AV71" s="19">
        <v>1.0</v>
      </c>
      <c r="AW71" s="19">
        <v>0.0</v>
      </c>
      <c r="AX71" s="19">
        <v>2.0</v>
      </c>
      <c r="AY71" s="19">
        <v>0.0</v>
      </c>
      <c r="AZ71" s="19">
        <v>1.0</v>
      </c>
      <c r="BA71" s="19">
        <v>1.0</v>
      </c>
      <c r="BB71" s="19">
        <v>3.0</v>
      </c>
      <c r="BC71" s="19">
        <v>3.0</v>
      </c>
      <c r="BD71" s="19">
        <v>1.0</v>
      </c>
      <c r="BE71" s="19">
        <v>8.0</v>
      </c>
      <c r="BF71" s="19">
        <v>0.0</v>
      </c>
      <c r="BG71" s="19">
        <v>1.0</v>
      </c>
      <c r="BH71" s="19">
        <v>1.0</v>
      </c>
      <c r="BI71" s="19">
        <v>2.0</v>
      </c>
      <c r="BJ71" s="19">
        <v>2.0</v>
      </c>
      <c r="BK71" s="13">
        <f t="shared" si="18"/>
        <v>177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1.0</v>
      </c>
      <c r="G72" s="19">
        <v>0.0</v>
      </c>
      <c r="H72" s="19">
        <v>0.0</v>
      </c>
      <c r="I72" s="19">
        <v>0.0</v>
      </c>
      <c r="J72" s="19">
        <v>1.0</v>
      </c>
      <c r="K72" s="19">
        <v>1.0</v>
      </c>
      <c r="L72" s="19">
        <v>2.0</v>
      </c>
      <c r="M72" s="19">
        <v>0.0</v>
      </c>
      <c r="N72" s="19">
        <v>0.0</v>
      </c>
      <c r="O72" s="19">
        <v>15.0</v>
      </c>
      <c r="P72" s="19">
        <v>1.0</v>
      </c>
      <c r="Q72" s="19">
        <v>2.0</v>
      </c>
      <c r="R72" s="19">
        <v>0.0</v>
      </c>
      <c r="S72" s="19">
        <v>1.0</v>
      </c>
      <c r="T72" s="19">
        <v>0.0</v>
      </c>
      <c r="U72" s="19">
        <v>14.0</v>
      </c>
      <c r="V72" s="19">
        <v>14.0</v>
      </c>
      <c r="W72" s="19">
        <v>3.0</v>
      </c>
      <c r="X72" s="19">
        <v>11.0</v>
      </c>
      <c r="Y72" s="19">
        <v>2.0</v>
      </c>
      <c r="Z72" s="19">
        <v>0.0</v>
      </c>
      <c r="AA72" s="19">
        <v>19.0</v>
      </c>
      <c r="AB72" s="19">
        <v>11.0</v>
      </c>
      <c r="AC72" s="19">
        <v>30.0</v>
      </c>
      <c r="AD72" s="19">
        <v>17.0</v>
      </c>
      <c r="AE72" s="19">
        <v>15.0</v>
      </c>
      <c r="AF72" s="19">
        <v>23.0</v>
      </c>
      <c r="AG72" s="19">
        <v>32.0</v>
      </c>
      <c r="AH72" s="19">
        <v>32.0</v>
      </c>
      <c r="AI72" s="19">
        <v>16.0</v>
      </c>
      <c r="AJ72" s="19">
        <v>2.0</v>
      </c>
      <c r="AK72" s="19">
        <v>0.0</v>
      </c>
      <c r="AL72" s="19">
        <v>2.0</v>
      </c>
      <c r="AM72" s="19">
        <v>1.0</v>
      </c>
      <c r="AN72" s="19">
        <v>0.0</v>
      </c>
      <c r="AO72" s="19">
        <v>0.0</v>
      </c>
      <c r="AP72" s="19">
        <v>1.0</v>
      </c>
      <c r="AQ72" s="19">
        <v>1.0</v>
      </c>
      <c r="AR72" s="19">
        <v>35.0</v>
      </c>
      <c r="AS72" s="19">
        <v>1.0</v>
      </c>
      <c r="AT72" s="19">
        <v>1.0</v>
      </c>
      <c r="AU72" s="19">
        <v>2.0</v>
      </c>
      <c r="AV72" s="19">
        <v>0.0</v>
      </c>
      <c r="AW72" s="19">
        <v>0.0</v>
      </c>
      <c r="AX72" s="19">
        <v>2.0</v>
      </c>
      <c r="AY72" s="19">
        <v>0.0</v>
      </c>
      <c r="AZ72" s="19">
        <v>2.0</v>
      </c>
      <c r="BA72" s="19">
        <v>0.0</v>
      </c>
      <c r="BB72" s="19">
        <v>0.0</v>
      </c>
      <c r="BC72" s="19">
        <v>3.0</v>
      </c>
      <c r="BD72" s="19">
        <v>4.0</v>
      </c>
      <c r="BE72" s="19">
        <v>0.0</v>
      </c>
      <c r="BF72" s="19">
        <v>0.0</v>
      </c>
      <c r="BG72" s="19">
        <v>0.0</v>
      </c>
      <c r="BH72" s="19">
        <v>1.0</v>
      </c>
      <c r="BI72" s="19">
        <v>0.0</v>
      </c>
      <c r="BJ72" s="19">
        <v>4.0</v>
      </c>
      <c r="BK72" s="13">
        <f t="shared" si="18"/>
        <v>325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1.0</v>
      </c>
      <c r="N73" s="19">
        <v>0.0</v>
      </c>
      <c r="O73" s="19">
        <v>1.0</v>
      </c>
      <c r="P73" s="19">
        <v>2.0</v>
      </c>
      <c r="Q73" s="19">
        <v>0.0</v>
      </c>
      <c r="R73" s="19">
        <v>0.0</v>
      </c>
      <c r="S73" s="19">
        <v>1.0</v>
      </c>
      <c r="T73" s="19">
        <v>0.0</v>
      </c>
      <c r="U73" s="19">
        <v>0.0</v>
      </c>
      <c r="V73" s="19">
        <v>1.0</v>
      </c>
      <c r="W73" s="19">
        <v>1.0</v>
      </c>
      <c r="X73" s="19">
        <v>0.0</v>
      </c>
      <c r="Y73" s="19">
        <v>0.0</v>
      </c>
      <c r="Z73" s="19">
        <v>0.0</v>
      </c>
      <c r="AA73" s="19">
        <v>1.0</v>
      </c>
      <c r="AB73" s="19">
        <v>1.0</v>
      </c>
      <c r="AC73" s="19">
        <v>4.0</v>
      </c>
      <c r="AD73" s="19">
        <v>2.0</v>
      </c>
      <c r="AE73" s="19">
        <v>0.0</v>
      </c>
      <c r="AF73" s="19">
        <v>0.0</v>
      </c>
      <c r="AG73" s="19">
        <v>1.0</v>
      </c>
      <c r="AH73" s="19">
        <v>1.0</v>
      </c>
      <c r="AI73" s="19">
        <v>0.0</v>
      </c>
      <c r="AJ73" s="19">
        <v>0.0</v>
      </c>
      <c r="AK73" s="19">
        <v>1.0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3.0</v>
      </c>
      <c r="AS73" s="19">
        <v>1.0</v>
      </c>
      <c r="AT73" s="19">
        <v>0.0</v>
      </c>
      <c r="AU73" s="19">
        <v>2.0</v>
      </c>
      <c r="AV73" s="19">
        <v>0.0</v>
      </c>
      <c r="AW73" s="19">
        <v>2.0</v>
      </c>
      <c r="AX73" s="19">
        <v>1.0</v>
      </c>
      <c r="AY73" s="19">
        <v>1.0</v>
      </c>
      <c r="AZ73" s="19">
        <v>0.0</v>
      </c>
      <c r="BA73" s="19">
        <v>0.0</v>
      </c>
      <c r="BB73" s="19">
        <v>0.0</v>
      </c>
      <c r="BC73" s="19">
        <v>1.0</v>
      </c>
      <c r="BD73" s="19">
        <v>1.0</v>
      </c>
      <c r="BE73" s="19">
        <v>2.0</v>
      </c>
      <c r="BF73" s="19">
        <v>0.0</v>
      </c>
      <c r="BG73" s="19">
        <v>1.0</v>
      </c>
      <c r="BH73" s="19">
        <v>0.0</v>
      </c>
      <c r="BI73" s="19">
        <v>0.0</v>
      </c>
      <c r="BJ73" s="19">
        <v>0.0</v>
      </c>
      <c r="BK73" s="13">
        <f t="shared" si="18"/>
        <v>34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1.0</v>
      </c>
      <c r="G74" s="19">
        <v>0.0</v>
      </c>
      <c r="H74" s="19">
        <v>1.0</v>
      </c>
      <c r="I74" s="19">
        <v>2.0</v>
      </c>
      <c r="J74" s="19">
        <v>1.0</v>
      </c>
      <c r="K74" s="19">
        <v>3.0</v>
      </c>
      <c r="L74" s="19">
        <v>0.0</v>
      </c>
      <c r="M74" s="19">
        <v>1.0</v>
      </c>
      <c r="N74" s="19">
        <v>0.0</v>
      </c>
      <c r="O74" s="19">
        <v>0.0</v>
      </c>
      <c r="P74" s="19">
        <v>3.0</v>
      </c>
      <c r="Q74" s="19">
        <v>1.0</v>
      </c>
      <c r="R74" s="19">
        <v>0.0</v>
      </c>
      <c r="S74" s="19">
        <v>1.0</v>
      </c>
      <c r="T74" s="19">
        <v>2.0</v>
      </c>
      <c r="U74" s="19">
        <v>1.0</v>
      </c>
      <c r="V74" s="19">
        <v>0.0</v>
      </c>
      <c r="W74" s="19">
        <v>6.0</v>
      </c>
      <c r="X74" s="19">
        <v>4.0</v>
      </c>
      <c r="Y74" s="19">
        <v>3.0</v>
      </c>
      <c r="Z74" s="19">
        <v>0.0</v>
      </c>
      <c r="AA74" s="19">
        <v>0.0</v>
      </c>
      <c r="AB74" s="19">
        <v>5.0</v>
      </c>
      <c r="AC74" s="19">
        <v>0.0</v>
      </c>
      <c r="AD74" s="19">
        <v>1.0</v>
      </c>
      <c r="AE74" s="19">
        <v>0.0</v>
      </c>
      <c r="AF74" s="19">
        <v>3.0</v>
      </c>
      <c r="AG74" s="19">
        <v>2.0</v>
      </c>
      <c r="AH74" s="19">
        <v>1.0</v>
      </c>
      <c r="AI74" s="19">
        <v>3.0</v>
      </c>
      <c r="AJ74" s="19">
        <v>1.0</v>
      </c>
      <c r="AK74" s="19">
        <v>1.0</v>
      </c>
      <c r="AL74" s="19">
        <v>0.0</v>
      </c>
      <c r="AM74" s="19">
        <v>1.0</v>
      </c>
      <c r="AN74" s="19">
        <v>0.0</v>
      </c>
      <c r="AO74" s="19">
        <v>5.0</v>
      </c>
      <c r="AP74" s="19">
        <v>3.0</v>
      </c>
      <c r="AQ74" s="19">
        <v>2.0</v>
      </c>
      <c r="AR74" s="19">
        <v>0.0</v>
      </c>
      <c r="AS74" s="19">
        <v>0.0</v>
      </c>
      <c r="AT74" s="19">
        <v>9.0</v>
      </c>
      <c r="AU74" s="19">
        <v>3.0</v>
      </c>
      <c r="AV74" s="19">
        <v>3.0</v>
      </c>
      <c r="AW74" s="19">
        <v>3.0</v>
      </c>
      <c r="AX74" s="19">
        <v>13.0</v>
      </c>
      <c r="AY74" s="19">
        <v>1.0</v>
      </c>
      <c r="AZ74" s="19">
        <v>7.0</v>
      </c>
      <c r="BA74" s="19">
        <v>9.0</v>
      </c>
      <c r="BB74" s="19">
        <v>0.0</v>
      </c>
      <c r="BC74" s="19">
        <v>3.0</v>
      </c>
      <c r="BD74" s="19">
        <v>7.0</v>
      </c>
      <c r="BE74" s="19">
        <v>5.0</v>
      </c>
      <c r="BF74" s="19">
        <v>3.0</v>
      </c>
      <c r="BG74" s="19">
        <v>6.0</v>
      </c>
      <c r="BH74" s="19">
        <v>4.0</v>
      </c>
      <c r="BI74" s="19">
        <v>1.0</v>
      </c>
      <c r="BJ74" s="19">
        <v>1.0</v>
      </c>
      <c r="BK74" s="13">
        <f t="shared" si="18"/>
        <v>136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2.0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0.0</v>
      </c>
      <c r="AG75" s="19">
        <v>0.0</v>
      </c>
      <c r="AH75" s="19">
        <v>0.0</v>
      </c>
      <c r="AI75" s="19">
        <v>1.0</v>
      </c>
      <c r="AJ75" s="19">
        <v>0.0</v>
      </c>
      <c r="AK75" s="19">
        <v>0.0</v>
      </c>
      <c r="AL75" s="19">
        <v>0.0</v>
      </c>
      <c r="AM75" s="19">
        <v>0.0</v>
      </c>
      <c r="AN75" s="19">
        <v>0.0</v>
      </c>
      <c r="AO75" s="19">
        <v>0.0</v>
      </c>
      <c r="AP75" s="19">
        <v>0.0</v>
      </c>
      <c r="AQ75" s="19">
        <v>1.0</v>
      </c>
      <c r="AR75" s="19">
        <v>0.0</v>
      </c>
      <c r="AS75" s="19">
        <v>0.0</v>
      </c>
      <c r="AT75" s="19">
        <v>0.0</v>
      </c>
      <c r="AU75" s="19">
        <v>0.0</v>
      </c>
      <c r="AV75" s="19">
        <v>0.0</v>
      </c>
      <c r="AW75" s="19">
        <v>0.0</v>
      </c>
      <c r="AX75" s="19">
        <v>0.0</v>
      </c>
      <c r="AY75" s="19">
        <v>0.0</v>
      </c>
      <c r="AZ75" s="19">
        <v>1.0</v>
      </c>
      <c r="BA75" s="19">
        <v>0.0</v>
      </c>
      <c r="BB75" s="19">
        <v>1.0</v>
      </c>
      <c r="BC75" s="19">
        <v>1.0</v>
      </c>
      <c r="BD75" s="19">
        <v>0.0</v>
      </c>
      <c r="BE75" s="19">
        <v>1.0</v>
      </c>
      <c r="BF75" s="19">
        <v>0.0</v>
      </c>
      <c r="BG75" s="19">
        <v>0.0</v>
      </c>
      <c r="BH75" s="19">
        <v>1.0</v>
      </c>
      <c r="BI75" s="19">
        <v>0.0</v>
      </c>
      <c r="BJ75" s="19">
        <v>0.0</v>
      </c>
      <c r="BK75" s="13">
        <f t="shared" si="18"/>
        <v>9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2.0</v>
      </c>
      <c r="AJ76" s="19">
        <v>0.0</v>
      </c>
      <c r="AK76" s="19">
        <v>0.0</v>
      </c>
      <c r="AL76" s="19">
        <v>0.0</v>
      </c>
      <c r="AM76" s="19">
        <v>1.0</v>
      </c>
      <c r="AN76" s="19">
        <v>0.0</v>
      </c>
      <c r="AO76" s="19">
        <v>0.0</v>
      </c>
      <c r="AP76" s="19">
        <v>1.0</v>
      </c>
      <c r="AQ76" s="19">
        <v>0.0</v>
      </c>
      <c r="AR76" s="19">
        <v>0.0</v>
      </c>
      <c r="AS76" s="19">
        <v>0.0</v>
      </c>
      <c r="AT76" s="19">
        <v>0.0</v>
      </c>
      <c r="AU76" s="19">
        <v>0.0</v>
      </c>
      <c r="AV76" s="19">
        <v>1.0</v>
      </c>
      <c r="AW76" s="19">
        <v>0.0</v>
      </c>
      <c r="AX76" s="19">
        <v>1.0</v>
      </c>
      <c r="AY76" s="19">
        <v>0.0</v>
      </c>
      <c r="AZ76" s="19">
        <v>0.0</v>
      </c>
      <c r="BA76" s="19">
        <v>1.0</v>
      </c>
      <c r="BB76" s="19">
        <v>1.0</v>
      </c>
      <c r="BC76" s="19">
        <v>1.0</v>
      </c>
      <c r="BD76" s="19">
        <v>0.0</v>
      </c>
      <c r="BE76" s="19">
        <v>0.0</v>
      </c>
      <c r="BF76" s="19">
        <v>0.0</v>
      </c>
      <c r="BG76" s="19">
        <v>0.0</v>
      </c>
      <c r="BH76" s="19">
        <v>2.0</v>
      </c>
      <c r="BI76" s="19">
        <v>0.0</v>
      </c>
      <c r="BJ76" s="19">
        <v>0.0</v>
      </c>
      <c r="BK76" s="13">
        <f t="shared" si="18"/>
        <v>11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BJ79" si="19">SUM(E69:E76)</f>
        <v>2</v>
      </c>
      <c r="F79" s="13">
        <f t="shared" si="19"/>
        <v>7</v>
      </c>
      <c r="G79" s="13">
        <f t="shared" si="19"/>
        <v>2</v>
      </c>
      <c r="H79" s="13">
        <f t="shared" si="19"/>
        <v>1</v>
      </c>
      <c r="I79" s="13">
        <f t="shared" si="19"/>
        <v>10</v>
      </c>
      <c r="J79" s="13">
        <f t="shared" si="19"/>
        <v>7</v>
      </c>
      <c r="K79" s="13">
        <f t="shared" si="19"/>
        <v>8</v>
      </c>
      <c r="L79" s="13">
        <f t="shared" si="19"/>
        <v>7</v>
      </c>
      <c r="M79" s="13">
        <f t="shared" si="19"/>
        <v>4</v>
      </c>
      <c r="N79" s="13">
        <f t="shared" si="19"/>
        <v>0</v>
      </c>
      <c r="O79" s="13">
        <f t="shared" si="19"/>
        <v>32</v>
      </c>
      <c r="P79" s="13">
        <f t="shared" si="19"/>
        <v>37</v>
      </c>
      <c r="Q79" s="13">
        <f t="shared" si="19"/>
        <v>17</v>
      </c>
      <c r="R79" s="13">
        <f t="shared" si="19"/>
        <v>2</v>
      </c>
      <c r="S79" s="13">
        <f t="shared" si="19"/>
        <v>8</v>
      </c>
      <c r="T79" s="13">
        <f t="shared" si="19"/>
        <v>7</v>
      </c>
      <c r="U79" s="13">
        <f t="shared" si="19"/>
        <v>21</v>
      </c>
      <c r="V79" s="13">
        <f t="shared" si="19"/>
        <v>20</v>
      </c>
      <c r="W79" s="13">
        <f t="shared" si="19"/>
        <v>14</v>
      </c>
      <c r="X79" s="13">
        <f t="shared" si="19"/>
        <v>19</v>
      </c>
      <c r="Y79" s="13">
        <f t="shared" si="19"/>
        <v>12</v>
      </c>
      <c r="Z79" s="13">
        <f t="shared" si="19"/>
        <v>7</v>
      </c>
      <c r="AA79" s="13">
        <f t="shared" si="19"/>
        <v>94</v>
      </c>
      <c r="AB79" s="13">
        <f t="shared" si="19"/>
        <v>39</v>
      </c>
      <c r="AC79" s="13">
        <f t="shared" si="19"/>
        <v>54</v>
      </c>
      <c r="AD79" s="13">
        <f t="shared" si="19"/>
        <v>30</v>
      </c>
      <c r="AE79" s="13">
        <f t="shared" si="19"/>
        <v>25</v>
      </c>
      <c r="AF79" s="13">
        <f t="shared" si="19"/>
        <v>39</v>
      </c>
      <c r="AG79" s="13">
        <f t="shared" si="19"/>
        <v>47</v>
      </c>
      <c r="AH79" s="13">
        <f t="shared" si="19"/>
        <v>47</v>
      </c>
      <c r="AI79" s="13">
        <f t="shared" si="19"/>
        <v>80</v>
      </c>
      <c r="AJ79" s="13">
        <f t="shared" si="19"/>
        <v>9</v>
      </c>
      <c r="AK79" s="13">
        <f t="shared" si="19"/>
        <v>11</v>
      </c>
      <c r="AL79" s="13">
        <f t="shared" si="19"/>
        <v>7</v>
      </c>
      <c r="AM79" s="13">
        <f t="shared" si="19"/>
        <v>8</v>
      </c>
      <c r="AN79" s="13">
        <f t="shared" si="19"/>
        <v>4</v>
      </c>
      <c r="AO79" s="13">
        <f t="shared" si="19"/>
        <v>10</v>
      </c>
      <c r="AP79" s="13">
        <f t="shared" si="19"/>
        <v>8</v>
      </c>
      <c r="AQ79" s="13">
        <f t="shared" si="19"/>
        <v>6</v>
      </c>
      <c r="AR79" s="13">
        <f t="shared" si="19"/>
        <v>43</v>
      </c>
      <c r="AS79" s="13">
        <f t="shared" si="19"/>
        <v>3</v>
      </c>
      <c r="AT79" s="13">
        <f t="shared" si="19"/>
        <v>13</v>
      </c>
      <c r="AU79" s="13">
        <f t="shared" si="19"/>
        <v>18</v>
      </c>
      <c r="AV79" s="13">
        <f t="shared" si="19"/>
        <v>16</v>
      </c>
      <c r="AW79" s="13">
        <f t="shared" si="19"/>
        <v>13</v>
      </c>
      <c r="AX79" s="13">
        <f t="shared" si="19"/>
        <v>28</v>
      </c>
      <c r="AY79" s="13">
        <f t="shared" si="19"/>
        <v>17</v>
      </c>
      <c r="AZ79" s="13">
        <f t="shared" si="19"/>
        <v>15</v>
      </c>
      <c r="BA79" s="13">
        <f t="shared" si="19"/>
        <v>23</v>
      </c>
      <c r="BB79" s="13">
        <f t="shared" si="19"/>
        <v>11</v>
      </c>
      <c r="BC79" s="13">
        <f t="shared" si="19"/>
        <v>45</v>
      </c>
      <c r="BD79" s="13">
        <f t="shared" si="19"/>
        <v>42</v>
      </c>
      <c r="BE79" s="13">
        <f t="shared" si="19"/>
        <v>32</v>
      </c>
      <c r="BF79" s="13">
        <f t="shared" si="19"/>
        <v>7</v>
      </c>
      <c r="BG79" s="13">
        <f t="shared" si="19"/>
        <v>16</v>
      </c>
      <c r="BH79" s="13">
        <f t="shared" si="19"/>
        <v>21</v>
      </c>
      <c r="BI79" s="13">
        <f t="shared" si="19"/>
        <v>8</v>
      </c>
      <c r="BJ79" s="13">
        <f t="shared" si="19"/>
        <v>11</v>
      </c>
      <c r="BK79" s="13">
        <f t="shared" si="18"/>
        <v>1144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6.0</v>
      </c>
      <c r="G81" s="19">
        <v>4.0</v>
      </c>
      <c r="H81" s="19">
        <v>1.0</v>
      </c>
      <c r="I81" s="19">
        <v>12.0</v>
      </c>
      <c r="J81" s="19">
        <v>2.0</v>
      </c>
      <c r="K81" s="19">
        <v>7.0</v>
      </c>
      <c r="L81" s="19">
        <v>6.0</v>
      </c>
      <c r="M81" s="19">
        <v>4.0</v>
      </c>
      <c r="N81" s="19">
        <v>1.0</v>
      </c>
      <c r="O81" s="19">
        <v>2.0</v>
      </c>
      <c r="P81" s="19">
        <v>7.0</v>
      </c>
      <c r="Q81" s="19">
        <v>3.0</v>
      </c>
      <c r="R81" s="19">
        <v>3.0</v>
      </c>
      <c r="S81" s="19">
        <v>32.0</v>
      </c>
      <c r="T81" s="19">
        <v>20.0</v>
      </c>
      <c r="U81" s="19">
        <v>3.0</v>
      </c>
      <c r="V81" s="19">
        <v>15.0</v>
      </c>
      <c r="W81" s="19">
        <v>3.0</v>
      </c>
      <c r="X81" s="19">
        <v>5.0</v>
      </c>
      <c r="Y81" s="19">
        <v>5.0</v>
      </c>
      <c r="Z81" s="19">
        <v>3.0</v>
      </c>
      <c r="AA81" s="19">
        <v>18.0</v>
      </c>
      <c r="AB81" s="19">
        <v>13.0</v>
      </c>
      <c r="AC81" s="19">
        <v>5.0</v>
      </c>
      <c r="AD81" s="19">
        <v>2.0</v>
      </c>
      <c r="AE81" s="19">
        <v>15.0</v>
      </c>
      <c r="AF81" s="19">
        <v>2.0</v>
      </c>
      <c r="AG81" s="19">
        <v>6.0</v>
      </c>
      <c r="AH81" s="19">
        <v>9.0</v>
      </c>
      <c r="AI81" s="19">
        <v>2.0</v>
      </c>
      <c r="AJ81" s="19">
        <v>6.0</v>
      </c>
      <c r="AK81" s="19">
        <v>5.0</v>
      </c>
      <c r="AL81" s="19">
        <v>7.0</v>
      </c>
      <c r="AM81" s="19">
        <v>9.0</v>
      </c>
      <c r="AN81" s="19">
        <v>9.0</v>
      </c>
      <c r="AO81" s="19">
        <v>2.0</v>
      </c>
      <c r="AP81" s="19">
        <v>6.0</v>
      </c>
      <c r="AQ81" s="19">
        <v>3.0</v>
      </c>
      <c r="AR81" s="19">
        <v>3.0</v>
      </c>
      <c r="AS81" s="19">
        <v>4.0</v>
      </c>
      <c r="AT81" s="19">
        <v>6.0</v>
      </c>
      <c r="AU81" s="19">
        <v>6.0</v>
      </c>
      <c r="AV81" s="19">
        <v>9.0</v>
      </c>
      <c r="AW81" s="19">
        <v>6.0</v>
      </c>
      <c r="AX81" s="19">
        <v>4.0</v>
      </c>
      <c r="AY81" s="19">
        <v>19.0</v>
      </c>
      <c r="AZ81" s="19">
        <v>6.0</v>
      </c>
      <c r="BA81" s="19">
        <v>8.0</v>
      </c>
      <c r="BB81" s="19">
        <v>14.0</v>
      </c>
      <c r="BC81" s="19">
        <v>5.0</v>
      </c>
      <c r="BD81" s="19">
        <v>10.0</v>
      </c>
      <c r="BE81" s="19">
        <v>10.0</v>
      </c>
      <c r="BF81" s="19">
        <v>2.0</v>
      </c>
      <c r="BG81" s="19">
        <v>1.0</v>
      </c>
      <c r="BH81" s="19">
        <v>4.0</v>
      </c>
      <c r="BI81" s="19">
        <v>1.0</v>
      </c>
      <c r="BJ81" s="19">
        <v>4.0</v>
      </c>
      <c r="BK81" s="13">
        <f t="shared" ref="BK81:BK91" si="20">SUM(E81:BJ81)</f>
        <v>391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41.0</v>
      </c>
      <c r="F82" s="19">
        <v>32.0</v>
      </c>
      <c r="G82" s="19">
        <v>26.0</v>
      </c>
      <c r="H82" s="19">
        <v>13.0</v>
      </c>
      <c r="I82" s="19">
        <v>44.0</v>
      </c>
      <c r="J82" s="19">
        <v>44.0</v>
      </c>
      <c r="K82" s="19">
        <v>21.0</v>
      </c>
      <c r="L82" s="19">
        <v>36.0</v>
      </c>
      <c r="M82" s="19">
        <v>13.0</v>
      </c>
      <c r="N82" s="19">
        <v>91.0</v>
      </c>
      <c r="O82" s="19">
        <v>15.0</v>
      </c>
      <c r="P82" s="19">
        <v>2.0</v>
      </c>
      <c r="Q82" s="19">
        <v>1.0</v>
      </c>
      <c r="R82" s="19">
        <v>3.0</v>
      </c>
      <c r="S82" s="19">
        <v>25.0</v>
      </c>
      <c r="T82" s="19">
        <v>20.0</v>
      </c>
      <c r="U82" s="19">
        <v>4.0</v>
      </c>
      <c r="V82" s="19">
        <v>8.0</v>
      </c>
      <c r="W82" s="19">
        <v>7.0</v>
      </c>
      <c r="X82" s="19">
        <v>7.0</v>
      </c>
      <c r="Y82" s="19">
        <v>20.0</v>
      </c>
      <c r="Z82" s="19">
        <v>6.0</v>
      </c>
      <c r="AA82" s="19">
        <v>18.0</v>
      </c>
      <c r="AB82" s="19">
        <v>7.0</v>
      </c>
      <c r="AC82" s="19">
        <v>10.0</v>
      </c>
      <c r="AD82" s="19">
        <v>12.0</v>
      </c>
      <c r="AE82" s="19">
        <v>19.0</v>
      </c>
      <c r="AF82" s="19">
        <v>5.0</v>
      </c>
      <c r="AG82" s="19">
        <v>2.0</v>
      </c>
      <c r="AH82" s="19">
        <v>8.0</v>
      </c>
      <c r="AI82" s="19">
        <v>1.0</v>
      </c>
      <c r="AJ82" s="19">
        <v>1.0</v>
      </c>
      <c r="AK82" s="19">
        <v>5.0</v>
      </c>
      <c r="AL82" s="19">
        <v>16.0</v>
      </c>
      <c r="AM82" s="19">
        <v>7.0</v>
      </c>
      <c r="AN82" s="19">
        <v>4.0</v>
      </c>
      <c r="AO82" s="19">
        <v>1.0</v>
      </c>
      <c r="AP82" s="19">
        <v>10.0</v>
      </c>
      <c r="AQ82" s="19">
        <v>2.0</v>
      </c>
      <c r="AR82" s="19">
        <v>4.0</v>
      </c>
      <c r="AS82" s="19">
        <v>17.0</v>
      </c>
      <c r="AT82" s="19">
        <v>12.0</v>
      </c>
      <c r="AU82" s="19">
        <v>13.0</v>
      </c>
      <c r="AV82" s="19">
        <v>3.0</v>
      </c>
      <c r="AW82" s="19">
        <v>4.0</v>
      </c>
      <c r="AX82" s="19">
        <v>14.0</v>
      </c>
      <c r="AY82" s="19">
        <v>19.0</v>
      </c>
      <c r="AZ82" s="19">
        <v>6.0</v>
      </c>
      <c r="BA82" s="19">
        <v>11.0</v>
      </c>
      <c r="BB82" s="19">
        <v>10.0</v>
      </c>
      <c r="BC82" s="19">
        <v>9.0</v>
      </c>
      <c r="BD82" s="19">
        <v>12.0</v>
      </c>
      <c r="BE82" s="19">
        <v>12.0</v>
      </c>
      <c r="BF82" s="19">
        <v>11.0</v>
      </c>
      <c r="BG82" s="19">
        <v>3.0</v>
      </c>
      <c r="BH82" s="19">
        <v>6.0</v>
      </c>
      <c r="BI82" s="19">
        <v>9.0</v>
      </c>
      <c r="BJ82" s="19">
        <v>4.0</v>
      </c>
      <c r="BK82" s="13">
        <f t="shared" si="20"/>
        <v>786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2.0</v>
      </c>
      <c r="G83" s="19">
        <v>1.0</v>
      </c>
      <c r="H83" s="19">
        <v>0.0</v>
      </c>
      <c r="I83" s="19">
        <v>2.0</v>
      </c>
      <c r="J83" s="19">
        <v>7.0</v>
      </c>
      <c r="K83" s="19">
        <v>3.0</v>
      </c>
      <c r="L83" s="19">
        <v>0.0</v>
      </c>
      <c r="M83" s="19">
        <v>3.0</v>
      </c>
      <c r="N83" s="19">
        <v>0.0</v>
      </c>
      <c r="O83" s="19">
        <v>1.0</v>
      </c>
      <c r="P83" s="19">
        <v>0.0</v>
      </c>
      <c r="Q83" s="19">
        <v>0.0</v>
      </c>
      <c r="R83" s="19">
        <v>1.0</v>
      </c>
      <c r="S83" s="19">
        <v>3.0</v>
      </c>
      <c r="T83" s="19">
        <v>1.0</v>
      </c>
      <c r="U83" s="19">
        <v>4.0</v>
      </c>
      <c r="V83" s="19">
        <v>2.0</v>
      </c>
      <c r="W83" s="19">
        <v>0.0</v>
      </c>
      <c r="X83" s="19">
        <v>2.0</v>
      </c>
      <c r="Y83" s="19">
        <v>1.0</v>
      </c>
      <c r="Z83" s="19">
        <v>5.0</v>
      </c>
      <c r="AA83" s="19">
        <v>5.0</v>
      </c>
      <c r="AB83" s="19">
        <v>0.0</v>
      </c>
      <c r="AC83" s="19">
        <v>1.0</v>
      </c>
      <c r="AD83" s="19">
        <v>3.0</v>
      </c>
      <c r="AE83" s="19">
        <v>4.0</v>
      </c>
      <c r="AF83" s="19">
        <v>3.0</v>
      </c>
      <c r="AG83" s="19">
        <v>1.0</v>
      </c>
      <c r="AH83" s="19">
        <v>1.0</v>
      </c>
      <c r="AI83" s="19">
        <v>2.0</v>
      </c>
      <c r="AJ83" s="19">
        <v>2.0</v>
      </c>
      <c r="AK83" s="19">
        <v>1.0</v>
      </c>
      <c r="AL83" s="19">
        <v>2.0</v>
      </c>
      <c r="AM83" s="19">
        <v>4.0</v>
      </c>
      <c r="AN83" s="19">
        <v>3.0</v>
      </c>
      <c r="AO83" s="19">
        <v>0.0</v>
      </c>
      <c r="AP83" s="19">
        <v>5.0</v>
      </c>
      <c r="AQ83" s="19">
        <v>0.0</v>
      </c>
      <c r="AR83" s="19">
        <v>4.0</v>
      </c>
      <c r="AS83" s="19">
        <v>1.0</v>
      </c>
      <c r="AT83" s="19">
        <v>4.0</v>
      </c>
      <c r="AU83" s="19">
        <v>6.0</v>
      </c>
      <c r="AV83" s="19">
        <v>3.0</v>
      </c>
      <c r="AW83" s="19">
        <v>7.0</v>
      </c>
      <c r="AX83" s="19">
        <v>4.0</v>
      </c>
      <c r="AY83" s="19">
        <v>4.0</v>
      </c>
      <c r="AZ83" s="19">
        <v>2.0</v>
      </c>
      <c r="BA83" s="19">
        <v>12.0</v>
      </c>
      <c r="BB83" s="19">
        <v>6.0</v>
      </c>
      <c r="BC83" s="19">
        <v>10.0</v>
      </c>
      <c r="BD83" s="19">
        <v>7.0</v>
      </c>
      <c r="BE83" s="19">
        <v>2.0</v>
      </c>
      <c r="BF83" s="19">
        <v>5.0</v>
      </c>
      <c r="BG83" s="19">
        <v>3.0</v>
      </c>
      <c r="BH83" s="19">
        <v>6.0</v>
      </c>
      <c r="BI83" s="19">
        <v>9.0</v>
      </c>
      <c r="BJ83" s="19">
        <v>3.0</v>
      </c>
      <c r="BK83" s="13">
        <f t="shared" si="20"/>
        <v>174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0.0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1.0</v>
      </c>
      <c r="R84" s="19">
        <v>0.0</v>
      </c>
      <c r="S84" s="19">
        <v>2.0</v>
      </c>
      <c r="T84" s="19">
        <v>0.0</v>
      </c>
      <c r="U84" s="19">
        <v>1.0</v>
      </c>
      <c r="V84" s="19">
        <v>0.0</v>
      </c>
      <c r="W84" s="19">
        <v>2.0</v>
      </c>
      <c r="X84" s="19">
        <v>2.0</v>
      </c>
      <c r="Y84" s="19">
        <v>1.0</v>
      </c>
      <c r="Z84" s="19">
        <v>1.0</v>
      </c>
      <c r="AA84" s="19">
        <v>1.0</v>
      </c>
      <c r="AB84" s="19">
        <v>0.0</v>
      </c>
      <c r="AC84" s="19">
        <v>0.0</v>
      </c>
      <c r="AD84" s="19">
        <v>1.0</v>
      </c>
      <c r="AE84" s="19">
        <v>3.0</v>
      </c>
      <c r="AF84" s="19">
        <v>0.0</v>
      </c>
      <c r="AG84" s="19">
        <v>0.0</v>
      </c>
      <c r="AH84" s="19">
        <v>1.0</v>
      </c>
      <c r="AI84" s="19">
        <v>1.0</v>
      </c>
      <c r="AJ84" s="19">
        <v>0.0</v>
      </c>
      <c r="AK84" s="19">
        <v>1.0</v>
      </c>
      <c r="AL84" s="19">
        <v>0.0</v>
      </c>
      <c r="AM84" s="19">
        <v>1.0</v>
      </c>
      <c r="AN84" s="19">
        <v>2.0</v>
      </c>
      <c r="AO84" s="19">
        <v>0.0</v>
      </c>
      <c r="AP84" s="19">
        <v>0.0</v>
      </c>
      <c r="AQ84" s="19">
        <v>2.0</v>
      </c>
      <c r="AR84" s="19">
        <v>0.0</v>
      </c>
      <c r="AS84" s="19">
        <v>2.0</v>
      </c>
      <c r="AT84" s="19">
        <v>2.0</v>
      </c>
      <c r="AU84" s="19">
        <v>0.0</v>
      </c>
      <c r="AV84" s="19">
        <v>0.0</v>
      </c>
      <c r="AW84" s="19">
        <v>1.0</v>
      </c>
      <c r="AX84" s="19">
        <v>0.0</v>
      </c>
      <c r="AY84" s="19">
        <v>2.0</v>
      </c>
      <c r="AZ84" s="19">
        <v>0.0</v>
      </c>
      <c r="BA84" s="19">
        <v>3.0</v>
      </c>
      <c r="BB84" s="19">
        <v>2.0</v>
      </c>
      <c r="BC84" s="19">
        <v>0.0</v>
      </c>
      <c r="BD84" s="19">
        <v>1.0</v>
      </c>
      <c r="BE84" s="19">
        <v>1.0</v>
      </c>
      <c r="BF84" s="19">
        <v>1.0</v>
      </c>
      <c r="BG84" s="19">
        <v>3.0</v>
      </c>
      <c r="BH84" s="19">
        <v>0.0</v>
      </c>
      <c r="BI84" s="19">
        <v>0.0</v>
      </c>
      <c r="BJ84" s="19">
        <v>0.0</v>
      </c>
      <c r="BK84" s="13">
        <f t="shared" si="20"/>
        <v>44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2.0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3.0</v>
      </c>
      <c r="P85" s="19">
        <v>2.0</v>
      </c>
      <c r="Q85" s="19">
        <v>0.0</v>
      </c>
      <c r="R85" s="19">
        <v>0.0</v>
      </c>
      <c r="S85" s="19">
        <v>0.0</v>
      </c>
      <c r="T85" s="19">
        <v>0.0</v>
      </c>
      <c r="U85" s="19">
        <v>2.0</v>
      </c>
      <c r="V85" s="19">
        <v>1.0</v>
      </c>
      <c r="W85" s="19">
        <v>0.0</v>
      </c>
      <c r="X85" s="19">
        <v>1.0</v>
      </c>
      <c r="Y85" s="19">
        <v>1.0</v>
      </c>
      <c r="Z85" s="19">
        <v>0.0</v>
      </c>
      <c r="AA85" s="19">
        <v>1.0</v>
      </c>
      <c r="AB85" s="19">
        <v>0.0</v>
      </c>
      <c r="AC85" s="19">
        <v>1.0</v>
      </c>
      <c r="AD85" s="19">
        <v>2.0</v>
      </c>
      <c r="AE85" s="19">
        <v>1.0</v>
      </c>
      <c r="AF85" s="19">
        <v>1.0</v>
      </c>
      <c r="AG85" s="19">
        <v>0.0</v>
      </c>
      <c r="AH85" s="19">
        <v>0.0</v>
      </c>
      <c r="AI85" s="19">
        <v>0.0</v>
      </c>
      <c r="AJ85" s="19">
        <v>0.0</v>
      </c>
      <c r="AK85" s="19">
        <v>0.0</v>
      </c>
      <c r="AL85" s="19">
        <v>0.0</v>
      </c>
      <c r="AM85" s="19">
        <v>1.0</v>
      </c>
      <c r="AN85" s="19">
        <v>0.0</v>
      </c>
      <c r="AO85" s="19">
        <v>0.0</v>
      </c>
      <c r="AP85" s="19">
        <v>1.0</v>
      </c>
      <c r="AQ85" s="19">
        <v>0.0</v>
      </c>
      <c r="AR85" s="19">
        <v>0.0</v>
      </c>
      <c r="AS85" s="19">
        <v>0.0</v>
      </c>
      <c r="AT85" s="19">
        <v>0.0</v>
      </c>
      <c r="AU85" s="19">
        <v>2.0</v>
      </c>
      <c r="AV85" s="19">
        <v>0.0</v>
      </c>
      <c r="AW85" s="19">
        <v>2.0</v>
      </c>
      <c r="AX85" s="19">
        <v>1.0</v>
      </c>
      <c r="AY85" s="19">
        <v>1.0</v>
      </c>
      <c r="AZ85" s="19">
        <v>1.0</v>
      </c>
      <c r="BA85" s="19">
        <v>0.0</v>
      </c>
      <c r="BB85" s="19">
        <v>0.0</v>
      </c>
      <c r="BC85" s="19">
        <v>1.0</v>
      </c>
      <c r="BD85" s="19">
        <v>0.0</v>
      </c>
      <c r="BE85" s="19">
        <v>1.0</v>
      </c>
      <c r="BF85" s="19">
        <v>1.0</v>
      </c>
      <c r="BG85" s="19">
        <v>1.0</v>
      </c>
      <c r="BH85" s="19">
        <v>0.0</v>
      </c>
      <c r="BI85" s="19">
        <v>0.0</v>
      </c>
      <c r="BJ85" s="19">
        <v>0.0</v>
      </c>
      <c r="BK85" s="13">
        <f t="shared" si="20"/>
        <v>33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2.0</v>
      </c>
      <c r="I86" s="19">
        <v>1.0</v>
      </c>
      <c r="J86" s="19">
        <v>2.0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2.0</v>
      </c>
      <c r="Q86" s="19">
        <v>0.0</v>
      </c>
      <c r="R86" s="19">
        <v>0.0</v>
      </c>
      <c r="S86" s="19">
        <v>1.0</v>
      </c>
      <c r="T86" s="19">
        <v>4.0</v>
      </c>
      <c r="U86" s="19">
        <v>0.0</v>
      </c>
      <c r="V86" s="19">
        <v>3.0</v>
      </c>
      <c r="W86" s="19">
        <v>0.0</v>
      </c>
      <c r="X86" s="19">
        <v>7.0</v>
      </c>
      <c r="Y86" s="19">
        <v>3.0</v>
      </c>
      <c r="Z86" s="19">
        <v>0.0</v>
      </c>
      <c r="AA86" s="19">
        <v>1.0</v>
      </c>
      <c r="AB86" s="19">
        <v>1.0</v>
      </c>
      <c r="AC86" s="19">
        <v>0.0</v>
      </c>
      <c r="AD86" s="19">
        <v>0.0</v>
      </c>
      <c r="AE86" s="19">
        <v>1.0</v>
      </c>
      <c r="AF86" s="19">
        <v>0.0</v>
      </c>
      <c r="AG86" s="19">
        <v>1.0</v>
      </c>
      <c r="AH86" s="19">
        <v>3.0</v>
      </c>
      <c r="AI86" s="19">
        <v>0.0</v>
      </c>
      <c r="AJ86" s="19">
        <v>0.0</v>
      </c>
      <c r="AK86" s="19">
        <v>0.0</v>
      </c>
      <c r="AL86" s="19">
        <v>1.0</v>
      </c>
      <c r="AM86" s="19">
        <v>3.0</v>
      </c>
      <c r="AN86" s="19">
        <v>2.0</v>
      </c>
      <c r="AO86" s="19">
        <v>2.0</v>
      </c>
      <c r="AP86" s="19">
        <v>0.0</v>
      </c>
      <c r="AQ86" s="19">
        <v>1.0</v>
      </c>
      <c r="AR86" s="19">
        <v>1.0</v>
      </c>
      <c r="AS86" s="19">
        <v>0.0</v>
      </c>
      <c r="AT86" s="19">
        <v>1.0</v>
      </c>
      <c r="AU86" s="19">
        <v>2.0</v>
      </c>
      <c r="AV86" s="19">
        <v>1.0</v>
      </c>
      <c r="AW86" s="19">
        <v>4.0</v>
      </c>
      <c r="AX86" s="19">
        <v>2.0</v>
      </c>
      <c r="AY86" s="19">
        <v>5.0</v>
      </c>
      <c r="AZ86" s="19">
        <v>2.0</v>
      </c>
      <c r="BA86" s="19">
        <v>3.0</v>
      </c>
      <c r="BB86" s="19">
        <v>1.0</v>
      </c>
      <c r="BC86" s="19">
        <v>2.0</v>
      </c>
      <c r="BD86" s="19">
        <v>0.0</v>
      </c>
      <c r="BE86" s="19">
        <v>0.0</v>
      </c>
      <c r="BF86" s="19">
        <v>2.0</v>
      </c>
      <c r="BG86" s="19">
        <v>0.0</v>
      </c>
      <c r="BH86" s="19">
        <v>0.0</v>
      </c>
      <c r="BI86" s="19">
        <v>5.0</v>
      </c>
      <c r="BJ86" s="19">
        <v>0.0</v>
      </c>
      <c r="BK86" s="13">
        <f t="shared" si="20"/>
        <v>73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2.0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4.0</v>
      </c>
      <c r="Y87" s="19">
        <v>0.0</v>
      </c>
      <c r="Z87" s="19">
        <v>0.0</v>
      </c>
      <c r="AA87" s="19">
        <v>1.0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1.0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1.0</v>
      </c>
      <c r="AP87" s="19">
        <v>0.0</v>
      </c>
      <c r="AQ87" s="19">
        <v>1.0</v>
      </c>
      <c r="AR87" s="19">
        <v>0.0</v>
      </c>
      <c r="AS87" s="19">
        <v>1.0</v>
      </c>
      <c r="AT87" s="19">
        <v>0.0</v>
      </c>
      <c r="AU87" s="19">
        <v>1.0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0.0</v>
      </c>
      <c r="BF87" s="19">
        <v>0.0</v>
      </c>
      <c r="BG87" s="19">
        <v>0.0</v>
      </c>
      <c r="BH87" s="19">
        <v>0.0</v>
      </c>
      <c r="BI87" s="19">
        <v>0.0</v>
      </c>
      <c r="BJ87" s="19">
        <v>1.0</v>
      </c>
      <c r="BK87" s="13">
        <f t="shared" si="20"/>
        <v>14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BJ91" si="21">SUM(E81:E88)</f>
        <v>48</v>
      </c>
      <c r="F91" s="13">
        <f t="shared" si="21"/>
        <v>42</v>
      </c>
      <c r="G91" s="13">
        <f t="shared" si="21"/>
        <v>33</v>
      </c>
      <c r="H91" s="13">
        <f t="shared" si="21"/>
        <v>16</v>
      </c>
      <c r="I91" s="13">
        <f t="shared" si="21"/>
        <v>60</v>
      </c>
      <c r="J91" s="13">
        <f t="shared" si="21"/>
        <v>55</v>
      </c>
      <c r="K91" s="13">
        <f t="shared" si="21"/>
        <v>31</v>
      </c>
      <c r="L91" s="13">
        <f t="shared" si="21"/>
        <v>43</v>
      </c>
      <c r="M91" s="13">
        <f t="shared" si="21"/>
        <v>21</v>
      </c>
      <c r="N91" s="13">
        <f t="shared" si="21"/>
        <v>92</v>
      </c>
      <c r="O91" s="13">
        <f t="shared" si="21"/>
        <v>23</v>
      </c>
      <c r="P91" s="13">
        <f t="shared" si="21"/>
        <v>13</v>
      </c>
      <c r="Q91" s="13">
        <f t="shared" si="21"/>
        <v>8</v>
      </c>
      <c r="R91" s="13">
        <f t="shared" si="21"/>
        <v>7</v>
      </c>
      <c r="S91" s="13">
        <f t="shared" si="21"/>
        <v>63</v>
      </c>
      <c r="T91" s="13">
        <f t="shared" si="21"/>
        <v>45</v>
      </c>
      <c r="U91" s="13">
        <f t="shared" si="21"/>
        <v>14</v>
      </c>
      <c r="V91" s="13">
        <f t="shared" si="21"/>
        <v>29</v>
      </c>
      <c r="W91" s="13">
        <f t="shared" si="21"/>
        <v>12</v>
      </c>
      <c r="X91" s="13">
        <f t="shared" si="21"/>
        <v>28</v>
      </c>
      <c r="Y91" s="13">
        <f t="shared" si="21"/>
        <v>31</v>
      </c>
      <c r="Z91" s="13">
        <f t="shared" si="21"/>
        <v>15</v>
      </c>
      <c r="AA91" s="13">
        <f t="shared" si="21"/>
        <v>45</v>
      </c>
      <c r="AB91" s="13">
        <f t="shared" si="21"/>
        <v>21</v>
      </c>
      <c r="AC91" s="13">
        <f t="shared" si="21"/>
        <v>17</v>
      </c>
      <c r="AD91" s="13">
        <f t="shared" si="21"/>
        <v>20</v>
      </c>
      <c r="AE91" s="13">
        <f t="shared" si="21"/>
        <v>43</v>
      </c>
      <c r="AF91" s="13">
        <f t="shared" si="21"/>
        <v>11</v>
      </c>
      <c r="AG91" s="13">
        <f t="shared" si="21"/>
        <v>10</v>
      </c>
      <c r="AH91" s="13">
        <f t="shared" si="21"/>
        <v>22</v>
      </c>
      <c r="AI91" s="13">
        <f t="shared" si="21"/>
        <v>7</v>
      </c>
      <c r="AJ91" s="13">
        <f t="shared" si="21"/>
        <v>9</v>
      </c>
      <c r="AK91" s="13">
        <f t="shared" si="21"/>
        <v>12</v>
      </c>
      <c r="AL91" s="13">
        <f t="shared" si="21"/>
        <v>26</v>
      </c>
      <c r="AM91" s="13">
        <f t="shared" si="21"/>
        <v>25</v>
      </c>
      <c r="AN91" s="13">
        <f t="shared" si="21"/>
        <v>20</v>
      </c>
      <c r="AO91" s="13">
        <f t="shared" si="21"/>
        <v>6</v>
      </c>
      <c r="AP91" s="13">
        <f t="shared" si="21"/>
        <v>22</v>
      </c>
      <c r="AQ91" s="13">
        <f t="shared" si="21"/>
        <v>9</v>
      </c>
      <c r="AR91" s="13">
        <f t="shared" si="21"/>
        <v>12</v>
      </c>
      <c r="AS91" s="13">
        <f t="shared" si="21"/>
        <v>25</v>
      </c>
      <c r="AT91" s="13">
        <f t="shared" si="21"/>
        <v>25</v>
      </c>
      <c r="AU91" s="13">
        <f t="shared" si="21"/>
        <v>30</v>
      </c>
      <c r="AV91" s="13">
        <f t="shared" si="21"/>
        <v>16</v>
      </c>
      <c r="AW91" s="13">
        <f t="shared" si="21"/>
        <v>24</v>
      </c>
      <c r="AX91" s="13">
        <f t="shared" si="21"/>
        <v>25</v>
      </c>
      <c r="AY91" s="13">
        <f t="shared" si="21"/>
        <v>50</v>
      </c>
      <c r="AZ91" s="13">
        <f t="shared" si="21"/>
        <v>17</v>
      </c>
      <c r="BA91" s="13">
        <f t="shared" si="21"/>
        <v>37</v>
      </c>
      <c r="BB91" s="13">
        <f t="shared" si="21"/>
        <v>33</v>
      </c>
      <c r="BC91" s="13">
        <f t="shared" si="21"/>
        <v>27</v>
      </c>
      <c r="BD91" s="13">
        <f t="shared" si="21"/>
        <v>30</v>
      </c>
      <c r="BE91" s="13">
        <f t="shared" si="21"/>
        <v>26</v>
      </c>
      <c r="BF91" s="13">
        <f t="shared" si="21"/>
        <v>22</v>
      </c>
      <c r="BG91" s="13">
        <f t="shared" si="21"/>
        <v>11</v>
      </c>
      <c r="BH91" s="13">
        <f t="shared" si="21"/>
        <v>16</v>
      </c>
      <c r="BI91" s="13">
        <f t="shared" si="21"/>
        <v>24</v>
      </c>
      <c r="BJ91" s="13">
        <f t="shared" si="21"/>
        <v>12</v>
      </c>
      <c r="BK91" s="13">
        <f t="shared" si="20"/>
        <v>1516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3.0</v>
      </c>
      <c r="H93" s="19">
        <v>1.0</v>
      </c>
      <c r="I93" s="19">
        <v>2.0</v>
      </c>
      <c r="J93" s="19">
        <v>1.0</v>
      </c>
      <c r="K93" s="19">
        <v>1.0</v>
      </c>
      <c r="L93" s="19">
        <v>2.0</v>
      </c>
      <c r="M93" s="19">
        <v>3.0</v>
      </c>
      <c r="N93" s="19">
        <v>0.0</v>
      </c>
      <c r="O93" s="19">
        <v>6.0</v>
      </c>
      <c r="P93" s="19">
        <v>3.0</v>
      </c>
      <c r="Q93" s="19">
        <v>1.0</v>
      </c>
      <c r="R93" s="19">
        <v>5.0</v>
      </c>
      <c r="S93" s="19">
        <v>3.0</v>
      </c>
      <c r="T93" s="19">
        <v>3.0</v>
      </c>
      <c r="U93" s="19">
        <v>2.0</v>
      </c>
      <c r="V93" s="19">
        <v>3.0</v>
      </c>
      <c r="W93" s="19">
        <v>1.0</v>
      </c>
      <c r="X93" s="19">
        <v>3.0</v>
      </c>
      <c r="Y93" s="19">
        <v>0.0</v>
      </c>
      <c r="Z93" s="19">
        <v>2.0</v>
      </c>
      <c r="AA93" s="19">
        <v>0.0</v>
      </c>
      <c r="AB93" s="19">
        <v>2.0</v>
      </c>
      <c r="AC93" s="19">
        <v>1.0</v>
      </c>
      <c r="AD93" s="19">
        <v>0.0</v>
      </c>
      <c r="AE93" s="19">
        <v>1.0</v>
      </c>
      <c r="AF93" s="19">
        <v>1.0</v>
      </c>
      <c r="AG93" s="19">
        <v>2.0</v>
      </c>
      <c r="AH93" s="19">
        <v>4.0</v>
      </c>
      <c r="AI93" s="19">
        <v>1.0</v>
      </c>
      <c r="AJ93" s="19">
        <v>2.0</v>
      </c>
      <c r="AK93" s="19">
        <v>4.0</v>
      </c>
      <c r="AL93" s="19">
        <v>2.0</v>
      </c>
      <c r="AM93" s="19">
        <v>1.0</v>
      </c>
      <c r="AN93" s="19">
        <v>2.0</v>
      </c>
      <c r="AO93" s="19">
        <v>1.0</v>
      </c>
      <c r="AP93" s="19">
        <v>2.0</v>
      </c>
      <c r="AQ93" s="19">
        <v>5.0</v>
      </c>
      <c r="AR93" s="19">
        <v>0.0</v>
      </c>
      <c r="AS93" s="19">
        <v>0.0</v>
      </c>
      <c r="AT93" s="19">
        <v>0.0</v>
      </c>
      <c r="AU93" s="19">
        <v>0.0</v>
      </c>
      <c r="AV93" s="19">
        <v>2.0</v>
      </c>
      <c r="AW93" s="19">
        <v>1.0</v>
      </c>
      <c r="AX93" s="19">
        <v>1.0</v>
      </c>
      <c r="AY93" s="19">
        <v>0.0</v>
      </c>
      <c r="AZ93" s="19">
        <v>1.0</v>
      </c>
      <c r="BA93" s="19">
        <v>2.0</v>
      </c>
      <c r="BB93" s="19">
        <v>0.0</v>
      </c>
      <c r="BC93" s="19">
        <v>0.0</v>
      </c>
      <c r="BD93" s="19">
        <v>1.0</v>
      </c>
      <c r="BE93" s="19">
        <v>3.0</v>
      </c>
      <c r="BF93" s="19">
        <v>0.0</v>
      </c>
      <c r="BG93" s="19">
        <v>1.0</v>
      </c>
      <c r="BH93" s="19">
        <v>2.0</v>
      </c>
      <c r="BI93" s="19">
        <v>0.0</v>
      </c>
      <c r="BJ93" s="19">
        <v>0.0</v>
      </c>
      <c r="BK93" s="13">
        <f t="shared" ref="BK93:BK103" si="22">SUM(E93:BJ93)</f>
        <v>90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2.0</v>
      </c>
      <c r="H94" s="19">
        <v>1.0</v>
      </c>
      <c r="I94" s="19">
        <v>1.0</v>
      </c>
      <c r="J94" s="19">
        <v>7.0</v>
      </c>
      <c r="K94" s="19">
        <v>1.0</v>
      </c>
      <c r="L94" s="19">
        <v>0.0</v>
      </c>
      <c r="M94" s="19">
        <v>1.0</v>
      </c>
      <c r="N94" s="19">
        <v>0.0</v>
      </c>
      <c r="O94" s="19">
        <v>9.0</v>
      </c>
      <c r="P94" s="19">
        <v>1.0</v>
      </c>
      <c r="Q94" s="19">
        <v>2.0</v>
      </c>
      <c r="R94" s="19">
        <v>2.0</v>
      </c>
      <c r="S94" s="19">
        <v>3.0</v>
      </c>
      <c r="T94" s="19">
        <v>2.0</v>
      </c>
      <c r="U94" s="19">
        <v>2.0</v>
      </c>
      <c r="V94" s="19">
        <v>2.0</v>
      </c>
      <c r="W94" s="19">
        <v>0.0</v>
      </c>
      <c r="X94" s="19">
        <v>4.0</v>
      </c>
      <c r="Y94" s="19">
        <v>1.0</v>
      </c>
      <c r="Z94" s="19">
        <v>0.0</v>
      </c>
      <c r="AA94" s="19">
        <v>0.0</v>
      </c>
      <c r="AB94" s="19">
        <v>0.0</v>
      </c>
      <c r="AC94" s="19">
        <v>0.0</v>
      </c>
      <c r="AD94" s="19">
        <v>1.0</v>
      </c>
      <c r="AE94" s="19">
        <v>1.0</v>
      </c>
      <c r="AF94" s="19">
        <v>0.0</v>
      </c>
      <c r="AG94" s="19">
        <v>0.0</v>
      </c>
      <c r="AH94" s="19">
        <v>0.0</v>
      </c>
      <c r="AI94" s="19">
        <v>0.0</v>
      </c>
      <c r="AJ94" s="19">
        <v>2.0</v>
      </c>
      <c r="AK94" s="19">
        <v>0.0</v>
      </c>
      <c r="AL94" s="19">
        <v>1.0</v>
      </c>
      <c r="AM94" s="19">
        <v>0.0</v>
      </c>
      <c r="AN94" s="19">
        <v>4.0</v>
      </c>
      <c r="AO94" s="19">
        <v>1.0</v>
      </c>
      <c r="AP94" s="19">
        <v>0.0</v>
      </c>
      <c r="AQ94" s="19">
        <v>2.0</v>
      </c>
      <c r="AR94" s="19">
        <v>2.0</v>
      </c>
      <c r="AS94" s="19">
        <v>0.0</v>
      </c>
      <c r="AT94" s="19">
        <v>0.0</v>
      </c>
      <c r="AU94" s="19">
        <v>11.0</v>
      </c>
      <c r="AV94" s="19">
        <v>7.0</v>
      </c>
      <c r="AW94" s="19">
        <v>1.0</v>
      </c>
      <c r="AX94" s="19">
        <v>8.0</v>
      </c>
      <c r="AY94" s="19">
        <v>11.0</v>
      </c>
      <c r="AZ94" s="19">
        <v>6.0</v>
      </c>
      <c r="BA94" s="19">
        <v>5.0</v>
      </c>
      <c r="BB94" s="19">
        <v>1.0</v>
      </c>
      <c r="BC94" s="19">
        <v>1.0</v>
      </c>
      <c r="BD94" s="19">
        <v>2.0</v>
      </c>
      <c r="BE94" s="19">
        <v>0.0</v>
      </c>
      <c r="BF94" s="19">
        <v>0.0</v>
      </c>
      <c r="BG94" s="19">
        <v>1.0</v>
      </c>
      <c r="BH94" s="19">
        <v>0.0</v>
      </c>
      <c r="BI94" s="19">
        <v>1.0</v>
      </c>
      <c r="BJ94" s="19">
        <v>4.0</v>
      </c>
      <c r="BK94" s="13">
        <f t="shared" si="22"/>
        <v>116</v>
      </c>
    </row>
    <row r="95" ht="12.75" customHeight="1">
      <c r="A95" s="18"/>
      <c r="B95" s="55">
        <v>2.0</v>
      </c>
      <c r="C95" s="50" t="s">
        <v>75</v>
      </c>
      <c r="D95" s="57"/>
      <c r="E95" s="19">
        <v>2.0</v>
      </c>
      <c r="F95" s="19">
        <v>4.0</v>
      </c>
      <c r="G95" s="19">
        <v>12.0</v>
      </c>
      <c r="H95" s="19">
        <v>11.0</v>
      </c>
      <c r="I95" s="19">
        <v>9.0</v>
      </c>
      <c r="J95" s="19">
        <v>3.0</v>
      </c>
      <c r="K95" s="19">
        <v>13.0</v>
      </c>
      <c r="L95" s="19">
        <v>2.0</v>
      </c>
      <c r="M95" s="19">
        <v>20.0</v>
      </c>
      <c r="N95" s="19">
        <v>0.0</v>
      </c>
      <c r="O95" s="19">
        <v>64.0</v>
      </c>
      <c r="P95" s="19">
        <v>18.0</v>
      </c>
      <c r="Q95" s="19">
        <v>21.0</v>
      </c>
      <c r="R95" s="19">
        <v>17.0</v>
      </c>
      <c r="S95" s="19">
        <v>30.0</v>
      </c>
      <c r="T95" s="19">
        <v>12.0</v>
      </c>
      <c r="U95" s="19">
        <v>35.0</v>
      </c>
      <c r="V95" s="19">
        <v>20.0</v>
      </c>
      <c r="W95" s="19">
        <v>0.0</v>
      </c>
      <c r="X95" s="19">
        <v>22.0</v>
      </c>
      <c r="Y95" s="19">
        <v>13.0</v>
      </c>
      <c r="Z95" s="19">
        <v>34.0</v>
      </c>
      <c r="AA95" s="19">
        <v>1.0</v>
      </c>
      <c r="AB95" s="19">
        <v>0.0</v>
      </c>
      <c r="AC95" s="19">
        <v>13.0</v>
      </c>
      <c r="AD95" s="19">
        <v>5.0</v>
      </c>
      <c r="AE95" s="19">
        <v>6.0</v>
      </c>
      <c r="AF95" s="19">
        <v>0.0</v>
      </c>
      <c r="AG95" s="19">
        <v>4.0</v>
      </c>
      <c r="AH95" s="19">
        <v>10.0</v>
      </c>
      <c r="AI95" s="19">
        <v>0.0</v>
      </c>
      <c r="AJ95" s="19">
        <v>0.0</v>
      </c>
      <c r="AK95" s="19">
        <v>2.0</v>
      </c>
      <c r="AL95" s="19">
        <v>11.0</v>
      </c>
      <c r="AM95" s="19">
        <v>18.0</v>
      </c>
      <c r="AN95" s="19">
        <v>1.0</v>
      </c>
      <c r="AO95" s="19">
        <v>0.0</v>
      </c>
      <c r="AP95" s="19">
        <v>18.0</v>
      </c>
      <c r="AQ95" s="19">
        <v>10.0</v>
      </c>
      <c r="AR95" s="19">
        <v>5.0</v>
      </c>
      <c r="AS95" s="19">
        <v>26.0</v>
      </c>
      <c r="AT95" s="19">
        <v>34.0</v>
      </c>
      <c r="AU95" s="19">
        <v>3.0</v>
      </c>
      <c r="AV95" s="19">
        <v>11.0</v>
      </c>
      <c r="AW95" s="19">
        <v>7.0</v>
      </c>
      <c r="AX95" s="19">
        <v>7.0</v>
      </c>
      <c r="AY95" s="19">
        <v>8.0</v>
      </c>
      <c r="AZ95" s="19">
        <v>5.0</v>
      </c>
      <c r="BA95" s="19">
        <v>4.0</v>
      </c>
      <c r="BB95" s="19">
        <v>0.0</v>
      </c>
      <c r="BC95" s="19">
        <v>0.0</v>
      </c>
      <c r="BD95" s="19">
        <v>8.0</v>
      </c>
      <c r="BE95" s="19">
        <v>2.0</v>
      </c>
      <c r="BF95" s="19">
        <v>1.0</v>
      </c>
      <c r="BG95" s="19">
        <v>0.0</v>
      </c>
      <c r="BH95" s="19">
        <v>1.0</v>
      </c>
      <c r="BI95" s="19">
        <v>59.0</v>
      </c>
      <c r="BJ95" s="19">
        <v>2.0</v>
      </c>
      <c r="BK95" s="13">
        <f t="shared" si="22"/>
        <v>644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2.0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9">
        <v>4.0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1.0</v>
      </c>
      <c r="AT96" s="19">
        <v>0.0</v>
      </c>
      <c r="AU96" s="19">
        <v>1.0</v>
      </c>
      <c r="AV96" s="19">
        <v>0.0</v>
      </c>
      <c r="AW96" s="19">
        <v>0.0</v>
      </c>
      <c r="AX96" s="19">
        <v>0.0</v>
      </c>
      <c r="AY96" s="19">
        <v>1.0</v>
      </c>
      <c r="AZ96" s="19">
        <v>0.0</v>
      </c>
      <c r="BA96" s="19">
        <v>0.0</v>
      </c>
      <c r="BB96" s="19">
        <v>0.0</v>
      </c>
      <c r="BC96" s="19">
        <v>0.0</v>
      </c>
      <c r="BD96" s="19">
        <v>0.0</v>
      </c>
      <c r="BE96" s="19">
        <v>0.0</v>
      </c>
      <c r="BF96" s="19">
        <v>0.0</v>
      </c>
      <c r="BG96" s="19">
        <v>0.0</v>
      </c>
      <c r="BH96" s="19">
        <v>1.0</v>
      </c>
      <c r="BI96" s="19">
        <v>0.0</v>
      </c>
      <c r="BJ96" s="19">
        <v>0.0</v>
      </c>
      <c r="BK96" s="13">
        <f t="shared" si="22"/>
        <v>12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3.0</v>
      </c>
      <c r="V97" s="19">
        <v>9.0</v>
      </c>
      <c r="W97" s="19">
        <v>4.0</v>
      </c>
      <c r="X97" s="19">
        <v>2.0</v>
      </c>
      <c r="Y97" s="19">
        <v>1.0</v>
      </c>
      <c r="Z97" s="19">
        <v>3.0</v>
      </c>
      <c r="AA97" s="19">
        <v>0.0</v>
      </c>
      <c r="AB97" s="19">
        <v>0.0</v>
      </c>
      <c r="AC97" s="19">
        <v>0.0</v>
      </c>
      <c r="AD97" s="19">
        <v>0.0</v>
      </c>
      <c r="AE97" s="19">
        <v>1.0</v>
      </c>
      <c r="AF97" s="19">
        <v>0.0</v>
      </c>
      <c r="AG97" s="19">
        <v>3.0</v>
      </c>
      <c r="AH97" s="19">
        <v>1.0</v>
      </c>
      <c r="AI97" s="19">
        <v>0.0</v>
      </c>
      <c r="AJ97" s="19">
        <v>1.0</v>
      </c>
      <c r="AK97" s="19">
        <v>2.0</v>
      </c>
      <c r="AL97" s="19">
        <v>1.0</v>
      </c>
      <c r="AM97" s="19">
        <v>2.0</v>
      </c>
      <c r="AN97" s="19">
        <v>0.0</v>
      </c>
      <c r="AO97" s="19">
        <v>0.0</v>
      </c>
      <c r="AP97" s="19">
        <v>0.0</v>
      </c>
      <c r="AQ97" s="19">
        <v>1.0</v>
      </c>
      <c r="AR97" s="19">
        <v>1.0</v>
      </c>
      <c r="AS97" s="19">
        <v>2.0</v>
      </c>
      <c r="AT97" s="19">
        <v>0.0</v>
      </c>
      <c r="AU97" s="19">
        <v>1.0</v>
      </c>
      <c r="AV97" s="19">
        <v>0.0</v>
      </c>
      <c r="AW97" s="19">
        <v>0.0</v>
      </c>
      <c r="AX97" s="19">
        <v>1.0</v>
      </c>
      <c r="AY97" s="19">
        <v>1.0</v>
      </c>
      <c r="AZ97" s="19">
        <v>1.0</v>
      </c>
      <c r="BA97" s="19">
        <v>1.0</v>
      </c>
      <c r="BB97" s="19">
        <v>0.0</v>
      </c>
      <c r="BC97" s="19">
        <v>0.0</v>
      </c>
      <c r="BD97" s="19">
        <v>1.0</v>
      </c>
      <c r="BE97" s="19">
        <v>1.0</v>
      </c>
      <c r="BF97" s="19">
        <v>0.0</v>
      </c>
      <c r="BG97" s="19">
        <v>0.0</v>
      </c>
      <c r="BH97" s="19">
        <v>0.0</v>
      </c>
      <c r="BI97" s="19">
        <v>1.0</v>
      </c>
      <c r="BJ97" s="19">
        <v>0.0</v>
      </c>
      <c r="BK97" s="13">
        <f t="shared" si="22"/>
        <v>47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2.0</v>
      </c>
      <c r="AA98" s="19">
        <v>0.0</v>
      </c>
      <c r="AB98" s="19">
        <v>0.0</v>
      </c>
      <c r="AC98" s="19">
        <v>1.0</v>
      </c>
      <c r="AD98" s="19">
        <v>0.0</v>
      </c>
      <c r="AE98" s="19">
        <v>9.0</v>
      </c>
      <c r="AF98" s="19">
        <v>0.0</v>
      </c>
      <c r="AG98" s="19">
        <v>0.0</v>
      </c>
      <c r="AH98" s="19">
        <v>1.0</v>
      </c>
      <c r="AI98" s="19">
        <v>1.0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1.0</v>
      </c>
      <c r="AQ98" s="19">
        <v>0.0</v>
      </c>
      <c r="AR98" s="19">
        <v>1.0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2.0</v>
      </c>
      <c r="AY98" s="19">
        <v>0.0</v>
      </c>
      <c r="AZ98" s="19">
        <v>0.0</v>
      </c>
      <c r="BA98" s="19">
        <v>1.0</v>
      </c>
      <c r="BB98" s="19">
        <v>1.0</v>
      </c>
      <c r="BC98" s="19">
        <v>0.0</v>
      </c>
      <c r="BD98" s="19">
        <v>1.0</v>
      </c>
      <c r="BE98" s="19">
        <v>0.0</v>
      </c>
      <c r="BF98" s="19">
        <v>4.0</v>
      </c>
      <c r="BG98" s="19">
        <v>0.0</v>
      </c>
      <c r="BH98" s="19">
        <v>1.0</v>
      </c>
      <c r="BI98" s="19">
        <v>0.0</v>
      </c>
      <c r="BJ98" s="19">
        <v>2.0</v>
      </c>
      <c r="BK98" s="13">
        <f t="shared" si="22"/>
        <v>32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2.0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1.0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1.0</v>
      </c>
      <c r="AM99" s="19">
        <v>0.0</v>
      </c>
      <c r="AN99" s="19">
        <v>0.0</v>
      </c>
      <c r="AO99" s="19">
        <v>0.0</v>
      </c>
      <c r="AP99" s="19">
        <v>1.0</v>
      </c>
      <c r="AQ99" s="19">
        <v>2.0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1.0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0.0</v>
      </c>
      <c r="BE99" s="19">
        <v>0.0</v>
      </c>
      <c r="BF99" s="19">
        <v>0.0</v>
      </c>
      <c r="BG99" s="19">
        <v>0.0</v>
      </c>
      <c r="BH99" s="19">
        <v>0.0</v>
      </c>
      <c r="BI99" s="19">
        <v>0.0</v>
      </c>
      <c r="BJ99" s="19">
        <v>0.0</v>
      </c>
      <c r="BK99" s="13">
        <f t="shared" si="22"/>
        <v>8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2.0</v>
      </c>
      <c r="U100" s="19">
        <v>0.0</v>
      </c>
      <c r="V100" s="19">
        <v>3.0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2.0</v>
      </c>
      <c r="AD100" s="19">
        <v>0.0</v>
      </c>
      <c r="AE100" s="19">
        <v>1.0</v>
      </c>
      <c r="AF100" s="19">
        <v>0.0</v>
      </c>
      <c r="AG100" s="19">
        <v>2.0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1.0</v>
      </c>
      <c r="AM100" s="19">
        <v>0.0</v>
      </c>
      <c r="AN100" s="19">
        <v>0.0</v>
      </c>
      <c r="AO100" s="19">
        <v>0.0</v>
      </c>
      <c r="AP100" s="19">
        <v>1.0</v>
      </c>
      <c r="AQ100" s="19">
        <v>0.0</v>
      </c>
      <c r="AR100" s="19">
        <v>0.0</v>
      </c>
      <c r="AS100" s="19">
        <v>1.0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1.0</v>
      </c>
      <c r="AY100" s="19">
        <v>1.0</v>
      </c>
      <c r="AZ100" s="19">
        <v>0.0</v>
      </c>
      <c r="BA100" s="19">
        <v>1.0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0.0</v>
      </c>
      <c r="BH100" s="19">
        <v>0.0</v>
      </c>
      <c r="BI100" s="19">
        <v>0.0</v>
      </c>
      <c r="BJ100" s="19">
        <v>0.0</v>
      </c>
      <c r="BK100" s="13">
        <f t="shared" si="22"/>
        <v>18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BJ103" si="23">SUM(E93:E100)</f>
        <v>4</v>
      </c>
      <c r="F103" s="13">
        <f t="shared" si="23"/>
        <v>6</v>
      </c>
      <c r="G103" s="13">
        <f t="shared" si="23"/>
        <v>17</v>
      </c>
      <c r="H103" s="13">
        <f t="shared" si="23"/>
        <v>14</v>
      </c>
      <c r="I103" s="13">
        <f t="shared" si="23"/>
        <v>12</v>
      </c>
      <c r="J103" s="13">
        <f t="shared" si="23"/>
        <v>11</v>
      </c>
      <c r="K103" s="13">
        <f t="shared" si="23"/>
        <v>15</v>
      </c>
      <c r="L103" s="13">
        <f t="shared" si="23"/>
        <v>4</v>
      </c>
      <c r="M103" s="13">
        <f t="shared" si="23"/>
        <v>24</v>
      </c>
      <c r="N103" s="13">
        <f t="shared" si="23"/>
        <v>0</v>
      </c>
      <c r="O103" s="13">
        <f t="shared" si="23"/>
        <v>82</v>
      </c>
      <c r="P103" s="13">
        <f t="shared" si="23"/>
        <v>23</v>
      </c>
      <c r="Q103" s="13">
        <f t="shared" si="23"/>
        <v>25</v>
      </c>
      <c r="R103" s="13">
        <f t="shared" si="23"/>
        <v>24</v>
      </c>
      <c r="S103" s="13">
        <f t="shared" si="23"/>
        <v>36</v>
      </c>
      <c r="T103" s="13">
        <f t="shared" si="23"/>
        <v>20</v>
      </c>
      <c r="U103" s="13">
        <f t="shared" si="23"/>
        <v>42</v>
      </c>
      <c r="V103" s="13">
        <f t="shared" si="23"/>
        <v>39</v>
      </c>
      <c r="W103" s="13">
        <f t="shared" si="23"/>
        <v>7</v>
      </c>
      <c r="X103" s="13">
        <f t="shared" si="23"/>
        <v>32</v>
      </c>
      <c r="Y103" s="13">
        <f t="shared" si="23"/>
        <v>15</v>
      </c>
      <c r="Z103" s="13">
        <f t="shared" si="23"/>
        <v>41</v>
      </c>
      <c r="AA103" s="13">
        <f t="shared" si="23"/>
        <v>1</v>
      </c>
      <c r="AB103" s="13">
        <f t="shared" si="23"/>
        <v>2</v>
      </c>
      <c r="AC103" s="13">
        <f t="shared" si="23"/>
        <v>17</v>
      </c>
      <c r="AD103" s="13">
        <f t="shared" si="23"/>
        <v>6</v>
      </c>
      <c r="AE103" s="13">
        <f t="shared" si="23"/>
        <v>19</v>
      </c>
      <c r="AF103" s="13">
        <f t="shared" si="23"/>
        <v>1</v>
      </c>
      <c r="AG103" s="13">
        <f t="shared" si="23"/>
        <v>12</v>
      </c>
      <c r="AH103" s="13">
        <f t="shared" si="23"/>
        <v>20</v>
      </c>
      <c r="AI103" s="13">
        <f t="shared" si="23"/>
        <v>2</v>
      </c>
      <c r="AJ103" s="13">
        <f t="shared" si="23"/>
        <v>5</v>
      </c>
      <c r="AK103" s="13">
        <f t="shared" si="23"/>
        <v>8</v>
      </c>
      <c r="AL103" s="13">
        <f t="shared" si="23"/>
        <v>17</v>
      </c>
      <c r="AM103" s="13">
        <f t="shared" si="23"/>
        <v>21</v>
      </c>
      <c r="AN103" s="13">
        <f t="shared" si="23"/>
        <v>7</v>
      </c>
      <c r="AO103" s="13">
        <f t="shared" si="23"/>
        <v>2</v>
      </c>
      <c r="AP103" s="13">
        <f t="shared" si="23"/>
        <v>23</v>
      </c>
      <c r="AQ103" s="13">
        <f t="shared" si="23"/>
        <v>20</v>
      </c>
      <c r="AR103" s="13">
        <f t="shared" si="23"/>
        <v>9</v>
      </c>
      <c r="AS103" s="13">
        <f t="shared" si="23"/>
        <v>30</v>
      </c>
      <c r="AT103" s="13">
        <f t="shared" si="23"/>
        <v>34</v>
      </c>
      <c r="AU103" s="13">
        <f t="shared" si="23"/>
        <v>16</v>
      </c>
      <c r="AV103" s="13">
        <f t="shared" si="23"/>
        <v>20</v>
      </c>
      <c r="AW103" s="13">
        <f t="shared" si="23"/>
        <v>9</v>
      </c>
      <c r="AX103" s="13">
        <f t="shared" si="23"/>
        <v>21</v>
      </c>
      <c r="AY103" s="13">
        <f t="shared" si="23"/>
        <v>22</v>
      </c>
      <c r="AZ103" s="13">
        <f t="shared" si="23"/>
        <v>13</v>
      </c>
      <c r="BA103" s="13">
        <f t="shared" si="23"/>
        <v>14</v>
      </c>
      <c r="BB103" s="13">
        <f t="shared" si="23"/>
        <v>2</v>
      </c>
      <c r="BC103" s="13">
        <f t="shared" si="23"/>
        <v>1</v>
      </c>
      <c r="BD103" s="13">
        <f t="shared" si="23"/>
        <v>13</v>
      </c>
      <c r="BE103" s="13">
        <f t="shared" si="23"/>
        <v>6</v>
      </c>
      <c r="BF103" s="13">
        <f t="shared" si="23"/>
        <v>5</v>
      </c>
      <c r="BG103" s="13">
        <f t="shared" si="23"/>
        <v>2</v>
      </c>
      <c r="BH103" s="13">
        <f t="shared" si="23"/>
        <v>5</v>
      </c>
      <c r="BI103" s="13">
        <f t="shared" si="23"/>
        <v>61</v>
      </c>
      <c r="BJ103" s="13">
        <f t="shared" si="23"/>
        <v>8</v>
      </c>
      <c r="BK103" s="13">
        <f t="shared" si="22"/>
        <v>967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1.0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1.0</v>
      </c>
      <c r="AI105" s="19">
        <v>0.0</v>
      </c>
      <c r="AJ105" s="19">
        <v>3.0</v>
      </c>
      <c r="AK105" s="19">
        <v>0.0</v>
      </c>
      <c r="AL105" s="19">
        <v>1.0</v>
      </c>
      <c r="AM105" s="19">
        <v>1.0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2.0</v>
      </c>
      <c r="AS105" s="19">
        <v>1.0</v>
      </c>
      <c r="AT105" s="19">
        <v>1.0</v>
      </c>
      <c r="AU105" s="19">
        <v>0.0</v>
      </c>
      <c r="AV105" s="19">
        <v>1.0</v>
      </c>
      <c r="AW105" s="19">
        <v>2.0</v>
      </c>
      <c r="AX105" s="19"/>
      <c r="AY105" s="19"/>
      <c r="AZ105" s="19"/>
      <c r="BA105" s="19">
        <v>1.0</v>
      </c>
      <c r="BB105" s="19">
        <v>1.0</v>
      </c>
      <c r="BC105" s="19"/>
      <c r="BD105" s="19"/>
      <c r="BE105" s="19"/>
      <c r="BF105" s="19"/>
      <c r="BG105" s="19">
        <v>2.0</v>
      </c>
      <c r="BH105" s="19"/>
      <c r="BI105" s="19"/>
      <c r="BJ105" s="19">
        <v>1.0</v>
      </c>
      <c r="BK105" s="13">
        <f t="shared" ref="BK105:BK115" si="24">SUM(E105:BJ105)</f>
        <v>23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1.0</v>
      </c>
      <c r="V106" s="19">
        <v>2.0</v>
      </c>
      <c r="W106" s="19">
        <v>0.0</v>
      </c>
      <c r="X106" s="19">
        <v>1.0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2.0</v>
      </c>
      <c r="AL106" s="19">
        <v>1.0</v>
      </c>
      <c r="AM106" s="19">
        <v>2.0</v>
      </c>
      <c r="AN106" s="19">
        <v>1.0</v>
      </c>
      <c r="AO106" s="19">
        <v>0.0</v>
      </c>
      <c r="AP106" s="19">
        <v>0.0</v>
      </c>
      <c r="AQ106" s="19">
        <v>1.0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2.0</v>
      </c>
      <c r="AW106" s="19">
        <v>1.0</v>
      </c>
      <c r="AX106" s="19"/>
      <c r="AY106" s="19"/>
      <c r="AZ106" s="19"/>
      <c r="BA106" s="19"/>
      <c r="BB106" s="19"/>
      <c r="BC106" s="19">
        <v>1.0</v>
      </c>
      <c r="BD106" s="19"/>
      <c r="BE106" s="19"/>
      <c r="BF106" s="19"/>
      <c r="BG106" s="19"/>
      <c r="BH106" s="19"/>
      <c r="BI106" s="19"/>
      <c r="BJ106" s="19"/>
      <c r="BK106" s="13">
        <f t="shared" si="24"/>
        <v>20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1.0</v>
      </c>
      <c r="X107" s="19">
        <v>3.0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1.0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1.0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1.0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1.0</v>
      </c>
      <c r="AX107" s="19"/>
      <c r="AY107" s="19"/>
      <c r="AZ107" s="19"/>
      <c r="BA107" s="19"/>
      <c r="BB107" s="19">
        <v>1.0</v>
      </c>
      <c r="BC107" s="19"/>
      <c r="BD107" s="19"/>
      <c r="BE107" s="19"/>
      <c r="BF107" s="19"/>
      <c r="BG107" s="19">
        <v>1.0</v>
      </c>
      <c r="BH107" s="19"/>
      <c r="BI107" s="19"/>
      <c r="BJ107" s="19"/>
      <c r="BK107" s="13">
        <f t="shared" si="24"/>
        <v>12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2.0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1.0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1.0</v>
      </c>
      <c r="AS108" s="19">
        <v>1.0</v>
      </c>
      <c r="AT108" s="19">
        <v>0.0</v>
      </c>
      <c r="AU108" s="19">
        <v>0.0</v>
      </c>
      <c r="AV108" s="19">
        <v>0.0</v>
      </c>
      <c r="AW108" s="19">
        <v>0.0</v>
      </c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3">
        <f t="shared" si="24"/>
        <v>6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1.0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2.0</v>
      </c>
      <c r="AI109" s="19">
        <v>0.0</v>
      </c>
      <c r="AJ109" s="19">
        <v>1.0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3">
        <f t="shared" si="24"/>
        <v>4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1.0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1.0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>
        <v>1.0</v>
      </c>
      <c r="BJ111" s="19"/>
      <c r="BK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J115" si="25">SUM(E105:E112)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3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3</v>
      </c>
      <c r="V115" s="13">
        <f t="shared" si="25"/>
        <v>3</v>
      </c>
      <c r="W115" s="13">
        <f t="shared" si="25"/>
        <v>1</v>
      </c>
      <c r="X115" s="13">
        <f t="shared" si="25"/>
        <v>6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2</v>
      </c>
      <c r="AD115" s="13">
        <f t="shared" si="25"/>
        <v>1</v>
      </c>
      <c r="AE115" s="13">
        <f t="shared" si="25"/>
        <v>0</v>
      </c>
      <c r="AF115" s="13">
        <f t="shared" si="25"/>
        <v>1</v>
      </c>
      <c r="AG115" s="13">
        <f t="shared" si="25"/>
        <v>0</v>
      </c>
      <c r="AH115" s="13">
        <f t="shared" si="25"/>
        <v>3</v>
      </c>
      <c r="AI115" s="13">
        <f t="shared" si="25"/>
        <v>0</v>
      </c>
      <c r="AJ115" s="13">
        <f t="shared" si="25"/>
        <v>4</v>
      </c>
      <c r="AK115" s="13">
        <f t="shared" si="25"/>
        <v>3</v>
      </c>
      <c r="AL115" s="13">
        <f t="shared" si="25"/>
        <v>2</v>
      </c>
      <c r="AM115" s="13">
        <f t="shared" si="25"/>
        <v>4</v>
      </c>
      <c r="AN115" s="13">
        <f t="shared" si="25"/>
        <v>1</v>
      </c>
      <c r="AO115" s="13">
        <f t="shared" si="25"/>
        <v>0</v>
      </c>
      <c r="AP115" s="13">
        <f t="shared" si="25"/>
        <v>0</v>
      </c>
      <c r="AQ115" s="13">
        <f t="shared" si="25"/>
        <v>1</v>
      </c>
      <c r="AR115" s="13">
        <f t="shared" si="25"/>
        <v>4</v>
      </c>
      <c r="AS115" s="13">
        <f t="shared" si="25"/>
        <v>2</v>
      </c>
      <c r="AT115" s="13">
        <f t="shared" si="25"/>
        <v>1</v>
      </c>
      <c r="AU115" s="13">
        <f t="shared" si="25"/>
        <v>0</v>
      </c>
      <c r="AV115" s="13">
        <f t="shared" si="25"/>
        <v>3</v>
      </c>
      <c r="AW115" s="13">
        <f t="shared" si="25"/>
        <v>4</v>
      </c>
      <c r="AX115" s="13">
        <f t="shared" si="25"/>
        <v>0</v>
      </c>
      <c r="AY115" s="13">
        <f t="shared" si="25"/>
        <v>0</v>
      </c>
      <c r="AZ115" s="13">
        <f t="shared" si="25"/>
        <v>0</v>
      </c>
      <c r="BA115" s="13">
        <f t="shared" si="25"/>
        <v>1</v>
      </c>
      <c r="BB115" s="13">
        <f t="shared" si="25"/>
        <v>2</v>
      </c>
      <c r="BC115" s="13">
        <f t="shared" si="25"/>
        <v>1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3</v>
      </c>
      <c r="BH115" s="13">
        <f t="shared" si="25"/>
        <v>0</v>
      </c>
      <c r="BI115" s="13">
        <f t="shared" si="25"/>
        <v>1</v>
      </c>
      <c r="BJ115" s="13">
        <f t="shared" si="25"/>
        <v>1</v>
      </c>
      <c r="BK115" s="13">
        <f t="shared" si="24"/>
        <v>68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/>
      <c r="F117" s="19">
        <v>1.0</v>
      </c>
      <c r="G117" s="19"/>
      <c r="H117" s="19"/>
      <c r="I117" s="19"/>
      <c r="J117" s="19"/>
      <c r="K117" s="19">
        <v>2.0</v>
      </c>
      <c r="L117" s="19"/>
      <c r="M117" s="19">
        <v>1.0</v>
      </c>
      <c r="N117" s="19"/>
      <c r="O117" s="19">
        <v>3.0</v>
      </c>
      <c r="P117" s="19">
        <v>2.0</v>
      </c>
      <c r="Q117" s="19">
        <v>6.0</v>
      </c>
      <c r="R117" s="19"/>
      <c r="S117" s="19"/>
      <c r="T117" s="19">
        <v>3.0</v>
      </c>
      <c r="U117" s="19">
        <v>1.0</v>
      </c>
      <c r="V117" s="19">
        <v>2.0</v>
      </c>
      <c r="W117" s="19"/>
      <c r="X117" s="19">
        <v>1.0</v>
      </c>
      <c r="Y117" s="19">
        <v>1.0</v>
      </c>
      <c r="Z117" s="19">
        <v>2.0</v>
      </c>
      <c r="AA117" s="19"/>
      <c r="AB117" s="19"/>
      <c r="AC117" s="19">
        <v>1.0</v>
      </c>
      <c r="AD117" s="19">
        <v>1.0</v>
      </c>
      <c r="AE117" s="19">
        <v>4.0</v>
      </c>
      <c r="AF117" s="19">
        <v>1.0</v>
      </c>
      <c r="AG117" s="19">
        <v>4.0</v>
      </c>
      <c r="AH117" s="19">
        <v>5.0</v>
      </c>
      <c r="AI117" s="19"/>
      <c r="AJ117" s="19">
        <v>3.0</v>
      </c>
      <c r="AK117" s="19">
        <v>4.0</v>
      </c>
      <c r="AL117" s="19"/>
      <c r="AM117" s="19"/>
      <c r="AN117" s="19">
        <v>1.0</v>
      </c>
      <c r="AO117" s="19">
        <v>2.0</v>
      </c>
      <c r="AP117" s="19"/>
      <c r="AQ117" s="19"/>
      <c r="AR117" s="19">
        <v>1.0</v>
      </c>
      <c r="AS117" s="19">
        <v>2.0</v>
      </c>
      <c r="AT117" s="19">
        <v>2.0</v>
      </c>
      <c r="AU117" s="19">
        <v>2.0</v>
      </c>
      <c r="AV117" s="19">
        <v>7.0</v>
      </c>
      <c r="AW117" s="19">
        <v>2.0</v>
      </c>
      <c r="AX117" s="19"/>
      <c r="AY117" s="19">
        <v>2.0</v>
      </c>
      <c r="AZ117" s="19"/>
      <c r="BA117" s="19"/>
      <c r="BB117" s="19">
        <v>1.0</v>
      </c>
      <c r="BC117" s="19"/>
      <c r="BD117" s="19">
        <v>1.0</v>
      </c>
      <c r="BE117" s="19"/>
      <c r="BF117" s="19"/>
      <c r="BG117" s="19">
        <v>1.0</v>
      </c>
      <c r="BH117" s="19"/>
      <c r="BI117" s="19"/>
      <c r="BJ117" s="19"/>
      <c r="BK117" s="13">
        <f t="shared" ref="BK117:BK127" si="26">SUM(E117:BJ117)</f>
        <v>72</v>
      </c>
      <c r="BL117" s="5"/>
      <c r="B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/>
      <c r="F118" s="19"/>
      <c r="G118" s="19">
        <v>1.0</v>
      </c>
      <c r="H118" s="19"/>
      <c r="I118" s="19"/>
      <c r="J118" s="19"/>
      <c r="K118" s="19"/>
      <c r="L118" s="19">
        <v>1.0</v>
      </c>
      <c r="M118" s="19">
        <v>1.0</v>
      </c>
      <c r="N118" s="19"/>
      <c r="O118" s="19"/>
      <c r="P118" s="19"/>
      <c r="Q118" s="19"/>
      <c r="R118" s="19">
        <v>1.0</v>
      </c>
      <c r="S118" s="19"/>
      <c r="T118" s="19"/>
      <c r="U118" s="19"/>
      <c r="V118" s="19"/>
      <c r="W118" s="19"/>
      <c r="X118" s="19">
        <v>1.0</v>
      </c>
      <c r="Y118" s="19">
        <v>1.0</v>
      </c>
      <c r="Z118" s="19"/>
      <c r="AA118" s="19"/>
      <c r="AB118" s="19"/>
      <c r="AC118" s="19"/>
      <c r="AD118" s="19">
        <v>1.0</v>
      </c>
      <c r="AE118" s="19">
        <v>1.0</v>
      </c>
      <c r="AF118" s="19"/>
      <c r="AG118" s="19">
        <v>1.0</v>
      </c>
      <c r="AH118" s="19">
        <v>3.0</v>
      </c>
      <c r="AI118" s="19"/>
      <c r="AJ118" s="19">
        <v>1.0</v>
      </c>
      <c r="AK118" s="19"/>
      <c r="AL118" s="19"/>
      <c r="AM118" s="19"/>
      <c r="AN118" s="19"/>
      <c r="AO118" s="19">
        <v>1.0</v>
      </c>
      <c r="AP118" s="19">
        <v>3.0</v>
      </c>
      <c r="AQ118" s="19">
        <v>1.0</v>
      </c>
      <c r="AR118" s="19">
        <v>2.0</v>
      </c>
      <c r="AS118" s="19"/>
      <c r="AT118" s="19"/>
      <c r="AU118" s="19"/>
      <c r="AV118" s="19"/>
      <c r="AW118" s="19"/>
      <c r="AX118" s="19">
        <v>1.0</v>
      </c>
      <c r="AY118" s="19"/>
      <c r="AZ118" s="19"/>
      <c r="BA118" s="19"/>
      <c r="BB118" s="19">
        <v>2.0</v>
      </c>
      <c r="BC118" s="19"/>
      <c r="BD118" s="19"/>
      <c r="BE118" s="19"/>
      <c r="BF118" s="19"/>
      <c r="BG118" s="19">
        <v>5.0</v>
      </c>
      <c r="BH118" s="19">
        <v>1.0</v>
      </c>
      <c r="BI118" s="19"/>
      <c r="BJ118" s="19"/>
      <c r="BK118" s="13">
        <f t="shared" si="26"/>
        <v>29</v>
      </c>
      <c r="BL118" s="5"/>
      <c r="BM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>
        <v>1.0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>
        <v>1.0</v>
      </c>
      <c r="AL119" s="19"/>
      <c r="AM119" s="19">
        <v>1.0</v>
      </c>
      <c r="AN119" s="19"/>
      <c r="AO119" s="19"/>
      <c r="AP119" s="19"/>
      <c r="AQ119" s="19"/>
      <c r="AR119" s="19"/>
      <c r="AS119" s="19"/>
      <c r="AT119" s="19">
        <v>1.0</v>
      </c>
      <c r="AU119" s="19"/>
      <c r="AV119" s="19"/>
      <c r="AW119" s="19"/>
      <c r="AX119" s="19"/>
      <c r="AY119" s="19">
        <v>1.0</v>
      </c>
      <c r="AZ119" s="19"/>
      <c r="BA119" s="19"/>
      <c r="BB119" s="19"/>
      <c r="BC119" s="19"/>
      <c r="BD119" s="19"/>
      <c r="BE119" s="19"/>
      <c r="BF119" s="19"/>
      <c r="BG119" s="19"/>
      <c r="BH119" s="19"/>
      <c r="BI119" s="19">
        <v>1.0</v>
      </c>
      <c r="BJ119" s="19"/>
      <c r="BK119" s="13">
        <f t="shared" si="26"/>
        <v>6</v>
      </c>
      <c r="BL119" s="5"/>
      <c r="BM119" s="5"/>
    </row>
    <row r="120" ht="12.75" customHeight="1">
      <c r="A120" s="18"/>
      <c r="B120" s="55">
        <v>3.0</v>
      </c>
      <c r="C120" s="50" t="s">
        <v>94</v>
      </c>
      <c r="D120" s="5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>
        <v>1.0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>
        <v>1.0</v>
      </c>
      <c r="AC120" s="19"/>
      <c r="AD120" s="19"/>
      <c r="AE120" s="19"/>
      <c r="AF120" s="19"/>
      <c r="AG120" s="19"/>
      <c r="AH120" s="19"/>
      <c r="AI120" s="19">
        <v>1.0</v>
      </c>
      <c r="AJ120" s="19">
        <v>1.0</v>
      </c>
      <c r="AK120" s="19"/>
      <c r="AL120" s="19">
        <v>1.0</v>
      </c>
      <c r="AM120" s="19"/>
      <c r="AN120" s="19"/>
      <c r="AO120" s="19"/>
      <c r="AP120" s="19"/>
      <c r="AQ120" s="19"/>
      <c r="AR120" s="19">
        <v>1.0</v>
      </c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3">
        <f t="shared" si="26"/>
        <v>6</v>
      </c>
      <c r="BL120" s="5"/>
      <c r="BM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3">
        <f t="shared" si="26"/>
        <v>0</v>
      </c>
      <c r="BL121" s="5"/>
      <c r="BM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3">
        <f t="shared" si="26"/>
        <v>0</v>
      </c>
      <c r="BL122" s="5"/>
      <c r="BM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13">
        <f t="shared" si="26"/>
        <v>0</v>
      </c>
      <c r="BL123" s="5"/>
      <c r="BM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13">
        <f t="shared" si="26"/>
        <v>0</v>
      </c>
      <c r="BL124" s="5"/>
      <c r="BM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13">
        <f t="shared" si="26"/>
        <v>0</v>
      </c>
      <c r="BL125" s="5"/>
      <c r="BM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13">
        <f t="shared" si="26"/>
        <v>0</v>
      </c>
      <c r="BL126" s="5"/>
      <c r="BM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BJ127" si="27">SUM(E117:E120)</f>
        <v>0</v>
      </c>
      <c r="F127" s="58">
        <f t="shared" si="27"/>
        <v>1</v>
      </c>
      <c r="G127" s="58">
        <f t="shared" si="27"/>
        <v>1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2</v>
      </c>
      <c r="L127" s="58">
        <f t="shared" si="27"/>
        <v>1</v>
      </c>
      <c r="M127" s="58">
        <f t="shared" si="27"/>
        <v>2</v>
      </c>
      <c r="N127" s="58">
        <f t="shared" si="27"/>
        <v>0</v>
      </c>
      <c r="O127" s="58">
        <f t="shared" si="27"/>
        <v>5</v>
      </c>
      <c r="P127" s="58">
        <f t="shared" si="27"/>
        <v>2</v>
      </c>
      <c r="Q127" s="58">
        <f t="shared" si="27"/>
        <v>6</v>
      </c>
      <c r="R127" s="58">
        <f t="shared" si="27"/>
        <v>1</v>
      </c>
      <c r="S127" s="58">
        <f t="shared" si="27"/>
        <v>0</v>
      </c>
      <c r="T127" s="58">
        <f t="shared" si="27"/>
        <v>3</v>
      </c>
      <c r="U127" s="58">
        <f t="shared" si="27"/>
        <v>1</v>
      </c>
      <c r="V127" s="58">
        <f t="shared" si="27"/>
        <v>2</v>
      </c>
      <c r="W127" s="58">
        <f t="shared" si="27"/>
        <v>0</v>
      </c>
      <c r="X127" s="58">
        <f t="shared" si="27"/>
        <v>2</v>
      </c>
      <c r="Y127" s="58">
        <f t="shared" si="27"/>
        <v>2</v>
      </c>
      <c r="Z127" s="58">
        <f t="shared" si="27"/>
        <v>2</v>
      </c>
      <c r="AA127" s="58">
        <f t="shared" si="27"/>
        <v>0</v>
      </c>
      <c r="AB127" s="58">
        <f t="shared" si="27"/>
        <v>1</v>
      </c>
      <c r="AC127" s="58">
        <f t="shared" si="27"/>
        <v>1</v>
      </c>
      <c r="AD127" s="58">
        <f t="shared" si="27"/>
        <v>2</v>
      </c>
      <c r="AE127" s="58">
        <f t="shared" si="27"/>
        <v>5</v>
      </c>
      <c r="AF127" s="58">
        <f t="shared" si="27"/>
        <v>1</v>
      </c>
      <c r="AG127" s="58">
        <f t="shared" si="27"/>
        <v>5</v>
      </c>
      <c r="AH127" s="58">
        <f t="shared" si="27"/>
        <v>8</v>
      </c>
      <c r="AI127" s="58">
        <f t="shared" si="27"/>
        <v>1</v>
      </c>
      <c r="AJ127" s="58">
        <f t="shared" si="27"/>
        <v>5</v>
      </c>
      <c r="AK127" s="58">
        <f t="shared" si="27"/>
        <v>5</v>
      </c>
      <c r="AL127" s="58">
        <f t="shared" si="27"/>
        <v>1</v>
      </c>
      <c r="AM127" s="58">
        <f t="shared" si="27"/>
        <v>1</v>
      </c>
      <c r="AN127" s="58">
        <f t="shared" si="27"/>
        <v>1</v>
      </c>
      <c r="AO127" s="58">
        <f t="shared" si="27"/>
        <v>3</v>
      </c>
      <c r="AP127" s="58">
        <f t="shared" si="27"/>
        <v>3</v>
      </c>
      <c r="AQ127" s="58">
        <f t="shared" si="27"/>
        <v>1</v>
      </c>
      <c r="AR127" s="58">
        <f t="shared" si="27"/>
        <v>4</v>
      </c>
      <c r="AS127" s="58">
        <f t="shared" si="27"/>
        <v>2</v>
      </c>
      <c r="AT127" s="58">
        <f t="shared" si="27"/>
        <v>3</v>
      </c>
      <c r="AU127" s="58">
        <f t="shared" si="27"/>
        <v>2</v>
      </c>
      <c r="AV127" s="58">
        <f t="shared" si="27"/>
        <v>7</v>
      </c>
      <c r="AW127" s="58">
        <f t="shared" si="27"/>
        <v>2</v>
      </c>
      <c r="AX127" s="58">
        <f t="shared" si="27"/>
        <v>1</v>
      </c>
      <c r="AY127" s="58">
        <f t="shared" si="27"/>
        <v>3</v>
      </c>
      <c r="AZ127" s="58">
        <f t="shared" si="27"/>
        <v>0</v>
      </c>
      <c r="BA127" s="58">
        <f t="shared" si="27"/>
        <v>0</v>
      </c>
      <c r="BB127" s="58">
        <f t="shared" si="27"/>
        <v>3</v>
      </c>
      <c r="BC127" s="58">
        <f t="shared" si="27"/>
        <v>0</v>
      </c>
      <c r="BD127" s="58">
        <f t="shared" si="27"/>
        <v>1</v>
      </c>
      <c r="BE127" s="58">
        <f t="shared" si="27"/>
        <v>0</v>
      </c>
      <c r="BF127" s="58">
        <f t="shared" si="27"/>
        <v>0</v>
      </c>
      <c r="BG127" s="58">
        <f t="shared" si="27"/>
        <v>6</v>
      </c>
      <c r="BH127" s="58">
        <f t="shared" si="27"/>
        <v>1</v>
      </c>
      <c r="BI127" s="58">
        <f t="shared" si="27"/>
        <v>1</v>
      </c>
      <c r="BJ127" s="58">
        <f t="shared" si="27"/>
        <v>0</v>
      </c>
      <c r="BK127" s="13">
        <f t="shared" si="26"/>
        <v>113</v>
      </c>
      <c r="BL127" s="5"/>
      <c r="BM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5"/>
      <c r="B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/>
      <c r="H129" s="19"/>
      <c r="I129" s="19"/>
      <c r="J129" s="19"/>
      <c r="K129" s="19">
        <v>1.0</v>
      </c>
      <c r="L129" s="19"/>
      <c r="M129" s="19">
        <v>2.0</v>
      </c>
      <c r="N129" s="19"/>
      <c r="O129" s="19">
        <v>1.0</v>
      </c>
      <c r="P129" s="19"/>
      <c r="Q129" s="19"/>
      <c r="R129" s="19"/>
      <c r="S129" s="19">
        <v>1.0</v>
      </c>
      <c r="T129" s="19"/>
      <c r="U129" s="19"/>
      <c r="V129" s="19">
        <v>1.0</v>
      </c>
      <c r="W129" s="19">
        <v>6.0</v>
      </c>
      <c r="X129" s="19"/>
      <c r="Y129" s="19">
        <v>1.0</v>
      </c>
      <c r="Z129" s="19">
        <v>2.0</v>
      </c>
      <c r="AA129" s="19">
        <v>1.0</v>
      </c>
      <c r="AB129" s="19">
        <v>1.0</v>
      </c>
      <c r="AC129" s="19">
        <v>2.0</v>
      </c>
      <c r="AD129" s="19"/>
      <c r="AE129" s="19"/>
      <c r="AF129" s="19"/>
      <c r="AG129" s="19"/>
      <c r="AH129" s="19">
        <v>3.0</v>
      </c>
      <c r="AI129" s="19">
        <v>1.0</v>
      </c>
      <c r="AJ129" s="19">
        <v>13.0</v>
      </c>
      <c r="AK129" s="19">
        <v>3.0</v>
      </c>
      <c r="AL129" s="19">
        <v>2.0</v>
      </c>
      <c r="AM129" s="19">
        <v>5.0</v>
      </c>
      <c r="AN129" s="19">
        <v>2.0</v>
      </c>
      <c r="AO129" s="19"/>
      <c r="AP129" s="19"/>
      <c r="AQ129" s="19">
        <v>1.0</v>
      </c>
      <c r="AR129" s="19">
        <v>3.0</v>
      </c>
      <c r="AS129" s="19"/>
      <c r="AT129" s="19"/>
      <c r="AU129" s="19">
        <v>1.0</v>
      </c>
      <c r="AV129" s="19">
        <v>1.0</v>
      </c>
      <c r="AW129" s="19"/>
      <c r="AX129" s="19"/>
      <c r="AY129" s="19">
        <v>1.0</v>
      </c>
      <c r="AZ129" s="19"/>
      <c r="BA129" s="19"/>
      <c r="BB129" s="19"/>
      <c r="BC129" s="19">
        <v>3.0</v>
      </c>
      <c r="BD129" s="19"/>
      <c r="BE129" s="19">
        <v>3.0</v>
      </c>
      <c r="BF129" s="19">
        <v>1.0</v>
      </c>
      <c r="BG129" s="19">
        <v>1.0</v>
      </c>
      <c r="BH129" s="19"/>
      <c r="BI129" s="19"/>
      <c r="BJ129" s="19">
        <v>1.0</v>
      </c>
      <c r="BK129" s="13">
        <f t="shared" ref="BK129:BK139" si="28">SUM(E129:BJ129)</f>
        <v>64</v>
      </c>
      <c r="BL129" s="5"/>
      <c r="B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/>
      <c r="F130" s="19"/>
      <c r="G130" s="19"/>
      <c r="H130" s="19"/>
      <c r="I130" s="19">
        <v>1.0</v>
      </c>
      <c r="J130" s="19"/>
      <c r="K130" s="19">
        <v>2.0</v>
      </c>
      <c r="L130" s="19">
        <v>1.0</v>
      </c>
      <c r="M130" s="19">
        <v>4.0</v>
      </c>
      <c r="N130" s="19"/>
      <c r="O130" s="19">
        <v>3.0</v>
      </c>
      <c r="P130" s="19">
        <v>2.0</v>
      </c>
      <c r="Q130" s="19">
        <v>2.0</v>
      </c>
      <c r="R130" s="19">
        <v>1.0</v>
      </c>
      <c r="S130" s="19">
        <v>1.0</v>
      </c>
      <c r="T130" s="19">
        <v>1.0</v>
      </c>
      <c r="U130" s="19">
        <v>5.0</v>
      </c>
      <c r="V130" s="19">
        <v>3.0</v>
      </c>
      <c r="W130" s="19">
        <v>6.0</v>
      </c>
      <c r="X130" s="19"/>
      <c r="Y130" s="19">
        <v>3.0</v>
      </c>
      <c r="Z130" s="19">
        <v>1.0</v>
      </c>
      <c r="AA130" s="19">
        <v>4.0</v>
      </c>
      <c r="AB130" s="19">
        <v>2.0</v>
      </c>
      <c r="AC130" s="19">
        <v>1.0</v>
      </c>
      <c r="AD130" s="19">
        <v>3.0</v>
      </c>
      <c r="AE130" s="19"/>
      <c r="AF130" s="19"/>
      <c r="AG130" s="19"/>
      <c r="AH130" s="19">
        <v>2.0</v>
      </c>
      <c r="AI130" s="19">
        <v>6.0</v>
      </c>
      <c r="AJ130" s="19">
        <v>5.0</v>
      </c>
      <c r="AK130" s="19"/>
      <c r="AL130" s="19">
        <v>2.0</v>
      </c>
      <c r="AM130" s="19">
        <v>9.0</v>
      </c>
      <c r="AN130" s="19">
        <v>9.0</v>
      </c>
      <c r="AO130" s="19">
        <v>1.0</v>
      </c>
      <c r="AP130" s="19">
        <v>1.0</v>
      </c>
      <c r="AQ130" s="19">
        <v>3.0</v>
      </c>
      <c r="AR130" s="19"/>
      <c r="AS130" s="19"/>
      <c r="AT130" s="19"/>
      <c r="AU130" s="19">
        <v>5.0</v>
      </c>
      <c r="AV130" s="19">
        <v>1.0</v>
      </c>
      <c r="AW130" s="19">
        <v>2.0</v>
      </c>
      <c r="AX130" s="19">
        <v>1.0</v>
      </c>
      <c r="AY130" s="19">
        <v>1.0</v>
      </c>
      <c r="AZ130" s="19">
        <v>2.0</v>
      </c>
      <c r="BA130" s="19">
        <v>1.0</v>
      </c>
      <c r="BB130" s="19">
        <v>1.0</v>
      </c>
      <c r="BC130" s="19">
        <v>5.0</v>
      </c>
      <c r="BD130" s="19"/>
      <c r="BE130" s="19">
        <v>3.0</v>
      </c>
      <c r="BF130" s="19"/>
      <c r="BG130" s="19">
        <v>5.0</v>
      </c>
      <c r="BH130" s="19">
        <v>5.0</v>
      </c>
      <c r="BI130" s="19">
        <v>1.0</v>
      </c>
      <c r="BJ130" s="19">
        <v>3.0</v>
      </c>
      <c r="BK130" s="13">
        <f t="shared" si="28"/>
        <v>120</v>
      </c>
      <c r="BL130" s="1"/>
      <c r="BM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>
        <v>1.0</v>
      </c>
      <c r="R131" s="19"/>
      <c r="S131" s="19"/>
      <c r="T131" s="19">
        <v>1.0</v>
      </c>
      <c r="U131" s="19"/>
      <c r="V131" s="19"/>
      <c r="W131" s="19"/>
      <c r="X131" s="19"/>
      <c r="Y131" s="19"/>
      <c r="Z131" s="19"/>
      <c r="AA131" s="19"/>
      <c r="AB131" s="19"/>
      <c r="AC131" s="19">
        <v>1.0</v>
      </c>
      <c r="AD131" s="19"/>
      <c r="AE131" s="19">
        <v>1.0</v>
      </c>
      <c r="AF131" s="19"/>
      <c r="AG131" s="19"/>
      <c r="AH131" s="19"/>
      <c r="AI131" s="19"/>
      <c r="AJ131" s="19">
        <v>1.0</v>
      </c>
      <c r="AK131" s="19"/>
      <c r="AL131" s="19">
        <v>1.0</v>
      </c>
      <c r="AM131" s="19"/>
      <c r="AN131" s="19">
        <v>1.0</v>
      </c>
      <c r="AO131" s="19"/>
      <c r="AP131" s="19"/>
      <c r="AQ131" s="19"/>
      <c r="AR131" s="19"/>
      <c r="AS131" s="19">
        <v>3.0</v>
      </c>
      <c r="AT131" s="19">
        <v>1.0</v>
      </c>
      <c r="AU131" s="19">
        <v>1.0</v>
      </c>
      <c r="AV131" s="19">
        <v>1.0</v>
      </c>
      <c r="AW131" s="19"/>
      <c r="AX131" s="19"/>
      <c r="AY131" s="19">
        <v>2.0</v>
      </c>
      <c r="AZ131" s="19">
        <v>1.0</v>
      </c>
      <c r="BA131" s="19"/>
      <c r="BB131" s="19"/>
      <c r="BC131" s="19">
        <v>2.0</v>
      </c>
      <c r="BD131" s="19">
        <v>5.0</v>
      </c>
      <c r="BE131" s="19"/>
      <c r="BF131" s="19">
        <v>1.0</v>
      </c>
      <c r="BG131" s="19"/>
      <c r="BH131" s="19"/>
      <c r="BI131" s="19"/>
      <c r="BJ131" s="19">
        <v>1.0</v>
      </c>
      <c r="BK131" s="13">
        <f t="shared" si="28"/>
        <v>25</v>
      </c>
      <c r="BL131" s="52"/>
      <c r="BM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>
        <v>1.0</v>
      </c>
      <c r="V132" s="19">
        <v>1.0</v>
      </c>
      <c r="W132" s="19"/>
      <c r="X132" s="19"/>
      <c r="Y132" s="19"/>
      <c r="Z132" s="19"/>
      <c r="AA132" s="19">
        <v>1.0</v>
      </c>
      <c r="AB132" s="19"/>
      <c r="AC132" s="19"/>
      <c r="AD132" s="19"/>
      <c r="AE132" s="19"/>
      <c r="AF132" s="19"/>
      <c r="AG132" s="19"/>
      <c r="AH132" s="19"/>
      <c r="AI132" s="19">
        <v>1.0</v>
      </c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>
        <v>1.0</v>
      </c>
      <c r="AX132" s="19"/>
      <c r="AY132" s="19"/>
      <c r="AZ132" s="19"/>
      <c r="BA132" s="19"/>
      <c r="BB132" s="19"/>
      <c r="BC132" s="19">
        <v>1.0</v>
      </c>
      <c r="BD132" s="19"/>
      <c r="BE132" s="19">
        <v>1.0</v>
      </c>
      <c r="BF132" s="19">
        <v>1.0</v>
      </c>
      <c r="BG132" s="19"/>
      <c r="BH132" s="19"/>
      <c r="BI132" s="19"/>
      <c r="BJ132" s="19">
        <v>1.0</v>
      </c>
      <c r="BK132" s="13">
        <f t="shared" si="28"/>
        <v>9</v>
      </c>
      <c r="BL132" s="5"/>
      <c r="BM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>
        <v>1.0</v>
      </c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3">
        <f t="shared" si="28"/>
        <v>1</v>
      </c>
      <c r="BL133" s="5"/>
      <c r="BM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>
        <v>1.0</v>
      </c>
      <c r="AM134" s="19"/>
      <c r="AN134" s="19">
        <v>1.0</v>
      </c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>
        <v>1.0</v>
      </c>
      <c r="BJ134" s="19"/>
      <c r="BK134" s="13">
        <f t="shared" si="28"/>
        <v>3</v>
      </c>
      <c r="BL134" s="5"/>
      <c r="BM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>
        <v>1.0</v>
      </c>
      <c r="BF135" s="19"/>
      <c r="BG135" s="19"/>
      <c r="BH135" s="19"/>
      <c r="BI135" s="19">
        <v>1.0</v>
      </c>
      <c r="BJ135" s="19">
        <v>2.0</v>
      </c>
      <c r="BK135" s="13">
        <f t="shared" si="28"/>
        <v>4</v>
      </c>
      <c r="BL135" s="5"/>
      <c r="BM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>
        <v>1.0</v>
      </c>
      <c r="R136" s="19"/>
      <c r="S136" s="19"/>
      <c r="T136" s="19"/>
      <c r="U136" s="19"/>
      <c r="V136" s="19">
        <v>1.0</v>
      </c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3">
        <f t="shared" si="28"/>
        <v>2</v>
      </c>
      <c r="BL136" s="5"/>
      <c r="BM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3">
        <f t="shared" si="28"/>
        <v>0</v>
      </c>
      <c r="BL137" s="5"/>
      <c r="BM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3">
        <f t="shared" si="28"/>
        <v>0</v>
      </c>
      <c r="BL138" s="5"/>
      <c r="BM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BJ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0</v>
      </c>
      <c r="K139" s="13">
        <f t="shared" si="29"/>
        <v>3</v>
      </c>
      <c r="L139" s="13">
        <f t="shared" si="29"/>
        <v>1</v>
      </c>
      <c r="M139" s="13">
        <f t="shared" si="29"/>
        <v>6</v>
      </c>
      <c r="N139" s="13">
        <f t="shared" si="29"/>
        <v>0</v>
      </c>
      <c r="O139" s="13">
        <f t="shared" si="29"/>
        <v>4</v>
      </c>
      <c r="P139" s="13">
        <f t="shared" si="29"/>
        <v>2</v>
      </c>
      <c r="Q139" s="13">
        <f t="shared" si="29"/>
        <v>4</v>
      </c>
      <c r="R139" s="13">
        <f t="shared" si="29"/>
        <v>1</v>
      </c>
      <c r="S139" s="13">
        <f t="shared" si="29"/>
        <v>2</v>
      </c>
      <c r="T139" s="13">
        <f t="shared" si="29"/>
        <v>2</v>
      </c>
      <c r="U139" s="13">
        <f t="shared" si="29"/>
        <v>6</v>
      </c>
      <c r="V139" s="13">
        <f t="shared" si="29"/>
        <v>6</v>
      </c>
      <c r="W139" s="13">
        <f t="shared" si="29"/>
        <v>12</v>
      </c>
      <c r="X139" s="13">
        <f t="shared" si="29"/>
        <v>0</v>
      </c>
      <c r="Y139" s="13">
        <f t="shared" si="29"/>
        <v>4</v>
      </c>
      <c r="Z139" s="13">
        <f t="shared" si="29"/>
        <v>4</v>
      </c>
      <c r="AA139" s="13">
        <f t="shared" si="29"/>
        <v>6</v>
      </c>
      <c r="AB139" s="13">
        <f t="shared" si="29"/>
        <v>3</v>
      </c>
      <c r="AC139" s="13">
        <f t="shared" si="29"/>
        <v>4</v>
      </c>
      <c r="AD139" s="13">
        <f t="shared" si="29"/>
        <v>3</v>
      </c>
      <c r="AE139" s="13">
        <f t="shared" si="29"/>
        <v>1</v>
      </c>
      <c r="AF139" s="13">
        <f t="shared" si="29"/>
        <v>0</v>
      </c>
      <c r="AG139" s="13">
        <f t="shared" si="29"/>
        <v>0</v>
      </c>
      <c r="AH139" s="13">
        <f t="shared" si="29"/>
        <v>5</v>
      </c>
      <c r="AI139" s="13">
        <f t="shared" si="29"/>
        <v>8</v>
      </c>
      <c r="AJ139" s="13">
        <f t="shared" si="29"/>
        <v>19</v>
      </c>
      <c r="AK139" s="13">
        <f t="shared" si="29"/>
        <v>3</v>
      </c>
      <c r="AL139" s="13">
        <f t="shared" si="29"/>
        <v>6</v>
      </c>
      <c r="AM139" s="13">
        <f t="shared" si="29"/>
        <v>14</v>
      </c>
      <c r="AN139" s="13">
        <f t="shared" si="29"/>
        <v>13</v>
      </c>
      <c r="AO139" s="13">
        <f t="shared" si="29"/>
        <v>1</v>
      </c>
      <c r="AP139" s="13">
        <f t="shared" si="29"/>
        <v>1</v>
      </c>
      <c r="AQ139" s="13">
        <f t="shared" si="29"/>
        <v>4</v>
      </c>
      <c r="AR139" s="13">
        <f t="shared" si="29"/>
        <v>3</v>
      </c>
      <c r="AS139" s="13">
        <f t="shared" si="29"/>
        <v>3</v>
      </c>
      <c r="AT139" s="13">
        <f t="shared" si="29"/>
        <v>1</v>
      </c>
      <c r="AU139" s="13">
        <f t="shared" si="29"/>
        <v>7</v>
      </c>
      <c r="AV139" s="13">
        <f t="shared" si="29"/>
        <v>3</v>
      </c>
      <c r="AW139" s="13">
        <f t="shared" si="29"/>
        <v>3</v>
      </c>
      <c r="AX139" s="13">
        <f t="shared" si="29"/>
        <v>1</v>
      </c>
      <c r="AY139" s="13">
        <f t="shared" si="29"/>
        <v>4</v>
      </c>
      <c r="AZ139" s="13">
        <f t="shared" si="29"/>
        <v>3</v>
      </c>
      <c r="BA139" s="13">
        <f t="shared" si="29"/>
        <v>1</v>
      </c>
      <c r="BB139" s="13">
        <f t="shared" si="29"/>
        <v>1</v>
      </c>
      <c r="BC139" s="13">
        <f t="shared" si="29"/>
        <v>11</v>
      </c>
      <c r="BD139" s="13">
        <f t="shared" si="29"/>
        <v>5</v>
      </c>
      <c r="BE139" s="13">
        <f t="shared" si="29"/>
        <v>8</v>
      </c>
      <c r="BF139" s="13">
        <f t="shared" si="29"/>
        <v>3</v>
      </c>
      <c r="BG139" s="13">
        <f t="shared" si="29"/>
        <v>6</v>
      </c>
      <c r="BH139" s="13">
        <f t="shared" si="29"/>
        <v>5</v>
      </c>
      <c r="BI139" s="13">
        <f t="shared" si="29"/>
        <v>3</v>
      </c>
      <c r="BJ139" s="13">
        <f t="shared" si="29"/>
        <v>8</v>
      </c>
      <c r="BK139" s="13">
        <f t="shared" si="28"/>
        <v>228</v>
      </c>
      <c r="BL139" s="5"/>
      <c r="BM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5"/>
      <c r="B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>
        <v>1.0</v>
      </c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>
        <v>2.0</v>
      </c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3">
        <f t="shared" ref="BK141:BK151" si="30">SUM(E141:BJ141)</f>
        <v>3</v>
      </c>
      <c r="BL141" s="1"/>
      <c r="B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>
        <v>1.0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>
        <v>1.0</v>
      </c>
      <c r="BH142" s="19"/>
      <c r="BI142" s="19"/>
      <c r="BJ142" s="19"/>
      <c r="BK142" s="13">
        <f t="shared" si="30"/>
        <v>2</v>
      </c>
      <c r="BL142" s="52"/>
      <c r="BM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>
        <v>1.0</v>
      </c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>
        <v>1.0</v>
      </c>
      <c r="BJ143" s="19"/>
      <c r="BK143" s="13">
        <f t="shared" si="30"/>
        <v>2</v>
      </c>
      <c r="BL143" s="5"/>
      <c r="BM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3">
        <f t="shared" si="30"/>
        <v>0</v>
      </c>
      <c r="BL144" s="5"/>
      <c r="BM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3">
        <f t="shared" si="30"/>
        <v>0</v>
      </c>
      <c r="BL145" s="5"/>
      <c r="BM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3">
        <f t="shared" si="30"/>
        <v>0</v>
      </c>
      <c r="BL146" s="5"/>
      <c r="BM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>
        <v>1.0</v>
      </c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>
        <v>1.0</v>
      </c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3">
        <f t="shared" si="30"/>
        <v>2</v>
      </c>
      <c r="BL147" s="5"/>
      <c r="BM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>
        <v>1.0</v>
      </c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3">
        <f t="shared" si="30"/>
        <v>1</v>
      </c>
      <c r="BL148" s="5"/>
      <c r="BM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3">
        <f t="shared" si="30"/>
        <v>0</v>
      </c>
      <c r="BL149" s="5"/>
      <c r="BM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3">
        <f t="shared" si="30"/>
        <v>0</v>
      </c>
      <c r="BL150" s="5"/>
      <c r="B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2</v>
      </c>
      <c r="AN151" s="13">
        <f t="shared" si="31"/>
        <v>0</v>
      </c>
      <c r="AO151" s="13">
        <f t="shared" si="31"/>
        <v>0</v>
      </c>
      <c r="AP151" s="13">
        <f t="shared" si="31"/>
        <v>1</v>
      </c>
      <c r="AQ151" s="13">
        <f t="shared" si="31"/>
        <v>0</v>
      </c>
      <c r="AR151" s="13">
        <f t="shared" si="31"/>
        <v>0</v>
      </c>
      <c r="AS151" s="13">
        <f t="shared" si="31"/>
        <v>1</v>
      </c>
      <c r="AT151" s="13">
        <f t="shared" si="31"/>
        <v>0</v>
      </c>
      <c r="AU151" s="13">
        <f t="shared" si="31"/>
        <v>1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1</v>
      </c>
      <c r="BH151" s="13">
        <f t="shared" si="31"/>
        <v>0</v>
      </c>
      <c r="BI151" s="13">
        <f t="shared" si="31"/>
        <v>1</v>
      </c>
      <c r="BJ151" s="13">
        <f t="shared" si="31"/>
        <v>0</v>
      </c>
      <c r="BK151" s="13">
        <f t="shared" si="30"/>
        <v>10</v>
      </c>
      <c r="BL151" s="1"/>
      <c r="BM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13"/>
      <c r="BL152" s="52"/>
      <c r="B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/>
      <c r="F153" s="19"/>
      <c r="G153" s="19"/>
      <c r="H153" s="19"/>
      <c r="I153" s="19"/>
      <c r="J153" s="19"/>
      <c r="K153" s="19"/>
      <c r="L153" s="19">
        <v>2.0</v>
      </c>
      <c r="M153" s="19">
        <v>1.0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>
        <v>1.0</v>
      </c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>
        <v>1.0</v>
      </c>
      <c r="AM153" s="19"/>
      <c r="AN153" s="19"/>
      <c r="AO153" s="19"/>
      <c r="AP153" s="19">
        <v>1.0</v>
      </c>
      <c r="AQ153" s="19"/>
      <c r="AR153" s="19">
        <v>1.0</v>
      </c>
      <c r="AS153" s="19"/>
      <c r="AT153" s="19">
        <v>1.0</v>
      </c>
      <c r="AU153" s="19"/>
      <c r="AV153" s="19"/>
      <c r="AW153" s="19"/>
      <c r="AX153" s="19"/>
      <c r="AY153" s="19"/>
      <c r="AZ153" s="19"/>
      <c r="BA153" s="19"/>
      <c r="BB153" s="19"/>
      <c r="BC153" s="19">
        <v>1.0</v>
      </c>
      <c r="BD153" s="19"/>
      <c r="BE153" s="19"/>
      <c r="BF153" s="19"/>
      <c r="BG153" s="19"/>
      <c r="BH153" s="19"/>
      <c r="BI153" s="19"/>
      <c r="BJ153" s="19"/>
      <c r="BK153" s="13">
        <f t="shared" ref="BK153:BK163" si="32">SUM(E153:BJ153)</f>
        <v>9</v>
      </c>
      <c r="BL153" s="5"/>
      <c r="B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/>
      <c r="G154" s="19"/>
      <c r="H154" s="19"/>
      <c r="I154" s="19"/>
      <c r="J154" s="19"/>
      <c r="K154" s="19"/>
      <c r="L154" s="19">
        <v>2.0</v>
      </c>
      <c r="M154" s="19"/>
      <c r="N154" s="19"/>
      <c r="O154" s="19"/>
      <c r="P154" s="19"/>
      <c r="Q154" s="19"/>
      <c r="R154" s="19">
        <v>2.0</v>
      </c>
      <c r="S154" s="19"/>
      <c r="T154" s="19"/>
      <c r="U154" s="19">
        <v>1.0</v>
      </c>
      <c r="V154" s="19">
        <v>2.0</v>
      </c>
      <c r="W154" s="19">
        <v>1.0</v>
      </c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>
        <v>1.0</v>
      </c>
      <c r="AI154" s="19"/>
      <c r="AJ154" s="19">
        <v>2.0</v>
      </c>
      <c r="AK154" s="19"/>
      <c r="AL154" s="19"/>
      <c r="AM154" s="19"/>
      <c r="AN154" s="19">
        <v>1.0</v>
      </c>
      <c r="AO154" s="19">
        <v>1.0</v>
      </c>
      <c r="AP154" s="19"/>
      <c r="AQ154" s="19">
        <v>1.0</v>
      </c>
      <c r="AR154" s="19">
        <v>1.0</v>
      </c>
      <c r="AS154" s="19"/>
      <c r="AT154" s="19"/>
      <c r="AU154" s="19"/>
      <c r="AV154" s="19">
        <v>1.0</v>
      </c>
      <c r="AW154" s="19"/>
      <c r="AX154" s="19"/>
      <c r="AY154" s="19"/>
      <c r="AZ154" s="19"/>
      <c r="BA154" s="19"/>
      <c r="BB154" s="19">
        <v>1.0</v>
      </c>
      <c r="BC154" s="19">
        <v>1.0</v>
      </c>
      <c r="BD154" s="19"/>
      <c r="BE154" s="19">
        <v>2.0</v>
      </c>
      <c r="BF154" s="19"/>
      <c r="BG154" s="19"/>
      <c r="BH154" s="19"/>
      <c r="BI154" s="19"/>
      <c r="BJ154" s="19"/>
      <c r="BK154" s="13">
        <f t="shared" si="32"/>
        <v>20</v>
      </c>
      <c r="BL154" s="5"/>
      <c r="BM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/>
      <c r="G155" s="19"/>
      <c r="H155" s="19"/>
      <c r="I155" s="19"/>
      <c r="J155" s="19"/>
      <c r="K155" s="19"/>
      <c r="L155" s="19"/>
      <c r="M155" s="19">
        <v>1.0</v>
      </c>
      <c r="N155" s="19"/>
      <c r="O155" s="19"/>
      <c r="P155" s="19">
        <v>1.0</v>
      </c>
      <c r="Q155" s="19"/>
      <c r="R155" s="19"/>
      <c r="S155" s="19">
        <v>1.0</v>
      </c>
      <c r="T155" s="19"/>
      <c r="U155" s="19"/>
      <c r="V155" s="19"/>
      <c r="W155" s="19">
        <v>1.0</v>
      </c>
      <c r="X155" s="19"/>
      <c r="Y155" s="19"/>
      <c r="Z155" s="19"/>
      <c r="AA155" s="19"/>
      <c r="AB155" s="19"/>
      <c r="AC155" s="19"/>
      <c r="AD155" s="19">
        <v>1.0</v>
      </c>
      <c r="AE155" s="19"/>
      <c r="AF155" s="19">
        <v>1.0</v>
      </c>
      <c r="AG155" s="19"/>
      <c r="AH155" s="19"/>
      <c r="AI155" s="19"/>
      <c r="AJ155" s="19">
        <v>1.0</v>
      </c>
      <c r="AK155" s="19"/>
      <c r="AL155" s="19"/>
      <c r="AM155" s="19"/>
      <c r="AN155" s="19"/>
      <c r="AO155" s="19">
        <v>1.0</v>
      </c>
      <c r="AP155" s="19"/>
      <c r="AQ155" s="19">
        <v>1.0</v>
      </c>
      <c r="AR155" s="19"/>
      <c r="AS155" s="19"/>
      <c r="AT155" s="19"/>
      <c r="AU155" s="19"/>
      <c r="AV155" s="19">
        <v>1.0</v>
      </c>
      <c r="AW155" s="19"/>
      <c r="AX155" s="19"/>
      <c r="AY155" s="19"/>
      <c r="AZ155" s="19"/>
      <c r="BA155" s="19"/>
      <c r="BB155" s="19">
        <v>1.0</v>
      </c>
      <c r="BC155" s="19"/>
      <c r="BD155" s="19"/>
      <c r="BE155" s="19"/>
      <c r="BF155" s="19"/>
      <c r="BG155" s="19"/>
      <c r="BH155" s="19"/>
      <c r="BI155" s="19"/>
      <c r="BJ155" s="19"/>
      <c r="BK155" s="13">
        <f t="shared" si="32"/>
        <v>11</v>
      </c>
      <c r="BL155" s="5"/>
      <c r="BM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>
        <v>1.0</v>
      </c>
      <c r="X156" s="19"/>
      <c r="Y156" s="19"/>
      <c r="Z156" s="19"/>
      <c r="AA156" s="19"/>
      <c r="AB156" s="19"/>
      <c r="AC156" s="19"/>
      <c r="AD156" s="19"/>
      <c r="AE156" s="19"/>
      <c r="AF156" s="19">
        <v>1.0</v>
      </c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>
        <v>1.0</v>
      </c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3">
        <f t="shared" si="32"/>
        <v>3</v>
      </c>
      <c r="BL156" s="5"/>
      <c r="BM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>
        <v>1.0</v>
      </c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>
        <v>1.0</v>
      </c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>
        <v>1.0</v>
      </c>
      <c r="BE157" s="19"/>
      <c r="BF157" s="19"/>
      <c r="BG157" s="19"/>
      <c r="BH157" s="19"/>
      <c r="BI157" s="19"/>
      <c r="BJ157" s="19"/>
      <c r="BK157" s="13">
        <f t="shared" si="32"/>
        <v>3</v>
      </c>
      <c r="BL157" s="5"/>
      <c r="BM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3">
        <f t="shared" si="32"/>
        <v>0</v>
      </c>
      <c r="BL158" s="5"/>
      <c r="BM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3">
        <f t="shared" si="32"/>
        <v>0</v>
      </c>
      <c r="BL159" s="5"/>
      <c r="BM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3">
        <f t="shared" si="32"/>
        <v>0</v>
      </c>
      <c r="BL160" s="5"/>
      <c r="BM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3">
        <f t="shared" si="32"/>
        <v>0</v>
      </c>
      <c r="BL161" s="5"/>
      <c r="BM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3">
        <f t="shared" si="32"/>
        <v>0</v>
      </c>
      <c r="BL162" s="5"/>
      <c r="BM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BJ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4</v>
      </c>
      <c r="M163" s="13">
        <f t="shared" si="33"/>
        <v>2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2</v>
      </c>
      <c r="S163" s="13">
        <f t="shared" si="33"/>
        <v>1</v>
      </c>
      <c r="T163" s="13">
        <f t="shared" si="33"/>
        <v>0</v>
      </c>
      <c r="U163" s="13">
        <f t="shared" si="33"/>
        <v>1</v>
      </c>
      <c r="V163" s="13">
        <f t="shared" si="33"/>
        <v>3</v>
      </c>
      <c r="W163" s="13">
        <f t="shared" si="33"/>
        <v>3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</v>
      </c>
      <c r="AE163" s="13">
        <f t="shared" si="33"/>
        <v>0</v>
      </c>
      <c r="AF163" s="13">
        <f t="shared" si="33"/>
        <v>2</v>
      </c>
      <c r="AG163" s="13">
        <f t="shared" si="33"/>
        <v>0</v>
      </c>
      <c r="AH163" s="13">
        <f t="shared" si="33"/>
        <v>1</v>
      </c>
      <c r="AI163" s="13">
        <f t="shared" si="33"/>
        <v>0</v>
      </c>
      <c r="AJ163" s="13">
        <f t="shared" si="33"/>
        <v>3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1</v>
      </c>
      <c r="AO163" s="13">
        <f t="shared" si="33"/>
        <v>2</v>
      </c>
      <c r="AP163" s="13">
        <f t="shared" si="33"/>
        <v>2</v>
      </c>
      <c r="AQ163" s="13">
        <f t="shared" si="33"/>
        <v>2</v>
      </c>
      <c r="AR163" s="13">
        <f t="shared" si="33"/>
        <v>2</v>
      </c>
      <c r="AS163" s="13">
        <f t="shared" si="33"/>
        <v>0</v>
      </c>
      <c r="AT163" s="13">
        <f t="shared" si="33"/>
        <v>1</v>
      </c>
      <c r="AU163" s="13">
        <f t="shared" si="33"/>
        <v>0</v>
      </c>
      <c r="AV163" s="13">
        <f t="shared" si="33"/>
        <v>2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1</v>
      </c>
      <c r="BA163" s="13">
        <f t="shared" si="33"/>
        <v>0</v>
      </c>
      <c r="BB163" s="13">
        <f t="shared" si="33"/>
        <v>2</v>
      </c>
      <c r="BC163" s="13">
        <f t="shared" si="33"/>
        <v>2</v>
      </c>
      <c r="BD163" s="13">
        <f t="shared" si="33"/>
        <v>1</v>
      </c>
      <c r="BE163" s="13">
        <f t="shared" si="33"/>
        <v>2</v>
      </c>
      <c r="BF163" s="13">
        <f t="shared" si="33"/>
        <v>0</v>
      </c>
      <c r="BG163" s="13">
        <f t="shared" si="33"/>
        <v>0</v>
      </c>
      <c r="BH163" s="13">
        <f t="shared" si="33"/>
        <v>0</v>
      </c>
      <c r="BI163" s="13">
        <f t="shared" si="33"/>
        <v>0</v>
      </c>
      <c r="BJ163" s="13">
        <f t="shared" si="33"/>
        <v>0</v>
      </c>
      <c r="BK163" s="13">
        <f t="shared" si="32"/>
        <v>46</v>
      </c>
      <c r="BL163" s="5"/>
      <c r="BM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5"/>
      <c r="B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>
        <v>1.0</v>
      </c>
      <c r="I165" s="19">
        <v>1.0</v>
      </c>
      <c r="J165" s="19">
        <v>2.0</v>
      </c>
      <c r="K165" s="19"/>
      <c r="L165" s="19"/>
      <c r="M165" s="19"/>
      <c r="N165" s="19"/>
      <c r="O165" s="19"/>
      <c r="P165" s="19"/>
      <c r="Q165" s="19"/>
      <c r="R165" s="19">
        <v>1.0</v>
      </c>
      <c r="S165" s="19"/>
      <c r="T165" s="19"/>
      <c r="U165" s="19"/>
      <c r="V165" s="19"/>
      <c r="W165" s="19"/>
      <c r="X165" s="19"/>
      <c r="Y165" s="19"/>
      <c r="Z165" s="19">
        <v>1.0</v>
      </c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>
        <v>1.0</v>
      </c>
      <c r="AM165" s="19"/>
      <c r="AN165" s="19"/>
      <c r="AO165" s="19"/>
      <c r="AP165" s="19">
        <v>1.0</v>
      </c>
      <c r="AQ165" s="19"/>
      <c r="AR165" s="19"/>
      <c r="AS165" s="19"/>
      <c r="AT165" s="19"/>
      <c r="AU165" s="19"/>
      <c r="AV165" s="19"/>
      <c r="AW165" s="19"/>
      <c r="AX165" s="19"/>
      <c r="AY165" s="19">
        <v>1.0</v>
      </c>
      <c r="AZ165" s="19">
        <v>1.0</v>
      </c>
      <c r="BA165" s="19"/>
      <c r="BB165" s="19"/>
      <c r="BC165" s="19">
        <v>1.0</v>
      </c>
      <c r="BD165" s="19"/>
      <c r="BE165" s="19"/>
      <c r="BF165" s="19"/>
      <c r="BG165" s="19"/>
      <c r="BH165" s="19"/>
      <c r="BI165" s="19"/>
      <c r="BJ165" s="19"/>
      <c r="BK165" s="13">
        <f t="shared" ref="BK165:BK175" si="34">SUM(E165:BJ165)</f>
        <v>11</v>
      </c>
      <c r="BL165" s="1"/>
      <c r="B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>
        <v>2.0</v>
      </c>
      <c r="K166" s="19">
        <v>1.0</v>
      </c>
      <c r="L166" s="19">
        <v>1.0</v>
      </c>
      <c r="M166" s="19"/>
      <c r="N166" s="19"/>
      <c r="O166" s="19">
        <v>2.0</v>
      </c>
      <c r="P166" s="19"/>
      <c r="Q166" s="19"/>
      <c r="R166" s="19">
        <v>2.0</v>
      </c>
      <c r="S166" s="19"/>
      <c r="T166" s="19"/>
      <c r="U166" s="19"/>
      <c r="V166" s="19">
        <v>1.0</v>
      </c>
      <c r="W166" s="19">
        <v>1.0</v>
      </c>
      <c r="X166" s="19"/>
      <c r="Y166" s="19">
        <v>2.0</v>
      </c>
      <c r="Z166" s="19"/>
      <c r="AA166" s="19">
        <v>1.0</v>
      </c>
      <c r="AB166" s="19"/>
      <c r="AC166" s="19"/>
      <c r="AD166" s="19"/>
      <c r="AE166" s="19"/>
      <c r="AF166" s="19"/>
      <c r="AG166" s="19"/>
      <c r="AH166" s="19"/>
      <c r="AI166" s="19"/>
      <c r="AJ166" s="19">
        <v>1.0</v>
      </c>
      <c r="AK166" s="19">
        <v>2.0</v>
      </c>
      <c r="AL166" s="19">
        <v>1.0</v>
      </c>
      <c r="AM166" s="19"/>
      <c r="AN166" s="19"/>
      <c r="AO166" s="19"/>
      <c r="AP166" s="19"/>
      <c r="AQ166" s="19"/>
      <c r="AR166" s="19">
        <v>1.0</v>
      </c>
      <c r="AS166" s="19"/>
      <c r="AT166" s="19">
        <v>1.0</v>
      </c>
      <c r="AU166" s="19"/>
      <c r="AV166" s="19"/>
      <c r="AW166" s="19"/>
      <c r="AX166" s="19"/>
      <c r="AY166" s="19"/>
      <c r="AZ166" s="19"/>
      <c r="BA166" s="19">
        <v>1.0</v>
      </c>
      <c r="BB166" s="19"/>
      <c r="BC166" s="19"/>
      <c r="BD166" s="19">
        <v>1.0</v>
      </c>
      <c r="BE166" s="19"/>
      <c r="BF166" s="19">
        <v>1.0</v>
      </c>
      <c r="BG166" s="19"/>
      <c r="BH166" s="19"/>
      <c r="BI166" s="19"/>
      <c r="BJ166" s="19"/>
      <c r="BK166" s="13">
        <f t="shared" si="34"/>
        <v>22</v>
      </c>
      <c r="BL166" s="52"/>
      <c r="BM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>
        <v>1.0</v>
      </c>
      <c r="H167" s="19"/>
      <c r="I167" s="19"/>
      <c r="J167" s="19">
        <v>1.0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>
        <v>1.0</v>
      </c>
      <c r="W167" s="19">
        <v>1.0</v>
      </c>
      <c r="X167" s="19">
        <v>1.0</v>
      </c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>
        <v>1.0</v>
      </c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3">
        <f t="shared" si="34"/>
        <v>6</v>
      </c>
      <c r="BL167" s="5"/>
      <c r="BM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>
        <v>1.0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>
        <v>2.0</v>
      </c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>
        <v>1.0</v>
      </c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3">
        <f t="shared" si="34"/>
        <v>4</v>
      </c>
      <c r="BL168" s="5"/>
      <c r="BM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>
        <v>1.0</v>
      </c>
      <c r="AU169" s="19"/>
      <c r="AV169" s="19"/>
      <c r="AW169" s="19"/>
      <c r="AX169" s="19"/>
      <c r="AY169" s="19"/>
      <c r="AZ169" s="19"/>
      <c r="BA169" s="19"/>
      <c r="BB169" s="19"/>
      <c r="BC169" s="19">
        <v>1.0</v>
      </c>
      <c r="BD169" s="19"/>
      <c r="BE169" s="19"/>
      <c r="BF169" s="19"/>
      <c r="BG169" s="19"/>
      <c r="BH169" s="19"/>
      <c r="BI169" s="19"/>
      <c r="BJ169" s="19"/>
      <c r="BK169" s="13">
        <f t="shared" si="34"/>
        <v>2</v>
      </c>
      <c r="BL169" s="5"/>
      <c r="BM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/>
      <c r="H170" s="19"/>
      <c r="I170" s="19"/>
      <c r="J170" s="19"/>
      <c r="K170" s="19"/>
      <c r="L170" s="19">
        <v>1.0</v>
      </c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>
        <v>1.0</v>
      </c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3">
        <f t="shared" si="34"/>
        <v>2</v>
      </c>
      <c r="BL170" s="5"/>
      <c r="BM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>
        <v>1.0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3">
        <f t="shared" si="34"/>
        <v>1</v>
      </c>
      <c r="BL171" s="5"/>
      <c r="BM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>
        <v>1.0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3">
        <f t="shared" si="34"/>
        <v>1</v>
      </c>
      <c r="BL172" s="5"/>
      <c r="BM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3">
        <f t="shared" si="34"/>
        <v>0</v>
      </c>
      <c r="BL173" s="5"/>
      <c r="BM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3">
        <f t="shared" si="34"/>
        <v>0</v>
      </c>
      <c r="BL174" s="5"/>
      <c r="BM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BJ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2</v>
      </c>
      <c r="I175" s="13">
        <f t="shared" si="35"/>
        <v>1</v>
      </c>
      <c r="J175" s="13">
        <f t="shared" si="35"/>
        <v>5</v>
      </c>
      <c r="K175" s="13">
        <f t="shared" si="35"/>
        <v>1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0</v>
      </c>
      <c r="Q175" s="13">
        <f t="shared" si="35"/>
        <v>2</v>
      </c>
      <c r="R175" s="13">
        <f t="shared" si="35"/>
        <v>3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2</v>
      </c>
      <c r="W175" s="13">
        <f t="shared" si="35"/>
        <v>2</v>
      </c>
      <c r="X175" s="13">
        <f t="shared" si="35"/>
        <v>1</v>
      </c>
      <c r="Y175" s="13">
        <f t="shared" si="35"/>
        <v>2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5"/>
        <v>2</v>
      </c>
      <c r="AL175" s="13">
        <f t="shared" si="35"/>
        <v>4</v>
      </c>
      <c r="AM175" s="13">
        <f t="shared" si="35"/>
        <v>0</v>
      </c>
      <c r="AN175" s="13">
        <f t="shared" si="35"/>
        <v>0</v>
      </c>
      <c r="AO175" s="13">
        <f t="shared" si="35"/>
        <v>1</v>
      </c>
      <c r="AP175" s="13">
        <f t="shared" si="35"/>
        <v>1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3</v>
      </c>
      <c r="AU175" s="13">
        <f t="shared" si="35"/>
        <v>0</v>
      </c>
      <c r="AV175" s="13">
        <f t="shared" si="35"/>
        <v>0</v>
      </c>
      <c r="AW175" s="13">
        <f t="shared" si="35"/>
        <v>0</v>
      </c>
      <c r="AX175" s="13">
        <f t="shared" si="35"/>
        <v>0</v>
      </c>
      <c r="AY175" s="13">
        <f t="shared" si="35"/>
        <v>1</v>
      </c>
      <c r="AZ175" s="13">
        <f t="shared" si="35"/>
        <v>2</v>
      </c>
      <c r="BA175" s="13">
        <f t="shared" si="35"/>
        <v>1</v>
      </c>
      <c r="BB175" s="13">
        <f t="shared" si="35"/>
        <v>0</v>
      </c>
      <c r="BC175" s="13">
        <f t="shared" si="35"/>
        <v>2</v>
      </c>
      <c r="BD175" s="13">
        <f t="shared" si="35"/>
        <v>1</v>
      </c>
      <c r="BE175" s="13">
        <f t="shared" si="35"/>
        <v>0</v>
      </c>
      <c r="BF175" s="13">
        <f t="shared" si="35"/>
        <v>1</v>
      </c>
      <c r="BG175" s="13">
        <f t="shared" si="35"/>
        <v>0</v>
      </c>
      <c r="BH175" s="13">
        <f t="shared" si="35"/>
        <v>0</v>
      </c>
      <c r="BI175" s="13">
        <f t="shared" si="35"/>
        <v>0</v>
      </c>
      <c r="BJ175" s="13">
        <f t="shared" si="35"/>
        <v>0</v>
      </c>
      <c r="BK175" s="13">
        <f t="shared" si="34"/>
        <v>49</v>
      </c>
      <c r="BL175" s="5"/>
      <c r="BM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1"/>
      <c r="B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/>
      <c r="G177" s="19">
        <v>1.0</v>
      </c>
      <c r="H177" s="19">
        <v>1.0</v>
      </c>
      <c r="I177" s="19">
        <v>1.0</v>
      </c>
      <c r="J177" s="19">
        <v>1.0</v>
      </c>
      <c r="K177" s="19"/>
      <c r="L177" s="19"/>
      <c r="M177" s="19"/>
      <c r="N177" s="19"/>
      <c r="O177" s="19">
        <v>3.0</v>
      </c>
      <c r="P177" s="19">
        <v>1.0</v>
      </c>
      <c r="Q177" s="19">
        <v>8.0</v>
      </c>
      <c r="R177" s="19">
        <v>1.0</v>
      </c>
      <c r="S177" s="19">
        <v>1.0</v>
      </c>
      <c r="T177" s="19"/>
      <c r="U177" s="19"/>
      <c r="V177" s="19"/>
      <c r="W177" s="19"/>
      <c r="X177" s="19"/>
      <c r="Y177" s="19">
        <v>2.0</v>
      </c>
      <c r="Z177" s="19">
        <v>1.0</v>
      </c>
      <c r="AA177" s="19">
        <v>1.0</v>
      </c>
      <c r="AB177" s="19">
        <v>1.0</v>
      </c>
      <c r="AC177" s="19"/>
      <c r="AD177" s="19">
        <v>1.0</v>
      </c>
      <c r="AE177" s="19"/>
      <c r="AF177" s="19">
        <v>1.0</v>
      </c>
      <c r="AG177" s="19"/>
      <c r="AH177" s="19"/>
      <c r="AI177" s="19"/>
      <c r="AJ177" s="19">
        <v>1.0</v>
      </c>
      <c r="AK177" s="19">
        <v>4.0</v>
      </c>
      <c r="AL177" s="19">
        <v>1.0</v>
      </c>
      <c r="AM177" s="19"/>
      <c r="AN177" s="19"/>
      <c r="AO177" s="19">
        <v>1.0</v>
      </c>
      <c r="AP177" s="19"/>
      <c r="AQ177" s="19"/>
      <c r="AR177" s="19"/>
      <c r="AS177" s="19"/>
      <c r="AT177" s="19">
        <v>2.0</v>
      </c>
      <c r="AU177" s="19"/>
      <c r="AV177" s="19">
        <v>2.0</v>
      </c>
      <c r="AW177" s="19"/>
      <c r="AX177" s="19">
        <v>1.0</v>
      </c>
      <c r="AY177" s="19"/>
      <c r="AZ177" s="19"/>
      <c r="BA177" s="19"/>
      <c r="BB177" s="19"/>
      <c r="BC177" s="19"/>
      <c r="BD177" s="19"/>
      <c r="BE177" s="19"/>
      <c r="BF177" s="19"/>
      <c r="BG177" s="19">
        <v>1.0</v>
      </c>
      <c r="BH177" s="19"/>
      <c r="BI177" s="19"/>
      <c r="BJ177" s="19">
        <v>1.0</v>
      </c>
      <c r="BK177" s="13">
        <f t="shared" ref="BK177:BK187" si="36">SUM(E177:BJ177)</f>
        <v>40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>
        <v>1.0</v>
      </c>
      <c r="G178" s="19"/>
      <c r="H178" s="19"/>
      <c r="I178" s="19"/>
      <c r="J178" s="19"/>
      <c r="K178" s="19">
        <v>1.0</v>
      </c>
      <c r="L178" s="19"/>
      <c r="M178" s="19">
        <v>2.0</v>
      </c>
      <c r="N178" s="19"/>
      <c r="O178" s="19"/>
      <c r="P178" s="19">
        <v>3.0</v>
      </c>
      <c r="Q178" s="19">
        <v>6.0</v>
      </c>
      <c r="R178" s="19">
        <v>2.0</v>
      </c>
      <c r="S178" s="19">
        <v>1.0</v>
      </c>
      <c r="T178" s="19">
        <v>7.0</v>
      </c>
      <c r="U178" s="19">
        <v>1.0</v>
      </c>
      <c r="V178" s="19"/>
      <c r="W178" s="19"/>
      <c r="X178" s="19">
        <v>5.0</v>
      </c>
      <c r="Y178" s="19"/>
      <c r="Z178" s="19">
        <v>1.0</v>
      </c>
      <c r="AA178" s="19"/>
      <c r="AB178" s="19"/>
      <c r="AC178" s="19">
        <v>1.0</v>
      </c>
      <c r="AD178" s="19">
        <v>1.0</v>
      </c>
      <c r="AE178" s="19">
        <v>1.0</v>
      </c>
      <c r="AF178" s="19"/>
      <c r="AG178" s="19">
        <v>2.0</v>
      </c>
      <c r="AH178" s="19">
        <v>1.0</v>
      </c>
      <c r="AI178" s="19">
        <v>2.0</v>
      </c>
      <c r="AJ178" s="19"/>
      <c r="AK178" s="19">
        <v>1.0</v>
      </c>
      <c r="AL178" s="19"/>
      <c r="AM178" s="19">
        <v>5.0</v>
      </c>
      <c r="AN178" s="19">
        <v>1.0</v>
      </c>
      <c r="AO178" s="19"/>
      <c r="AP178" s="19"/>
      <c r="AQ178" s="19"/>
      <c r="AR178" s="19"/>
      <c r="AS178" s="19"/>
      <c r="AT178" s="19">
        <v>2.0</v>
      </c>
      <c r="AU178" s="19"/>
      <c r="AV178" s="19"/>
      <c r="AW178" s="19"/>
      <c r="AX178" s="19">
        <v>1.0</v>
      </c>
      <c r="AY178" s="19"/>
      <c r="AZ178" s="19">
        <v>1.0</v>
      </c>
      <c r="BA178" s="19">
        <v>2.0</v>
      </c>
      <c r="BB178" s="19"/>
      <c r="BC178" s="19">
        <v>1.0</v>
      </c>
      <c r="BD178" s="19"/>
      <c r="BE178" s="19"/>
      <c r="BF178" s="19">
        <v>1.0</v>
      </c>
      <c r="BG178" s="19">
        <v>2.0</v>
      </c>
      <c r="BH178" s="19">
        <v>2.0</v>
      </c>
      <c r="BI178" s="19"/>
      <c r="BJ178" s="19">
        <v>3.0</v>
      </c>
      <c r="BK178" s="13">
        <f t="shared" si="36"/>
        <v>60</v>
      </c>
      <c r="BL178" s="5"/>
      <c r="BM178" s="5"/>
    </row>
    <row r="179" ht="12.75" customHeight="1">
      <c r="A179" s="18"/>
      <c r="B179" s="55">
        <v>2.0</v>
      </c>
      <c r="C179" s="50" t="s">
        <v>131</v>
      </c>
      <c r="D179" s="57"/>
      <c r="E179" s="19"/>
      <c r="F179" s="19"/>
      <c r="G179" s="19"/>
      <c r="H179" s="19"/>
      <c r="I179" s="19"/>
      <c r="J179" s="19"/>
      <c r="K179" s="19">
        <v>1.0</v>
      </c>
      <c r="L179" s="19">
        <v>1.0</v>
      </c>
      <c r="M179" s="19"/>
      <c r="N179" s="19"/>
      <c r="O179" s="19"/>
      <c r="P179" s="19"/>
      <c r="Q179" s="19">
        <v>3.0</v>
      </c>
      <c r="R179" s="19"/>
      <c r="S179" s="19"/>
      <c r="T179" s="19"/>
      <c r="U179" s="19"/>
      <c r="V179" s="19"/>
      <c r="W179" s="19"/>
      <c r="X179" s="19"/>
      <c r="Y179" s="19">
        <v>2.0</v>
      </c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>
        <v>1.0</v>
      </c>
      <c r="AN179" s="19"/>
      <c r="AO179" s="19"/>
      <c r="AP179" s="19"/>
      <c r="AQ179" s="19">
        <v>1.0</v>
      </c>
      <c r="AR179" s="19">
        <v>1.0</v>
      </c>
      <c r="AS179" s="19"/>
      <c r="AT179" s="19"/>
      <c r="AU179" s="19">
        <v>2.0</v>
      </c>
      <c r="AV179" s="19">
        <v>1.0</v>
      </c>
      <c r="AW179" s="19"/>
      <c r="AX179" s="19">
        <v>3.0</v>
      </c>
      <c r="AY179" s="19">
        <v>1.0</v>
      </c>
      <c r="AZ179" s="19"/>
      <c r="BA179" s="19"/>
      <c r="BB179" s="19">
        <v>1.0</v>
      </c>
      <c r="BC179" s="19"/>
      <c r="BD179" s="19">
        <v>1.0</v>
      </c>
      <c r="BE179" s="19"/>
      <c r="BF179" s="19"/>
      <c r="BG179" s="19">
        <v>1.0</v>
      </c>
      <c r="BH179" s="19"/>
      <c r="BI179" s="19">
        <v>1.0</v>
      </c>
      <c r="BJ179" s="19">
        <v>1.0</v>
      </c>
      <c r="BK179" s="13">
        <f t="shared" si="36"/>
        <v>22</v>
      </c>
      <c r="BL179" s="5"/>
      <c r="BM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>
        <v>1.0</v>
      </c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>
        <v>1.0</v>
      </c>
      <c r="AM180" s="19"/>
      <c r="AN180" s="19"/>
      <c r="AO180" s="19"/>
      <c r="AP180" s="19">
        <v>1.0</v>
      </c>
      <c r="AQ180" s="19"/>
      <c r="AR180" s="19"/>
      <c r="AS180" s="19">
        <v>1.0</v>
      </c>
      <c r="AT180" s="19"/>
      <c r="AU180" s="19"/>
      <c r="AV180" s="19"/>
      <c r="AW180" s="19"/>
      <c r="AX180" s="19">
        <v>1.0</v>
      </c>
      <c r="AY180" s="19"/>
      <c r="AZ180" s="19"/>
      <c r="BA180" s="19"/>
      <c r="BB180" s="19"/>
      <c r="BC180" s="19">
        <v>1.0</v>
      </c>
      <c r="BD180" s="19"/>
      <c r="BE180" s="19"/>
      <c r="BF180" s="19"/>
      <c r="BG180" s="19"/>
      <c r="BH180" s="19"/>
      <c r="BI180" s="19">
        <v>1.0</v>
      </c>
      <c r="BJ180" s="19">
        <v>1.0</v>
      </c>
      <c r="BK180" s="13">
        <f t="shared" si="36"/>
        <v>8</v>
      </c>
      <c r="BL180" s="5"/>
      <c r="BM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>
        <v>1.0</v>
      </c>
      <c r="G181" s="19"/>
      <c r="H181" s="19"/>
      <c r="I181" s="19"/>
      <c r="J181" s="19"/>
      <c r="K181" s="19"/>
      <c r="L181" s="19">
        <v>1.0</v>
      </c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>
        <v>1.0</v>
      </c>
      <c r="AA181" s="19"/>
      <c r="AB181" s="19"/>
      <c r="AC181" s="19"/>
      <c r="AD181" s="19"/>
      <c r="AE181" s="19"/>
      <c r="AF181" s="19"/>
      <c r="AG181" s="19"/>
      <c r="AH181" s="19">
        <v>1.0</v>
      </c>
      <c r="AI181" s="19"/>
      <c r="AJ181" s="19"/>
      <c r="AK181" s="19"/>
      <c r="AL181" s="19"/>
      <c r="AM181" s="19"/>
      <c r="AN181" s="19"/>
      <c r="AO181" s="19"/>
      <c r="AP181" s="19"/>
      <c r="AQ181" s="19"/>
      <c r="AR181" s="19">
        <v>2.0</v>
      </c>
      <c r="AS181" s="19"/>
      <c r="AT181" s="19"/>
      <c r="AU181" s="19"/>
      <c r="AV181" s="19"/>
      <c r="AW181" s="19">
        <v>2.0</v>
      </c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>
        <v>1.0</v>
      </c>
      <c r="BJ181" s="19"/>
      <c r="BK181" s="13">
        <f t="shared" si="36"/>
        <v>9</v>
      </c>
      <c r="BL181" s="5"/>
      <c r="BM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>
        <v>1.0</v>
      </c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>
        <v>1.0</v>
      </c>
      <c r="BA182" s="19"/>
      <c r="BB182" s="19"/>
      <c r="BC182" s="19"/>
      <c r="BD182" s="19"/>
      <c r="BE182" s="19"/>
      <c r="BF182" s="19">
        <v>1.0</v>
      </c>
      <c r="BG182" s="19">
        <v>1.0</v>
      </c>
      <c r="BH182" s="19"/>
      <c r="BI182" s="19"/>
      <c r="BJ182" s="19"/>
      <c r="BK182" s="13">
        <f t="shared" si="36"/>
        <v>4</v>
      </c>
      <c r="BL182" s="5"/>
      <c r="BM182" s="5"/>
    </row>
    <row r="183" ht="12.75" customHeight="1">
      <c r="A183" s="18"/>
      <c r="B183" s="55">
        <v>6.0</v>
      </c>
      <c r="C183" s="50" t="s">
        <v>135</v>
      </c>
      <c r="D183" s="57"/>
      <c r="E183" s="19"/>
      <c r="F183" s="19"/>
      <c r="G183" s="19"/>
      <c r="H183" s="19"/>
      <c r="I183" s="19"/>
      <c r="J183" s="19">
        <v>1.0</v>
      </c>
      <c r="K183" s="19"/>
      <c r="L183" s="19"/>
      <c r="M183" s="19"/>
      <c r="N183" s="19"/>
      <c r="O183" s="19"/>
      <c r="P183" s="19">
        <v>1.0</v>
      </c>
      <c r="Q183" s="19">
        <v>1.0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>
        <v>1.0</v>
      </c>
      <c r="AX183" s="19"/>
      <c r="AY183" s="19"/>
      <c r="AZ183" s="19"/>
      <c r="BA183" s="19"/>
      <c r="BB183" s="19">
        <v>1.0</v>
      </c>
      <c r="BC183" s="19"/>
      <c r="BD183" s="19"/>
      <c r="BE183" s="19"/>
      <c r="BF183" s="19"/>
      <c r="BG183" s="19">
        <v>1.0</v>
      </c>
      <c r="BH183" s="19"/>
      <c r="BI183" s="19"/>
      <c r="BJ183" s="19"/>
      <c r="BK183" s="13">
        <f t="shared" si="36"/>
        <v>6</v>
      </c>
      <c r="BL183" s="5"/>
      <c r="BM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>
        <v>4.0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>
        <v>1.0</v>
      </c>
      <c r="AH184" s="19">
        <v>2.0</v>
      </c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>
        <v>1.0</v>
      </c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3">
        <f t="shared" si="36"/>
        <v>8</v>
      </c>
      <c r="BL184" s="5"/>
      <c r="BM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3">
        <f t="shared" si="36"/>
        <v>0</v>
      </c>
      <c r="BL185" s="5"/>
      <c r="BM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3">
        <f t="shared" si="36"/>
        <v>0</v>
      </c>
      <c r="BL186" s="5"/>
      <c r="B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J187" si="37">SUM(E177:E184)</f>
        <v>1</v>
      </c>
      <c r="F187" s="13">
        <f t="shared" si="37"/>
        <v>2</v>
      </c>
      <c r="G187" s="13">
        <f t="shared" si="37"/>
        <v>1</v>
      </c>
      <c r="H187" s="13">
        <f t="shared" si="37"/>
        <v>1</v>
      </c>
      <c r="I187" s="13">
        <f t="shared" si="37"/>
        <v>1</v>
      </c>
      <c r="J187" s="13">
        <f t="shared" si="37"/>
        <v>2</v>
      </c>
      <c r="K187" s="13">
        <f t="shared" si="37"/>
        <v>2</v>
      </c>
      <c r="L187" s="13">
        <f t="shared" si="37"/>
        <v>2</v>
      </c>
      <c r="M187" s="13">
        <f t="shared" si="37"/>
        <v>2</v>
      </c>
      <c r="N187" s="13">
        <f t="shared" si="37"/>
        <v>0</v>
      </c>
      <c r="O187" s="13">
        <f t="shared" si="37"/>
        <v>3</v>
      </c>
      <c r="P187" s="13">
        <f t="shared" si="37"/>
        <v>5</v>
      </c>
      <c r="Q187" s="13">
        <f t="shared" si="37"/>
        <v>22</v>
      </c>
      <c r="R187" s="13">
        <f t="shared" si="37"/>
        <v>3</v>
      </c>
      <c r="S187" s="13">
        <f t="shared" si="37"/>
        <v>2</v>
      </c>
      <c r="T187" s="13">
        <f t="shared" si="37"/>
        <v>7</v>
      </c>
      <c r="U187" s="13">
        <f t="shared" si="37"/>
        <v>1</v>
      </c>
      <c r="V187" s="13">
        <f t="shared" si="37"/>
        <v>0</v>
      </c>
      <c r="W187" s="13">
        <f t="shared" si="37"/>
        <v>0</v>
      </c>
      <c r="X187" s="13">
        <f t="shared" si="37"/>
        <v>5</v>
      </c>
      <c r="Y187" s="13">
        <f t="shared" si="37"/>
        <v>4</v>
      </c>
      <c r="Z187" s="13">
        <f t="shared" si="37"/>
        <v>4</v>
      </c>
      <c r="AA187" s="13">
        <f t="shared" si="37"/>
        <v>1</v>
      </c>
      <c r="AB187" s="13">
        <f t="shared" si="37"/>
        <v>1</v>
      </c>
      <c r="AC187" s="13">
        <f t="shared" si="37"/>
        <v>1</v>
      </c>
      <c r="AD187" s="13">
        <f t="shared" si="37"/>
        <v>2</v>
      </c>
      <c r="AE187" s="13">
        <f t="shared" si="37"/>
        <v>1</v>
      </c>
      <c r="AF187" s="13">
        <f t="shared" si="37"/>
        <v>1</v>
      </c>
      <c r="AG187" s="13">
        <f t="shared" si="37"/>
        <v>4</v>
      </c>
      <c r="AH187" s="13">
        <f t="shared" si="37"/>
        <v>4</v>
      </c>
      <c r="AI187" s="13">
        <f t="shared" si="37"/>
        <v>2</v>
      </c>
      <c r="AJ187" s="13">
        <f t="shared" si="37"/>
        <v>1</v>
      </c>
      <c r="AK187" s="13">
        <f t="shared" si="37"/>
        <v>5</v>
      </c>
      <c r="AL187" s="13">
        <f t="shared" si="37"/>
        <v>2</v>
      </c>
      <c r="AM187" s="13">
        <f t="shared" si="37"/>
        <v>6</v>
      </c>
      <c r="AN187" s="13">
        <f t="shared" si="37"/>
        <v>1</v>
      </c>
      <c r="AO187" s="13">
        <f t="shared" si="37"/>
        <v>1</v>
      </c>
      <c r="AP187" s="13">
        <f t="shared" si="37"/>
        <v>1</v>
      </c>
      <c r="AQ187" s="13">
        <f t="shared" si="37"/>
        <v>1</v>
      </c>
      <c r="AR187" s="13">
        <f t="shared" si="37"/>
        <v>3</v>
      </c>
      <c r="AS187" s="13">
        <f t="shared" si="37"/>
        <v>1</v>
      </c>
      <c r="AT187" s="13">
        <f t="shared" si="37"/>
        <v>4</v>
      </c>
      <c r="AU187" s="13">
        <f t="shared" si="37"/>
        <v>2</v>
      </c>
      <c r="AV187" s="13">
        <f t="shared" si="37"/>
        <v>4</v>
      </c>
      <c r="AW187" s="13">
        <f t="shared" si="37"/>
        <v>3</v>
      </c>
      <c r="AX187" s="13">
        <f t="shared" si="37"/>
        <v>6</v>
      </c>
      <c r="AY187" s="13">
        <f t="shared" si="37"/>
        <v>1</v>
      </c>
      <c r="AZ187" s="13">
        <f t="shared" si="37"/>
        <v>2</v>
      </c>
      <c r="BA187" s="13">
        <f t="shared" si="37"/>
        <v>2</v>
      </c>
      <c r="BB187" s="13">
        <f t="shared" si="37"/>
        <v>2</v>
      </c>
      <c r="BC187" s="13">
        <f t="shared" si="37"/>
        <v>2</v>
      </c>
      <c r="BD187" s="13">
        <f t="shared" si="37"/>
        <v>1</v>
      </c>
      <c r="BE187" s="13">
        <f t="shared" si="37"/>
        <v>0</v>
      </c>
      <c r="BF187" s="13">
        <f t="shared" si="37"/>
        <v>2</v>
      </c>
      <c r="BG187" s="13">
        <f t="shared" si="37"/>
        <v>6</v>
      </c>
      <c r="BH187" s="13">
        <f t="shared" si="37"/>
        <v>2</v>
      </c>
      <c r="BI187" s="13">
        <f t="shared" si="37"/>
        <v>3</v>
      </c>
      <c r="BJ187" s="13">
        <f t="shared" si="37"/>
        <v>6</v>
      </c>
      <c r="BK187" s="13">
        <f t="shared" si="36"/>
        <v>157</v>
      </c>
      <c r="BL187" s="1"/>
      <c r="BM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>
        <v>1.0</v>
      </c>
      <c r="AR189" s="19">
        <v>1.0</v>
      </c>
      <c r="AS189" s="19"/>
      <c r="AT189" s="19"/>
      <c r="AU189" s="19"/>
      <c r="AV189" s="19"/>
      <c r="AW189" s="19"/>
      <c r="AX189" s="19"/>
      <c r="AY189" s="19"/>
      <c r="AZ189" s="19">
        <v>1.0</v>
      </c>
      <c r="BA189" s="19">
        <v>1.0</v>
      </c>
      <c r="BB189" s="19"/>
      <c r="BC189" s="19"/>
      <c r="BD189" s="19"/>
      <c r="BE189" s="19"/>
      <c r="BF189" s="19">
        <v>1.0</v>
      </c>
      <c r="BG189" s="19"/>
      <c r="BH189" s="19"/>
      <c r="BI189" s="19"/>
      <c r="BJ189" s="19"/>
      <c r="BK189" s="13">
        <f t="shared" ref="BK189:BK199" si="38">SUM(E189:BJ189)</f>
        <v>5</v>
      </c>
      <c r="BL189" s="5"/>
      <c r="B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>
        <v>1.0</v>
      </c>
      <c r="P190" s="19"/>
      <c r="Q190" s="19"/>
      <c r="R190" s="19"/>
      <c r="S190" s="19"/>
      <c r="T190" s="19"/>
      <c r="U190" s="19"/>
      <c r="V190" s="19"/>
      <c r="W190" s="19"/>
      <c r="X190" s="19">
        <v>1.0</v>
      </c>
      <c r="Y190" s="19">
        <v>1.0</v>
      </c>
      <c r="Z190" s="19"/>
      <c r="AA190" s="19"/>
      <c r="AB190" s="19"/>
      <c r="AC190" s="19"/>
      <c r="AD190" s="19"/>
      <c r="AE190" s="19">
        <v>1.0</v>
      </c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>
        <v>1.0</v>
      </c>
      <c r="AU190" s="19"/>
      <c r="AV190" s="19"/>
      <c r="AW190" s="19"/>
      <c r="AX190" s="19"/>
      <c r="AY190" s="19"/>
      <c r="AZ190" s="19"/>
      <c r="BA190" s="19"/>
      <c r="BB190" s="19">
        <v>1.0</v>
      </c>
      <c r="BC190" s="19"/>
      <c r="BD190" s="19"/>
      <c r="BE190" s="19"/>
      <c r="BF190" s="19">
        <v>1.0</v>
      </c>
      <c r="BG190" s="19"/>
      <c r="BH190" s="19"/>
      <c r="BI190" s="19"/>
      <c r="BJ190" s="19"/>
      <c r="BK190" s="13">
        <f t="shared" si="38"/>
        <v>7</v>
      </c>
      <c r="BL190" s="5"/>
      <c r="BM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>
        <v>1.0</v>
      </c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3">
        <f t="shared" si="38"/>
        <v>1</v>
      </c>
      <c r="BL191" s="5"/>
      <c r="BM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>
        <v>1.0</v>
      </c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3">
        <f t="shared" si="38"/>
        <v>1</v>
      </c>
      <c r="BL192" s="5"/>
      <c r="BM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3">
        <f t="shared" si="38"/>
        <v>0</v>
      </c>
      <c r="BL193" s="5"/>
      <c r="BM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>
        <v>2.0</v>
      </c>
      <c r="V194" s="19"/>
      <c r="W194" s="19"/>
      <c r="X194" s="19"/>
      <c r="Y194" s="19"/>
      <c r="Z194" s="19"/>
      <c r="AA194" s="19"/>
      <c r="AB194" s="19"/>
      <c r="AC194" s="19"/>
      <c r="AD194" s="19"/>
      <c r="AE194" s="19">
        <v>1.0</v>
      </c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>
        <v>1.0</v>
      </c>
      <c r="BH194" s="19"/>
      <c r="BI194" s="19"/>
      <c r="BJ194" s="19"/>
      <c r="BK194" s="13">
        <f t="shared" si="38"/>
        <v>4</v>
      </c>
      <c r="BL194" s="5"/>
      <c r="BM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3">
        <f t="shared" si="38"/>
        <v>0</v>
      </c>
      <c r="BL195" s="5"/>
      <c r="BM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>
        <v>1.0</v>
      </c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3">
        <f t="shared" si="38"/>
        <v>1</v>
      </c>
      <c r="BL196" s="1"/>
      <c r="BM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3">
        <f t="shared" si="38"/>
        <v>0</v>
      </c>
      <c r="BL197" s="1"/>
      <c r="BM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3">
        <f t="shared" si="38"/>
        <v>0</v>
      </c>
      <c r="BL198" s="1"/>
      <c r="BM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BJ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2</v>
      </c>
      <c r="AF199" s="13">
        <f t="shared" si="39"/>
        <v>0</v>
      </c>
      <c r="AG199" s="13">
        <f t="shared" si="39"/>
        <v>1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1</v>
      </c>
      <c r="AR199" s="13">
        <f t="shared" si="39"/>
        <v>1</v>
      </c>
      <c r="AS199" s="13">
        <f t="shared" si="39"/>
        <v>0</v>
      </c>
      <c r="AT199" s="13">
        <f t="shared" si="39"/>
        <v>1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1</v>
      </c>
      <c r="BA199" s="13">
        <f t="shared" si="39"/>
        <v>1</v>
      </c>
      <c r="BB199" s="13">
        <f t="shared" si="39"/>
        <v>1</v>
      </c>
      <c r="BC199" s="13">
        <f t="shared" si="39"/>
        <v>0</v>
      </c>
      <c r="BD199" s="13">
        <f t="shared" si="39"/>
        <v>0</v>
      </c>
      <c r="BE199" s="13">
        <f t="shared" si="39"/>
        <v>0</v>
      </c>
      <c r="BF199" s="13">
        <f t="shared" si="39"/>
        <v>2</v>
      </c>
      <c r="BG199" s="13">
        <f t="shared" si="39"/>
        <v>1</v>
      </c>
      <c r="BH199" s="13">
        <f t="shared" si="39"/>
        <v>0</v>
      </c>
      <c r="BI199" s="13">
        <f t="shared" si="39"/>
        <v>0</v>
      </c>
      <c r="BJ199" s="13">
        <f t="shared" si="39"/>
        <v>0</v>
      </c>
      <c r="BK199" s="13">
        <f t="shared" si="38"/>
        <v>19</v>
      </c>
      <c r="BL199" s="52"/>
      <c r="BM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5"/>
      <c r="B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4.0</v>
      </c>
      <c r="G201" s="19">
        <v>4.0</v>
      </c>
      <c r="H201" s="19">
        <v>3.0</v>
      </c>
      <c r="I201" s="19">
        <v>8.0</v>
      </c>
      <c r="J201" s="19">
        <v>13.0</v>
      </c>
      <c r="K201" s="19">
        <v>12.0</v>
      </c>
      <c r="L201" s="19">
        <v>17.0</v>
      </c>
      <c r="M201" s="19">
        <v>20.0</v>
      </c>
      <c r="N201" s="19">
        <v>1.0</v>
      </c>
      <c r="O201" s="19">
        <v>6.0</v>
      </c>
      <c r="P201" s="19">
        <v>5.0</v>
      </c>
      <c r="Q201" s="19">
        <v>7.0</v>
      </c>
      <c r="R201" s="19">
        <v>6.0</v>
      </c>
      <c r="S201" s="19">
        <v>5.0</v>
      </c>
      <c r="T201" s="19"/>
      <c r="U201" s="19">
        <v>7.0</v>
      </c>
      <c r="V201" s="19">
        <v>12.0</v>
      </c>
      <c r="W201" s="19">
        <v>16.0</v>
      </c>
      <c r="X201" s="19">
        <v>10.0</v>
      </c>
      <c r="Y201" s="19">
        <v>6.0</v>
      </c>
      <c r="Z201" s="19">
        <v>9.0</v>
      </c>
      <c r="AA201" s="19">
        <v>4.0</v>
      </c>
      <c r="AB201" s="19">
        <v>4.0</v>
      </c>
      <c r="AC201" s="19">
        <v>5.0</v>
      </c>
      <c r="AD201" s="19">
        <v>7.0</v>
      </c>
      <c r="AE201" s="19">
        <v>2.0</v>
      </c>
      <c r="AF201" s="19">
        <v>5.0</v>
      </c>
      <c r="AG201" s="19">
        <v>2.0</v>
      </c>
      <c r="AH201" s="19">
        <v>12.0</v>
      </c>
      <c r="AI201" s="19">
        <v>10.0</v>
      </c>
      <c r="AJ201" s="19">
        <v>13.0</v>
      </c>
      <c r="AK201" s="19">
        <v>14.0</v>
      </c>
      <c r="AL201" s="19">
        <v>8.0</v>
      </c>
      <c r="AM201" s="19">
        <v>4.0</v>
      </c>
      <c r="AN201" s="19">
        <v>8.0</v>
      </c>
      <c r="AO201" s="19">
        <v>0.0</v>
      </c>
      <c r="AP201" s="19">
        <v>17.0</v>
      </c>
      <c r="AQ201" s="19">
        <v>17.0</v>
      </c>
      <c r="AR201" s="19">
        <v>1.0</v>
      </c>
      <c r="AS201" s="19">
        <v>6.0</v>
      </c>
      <c r="AT201" s="19">
        <v>3.0</v>
      </c>
      <c r="AU201" s="19">
        <v>5.0</v>
      </c>
      <c r="AV201" s="19">
        <v>9.0</v>
      </c>
      <c r="AW201" s="19">
        <v>12.0</v>
      </c>
      <c r="AX201" s="19">
        <v>3.0</v>
      </c>
      <c r="AY201" s="19">
        <v>8.0</v>
      </c>
      <c r="AZ201" s="19">
        <v>5.0</v>
      </c>
      <c r="BA201" s="19">
        <v>19.0</v>
      </c>
      <c r="BB201" s="19">
        <v>8.0</v>
      </c>
      <c r="BC201" s="19">
        <v>10.0</v>
      </c>
      <c r="BD201" s="19">
        <v>7.0</v>
      </c>
      <c r="BE201" s="19">
        <v>6.0</v>
      </c>
      <c r="BF201" s="19">
        <v>1.0</v>
      </c>
      <c r="BG201" s="19">
        <v>8.0</v>
      </c>
      <c r="BH201" s="19">
        <v>8.0</v>
      </c>
      <c r="BI201" s="19">
        <v>1.0</v>
      </c>
      <c r="BJ201" s="19">
        <v>5.0</v>
      </c>
      <c r="BK201" s="13">
        <f t="shared" ref="BK201:BK211" si="40">SUM(E201:BJ201)</f>
        <v>432</v>
      </c>
      <c r="BL201" s="5"/>
      <c r="B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7.0</v>
      </c>
      <c r="G202" s="19">
        <v>11.0</v>
      </c>
      <c r="H202" s="19"/>
      <c r="I202" s="19">
        <v>4.0</v>
      </c>
      <c r="J202" s="19">
        <v>12.0</v>
      </c>
      <c r="K202" s="19">
        <v>16.0</v>
      </c>
      <c r="L202" s="19">
        <v>16.0</v>
      </c>
      <c r="M202" s="19">
        <v>10.0</v>
      </c>
      <c r="N202" s="19"/>
      <c r="O202" s="19">
        <v>9.0</v>
      </c>
      <c r="P202" s="19">
        <v>9.0</v>
      </c>
      <c r="Q202" s="19">
        <v>3.0</v>
      </c>
      <c r="R202" s="19">
        <v>6.0</v>
      </c>
      <c r="S202" s="19">
        <v>4.0</v>
      </c>
      <c r="T202" s="19">
        <v>5.0</v>
      </c>
      <c r="U202" s="19">
        <v>11.0</v>
      </c>
      <c r="V202" s="19">
        <v>16.0</v>
      </c>
      <c r="W202" s="19">
        <v>26.0</v>
      </c>
      <c r="X202" s="19">
        <v>17.0</v>
      </c>
      <c r="Y202" s="19">
        <v>11.0</v>
      </c>
      <c r="Z202" s="19">
        <v>12.0</v>
      </c>
      <c r="AA202" s="19"/>
      <c r="AB202" s="19">
        <v>4.0</v>
      </c>
      <c r="AC202" s="19">
        <v>9.0</v>
      </c>
      <c r="AD202" s="19">
        <v>2.0</v>
      </c>
      <c r="AE202" s="19">
        <v>2.0</v>
      </c>
      <c r="AF202" s="19">
        <v>23.0</v>
      </c>
      <c r="AG202" s="19">
        <v>6.0</v>
      </c>
      <c r="AH202" s="19">
        <v>12.0</v>
      </c>
      <c r="AI202" s="19">
        <v>8.0</v>
      </c>
      <c r="AJ202" s="19">
        <v>10.0</v>
      </c>
      <c r="AK202" s="19">
        <v>16.0</v>
      </c>
      <c r="AL202" s="19">
        <v>10.0</v>
      </c>
      <c r="AM202" s="19">
        <v>11.0</v>
      </c>
      <c r="AN202" s="19">
        <v>14.0</v>
      </c>
      <c r="AO202" s="19">
        <v>7.0</v>
      </c>
      <c r="AP202" s="19">
        <v>16.0</v>
      </c>
      <c r="AQ202" s="19">
        <v>20.0</v>
      </c>
      <c r="AR202" s="19">
        <v>1.0</v>
      </c>
      <c r="AS202" s="19">
        <v>1.0</v>
      </c>
      <c r="AT202" s="19">
        <v>30.0</v>
      </c>
      <c r="AU202" s="19">
        <v>46.0</v>
      </c>
      <c r="AV202" s="19">
        <v>11.0</v>
      </c>
      <c r="AW202" s="19">
        <v>24.0</v>
      </c>
      <c r="AX202" s="19">
        <v>2.0</v>
      </c>
      <c r="AY202" s="19">
        <v>13.0</v>
      </c>
      <c r="AZ202" s="19">
        <v>7.0</v>
      </c>
      <c r="BA202" s="19">
        <v>15.0</v>
      </c>
      <c r="BB202" s="19">
        <v>13.0</v>
      </c>
      <c r="BC202" s="19">
        <v>16.0</v>
      </c>
      <c r="BD202" s="19">
        <v>12.0</v>
      </c>
      <c r="BE202" s="19">
        <v>7.0</v>
      </c>
      <c r="BF202" s="19">
        <v>6.0</v>
      </c>
      <c r="BG202" s="19">
        <v>5.0</v>
      </c>
      <c r="BH202" s="19">
        <v>2.0</v>
      </c>
      <c r="BI202" s="19">
        <v>2.0</v>
      </c>
      <c r="BJ202" s="19">
        <v>12.0</v>
      </c>
      <c r="BK202" s="13">
        <f t="shared" si="40"/>
        <v>602</v>
      </c>
      <c r="BL202" s="5"/>
      <c r="B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/>
      <c r="G203" s="19">
        <v>2.0</v>
      </c>
      <c r="H203" s="19">
        <v>1.0</v>
      </c>
      <c r="I203" s="19"/>
      <c r="J203" s="19">
        <v>2.0</v>
      </c>
      <c r="K203" s="19">
        <v>2.0</v>
      </c>
      <c r="L203" s="19">
        <v>5.0</v>
      </c>
      <c r="M203" s="19">
        <v>2.0</v>
      </c>
      <c r="N203" s="19"/>
      <c r="O203" s="19">
        <v>1.0</v>
      </c>
      <c r="P203" s="19">
        <v>1.0</v>
      </c>
      <c r="Q203" s="19">
        <v>1.0</v>
      </c>
      <c r="R203" s="19"/>
      <c r="S203" s="19"/>
      <c r="T203" s="19">
        <v>2.0</v>
      </c>
      <c r="U203" s="19">
        <v>1.0</v>
      </c>
      <c r="V203" s="19"/>
      <c r="W203" s="19">
        <v>2.0</v>
      </c>
      <c r="X203" s="19"/>
      <c r="Y203" s="19">
        <v>1.0</v>
      </c>
      <c r="Z203" s="19"/>
      <c r="AA203" s="19">
        <v>2.0</v>
      </c>
      <c r="AB203" s="19">
        <v>4.0</v>
      </c>
      <c r="AC203" s="19">
        <v>1.0</v>
      </c>
      <c r="AD203" s="19">
        <v>1.0</v>
      </c>
      <c r="AE203" s="19">
        <v>3.0</v>
      </c>
      <c r="AF203" s="19">
        <v>1.0</v>
      </c>
      <c r="AG203" s="19">
        <v>2.0</v>
      </c>
      <c r="AH203" s="19">
        <v>2.0</v>
      </c>
      <c r="AI203" s="19">
        <v>1.0</v>
      </c>
      <c r="AJ203" s="19">
        <v>3.0</v>
      </c>
      <c r="AK203" s="19">
        <v>1.0</v>
      </c>
      <c r="AL203" s="19">
        <v>0.0</v>
      </c>
      <c r="AM203" s="19">
        <v>3.0</v>
      </c>
      <c r="AN203" s="19">
        <v>2.0</v>
      </c>
      <c r="AO203" s="19">
        <v>0.0</v>
      </c>
      <c r="AP203" s="19">
        <v>3.0</v>
      </c>
      <c r="AQ203" s="19">
        <v>1.0</v>
      </c>
      <c r="AR203" s="19">
        <v>0.0</v>
      </c>
      <c r="AS203" s="19">
        <v>2.0</v>
      </c>
      <c r="AT203" s="19">
        <v>3.0</v>
      </c>
      <c r="AU203" s="19">
        <v>1.0</v>
      </c>
      <c r="AV203" s="19">
        <v>2.0</v>
      </c>
      <c r="AW203" s="19">
        <v>0.0</v>
      </c>
      <c r="AX203" s="19">
        <v>1.0</v>
      </c>
      <c r="AY203" s="19"/>
      <c r="AZ203" s="19">
        <v>1.0</v>
      </c>
      <c r="BA203" s="19">
        <v>2.0</v>
      </c>
      <c r="BB203" s="19"/>
      <c r="BC203" s="19">
        <v>2.0</v>
      </c>
      <c r="BD203" s="19">
        <v>3.0</v>
      </c>
      <c r="BE203" s="19"/>
      <c r="BF203" s="19">
        <v>1.0</v>
      </c>
      <c r="BG203" s="19">
        <v>2.0</v>
      </c>
      <c r="BH203" s="19">
        <v>3.0</v>
      </c>
      <c r="BI203" s="19"/>
      <c r="BJ203" s="19">
        <v>6.0</v>
      </c>
      <c r="BK203" s="13">
        <f t="shared" si="40"/>
        <v>84</v>
      </c>
      <c r="BL203" s="5"/>
      <c r="BM203" s="5"/>
    </row>
    <row r="204" ht="12.75" customHeight="1">
      <c r="A204" s="18"/>
      <c r="B204" s="55">
        <v>3.0</v>
      </c>
      <c r="C204" s="50" t="s">
        <v>150</v>
      </c>
      <c r="D204" s="57"/>
      <c r="E204" s="19"/>
      <c r="F204" s="19">
        <v>1.0</v>
      </c>
      <c r="G204" s="19"/>
      <c r="H204" s="19"/>
      <c r="I204" s="19">
        <v>1.0</v>
      </c>
      <c r="J204" s="19">
        <v>2.0</v>
      </c>
      <c r="K204" s="19">
        <v>2.0</v>
      </c>
      <c r="L204" s="19">
        <v>1.0</v>
      </c>
      <c r="M204" s="19"/>
      <c r="N204" s="19"/>
      <c r="O204" s="19"/>
      <c r="P204" s="19">
        <v>2.0</v>
      </c>
      <c r="Q204" s="19">
        <v>1.0</v>
      </c>
      <c r="R204" s="19"/>
      <c r="S204" s="19"/>
      <c r="T204" s="19"/>
      <c r="U204" s="19"/>
      <c r="V204" s="19">
        <v>1.0</v>
      </c>
      <c r="W204" s="19"/>
      <c r="X204" s="19">
        <v>5.0</v>
      </c>
      <c r="Y204" s="19"/>
      <c r="Z204" s="19">
        <v>1.0</v>
      </c>
      <c r="AA204" s="19"/>
      <c r="AB204" s="19">
        <v>1.0</v>
      </c>
      <c r="AC204" s="19">
        <v>1.0</v>
      </c>
      <c r="AD204" s="19"/>
      <c r="AE204" s="19"/>
      <c r="AF204" s="19"/>
      <c r="AG204" s="19"/>
      <c r="AH204" s="19">
        <v>1.0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1.0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3.0</v>
      </c>
      <c r="AT204" s="19">
        <v>1.0</v>
      </c>
      <c r="AU204" s="19">
        <v>1.0</v>
      </c>
      <c r="AV204" s="19">
        <v>1.0</v>
      </c>
      <c r="AW204" s="19">
        <v>1.0</v>
      </c>
      <c r="AX204" s="19">
        <v>1.0</v>
      </c>
      <c r="AY204" s="19">
        <v>2.0</v>
      </c>
      <c r="AZ204" s="19"/>
      <c r="BA204" s="19"/>
      <c r="BB204" s="19"/>
      <c r="BC204" s="19"/>
      <c r="BD204" s="19">
        <v>1.0</v>
      </c>
      <c r="BE204" s="19">
        <v>1.0</v>
      </c>
      <c r="BF204" s="19"/>
      <c r="BG204" s="19"/>
      <c r="BH204" s="19"/>
      <c r="BI204" s="19">
        <v>1.0</v>
      </c>
      <c r="BJ204" s="19"/>
      <c r="BK204" s="13">
        <f t="shared" si="40"/>
        <v>34</v>
      </c>
      <c r="BL204" s="5"/>
      <c r="BM204" s="5"/>
    </row>
    <row r="205" ht="12.75" customHeight="1">
      <c r="A205" s="18"/>
      <c r="B205" s="55">
        <v>4.0</v>
      </c>
      <c r="C205" s="50" t="s">
        <v>151</v>
      </c>
      <c r="D205" s="57"/>
      <c r="E205" s="19"/>
      <c r="F205" s="19">
        <v>1.0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>
        <v>1.0</v>
      </c>
      <c r="Q205" s="19"/>
      <c r="R205" s="19"/>
      <c r="S205" s="19"/>
      <c r="T205" s="19"/>
      <c r="U205" s="19">
        <v>3.0</v>
      </c>
      <c r="V205" s="19"/>
      <c r="W205" s="19"/>
      <c r="X205" s="19">
        <v>2.0</v>
      </c>
      <c r="Y205" s="19"/>
      <c r="Z205" s="19"/>
      <c r="AA205" s="19"/>
      <c r="AB205" s="19"/>
      <c r="AC205" s="19">
        <v>2.0</v>
      </c>
      <c r="AD205" s="19"/>
      <c r="AE205" s="19">
        <v>3.0</v>
      </c>
      <c r="AF205" s="19">
        <v>1.0</v>
      </c>
      <c r="AG205" s="19">
        <v>1.0</v>
      </c>
      <c r="AH205" s="19">
        <v>3.0</v>
      </c>
      <c r="AI205" s="19">
        <v>1.0</v>
      </c>
      <c r="AJ205" s="19">
        <v>0.0</v>
      </c>
      <c r="AK205" s="19">
        <v>2.0</v>
      </c>
      <c r="AL205" s="19">
        <v>1.0</v>
      </c>
      <c r="AM205" s="19">
        <v>0.0</v>
      </c>
      <c r="AN205" s="19">
        <v>2.0</v>
      </c>
      <c r="AO205" s="19">
        <v>0.0</v>
      </c>
      <c r="AP205" s="19">
        <v>1.0</v>
      </c>
      <c r="AQ205" s="19">
        <v>0.0</v>
      </c>
      <c r="AR205" s="19">
        <v>0.0</v>
      </c>
      <c r="AS205" s="19">
        <v>1.0</v>
      </c>
      <c r="AT205" s="19">
        <v>0.0</v>
      </c>
      <c r="AU205" s="19">
        <v>0.0</v>
      </c>
      <c r="AV205" s="19">
        <v>2.0</v>
      </c>
      <c r="AW205" s="19">
        <v>2.0</v>
      </c>
      <c r="AX205" s="19"/>
      <c r="AY205" s="19">
        <v>1.0</v>
      </c>
      <c r="AZ205" s="19">
        <v>2.0</v>
      </c>
      <c r="BA205" s="19"/>
      <c r="BB205" s="19">
        <v>2.0</v>
      </c>
      <c r="BC205" s="19"/>
      <c r="BD205" s="19">
        <v>2.0</v>
      </c>
      <c r="BE205" s="19"/>
      <c r="BF205" s="19">
        <v>1.0</v>
      </c>
      <c r="BG205" s="19">
        <v>1.0</v>
      </c>
      <c r="BH205" s="19"/>
      <c r="BI205" s="19">
        <v>1.0</v>
      </c>
      <c r="BJ205" s="19">
        <v>1.0</v>
      </c>
      <c r="BK205" s="13">
        <f t="shared" si="40"/>
        <v>40</v>
      </c>
      <c r="BL205" s="5"/>
      <c r="BM205" s="5"/>
    </row>
    <row r="206" ht="12.75" customHeight="1">
      <c r="A206" s="18"/>
      <c r="B206" s="55">
        <v>5.0</v>
      </c>
      <c r="C206" s="50" t="s">
        <v>152</v>
      </c>
      <c r="D206" s="57"/>
      <c r="E206" s="19"/>
      <c r="F206" s="19"/>
      <c r="G206" s="19"/>
      <c r="H206" s="19"/>
      <c r="I206" s="19">
        <v>1.0</v>
      </c>
      <c r="J206" s="19">
        <v>1.0</v>
      </c>
      <c r="K206" s="19">
        <v>1.0</v>
      </c>
      <c r="L206" s="19"/>
      <c r="M206" s="19">
        <v>3.0</v>
      </c>
      <c r="N206" s="19"/>
      <c r="O206" s="19">
        <v>2.0</v>
      </c>
      <c r="P206" s="19"/>
      <c r="Q206" s="19">
        <v>1.0</v>
      </c>
      <c r="R206" s="19"/>
      <c r="S206" s="19"/>
      <c r="T206" s="19"/>
      <c r="U206" s="19"/>
      <c r="V206" s="19"/>
      <c r="W206" s="19">
        <v>1.0</v>
      </c>
      <c r="X206" s="19">
        <v>1.0</v>
      </c>
      <c r="Y206" s="19"/>
      <c r="Z206" s="19">
        <v>1.0</v>
      </c>
      <c r="AA206" s="19"/>
      <c r="AB206" s="19">
        <v>1.0</v>
      </c>
      <c r="AC206" s="19">
        <v>1.0</v>
      </c>
      <c r="AD206" s="19">
        <v>1.0</v>
      </c>
      <c r="AE206" s="19"/>
      <c r="AF206" s="19">
        <v>1.0</v>
      </c>
      <c r="AG206" s="19">
        <v>2.0</v>
      </c>
      <c r="AH206" s="19">
        <v>1.0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1.0</v>
      </c>
      <c r="AN206" s="19">
        <v>1.0</v>
      </c>
      <c r="AO206" s="19"/>
      <c r="AP206" s="19">
        <v>3.0</v>
      </c>
      <c r="AQ206" s="19">
        <v>2.0</v>
      </c>
      <c r="AR206" s="19">
        <v>0.0</v>
      </c>
      <c r="AS206" s="19">
        <v>0.0</v>
      </c>
      <c r="AT206" s="19">
        <v>2.0</v>
      </c>
      <c r="AU206" s="19"/>
      <c r="AV206" s="19">
        <v>2.0</v>
      </c>
      <c r="AW206" s="19">
        <v>1.0</v>
      </c>
      <c r="AX206" s="19"/>
      <c r="AY206" s="19">
        <v>2.0</v>
      </c>
      <c r="AZ206" s="19"/>
      <c r="BA206" s="19"/>
      <c r="BB206" s="19">
        <v>2.0</v>
      </c>
      <c r="BC206" s="19">
        <v>5.0</v>
      </c>
      <c r="BD206" s="19">
        <v>1.0</v>
      </c>
      <c r="BE206" s="19"/>
      <c r="BF206" s="19"/>
      <c r="BG206" s="19"/>
      <c r="BH206" s="19">
        <v>4.0</v>
      </c>
      <c r="BI206" s="19">
        <v>1.0</v>
      </c>
      <c r="BJ206" s="19">
        <v>3.0</v>
      </c>
      <c r="BK206" s="13">
        <f t="shared" si="40"/>
        <v>49</v>
      </c>
      <c r="BL206" s="5"/>
      <c r="BM206" s="5"/>
    </row>
    <row r="207" ht="12.75" customHeight="1">
      <c r="A207" s="18"/>
      <c r="B207" s="55">
        <v>6.0</v>
      </c>
      <c r="C207" s="50" t="s">
        <v>153</v>
      </c>
      <c r="D207" s="57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>
        <v>2.0</v>
      </c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2.0</v>
      </c>
      <c r="AP207" s="19">
        <v>1.0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2.0</v>
      </c>
      <c r="AW207" s="19">
        <v>0.0</v>
      </c>
      <c r="AX207" s="19"/>
      <c r="AY207" s="19"/>
      <c r="AZ207" s="19"/>
      <c r="BA207" s="19"/>
      <c r="BB207" s="19"/>
      <c r="BC207" s="19"/>
      <c r="BD207" s="19"/>
      <c r="BE207" s="19"/>
      <c r="BF207" s="19">
        <v>1.0</v>
      </c>
      <c r="BG207" s="19"/>
      <c r="BH207" s="19"/>
      <c r="BI207" s="19"/>
      <c r="BJ207" s="19"/>
      <c r="BK207" s="13">
        <f t="shared" si="40"/>
        <v>8</v>
      </c>
      <c r="BL207" s="1"/>
      <c r="B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>
        <v>1.0</v>
      </c>
      <c r="W208" s="19"/>
      <c r="X208" s="19"/>
      <c r="Y208" s="19">
        <v>1.0</v>
      </c>
      <c r="Z208" s="19"/>
      <c r="AA208" s="19"/>
      <c r="AB208" s="19"/>
      <c r="AC208" s="19"/>
      <c r="AD208" s="19"/>
      <c r="AE208" s="19"/>
      <c r="AF208" s="19"/>
      <c r="AG208" s="19"/>
      <c r="AH208" s="19"/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1.0</v>
      </c>
      <c r="AT208" s="19">
        <v>0.0</v>
      </c>
      <c r="AU208" s="19">
        <v>0.0</v>
      </c>
      <c r="AV208" s="19">
        <v>1.0</v>
      </c>
      <c r="AW208" s="19">
        <v>1.0</v>
      </c>
      <c r="AX208" s="19"/>
      <c r="AY208" s="19"/>
      <c r="AZ208" s="19"/>
      <c r="BA208" s="19"/>
      <c r="BB208" s="19"/>
      <c r="BC208" s="19"/>
      <c r="BD208" s="19">
        <v>1.0</v>
      </c>
      <c r="BE208" s="19"/>
      <c r="BF208" s="19"/>
      <c r="BG208" s="19">
        <v>1.0</v>
      </c>
      <c r="BH208" s="19"/>
      <c r="BI208" s="19"/>
      <c r="BJ208" s="19"/>
      <c r="BK208" s="13">
        <f t="shared" si="40"/>
        <v>8</v>
      </c>
      <c r="BL208" s="52"/>
      <c r="BM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3">
        <f t="shared" si="40"/>
        <v>0</v>
      </c>
      <c r="BL209" s="52"/>
      <c r="BM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3">
        <f t="shared" si="40"/>
        <v>0</v>
      </c>
      <c r="BL210" s="52"/>
      <c r="BM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BJ211" si="41">SUM(E201:E208)</f>
        <v>9</v>
      </c>
      <c r="F211" s="13">
        <f t="shared" si="41"/>
        <v>13</v>
      </c>
      <c r="G211" s="13">
        <f t="shared" si="41"/>
        <v>17</v>
      </c>
      <c r="H211" s="13">
        <f t="shared" si="41"/>
        <v>4</v>
      </c>
      <c r="I211" s="13">
        <f t="shared" si="41"/>
        <v>14</v>
      </c>
      <c r="J211" s="13">
        <f t="shared" si="41"/>
        <v>30</v>
      </c>
      <c r="K211" s="13">
        <f t="shared" si="41"/>
        <v>33</v>
      </c>
      <c r="L211" s="13">
        <f t="shared" si="41"/>
        <v>39</v>
      </c>
      <c r="M211" s="13">
        <f t="shared" si="41"/>
        <v>35</v>
      </c>
      <c r="N211" s="13">
        <f t="shared" si="41"/>
        <v>1</v>
      </c>
      <c r="O211" s="13">
        <f t="shared" si="41"/>
        <v>18</v>
      </c>
      <c r="P211" s="13">
        <f t="shared" si="41"/>
        <v>18</v>
      </c>
      <c r="Q211" s="13">
        <f t="shared" si="41"/>
        <v>13</v>
      </c>
      <c r="R211" s="13">
        <f t="shared" si="41"/>
        <v>12</v>
      </c>
      <c r="S211" s="13">
        <f t="shared" si="41"/>
        <v>9</v>
      </c>
      <c r="T211" s="13">
        <f t="shared" si="41"/>
        <v>7</v>
      </c>
      <c r="U211" s="13">
        <f t="shared" si="41"/>
        <v>22</v>
      </c>
      <c r="V211" s="13">
        <f t="shared" si="41"/>
        <v>30</v>
      </c>
      <c r="W211" s="13">
        <f t="shared" si="41"/>
        <v>45</v>
      </c>
      <c r="X211" s="13">
        <f t="shared" si="41"/>
        <v>37</v>
      </c>
      <c r="Y211" s="13">
        <f t="shared" si="41"/>
        <v>19</v>
      </c>
      <c r="Z211" s="13">
        <f t="shared" si="41"/>
        <v>23</v>
      </c>
      <c r="AA211" s="13">
        <f t="shared" si="41"/>
        <v>6</v>
      </c>
      <c r="AB211" s="13">
        <f t="shared" si="41"/>
        <v>14</v>
      </c>
      <c r="AC211" s="13">
        <f t="shared" si="41"/>
        <v>19</v>
      </c>
      <c r="AD211" s="13">
        <f t="shared" si="41"/>
        <v>11</v>
      </c>
      <c r="AE211" s="13">
        <f t="shared" si="41"/>
        <v>10</v>
      </c>
      <c r="AF211" s="13">
        <f t="shared" si="41"/>
        <v>31</v>
      </c>
      <c r="AG211" s="13">
        <f t="shared" si="41"/>
        <v>13</v>
      </c>
      <c r="AH211" s="13">
        <f t="shared" si="41"/>
        <v>31</v>
      </c>
      <c r="AI211" s="13">
        <f t="shared" si="41"/>
        <v>20</v>
      </c>
      <c r="AJ211" s="13">
        <f t="shared" si="41"/>
        <v>26</v>
      </c>
      <c r="AK211" s="13">
        <f t="shared" si="41"/>
        <v>33</v>
      </c>
      <c r="AL211" s="13">
        <f t="shared" si="41"/>
        <v>19</v>
      </c>
      <c r="AM211" s="13">
        <f t="shared" si="41"/>
        <v>19</v>
      </c>
      <c r="AN211" s="13">
        <f t="shared" si="41"/>
        <v>28</v>
      </c>
      <c r="AO211" s="13">
        <f t="shared" si="41"/>
        <v>9</v>
      </c>
      <c r="AP211" s="13">
        <f t="shared" si="41"/>
        <v>41</v>
      </c>
      <c r="AQ211" s="13">
        <f t="shared" si="41"/>
        <v>40</v>
      </c>
      <c r="AR211" s="13">
        <f t="shared" si="41"/>
        <v>2</v>
      </c>
      <c r="AS211" s="13">
        <f t="shared" si="41"/>
        <v>14</v>
      </c>
      <c r="AT211" s="13">
        <f t="shared" si="41"/>
        <v>39</v>
      </c>
      <c r="AU211" s="13">
        <f t="shared" si="41"/>
        <v>53</v>
      </c>
      <c r="AV211" s="13">
        <f t="shared" si="41"/>
        <v>30</v>
      </c>
      <c r="AW211" s="13">
        <f t="shared" si="41"/>
        <v>41</v>
      </c>
      <c r="AX211" s="13">
        <f t="shared" si="41"/>
        <v>7</v>
      </c>
      <c r="AY211" s="13">
        <f t="shared" si="41"/>
        <v>26</v>
      </c>
      <c r="AZ211" s="13">
        <f t="shared" si="41"/>
        <v>15</v>
      </c>
      <c r="BA211" s="13">
        <f t="shared" si="41"/>
        <v>36</v>
      </c>
      <c r="BB211" s="13">
        <f t="shared" si="41"/>
        <v>25</v>
      </c>
      <c r="BC211" s="13">
        <f t="shared" si="41"/>
        <v>33</v>
      </c>
      <c r="BD211" s="13">
        <f t="shared" si="41"/>
        <v>27</v>
      </c>
      <c r="BE211" s="13">
        <f t="shared" si="41"/>
        <v>14</v>
      </c>
      <c r="BF211" s="13">
        <f t="shared" si="41"/>
        <v>10</v>
      </c>
      <c r="BG211" s="13">
        <f t="shared" si="41"/>
        <v>17</v>
      </c>
      <c r="BH211" s="13">
        <f t="shared" si="41"/>
        <v>17</v>
      </c>
      <c r="BI211" s="13">
        <f t="shared" si="41"/>
        <v>6</v>
      </c>
      <c r="BJ211" s="13">
        <f t="shared" si="41"/>
        <v>27</v>
      </c>
      <c r="BK211" s="13">
        <f t="shared" si="40"/>
        <v>1257</v>
      </c>
      <c r="BL211" s="5"/>
      <c r="BM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5"/>
      <c r="B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/>
      <c r="G213" s="19"/>
      <c r="H213" s="19">
        <v>1.0</v>
      </c>
      <c r="I213" s="19"/>
      <c r="J213" s="19"/>
      <c r="K213" s="19">
        <v>1.0</v>
      </c>
      <c r="L213" s="19"/>
      <c r="M213" s="19">
        <v>1.0</v>
      </c>
      <c r="N213" s="19"/>
      <c r="O213" s="19"/>
      <c r="P213" s="19"/>
      <c r="Q213" s="19">
        <v>1.0</v>
      </c>
      <c r="R213" s="19">
        <v>2.0</v>
      </c>
      <c r="S213" s="19"/>
      <c r="T213" s="19"/>
      <c r="U213" s="19"/>
      <c r="V213" s="19">
        <v>1.0</v>
      </c>
      <c r="W213" s="19">
        <v>1.0</v>
      </c>
      <c r="X213" s="19"/>
      <c r="Y213" s="19"/>
      <c r="Z213" s="19">
        <v>1.0</v>
      </c>
      <c r="AA213" s="19"/>
      <c r="AB213" s="19"/>
      <c r="AC213" s="19"/>
      <c r="AD213" s="19"/>
      <c r="AE213" s="19"/>
      <c r="AF213" s="19"/>
      <c r="AG213" s="19">
        <v>2.0</v>
      </c>
      <c r="AH213" s="19">
        <v>2.0</v>
      </c>
      <c r="AI213" s="19"/>
      <c r="AJ213" s="19">
        <v>1.0</v>
      </c>
      <c r="AK213" s="19">
        <v>3.0</v>
      </c>
      <c r="AL213" s="19">
        <v>3.0</v>
      </c>
      <c r="AM213" s="19">
        <v>1.0</v>
      </c>
      <c r="AN213" s="19">
        <v>1.0</v>
      </c>
      <c r="AO213" s="19"/>
      <c r="AP213" s="19">
        <v>2.0</v>
      </c>
      <c r="AQ213" s="19">
        <v>3.0</v>
      </c>
      <c r="AR213" s="19">
        <v>1.0</v>
      </c>
      <c r="AS213" s="19">
        <v>1.0</v>
      </c>
      <c r="AT213" s="19">
        <v>1.0</v>
      </c>
      <c r="AU213" s="19">
        <v>3.0</v>
      </c>
      <c r="AV213" s="19">
        <v>1.0</v>
      </c>
      <c r="AW213" s="19">
        <v>4.0</v>
      </c>
      <c r="AX213" s="19">
        <v>3.0</v>
      </c>
      <c r="AY213" s="19">
        <v>1.0</v>
      </c>
      <c r="AZ213" s="19">
        <v>1.0</v>
      </c>
      <c r="BA213" s="19"/>
      <c r="BB213" s="19"/>
      <c r="BC213" s="19">
        <v>1.0</v>
      </c>
      <c r="BD213" s="19">
        <v>2.0</v>
      </c>
      <c r="BE213" s="19">
        <v>1.0</v>
      </c>
      <c r="BF213" s="19"/>
      <c r="BG213" s="19"/>
      <c r="BH213" s="19">
        <v>2.0</v>
      </c>
      <c r="BI213" s="19"/>
      <c r="BJ213" s="19"/>
      <c r="BK213" s="13">
        <f t="shared" ref="BK213:BK223" si="42">SUM(E213:BJ213)</f>
        <v>50</v>
      </c>
      <c r="BL213" s="5"/>
      <c r="B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/>
      <c r="F214" s="19"/>
      <c r="G214" s="19"/>
      <c r="H214" s="19"/>
      <c r="I214" s="19">
        <v>1.0</v>
      </c>
      <c r="J214" s="19">
        <v>1.0</v>
      </c>
      <c r="K214" s="19">
        <v>1.0</v>
      </c>
      <c r="L214" s="19"/>
      <c r="M214" s="19"/>
      <c r="N214" s="19"/>
      <c r="O214" s="19"/>
      <c r="P214" s="19">
        <v>2.0</v>
      </c>
      <c r="Q214" s="19"/>
      <c r="R214" s="19"/>
      <c r="S214" s="19"/>
      <c r="T214" s="19">
        <v>1.0</v>
      </c>
      <c r="U214" s="19"/>
      <c r="V214" s="19">
        <v>3.0</v>
      </c>
      <c r="W214" s="19"/>
      <c r="X214" s="19"/>
      <c r="Y214" s="19">
        <v>1.0</v>
      </c>
      <c r="Z214" s="19"/>
      <c r="AA214" s="19">
        <v>2.0</v>
      </c>
      <c r="AB214" s="19"/>
      <c r="AC214" s="19"/>
      <c r="AD214" s="19"/>
      <c r="AE214" s="19"/>
      <c r="AF214" s="19"/>
      <c r="AG214" s="19"/>
      <c r="AH214" s="19">
        <v>2.0</v>
      </c>
      <c r="AI214" s="19">
        <v>1.0</v>
      </c>
      <c r="AJ214" s="19"/>
      <c r="AK214" s="19">
        <v>1.0</v>
      </c>
      <c r="AL214" s="19"/>
      <c r="AM214" s="19">
        <v>2.0</v>
      </c>
      <c r="AN214" s="19">
        <v>1.0</v>
      </c>
      <c r="AO214" s="19"/>
      <c r="AP214" s="19"/>
      <c r="AQ214" s="19">
        <v>1.0</v>
      </c>
      <c r="AR214" s="19">
        <v>1.0</v>
      </c>
      <c r="AS214" s="19">
        <v>1.0</v>
      </c>
      <c r="AT214" s="19">
        <v>1.0</v>
      </c>
      <c r="AU214" s="19">
        <v>1.0</v>
      </c>
      <c r="AV214" s="19">
        <v>2.0</v>
      </c>
      <c r="AW214" s="19">
        <v>4.0</v>
      </c>
      <c r="AX214" s="19">
        <v>3.0</v>
      </c>
      <c r="AY214" s="19"/>
      <c r="AZ214" s="19">
        <v>3.0</v>
      </c>
      <c r="BA214" s="19">
        <v>1.0</v>
      </c>
      <c r="BB214" s="19">
        <v>1.0</v>
      </c>
      <c r="BC214" s="19">
        <v>1.0</v>
      </c>
      <c r="BD214" s="19">
        <v>1.0</v>
      </c>
      <c r="BE214" s="19">
        <v>2.0</v>
      </c>
      <c r="BF214" s="19">
        <v>1.0</v>
      </c>
      <c r="BG214" s="19">
        <v>2.0</v>
      </c>
      <c r="BH214" s="19">
        <v>2.0</v>
      </c>
      <c r="BI214" s="19">
        <v>1.0</v>
      </c>
      <c r="BJ214" s="19">
        <v>1.0</v>
      </c>
      <c r="BK214" s="13">
        <f t="shared" si="42"/>
        <v>49</v>
      </c>
      <c r="BL214" s="5"/>
      <c r="BM214" s="5"/>
    </row>
    <row r="215" ht="12.75" customHeight="1">
      <c r="A215" s="18"/>
      <c r="B215" s="55">
        <v>2.0</v>
      </c>
      <c r="C215" s="50" t="s">
        <v>158</v>
      </c>
      <c r="D215" s="56"/>
      <c r="E215" s="19"/>
      <c r="F215" s="19">
        <v>1.0</v>
      </c>
      <c r="G215" s="19">
        <v>2.0</v>
      </c>
      <c r="H215" s="19"/>
      <c r="I215" s="19"/>
      <c r="J215" s="19">
        <v>1.0</v>
      </c>
      <c r="K215" s="19"/>
      <c r="L215" s="19">
        <v>1.0</v>
      </c>
      <c r="M215" s="19"/>
      <c r="N215" s="19"/>
      <c r="O215" s="19"/>
      <c r="P215" s="19">
        <v>1.0</v>
      </c>
      <c r="Q215" s="19">
        <v>3.0</v>
      </c>
      <c r="R215" s="19">
        <v>1.0</v>
      </c>
      <c r="S215" s="19">
        <v>4.0</v>
      </c>
      <c r="T215" s="19">
        <v>1.0</v>
      </c>
      <c r="U215" s="19"/>
      <c r="V215" s="19">
        <v>5.0</v>
      </c>
      <c r="W215" s="19"/>
      <c r="X215" s="19">
        <v>1.0</v>
      </c>
      <c r="Y215" s="19">
        <v>1.0</v>
      </c>
      <c r="Z215" s="19"/>
      <c r="AA215" s="19">
        <v>1.0</v>
      </c>
      <c r="AB215" s="19">
        <v>1.0</v>
      </c>
      <c r="AC215" s="19">
        <v>2.0</v>
      </c>
      <c r="AD215" s="19">
        <v>1.0</v>
      </c>
      <c r="AE215" s="19"/>
      <c r="AF215" s="19"/>
      <c r="AG215" s="19"/>
      <c r="AH215" s="19">
        <v>1.0</v>
      </c>
      <c r="AI215" s="19">
        <v>1.0</v>
      </c>
      <c r="AJ215" s="19"/>
      <c r="AK215" s="19"/>
      <c r="AL215" s="19">
        <v>1.0</v>
      </c>
      <c r="AM215" s="19"/>
      <c r="AN215" s="19">
        <v>1.0</v>
      </c>
      <c r="AO215" s="19">
        <v>4.0</v>
      </c>
      <c r="AP215" s="19"/>
      <c r="AQ215" s="19">
        <v>1.0</v>
      </c>
      <c r="AR215" s="19"/>
      <c r="AS215" s="19"/>
      <c r="AT215" s="19">
        <v>1.0</v>
      </c>
      <c r="AU215" s="19"/>
      <c r="AV215" s="19">
        <v>2.0</v>
      </c>
      <c r="AW215" s="19">
        <v>2.0</v>
      </c>
      <c r="AX215" s="19">
        <v>2.0</v>
      </c>
      <c r="AY215" s="19">
        <v>1.0</v>
      </c>
      <c r="AZ215" s="19">
        <v>2.0</v>
      </c>
      <c r="BA215" s="19">
        <v>3.0</v>
      </c>
      <c r="BB215" s="19"/>
      <c r="BC215" s="19"/>
      <c r="BD215" s="19">
        <v>1.0</v>
      </c>
      <c r="BE215" s="19"/>
      <c r="BF215" s="19"/>
      <c r="BG215" s="19"/>
      <c r="BH215" s="19">
        <v>1.0</v>
      </c>
      <c r="BI215" s="19"/>
      <c r="BJ215" s="19"/>
      <c r="BK215" s="13">
        <f t="shared" si="42"/>
        <v>51</v>
      </c>
      <c r="BL215" s="5"/>
      <c r="BM215" s="5"/>
    </row>
    <row r="216" ht="12.75" customHeight="1">
      <c r="A216" s="18"/>
      <c r="B216" s="55">
        <v>3.0</v>
      </c>
      <c r="C216" s="61" t="s">
        <v>159</v>
      </c>
      <c r="E216" s="19"/>
      <c r="F216" s="19"/>
      <c r="G216" s="19"/>
      <c r="H216" s="19"/>
      <c r="I216" s="19"/>
      <c r="J216" s="19">
        <v>1.0</v>
      </c>
      <c r="K216" s="19"/>
      <c r="L216" s="19">
        <v>1.0</v>
      </c>
      <c r="M216" s="19"/>
      <c r="N216" s="19"/>
      <c r="O216" s="19"/>
      <c r="P216" s="19">
        <v>1.0</v>
      </c>
      <c r="Q216" s="19">
        <v>1.0</v>
      </c>
      <c r="R216" s="19"/>
      <c r="S216" s="19"/>
      <c r="T216" s="19">
        <v>1.0</v>
      </c>
      <c r="U216" s="19">
        <v>1.0</v>
      </c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>
        <v>1.0</v>
      </c>
      <c r="AV216" s="19"/>
      <c r="AW216" s="19"/>
      <c r="AX216" s="19"/>
      <c r="AY216" s="19"/>
      <c r="AZ216" s="19"/>
      <c r="BA216" s="19">
        <v>1.0</v>
      </c>
      <c r="BB216" s="19"/>
      <c r="BC216" s="19">
        <v>1.0</v>
      </c>
      <c r="BD216" s="19"/>
      <c r="BE216" s="19">
        <v>1.0</v>
      </c>
      <c r="BF216" s="19"/>
      <c r="BG216" s="19"/>
      <c r="BH216" s="19"/>
      <c r="BI216" s="19"/>
      <c r="BJ216" s="19"/>
      <c r="BK216" s="13">
        <f t="shared" si="42"/>
        <v>10</v>
      </c>
      <c r="BL216" s="5"/>
      <c r="BM216" s="5"/>
    </row>
    <row r="217" ht="12.75" customHeight="1">
      <c r="A217" s="18"/>
      <c r="B217" s="55">
        <v>4.0</v>
      </c>
      <c r="C217" s="50" t="s">
        <v>160</v>
      </c>
      <c r="D217" s="5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>
        <v>1.0</v>
      </c>
      <c r="X217" s="19"/>
      <c r="Y217" s="19">
        <v>1.0</v>
      </c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3">
        <f t="shared" si="42"/>
        <v>2</v>
      </c>
      <c r="BL217" s="5"/>
      <c r="BM217" s="5"/>
    </row>
    <row r="218" ht="12.75" customHeight="1">
      <c r="A218" s="18"/>
      <c r="B218" s="55">
        <v>5.0</v>
      </c>
      <c r="C218" s="50" t="s">
        <v>161</v>
      </c>
      <c r="D218" s="5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3">
        <f t="shared" si="42"/>
        <v>0</v>
      </c>
      <c r="BL218" s="1"/>
      <c r="BM218" s="1"/>
    </row>
    <row r="219" ht="12.75" customHeight="1">
      <c r="A219" s="18"/>
      <c r="B219" s="55">
        <v>6.0</v>
      </c>
      <c r="C219" s="50" t="s">
        <v>162</v>
      </c>
      <c r="D219" s="56"/>
      <c r="E219" s="19"/>
      <c r="F219" s="19"/>
      <c r="G219" s="19"/>
      <c r="H219" s="19"/>
      <c r="I219" s="19"/>
      <c r="J219" s="19"/>
      <c r="K219" s="19"/>
      <c r="L219" s="19"/>
      <c r="M219" s="19">
        <v>1.0</v>
      </c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3">
        <f t="shared" si="42"/>
        <v>1</v>
      </c>
      <c r="BL219" s="52"/>
      <c r="BM219" s="52"/>
    </row>
    <row r="220" ht="12.75" customHeight="1">
      <c r="A220" s="18"/>
      <c r="B220" s="55">
        <v>7.0</v>
      </c>
      <c r="C220" s="50" t="s">
        <v>163</v>
      </c>
      <c r="D220" s="56"/>
      <c r="E220" s="19"/>
      <c r="F220" s="19"/>
      <c r="G220" s="19"/>
      <c r="H220" s="19"/>
      <c r="I220" s="19"/>
      <c r="J220" s="19"/>
      <c r="K220" s="19"/>
      <c r="L220" s="19">
        <v>1.0</v>
      </c>
      <c r="M220" s="19"/>
      <c r="N220" s="19"/>
      <c r="O220" s="19"/>
      <c r="P220" s="19"/>
      <c r="Q220" s="19"/>
      <c r="R220" s="19"/>
      <c r="S220" s="19"/>
      <c r="T220" s="19"/>
      <c r="U220" s="19"/>
      <c r="V220" s="19">
        <v>1.0</v>
      </c>
      <c r="W220" s="19"/>
      <c r="X220" s="19">
        <v>1.0</v>
      </c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>
        <v>1.0</v>
      </c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>
        <v>1.0</v>
      </c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3">
        <f t="shared" si="42"/>
        <v>5</v>
      </c>
      <c r="BL220" s="5"/>
      <c r="BM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3">
        <f t="shared" si="42"/>
        <v>0</v>
      </c>
      <c r="BL221" s="5"/>
      <c r="BM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3">
        <f t="shared" si="42"/>
        <v>0</v>
      </c>
      <c r="BL222" s="5"/>
      <c r="BM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BJ223" si="43">SUM(E213:E220)</f>
        <v>1</v>
      </c>
      <c r="F223" s="13">
        <f t="shared" si="43"/>
        <v>1</v>
      </c>
      <c r="G223" s="13">
        <f t="shared" si="43"/>
        <v>2</v>
      </c>
      <c r="H223" s="13">
        <f t="shared" si="43"/>
        <v>1</v>
      </c>
      <c r="I223" s="13">
        <f t="shared" si="43"/>
        <v>1</v>
      </c>
      <c r="J223" s="13">
        <f t="shared" si="43"/>
        <v>3</v>
      </c>
      <c r="K223" s="13">
        <f t="shared" si="43"/>
        <v>2</v>
      </c>
      <c r="L223" s="13">
        <f t="shared" si="43"/>
        <v>3</v>
      </c>
      <c r="M223" s="13">
        <f t="shared" si="43"/>
        <v>2</v>
      </c>
      <c r="N223" s="13">
        <f t="shared" si="43"/>
        <v>0</v>
      </c>
      <c r="O223" s="13">
        <f t="shared" si="43"/>
        <v>0</v>
      </c>
      <c r="P223" s="13">
        <f t="shared" si="43"/>
        <v>4</v>
      </c>
      <c r="Q223" s="13">
        <f t="shared" si="43"/>
        <v>5</v>
      </c>
      <c r="R223" s="13">
        <f t="shared" si="43"/>
        <v>3</v>
      </c>
      <c r="S223" s="13">
        <f t="shared" si="43"/>
        <v>4</v>
      </c>
      <c r="T223" s="13">
        <f t="shared" si="43"/>
        <v>3</v>
      </c>
      <c r="U223" s="13">
        <f t="shared" si="43"/>
        <v>1</v>
      </c>
      <c r="V223" s="13">
        <f t="shared" si="43"/>
        <v>10</v>
      </c>
      <c r="W223" s="13">
        <f t="shared" si="43"/>
        <v>2</v>
      </c>
      <c r="X223" s="13">
        <f t="shared" si="43"/>
        <v>2</v>
      </c>
      <c r="Y223" s="13">
        <f t="shared" si="43"/>
        <v>3</v>
      </c>
      <c r="Z223" s="13">
        <f t="shared" si="43"/>
        <v>1</v>
      </c>
      <c r="AA223" s="13">
        <f t="shared" si="43"/>
        <v>3</v>
      </c>
      <c r="AB223" s="13">
        <f t="shared" si="43"/>
        <v>1</v>
      </c>
      <c r="AC223" s="13">
        <f t="shared" si="43"/>
        <v>2</v>
      </c>
      <c r="AD223" s="13">
        <f t="shared" si="43"/>
        <v>1</v>
      </c>
      <c r="AE223" s="13">
        <f t="shared" si="43"/>
        <v>0</v>
      </c>
      <c r="AF223" s="13">
        <f t="shared" si="43"/>
        <v>0</v>
      </c>
      <c r="AG223" s="13">
        <f t="shared" si="43"/>
        <v>2</v>
      </c>
      <c r="AH223" s="13">
        <f t="shared" si="43"/>
        <v>5</v>
      </c>
      <c r="AI223" s="13">
        <f t="shared" si="43"/>
        <v>2</v>
      </c>
      <c r="AJ223" s="13">
        <f t="shared" si="43"/>
        <v>1</v>
      </c>
      <c r="AK223" s="13">
        <f t="shared" si="43"/>
        <v>4</v>
      </c>
      <c r="AL223" s="13">
        <f t="shared" si="43"/>
        <v>4</v>
      </c>
      <c r="AM223" s="13">
        <f t="shared" si="43"/>
        <v>4</v>
      </c>
      <c r="AN223" s="13">
        <f t="shared" si="43"/>
        <v>3</v>
      </c>
      <c r="AO223" s="13">
        <f t="shared" si="43"/>
        <v>4</v>
      </c>
      <c r="AP223" s="13">
        <f t="shared" si="43"/>
        <v>2</v>
      </c>
      <c r="AQ223" s="13">
        <f t="shared" si="43"/>
        <v>5</v>
      </c>
      <c r="AR223" s="13">
        <f t="shared" si="43"/>
        <v>2</v>
      </c>
      <c r="AS223" s="13">
        <f t="shared" si="43"/>
        <v>2</v>
      </c>
      <c r="AT223" s="13">
        <f t="shared" si="43"/>
        <v>3</v>
      </c>
      <c r="AU223" s="13">
        <f t="shared" si="43"/>
        <v>5</v>
      </c>
      <c r="AV223" s="13">
        <f t="shared" si="43"/>
        <v>5</v>
      </c>
      <c r="AW223" s="13">
        <f t="shared" si="43"/>
        <v>10</v>
      </c>
      <c r="AX223" s="13">
        <f t="shared" si="43"/>
        <v>8</v>
      </c>
      <c r="AY223" s="13">
        <f t="shared" si="43"/>
        <v>3</v>
      </c>
      <c r="AZ223" s="13">
        <f t="shared" si="43"/>
        <v>6</v>
      </c>
      <c r="BA223" s="13">
        <f t="shared" si="43"/>
        <v>5</v>
      </c>
      <c r="BB223" s="13">
        <f t="shared" si="43"/>
        <v>1</v>
      </c>
      <c r="BC223" s="13">
        <f t="shared" si="43"/>
        <v>3</v>
      </c>
      <c r="BD223" s="13">
        <f t="shared" si="43"/>
        <v>4</v>
      </c>
      <c r="BE223" s="13">
        <f t="shared" si="43"/>
        <v>4</v>
      </c>
      <c r="BF223" s="13">
        <f t="shared" si="43"/>
        <v>1</v>
      </c>
      <c r="BG223" s="13">
        <f t="shared" si="43"/>
        <v>2</v>
      </c>
      <c r="BH223" s="13">
        <f t="shared" si="43"/>
        <v>5</v>
      </c>
      <c r="BI223" s="13">
        <f t="shared" si="43"/>
        <v>1</v>
      </c>
      <c r="BJ223" s="13">
        <f t="shared" si="43"/>
        <v>1</v>
      </c>
      <c r="BK223" s="13">
        <f t="shared" si="42"/>
        <v>168</v>
      </c>
      <c r="BL223" s="5"/>
      <c r="BM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5"/>
      <c r="B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>
        <v>1.0</v>
      </c>
      <c r="L225" s="19"/>
      <c r="M225" s="19">
        <v>1.0</v>
      </c>
      <c r="N225" s="19"/>
      <c r="O225" s="19"/>
      <c r="P225" s="19"/>
      <c r="Q225" s="19">
        <v>1.0</v>
      </c>
      <c r="R225" s="19"/>
      <c r="S225" s="19"/>
      <c r="T225" s="19"/>
      <c r="U225" s="19"/>
      <c r="V225" s="19"/>
      <c r="W225" s="19"/>
      <c r="X225" s="19"/>
      <c r="Y225" s="19">
        <v>2.0</v>
      </c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>
        <v>7.0</v>
      </c>
      <c r="AM225" s="19"/>
      <c r="AN225" s="19">
        <v>1.0</v>
      </c>
      <c r="AO225" s="19"/>
      <c r="AP225" s="19"/>
      <c r="AQ225" s="19"/>
      <c r="AR225" s="19"/>
      <c r="AS225" s="19"/>
      <c r="AT225" s="19"/>
      <c r="AU225" s="19"/>
      <c r="AV225" s="19"/>
      <c r="AW225" s="19"/>
      <c r="AX225" s="19">
        <v>2.0</v>
      </c>
      <c r="AY225" s="19"/>
      <c r="AZ225" s="19">
        <v>1.0</v>
      </c>
      <c r="BA225" s="19"/>
      <c r="BB225" s="19"/>
      <c r="BC225" s="19">
        <v>1.0</v>
      </c>
      <c r="BD225" s="19"/>
      <c r="BE225" s="19">
        <v>2.0</v>
      </c>
      <c r="BF225" s="19">
        <v>1.0</v>
      </c>
      <c r="BG225" s="19"/>
      <c r="BH225" s="19"/>
      <c r="BI225" s="19"/>
      <c r="BJ225" s="19"/>
      <c r="BK225" s="13">
        <f t="shared" ref="BK225:BK235" si="44">SUM(E225:BJ225)</f>
        <v>20</v>
      </c>
      <c r="BL225" s="5"/>
      <c r="B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/>
      <c r="G226" s="19">
        <v>3.0</v>
      </c>
      <c r="H226" s="19">
        <v>1.0</v>
      </c>
      <c r="I226" s="19">
        <v>2.0</v>
      </c>
      <c r="J226" s="19">
        <v>3.0</v>
      </c>
      <c r="K226" s="19"/>
      <c r="L226" s="19">
        <v>2.0</v>
      </c>
      <c r="M226" s="19"/>
      <c r="N226" s="19"/>
      <c r="O226" s="19"/>
      <c r="P226" s="19"/>
      <c r="Q226" s="19">
        <v>2.0</v>
      </c>
      <c r="R226" s="19"/>
      <c r="S226" s="19"/>
      <c r="T226" s="19"/>
      <c r="U226" s="19">
        <v>3.0</v>
      </c>
      <c r="V226" s="19"/>
      <c r="W226" s="19"/>
      <c r="X226" s="19"/>
      <c r="Y226" s="19">
        <v>2.0</v>
      </c>
      <c r="Z226" s="19"/>
      <c r="AA226" s="19"/>
      <c r="AB226" s="19"/>
      <c r="AC226" s="19">
        <v>1.0</v>
      </c>
      <c r="AD226" s="19"/>
      <c r="AE226" s="19"/>
      <c r="AF226" s="19"/>
      <c r="AG226" s="19">
        <v>1.0</v>
      </c>
      <c r="AH226" s="19">
        <v>3.0</v>
      </c>
      <c r="AI226" s="19"/>
      <c r="AJ226" s="19"/>
      <c r="AK226" s="19"/>
      <c r="AL226" s="19">
        <v>64.0</v>
      </c>
      <c r="AM226" s="19"/>
      <c r="AN226" s="19">
        <v>12.0</v>
      </c>
      <c r="AO226" s="19"/>
      <c r="AP226" s="19">
        <v>1.0</v>
      </c>
      <c r="AQ226" s="19">
        <v>2.0</v>
      </c>
      <c r="AR226" s="19"/>
      <c r="AS226" s="19">
        <v>1.0</v>
      </c>
      <c r="AT226" s="19"/>
      <c r="AU226" s="19"/>
      <c r="AV226" s="19">
        <v>1.0</v>
      </c>
      <c r="AW226" s="19">
        <v>4.0</v>
      </c>
      <c r="AX226" s="19">
        <v>23.0</v>
      </c>
      <c r="AY226" s="19">
        <v>6.0</v>
      </c>
      <c r="AZ226" s="19">
        <v>1.0</v>
      </c>
      <c r="BA226" s="19">
        <v>1.0</v>
      </c>
      <c r="BB226" s="19"/>
      <c r="BC226" s="19">
        <v>2.0</v>
      </c>
      <c r="BD226" s="19">
        <v>1.0</v>
      </c>
      <c r="BE226" s="19">
        <v>2.0</v>
      </c>
      <c r="BF226" s="19">
        <v>13.0</v>
      </c>
      <c r="BG226" s="19">
        <v>4.0</v>
      </c>
      <c r="BH226" s="19">
        <v>1.0</v>
      </c>
      <c r="BI226" s="19">
        <v>3.0</v>
      </c>
      <c r="BJ226" s="19">
        <v>1.0</v>
      </c>
      <c r="BK226" s="13">
        <f t="shared" si="44"/>
        <v>168</v>
      </c>
      <c r="BL226" s="5"/>
      <c r="BM226" s="5"/>
    </row>
    <row r="227" ht="12.75" customHeight="1">
      <c r="A227" s="18"/>
      <c r="B227" s="55">
        <v>2.0</v>
      </c>
      <c r="C227" s="50" t="s">
        <v>167</v>
      </c>
      <c r="D227" s="57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>
        <v>1.0</v>
      </c>
      <c r="BH227" s="19"/>
      <c r="BI227" s="19"/>
      <c r="BJ227" s="19"/>
      <c r="BK227" s="13">
        <f t="shared" si="44"/>
        <v>1</v>
      </c>
      <c r="BL227" s="5"/>
      <c r="BM227" s="5"/>
    </row>
    <row r="228" ht="12.75" customHeight="1">
      <c r="A228" s="18"/>
      <c r="B228" s="55">
        <v>3.0</v>
      </c>
      <c r="C228" s="50" t="s">
        <v>168</v>
      </c>
      <c r="D228" s="57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>
        <v>1.0</v>
      </c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3">
        <f t="shared" si="44"/>
        <v>1</v>
      </c>
      <c r="BL228" s="5"/>
      <c r="BM228" s="5"/>
    </row>
    <row r="229" ht="12.75" customHeight="1">
      <c r="A229" s="18"/>
      <c r="B229" s="55">
        <v>4.0</v>
      </c>
      <c r="C229" s="50" t="s">
        <v>169</v>
      </c>
      <c r="D229" s="57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>
        <v>1.0</v>
      </c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>
        <v>1.0</v>
      </c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3">
        <f t="shared" si="44"/>
        <v>2</v>
      </c>
      <c r="BL229" s="1"/>
      <c r="BM229" s="1"/>
    </row>
    <row r="230" ht="12.75" customHeight="1">
      <c r="A230" s="18"/>
      <c r="B230" s="55">
        <v>5.0</v>
      </c>
      <c r="C230" s="50" t="s">
        <v>170</v>
      </c>
      <c r="D230" s="57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>
        <v>1.0</v>
      </c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3">
        <f t="shared" si="44"/>
        <v>1</v>
      </c>
      <c r="BL230" s="52"/>
      <c r="BM230" s="52"/>
    </row>
    <row r="231" ht="12.75" customHeight="1">
      <c r="A231" s="18"/>
      <c r="B231" s="55">
        <v>6.0</v>
      </c>
      <c r="C231" s="50" t="s">
        <v>171</v>
      </c>
      <c r="D231" s="57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3">
        <f t="shared" si="44"/>
        <v>0</v>
      </c>
      <c r="BL231" s="5"/>
      <c r="BM231" s="5"/>
    </row>
    <row r="232" ht="12.75" customHeight="1">
      <c r="A232" s="18"/>
      <c r="B232" s="55">
        <v>7.0</v>
      </c>
      <c r="C232" s="50" t="s">
        <v>172</v>
      </c>
      <c r="D232" s="57"/>
      <c r="E232" s="19"/>
      <c r="F232" s="19"/>
      <c r="G232" s="19"/>
      <c r="H232" s="19"/>
      <c r="I232" s="19">
        <v>1.0</v>
      </c>
      <c r="J232" s="19"/>
      <c r="K232" s="19"/>
      <c r="L232" s="19"/>
      <c r="M232" s="19"/>
      <c r="N232" s="19"/>
      <c r="O232" s="19"/>
      <c r="P232" s="19"/>
      <c r="Q232" s="19">
        <v>1.0</v>
      </c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>
        <v>1.0</v>
      </c>
      <c r="AZ232" s="19"/>
      <c r="BA232" s="19"/>
      <c r="BB232" s="19">
        <v>1.0</v>
      </c>
      <c r="BC232" s="19">
        <v>1.0</v>
      </c>
      <c r="BD232" s="19">
        <v>2.0</v>
      </c>
      <c r="BE232" s="19"/>
      <c r="BF232" s="19"/>
      <c r="BG232" s="19"/>
      <c r="BH232" s="19"/>
      <c r="BI232" s="19"/>
      <c r="BJ232" s="19"/>
      <c r="BK232" s="13">
        <f t="shared" si="44"/>
        <v>7</v>
      </c>
      <c r="BL232" s="5"/>
      <c r="BM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3">
        <f t="shared" si="44"/>
        <v>0</v>
      </c>
      <c r="BL233" s="5"/>
      <c r="BM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3">
        <f t="shared" si="44"/>
        <v>0</v>
      </c>
      <c r="BL234" s="5"/>
      <c r="BM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BJ235" si="45">SUM(E225:E232)</f>
        <v>2</v>
      </c>
      <c r="F235" s="13">
        <f t="shared" si="45"/>
        <v>0</v>
      </c>
      <c r="G235" s="13">
        <f t="shared" si="45"/>
        <v>3</v>
      </c>
      <c r="H235" s="13">
        <f t="shared" si="45"/>
        <v>1</v>
      </c>
      <c r="I235" s="13">
        <f t="shared" si="45"/>
        <v>3</v>
      </c>
      <c r="J235" s="13">
        <f t="shared" si="45"/>
        <v>3</v>
      </c>
      <c r="K235" s="13">
        <f t="shared" si="45"/>
        <v>1</v>
      </c>
      <c r="L235" s="13">
        <f t="shared" si="45"/>
        <v>2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4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3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4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1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1</v>
      </c>
      <c r="AH235" s="13">
        <f t="shared" si="45"/>
        <v>4</v>
      </c>
      <c r="AI235" s="13">
        <f t="shared" si="45"/>
        <v>0</v>
      </c>
      <c r="AJ235" s="13">
        <f t="shared" si="45"/>
        <v>0</v>
      </c>
      <c r="AK235" s="13">
        <f t="shared" si="45"/>
        <v>0</v>
      </c>
      <c r="AL235" s="13">
        <f t="shared" si="45"/>
        <v>73</v>
      </c>
      <c r="AM235" s="13">
        <f t="shared" si="45"/>
        <v>0</v>
      </c>
      <c r="AN235" s="13">
        <f t="shared" si="45"/>
        <v>13</v>
      </c>
      <c r="AO235" s="13">
        <f t="shared" si="45"/>
        <v>0</v>
      </c>
      <c r="AP235" s="13">
        <f t="shared" si="45"/>
        <v>1</v>
      </c>
      <c r="AQ235" s="13">
        <f t="shared" si="45"/>
        <v>2</v>
      </c>
      <c r="AR235" s="13">
        <f t="shared" si="45"/>
        <v>0</v>
      </c>
      <c r="AS235" s="13">
        <f t="shared" si="45"/>
        <v>1</v>
      </c>
      <c r="AT235" s="13">
        <f t="shared" si="45"/>
        <v>0</v>
      </c>
      <c r="AU235" s="13">
        <f t="shared" si="45"/>
        <v>0</v>
      </c>
      <c r="AV235" s="13">
        <f t="shared" si="45"/>
        <v>1</v>
      </c>
      <c r="AW235" s="13">
        <f t="shared" si="45"/>
        <v>4</v>
      </c>
      <c r="AX235" s="13">
        <f t="shared" si="45"/>
        <v>25</v>
      </c>
      <c r="AY235" s="13">
        <f t="shared" si="45"/>
        <v>7</v>
      </c>
      <c r="AZ235" s="13">
        <f t="shared" si="45"/>
        <v>2</v>
      </c>
      <c r="BA235" s="13">
        <f t="shared" si="45"/>
        <v>1</v>
      </c>
      <c r="BB235" s="13">
        <f t="shared" si="45"/>
        <v>1</v>
      </c>
      <c r="BC235" s="13">
        <f t="shared" si="45"/>
        <v>4</v>
      </c>
      <c r="BD235" s="13">
        <f t="shared" si="45"/>
        <v>3</v>
      </c>
      <c r="BE235" s="13">
        <f t="shared" si="45"/>
        <v>4</v>
      </c>
      <c r="BF235" s="13">
        <f t="shared" si="45"/>
        <v>14</v>
      </c>
      <c r="BG235" s="13">
        <f t="shared" si="45"/>
        <v>5</v>
      </c>
      <c r="BH235" s="13">
        <f t="shared" si="45"/>
        <v>1</v>
      </c>
      <c r="BI235" s="13">
        <f t="shared" si="45"/>
        <v>3</v>
      </c>
      <c r="BJ235" s="13">
        <f t="shared" si="45"/>
        <v>1</v>
      </c>
      <c r="BK235" s="13">
        <f t="shared" si="44"/>
        <v>200</v>
      </c>
      <c r="BL235" s="5"/>
      <c r="BM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5"/>
      <c r="B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/>
      <c r="F237" s="19"/>
      <c r="G237" s="19"/>
      <c r="H237" s="19"/>
      <c r="I237" s="19"/>
      <c r="J237" s="19">
        <v>1.0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>
        <v>1.0</v>
      </c>
      <c r="AB237" s="19"/>
      <c r="AC237" s="19">
        <v>2.0</v>
      </c>
      <c r="AD237" s="19"/>
      <c r="AE237" s="19">
        <v>1.0</v>
      </c>
      <c r="AF237" s="19"/>
      <c r="AG237" s="19">
        <v>1.0</v>
      </c>
      <c r="AH237" s="19">
        <v>2.0</v>
      </c>
      <c r="AI237" s="19"/>
      <c r="AJ237" s="19"/>
      <c r="AK237" s="19"/>
      <c r="AL237" s="19"/>
      <c r="AM237" s="19"/>
      <c r="AN237" s="19"/>
      <c r="AO237" s="19"/>
      <c r="AP237" s="19">
        <v>2.0</v>
      </c>
      <c r="AQ237" s="19">
        <v>1.0</v>
      </c>
      <c r="AR237" s="19">
        <v>2.0</v>
      </c>
      <c r="AS237" s="19">
        <v>1.0</v>
      </c>
      <c r="AT237" s="19"/>
      <c r="AU237" s="19"/>
      <c r="AV237" s="19">
        <v>2.0</v>
      </c>
      <c r="AW237" s="19">
        <v>1.0</v>
      </c>
      <c r="AX237" s="19"/>
      <c r="AY237" s="19">
        <v>2.0</v>
      </c>
      <c r="AZ237" s="19">
        <v>1.0</v>
      </c>
      <c r="BA237" s="19">
        <v>1.0</v>
      </c>
      <c r="BB237" s="19">
        <v>2.0</v>
      </c>
      <c r="BC237" s="19">
        <v>1.0</v>
      </c>
      <c r="BD237" s="19"/>
      <c r="BE237" s="19"/>
      <c r="BF237" s="19"/>
      <c r="BG237" s="19">
        <v>2.0</v>
      </c>
      <c r="BH237" s="19"/>
      <c r="BI237" s="19"/>
      <c r="BJ237" s="19">
        <v>1.0</v>
      </c>
      <c r="BK237" s="13">
        <f t="shared" ref="BK237:BK247" si="46">SUM(E237:BJ237)</f>
        <v>27</v>
      </c>
      <c r="BL237" s="5"/>
      <c r="B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>
        <v>1.0</v>
      </c>
      <c r="AD238" s="19"/>
      <c r="AE238" s="19">
        <v>2.0</v>
      </c>
      <c r="AF238" s="19"/>
      <c r="AG238" s="19"/>
      <c r="AH238" s="19"/>
      <c r="AI238" s="19"/>
      <c r="AJ238" s="19"/>
      <c r="AK238" s="19"/>
      <c r="AL238" s="19"/>
      <c r="AM238" s="19">
        <v>1.0</v>
      </c>
      <c r="AN238" s="19">
        <v>1.0</v>
      </c>
      <c r="AO238" s="19"/>
      <c r="AP238" s="19"/>
      <c r="AQ238" s="19"/>
      <c r="AR238" s="19">
        <v>16.0</v>
      </c>
      <c r="AS238" s="19">
        <v>1.0</v>
      </c>
      <c r="AT238" s="19"/>
      <c r="AU238" s="19">
        <v>2.0</v>
      </c>
      <c r="AV238" s="19">
        <v>3.0</v>
      </c>
      <c r="AW238" s="19"/>
      <c r="AX238" s="19"/>
      <c r="AY238" s="19">
        <v>2.0</v>
      </c>
      <c r="AZ238" s="19"/>
      <c r="BA238" s="19"/>
      <c r="BB238" s="19">
        <v>2.0</v>
      </c>
      <c r="BC238" s="19">
        <v>1.0</v>
      </c>
      <c r="BD238" s="19"/>
      <c r="BE238" s="19"/>
      <c r="BF238" s="19"/>
      <c r="BG238" s="19">
        <v>3.0</v>
      </c>
      <c r="BH238" s="19"/>
      <c r="BI238" s="19">
        <v>1.0</v>
      </c>
      <c r="BJ238" s="19">
        <v>2.0</v>
      </c>
      <c r="BK238" s="13">
        <f t="shared" si="46"/>
        <v>38</v>
      </c>
      <c r="BL238" s="5"/>
      <c r="BM238" s="5"/>
    </row>
    <row r="239" ht="12.75" customHeight="1">
      <c r="A239" s="18"/>
      <c r="B239" s="55">
        <v>2.0</v>
      </c>
      <c r="C239" s="50" t="s">
        <v>176</v>
      </c>
      <c r="D239" s="57"/>
      <c r="E239" s="19"/>
      <c r="F239" s="19"/>
      <c r="G239" s="19"/>
      <c r="H239" s="19"/>
      <c r="I239" s="19"/>
      <c r="J239" s="19">
        <v>1.0</v>
      </c>
      <c r="K239" s="19"/>
      <c r="L239" s="19"/>
      <c r="M239" s="19"/>
      <c r="N239" s="19"/>
      <c r="O239" s="19"/>
      <c r="P239" s="19">
        <v>1.0</v>
      </c>
      <c r="Q239" s="19"/>
      <c r="R239" s="19"/>
      <c r="S239" s="19"/>
      <c r="T239" s="19"/>
      <c r="U239" s="19"/>
      <c r="V239" s="19"/>
      <c r="W239" s="19"/>
      <c r="X239" s="19">
        <v>1.0</v>
      </c>
      <c r="Y239" s="19"/>
      <c r="Z239" s="19"/>
      <c r="AA239" s="19">
        <v>1.0</v>
      </c>
      <c r="AB239" s="19"/>
      <c r="AC239" s="19">
        <v>1.0</v>
      </c>
      <c r="AD239" s="19"/>
      <c r="AE239" s="19"/>
      <c r="AF239" s="19"/>
      <c r="AG239" s="19">
        <v>1.0</v>
      </c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>
        <v>1.0</v>
      </c>
      <c r="AT239" s="19"/>
      <c r="AU239" s="19"/>
      <c r="AV239" s="19">
        <v>2.0</v>
      </c>
      <c r="AW239" s="19">
        <v>2.0</v>
      </c>
      <c r="AX239" s="19">
        <v>1.0</v>
      </c>
      <c r="AY239" s="19"/>
      <c r="AZ239" s="19"/>
      <c r="BA239" s="19">
        <v>1.0</v>
      </c>
      <c r="BB239" s="19">
        <v>3.0</v>
      </c>
      <c r="BC239" s="19"/>
      <c r="BD239" s="19"/>
      <c r="BE239" s="19">
        <v>1.0</v>
      </c>
      <c r="BF239" s="19">
        <v>1.0</v>
      </c>
      <c r="BG239" s="19">
        <v>1.0</v>
      </c>
      <c r="BH239" s="19">
        <v>3.0</v>
      </c>
      <c r="BI239" s="19"/>
      <c r="BJ239" s="19">
        <v>1.0</v>
      </c>
      <c r="BK239" s="13">
        <f t="shared" si="46"/>
        <v>23</v>
      </c>
      <c r="BL239" s="5"/>
      <c r="BM239" s="5"/>
    </row>
    <row r="240" ht="12.75" customHeight="1">
      <c r="A240" s="18"/>
      <c r="B240" s="55">
        <v>3.0</v>
      </c>
      <c r="C240" s="50" t="s">
        <v>177</v>
      </c>
      <c r="D240" s="57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>
        <v>1.0</v>
      </c>
      <c r="Z240" s="19">
        <v>1.0</v>
      </c>
      <c r="AA240" s="19"/>
      <c r="AB240" s="19"/>
      <c r="AC240" s="19">
        <v>1.0</v>
      </c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>
        <v>1.0</v>
      </c>
      <c r="AS240" s="19"/>
      <c r="AT240" s="19">
        <v>1.0</v>
      </c>
      <c r="AU240" s="19"/>
      <c r="AV240" s="19"/>
      <c r="AW240" s="19"/>
      <c r="AX240" s="19"/>
      <c r="AY240" s="19">
        <v>1.0</v>
      </c>
      <c r="AZ240" s="19"/>
      <c r="BA240" s="19"/>
      <c r="BB240" s="19"/>
      <c r="BC240" s="19"/>
      <c r="BD240" s="19"/>
      <c r="BE240" s="19"/>
      <c r="BF240" s="19"/>
      <c r="BG240" s="19">
        <v>1.0</v>
      </c>
      <c r="BH240" s="19"/>
      <c r="BI240" s="19">
        <v>2.0</v>
      </c>
      <c r="BJ240" s="19">
        <v>1.0</v>
      </c>
      <c r="BK240" s="13">
        <f t="shared" si="46"/>
        <v>10</v>
      </c>
      <c r="BL240" s="1"/>
      <c r="BM240" s="1"/>
    </row>
    <row r="241" ht="12.75" customHeight="1">
      <c r="A241" s="18"/>
      <c r="B241" s="55">
        <v>4.0</v>
      </c>
      <c r="C241" s="50" t="s">
        <v>178</v>
      </c>
      <c r="D241" s="57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>
        <v>1.0</v>
      </c>
      <c r="P241" s="19"/>
      <c r="Q241" s="19"/>
      <c r="R241" s="19"/>
      <c r="S241" s="19"/>
      <c r="T241" s="19"/>
      <c r="U241" s="19"/>
      <c r="V241" s="19"/>
      <c r="W241" s="19"/>
      <c r="X241" s="19">
        <v>1.0</v>
      </c>
      <c r="Y241" s="19"/>
      <c r="Z241" s="19"/>
      <c r="AA241" s="19"/>
      <c r="AB241" s="19"/>
      <c r="AC241" s="19">
        <v>1.0</v>
      </c>
      <c r="AD241" s="19"/>
      <c r="AE241" s="19"/>
      <c r="AF241" s="19"/>
      <c r="AG241" s="19">
        <v>1.0</v>
      </c>
      <c r="AH241" s="19"/>
      <c r="AI241" s="19"/>
      <c r="AJ241" s="19"/>
      <c r="AK241" s="19">
        <v>1.0</v>
      </c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>
        <v>1.0</v>
      </c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>
        <v>3.0</v>
      </c>
      <c r="BK241" s="13">
        <f t="shared" si="46"/>
        <v>9</v>
      </c>
    </row>
    <row r="242" ht="12.75" customHeight="1">
      <c r="A242" s="18"/>
      <c r="B242" s="55">
        <v>5.0</v>
      </c>
      <c r="C242" s="50" t="s">
        <v>179</v>
      </c>
      <c r="D242" s="57"/>
      <c r="E242" s="19"/>
      <c r="F242" s="19"/>
      <c r="G242" s="19"/>
      <c r="H242" s="19"/>
      <c r="I242" s="19"/>
      <c r="J242" s="19">
        <v>1.0</v>
      </c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>
        <v>2.0</v>
      </c>
      <c r="Y242" s="19">
        <v>1.0</v>
      </c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>
        <v>1.0</v>
      </c>
      <c r="AQ242" s="19"/>
      <c r="AR242" s="19">
        <v>2.0</v>
      </c>
      <c r="AS242" s="19"/>
      <c r="AT242" s="19"/>
      <c r="AU242" s="19"/>
      <c r="AV242" s="19"/>
      <c r="AW242" s="19"/>
      <c r="AX242" s="19"/>
      <c r="AY242" s="19">
        <v>1.0</v>
      </c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3">
        <f t="shared" si="46"/>
        <v>8</v>
      </c>
    </row>
    <row r="243" ht="12.75" customHeight="1">
      <c r="A243" s="18"/>
      <c r="B243" s="55">
        <v>6.0</v>
      </c>
      <c r="C243" s="50" t="s">
        <v>180</v>
      </c>
      <c r="D243" s="57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>
        <v>1.0</v>
      </c>
      <c r="BI243" s="19"/>
      <c r="BJ243" s="19">
        <v>1.0</v>
      </c>
      <c r="BK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/>
      <c r="F244" s="19"/>
      <c r="G244" s="19"/>
      <c r="H244" s="19">
        <v>2.0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>
        <v>1.0</v>
      </c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>
        <v>1.0</v>
      </c>
      <c r="AM244" s="19">
        <v>1.0</v>
      </c>
      <c r="AN244" s="19"/>
      <c r="AO244" s="19"/>
      <c r="AP244" s="19"/>
      <c r="AQ244" s="19"/>
      <c r="AR244" s="19"/>
      <c r="AS244" s="19"/>
      <c r="AT244" s="19">
        <v>1.0</v>
      </c>
      <c r="AU244" s="19"/>
      <c r="AV244" s="19">
        <v>1.0</v>
      </c>
      <c r="AW244" s="19"/>
      <c r="AX244" s="19"/>
      <c r="AY244" s="19">
        <v>1.0</v>
      </c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>
        <v>1.0</v>
      </c>
      <c r="BK244" s="13">
        <f t="shared" si="46"/>
        <v>9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J247" si="47">SUM(E237:E244)</f>
        <v>0</v>
      </c>
      <c r="F247" s="13">
        <f t="shared" si="47"/>
        <v>0</v>
      </c>
      <c r="G247" s="13">
        <f t="shared" si="47"/>
        <v>0</v>
      </c>
      <c r="H247" s="13">
        <f t="shared" si="47"/>
        <v>2</v>
      </c>
      <c r="I247" s="13">
        <f t="shared" si="47"/>
        <v>0</v>
      </c>
      <c r="J247" s="13">
        <f t="shared" si="47"/>
        <v>3</v>
      </c>
      <c r="K247" s="13">
        <f t="shared" si="47"/>
        <v>0</v>
      </c>
      <c r="L247" s="13">
        <f t="shared" si="47"/>
        <v>0</v>
      </c>
      <c r="M247" s="13">
        <f t="shared" si="47"/>
        <v>0</v>
      </c>
      <c r="N247" s="13">
        <f t="shared" si="47"/>
        <v>0</v>
      </c>
      <c r="O247" s="13">
        <f t="shared" si="47"/>
        <v>1</v>
      </c>
      <c r="P247" s="13">
        <f t="shared" si="47"/>
        <v>1</v>
      </c>
      <c r="Q247" s="13">
        <f t="shared" si="47"/>
        <v>0</v>
      </c>
      <c r="R247" s="13">
        <f t="shared" si="47"/>
        <v>0</v>
      </c>
      <c r="S247" s="13">
        <f t="shared" si="47"/>
        <v>0</v>
      </c>
      <c r="T247" s="13">
        <f t="shared" si="47"/>
        <v>0</v>
      </c>
      <c r="U247" s="13">
        <f t="shared" si="47"/>
        <v>0</v>
      </c>
      <c r="V247" s="13">
        <f t="shared" si="47"/>
        <v>0</v>
      </c>
      <c r="W247" s="13">
        <f t="shared" si="47"/>
        <v>1</v>
      </c>
      <c r="X247" s="13">
        <f t="shared" si="47"/>
        <v>4</v>
      </c>
      <c r="Y247" s="13">
        <f t="shared" si="47"/>
        <v>2</v>
      </c>
      <c r="Z247" s="13">
        <f t="shared" si="47"/>
        <v>1</v>
      </c>
      <c r="AA247" s="13">
        <f t="shared" si="47"/>
        <v>2</v>
      </c>
      <c r="AB247" s="13">
        <f t="shared" si="47"/>
        <v>0</v>
      </c>
      <c r="AC247" s="13">
        <f t="shared" si="47"/>
        <v>6</v>
      </c>
      <c r="AD247" s="13">
        <f t="shared" si="47"/>
        <v>0</v>
      </c>
      <c r="AE247" s="13">
        <f t="shared" si="47"/>
        <v>3</v>
      </c>
      <c r="AF247" s="13">
        <f t="shared" si="47"/>
        <v>0</v>
      </c>
      <c r="AG247" s="13">
        <f t="shared" si="47"/>
        <v>3</v>
      </c>
      <c r="AH247" s="13">
        <f t="shared" si="47"/>
        <v>2</v>
      </c>
      <c r="AI247" s="13">
        <f t="shared" si="47"/>
        <v>0</v>
      </c>
      <c r="AJ247" s="13">
        <f t="shared" si="47"/>
        <v>0</v>
      </c>
      <c r="AK247" s="13">
        <f t="shared" si="47"/>
        <v>1</v>
      </c>
      <c r="AL247" s="13">
        <f t="shared" si="47"/>
        <v>1</v>
      </c>
      <c r="AM247" s="13">
        <f t="shared" si="47"/>
        <v>2</v>
      </c>
      <c r="AN247" s="13">
        <f t="shared" si="47"/>
        <v>1</v>
      </c>
      <c r="AO247" s="13">
        <f t="shared" si="47"/>
        <v>0</v>
      </c>
      <c r="AP247" s="13">
        <f t="shared" si="47"/>
        <v>3</v>
      </c>
      <c r="AQ247" s="13">
        <f t="shared" si="47"/>
        <v>1</v>
      </c>
      <c r="AR247" s="13">
        <f t="shared" si="47"/>
        <v>21</v>
      </c>
      <c r="AS247" s="13">
        <f t="shared" si="47"/>
        <v>3</v>
      </c>
      <c r="AT247" s="13">
        <f t="shared" si="47"/>
        <v>2</v>
      </c>
      <c r="AU247" s="13">
        <f t="shared" si="47"/>
        <v>2</v>
      </c>
      <c r="AV247" s="13">
        <f t="shared" si="47"/>
        <v>9</v>
      </c>
      <c r="AW247" s="13">
        <f t="shared" si="47"/>
        <v>3</v>
      </c>
      <c r="AX247" s="13">
        <f t="shared" si="47"/>
        <v>1</v>
      </c>
      <c r="AY247" s="13">
        <f t="shared" si="47"/>
        <v>7</v>
      </c>
      <c r="AZ247" s="13">
        <f t="shared" si="47"/>
        <v>1</v>
      </c>
      <c r="BA247" s="13">
        <f t="shared" si="47"/>
        <v>2</v>
      </c>
      <c r="BB247" s="13">
        <f t="shared" si="47"/>
        <v>7</v>
      </c>
      <c r="BC247" s="13">
        <f t="shared" si="47"/>
        <v>2</v>
      </c>
      <c r="BD247" s="13">
        <f t="shared" si="47"/>
        <v>0</v>
      </c>
      <c r="BE247" s="13">
        <f t="shared" si="47"/>
        <v>1</v>
      </c>
      <c r="BF247" s="13">
        <f t="shared" si="47"/>
        <v>1</v>
      </c>
      <c r="BG247" s="13">
        <f t="shared" si="47"/>
        <v>7</v>
      </c>
      <c r="BH247" s="13">
        <f t="shared" si="47"/>
        <v>4</v>
      </c>
      <c r="BI247" s="13">
        <f t="shared" si="47"/>
        <v>3</v>
      </c>
      <c r="BJ247" s="13">
        <f t="shared" si="47"/>
        <v>10</v>
      </c>
      <c r="BK247" s="13">
        <f t="shared" si="46"/>
        <v>126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>
        <v>1.0</v>
      </c>
      <c r="P249" s="19"/>
      <c r="Q249" s="19"/>
      <c r="R249" s="19"/>
      <c r="S249" s="19"/>
      <c r="T249" s="19"/>
      <c r="U249" s="19"/>
      <c r="V249" s="19"/>
      <c r="W249" s="19">
        <v>1.0</v>
      </c>
      <c r="X249" s="19"/>
      <c r="Y249" s="19">
        <v>1.0</v>
      </c>
      <c r="Z249" s="19"/>
      <c r="AA249" s="19"/>
      <c r="AB249" s="19"/>
      <c r="AC249" s="19"/>
      <c r="AD249" s="19"/>
      <c r="AE249" s="19"/>
      <c r="AF249" s="19"/>
      <c r="AG249" s="19">
        <v>1.0</v>
      </c>
      <c r="AH249" s="19"/>
      <c r="AI249" s="19"/>
      <c r="AJ249" s="19"/>
      <c r="AK249" s="19"/>
      <c r="AL249" s="19"/>
      <c r="AM249" s="19"/>
      <c r="AN249" s="19"/>
      <c r="AO249" s="19">
        <v>1.0</v>
      </c>
      <c r="AP249" s="19">
        <v>1.0</v>
      </c>
      <c r="AQ249" s="19"/>
      <c r="AR249" s="19"/>
      <c r="AS249" s="19"/>
      <c r="AT249" s="19"/>
      <c r="AU249" s="19"/>
      <c r="AV249" s="19">
        <v>1.0</v>
      </c>
      <c r="AW249" s="19"/>
      <c r="AX249" s="19"/>
      <c r="AY249" s="19"/>
      <c r="AZ249" s="19"/>
      <c r="BA249" s="19"/>
      <c r="BB249" s="19"/>
      <c r="BC249" s="19">
        <v>1.0</v>
      </c>
      <c r="BD249" s="19"/>
      <c r="BE249" s="19"/>
      <c r="BF249" s="19"/>
      <c r="BG249" s="19"/>
      <c r="BH249" s="19"/>
      <c r="BI249" s="19"/>
      <c r="BJ249" s="19"/>
      <c r="BK249" s="13">
        <f t="shared" ref="BK249:BK259" si="48">SUM(E249:BJ249)</f>
        <v>8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>
        <v>1.0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>
        <v>2.0</v>
      </c>
      <c r="AZ250" s="19"/>
      <c r="BA250" s="19"/>
      <c r="BB250" s="19"/>
      <c r="BC250" s="19"/>
      <c r="BD250" s="19">
        <v>1.0</v>
      </c>
      <c r="BE250" s="19"/>
      <c r="BF250" s="19"/>
      <c r="BG250" s="19">
        <v>2.0</v>
      </c>
      <c r="BH250" s="19"/>
      <c r="BI250" s="19"/>
      <c r="BJ250" s="19"/>
      <c r="BK250" s="13">
        <f t="shared" si="48"/>
        <v>6</v>
      </c>
    </row>
    <row r="251" ht="12.75" customHeight="1">
      <c r="A251" s="18"/>
      <c r="B251" s="55">
        <v>2.0</v>
      </c>
      <c r="C251" s="59" t="s">
        <v>185</v>
      </c>
      <c r="D251" s="57"/>
      <c r="E251" s="19"/>
      <c r="F251" s="19"/>
      <c r="G251" s="19"/>
      <c r="H251" s="19"/>
      <c r="I251" s="19"/>
      <c r="J251" s="19"/>
      <c r="K251" s="19">
        <v>1.0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>
        <v>1.0</v>
      </c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>
        <v>1.0</v>
      </c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>
        <v>1.0</v>
      </c>
      <c r="Q254" s="19">
        <v>1.0</v>
      </c>
      <c r="R254" s="19"/>
      <c r="S254" s="19"/>
      <c r="T254" s="19"/>
      <c r="U254" s="19"/>
      <c r="V254" s="19"/>
      <c r="W254" s="19">
        <v>1.0</v>
      </c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>
        <v>1.0</v>
      </c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>
        <v>1.0</v>
      </c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3">
        <f t="shared" si="48"/>
        <v>5</v>
      </c>
    </row>
    <row r="255" ht="12.75" customHeight="1">
      <c r="A255" s="18"/>
      <c r="B255" s="55">
        <v>6.0</v>
      </c>
      <c r="C255" s="59" t="s">
        <v>189</v>
      </c>
      <c r="D255" s="57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BJ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1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3</v>
      </c>
      <c r="X259" s="13">
        <f t="shared" si="49"/>
        <v>0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1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1</v>
      </c>
      <c r="AP259" s="13">
        <f t="shared" si="49"/>
        <v>1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1</v>
      </c>
      <c r="AW259" s="13">
        <f t="shared" si="49"/>
        <v>0</v>
      </c>
      <c r="AX259" s="13">
        <f t="shared" si="49"/>
        <v>1</v>
      </c>
      <c r="AY259" s="13">
        <f t="shared" si="49"/>
        <v>2</v>
      </c>
      <c r="AZ259" s="13">
        <f t="shared" si="49"/>
        <v>0</v>
      </c>
      <c r="BA259" s="13">
        <f t="shared" si="49"/>
        <v>0</v>
      </c>
      <c r="BB259" s="13">
        <f t="shared" si="49"/>
        <v>0</v>
      </c>
      <c r="BC259" s="13">
        <f t="shared" si="49"/>
        <v>1</v>
      </c>
      <c r="BD259" s="13">
        <f t="shared" si="49"/>
        <v>1</v>
      </c>
      <c r="BE259" s="13">
        <f t="shared" si="49"/>
        <v>0</v>
      </c>
      <c r="BF259" s="13">
        <f t="shared" si="49"/>
        <v>0</v>
      </c>
      <c r="BG259" s="13">
        <f t="shared" si="49"/>
        <v>2</v>
      </c>
      <c r="BH259" s="13">
        <f t="shared" si="49"/>
        <v>0</v>
      </c>
      <c r="BI259" s="13">
        <f t="shared" si="49"/>
        <v>0</v>
      </c>
      <c r="BJ259" s="13">
        <f t="shared" si="49"/>
        <v>0</v>
      </c>
      <c r="BK259" s="13">
        <f t="shared" si="48"/>
        <v>22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13"/>
      <c r="BD261" s="13"/>
      <c r="BE261" s="13"/>
      <c r="BF261" s="13"/>
      <c r="BG261" s="69"/>
      <c r="BH261" s="13"/>
      <c r="BI261" s="13"/>
      <c r="BJ261" s="13"/>
      <c r="B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J262" si="50">E55+E67+E79+E91+E103+E115+E127+E139+E151+E163+E175+E187+E199+E211+E223+E235+E247+E259</f>
        <v>73</v>
      </c>
      <c r="F262" s="19">
        <f t="shared" si="50"/>
        <v>80</v>
      </c>
      <c r="G262" s="19">
        <f t="shared" si="50"/>
        <v>95</v>
      </c>
      <c r="H262" s="19">
        <f t="shared" si="50"/>
        <v>52</v>
      </c>
      <c r="I262" s="19">
        <f t="shared" si="50"/>
        <v>149</v>
      </c>
      <c r="J262" s="19">
        <f t="shared" si="50"/>
        <v>174</v>
      </c>
      <c r="K262" s="19">
        <f t="shared" si="50"/>
        <v>152</v>
      </c>
      <c r="L262" s="19">
        <f t="shared" si="50"/>
        <v>172</v>
      </c>
      <c r="M262" s="19">
        <f t="shared" si="50"/>
        <v>169</v>
      </c>
      <c r="N262" s="19">
        <f t="shared" si="50"/>
        <v>93</v>
      </c>
      <c r="O262" s="19">
        <f t="shared" si="50"/>
        <v>203</v>
      </c>
      <c r="P262" s="19">
        <f t="shared" si="50"/>
        <v>137</v>
      </c>
      <c r="Q262" s="19">
        <f t="shared" si="50"/>
        <v>142</v>
      </c>
      <c r="R262" s="19">
        <f t="shared" si="50"/>
        <v>73</v>
      </c>
      <c r="S262" s="19">
        <f t="shared" si="50"/>
        <v>154</v>
      </c>
      <c r="T262" s="19">
        <f t="shared" si="50"/>
        <v>112</v>
      </c>
      <c r="U262" s="19">
        <f t="shared" si="50"/>
        <v>156</v>
      </c>
      <c r="V262" s="19">
        <f t="shared" si="50"/>
        <v>204</v>
      </c>
      <c r="W262" s="19">
        <f t="shared" si="50"/>
        <v>161</v>
      </c>
      <c r="X262" s="19">
        <f t="shared" si="50"/>
        <v>228</v>
      </c>
      <c r="Y262" s="19">
        <f t="shared" si="50"/>
        <v>149</v>
      </c>
      <c r="Z262" s="19">
        <f t="shared" si="50"/>
        <v>122</v>
      </c>
      <c r="AA262" s="19">
        <f t="shared" si="50"/>
        <v>183</v>
      </c>
      <c r="AB262" s="19">
        <f t="shared" si="50"/>
        <v>107</v>
      </c>
      <c r="AC262" s="19">
        <f t="shared" si="50"/>
        <v>202</v>
      </c>
      <c r="AD262" s="19">
        <f t="shared" si="50"/>
        <v>121</v>
      </c>
      <c r="AE262" s="19">
        <f t="shared" si="50"/>
        <v>137</v>
      </c>
      <c r="AF262" s="19">
        <f t="shared" si="50"/>
        <v>102</v>
      </c>
      <c r="AG262" s="19">
        <f t="shared" si="50"/>
        <v>168</v>
      </c>
      <c r="AH262" s="19">
        <f t="shared" si="50"/>
        <v>212</v>
      </c>
      <c r="AI262" s="19">
        <f t="shared" si="50"/>
        <v>158</v>
      </c>
      <c r="AJ262" s="19">
        <f t="shared" si="50"/>
        <v>118</v>
      </c>
      <c r="AK262" s="19">
        <f t="shared" si="50"/>
        <v>121</v>
      </c>
      <c r="AL262" s="19">
        <f t="shared" si="50"/>
        <v>207</v>
      </c>
      <c r="AM262" s="19">
        <f t="shared" si="50"/>
        <v>137</v>
      </c>
      <c r="AN262" s="19">
        <f t="shared" si="50"/>
        <v>122</v>
      </c>
      <c r="AO262" s="19">
        <f t="shared" si="50"/>
        <v>119</v>
      </c>
      <c r="AP262" s="19">
        <f t="shared" si="50"/>
        <v>165</v>
      </c>
      <c r="AQ262" s="19">
        <f t="shared" si="50"/>
        <v>141</v>
      </c>
      <c r="AR262" s="19">
        <f t="shared" si="50"/>
        <v>142</v>
      </c>
      <c r="AS262" s="19">
        <f t="shared" si="50"/>
        <v>117</v>
      </c>
      <c r="AT262" s="19">
        <f t="shared" si="50"/>
        <v>189</v>
      </c>
      <c r="AU262" s="19">
        <f t="shared" si="50"/>
        <v>188</v>
      </c>
      <c r="AV262" s="19">
        <f t="shared" si="50"/>
        <v>185</v>
      </c>
      <c r="AW262" s="19">
        <f t="shared" si="50"/>
        <v>175</v>
      </c>
      <c r="AX262" s="19">
        <f t="shared" si="50"/>
        <v>155</v>
      </c>
      <c r="AY262" s="19">
        <f t="shared" si="50"/>
        <v>197</v>
      </c>
      <c r="AZ262" s="19">
        <f t="shared" si="50"/>
        <v>96</v>
      </c>
      <c r="BA262" s="19">
        <f t="shared" si="50"/>
        <v>143</v>
      </c>
      <c r="BB262" s="19">
        <f t="shared" si="50"/>
        <v>124</v>
      </c>
      <c r="BC262" s="19">
        <f t="shared" si="50"/>
        <v>176</v>
      </c>
      <c r="BD262" s="19">
        <f t="shared" si="50"/>
        <v>161</v>
      </c>
      <c r="BE262" s="19">
        <f t="shared" si="50"/>
        <v>146</v>
      </c>
      <c r="BF262" s="19">
        <f t="shared" si="50"/>
        <v>145</v>
      </c>
      <c r="BG262" s="19">
        <f t="shared" si="50"/>
        <v>174</v>
      </c>
      <c r="BH262" s="19">
        <f t="shared" si="50"/>
        <v>212</v>
      </c>
      <c r="BI262" s="19">
        <f t="shared" si="50"/>
        <v>185</v>
      </c>
      <c r="BJ262" s="19">
        <f t="shared" si="50"/>
        <v>162</v>
      </c>
      <c r="BK262" s="13">
        <f t="shared" ref="BK262:BK264" si="51">SUM(E262:BJ262)</f>
        <v>8642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2.0</v>
      </c>
      <c r="F263" s="19">
        <v>7.0</v>
      </c>
      <c r="G263" s="19">
        <v>1.0</v>
      </c>
      <c r="H263" s="19"/>
      <c r="I263" s="19">
        <v>11.0</v>
      </c>
      <c r="J263" s="19">
        <v>20.0</v>
      </c>
      <c r="K263" s="19">
        <v>29.0</v>
      </c>
      <c r="L263" s="19">
        <v>22.0</v>
      </c>
      <c r="M263" s="19">
        <v>13.0</v>
      </c>
      <c r="N263" s="19"/>
      <c r="O263" s="19">
        <v>3.0</v>
      </c>
      <c r="P263" s="19">
        <v>11.0</v>
      </c>
      <c r="Q263" s="19">
        <v>10.0</v>
      </c>
      <c r="R263" s="19">
        <v>18.0</v>
      </c>
      <c r="S263" s="19">
        <v>26.0</v>
      </c>
      <c r="T263" s="19">
        <v>7.0</v>
      </c>
      <c r="U263" s="19">
        <v>41.0</v>
      </c>
      <c r="V263" s="19">
        <v>17.0</v>
      </c>
      <c r="W263" s="19">
        <v>42.0</v>
      </c>
      <c r="X263" s="19">
        <v>19.0</v>
      </c>
      <c r="Y263" s="19">
        <v>16.0</v>
      </c>
      <c r="Z263" s="19">
        <v>36.0</v>
      </c>
      <c r="AA263" s="19">
        <v>20.0</v>
      </c>
      <c r="AB263" s="19">
        <v>21.0</v>
      </c>
      <c r="AC263" s="19">
        <v>20.0</v>
      </c>
      <c r="AD263" s="19">
        <v>11.0</v>
      </c>
      <c r="AE263" s="19">
        <v>8.0</v>
      </c>
      <c r="AF263" s="19">
        <v>16.0</v>
      </c>
      <c r="AG263" s="19">
        <v>10.0</v>
      </c>
      <c r="AH263" s="19">
        <v>13.0</v>
      </c>
      <c r="AI263" s="19">
        <v>25.0</v>
      </c>
      <c r="AJ263" s="19">
        <v>18.0</v>
      </c>
      <c r="AK263" s="19">
        <v>22.0</v>
      </c>
      <c r="AL263" s="19">
        <v>29.0</v>
      </c>
      <c r="AM263" s="19">
        <v>24.0</v>
      </c>
      <c r="AN263" s="19">
        <v>9.0</v>
      </c>
      <c r="AO263" s="19">
        <v>21.0</v>
      </c>
      <c r="AP263" s="19">
        <v>8.0</v>
      </c>
      <c r="AQ263" s="19">
        <v>9.0</v>
      </c>
      <c r="AR263" s="19">
        <v>16.0</v>
      </c>
      <c r="AS263" s="19">
        <v>10.0</v>
      </c>
      <c r="AT263" s="19">
        <v>26.0</v>
      </c>
      <c r="AU263" s="19">
        <v>14.0</v>
      </c>
      <c r="AV263" s="19">
        <v>23.0</v>
      </c>
      <c r="AW263" s="19">
        <v>19.0</v>
      </c>
      <c r="AX263" s="19">
        <v>8.0</v>
      </c>
      <c r="AY263" s="19">
        <v>29.0</v>
      </c>
      <c r="AZ263" s="19">
        <v>46.0</v>
      </c>
      <c r="BA263" s="19">
        <v>15.0</v>
      </c>
      <c r="BB263" s="19">
        <v>15.0</v>
      </c>
      <c r="BC263" s="19">
        <v>25.0</v>
      </c>
      <c r="BD263" s="19">
        <v>25.0</v>
      </c>
      <c r="BE263" s="19">
        <v>12.0</v>
      </c>
      <c r="BF263" s="19">
        <v>14.0</v>
      </c>
      <c r="BG263" s="19">
        <v>27.0</v>
      </c>
      <c r="BH263" s="19">
        <v>13.0</v>
      </c>
      <c r="BI263" s="19">
        <v>19.0</v>
      </c>
      <c r="BJ263" s="19">
        <v>31.0</v>
      </c>
      <c r="BK263" s="13">
        <f t="shared" si="51"/>
        <v>1022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J264" si="52">SUM(E262:E263)</f>
        <v>75</v>
      </c>
      <c r="F264" s="13">
        <f t="shared" si="52"/>
        <v>87</v>
      </c>
      <c r="G264" s="13">
        <f t="shared" si="52"/>
        <v>96</v>
      </c>
      <c r="H264" s="13">
        <f t="shared" si="52"/>
        <v>52</v>
      </c>
      <c r="I264" s="13">
        <f t="shared" si="52"/>
        <v>160</v>
      </c>
      <c r="J264" s="13">
        <f t="shared" si="52"/>
        <v>194</v>
      </c>
      <c r="K264" s="13">
        <f t="shared" si="52"/>
        <v>181</v>
      </c>
      <c r="L264" s="13">
        <f t="shared" si="52"/>
        <v>194</v>
      </c>
      <c r="M264" s="13">
        <f t="shared" si="52"/>
        <v>182</v>
      </c>
      <c r="N264" s="13">
        <f t="shared" si="52"/>
        <v>93</v>
      </c>
      <c r="O264" s="13">
        <f t="shared" si="52"/>
        <v>206</v>
      </c>
      <c r="P264" s="13">
        <f t="shared" si="52"/>
        <v>148</v>
      </c>
      <c r="Q264" s="13">
        <f t="shared" si="52"/>
        <v>152</v>
      </c>
      <c r="R264" s="13">
        <f t="shared" si="52"/>
        <v>91</v>
      </c>
      <c r="S264" s="13">
        <f t="shared" si="52"/>
        <v>180</v>
      </c>
      <c r="T264" s="13">
        <f t="shared" si="52"/>
        <v>119</v>
      </c>
      <c r="U264" s="13">
        <f t="shared" si="52"/>
        <v>197</v>
      </c>
      <c r="V264" s="13">
        <f t="shared" si="52"/>
        <v>221</v>
      </c>
      <c r="W264" s="13">
        <f t="shared" si="52"/>
        <v>203</v>
      </c>
      <c r="X264" s="13">
        <f t="shared" si="52"/>
        <v>247</v>
      </c>
      <c r="Y264" s="13">
        <f t="shared" si="52"/>
        <v>165</v>
      </c>
      <c r="Z264" s="13">
        <f t="shared" si="52"/>
        <v>158</v>
      </c>
      <c r="AA264" s="13">
        <f t="shared" si="52"/>
        <v>203</v>
      </c>
      <c r="AB264" s="13">
        <f t="shared" si="52"/>
        <v>128</v>
      </c>
      <c r="AC264" s="13">
        <f t="shared" si="52"/>
        <v>222</v>
      </c>
      <c r="AD264" s="13">
        <f t="shared" si="52"/>
        <v>132</v>
      </c>
      <c r="AE264" s="13">
        <f t="shared" si="52"/>
        <v>145</v>
      </c>
      <c r="AF264" s="13">
        <f t="shared" si="52"/>
        <v>118</v>
      </c>
      <c r="AG264" s="13">
        <f t="shared" si="52"/>
        <v>178</v>
      </c>
      <c r="AH264" s="13">
        <f t="shared" si="52"/>
        <v>225</v>
      </c>
      <c r="AI264" s="13">
        <f t="shared" si="52"/>
        <v>183</v>
      </c>
      <c r="AJ264" s="13">
        <f t="shared" si="52"/>
        <v>136</v>
      </c>
      <c r="AK264" s="13">
        <f t="shared" si="52"/>
        <v>143</v>
      </c>
      <c r="AL264" s="13">
        <f t="shared" si="52"/>
        <v>236</v>
      </c>
      <c r="AM264" s="13">
        <f t="shared" si="52"/>
        <v>161</v>
      </c>
      <c r="AN264" s="13">
        <f t="shared" si="52"/>
        <v>131</v>
      </c>
      <c r="AO264" s="13">
        <f t="shared" si="52"/>
        <v>140</v>
      </c>
      <c r="AP264" s="13">
        <f t="shared" si="52"/>
        <v>173</v>
      </c>
      <c r="AQ264" s="13">
        <f t="shared" si="52"/>
        <v>150</v>
      </c>
      <c r="AR264" s="13">
        <f t="shared" si="52"/>
        <v>158</v>
      </c>
      <c r="AS264" s="13">
        <f t="shared" si="52"/>
        <v>127</v>
      </c>
      <c r="AT264" s="13">
        <f t="shared" si="52"/>
        <v>215</v>
      </c>
      <c r="AU264" s="13">
        <f t="shared" si="52"/>
        <v>202</v>
      </c>
      <c r="AV264" s="13">
        <f t="shared" si="52"/>
        <v>208</v>
      </c>
      <c r="AW264" s="13">
        <f t="shared" si="52"/>
        <v>194</v>
      </c>
      <c r="AX264" s="13">
        <f t="shared" si="52"/>
        <v>163</v>
      </c>
      <c r="AY264" s="13">
        <f t="shared" si="52"/>
        <v>226</v>
      </c>
      <c r="AZ264" s="13">
        <f t="shared" si="52"/>
        <v>142</v>
      </c>
      <c r="BA264" s="13">
        <f t="shared" si="52"/>
        <v>158</v>
      </c>
      <c r="BB264" s="13">
        <f t="shared" si="52"/>
        <v>139</v>
      </c>
      <c r="BC264" s="13">
        <f t="shared" si="52"/>
        <v>201</v>
      </c>
      <c r="BD264" s="13">
        <f t="shared" si="52"/>
        <v>186</v>
      </c>
      <c r="BE264" s="13">
        <f t="shared" si="52"/>
        <v>158</v>
      </c>
      <c r="BF264" s="13">
        <f t="shared" si="52"/>
        <v>159</v>
      </c>
      <c r="BG264" s="13">
        <f t="shared" si="52"/>
        <v>201</v>
      </c>
      <c r="BH264" s="13">
        <f t="shared" si="52"/>
        <v>225</v>
      </c>
      <c r="BI264" s="13">
        <f t="shared" si="52"/>
        <v>204</v>
      </c>
      <c r="BJ264" s="13">
        <f t="shared" si="52"/>
        <v>193</v>
      </c>
      <c r="BK264" s="13">
        <f t="shared" si="51"/>
        <v>9664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19:BJ20">
    <cfRule type="containsBlanks" dxfId="1" priority="1">
      <formula>LEN(TRIM(E19))=0</formula>
    </cfRule>
  </conditionalFormatting>
  <conditionalFormatting sqref="E22:BJ23 E25:BJ26 E33:BJ33 E35:BJ35 E39:BJ40">
    <cfRule type="containsBlanks" dxfId="1" priority="2">
      <formula>LEN(TRIM(E22))=0</formula>
    </cfRule>
  </conditionalFormatting>
  <conditionalFormatting sqref="E30:BJ30">
    <cfRule type="expression" dxfId="0" priority="3">
      <formula>E30&lt;&gt;E47</formula>
    </cfRule>
  </conditionalFormatting>
  <conditionalFormatting sqref="E30:BJ30">
    <cfRule type="expression" dxfId="0" priority="4">
      <formula>E30&lt;&gt;E34</formula>
    </cfRule>
  </conditionalFormatting>
  <conditionalFormatting sqref="E34:BJ34">
    <cfRule type="expression" dxfId="2" priority="5">
      <formula>E30&lt;&gt;E34</formula>
    </cfRule>
  </conditionalFormatting>
  <conditionalFormatting sqref="E34:BJ34">
    <cfRule type="expression" dxfId="3" priority="6">
      <formula>E30=E34</formula>
    </cfRule>
  </conditionalFormatting>
  <conditionalFormatting sqref="E34:BJ34">
    <cfRule type="expression" dxfId="0" priority="7">
      <formula>E34&lt;&gt;E30</formula>
    </cfRule>
  </conditionalFormatting>
  <conditionalFormatting sqref="E34:BJ34">
    <cfRule type="expression" dxfId="0" priority="8">
      <formula>E34&lt;&gt;E64</formula>
    </cfRule>
  </conditionalFormatting>
  <conditionalFormatting sqref="E45:BJ54">
    <cfRule type="containsBlanks" dxfId="1" priority="9">
      <formula>LEN(TRIM(E45))=0</formula>
    </cfRule>
  </conditionalFormatting>
  <conditionalFormatting sqref="E57:BJ66">
    <cfRule type="containsBlanks" dxfId="1" priority="10">
      <formula>LEN(TRIM(E57))=0</formula>
    </cfRule>
  </conditionalFormatting>
  <conditionalFormatting sqref="E69:BJ78">
    <cfRule type="containsBlanks" dxfId="1" priority="11">
      <formula>LEN(TRIM(E69))=0</formula>
    </cfRule>
  </conditionalFormatting>
  <conditionalFormatting sqref="E81:BJ90">
    <cfRule type="containsBlanks" dxfId="1" priority="12">
      <formula>LEN(TRIM(E81))=0</formula>
    </cfRule>
  </conditionalFormatting>
  <conditionalFormatting sqref="E93:BJ102">
    <cfRule type="containsBlanks" dxfId="1" priority="13">
      <formula>LEN(TRIM(E93))=0</formula>
    </cfRule>
  </conditionalFormatting>
  <conditionalFormatting sqref="E105:BJ114">
    <cfRule type="containsBlanks" dxfId="1" priority="14">
      <formula>LEN(TRIM(E105))=0</formula>
    </cfRule>
  </conditionalFormatting>
  <conditionalFormatting sqref="E117:BJ126">
    <cfRule type="containsBlanks" dxfId="1" priority="15">
      <formula>LEN(TRIM(E117))=0</formula>
    </cfRule>
  </conditionalFormatting>
  <conditionalFormatting sqref="E129:BJ138">
    <cfRule type="containsBlanks" dxfId="1" priority="16">
      <formula>LEN(TRIM(E129))=0</formula>
    </cfRule>
  </conditionalFormatting>
  <conditionalFormatting sqref="E141:BJ150">
    <cfRule type="containsBlanks" dxfId="1" priority="17">
      <formula>LEN(TRIM(E141))=0</formula>
    </cfRule>
  </conditionalFormatting>
  <conditionalFormatting sqref="E153:BJ162">
    <cfRule type="containsBlanks" dxfId="1" priority="18">
      <formula>LEN(TRIM(E153))=0</formula>
    </cfRule>
  </conditionalFormatting>
  <conditionalFormatting sqref="E165:BJ174">
    <cfRule type="containsBlanks" dxfId="1" priority="19">
      <formula>LEN(TRIM(E165))=0</formula>
    </cfRule>
  </conditionalFormatting>
  <conditionalFormatting sqref="E177:BJ186">
    <cfRule type="containsBlanks" dxfId="1" priority="20">
      <formula>LEN(TRIM(E177))=0</formula>
    </cfRule>
  </conditionalFormatting>
  <conditionalFormatting sqref="E189:BJ198">
    <cfRule type="containsBlanks" dxfId="1" priority="21">
      <formula>LEN(TRIM(E189))=0</formula>
    </cfRule>
  </conditionalFormatting>
  <conditionalFormatting sqref="E201:BJ210">
    <cfRule type="containsBlanks" dxfId="1" priority="22">
      <formula>LEN(TRIM(E201))=0</formula>
    </cfRule>
  </conditionalFormatting>
  <conditionalFormatting sqref="E213:BJ222">
    <cfRule type="containsBlanks" dxfId="1" priority="23">
      <formula>LEN(TRIM(E213))=0</formula>
    </cfRule>
  </conditionalFormatting>
  <conditionalFormatting sqref="E225:BJ234">
    <cfRule type="containsBlanks" dxfId="1" priority="24">
      <formula>LEN(TRIM(E225))=0</formula>
    </cfRule>
  </conditionalFormatting>
  <conditionalFormatting sqref="E237:BJ246">
    <cfRule type="containsBlanks" dxfId="1" priority="25">
      <formula>LEN(TRIM(E237))=0</formula>
    </cfRule>
  </conditionalFormatting>
  <conditionalFormatting sqref="E249:BJ259">
    <cfRule type="containsBlanks" dxfId="1" priority="26">
      <formula>LEN(TRIM(E249))=0</formula>
    </cfRule>
  </conditionalFormatting>
  <conditionalFormatting sqref="E262:BJ263">
    <cfRule type="containsBlanks" dxfId="1" priority="27">
      <formula>LEN(TRIM(E262))=0</formula>
    </cfRule>
  </conditionalFormatting>
  <conditionalFormatting sqref="E14:BJ15">
    <cfRule type="containsBlanks" dxfId="1" priority="28">
      <formula>LEN(TRIM(E14))=0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100.0</v>
      </c>
      <c r="F14" s="19">
        <v>130.0</v>
      </c>
      <c r="G14" s="19">
        <v>131.0</v>
      </c>
      <c r="H14" s="19">
        <v>141.0</v>
      </c>
      <c r="I14" s="19">
        <v>115.0</v>
      </c>
      <c r="J14" s="19">
        <v>138.0</v>
      </c>
      <c r="K14" s="19">
        <v>136.0</v>
      </c>
      <c r="L14" s="19">
        <v>115.0</v>
      </c>
      <c r="M14" s="19">
        <v>146.0</v>
      </c>
      <c r="N14" s="19">
        <v>142.0</v>
      </c>
      <c r="O14" s="19">
        <v>79.0</v>
      </c>
      <c r="P14" s="19">
        <v>101.0</v>
      </c>
      <c r="Q14" s="19">
        <v>123.0</v>
      </c>
      <c r="R14" s="19">
        <v>146.0</v>
      </c>
      <c r="S14" s="13">
        <f t="shared" ref="S14:S16" si="1">SUM(E14:R14)</f>
        <v>1743</v>
      </c>
    </row>
    <row r="15" ht="12.75" customHeight="1">
      <c r="A15" s="18"/>
      <c r="B15" s="26"/>
      <c r="C15" s="27"/>
      <c r="D15" s="19" t="s">
        <v>13</v>
      </c>
      <c r="E15" s="19">
        <v>86.0</v>
      </c>
      <c r="F15" s="19">
        <v>114.0</v>
      </c>
      <c r="G15" s="19">
        <v>125.0</v>
      </c>
      <c r="H15" s="19">
        <v>145.0</v>
      </c>
      <c r="I15" s="19">
        <v>108.0</v>
      </c>
      <c r="J15" s="19">
        <v>127.0</v>
      </c>
      <c r="K15" s="19">
        <v>145.0</v>
      </c>
      <c r="L15" s="19">
        <v>124.0</v>
      </c>
      <c r="M15" s="19">
        <v>138.0</v>
      </c>
      <c r="N15" s="19">
        <v>126.0</v>
      </c>
      <c r="O15" s="19">
        <v>89.0</v>
      </c>
      <c r="P15" s="19">
        <v>106.0</v>
      </c>
      <c r="Q15" s="19">
        <v>143.0</v>
      </c>
      <c r="R15" s="19">
        <v>146.0</v>
      </c>
      <c r="S15" s="13">
        <f t="shared" si="1"/>
        <v>1722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186</v>
      </c>
      <c r="F16" s="13">
        <f t="shared" si="2"/>
        <v>244</v>
      </c>
      <c r="G16" s="13">
        <f t="shared" si="2"/>
        <v>256</v>
      </c>
      <c r="H16" s="13">
        <f t="shared" si="2"/>
        <v>286</v>
      </c>
      <c r="I16" s="13">
        <f t="shared" si="2"/>
        <v>223</v>
      </c>
      <c r="J16" s="13">
        <f t="shared" si="2"/>
        <v>265</v>
      </c>
      <c r="K16" s="13">
        <f t="shared" si="2"/>
        <v>281</v>
      </c>
      <c r="L16" s="13">
        <f t="shared" si="2"/>
        <v>239</v>
      </c>
      <c r="M16" s="13">
        <f t="shared" si="2"/>
        <v>284</v>
      </c>
      <c r="N16" s="13">
        <f t="shared" si="2"/>
        <v>268</v>
      </c>
      <c r="O16" s="13">
        <f t="shared" si="2"/>
        <v>168</v>
      </c>
      <c r="P16" s="13">
        <f t="shared" si="2"/>
        <v>207</v>
      </c>
      <c r="Q16" s="13">
        <f t="shared" si="2"/>
        <v>266</v>
      </c>
      <c r="R16" s="13">
        <f t="shared" si="2"/>
        <v>292</v>
      </c>
      <c r="S16" s="13">
        <f t="shared" si="1"/>
        <v>3465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77.0</v>
      </c>
      <c r="F19" s="19">
        <v>90.0</v>
      </c>
      <c r="G19" s="19">
        <v>89.0</v>
      </c>
      <c r="H19" s="19">
        <v>93.0</v>
      </c>
      <c r="I19" s="19">
        <v>98.0</v>
      </c>
      <c r="J19" s="19">
        <v>105.0</v>
      </c>
      <c r="K19" s="19">
        <v>110.0</v>
      </c>
      <c r="L19" s="19">
        <v>70.0</v>
      </c>
      <c r="M19" s="19">
        <v>91.0</v>
      </c>
      <c r="N19" s="19">
        <v>105.0</v>
      </c>
      <c r="O19" s="19">
        <v>59.0</v>
      </c>
      <c r="P19" s="19">
        <v>84.0</v>
      </c>
      <c r="Q19" s="19">
        <v>96.0</v>
      </c>
      <c r="R19" s="19">
        <v>103.0</v>
      </c>
      <c r="S19" s="13">
        <f t="shared" ref="S19:S30" si="3">SUM(E19:R19)</f>
        <v>1270</v>
      </c>
    </row>
    <row r="20" ht="12.75" customHeight="1">
      <c r="A20" s="33"/>
      <c r="B20" s="27"/>
      <c r="C20" s="34"/>
      <c r="D20" s="19" t="s">
        <v>13</v>
      </c>
      <c r="E20" s="19">
        <v>69.0</v>
      </c>
      <c r="F20" s="19">
        <v>88.0</v>
      </c>
      <c r="G20" s="19">
        <v>102.0</v>
      </c>
      <c r="H20" s="19">
        <v>112.0</v>
      </c>
      <c r="I20" s="19">
        <v>95.0</v>
      </c>
      <c r="J20" s="19">
        <v>104.0</v>
      </c>
      <c r="K20" s="19">
        <v>121.0</v>
      </c>
      <c r="L20" s="19">
        <v>85.0</v>
      </c>
      <c r="M20" s="19">
        <v>106.0</v>
      </c>
      <c r="N20" s="19">
        <v>108.0</v>
      </c>
      <c r="O20" s="19">
        <v>67.0</v>
      </c>
      <c r="P20" s="19">
        <v>85.0</v>
      </c>
      <c r="Q20" s="19">
        <v>116.0</v>
      </c>
      <c r="R20" s="19">
        <v>118.0</v>
      </c>
      <c r="S20" s="13">
        <f t="shared" si="3"/>
        <v>1376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146</v>
      </c>
      <c r="F21" s="13">
        <f t="shared" si="4"/>
        <v>178</v>
      </c>
      <c r="G21" s="13">
        <f t="shared" si="4"/>
        <v>191</v>
      </c>
      <c r="H21" s="13">
        <f t="shared" si="4"/>
        <v>205</v>
      </c>
      <c r="I21" s="13">
        <f t="shared" si="4"/>
        <v>193</v>
      </c>
      <c r="J21" s="13">
        <f t="shared" si="4"/>
        <v>209</v>
      </c>
      <c r="K21" s="13">
        <f t="shared" si="4"/>
        <v>231</v>
      </c>
      <c r="L21" s="13">
        <f t="shared" si="4"/>
        <v>155</v>
      </c>
      <c r="M21" s="13">
        <f t="shared" si="4"/>
        <v>197</v>
      </c>
      <c r="N21" s="13">
        <f t="shared" si="4"/>
        <v>213</v>
      </c>
      <c r="O21" s="13">
        <f t="shared" si="4"/>
        <v>126</v>
      </c>
      <c r="P21" s="13">
        <f t="shared" si="4"/>
        <v>169</v>
      </c>
      <c r="Q21" s="13">
        <f t="shared" si="4"/>
        <v>212</v>
      </c>
      <c r="R21" s="13">
        <f t="shared" si="4"/>
        <v>221</v>
      </c>
      <c r="S21" s="13">
        <f t="shared" si="3"/>
        <v>2646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1.0</v>
      </c>
      <c r="G25" s="19"/>
      <c r="H25" s="19"/>
      <c r="I25" s="19">
        <v>1.0</v>
      </c>
      <c r="J25" s="19"/>
      <c r="K25" s="19"/>
      <c r="L25" s="19"/>
      <c r="M25" s="19">
        <v>2.0</v>
      </c>
      <c r="N25" s="19">
        <v>3.0</v>
      </c>
      <c r="O25" s="19"/>
      <c r="P25" s="19">
        <v>4.0</v>
      </c>
      <c r="Q25" s="19">
        <v>3.0</v>
      </c>
      <c r="R25" s="19">
        <v>1.0</v>
      </c>
      <c r="S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/>
      <c r="H26" s="19">
        <v>1.0</v>
      </c>
      <c r="I26" s="19"/>
      <c r="J26" s="19"/>
      <c r="K26" s="19"/>
      <c r="L26" s="19"/>
      <c r="M26" s="19">
        <v>1.0</v>
      </c>
      <c r="N26" s="19"/>
      <c r="O26" s="19"/>
      <c r="P26" s="19">
        <v>3.0</v>
      </c>
      <c r="Q26" s="19">
        <v>2.0</v>
      </c>
      <c r="R26" s="19">
        <v>2.0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1</v>
      </c>
      <c r="F27" s="13">
        <f t="shared" si="6"/>
        <v>2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7</v>
      </c>
      <c r="Q27" s="13">
        <f t="shared" si="6"/>
        <v>5</v>
      </c>
      <c r="R27" s="13">
        <f t="shared" si="6"/>
        <v>3</v>
      </c>
      <c r="S27" s="13">
        <f t="shared" si="3"/>
        <v>26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77</v>
      </c>
      <c r="F28" s="13">
        <f t="shared" si="7"/>
        <v>91</v>
      </c>
      <c r="G28" s="13">
        <f t="shared" si="7"/>
        <v>89</v>
      </c>
      <c r="H28" s="13">
        <f t="shared" si="7"/>
        <v>93</v>
      </c>
      <c r="I28" s="13">
        <f t="shared" si="7"/>
        <v>99</v>
      </c>
      <c r="J28" s="13">
        <f t="shared" si="7"/>
        <v>105</v>
      </c>
      <c r="K28" s="13">
        <f t="shared" si="7"/>
        <v>110</v>
      </c>
      <c r="L28" s="13">
        <f t="shared" si="7"/>
        <v>70</v>
      </c>
      <c r="M28" s="13">
        <f t="shared" si="7"/>
        <v>93</v>
      </c>
      <c r="N28" s="13">
        <f t="shared" si="7"/>
        <v>108</v>
      </c>
      <c r="O28" s="13">
        <f t="shared" si="7"/>
        <v>59</v>
      </c>
      <c r="P28" s="13">
        <f t="shared" si="7"/>
        <v>88</v>
      </c>
      <c r="Q28" s="13">
        <f t="shared" si="7"/>
        <v>99</v>
      </c>
      <c r="R28" s="13">
        <f t="shared" si="7"/>
        <v>104</v>
      </c>
      <c r="S28" s="13">
        <f t="shared" si="3"/>
        <v>1285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70</v>
      </c>
      <c r="F29" s="13">
        <f t="shared" si="8"/>
        <v>89</v>
      </c>
      <c r="G29" s="13">
        <f t="shared" si="8"/>
        <v>102</v>
      </c>
      <c r="H29" s="13">
        <f t="shared" si="8"/>
        <v>113</v>
      </c>
      <c r="I29" s="13">
        <f t="shared" si="8"/>
        <v>95</v>
      </c>
      <c r="J29" s="13">
        <f t="shared" si="8"/>
        <v>104</v>
      </c>
      <c r="K29" s="13">
        <f t="shared" si="8"/>
        <v>121</v>
      </c>
      <c r="L29" s="13">
        <f t="shared" si="8"/>
        <v>85</v>
      </c>
      <c r="M29" s="13">
        <f t="shared" si="8"/>
        <v>107</v>
      </c>
      <c r="N29" s="13">
        <f t="shared" si="8"/>
        <v>108</v>
      </c>
      <c r="O29" s="13">
        <f t="shared" si="8"/>
        <v>67</v>
      </c>
      <c r="P29" s="13">
        <f t="shared" si="8"/>
        <v>88</v>
      </c>
      <c r="Q29" s="13">
        <f t="shared" si="8"/>
        <v>118</v>
      </c>
      <c r="R29" s="13">
        <f t="shared" si="8"/>
        <v>120</v>
      </c>
      <c r="S29" s="13">
        <f t="shared" si="3"/>
        <v>1387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147</v>
      </c>
      <c r="F30" s="13">
        <f t="shared" si="9"/>
        <v>180</v>
      </c>
      <c r="G30" s="13">
        <f t="shared" si="9"/>
        <v>191</v>
      </c>
      <c r="H30" s="13">
        <f t="shared" si="9"/>
        <v>206</v>
      </c>
      <c r="I30" s="13">
        <f t="shared" si="9"/>
        <v>194</v>
      </c>
      <c r="J30" s="13">
        <f t="shared" si="9"/>
        <v>209</v>
      </c>
      <c r="K30" s="13">
        <f t="shared" si="9"/>
        <v>231</v>
      </c>
      <c r="L30" s="13">
        <f t="shared" si="9"/>
        <v>155</v>
      </c>
      <c r="M30" s="13">
        <f t="shared" si="9"/>
        <v>200</v>
      </c>
      <c r="N30" s="13">
        <f t="shared" si="9"/>
        <v>216</v>
      </c>
      <c r="O30" s="13">
        <f t="shared" si="9"/>
        <v>126</v>
      </c>
      <c r="P30" s="13">
        <f t="shared" si="9"/>
        <v>176</v>
      </c>
      <c r="Q30" s="13">
        <f t="shared" si="9"/>
        <v>217</v>
      </c>
      <c r="R30" s="13">
        <f t="shared" si="9"/>
        <v>224</v>
      </c>
      <c r="S30" s="13">
        <f t="shared" si="3"/>
        <v>2672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8"/>
    </row>
    <row r="33" ht="12.75" customHeight="1">
      <c r="A33" s="19">
        <v>1.0</v>
      </c>
      <c r="B33" s="20" t="s">
        <v>27</v>
      </c>
      <c r="C33" s="15"/>
      <c r="D33" s="16"/>
      <c r="E33" s="19">
        <v>190.0</v>
      </c>
      <c r="F33" s="19">
        <v>249.0</v>
      </c>
      <c r="G33" s="19">
        <v>263.0</v>
      </c>
      <c r="H33" s="19">
        <v>292.0</v>
      </c>
      <c r="I33" s="19">
        <v>228.0</v>
      </c>
      <c r="J33" s="19">
        <v>271.0</v>
      </c>
      <c r="K33" s="19">
        <v>288.0</v>
      </c>
      <c r="L33" s="19">
        <v>244.0</v>
      </c>
      <c r="M33" s="19">
        <v>290.0</v>
      </c>
      <c r="N33" s="19">
        <v>274.0</v>
      </c>
      <c r="O33" s="19">
        <v>172.0</v>
      </c>
      <c r="P33" s="19">
        <v>212.0</v>
      </c>
      <c r="Q33" s="19">
        <v>272.0</v>
      </c>
      <c r="R33" s="19">
        <v>298.0</v>
      </c>
      <c r="S33" s="13">
        <f t="shared" ref="S33:S36" si="10">SUM(E33:R33)</f>
        <v>3543</v>
      </c>
    </row>
    <row r="34" ht="12.75" customHeight="1">
      <c r="A34" s="19">
        <v>2.0</v>
      </c>
      <c r="B34" s="20" t="s">
        <v>28</v>
      </c>
      <c r="C34" s="15"/>
      <c r="D34" s="16"/>
      <c r="E34" s="13">
        <v>147.0</v>
      </c>
      <c r="F34" s="13">
        <v>180.0</v>
      </c>
      <c r="G34" s="13">
        <v>191.0</v>
      </c>
      <c r="H34" s="13">
        <v>206.0</v>
      </c>
      <c r="I34" s="13">
        <v>194.0</v>
      </c>
      <c r="J34" s="13">
        <v>209.0</v>
      </c>
      <c r="K34" s="13">
        <v>231.0</v>
      </c>
      <c r="L34" s="13">
        <v>155.0</v>
      </c>
      <c r="M34" s="13">
        <v>200.0</v>
      </c>
      <c r="N34" s="13">
        <v>216.0</v>
      </c>
      <c r="O34" s="13">
        <v>126.0</v>
      </c>
      <c r="P34" s="13">
        <v>176.0</v>
      </c>
      <c r="Q34" s="13">
        <v>217.0</v>
      </c>
      <c r="R34" s="13">
        <v>224.0</v>
      </c>
      <c r="S34" s="13">
        <f t="shared" si="10"/>
        <v>2672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1.0</v>
      </c>
      <c r="G35" s="19"/>
      <c r="H35" s="19"/>
      <c r="I35" s="19"/>
      <c r="J35" s="19"/>
      <c r="K35" s="19">
        <v>1.0</v>
      </c>
      <c r="L35" s="19"/>
      <c r="M35" s="19">
        <v>1.0</v>
      </c>
      <c r="N35" s="19"/>
      <c r="O35" s="19"/>
      <c r="P35" s="19"/>
      <c r="Q35" s="19"/>
      <c r="R35" s="19"/>
      <c r="S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42</v>
      </c>
      <c r="F36" s="13">
        <f t="shared" si="11"/>
        <v>68</v>
      </c>
      <c r="G36" s="13">
        <f t="shared" si="11"/>
        <v>72</v>
      </c>
      <c r="H36" s="13">
        <f t="shared" si="11"/>
        <v>86</v>
      </c>
      <c r="I36" s="13">
        <f t="shared" si="11"/>
        <v>34</v>
      </c>
      <c r="J36" s="13">
        <f t="shared" si="11"/>
        <v>62</v>
      </c>
      <c r="K36" s="13">
        <f t="shared" si="11"/>
        <v>56</v>
      </c>
      <c r="L36" s="13">
        <f t="shared" si="11"/>
        <v>89</v>
      </c>
      <c r="M36" s="13">
        <f t="shared" si="11"/>
        <v>89</v>
      </c>
      <c r="N36" s="13">
        <f t="shared" si="11"/>
        <v>58</v>
      </c>
      <c r="O36" s="13">
        <f t="shared" si="11"/>
        <v>46</v>
      </c>
      <c r="P36" s="13">
        <f t="shared" si="11"/>
        <v>36</v>
      </c>
      <c r="Q36" s="13">
        <f t="shared" si="11"/>
        <v>55</v>
      </c>
      <c r="R36" s="13">
        <f t="shared" si="11"/>
        <v>74</v>
      </c>
      <c r="S36" s="13">
        <f t="shared" si="10"/>
        <v>867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8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>
        <v>2.0</v>
      </c>
      <c r="N39" s="19"/>
      <c r="O39" s="19"/>
      <c r="P39" s="19">
        <v>1.0</v>
      </c>
      <c r="Q39" s="19"/>
      <c r="R39" s="19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1.0</v>
      </c>
      <c r="M40" s="19"/>
      <c r="N40" s="19"/>
      <c r="O40" s="19"/>
      <c r="P40" s="19"/>
      <c r="Q40" s="19"/>
      <c r="R40" s="19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4.0</v>
      </c>
      <c r="G45" s="19">
        <v>4.0</v>
      </c>
      <c r="H45" s="19">
        <v>1.0</v>
      </c>
      <c r="I45" s="19">
        <v>3.0</v>
      </c>
      <c r="J45" s="19">
        <v>4.0</v>
      </c>
      <c r="K45" s="19">
        <v>1.0</v>
      </c>
      <c r="L45" s="19">
        <v>5.0</v>
      </c>
      <c r="M45" s="19">
        <v>4.0</v>
      </c>
      <c r="N45" s="19">
        <v>0.0</v>
      </c>
      <c r="O45" s="19">
        <v>1.0</v>
      </c>
      <c r="P45" s="19">
        <v>2.0</v>
      </c>
      <c r="Q45" s="19">
        <v>0.0</v>
      </c>
      <c r="R45" s="19">
        <v>2.0</v>
      </c>
      <c r="S45" s="13">
        <f t="shared" ref="S45:S55" si="14">SUM(E45:R45)</f>
        <v>34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5.0</v>
      </c>
      <c r="F46" s="19">
        <v>3.0</v>
      </c>
      <c r="G46" s="19">
        <v>4.0</v>
      </c>
      <c r="H46" s="19">
        <v>7.0</v>
      </c>
      <c r="I46" s="19">
        <v>9.0</v>
      </c>
      <c r="J46" s="19">
        <v>7.0</v>
      </c>
      <c r="K46" s="19">
        <v>5.0</v>
      </c>
      <c r="L46" s="19">
        <v>4.0</v>
      </c>
      <c r="M46" s="19">
        <v>18.0</v>
      </c>
      <c r="N46" s="19">
        <v>51.0</v>
      </c>
      <c r="O46" s="19">
        <v>3.0</v>
      </c>
      <c r="P46" s="19">
        <v>5.0</v>
      </c>
      <c r="Q46" s="19">
        <v>8.0</v>
      </c>
      <c r="R46" s="19">
        <v>4.0</v>
      </c>
      <c r="S46" s="13">
        <f t="shared" si="14"/>
        <v>133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3.0</v>
      </c>
      <c r="G47" s="19">
        <v>4.0</v>
      </c>
      <c r="H47" s="19">
        <v>1.0</v>
      </c>
      <c r="I47" s="19">
        <v>4.0</v>
      </c>
      <c r="J47" s="19">
        <v>3.0</v>
      </c>
      <c r="K47" s="19">
        <v>2.0</v>
      </c>
      <c r="L47" s="19">
        <v>0.0</v>
      </c>
      <c r="M47" s="19">
        <v>28.0</v>
      </c>
      <c r="N47" s="19">
        <v>5.0</v>
      </c>
      <c r="O47" s="19">
        <v>4.0</v>
      </c>
      <c r="P47" s="19">
        <v>2.0</v>
      </c>
      <c r="Q47" s="19">
        <v>9.0</v>
      </c>
      <c r="R47" s="19">
        <v>0.0</v>
      </c>
      <c r="S47" s="13">
        <f t="shared" si="14"/>
        <v>67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0.0</v>
      </c>
      <c r="K48" s="19">
        <v>1.0</v>
      </c>
      <c r="L48" s="19">
        <v>0.0</v>
      </c>
      <c r="M48" s="19">
        <v>1.0</v>
      </c>
      <c r="N48" s="19">
        <v>2.0</v>
      </c>
      <c r="O48" s="19">
        <v>2.0</v>
      </c>
      <c r="P48" s="19">
        <v>0.0</v>
      </c>
      <c r="Q48" s="19">
        <v>0.0</v>
      </c>
      <c r="R48" s="19">
        <v>0.0</v>
      </c>
      <c r="S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1.0</v>
      </c>
      <c r="J49" s="19">
        <v>1.0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0.0</v>
      </c>
      <c r="Q49" s="19">
        <v>1.0</v>
      </c>
      <c r="R49" s="19">
        <v>0.0</v>
      </c>
      <c r="S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R55" si="15">SUM(E45:E52)</f>
        <v>10</v>
      </c>
      <c r="F55" s="13">
        <f t="shared" si="15"/>
        <v>11</v>
      </c>
      <c r="G55" s="13">
        <f t="shared" si="15"/>
        <v>15</v>
      </c>
      <c r="H55" s="13">
        <f t="shared" si="15"/>
        <v>9</v>
      </c>
      <c r="I55" s="13">
        <f t="shared" si="15"/>
        <v>19</v>
      </c>
      <c r="J55" s="13">
        <f t="shared" si="15"/>
        <v>15</v>
      </c>
      <c r="K55" s="13">
        <f t="shared" si="15"/>
        <v>9</v>
      </c>
      <c r="L55" s="13">
        <f t="shared" si="15"/>
        <v>10</v>
      </c>
      <c r="M55" s="13">
        <f t="shared" si="15"/>
        <v>51</v>
      </c>
      <c r="N55" s="13">
        <f t="shared" si="15"/>
        <v>58</v>
      </c>
      <c r="O55" s="13">
        <f t="shared" si="15"/>
        <v>10</v>
      </c>
      <c r="P55" s="13">
        <f t="shared" si="15"/>
        <v>9</v>
      </c>
      <c r="Q55" s="13">
        <f t="shared" si="15"/>
        <v>18</v>
      </c>
      <c r="R55" s="13">
        <f t="shared" si="15"/>
        <v>6</v>
      </c>
      <c r="S55" s="13">
        <f t="shared" si="14"/>
        <v>250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5.0</v>
      </c>
      <c r="G57" s="19">
        <v>5.0</v>
      </c>
      <c r="H57" s="19">
        <v>5.0</v>
      </c>
      <c r="I57" s="19">
        <v>6.0</v>
      </c>
      <c r="J57" s="19">
        <v>5.0</v>
      </c>
      <c r="K57" s="19">
        <v>5.0</v>
      </c>
      <c r="L57" s="19">
        <v>7.0</v>
      </c>
      <c r="M57" s="19">
        <v>8.0</v>
      </c>
      <c r="N57" s="19">
        <v>2.0</v>
      </c>
      <c r="O57" s="19">
        <v>6.0</v>
      </c>
      <c r="P57" s="19">
        <v>7.0</v>
      </c>
      <c r="Q57" s="19">
        <v>6.0</v>
      </c>
      <c r="R57" s="19">
        <v>8.0</v>
      </c>
      <c r="S57" s="13">
        <f t="shared" ref="S57:S67" si="16">SUM(E57:R57)</f>
        <v>79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3.0</v>
      </c>
      <c r="F58" s="19">
        <v>11.0</v>
      </c>
      <c r="G58" s="19">
        <v>9.0</v>
      </c>
      <c r="H58" s="19">
        <v>1.0</v>
      </c>
      <c r="I58" s="19">
        <v>6.0</v>
      </c>
      <c r="J58" s="19">
        <v>20.0</v>
      </c>
      <c r="K58" s="19">
        <v>3.0</v>
      </c>
      <c r="L58" s="19">
        <v>2.0</v>
      </c>
      <c r="M58" s="19">
        <v>5.0</v>
      </c>
      <c r="N58" s="19">
        <v>3.0</v>
      </c>
      <c r="O58" s="19">
        <v>3.0</v>
      </c>
      <c r="P58" s="19">
        <v>2.0</v>
      </c>
      <c r="Q58" s="19">
        <v>7.0</v>
      </c>
      <c r="R58" s="19">
        <v>7.0</v>
      </c>
      <c r="S58" s="13">
        <f t="shared" si="16"/>
        <v>82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13.0</v>
      </c>
      <c r="G59" s="19">
        <v>27.0</v>
      </c>
      <c r="H59" s="19">
        <v>13.0</v>
      </c>
      <c r="I59" s="19">
        <v>24.0</v>
      </c>
      <c r="J59" s="19">
        <v>35.0</v>
      </c>
      <c r="K59" s="19">
        <v>99.0</v>
      </c>
      <c r="L59" s="19">
        <v>2.0</v>
      </c>
      <c r="M59" s="19">
        <v>25.0</v>
      </c>
      <c r="N59" s="19">
        <v>71.0</v>
      </c>
      <c r="O59" s="19">
        <v>34.0</v>
      </c>
      <c r="P59" s="19">
        <v>73.0</v>
      </c>
      <c r="Q59" s="19">
        <v>61.0</v>
      </c>
      <c r="R59" s="19">
        <v>40.0</v>
      </c>
      <c r="S59" s="13">
        <f t="shared" si="16"/>
        <v>519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2.0</v>
      </c>
      <c r="J60" s="19">
        <v>1.0</v>
      </c>
      <c r="K60" s="19">
        <v>2.0</v>
      </c>
      <c r="L60" s="19">
        <v>0.0</v>
      </c>
      <c r="M60" s="19">
        <v>1.0</v>
      </c>
      <c r="N60" s="19">
        <v>0.0</v>
      </c>
      <c r="O60" s="19">
        <v>0.0</v>
      </c>
      <c r="P60" s="19">
        <v>0.0</v>
      </c>
      <c r="Q60" s="19">
        <v>0.0</v>
      </c>
      <c r="R60" s="19">
        <v>2.0</v>
      </c>
      <c r="S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2.0</v>
      </c>
      <c r="G61" s="19">
        <v>5.0</v>
      </c>
      <c r="H61" s="19">
        <v>0.0</v>
      </c>
      <c r="I61" s="19">
        <v>4.0</v>
      </c>
      <c r="J61" s="19">
        <v>6.0</v>
      </c>
      <c r="K61" s="19">
        <v>5.0</v>
      </c>
      <c r="L61" s="19">
        <v>2.0</v>
      </c>
      <c r="M61" s="19">
        <v>20.0</v>
      </c>
      <c r="N61" s="19">
        <v>10.0</v>
      </c>
      <c r="O61" s="19">
        <v>4.0</v>
      </c>
      <c r="P61" s="19">
        <v>0.0</v>
      </c>
      <c r="Q61" s="19">
        <v>1.0</v>
      </c>
      <c r="R61" s="19">
        <v>1.0</v>
      </c>
      <c r="S61" s="13">
        <f t="shared" si="16"/>
        <v>61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2.0</v>
      </c>
      <c r="R62" s="19">
        <v>0.0</v>
      </c>
      <c r="S62" s="13">
        <f t="shared" si="16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1.0</v>
      </c>
      <c r="P63" s="19">
        <v>1.0</v>
      </c>
      <c r="Q63" s="19">
        <v>1.0</v>
      </c>
      <c r="R63" s="19">
        <v>0.0</v>
      </c>
      <c r="S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0.0</v>
      </c>
      <c r="K64" s="19">
        <v>6.0</v>
      </c>
      <c r="L64" s="19">
        <v>0.0</v>
      </c>
      <c r="M64" s="19">
        <v>3.0</v>
      </c>
      <c r="N64" s="19">
        <v>4.0</v>
      </c>
      <c r="O64" s="19">
        <v>3.0</v>
      </c>
      <c r="P64" s="19">
        <v>9.0</v>
      </c>
      <c r="Q64" s="19">
        <v>4.0</v>
      </c>
      <c r="R64" s="19">
        <v>0.0</v>
      </c>
      <c r="S64" s="13">
        <f t="shared" si="16"/>
        <v>31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R67" si="17">SUM(E57:E64)</f>
        <v>10</v>
      </c>
      <c r="F67" s="13">
        <f t="shared" si="17"/>
        <v>33</v>
      </c>
      <c r="G67" s="13">
        <f t="shared" si="17"/>
        <v>47</v>
      </c>
      <c r="H67" s="13">
        <f t="shared" si="17"/>
        <v>19</v>
      </c>
      <c r="I67" s="13">
        <f t="shared" si="17"/>
        <v>42</v>
      </c>
      <c r="J67" s="13">
        <f t="shared" si="17"/>
        <v>67</v>
      </c>
      <c r="K67" s="13">
        <f t="shared" si="17"/>
        <v>121</v>
      </c>
      <c r="L67" s="13">
        <f t="shared" si="17"/>
        <v>13</v>
      </c>
      <c r="M67" s="13">
        <f t="shared" si="17"/>
        <v>62</v>
      </c>
      <c r="N67" s="13">
        <f t="shared" si="17"/>
        <v>92</v>
      </c>
      <c r="O67" s="13">
        <f t="shared" si="17"/>
        <v>51</v>
      </c>
      <c r="P67" s="13">
        <f t="shared" si="17"/>
        <v>93</v>
      </c>
      <c r="Q67" s="13">
        <f t="shared" si="17"/>
        <v>82</v>
      </c>
      <c r="R67" s="13">
        <f t="shared" si="17"/>
        <v>58</v>
      </c>
      <c r="S67" s="13">
        <f t="shared" si="16"/>
        <v>790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8.0</v>
      </c>
      <c r="F69" s="19">
        <v>8.0</v>
      </c>
      <c r="G69" s="19">
        <v>5.0</v>
      </c>
      <c r="H69" s="19">
        <v>2.0</v>
      </c>
      <c r="I69" s="19">
        <v>7.0</v>
      </c>
      <c r="J69" s="19">
        <v>3.0</v>
      </c>
      <c r="K69" s="19">
        <v>2.0</v>
      </c>
      <c r="L69" s="19">
        <v>10.0</v>
      </c>
      <c r="M69" s="19">
        <v>3.0</v>
      </c>
      <c r="N69" s="19">
        <v>0.0</v>
      </c>
      <c r="O69" s="19">
        <v>0.0</v>
      </c>
      <c r="P69" s="19">
        <v>1.0</v>
      </c>
      <c r="Q69" s="19">
        <v>4.0</v>
      </c>
      <c r="R69" s="19">
        <v>20.0</v>
      </c>
      <c r="S69" s="13">
        <f t="shared" ref="S69:S79" si="18">SUM(E69:R69)</f>
        <v>73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4.0</v>
      </c>
      <c r="F70" s="19">
        <v>12.0</v>
      </c>
      <c r="G70" s="19">
        <v>16.0</v>
      </c>
      <c r="H70" s="19">
        <v>3.0</v>
      </c>
      <c r="I70" s="19">
        <v>5.0</v>
      </c>
      <c r="J70" s="19">
        <v>3.0</v>
      </c>
      <c r="K70" s="19">
        <v>1.0</v>
      </c>
      <c r="L70" s="19">
        <v>11.0</v>
      </c>
      <c r="M70" s="19">
        <v>5.0</v>
      </c>
      <c r="N70" s="19">
        <v>9.0</v>
      </c>
      <c r="O70" s="19">
        <v>3.0</v>
      </c>
      <c r="P70" s="19">
        <v>2.0</v>
      </c>
      <c r="Q70" s="19">
        <v>7.0</v>
      </c>
      <c r="R70" s="19">
        <v>10.0</v>
      </c>
      <c r="S70" s="13">
        <f t="shared" si="18"/>
        <v>91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7.0</v>
      </c>
      <c r="H71" s="19">
        <v>2.0</v>
      </c>
      <c r="I71" s="19">
        <v>7.0</v>
      </c>
      <c r="J71" s="19">
        <v>4.0</v>
      </c>
      <c r="K71" s="19">
        <v>3.0</v>
      </c>
      <c r="L71" s="19">
        <v>3.0</v>
      </c>
      <c r="M71" s="19">
        <v>2.0</v>
      </c>
      <c r="N71" s="19">
        <v>3.0</v>
      </c>
      <c r="O71" s="19">
        <v>1.0</v>
      </c>
      <c r="P71" s="19">
        <v>4.0</v>
      </c>
      <c r="Q71" s="19">
        <v>1.0</v>
      </c>
      <c r="R71" s="19">
        <v>11.0</v>
      </c>
      <c r="S71" s="13">
        <f t="shared" si="18"/>
        <v>49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4.0</v>
      </c>
      <c r="G72" s="19">
        <v>1.0</v>
      </c>
      <c r="H72" s="19">
        <v>20.0</v>
      </c>
      <c r="I72" s="19">
        <v>30.0</v>
      </c>
      <c r="J72" s="19">
        <v>55.0</v>
      </c>
      <c r="K72" s="19">
        <v>5.0</v>
      </c>
      <c r="L72" s="19">
        <v>1.0</v>
      </c>
      <c r="M72" s="19">
        <v>3.0</v>
      </c>
      <c r="N72" s="19">
        <v>4.0</v>
      </c>
      <c r="O72" s="19">
        <v>1.0</v>
      </c>
      <c r="P72" s="19">
        <v>0.0</v>
      </c>
      <c r="Q72" s="19">
        <v>4.0</v>
      </c>
      <c r="R72" s="19">
        <v>2.0</v>
      </c>
      <c r="S72" s="13">
        <f t="shared" si="18"/>
        <v>135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2.0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2.0</v>
      </c>
      <c r="P73" s="19">
        <v>0.0</v>
      </c>
      <c r="Q73" s="19">
        <v>0.0</v>
      </c>
      <c r="R73" s="19">
        <v>2.0</v>
      </c>
      <c r="S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4.0</v>
      </c>
      <c r="G74" s="19">
        <v>2.0</v>
      </c>
      <c r="H74" s="19">
        <v>17.0</v>
      </c>
      <c r="I74" s="19">
        <v>11.0</v>
      </c>
      <c r="J74" s="19">
        <v>0.0</v>
      </c>
      <c r="K74" s="19">
        <v>20.0</v>
      </c>
      <c r="L74" s="19">
        <v>1.0</v>
      </c>
      <c r="M74" s="19">
        <v>1.0</v>
      </c>
      <c r="N74" s="19">
        <v>1.0</v>
      </c>
      <c r="O74" s="19">
        <v>0.0</v>
      </c>
      <c r="P74" s="19">
        <v>0.0</v>
      </c>
      <c r="Q74" s="19">
        <v>3.0</v>
      </c>
      <c r="R74" s="19">
        <v>2.0</v>
      </c>
      <c r="S74" s="13">
        <f t="shared" si="18"/>
        <v>64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1.0</v>
      </c>
      <c r="S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3">
        <f t="shared" si="18"/>
        <v>1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R79" si="19">SUM(E69:E76)</f>
        <v>20</v>
      </c>
      <c r="F79" s="13">
        <f t="shared" si="19"/>
        <v>29</v>
      </c>
      <c r="G79" s="13">
        <f t="shared" si="19"/>
        <v>31</v>
      </c>
      <c r="H79" s="13">
        <f t="shared" si="19"/>
        <v>44</v>
      </c>
      <c r="I79" s="13">
        <f t="shared" si="19"/>
        <v>62</v>
      </c>
      <c r="J79" s="13">
        <f t="shared" si="19"/>
        <v>65</v>
      </c>
      <c r="K79" s="13">
        <f t="shared" si="19"/>
        <v>31</v>
      </c>
      <c r="L79" s="13">
        <f t="shared" si="19"/>
        <v>26</v>
      </c>
      <c r="M79" s="13">
        <f t="shared" si="19"/>
        <v>14</v>
      </c>
      <c r="N79" s="13">
        <f t="shared" si="19"/>
        <v>18</v>
      </c>
      <c r="O79" s="13">
        <f t="shared" si="19"/>
        <v>8</v>
      </c>
      <c r="P79" s="13">
        <f t="shared" si="19"/>
        <v>7</v>
      </c>
      <c r="Q79" s="13">
        <f t="shared" si="19"/>
        <v>20</v>
      </c>
      <c r="R79" s="13">
        <f t="shared" si="19"/>
        <v>48</v>
      </c>
      <c r="S79" s="13">
        <f t="shared" si="18"/>
        <v>423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5.0</v>
      </c>
      <c r="G81" s="19">
        <v>0.0</v>
      </c>
      <c r="H81" s="19">
        <v>3.0</v>
      </c>
      <c r="I81" s="19">
        <v>2.0</v>
      </c>
      <c r="J81" s="19">
        <v>0.0</v>
      </c>
      <c r="K81" s="19">
        <v>1.0</v>
      </c>
      <c r="L81" s="19">
        <v>6.0</v>
      </c>
      <c r="M81" s="19">
        <v>2.0</v>
      </c>
      <c r="N81" s="19">
        <v>1.0</v>
      </c>
      <c r="O81" s="19">
        <v>4.0</v>
      </c>
      <c r="P81" s="19">
        <v>3.0</v>
      </c>
      <c r="Q81" s="19">
        <v>5.0</v>
      </c>
      <c r="R81" s="19">
        <v>10.0</v>
      </c>
      <c r="S81" s="13">
        <f t="shared" ref="S81:S91" si="20">SUM(E81:R81)</f>
        <v>48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3.0</v>
      </c>
      <c r="F82" s="19">
        <v>16.0</v>
      </c>
      <c r="G82" s="19">
        <v>6.0</v>
      </c>
      <c r="H82" s="19">
        <v>11.0</v>
      </c>
      <c r="I82" s="19">
        <v>29.0</v>
      </c>
      <c r="J82" s="19">
        <v>10.0</v>
      </c>
      <c r="K82" s="19">
        <v>20.0</v>
      </c>
      <c r="L82" s="19">
        <v>14.0</v>
      </c>
      <c r="M82" s="19">
        <v>21.0</v>
      </c>
      <c r="N82" s="19">
        <v>6.0</v>
      </c>
      <c r="O82" s="19">
        <v>26.0</v>
      </c>
      <c r="P82" s="19">
        <v>26.0</v>
      </c>
      <c r="Q82" s="19">
        <v>17.0</v>
      </c>
      <c r="R82" s="19">
        <v>27.0</v>
      </c>
      <c r="S82" s="13">
        <f t="shared" si="20"/>
        <v>232</v>
      </c>
    </row>
    <row r="83" ht="12.75" customHeight="1">
      <c r="A83" s="18"/>
      <c r="B83" s="55">
        <v>2.0</v>
      </c>
      <c r="C83" s="50" t="s">
        <v>66</v>
      </c>
      <c r="D83" s="57"/>
      <c r="E83" s="19">
        <v>22.0</v>
      </c>
      <c r="F83" s="19">
        <v>20.0</v>
      </c>
      <c r="G83" s="19">
        <v>22.0</v>
      </c>
      <c r="H83" s="19">
        <v>8.0</v>
      </c>
      <c r="I83" s="19">
        <v>10.0</v>
      </c>
      <c r="J83" s="19">
        <v>2.0</v>
      </c>
      <c r="K83" s="19">
        <v>9.0</v>
      </c>
      <c r="L83" s="19">
        <v>32.0</v>
      </c>
      <c r="M83" s="19">
        <v>6.0</v>
      </c>
      <c r="N83" s="19">
        <v>2.0</v>
      </c>
      <c r="O83" s="19">
        <v>2.0</v>
      </c>
      <c r="P83" s="19">
        <v>2.0</v>
      </c>
      <c r="Q83" s="19">
        <v>1.0</v>
      </c>
      <c r="R83" s="19">
        <v>5.0</v>
      </c>
      <c r="S83" s="13">
        <f t="shared" si="20"/>
        <v>143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0.0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1.0</v>
      </c>
      <c r="I85" s="19">
        <v>0.0</v>
      </c>
      <c r="J85" s="19">
        <v>0.0</v>
      </c>
      <c r="K85" s="19">
        <v>2.0</v>
      </c>
      <c r="L85" s="19">
        <v>0.0</v>
      </c>
      <c r="M85" s="19">
        <v>0.0</v>
      </c>
      <c r="N85" s="19">
        <v>0.0</v>
      </c>
      <c r="O85" s="19">
        <v>1.0</v>
      </c>
      <c r="P85" s="19">
        <v>1.0</v>
      </c>
      <c r="Q85" s="19">
        <v>8.0</v>
      </c>
      <c r="R85" s="19">
        <v>10.0</v>
      </c>
      <c r="S85" s="13">
        <f t="shared" si="20"/>
        <v>25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0.0</v>
      </c>
      <c r="Q86" s="19">
        <v>1.0</v>
      </c>
      <c r="R86" s="19">
        <v>0.0</v>
      </c>
      <c r="S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R91" si="21">SUM(E81:E88)</f>
        <v>33</v>
      </c>
      <c r="F91" s="13">
        <f t="shared" si="21"/>
        <v>42</v>
      </c>
      <c r="G91" s="13">
        <f t="shared" si="21"/>
        <v>30</v>
      </c>
      <c r="H91" s="13">
        <f t="shared" si="21"/>
        <v>24</v>
      </c>
      <c r="I91" s="13">
        <f t="shared" si="21"/>
        <v>41</v>
      </c>
      <c r="J91" s="13">
        <f t="shared" si="21"/>
        <v>12</v>
      </c>
      <c r="K91" s="13">
        <f t="shared" si="21"/>
        <v>32</v>
      </c>
      <c r="L91" s="13">
        <f t="shared" si="21"/>
        <v>52</v>
      </c>
      <c r="M91" s="13">
        <f t="shared" si="21"/>
        <v>30</v>
      </c>
      <c r="N91" s="13">
        <f t="shared" si="21"/>
        <v>9</v>
      </c>
      <c r="O91" s="13">
        <f t="shared" si="21"/>
        <v>33</v>
      </c>
      <c r="P91" s="13">
        <f t="shared" si="21"/>
        <v>32</v>
      </c>
      <c r="Q91" s="13">
        <f t="shared" si="21"/>
        <v>32</v>
      </c>
      <c r="R91" s="13">
        <f t="shared" si="21"/>
        <v>53</v>
      </c>
      <c r="S91" s="13">
        <f t="shared" si="20"/>
        <v>455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2.0</v>
      </c>
      <c r="H93" s="19">
        <v>0.0</v>
      </c>
      <c r="I93" s="19">
        <v>0.0</v>
      </c>
      <c r="J93" s="19">
        <v>2.0</v>
      </c>
      <c r="K93" s="19">
        <v>0.0</v>
      </c>
      <c r="L93" s="19">
        <v>2.0</v>
      </c>
      <c r="M93" s="19">
        <v>0.0</v>
      </c>
      <c r="N93" s="19">
        <v>1.0</v>
      </c>
      <c r="O93" s="19">
        <v>2.0</v>
      </c>
      <c r="P93" s="19">
        <v>3.0</v>
      </c>
      <c r="Q93" s="19">
        <v>0.0</v>
      </c>
      <c r="R93" s="19">
        <v>4.0</v>
      </c>
      <c r="S93" s="13">
        <f t="shared" ref="S93:S103" si="22">SUM(E93:R93)</f>
        <v>17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0.0</v>
      </c>
      <c r="G94" s="19">
        <v>2.0</v>
      </c>
      <c r="H94" s="19">
        <v>1.0</v>
      </c>
      <c r="I94" s="19">
        <v>0.0</v>
      </c>
      <c r="J94" s="19">
        <v>0.0</v>
      </c>
      <c r="K94" s="19">
        <v>2.0</v>
      </c>
      <c r="L94" s="19">
        <v>2.0</v>
      </c>
      <c r="M94" s="19">
        <v>1.0</v>
      </c>
      <c r="N94" s="19">
        <v>1.0</v>
      </c>
      <c r="O94" s="19">
        <v>0.0</v>
      </c>
      <c r="P94" s="19">
        <v>1.0</v>
      </c>
      <c r="Q94" s="19">
        <v>0.0</v>
      </c>
      <c r="R94" s="19">
        <v>3.0</v>
      </c>
      <c r="S94" s="13">
        <f t="shared" si="22"/>
        <v>15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2.0</v>
      </c>
      <c r="G95" s="19">
        <v>1.0</v>
      </c>
      <c r="H95" s="19">
        <v>0.0</v>
      </c>
      <c r="I95" s="19">
        <v>1.0</v>
      </c>
      <c r="J95" s="19">
        <v>3.0</v>
      </c>
      <c r="K95" s="19">
        <v>1.0</v>
      </c>
      <c r="L95" s="19">
        <v>2.0</v>
      </c>
      <c r="M95" s="19">
        <v>1.0</v>
      </c>
      <c r="N95" s="19">
        <v>0.0</v>
      </c>
      <c r="O95" s="19">
        <v>0.0</v>
      </c>
      <c r="P95" s="19">
        <v>0.0</v>
      </c>
      <c r="Q95" s="19">
        <v>1.0</v>
      </c>
      <c r="R95" s="19">
        <v>1.0</v>
      </c>
      <c r="S95" s="13">
        <f t="shared" si="22"/>
        <v>13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1.0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1.0</v>
      </c>
      <c r="R96" s="19">
        <v>1.0</v>
      </c>
      <c r="S96" s="13">
        <f t="shared" si="22"/>
        <v>7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2.0</v>
      </c>
      <c r="R97" s="19">
        <v>3.0</v>
      </c>
      <c r="S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1.0</v>
      </c>
      <c r="L100" s="19">
        <v>1.0</v>
      </c>
      <c r="M100" s="19">
        <v>0.0</v>
      </c>
      <c r="N100" s="19">
        <v>0.0</v>
      </c>
      <c r="O100" s="19">
        <v>0.0</v>
      </c>
      <c r="P100" s="19">
        <v>1.0</v>
      </c>
      <c r="Q100" s="19">
        <v>1.0</v>
      </c>
      <c r="R100" s="19">
        <v>0.0</v>
      </c>
      <c r="S100" s="13">
        <f t="shared" si="22"/>
        <v>5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R103" si="23">SUM(E93:E100)</f>
        <v>6</v>
      </c>
      <c r="F103" s="13">
        <f t="shared" si="23"/>
        <v>2</v>
      </c>
      <c r="G103" s="13">
        <f t="shared" si="23"/>
        <v>8</v>
      </c>
      <c r="H103" s="13">
        <f t="shared" si="23"/>
        <v>1</v>
      </c>
      <c r="I103" s="13">
        <f t="shared" si="23"/>
        <v>3</v>
      </c>
      <c r="J103" s="13">
        <f t="shared" si="23"/>
        <v>6</v>
      </c>
      <c r="K103" s="13">
        <f t="shared" si="23"/>
        <v>6</v>
      </c>
      <c r="L103" s="13">
        <f t="shared" si="23"/>
        <v>7</v>
      </c>
      <c r="M103" s="13">
        <f t="shared" si="23"/>
        <v>2</v>
      </c>
      <c r="N103" s="13">
        <f t="shared" si="23"/>
        <v>3</v>
      </c>
      <c r="O103" s="13">
        <f t="shared" si="23"/>
        <v>3</v>
      </c>
      <c r="P103" s="13">
        <f t="shared" si="23"/>
        <v>5</v>
      </c>
      <c r="Q103" s="13">
        <f t="shared" si="23"/>
        <v>5</v>
      </c>
      <c r="R103" s="13">
        <f t="shared" si="23"/>
        <v>12</v>
      </c>
      <c r="S103" s="13">
        <f t="shared" si="22"/>
        <v>69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15" si="24">SUM(E105:R105)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1.0</v>
      </c>
      <c r="Q106" s="19">
        <v>0.0</v>
      </c>
      <c r="R106" s="19">
        <v>0.0</v>
      </c>
      <c r="S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2.0</v>
      </c>
      <c r="L107" s="19">
        <v>2.0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1.0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1.0</v>
      </c>
      <c r="P109" s="19">
        <v>0.0</v>
      </c>
      <c r="Q109" s="19">
        <v>0.0</v>
      </c>
      <c r="R109" s="19">
        <v>0.0</v>
      </c>
      <c r="S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1.0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1.0</v>
      </c>
      <c r="R112" s="19">
        <v>0.0</v>
      </c>
      <c r="S112" s="13">
        <f t="shared" si="24"/>
        <v>3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R115" si="25">SUM(E105:E112)</f>
        <v>0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2</v>
      </c>
      <c r="L115" s="13">
        <f t="shared" si="25"/>
        <v>2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4"/>
        <v>13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1.0</v>
      </c>
      <c r="G117" s="19">
        <v>1.0</v>
      </c>
      <c r="H117" s="19">
        <v>1.0</v>
      </c>
      <c r="I117" s="19">
        <v>1.0</v>
      </c>
      <c r="J117" s="19"/>
      <c r="K117" s="19"/>
      <c r="L117" s="19">
        <v>1.0</v>
      </c>
      <c r="M117" s="19">
        <v>1.0</v>
      </c>
      <c r="N117" s="19"/>
      <c r="O117" s="19">
        <v>1.0</v>
      </c>
      <c r="P117" s="19"/>
      <c r="Q117" s="19"/>
      <c r="R117" s="19"/>
      <c r="S117" s="13">
        <f t="shared" ref="S117:S127" si="26">SUM(E117:R117)</f>
        <v>9</v>
      </c>
      <c r="T117" s="5"/>
      <c r="U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2.0</v>
      </c>
      <c r="G118" s="19"/>
      <c r="H118" s="19"/>
      <c r="I118" s="19"/>
      <c r="J118" s="19"/>
      <c r="K118" s="19"/>
      <c r="L118" s="19">
        <v>1.0</v>
      </c>
      <c r="M118" s="19"/>
      <c r="N118" s="19"/>
      <c r="O118" s="19">
        <v>1.0</v>
      </c>
      <c r="P118" s="19"/>
      <c r="Q118" s="19">
        <v>1.0</v>
      </c>
      <c r="R118" s="19"/>
      <c r="S118" s="13">
        <f t="shared" si="26"/>
        <v>6</v>
      </c>
      <c r="T118" s="5"/>
      <c r="U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>
        <v>1.0</v>
      </c>
      <c r="H119" s="19"/>
      <c r="I119" s="19"/>
      <c r="J119" s="19"/>
      <c r="K119" s="19"/>
      <c r="L119" s="19"/>
      <c r="M119" s="19"/>
      <c r="N119" s="19"/>
      <c r="O119" s="19"/>
      <c r="P119" s="19">
        <v>2.0</v>
      </c>
      <c r="Q119" s="19"/>
      <c r="R119" s="19"/>
      <c r="S119" s="13">
        <f t="shared" si="26"/>
        <v>3</v>
      </c>
      <c r="T119" s="5"/>
      <c r="U119" s="5"/>
    </row>
    <row r="120" ht="12.75" customHeight="1">
      <c r="A120" s="18"/>
      <c r="B120" s="55">
        <v>3.0</v>
      </c>
      <c r="C120" s="50" t="s">
        <v>94</v>
      </c>
      <c r="D120" s="57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>
        <v>1.0</v>
      </c>
      <c r="P120" s="19">
        <v>1.0</v>
      </c>
      <c r="Q120" s="19"/>
      <c r="R120" s="19"/>
      <c r="S120" s="13">
        <f t="shared" si="26"/>
        <v>2</v>
      </c>
      <c r="T120" s="5"/>
      <c r="U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  <c r="T121" s="5"/>
      <c r="U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  <c r="T122" s="5"/>
      <c r="U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  <c r="T123" s="5"/>
      <c r="U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  <c r="T124" s="5"/>
      <c r="U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  <c r="T125" s="5"/>
      <c r="U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  <c r="T126" s="5"/>
      <c r="U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R127" si="27">SUM(E117:E120)</f>
        <v>3</v>
      </c>
      <c r="F127" s="58">
        <f t="shared" si="27"/>
        <v>3</v>
      </c>
      <c r="G127" s="58">
        <f t="shared" si="27"/>
        <v>2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0</v>
      </c>
      <c r="L127" s="58">
        <f t="shared" si="27"/>
        <v>2</v>
      </c>
      <c r="M127" s="58">
        <f t="shared" si="27"/>
        <v>1</v>
      </c>
      <c r="N127" s="58">
        <f t="shared" si="27"/>
        <v>0</v>
      </c>
      <c r="O127" s="58">
        <f t="shared" si="27"/>
        <v>3</v>
      </c>
      <c r="P127" s="58">
        <f t="shared" si="27"/>
        <v>3</v>
      </c>
      <c r="Q127" s="58">
        <f t="shared" si="27"/>
        <v>1</v>
      </c>
      <c r="R127" s="58">
        <f t="shared" si="27"/>
        <v>0</v>
      </c>
      <c r="S127" s="13">
        <f t="shared" si="26"/>
        <v>20</v>
      </c>
      <c r="T127" s="5"/>
      <c r="U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5"/>
      <c r="U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5.0</v>
      </c>
      <c r="Q129" s="19">
        <v>0.0</v>
      </c>
      <c r="R129" s="19">
        <v>0.0</v>
      </c>
      <c r="S129" s="13">
        <f t="shared" ref="S129:S139" si="28">SUM(E129:R129)</f>
        <v>10</v>
      </c>
      <c r="T129" s="5"/>
      <c r="U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1.0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3">
        <f t="shared" si="28"/>
        <v>3</v>
      </c>
      <c r="T130" s="1"/>
      <c r="U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si="28"/>
        <v>0</v>
      </c>
      <c r="T131" s="52"/>
      <c r="U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0</v>
      </c>
      <c r="T132" s="5"/>
      <c r="U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3">
        <f t="shared" si="28"/>
        <v>2</v>
      </c>
      <c r="T133" s="5"/>
      <c r="U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0</v>
      </c>
      <c r="T134" s="5"/>
      <c r="U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0</v>
      </c>
      <c r="T135" s="5"/>
      <c r="U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  <c r="T136" s="5"/>
      <c r="U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  <c r="T137" s="5"/>
      <c r="U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  <c r="T138" s="5"/>
      <c r="U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R139" si="29">SUM(E129:E136)</f>
        <v>6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6</v>
      </c>
      <c r="Q139" s="13">
        <f t="shared" si="29"/>
        <v>0</v>
      </c>
      <c r="R139" s="13">
        <f t="shared" si="29"/>
        <v>0</v>
      </c>
      <c r="S139" s="13">
        <f t="shared" si="28"/>
        <v>15</v>
      </c>
      <c r="T139" s="5"/>
      <c r="U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5"/>
      <c r="U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>
        <v>3.0</v>
      </c>
      <c r="K141" s="19"/>
      <c r="L141" s="19"/>
      <c r="M141" s="19"/>
      <c r="N141" s="19">
        <v>1.0</v>
      </c>
      <c r="O141" s="19"/>
      <c r="P141" s="19"/>
      <c r="Q141" s="19"/>
      <c r="R141" s="19"/>
      <c r="S141" s="13">
        <f t="shared" ref="S141:S151" si="30">SUM(E141:R141)</f>
        <v>4</v>
      </c>
      <c r="T141" s="1"/>
      <c r="U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3">
        <f t="shared" si="30"/>
        <v>0</v>
      </c>
      <c r="T142" s="52"/>
      <c r="U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3">
        <f t="shared" si="30"/>
        <v>0</v>
      </c>
      <c r="T143" s="5"/>
      <c r="U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3">
        <f t="shared" si="30"/>
        <v>0</v>
      </c>
      <c r="T144" s="5"/>
      <c r="U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  <c r="T145" s="5"/>
      <c r="U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  <c r="T146" s="5"/>
      <c r="U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  <c r="T147" s="5"/>
      <c r="U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  <c r="T148" s="5"/>
      <c r="U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  <c r="T149" s="5"/>
      <c r="U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  <c r="T150" s="5"/>
      <c r="U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R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3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0"/>
        <v>4</v>
      </c>
      <c r="T151" s="1"/>
      <c r="U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13"/>
      <c r="T152" s="52"/>
      <c r="U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3">
        <f t="shared" ref="S153:S163" si="32">SUM(E153:R153)</f>
        <v>1</v>
      </c>
      <c r="T153" s="5"/>
      <c r="U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>
        <v>3.0</v>
      </c>
      <c r="G154" s="19"/>
      <c r="H154" s="19"/>
      <c r="I154" s="19"/>
      <c r="J154" s="19">
        <v>1.0</v>
      </c>
      <c r="K154" s="19"/>
      <c r="L154" s="19"/>
      <c r="M154" s="19"/>
      <c r="N154" s="19"/>
      <c r="O154" s="19"/>
      <c r="P154" s="19"/>
      <c r="Q154" s="19"/>
      <c r="R154" s="19"/>
      <c r="S154" s="13">
        <f t="shared" si="32"/>
        <v>4</v>
      </c>
      <c r="T154" s="5"/>
      <c r="U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>
        <v>1.0</v>
      </c>
      <c r="R155" s="19"/>
      <c r="S155" s="13">
        <f t="shared" si="32"/>
        <v>2</v>
      </c>
      <c r="T155" s="5"/>
      <c r="U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3">
        <f t="shared" si="32"/>
        <v>0</v>
      </c>
      <c r="T156" s="5"/>
      <c r="U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>
        <v>1.0</v>
      </c>
      <c r="G157" s="19"/>
      <c r="H157" s="19"/>
      <c r="I157" s="19">
        <v>1.0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3">
        <f t="shared" si="32"/>
        <v>2</v>
      </c>
      <c r="T157" s="5"/>
      <c r="U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 t="shared" si="32"/>
        <v>0</v>
      </c>
      <c r="T158" s="5"/>
      <c r="U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>
        <f t="shared" si="32"/>
        <v>0</v>
      </c>
      <c r="T159" s="5"/>
      <c r="U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2"/>
        <v>0</v>
      </c>
      <c r="T160" s="5"/>
      <c r="U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2"/>
        <v>0</v>
      </c>
      <c r="T161" s="5"/>
      <c r="U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2"/>
        <v>0</v>
      </c>
      <c r="T162" s="5"/>
      <c r="U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R163" si="33">SUM(E153:E157)</f>
        <v>2</v>
      </c>
      <c r="F163" s="13">
        <f t="shared" si="33"/>
        <v>4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2"/>
        <v>9</v>
      </c>
      <c r="T163" s="5"/>
      <c r="U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5"/>
      <c r="U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1.0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1.0</v>
      </c>
      <c r="S165" s="13">
        <f t="shared" ref="S165:S175" si="34">SUM(E165:R165)</f>
        <v>4</v>
      </c>
      <c r="T165" s="1"/>
      <c r="U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1.0</v>
      </c>
      <c r="K166" s="19">
        <v>1.0</v>
      </c>
      <c r="L166" s="19">
        <v>2.0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3">
        <f t="shared" si="34"/>
        <v>5</v>
      </c>
      <c r="T166" s="52"/>
      <c r="U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1.0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3">
        <f t="shared" si="34"/>
        <v>1</v>
      </c>
      <c r="T167" s="5"/>
      <c r="U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3">
        <f t="shared" si="34"/>
        <v>1</v>
      </c>
      <c r="T168" s="5"/>
      <c r="U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4"/>
        <v>1</v>
      </c>
      <c r="T169" s="5"/>
      <c r="U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3">
        <f t="shared" si="34"/>
        <v>0</v>
      </c>
      <c r="T170" s="5"/>
      <c r="U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4"/>
        <v>0</v>
      </c>
      <c r="T171" s="5"/>
      <c r="U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1.0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3">
        <f t="shared" si="34"/>
        <v>1</v>
      </c>
      <c r="T172" s="5"/>
      <c r="U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4"/>
        <v>0</v>
      </c>
      <c r="T173" s="5"/>
      <c r="U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4"/>
        <v>0</v>
      </c>
      <c r="T174" s="5"/>
      <c r="U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R175" si="35">SUM(E165:E172)</f>
        <v>0</v>
      </c>
      <c r="F175" s="13">
        <f t="shared" si="35"/>
        <v>3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4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4"/>
        <v>13</v>
      </c>
      <c r="T175" s="5"/>
      <c r="U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1"/>
      <c r="U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3">
        <f t="shared" ref="S177:S187" si="36">SUM(E177:R177)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2.0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3">
        <f t="shared" si="36"/>
        <v>3</v>
      </c>
      <c r="T178" s="5"/>
      <c r="U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1.0</v>
      </c>
      <c r="S179" s="13">
        <f t="shared" si="36"/>
        <v>2</v>
      </c>
      <c r="T179" s="5"/>
      <c r="U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3">
        <f t="shared" si="36"/>
        <v>1</v>
      </c>
      <c r="T180" s="5"/>
      <c r="U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2.0</v>
      </c>
      <c r="S181" s="13">
        <f t="shared" si="36"/>
        <v>3</v>
      </c>
      <c r="T181" s="5"/>
      <c r="U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6"/>
        <v>0</v>
      </c>
      <c r="T182" s="5"/>
      <c r="U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6"/>
        <v>0</v>
      </c>
      <c r="T183" s="5"/>
      <c r="U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6"/>
        <v>0</v>
      </c>
      <c r="T184" s="5"/>
      <c r="U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6"/>
        <v>0</v>
      </c>
      <c r="T185" s="5"/>
      <c r="U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6"/>
        <v>0</v>
      </c>
      <c r="T186" s="5"/>
      <c r="U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R187" si="37">SUM(E177:E184)</f>
        <v>1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4</v>
      </c>
      <c r="S187" s="13">
        <f t="shared" si="36"/>
        <v>10</v>
      </c>
      <c r="T187" s="1"/>
      <c r="U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3">
        <f t="shared" ref="S189:S199" si="38">SUM(E189:R189)</f>
        <v>2</v>
      </c>
      <c r="T189" s="5"/>
      <c r="U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0.0</v>
      </c>
      <c r="P190" s="19">
        <v>0.0</v>
      </c>
      <c r="Q190" s="19">
        <v>2.0</v>
      </c>
      <c r="R190" s="19">
        <v>2.0</v>
      </c>
      <c r="S190" s="13">
        <f t="shared" si="38"/>
        <v>5</v>
      </c>
      <c r="T190" s="5"/>
      <c r="U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8"/>
        <v>0</v>
      </c>
      <c r="T191" s="5"/>
      <c r="U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1.0</v>
      </c>
      <c r="G192" s="19">
        <v>0.0</v>
      </c>
      <c r="H192" s="19">
        <v>0.0</v>
      </c>
      <c r="I192" s="19">
        <v>0.0</v>
      </c>
      <c r="J192" s="19">
        <v>0.0</v>
      </c>
      <c r="K192" s="19">
        <v>1.0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8"/>
        <v>2</v>
      </c>
      <c r="T192" s="5"/>
      <c r="U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1.0</v>
      </c>
      <c r="R193" s="19">
        <v>0.0</v>
      </c>
      <c r="S193" s="13">
        <f t="shared" si="38"/>
        <v>1</v>
      </c>
      <c r="T193" s="5"/>
      <c r="U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8"/>
        <v>0</v>
      </c>
      <c r="T194" s="5"/>
      <c r="U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8"/>
        <v>0</v>
      </c>
      <c r="T195" s="5"/>
      <c r="U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8"/>
        <v>0</v>
      </c>
      <c r="T196" s="1"/>
      <c r="U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8"/>
        <v>0</v>
      </c>
      <c r="T197" s="1"/>
      <c r="U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8"/>
        <v>0</v>
      </c>
      <c r="T198" s="1"/>
      <c r="U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R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3</v>
      </c>
      <c r="R199" s="13">
        <f t="shared" si="39"/>
        <v>3</v>
      </c>
      <c r="S199" s="13">
        <f t="shared" si="38"/>
        <v>10</v>
      </c>
      <c r="T199" s="52"/>
      <c r="U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5"/>
      <c r="U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0.0</v>
      </c>
      <c r="H201" s="19">
        <v>4.0</v>
      </c>
      <c r="I201" s="19">
        <v>1.0</v>
      </c>
      <c r="J201" s="19">
        <v>3.0</v>
      </c>
      <c r="K201" s="19">
        <v>1.0</v>
      </c>
      <c r="L201" s="19">
        <v>4.0</v>
      </c>
      <c r="M201" s="19">
        <v>1.0</v>
      </c>
      <c r="N201" s="19">
        <v>1.0</v>
      </c>
      <c r="O201" s="19">
        <v>0.0</v>
      </c>
      <c r="P201" s="19">
        <v>1.0</v>
      </c>
      <c r="Q201" s="19">
        <v>1.0</v>
      </c>
      <c r="R201" s="19">
        <v>1.0</v>
      </c>
      <c r="S201" s="13">
        <f t="shared" ref="S201:S211" si="40">SUM(E201:R201)</f>
        <v>20</v>
      </c>
      <c r="T201" s="5"/>
      <c r="U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2.0</v>
      </c>
      <c r="G202" s="19">
        <v>0.0</v>
      </c>
      <c r="H202" s="19">
        <v>5.0</v>
      </c>
      <c r="I202" s="19">
        <v>0.0</v>
      </c>
      <c r="J202" s="19">
        <v>0.0</v>
      </c>
      <c r="K202" s="19">
        <v>1.0</v>
      </c>
      <c r="L202" s="19">
        <v>1.0</v>
      </c>
      <c r="M202" s="19">
        <v>1.0</v>
      </c>
      <c r="N202" s="19">
        <v>2.0</v>
      </c>
      <c r="O202" s="19">
        <v>1.0</v>
      </c>
      <c r="P202" s="19">
        <v>2.0</v>
      </c>
      <c r="Q202" s="19">
        <v>3.0</v>
      </c>
      <c r="R202" s="19">
        <v>4.0</v>
      </c>
      <c r="S202" s="13">
        <f t="shared" si="40"/>
        <v>24</v>
      </c>
      <c r="T202" s="5"/>
      <c r="U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0.0</v>
      </c>
      <c r="H203" s="19">
        <v>4.0</v>
      </c>
      <c r="I203" s="19">
        <v>0.0</v>
      </c>
      <c r="J203" s="19">
        <v>0.0</v>
      </c>
      <c r="K203" s="19">
        <v>0.0</v>
      </c>
      <c r="L203" s="19">
        <v>2.0</v>
      </c>
      <c r="M203" s="19">
        <v>1.0</v>
      </c>
      <c r="N203" s="19">
        <v>0.0</v>
      </c>
      <c r="O203" s="19">
        <v>0.0</v>
      </c>
      <c r="P203" s="19">
        <v>2.0</v>
      </c>
      <c r="Q203" s="19">
        <v>0.0</v>
      </c>
      <c r="R203" s="19">
        <v>0.0</v>
      </c>
      <c r="S203" s="13">
        <f t="shared" si="40"/>
        <v>12</v>
      </c>
      <c r="T203" s="5"/>
      <c r="U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1.0</v>
      </c>
      <c r="H204" s="19">
        <v>1.0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2.0</v>
      </c>
      <c r="S204" s="13">
        <f t="shared" si="40"/>
        <v>4</v>
      </c>
      <c r="T204" s="5"/>
      <c r="U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3">
        <f t="shared" si="40"/>
        <v>2</v>
      </c>
      <c r="T205" s="5"/>
      <c r="U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3">
        <f t="shared" si="40"/>
        <v>1</v>
      </c>
      <c r="T206" s="5"/>
      <c r="U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0"/>
        <v>0</v>
      </c>
      <c r="T207" s="1"/>
      <c r="U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1.0</v>
      </c>
      <c r="Q208" s="19">
        <v>0.0</v>
      </c>
      <c r="R208" s="19">
        <v>0.0</v>
      </c>
      <c r="S208" s="13">
        <f t="shared" si="40"/>
        <v>2</v>
      </c>
      <c r="T208" s="52"/>
      <c r="U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0"/>
        <v>0</v>
      </c>
      <c r="T209" s="52"/>
      <c r="U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0"/>
        <v>0</v>
      </c>
      <c r="T210" s="52"/>
      <c r="U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R211" si="41">SUM(E201:E208)</f>
        <v>4</v>
      </c>
      <c r="F211" s="13">
        <f t="shared" si="41"/>
        <v>5</v>
      </c>
      <c r="G211" s="13">
        <f t="shared" si="41"/>
        <v>2</v>
      </c>
      <c r="H211" s="13">
        <f t="shared" si="41"/>
        <v>15</v>
      </c>
      <c r="I211" s="13">
        <f t="shared" si="41"/>
        <v>1</v>
      </c>
      <c r="J211" s="13">
        <f t="shared" si="41"/>
        <v>3</v>
      </c>
      <c r="K211" s="13">
        <f t="shared" si="41"/>
        <v>2</v>
      </c>
      <c r="L211" s="13">
        <f t="shared" si="41"/>
        <v>7</v>
      </c>
      <c r="M211" s="13">
        <f t="shared" si="41"/>
        <v>3</v>
      </c>
      <c r="N211" s="13">
        <f t="shared" si="41"/>
        <v>3</v>
      </c>
      <c r="O211" s="13">
        <f t="shared" si="41"/>
        <v>3</v>
      </c>
      <c r="P211" s="13">
        <f t="shared" si="41"/>
        <v>6</v>
      </c>
      <c r="Q211" s="13">
        <f t="shared" si="41"/>
        <v>4</v>
      </c>
      <c r="R211" s="13">
        <f t="shared" si="41"/>
        <v>7</v>
      </c>
      <c r="S211" s="13">
        <f t="shared" si="40"/>
        <v>65</v>
      </c>
      <c r="T211" s="5"/>
      <c r="U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5"/>
      <c r="U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3.0</v>
      </c>
      <c r="G213" s="19">
        <v>0.0</v>
      </c>
      <c r="H213" s="19">
        <v>0.0</v>
      </c>
      <c r="I213" s="19">
        <v>0.0</v>
      </c>
      <c r="J213" s="19">
        <v>0.0</v>
      </c>
      <c r="K213" s="19">
        <v>1.0</v>
      </c>
      <c r="L213" s="19">
        <v>2.0</v>
      </c>
      <c r="M213" s="19">
        <v>0.0</v>
      </c>
      <c r="N213" s="19">
        <v>0.0</v>
      </c>
      <c r="O213" s="19">
        <v>0.0</v>
      </c>
      <c r="P213" s="19">
        <v>0.0</v>
      </c>
      <c r="Q213" s="19">
        <v>1.0</v>
      </c>
      <c r="R213" s="19">
        <v>2.0</v>
      </c>
      <c r="S213" s="13">
        <f t="shared" ref="S213:S223" si="42">SUM(E213:R213)</f>
        <v>13</v>
      </c>
      <c r="T213" s="5"/>
      <c r="U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2.0</v>
      </c>
      <c r="H214" s="19">
        <v>2.0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1.0</v>
      </c>
      <c r="P214" s="19">
        <v>0.0</v>
      </c>
      <c r="Q214" s="19">
        <v>0.0</v>
      </c>
      <c r="R214" s="19">
        <v>1.0</v>
      </c>
      <c r="S214" s="13">
        <f t="shared" si="42"/>
        <v>7</v>
      </c>
      <c r="T214" s="5"/>
      <c r="U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19.0</v>
      </c>
      <c r="F215" s="19">
        <v>14.0</v>
      </c>
      <c r="G215" s="19">
        <v>39.0</v>
      </c>
      <c r="H215" s="19">
        <v>79.0</v>
      </c>
      <c r="I215" s="19">
        <v>6.0</v>
      </c>
      <c r="J215" s="19">
        <v>2.0</v>
      </c>
      <c r="K215" s="19">
        <v>2.0</v>
      </c>
      <c r="L215" s="19">
        <v>0.0</v>
      </c>
      <c r="M215" s="19">
        <v>0.0</v>
      </c>
      <c r="N215" s="19">
        <v>0.0</v>
      </c>
      <c r="O215" s="19">
        <v>2.0</v>
      </c>
      <c r="P215" s="19">
        <v>3.0</v>
      </c>
      <c r="Q215" s="19">
        <v>0.0</v>
      </c>
      <c r="R215" s="19">
        <v>2.0</v>
      </c>
      <c r="S215" s="13">
        <f t="shared" si="42"/>
        <v>168</v>
      </c>
      <c r="T215" s="5"/>
      <c r="U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1.0</v>
      </c>
      <c r="G216" s="19">
        <v>0.0</v>
      </c>
      <c r="H216" s="19">
        <v>1.0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3">
        <f t="shared" si="42"/>
        <v>3</v>
      </c>
      <c r="T216" s="5"/>
      <c r="U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2"/>
        <v>1</v>
      </c>
      <c r="T217" s="5"/>
      <c r="U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1.0</v>
      </c>
      <c r="R218" s="19">
        <v>0.0</v>
      </c>
      <c r="S218" s="13">
        <f t="shared" si="42"/>
        <v>1</v>
      </c>
      <c r="T218" s="1"/>
      <c r="U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2"/>
        <v>1</v>
      </c>
      <c r="T219" s="52"/>
      <c r="U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2"/>
        <v>1</v>
      </c>
      <c r="T220" s="5"/>
      <c r="U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2"/>
        <v>0</v>
      </c>
      <c r="T221" s="5"/>
      <c r="U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2"/>
        <v>0</v>
      </c>
      <c r="T222" s="5"/>
      <c r="U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R223" si="43">SUM(E213:E220)</f>
        <v>26</v>
      </c>
      <c r="F223" s="13">
        <f t="shared" si="43"/>
        <v>19</v>
      </c>
      <c r="G223" s="13">
        <f t="shared" si="43"/>
        <v>41</v>
      </c>
      <c r="H223" s="13">
        <f t="shared" si="43"/>
        <v>83</v>
      </c>
      <c r="I223" s="13">
        <f t="shared" si="43"/>
        <v>6</v>
      </c>
      <c r="J223" s="13">
        <f t="shared" si="43"/>
        <v>2</v>
      </c>
      <c r="K223" s="13">
        <f t="shared" si="43"/>
        <v>3</v>
      </c>
      <c r="L223" s="13">
        <f t="shared" si="43"/>
        <v>2</v>
      </c>
      <c r="M223" s="13">
        <f t="shared" si="43"/>
        <v>0</v>
      </c>
      <c r="N223" s="13">
        <f t="shared" si="43"/>
        <v>0</v>
      </c>
      <c r="O223" s="13">
        <f t="shared" si="43"/>
        <v>3</v>
      </c>
      <c r="P223" s="13">
        <f t="shared" si="43"/>
        <v>3</v>
      </c>
      <c r="Q223" s="13">
        <f t="shared" si="43"/>
        <v>2</v>
      </c>
      <c r="R223" s="13">
        <f t="shared" si="43"/>
        <v>5</v>
      </c>
      <c r="S223" s="13">
        <f t="shared" si="42"/>
        <v>195</v>
      </c>
      <c r="T223" s="5"/>
      <c r="U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5"/>
      <c r="U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2.0</v>
      </c>
      <c r="S225" s="13">
        <f t="shared" ref="S225:S235" si="44">SUM(E225:R225)</f>
        <v>3</v>
      </c>
      <c r="T225" s="5"/>
      <c r="U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1.0</v>
      </c>
      <c r="I226" s="19">
        <v>0.0</v>
      </c>
      <c r="J226" s="19">
        <v>1.0</v>
      </c>
      <c r="K226" s="19">
        <v>1.0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1.0</v>
      </c>
      <c r="R226" s="19">
        <v>2.0</v>
      </c>
      <c r="S226" s="13">
        <f t="shared" si="44"/>
        <v>7</v>
      </c>
      <c r="T226" s="5"/>
      <c r="U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1.0</v>
      </c>
      <c r="S227" s="13">
        <f t="shared" si="44"/>
        <v>2</v>
      </c>
      <c r="T227" s="5"/>
      <c r="U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4"/>
        <v>0</v>
      </c>
      <c r="T228" s="5"/>
      <c r="U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4"/>
        <v>0</v>
      </c>
      <c r="T229" s="1"/>
      <c r="U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1.0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4"/>
        <v>1</v>
      </c>
      <c r="T230" s="52"/>
      <c r="U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4"/>
        <v>0</v>
      </c>
      <c r="T231" s="5"/>
      <c r="U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4"/>
        <v>1</v>
      </c>
      <c r="T232" s="5"/>
      <c r="U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4"/>
        <v>0</v>
      </c>
      <c r="T233" s="5"/>
      <c r="U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4"/>
        <v>0</v>
      </c>
      <c r="T234" s="5"/>
      <c r="U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R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2</v>
      </c>
      <c r="I235" s="13">
        <f t="shared" si="45"/>
        <v>0</v>
      </c>
      <c r="J235" s="13">
        <f t="shared" si="45"/>
        <v>3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5</v>
      </c>
      <c r="S235" s="13">
        <f t="shared" si="44"/>
        <v>14</v>
      </c>
      <c r="T235" s="5"/>
      <c r="U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5"/>
      <c r="U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4.0</v>
      </c>
      <c r="F237" s="19">
        <v>2.0</v>
      </c>
      <c r="G237" s="19">
        <v>0.0</v>
      </c>
      <c r="H237" s="19">
        <v>1.0</v>
      </c>
      <c r="I237" s="19">
        <v>4.0</v>
      </c>
      <c r="J237" s="19">
        <v>1.0</v>
      </c>
      <c r="K237" s="19">
        <v>0.0</v>
      </c>
      <c r="L237" s="19">
        <v>1.0</v>
      </c>
      <c r="M237" s="19">
        <v>3.0</v>
      </c>
      <c r="N237" s="19">
        <v>2.0</v>
      </c>
      <c r="O237" s="19">
        <v>0.0</v>
      </c>
      <c r="P237" s="19">
        <v>0.0</v>
      </c>
      <c r="Q237" s="19">
        <v>0.0</v>
      </c>
      <c r="R237" s="19">
        <v>0.0</v>
      </c>
      <c r="S237" s="13">
        <f t="shared" ref="S237:S247" si="46">SUM(E237:R237)</f>
        <v>18</v>
      </c>
      <c r="T237" s="5"/>
      <c r="U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1.0</v>
      </c>
      <c r="G238" s="19">
        <v>0.0</v>
      </c>
      <c r="H238" s="19">
        <v>1.0</v>
      </c>
      <c r="I238" s="19">
        <v>3.0</v>
      </c>
      <c r="J238" s="19">
        <v>3.0</v>
      </c>
      <c r="K238" s="19">
        <v>0.0</v>
      </c>
      <c r="L238" s="19">
        <v>0.0</v>
      </c>
      <c r="M238" s="19">
        <v>3.0</v>
      </c>
      <c r="N238" s="19">
        <v>5.0</v>
      </c>
      <c r="O238" s="19">
        <v>2.0</v>
      </c>
      <c r="P238" s="19">
        <v>0.0</v>
      </c>
      <c r="Q238" s="19">
        <v>0.0</v>
      </c>
      <c r="R238" s="19">
        <v>0.0</v>
      </c>
      <c r="S238" s="13">
        <f t="shared" si="46"/>
        <v>19</v>
      </c>
      <c r="T238" s="5"/>
      <c r="U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1.0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0.0</v>
      </c>
      <c r="P239" s="19">
        <v>0.0</v>
      </c>
      <c r="Q239" s="19">
        <v>0.0</v>
      </c>
      <c r="R239" s="19">
        <v>0.0</v>
      </c>
      <c r="S239" s="13">
        <f t="shared" si="46"/>
        <v>3</v>
      </c>
      <c r="T239" s="5"/>
      <c r="U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1.0</v>
      </c>
      <c r="M240" s="19">
        <v>1.0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6"/>
        <v>4</v>
      </c>
      <c r="T240" s="1"/>
      <c r="U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2.0</v>
      </c>
      <c r="J241" s="19">
        <v>5.0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6"/>
        <v>9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4.0</v>
      </c>
      <c r="K244" s="19">
        <v>1.0</v>
      </c>
      <c r="L244" s="19">
        <v>0.0</v>
      </c>
      <c r="M244" s="19">
        <v>4.0</v>
      </c>
      <c r="N244" s="19">
        <v>6.0</v>
      </c>
      <c r="O244" s="19">
        <v>0.0</v>
      </c>
      <c r="P244" s="19">
        <v>0.0</v>
      </c>
      <c r="Q244" s="19">
        <v>0.0</v>
      </c>
      <c r="R244" s="19">
        <v>0.0</v>
      </c>
      <c r="S244" s="13">
        <f t="shared" si="46"/>
        <v>15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R247" si="47">SUM(E237:E244)</f>
        <v>5</v>
      </c>
      <c r="F247" s="13">
        <f t="shared" si="47"/>
        <v>4</v>
      </c>
      <c r="G247" s="13">
        <f t="shared" si="47"/>
        <v>0</v>
      </c>
      <c r="H247" s="13">
        <f t="shared" si="47"/>
        <v>3</v>
      </c>
      <c r="I247" s="13">
        <f t="shared" si="47"/>
        <v>11</v>
      </c>
      <c r="J247" s="13">
        <f t="shared" si="47"/>
        <v>14</v>
      </c>
      <c r="K247" s="13">
        <f t="shared" si="47"/>
        <v>2</v>
      </c>
      <c r="L247" s="13">
        <f t="shared" si="47"/>
        <v>3</v>
      </c>
      <c r="M247" s="13">
        <f t="shared" si="47"/>
        <v>11</v>
      </c>
      <c r="N247" s="13">
        <f t="shared" si="47"/>
        <v>15</v>
      </c>
      <c r="O247" s="13">
        <f t="shared" si="47"/>
        <v>2</v>
      </c>
      <c r="P247" s="13">
        <f t="shared" si="47"/>
        <v>0</v>
      </c>
      <c r="Q247" s="13">
        <f t="shared" si="47"/>
        <v>0</v>
      </c>
      <c r="R247" s="13">
        <f t="shared" si="47"/>
        <v>0</v>
      </c>
      <c r="S247" s="13">
        <f t="shared" si="46"/>
        <v>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9" si="48">SUM(E249:R249)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1.0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R259" si="49">SUM(E249:E255)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8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R262" si="50">E55+E67+E79+E91+E103+E115+E127+E139+E151+E163+E175+E187+E199+E211+E223+E235+E247+E259</f>
        <v>126</v>
      </c>
      <c r="F262" s="19">
        <f t="shared" si="50"/>
        <v>160</v>
      </c>
      <c r="G262" s="19">
        <f t="shared" si="50"/>
        <v>177</v>
      </c>
      <c r="H262" s="19">
        <f t="shared" si="50"/>
        <v>201</v>
      </c>
      <c r="I262" s="19">
        <f t="shared" si="50"/>
        <v>189</v>
      </c>
      <c r="J262" s="19">
        <f t="shared" si="50"/>
        <v>195</v>
      </c>
      <c r="K262" s="19">
        <f t="shared" si="50"/>
        <v>214</v>
      </c>
      <c r="L262" s="19">
        <f t="shared" si="50"/>
        <v>128</v>
      </c>
      <c r="M262" s="19">
        <f t="shared" si="50"/>
        <v>177</v>
      </c>
      <c r="N262" s="19">
        <f t="shared" si="50"/>
        <v>203</v>
      </c>
      <c r="O262" s="19">
        <f t="shared" si="50"/>
        <v>118</v>
      </c>
      <c r="P262" s="19">
        <f t="shared" si="50"/>
        <v>165</v>
      </c>
      <c r="Q262" s="19">
        <f t="shared" si="50"/>
        <v>171</v>
      </c>
      <c r="R262" s="19">
        <f t="shared" si="50"/>
        <v>203</v>
      </c>
      <c r="S262" s="13">
        <f t="shared" ref="S262:S264" si="51">SUM(E262:R262)</f>
        <v>2427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21.0</v>
      </c>
      <c r="F263" s="19">
        <v>20.0</v>
      </c>
      <c r="G263" s="19">
        <v>14.0</v>
      </c>
      <c r="H263" s="19">
        <v>5.0</v>
      </c>
      <c r="I263" s="19">
        <v>5.0</v>
      </c>
      <c r="J263" s="19">
        <v>14.0</v>
      </c>
      <c r="K263" s="19">
        <v>20.0</v>
      </c>
      <c r="L263" s="19">
        <v>24.0</v>
      </c>
      <c r="M263" s="19">
        <v>23.0</v>
      </c>
      <c r="N263" s="19">
        <v>13.0</v>
      </c>
      <c r="O263" s="19">
        <v>8.0</v>
      </c>
      <c r="P263" s="19">
        <v>17.0</v>
      </c>
      <c r="Q263" s="19">
        <v>40.0</v>
      </c>
      <c r="R263" s="19">
        <v>21.0</v>
      </c>
      <c r="S263" s="13">
        <f t="shared" si="51"/>
        <v>245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R264" si="52">SUM(E262:E263)</f>
        <v>147</v>
      </c>
      <c r="F264" s="13">
        <f t="shared" si="52"/>
        <v>180</v>
      </c>
      <c r="G264" s="13">
        <f t="shared" si="52"/>
        <v>191</v>
      </c>
      <c r="H264" s="13">
        <f t="shared" si="52"/>
        <v>206</v>
      </c>
      <c r="I264" s="13">
        <f t="shared" si="52"/>
        <v>194</v>
      </c>
      <c r="J264" s="13">
        <f t="shared" si="52"/>
        <v>209</v>
      </c>
      <c r="K264" s="13">
        <f t="shared" si="52"/>
        <v>234</v>
      </c>
      <c r="L264" s="13">
        <f t="shared" si="52"/>
        <v>152</v>
      </c>
      <c r="M264" s="13">
        <f t="shared" si="52"/>
        <v>200</v>
      </c>
      <c r="N264" s="13">
        <f t="shared" si="52"/>
        <v>216</v>
      </c>
      <c r="O264" s="13">
        <f t="shared" si="52"/>
        <v>126</v>
      </c>
      <c r="P264" s="13">
        <f t="shared" si="52"/>
        <v>182</v>
      </c>
      <c r="Q264" s="13">
        <f t="shared" si="52"/>
        <v>211</v>
      </c>
      <c r="R264" s="13">
        <f t="shared" si="52"/>
        <v>224</v>
      </c>
      <c r="S264" s="13">
        <f t="shared" si="51"/>
        <v>2672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9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122.0</v>
      </c>
      <c r="G14" s="19">
        <v>150.0</v>
      </c>
      <c r="H14" s="19">
        <v>138.0</v>
      </c>
      <c r="I14" s="19">
        <v>116.0</v>
      </c>
      <c r="J14" s="19">
        <v>149.0</v>
      </c>
      <c r="K14" s="19">
        <v>118.0</v>
      </c>
      <c r="L14" s="19">
        <v>112.0</v>
      </c>
      <c r="M14" s="19">
        <v>137.0</v>
      </c>
      <c r="N14" s="19">
        <v>138.0</v>
      </c>
      <c r="O14" s="19">
        <v>106.0</v>
      </c>
      <c r="P14" s="19">
        <v>129.0</v>
      </c>
      <c r="Q14" s="19">
        <v>135.0</v>
      </c>
      <c r="R14" s="19">
        <v>147.0</v>
      </c>
      <c r="S14" s="19">
        <v>122.0</v>
      </c>
      <c r="T14" s="19">
        <v>136.0</v>
      </c>
      <c r="U14" s="19">
        <v>125.0</v>
      </c>
      <c r="V14" s="19">
        <v>138.0</v>
      </c>
      <c r="W14" s="19">
        <v>128.0</v>
      </c>
      <c r="X14" s="19">
        <v>146.0</v>
      </c>
      <c r="Y14" s="19">
        <v>110.0</v>
      </c>
      <c r="Z14" s="19">
        <v>102.0</v>
      </c>
      <c r="AA14" s="19">
        <v>121.0</v>
      </c>
      <c r="AB14" s="19">
        <v>122.0</v>
      </c>
      <c r="AC14" s="19">
        <v>116.0</v>
      </c>
      <c r="AD14" s="19">
        <v>128.0</v>
      </c>
      <c r="AE14" s="19">
        <v>125.0</v>
      </c>
      <c r="AF14" s="19">
        <v>134.0</v>
      </c>
      <c r="AG14" s="19">
        <v>117.0</v>
      </c>
      <c r="AH14" s="19">
        <v>139.0</v>
      </c>
      <c r="AI14" s="19">
        <v>152.0</v>
      </c>
      <c r="AJ14" s="13">
        <f t="shared" ref="AJ14:AJ16" si="1">SUM(E14:AI14)</f>
        <v>4006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129.0</v>
      </c>
      <c r="G15" s="19">
        <v>144.0</v>
      </c>
      <c r="H15" s="19">
        <v>147.0</v>
      </c>
      <c r="I15" s="19">
        <v>116.0</v>
      </c>
      <c r="J15" s="19">
        <v>146.0</v>
      </c>
      <c r="K15" s="19">
        <v>131.0</v>
      </c>
      <c r="L15" s="19">
        <v>126.0</v>
      </c>
      <c r="M15" s="19">
        <v>158.0</v>
      </c>
      <c r="N15" s="19">
        <v>154.0</v>
      </c>
      <c r="O15" s="19">
        <v>126.0</v>
      </c>
      <c r="P15" s="19">
        <v>136.0</v>
      </c>
      <c r="Q15" s="19">
        <v>143.0</v>
      </c>
      <c r="R15" s="19">
        <v>144.0</v>
      </c>
      <c r="S15" s="19">
        <v>130.0</v>
      </c>
      <c r="T15" s="19">
        <v>135.0</v>
      </c>
      <c r="U15" s="19">
        <v>140.0</v>
      </c>
      <c r="V15" s="19">
        <v>122.0</v>
      </c>
      <c r="W15" s="19">
        <v>127.0</v>
      </c>
      <c r="X15" s="19">
        <v>148.0</v>
      </c>
      <c r="Y15" s="19">
        <v>108.0</v>
      </c>
      <c r="Z15" s="19">
        <v>100.0</v>
      </c>
      <c r="AA15" s="19">
        <v>121.0</v>
      </c>
      <c r="AB15" s="19">
        <v>114.0</v>
      </c>
      <c r="AC15" s="19">
        <v>131.0</v>
      </c>
      <c r="AD15" s="19">
        <v>147.0</v>
      </c>
      <c r="AE15" s="19">
        <v>133.0</v>
      </c>
      <c r="AF15" s="19">
        <v>156.0</v>
      </c>
      <c r="AG15" s="19">
        <v>113.0</v>
      </c>
      <c r="AH15" s="19">
        <v>146.0</v>
      </c>
      <c r="AI15" s="19">
        <v>140.0</v>
      </c>
      <c r="AJ15" s="13">
        <f t="shared" si="1"/>
        <v>4154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291</v>
      </c>
      <c r="F16" s="13">
        <f t="shared" si="2"/>
        <v>251</v>
      </c>
      <c r="G16" s="13">
        <f t="shared" si="2"/>
        <v>294</v>
      </c>
      <c r="H16" s="13">
        <f t="shared" si="2"/>
        <v>285</v>
      </c>
      <c r="I16" s="13">
        <f t="shared" si="2"/>
        <v>232</v>
      </c>
      <c r="J16" s="13">
        <f t="shared" si="2"/>
        <v>295</v>
      </c>
      <c r="K16" s="13">
        <f t="shared" si="2"/>
        <v>249</v>
      </c>
      <c r="L16" s="13">
        <f t="shared" si="2"/>
        <v>238</v>
      </c>
      <c r="M16" s="13">
        <f t="shared" si="2"/>
        <v>295</v>
      </c>
      <c r="N16" s="13">
        <f t="shared" si="2"/>
        <v>292</v>
      </c>
      <c r="O16" s="13">
        <f t="shared" si="2"/>
        <v>232</v>
      </c>
      <c r="P16" s="13">
        <f t="shared" si="2"/>
        <v>265</v>
      </c>
      <c r="Q16" s="13">
        <f t="shared" si="2"/>
        <v>278</v>
      </c>
      <c r="R16" s="13">
        <f t="shared" si="2"/>
        <v>291</v>
      </c>
      <c r="S16" s="13">
        <f t="shared" si="2"/>
        <v>252</v>
      </c>
      <c r="T16" s="13">
        <f t="shared" si="2"/>
        <v>271</v>
      </c>
      <c r="U16" s="13">
        <f t="shared" si="2"/>
        <v>265</v>
      </c>
      <c r="V16" s="13">
        <f t="shared" si="2"/>
        <v>260</v>
      </c>
      <c r="W16" s="13">
        <f t="shared" si="2"/>
        <v>255</v>
      </c>
      <c r="X16" s="13">
        <f t="shared" si="2"/>
        <v>294</v>
      </c>
      <c r="Y16" s="13">
        <f t="shared" si="2"/>
        <v>218</v>
      </c>
      <c r="Z16" s="13">
        <f t="shared" si="2"/>
        <v>202</v>
      </c>
      <c r="AA16" s="13">
        <f t="shared" si="2"/>
        <v>242</v>
      </c>
      <c r="AB16" s="13">
        <f t="shared" si="2"/>
        <v>236</v>
      </c>
      <c r="AC16" s="13">
        <f t="shared" si="2"/>
        <v>247</v>
      </c>
      <c r="AD16" s="13">
        <f t="shared" si="2"/>
        <v>275</v>
      </c>
      <c r="AE16" s="13">
        <f t="shared" si="2"/>
        <v>258</v>
      </c>
      <c r="AF16" s="13">
        <f t="shared" si="2"/>
        <v>290</v>
      </c>
      <c r="AG16" s="13">
        <f t="shared" si="2"/>
        <v>230</v>
      </c>
      <c r="AH16" s="13">
        <f t="shared" si="2"/>
        <v>285</v>
      </c>
      <c r="AI16" s="13">
        <f t="shared" si="2"/>
        <v>292</v>
      </c>
      <c r="AJ16" s="13">
        <f t="shared" si="1"/>
        <v>8160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89.0</v>
      </c>
      <c r="G19" s="19">
        <v>114.0</v>
      </c>
      <c r="H19" s="19">
        <v>97.0</v>
      </c>
      <c r="I19" s="19">
        <v>90.0</v>
      </c>
      <c r="J19" s="19">
        <v>113.0</v>
      </c>
      <c r="K19" s="19">
        <v>84.0</v>
      </c>
      <c r="L19" s="19">
        <v>68.0</v>
      </c>
      <c r="M19" s="19">
        <v>105.0</v>
      </c>
      <c r="N19" s="19">
        <v>100.0</v>
      </c>
      <c r="O19" s="19">
        <v>84.0</v>
      </c>
      <c r="P19" s="19">
        <v>103.0</v>
      </c>
      <c r="Q19" s="19">
        <v>103.0</v>
      </c>
      <c r="R19" s="19">
        <v>112.0</v>
      </c>
      <c r="S19" s="19">
        <v>91.0</v>
      </c>
      <c r="T19" s="19">
        <v>105.0</v>
      </c>
      <c r="U19" s="19">
        <v>84.0</v>
      </c>
      <c r="V19" s="19">
        <v>99.0</v>
      </c>
      <c r="W19" s="19">
        <v>94.0</v>
      </c>
      <c r="X19" s="19">
        <v>98.0</v>
      </c>
      <c r="Y19" s="19">
        <v>87.0</v>
      </c>
      <c r="Z19" s="19">
        <v>82.0</v>
      </c>
      <c r="AA19" s="19">
        <v>86.0</v>
      </c>
      <c r="AB19" s="19">
        <v>84.0</v>
      </c>
      <c r="AC19" s="19">
        <v>80.0</v>
      </c>
      <c r="AD19" s="19">
        <v>84.0</v>
      </c>
      <c r="AE19" s="19">
        <v>94.0</v>
      </c>
      <c r="AF19" s="19">
        <v>95.0</v>
      </c>
      <c r="AG19" s="19">
        <v>95.0</v>
      </c>
      <c r="AH19" s="19">
        <v>107.0</v>
      </c>
      <c r="AI19" s="19">
        <v>116.0</v>
      </c>
      <c r="AJ19" s="13">
        <f t="shared" ref="AJ19:AJ30" si="3">SUM(E19:AI19)</f>
        <v>2953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107.0</v>
      </c>
      <c r="G20" s="19">
        <v>117.0</v>
      </c>
      <c r="H20" s="19">
        <v>118.0</v>
      </c>
      <c r="I20" s="19">
        <v>95.0</v>
      </c>
      <c r="J20" s="19">
        <v>117.0</v>
      </c>
      <c r="K20" s="19">
        <v>93.0</v>
      </c>
      <c r="L20" s="19">
        <v>97.0</v>
      </c>
      <c r="M20" s="19">
        <v>124.0</v>
      </c>
      <c r="N20" s="19">
        <v>113.0</v>
      </c>
      <c r="O20" s="19">
        <v>101.0</v>
      </c>
      <c r="P20" s="19">
        <v>110.0</v>
      </c>
      <c r="Q20" s="19">
        <v>111.0</v>
      </c>
      <c r="R20" s="19">
        <v>121.0</v>
      </c>
      <c r="S20" s="19">
        <v>108.0</v>
      </c>
      <c r="T20" s="19">
        <v>99.0</v>
      </c>
      <c r="U20" s="19">
        <v>99.0</v>
      </c>
      <c r="V20" s="19">
        <v>98.0</v>
      </c>
      <c r="W20" s="19">
        <v>97.0</v>
      </c>
      <c r="X20" s="19">
        <v>117.0</v>
      </c>
      <c r="Y20" s="19">
        <v>92.0</v>
      </c>
      <c r="Z20" s="19">
        <v>83.0</v>
      </c>
      <c r="AA20" s="19">
        <v>101.0</v>
      </c>
      <c r="AB20" s="19">
        <v>86.0</v>
      </c>
      <c r="AC20" s="19">
        <v>99.0</v>
      </c>
      <c r="AD20" s="19">
        <v>105.0</v>
      </c>
      <c r="AE20" s="19">
        <v>104.0</v>
      </c>
      <c r="AF20" s="19">
        <v>118.0</v>
      </c>
      <c r="AG20" s="19">
        <v>89.0</v>
      </c>
      <c r="AH20" s="19">
        <v>119.0</v>
      </c>
      <c r="AI20" s="19">
        <v>127.0</v>
      </c>
      <c r="AJ20" s="13">
        <f t="shared" si="3"/>
        <v>3276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221</v>
      </c>
      <c r="F21" s="13">
        <f t="shared" si="4"/>
        <v>196</v>
      </c>
      <c r="G21" s="13">
        <f t="shared" si="4"/>
        <v>231</v>
      </c>
      <c r="H21" s="13">
        <f t="shared" si="4"/>
        <v>215</v>
      </c>
      <c r="I21" s="13">
        <f t="shared" si="4"/>
        <v>185</v>
      </c>
      <c r="J21" s="13">
        <f t="shared" si="4"/>
        <v>230</v>
      </c>
      <c r="K21" s="13">
        <f t="shared" si="4"/>
        <v>177</v>
      </c>
      <c r="L21" s="13">
        <f t="shared" si="4"/>
        <v>165</v>
      </c>
      <c r="M21" s="13">
        <f t="shared" si="4"/>
        <v>229</v>
      </c>
      <c r="N21" s="13">
        <f t="shared" si="4"/>
        <v>213</v>
      </c>
      <c r="O21" s="13">
        <f t="shared" si="4"/>
        <v>185</v>
      </c>
      <c r="P21" s="13">
        <f t="shared" si="4"/>
        <v>213</v>
      </c>
      <c r="Q21" s="13">
        <f t="shared" si="4"/>
        <v>214</v>
      </c>
      <c r="R21" s="13">
        <f t="shared" si="4"/>
        <v>233</v>
      </c>
      <c r="S21" s="13">
        <f t="shared" si="4"/>
        <v>199</v>
      </c>
      <c r="T21" s="13">
        <f t="shared" si="4"/>
        <v>204</v>
      </c>
      <c r="U21" s="13">
        <f t="shared" si="4"/>
        <v>183</v>
      </c>
      <c r="V21" s="13">
        <f t="shared" si="4"/>
        <v>197</v>
      </c>
      <c r="W21" s="13">
        <f t="shared" si="4"/>
        <v>191</v>
      </c>
      <c r="X21" s="13">
        <f t="shared" si="4"/>
        <v>215</v>
      </c>
      <c r="Y21" s="13">
        <f t="shared" si="4"/>
        <v>179</v>
      </c>
      <c r="Z21" s="13">
        <f t="shared" si="4"/>
        <v>165</v>
      </c>
      <c r="AA21" s="13">
        <f t="shared" si="4"/>
        <v>187</v>
      </c>
      <c r="AB21" s="13">
        <f t="shared" si="4"/>
        <v>170</v>
      </c>
      <c r="AC21" s="13">
        <f t="shared" si="4"/>
        <v>179</v>
      </c>
      <c r="AD21" s="13">
        <f t="shared" si="4"/>
        <v>189</v>
      </c>
      <c r="AE21" s="13">
        <f t="shared" si="4"/>
        <v>198</v>
      </c>
      <c r="AF21" s="13">
        <f t="shared" si="4"/>
        <v>213</v>
      </c>
      <c r="AG21" s="13">
        <f t="shared" si="4"/>
        <v>184</v>
      </c>
      <c r="AH21" s="13">
        <f t="shared" si="4"/>
        <v>226</v>
      </c>
      <c r="AI21" s="13">
        <f t="shared" si="4"/>
        <v>243</v>
      </c>
      <c r="AJ21" s="13">
        <f t="shared" si="3"/>
        <v>6229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>
        <v>1.0</v>
      </c>
      <c r="L22" s="19">
        <v>1.0</v>
      </c>
      <c r="M22" s="19"/>
      <c r="N22" s="19"/>
      <c r="O22" s="19">
        <v>1.0</v>
      </c>
      <c r="P22" s="19"/>
      <c r="Q22" s="19"/>
      <c r="R22" s="19"/>
      <c r="S22" s="19">
        <v>1.0</v>
      </c>
      <c r="T22" s="19">
        <v>1.0</v>
      </c>
      <c r="U22" s="19"/>
      <c r="V22" s="19"/>
      <c r="W22" s="19"/>
      <c r="X22" s="19">
        <v>1.0</v>
      </c>
      <c r="Y22" s="19"/>
      <c r="Z22" s="19"/>
      <c r="AA22" s="19">
        <v>1.0</v>
      </c>
      <c r="AB22" s="19">
        <v>1.0</v>
      </c>
      <c r="AC22" s="19">
        <v>1.0</v>
      </c>
      <c r="AD22" s="19">
        <v>2.0</v>
      </c>
      <c r="AE22" s="19">
        <v>1.0</v>
      </c>
      <c r="AF22" s="19"/>
      <c r="AG22" s="19"/>
      <c r="AH22" s="19">
        <v>1.0</v>
      </c>
      <c r="AI22" s="19">
        <v>1.0</v>
      </c>
      <c r="AJ22" s="13">
        <f t="shared" si="3"/>
        <v>15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/>
      <c r="G23" s="19"/>
      <c r="H23" s="19"/>
      <c r="I23" s="19"/>
      <c r="J23" s="19"/>
      <c r="K23" s="19"/>
      <c r="L23" s="19">
        <v>1.0</v>
      </c>
      <c r="M23" s="19"/>
      <c r="N23" s="19">
        <v>1.0</v>
      </c>
      <c r="O23" s="19"/>
      <c r="P23" s="19"/>
      <c r="Q23" s="19"/>
      <c r="R23" s="19"/>
      <c r="S23" s="19"/>
      <c r="T23" s="19">
        <v>2.0</v>
      </c>
      <c r="U23" s="19"/>
      <c r="V23" s="19">
        <v>1.0</v>
      </c>
      <c r="W23" s="19">
        <v>1.0</v>
      </c>
      <c r="X23" s="19"/>
      <c r="Y23" s="19">
        <v>1.0</v>
      </c>
      <c r="Z23" s="19">
        <v>1.0</v>
      </c>
      <c r="AA23" s="19"/>
      <c r="AB23" s="19"/>
      <c r="AC23" s="19"/>
      <c r="AD23" s="19">
        <v>1.0</v>
      </c>
      <c r="AE23" s="19"/>
      <c r="AF23" s="19">
        <v>1.0</v>
      </c>
      <c r="AG23" s="19">
        <v>1.0</v>
      </c>
      <c r="AH23" s="19"/>
      <c r="AI23" s="19"/>
      <c r="AJ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3</v>
      </c>
      <c r="U24" s="13">
        <f t="shared" si="5"/>
        <v>0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3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3"/>
        <v>27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7.0</v>
      </c>
      <c r="K25" s="19">
        <v>1.0</v>
      </c>
      <c r="L25" s="19"/>
      <c r="M25" s="19"/>
      <c r="N25" s="19"/>
      <c r="O25" s="19">
        <v>1.0</v>
      </c>
      <c r="P25" s="19"/>
      <c r="Q25" s="19">
        <v>2.0</v>
      </c>
      <c r="R25" s="19"/>
      <c r="S25" s="19">
        <v>2.0</v>
      </c>
      <c r="T25" s="19">
        <v>1.0</v>
      </c>
      <c r="U25" s="19">
        <v>1.0</v>
      </c>
      <c r="V25" s="19"/>
      <c r="W25" s="19">
        <v>1.0</v>
      </c>
      <c r="X25" s="19"/>
      <c r="Y25" s="19"/>
      <c r="Z25" s="19"/>
      <c r="AA25" s="19"/>
      <c r="AB25" s="19"/>
      <c r="AC25" s="19"/>
      <c r="AD25" s="19">
        <v>1.0</v>
      </c>
      <c r="AE25" s="19"/>
      <c r="AF25" s="19">
        <v>2.0</v>
      </c>
      <c r="AG25" s="19"/>
      <c r="AH25" s="19"/>
      <c r="AI25" s="19"/>
      <c r="AJ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>
        <v>1.0</v>
      </c>
      <c r="I26" s="19"/>
      <c r="J26" s="19">
        <v>5.0</v>
      </c>
      <c r="K26" s="19">
        <v>2.0</v>
      </c>
      <c r="L26" s="19"/>
      <c r="M26" s="19"/>
      <c r="N26" s="19"/>
      <c r="O26" s="19">
        <v>1.0</v>
      </c>
      <c r="P26" s="19"/>
      <c r="Q26" s="19">
        <v>4.0</v>
      </c>
      <c r="R26" s="19"/>
      <c r="S26" s="19">
        <v>5.0</v>
      </c>
      <c r="T26" s="19">
        <v>2.0</v>
      </c>
      <c r="U26" s="19">
        <v>1.0</v>
      </c>
      <c r="V26" s="19"/>
      <c r="W26" s="19">
        <v>2.0</v>
      </c>
      <c r="X26" s="19"/>
      <c r="Y26" s="19"/>
      <c r="Z26" s="19"/>
      <c r="AA26" s="19">
        <v>1.0</v>
      </c>
      <c r="AB26" s="19"/>
      <c r="AC26" s="19"/>
      <c r="AD26" s="19"/>
      <c r="AE26" s="19">
        <v>1.0</v>
      </c>
      <c r="AF26" s="19">
        <v>1.0</v>
      </c>
      <c r="AG26" s="19"/>
      <c r="AH26" s="19"/>
      <c r="AI26" s="19"/>
      <c r="AJ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12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6</v>
      </c>
      <c r="R27" s="13">
        <f t="shared" si="6"/>
        <v>0</v>
      </c>
      <c r="S27" s="13">
        <f t="shared" si="6"/>
        <v>7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1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3"/>
        <v>48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110</v>
      </c>
      <c r="F28" s="13">
        <f t="shared" si="7"/>
        <v>91</v>
      </c>
      <c r="G28" s="13">
        <f t="shared" si="7"/>
        <v>114</v>
      </c>
      <c r="H28" s="13">
        <f t="shared" si="7"/>
        <v>98</v>
      </c>
      <c r="I28" s="13">
        <f t="shared" si="7"/>
        <v>91</v>
      </c>
      <c r="J28" s="13">
        <f t="shared" si="7"/>
        <v>120</v>
      </c>
      <c r="K28" s="13">
        <f t="shared" si="7"/>
        <v>86</v>
      </c>
      <c r="L28" s="13">
        <f t="shared" si="7"/>
        <v>69</v>
      </c>
      <c r="M28" s="13">
        <f t="shared" si="7"/>
        <v>105</v>
      </c>
      <c r="N28" s="13">
        <f t="shared" si="7"/>
        <v>100</v>
      </c>
      <c r="O28" s="13">
        <f t="shared" si="7"/>
        <v>86</v>
      </c>
      <c r="P28" s="13">
        <f t="shared" si="7"/>
        <v>103</v>
      </c>
      <c r="Q28" s="13">
        <f t="shared" si="7"/>
        <v>105</v>
      </c>
      <c r="R28" s="13">
        <f t="shared" si="7"/>
        <v>112</v>
      </c>
      <c r="S28" s="13">
        <f t="shared" si="7"/>
        <v>94</v>
      </c>
      <c r="T28" s="13">
        <f t="shared" si="7"/>
        <v>107</v>
      </c>
      <c r="U28" s="13">
        <f t="shared" si="7"/>
        <v>85</v>
      </c>
      <c r="V28" s="13">
        <f t="shared" si="7"/>
        <v>99</v>
      </c>
      <c r="W28" s="13">
        <f t="shared" si="7"/>
        <v>95</v>
      </c>
      <c r="X28" s="13">
        <f t="shared" si="7"/>
        <v>99</v>
      </c>
      <c r="Y28" s="13">
        <f t="shared" si="7"/>
        <v>87</v>
      </c>
      <c r="Z28" s="13">
        <f t="shared" si="7"/>
        <v>82</v>
      </c>
      <c r="AA28" s="13">
        <f t="shared" si="7"/>
        <v>87</v>
      </c>
      <c r="AB28" s="13">
        <f t="shared" si="7"/>
        <v>85</v>
      </c>
      <c r="AC28" s="13">
        <f t="shared" si="7"/>
        <v>81</v>
      </c>
      <c r="AD28" s="13">
        <f t="shared" si="7"/>
        <v>87</v>
      </c>
      <c r="AE28" s="13">
        <f t="shared" si="7"/>
        <v>95</v>
      </c>
      <c r="AF28" s="13">
        <f t="shared" si="7"/>
        <v>97</v>
      </c>
      <c r="AG28" s="13">
        <f t="shared" si="7"/>
        <v>95</v>
      </c>
      <c r="AH28" s="13">
        <f t="shared" si="7"/>
        <v>108</v>
      </c>
      <c r="AI28" s="13">
        <f t="shared" si="7"/>
        <v>117</v>
      </c>
      <c r="AJ28" s="13">
        <f t="shared" si="3"/>
        <v>2990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112</v>
      </c>
      <c r="F29" s="13">
        <f t="shared" si="8"/>
        <v>107</v>
      </c>
      <c r="G29" s="13">
        <f t="shared" si="8"/>
        <v>117</v>
      </c>
      <c r="H29" s="13">
        <f t="shared" si="8"/>
        <v>119</v>
      </c>
      <c r="I29" s="13">
        <f t="shared" si="8"/>
        <v>95</v>
      </c>
      <c r="J29" s="13">
        <f t="shared" si="8"/>
        <v>122</v>
      </c>
      <c r="K29" s="13">
        <f t="shared" si="8"/>
        <v>95</v>
      </c>
      <c r="L29" s="13">
        <f t="shared" si="8"/>
        <v>98</v>
      </c>
      <c r="M29" s="13">
        <f t="shared" si="8"/>
        <v>124</v>
      </c>
      <c r="N29" s="13">
        <f t="shared" si="8"/>
        <v>114</v>
      </c>
      <c r="O29" s="13">
        <f t="shared" si="8"/>
        <v>102</v>
      </c>
      <c r="P29" s="13">
        <f t="shared" si="8"/>
        <v>110</v>
      </c>
      <c r="Q29" s="13">
        <f t="shared" si="8"/>
        <v>115</v>
      </c>
      <c r="R29" s="13">
        <f t="shared" si="8"/>
        <v>121</v>
      </c>
      <c r="S29" s="13">
        <f t="shared" si="8"/>
        <v>113</v>
      </c>
      <c r="T29" s="13">
        <f t="shared" si="8"/>
        <v>103</v>
      </c>
      <c r="U29" s="13">
        <f t="shared" si="8"/>
        <v>100</v>
      </c>
      <c r="V29" s="13">
        <f t="shared" si="8"/>
        <v>99</v>
      </c>
      <c r="W29" s="13">
        <f t="shared" si="8"/>
        <v>100</v>
      </c>
      <c r="X29" s="13">
        <f t="shared" si="8"/>
        <v>117</v>
      </c>
      <c r="Y29" s="13">
        <f t="shared" si="8"/>
        <v>93</v>
      </c>
      <c r="Z29" s="13">
        <f t="shared" si="8"/>
        <v>84</v>
      </c>
      <c r="AA29" s="13">
        <f t="shared" si="8"/>
        <v>102</v>
      </c>
      <c r="AB29" s="13">
        <f t="shared" si="8"/>
        <v>86</v>
      </c>
      <c r="AC29" s="13">
        <f t="shared" si="8"/>
        <v>99</v>
      </c>
      <c r="AD29" s="13">
        <f t="shared" si="8"/>
        <v>106</v>
      </c>
      <c r="AE29" s="13">
        <f t="shared" si="8"/>
        <v>105</v>
      </c>
      <c r="AF29" s="13">
        <f t="shared" si="8"/>
        <v>120</v>
      </c>
      <c r="AG29" s="13">
        <f t="shared" si="8"/>
        <v>90</v>
      </c>
      <c r="AH29" s="13">
        <f t="shared" si="8"/>
        <v>119</v>
      </c>
      <c r="AI29" s="13">
        <f t="shared" si="8"/>
        <v>127</v>
      </c>
      <c r="AJ29" s="13">
        <f t="shared" si="3"/>
        <v>3314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222</v>
      </c>
      <c r="F30" s="13">
        <f t="shared" si="9"/>
        <v>198</v>
      </c>
      <c r="G30" s="13">
        <f t="shared" si="9"/>
        <v>231</v>
      </c>
      <c r="H30" s="13">
        <f t="shared" si="9"/>
        <v>217</v>
      </c>
      <c r="I30" s="13">
        <f t="shared" si="9"/>
        <v>186</v>
      </c>
      <c r="J30" s="13">
        <f t="shared" si="9"/>
        <v>242</v>
      </c>
      <c r="K30" s="13">
        <f t="shared" si="9"/>
        <v>181</v>
      </c>
      <c r="L30" s="13">
        <f t="shared" si="9"/>
        <v>167</v>
      </c>
      <c r="M30" s="13">
        <f t="shared" si="9"/>
        <v>229</v>
      </c>
      <c r="N30" s="13">
        <f t="shared" si="9"/>
        <v>214</v>
      </c>
      <c r="O30" s="13">
        <f t="shared" si="9"/>
        <v>188</v>
      </c>
      <c r="P30" s="13">
        <f t="shared" si="9"/>
        <v>213</v>
      </c>
      <c r="Q30" s="13">
        <f t="shared" si="9"/>
        <v>220</v>
      </c>
      <c r="R30" s="13">
        <f t="shared" si="9"/>
        <v>233</v>
      </c>
      <c r="S30" s="13">
        <f t="shared" si="9"/>
        <v>207</v>
      </c>
      <c r="T30" s="13">
        <f t="shared" si="9"/>
        <v>210</v>
      </c>
      <c r="U30" s="13">
        <f t="shared" si="9"/>
        <v>185</v>
      </c>
      <c r="V30" s="13">
        <f t="shared" si="9"/>
        <v>198</v>
      </c>
      <c r="W30" s="13">
        <f t="shared" si="9"/>
        <v>195</v>
      </c>
      <c r="X30" s="13">
        <f t="shared" si="9"/>
        <v>216</v>
      </c>
      <c r="Y30" s="13">
        <f t="shared" si="9"/>
        <v>180</v>
      </c>
      <c r="Z30" s="13">
        <f t="shared" si="9"/>
        <v>166</v>
      </c>
      <c r="AA30" s="13">
        <f t="shared" si="9"/>
        <v>189</v>
      </c>
      <c r="AB30" s="13">
        <f t="shared" si="9"/>
        <v>171</v>
      </c>
      <c r="AC30" s="13">
        <f t="shared" si="9"/>
        <v>180</v>
      </c>
      <c r="AD30" s="13">
        <f t="shared" si="9"/>
        <v>193</v>
      </c>
      <c r="AE30" s="13">
        <f t="shared" si="9"/>
        <v>200</v>
      </c>
      <c r="AF30" s="13">
        <f t="shared" si="9"/>
        <v>217</v>
      </c>
      <c r="AG30" s="13">
        <f t="shared" si="9"/>
        <v>185</v>
      </c>
      <c r="AH30" s="13">
        <f t="shared" si="9"/>
        <v>227</v>
      </c>
      <c r="AI30" s="13">
        <f t="shared" si="9"/>
        <v>244</v>
      </c>
      <c r="AJ30" s="13">
        <f t="shared" si="3"/>
        <v>6304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68"/>
    </row>
    <row r="33" ht="12.75" customHeight="1">
      <c r="A33" s="19">
        <v>1.0</v>
      </c>
      <c r="B33" s="20" t="s">
        <v>27</v>
      </c>
      <c r="C33" s="15"/>
      <c r="D33" s="16"/>
      <c r="E33" s="19">
        <v>298.0</v>
      </c>
      <c r="F33" s="19">
        <v>257.0</v>
      </c>
      <c r="G33" s="19">
        <v>300.0</v>
      </c>
      <c r="H33" s="19">
        <v>291.0</v>
      </c>
      <c r="I33" s="19">
        <v>237.0</v>
      </c>
      <c r="J33" s="19">
        <v>300.0</v>
      </c>
      <c r="K33" s="19">
        <v>254.0</v>
      </c>
      <c r="L33" s="19">
        <v>243.0</v>
      </c>
      <c r="M33" s="19">
        <v>300.0</v>
      </c>
      <c r="N33" s="19">
        <v>298.0</v>
      </c>
      <c r="O33" s="19">
        <v>237.0</v>
      </c>
      <c r="P33" s="19">
        <v>271.0</v>
      </c>
      <c r="Q33" s="19">
        <v>284.0</v>
      </c>
      <c r="R33" s="19">
        <v>297.0</v>
      </c>
      <c r="S33" s="19">
        <v>258.0</v>
      </c>
      <c r="T33" s="19">
        <v>276.0</v>
      </c>
      <c r="U33" s="19">
        <v>272.0</v>
      </c>
      <c r="V33" s="19">
        <v>269.0</v>
      </c>
      <c r="W33" s="19">
        <v>261.0</v>
      </c>
      <c r="X33" s="19">
        <v>298.0</v>
      </c>
      <c r="Y33" s="19">
        <v>223.0</v>
      </c>
      <c r="Z33" s="19">
        <v>207.0</v>
      </c>
      <c r="AA33" s="19">
        <v>247.0</v>
      </c>
      <c r="AB33" s="19">
        <v>241.0</v>
      </c>
      <c r="AC33" s="19">
        <v>252.0</v>
      </c>
      <c r="AD33" s="19">
        <v>281.0</v>
      </c>
      <c r="AE33" s="19">
        <v>264.0</v>
      </c>
      <c r="AF33" s="19">
        <v>296.0</v>
      </c>
      <c r="AG33" s="19">
        <v>235.0</v>
      </c>
      <c r="AH33" s="19">
        <v>310.0</v>
      </c>
      <c r="AI33" s="19">
        <v>299.0</v>
      </c>
      <c r="AJ33" s="13">
        <f t="shared" ref="AJ33:AJ36" si="10">SUM(E33:AI33)</f>
        <v>8356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198.0</v>
      </c>
      <c r="G34" s="13">
        <v>231.0</v>
      </c>
      <c r="H34" s="13">
        <v>217.0</v>
      </c>
      <c r="I34" s="13">
        <v>186.0</v>
      </c>
      <c r="J34" s="13">
        <v>242.0</v>
      </c>
      <c r="K34" s="13">
        <v>181.0</v>
      </c>
      <c r="L34" s="13">
        <v>167.0</v>
      </c>
      <c r="M34" s="13">
        <v>229.0</v>
      </c>
      <c r="N34" s="13">
        <v>214.0</v>
      </c>
      <c r="O34" s="13">
        <v>188.0</v>
      </c>
      <c r="P34" s="13">
        <v>213.0</v>
      </c>
      <c r="Q34" s="13">
        <v>220.0</v>
      </c>
      <c r="R34" s="13">
        <v>233.0</v>
      </c>
      <c r="S34" s="13">
        <v>207.0</v>
      </c>
      <c r="T34" s="13">
        <v>210.0</v>
      </c>
      <c r="U34" s="13">
        <v>185.0</v>
      </c>
      <c r="V34" s="13">
        <v>198.0</v>
      </c>
      <c r="W34" s="13">
        <v>195.0</v>
      </c>
      <c r="X34" s="13">
        <v>216.0</v>
      </c>
      <c r="Y34" s="13">
        <v>180.0</v>
      </c>
      <c r="Z34" s="13">
        <v>166.0</v>
      </c>
      <c r="AA34" s="13">
        <v>189.0</v>
      </c>
      <c r="AB34" s="13">
        <v>171.0</v>
      </c>
      <c r="AC34" s="13">
        <v>180.0</v>
      </c>
      <c r="AD34" s="13">
        <v>193.0</v>
      </c>
      <c r="AE34" s="13">
        <v>200.0</v>
      </c>
      <c r="AF34" s="13">
        <v>217.0</v>
      </c>
      <c r="AG34" s="13">
        <v>185.0</v>
      </c>
      <c r="AH34" s="13">
        <v>227.0</v>
      </c>
      <c r="AI34" s="13">
        <v>244.0</v>
      </c>
      <c r="AJ34" s="13">
        <f t="shared" si="10"/>
        <v>6304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>
        <v>1.0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>
        <v>1.0</v>
      </c>
      <c r="AG35" s="19"/>
      <c r="AH35" s="19"/>
      <c r="AI35" s="19"/>
      <c r="AJ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76</v>
      </c>
      <c r="F36" s="13">
        <f t="shared" si="11"/>
        <v>59</v>
      </c>
      <c r="G36" s="13">
        <f t="shared" si="11"/>
        <v>69</v>
      </c>
      <c r="H36" s="13">
        <f t="shared" si="11"/>
        <v>74</v>
      </c>
      <c r="I36" s="13">
        <f t="shared" si="11"/>
        <v>51</v>
      </c>
      <c r="J36" s="13">
        <f t="shared" si="11"/>
        <v>57</v>
      </c>
      <c r="K36" s="13">
        <f t="shared" si="11"/>
        <v>73</v>
      </c>
      <c r="L36" s="13">
        <f t="shared" si="11"/>
        <v>76</v>
      </c>
      <c r="M36" s="13">
        <f t="shared" si="11"/>
        <v>71</v>
      </c>
      <c r="N36" s="13">
        <f t="shared" si="11"/>
        <v>84</v>
      </c>
      <c r="O36" s="13">
        <f t="shared" si="11"/>
        <v>49</v>
      </c>
      <c r="P36" s="13">
        <f t="shared" si="11"/>
        <v>58</v>
      </c>
      <c r="Q36" s="13">
        <f t="shared" si="11"/>
        <v>64</v>
      </c>
      <c r="R36" s="13">
        <f t="shared" si="11"/>
        <v>64</v>
      </c>
      <c r="S36" s="13">
        <f t="shared" si="11"/>
        <v>51</v>
      </c>
      <c r="T36" s="13">
        <f t="shared" si="11"/>
        <v>66</v>
      </c>
      <c r="U36" s="13">
        <f t="shared" si="11"/>
        <v>87</v>
      </c>
      <c r="V36" s="13">
        <f t="shared" si="11"/>
        <v>71</v>
      </c>
      <c r="W36" s="13">
        <f t="shared" si="11"/>
        <v>66</v>
      </c>
      <c r="X36" s="13">
        <f t="shared" si="11"/>
        <v>82</v>
      </c>
      <c r="Y36" s="13">
        <f t="shared" si="11"/>
        <v>43</v>
      </c>
      <c r="Z36" s="13">
        <f t="shared" si="11"/>
        <v>41</v>
      </c>
      <c r="AA36" s="13">
        <f t="shared" si="11"/>
        <v>58</v>
      </c>
      <c r="AB36" s="13">
        <f t="shared" si="11"/>
        <v>70</v>
      </c>
      <c r="AC36" s="13">
        <f t="shared" si="11"/>
        <v>72</v>
      </c>
      <c r="AD36" s="13">
        <f t="shared" si="11"/>
        <v>88</v>
      </c>
      <c r="AE36" s="13">
        <f t="shared" si="11"/>
        <v>64</v>
      </c>
      <c r="AF36" s="13">
        <f t="shared" si="11"/>
        <v>78</v>
      </c>
      <c r="AG36" s="13">
        <f t="shared" si="11"/>
        <v>50</v>
      </c>
      <c r="AH36" s="13">
        <f t="shared" si="11"/>
        <v>83</v>
      </c>
      <c r="AI36" s="13">
        <f t="shared" si="11"/>
        <v>55</v>
      </c>
      <c r="AJ36" s="13">
        <f t="shared" si="10"/>
        <v>2050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2.0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1.0</v>
      </c>
      <c r="M40" s="19"/>
      <c r="N40" s="19">
        <v>6.0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8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5.0</v>
      </c>
      <c r="G45" s="19">
        <v>3.0</v>
      </c>
      <c r="H45" s="19">
        <v>3.0</v>
      </c>
      <c r="I45" s="19">
        <v>2.0</v>
      </c>
      <c r="J45" s="19">
        <v>14.0</v>
      </c>
      <c r="K45" s="19">
        <v>4.0</v>
      </c>
      <c r="L45" s="19">
        <v>2.0</v>
      </c>
      <c r="M45" s="19">
        <v>4.0</v>
      </c>
      <c r="N45" s="19">
        <v>1.0</v>
      </c>
      <c r="O45" s="19">
        <v>2.0</v>
      </c>
      <c r="P45" s="19">
        <v>3.0</v>
      </c>
      <c r="Q45" s="19">
        <v>3.0</v>
      </c>
      <c r="R45" s="19">
        <v>3.0</v>
      </c>
      <c r="S45" s="19">
        <v>6.0</v>
      </c>
      <c r="T45" s="19">
        <v>1.0</v>
      </c>
      <c r="U45" s="19">
        <v>4.0</v>
      </c>
      <c r="V45" s="19">
        <v>2.0</v>
      </c>
      <c r="W45" s="19">
        <v>4.0</v>
      </c>
      <c r="X45" s="19">
        <v>6.0</v>
      </c>
      <c r="Y45" s="19">
        <v>6.0</v>
      </c>
      <c r="Z45" s="19">
        <v>4.0</v>
      </c>
      <c r="AA45" s="19">
        <v>6.0</v>
      </c>
      <c r="AB45" s="19">
        <v>14.0</v>
      </c>
      <c r="AC45" s="19">
        <v>5.0</v>
      </c>
      <c r="AD45" s="19">
        <v>6.0</v>
      </c>
      <c r="AE45" s="19">
        <v>2.0</v>
      </c>
      <c r="AF45" s="19">
        <v>2.0</v>
      </c>
      <c r="AG45" s="19">
        <v>1.0</v>
      </c>
      <c r="AH45" s="19">
        <v>2.0</v>
      </c>
      <c r="AI45" s="19">
        <v>7.0</v>
      </c>
      <c r="AJ45" s="13">
        <f t="shared" ref="AJ45:AJ55" si="14">SUM(E45:AI45)</f>
        <v>136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14.0</v>
      </c>
      <c r="F46" s="19">
        <v>13.0</v>
      </c>
      <c r="G46" s="19">
        <v>10.0</v>
      </c>
      <c r="H46" s="19">
        <v>13.0</v>
      </c>
      <c r="I46" s="19">
        <v>13.0</v>
      </c>
      <c r="J46" s="19">
        <v>33.0</v>
      </c>
      <c r="K46" s="19">
        <v>7.0</v>
      </c>
      <c r="L46" s="19">
        <v>4.0</v>
      </c>
      <c r="M46" s="19">
        <v>13.0</v>
      </c>
      <c r="N46" s="19">
        <v>7.0</v>
      </c>
      <c r="O46" s="19">
        <v>14.0</v>
      </c>
      <c r="P46" s="19">
        <v>16.0</v>
      </c>
      <c r="Q46" s="19">
        <v>12.0</v>
      </c>
      <c r="R46" s="19">
        <v>21.0</v>
      </c>
      <c r="S46" s="19">
        <v>17.0</v>
      </c>
      <c r="T46" s="19">
        <v>5.0</v>
      </c>
      <c r="U46" s="19">
        <v>5.0</v>
      </c>
      <c r="V46" s="19">
        <v>6.0</v>
      </c>
      <c r="W46" s="19">
        <v>10.0</v>
      </c>
      <c r="X46" s="19">
        <v>32.0</v>
      </c>
      <c r="Y46" s="19">
        <v>24.0</v>
      </c>
      <c r="Z46" s="19">
        <v>10.0</v>
      </c>
      <c r="AA46" s="19">
        <v>25.0</v>
      </c>
      <c r="AB46" s="19">
        <v>52.0</v>
      </c>
      <c r="AC46" s="19">
        <v>10.0</v>
      </c>
      <c r="AD46" s="19">
        <v>14.0</v>
      </c>
      <c r="AE46" s="19">
        <v>4.0</v>
      </c>
      <c r="AF46" s="19">
        <v>8.0</v>
      </c>
      <c r="AG46" s="19">
        <v>12.0</v>
      </c>
      <c r="AH46" s="19">
        <v>8.0</v>
      </c>
      <c r="AI46" s="19">
        <v>9.0</v>
      </c>
      <c r="AJ46" s="13">
        <f t="shared" si="14"/>
        <v>441</v>
      </c>
    </row>
    <row r="47" ht="12.75" customHeight="1">
      <c r="A47" s="18"/>
      <c r="B47" s="55">
        <v>2.0</v>
      </c>
      <c r="C47" s="50" t="s">
        <v>41</v>
      </c>
      <c r="D47" s="16"/>
      <c r="E47" s="19">
        <v>5.0</v>
      </c>
      <c r="F47" s="19">
        <v>4.0</v>
      </c>
      <c r="G47" s="19">
        <v>1.0</v>
      </c>
      <c r="H47" s="19">
        <v>2.0</v>
      </c>
      <c r="I47" s="19">
        <v>2.0</v>
      </c>
      <c r="J47" s="19">
        <v>2.0</v>
      </c>
      <c r="K47" s="19">
        <v>2.0</v>
      </c>
      <c r="L47" s="19">
        <v>1.0</v>
      </c>
      <c r="M47" s="19">
        <v>2.0</v>
      </c>
      <c r="N47" s="19">
        <v>4.0</v>
      </c>
      <c r="O47" s="19">
        <v>0.0</v>
      </c>
      <c r="P47" s="19">
        <v>2.0</v>
      </c>
      <c r="Q47" s="19">
        <v>1.0</v>
      </c>
      <c r="R47" s="19">
        <v>2.0</v>
      </c>
      <c r="S47" s="19">
        <v>1.0</v>
      </c>
      <c r="T47" s="19">
        <v>3.0</v>
      </c>
      <c r="U47" s="19">
        <v>1.0</v>
      </c>
      <c r="V47" s="19">
        <v>3.0</v>
      </c>
      <c r="W47" s="19">
        <v>0.0</v>
      </c>
      <c r="X47" s="19">
        <v>3.0</v>
      </c>
      <c r="Y47" s="19">
        <v>1.0</v>
      </c>
      <c r="Z47" s="19">
        <v>6.0</v>
      </c>
      <c r="AA47" s="19">
        <v>7.0</v>
      </c>
      <c r="AB47" s="19">
        <v>1.0</v>
      </c>
      <c r="AC47" s="19">
        <v>1.0</v>
      </c>
      <c r="AD47" s="19">
        <v>2.0</v>
      </c>
      <c r="AE47" s="19">
        <v>0.0</v>
      </c>
      <c r="AF47" s="19">
        <v>0.0</v>
      </c>
      <c r="AG47" s="19">
        <v>1.0</v>
      </c>
      <c r="AH47" s="19">
        <v>3.0</v>
      </c>
      <c r="AI47" s="19">
        <v>1.0</v>
      </c>
      <c r="AJ47" s="13">
        <f t="shared" si="14"/>
        <v>64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0.0</v>
      </c>
      <c r="G48" s="19">
        <v>0.0</v>
      </c>
      <c r="H48" s="19">
        <v>2.0</v>
      </c>
      <c r="I48" s="19">
        <v>0.0</v>
      </c>
      <c r="J48" s="19">
        <v>0.0</v>
      </c>
      <c r="K48" s="19">
        <v>1.0</v>
      </c>
      <c r="L48" s="19">
        <v>0.0</v>
      </c>
      <c r="M48" s="19">
        <v>2.0</v>
      </c>
      <c r="N48" s="19">
        <v>4.0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2.0</v>
      </c>
      <c r="X48" s="19">
        <v>0.0</v>
      </c>
      <c r="Y48" s="19">
        <v>2.0</v>
      </c>
      <c r="Z48" s="19">
        <v>1.0</v>
      </c>
      <c r="AA48" s="19">
        <v>3.0</v>
      </c>
      <c r="AB48" s="19">
        <v>1.0</v>
      </c>
      <c r="AC48" s="19">
        <v>1.0</v>
      </c>
      <c r="AD48" s="19">
        <v>1.0</v>
      </c>
      <c r="AE48" s="19">
        <v>0.0</v>
      </c>
      <c r="AF48" s="19">
        <v>0.0</v>
      </c>
      <c r="AG48" s="19">
        <v>1.0</v>
      </c>
      <c r="AH48" s="19">
        <v>2.0</v>
      </c>
      <c r="AI48" s="19">
        <v>5.0</v>
      </c>
      <c r="AJ48" s="13">
        <f t="shared" si="14"/>
        <v>31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1.0</v>
      </c>
      <c r="J49" s="19">
        <v>3.0</v>
      </c>
      <c r="K49" s="19">
        <v>0.0</v>
      </c>
      <c r="L49" s="19">
        <v>1.0</v>
      </c>
      <c r="M49" s="19">
        <v>1.0</v>
      </c>
      <c r="N49" s="19">
        <v>0.0</v>
      </c>
      <c r="O49" s="19">
        <v>0.0</v>
      </c>
      <c r="P49" s="19">
        <v>0.0</v>
      </c>
      <c r="Q49" s="19">
        <v>3.0</v>
      </c>
      <c r="R49" s="19">
        <v>3.0</v>
      </c>
      <c r="S49" s="19">
        <v>1.0</v>
      </c>
      <c r="T49" s="19">
        <v>2.0</v>
      </c>
      <c r="U49" s="19">
        <v>0.0</v>
      </c>
      <c r="V49" s="19">
        <v>1.0</v>
      </c>
      <c r="W49" s="19">
        <v>0.0</v>
      </c>
      <c r="X49" s="19">
        <v>1.0</v>
      </c>
      <c r="Y49" s="19">
        <v>1.0</v>
      </c>
      <c r="Z49" s="19">
        <v>1.0</v>
      </c>
      <c r="AA49" s="19">
        <v>1.0</v>
      </c>
      <c r="AB49" s="19">
        <v>1.0</v>
      </c>
      <c r="AC49" s="19">
        <v>0.0</v>
      </c>
      <c r="AD49" s="19">
        <v>2.0</v>
      </c>
      <c r="AE49" s="19">
        <v>0.0</v>
      </c>
      <c r="AF49" s="19">
        <v>1.0</v>
      </c>
      <c r="AG49" s="19">
        <v>0.0</v>
      </c>
      <c r="AH49" s="19">
        <v>0.0</v>
      </c>
      <c r="AI49" s="19"/>
      <c r="AJ49" s="13">
        <f t="shared" si="14"/>
        <v>26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1.0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1.0</v>
      </c>
      <c r="S50" s="19">
        <v>0.0</v>
      </c>
      <c r="T50" s="19">
        <v>1.0</v>
      </c>
      <c r="U50" s="19">
        <v>1.0</v>
      </c>
      <c r="V50" s="19">
        <v>0.0</v>
      </c>
      <c r="W50" s="19">
        <v>0.0</v>
      </c>
      <c r="X50" s="19">
        <v>0.0</v>
      </c>
      <c r="Y50" s="19">
        <v>0.0</v>
      </c>
      <c r="Z50" s="19">
        <v>2.0</v>
      </c>
      <c r="AA50" s="19">
        <v>0.0</v>
      </c>
      <c r="AB50" s="19">
        <v>1.0</v>
      </c>
      <c r="AC50" s="19">
        <v>0.0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/>
      <c r="AJ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1.0</v>
      </c>
      <c r="AE51" s="19">
        <v>1.0</v>
      </c>
      <c r="AF51" s="19">
        <v>0.0</v>
      </c>
      <c r="AG51" s="19">
        <v>0.0</v>
      </c>
      <c r="AH51" s="19">
        <v>0.0</v>
      </c>
      <c r="AI51" s="19"/>
      <c r="AJ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/>
      <c r="AJ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I55" si="15">SUM(E45:E52)</f>
        <v>32</v>
      </c>
      <c r="F55" s="13">
        <f t="shared" si="15"/>
        <v>22</v>
      </c>
      <c r="G55" s="13">
        <f t="shared" si="15"/>
        <v>14</v>
      </c>
      <c r="H55" s="13">
        <f t="shared" si="15"/>
        <v>22</v>
      </c>
      <c r="I55" s="13">
        <f t="shared" si="15"/>
        <v>18</v>
      </c>
      <c r="J55" s="13">
        <f t="shared" si="15"/>
        <v>53</v>
      </c>
      <c r="K55" s="13">
        <f t="shared" si="15"/>
        <v>15</v>
      </c>
      <c r="L55" s="13">
        <f t="shared" si="15"/>
        <v>8</v>
      </c>
      <c r="M55" s="13">
        <f t="shared" si="15"/>
        <v>23</v>
      </c>
      <c r="N55" s="13">
        <f t="shared" si="15"/>
        <v>17</v>
      </c>
      <c r="O55" s="13">
        <f t="shared" si="15"/>
        <v>17</v>
      </c>
      <c r="P55" s="13">
        <f t="shared" si="15"/>
        <v>22</v>
      </c>
      <c r="Q55" s="13">
        <f t="shared" si="15"/>
        <v>19</v>
      </c>
      <c r="R55" s="13">
        <f t="shared" si="15"/>
        <v>30</v>
      </c>
      <c r="S55" s="13">
        <f t="shared" si="15"/>
        <v>25</v>
      </c>
      <c r="T55" s="13">
        <f t="shared" si="15"/>
        <v>12</v>
      </c>
      <c r="U55" s="13">
        <f t="shared" si="15"/>
        <v>11</v>
      </c>
      <c r="V55" s="13">
        <f t="shared" si="15"/>
        <v>13</v>
      </c>
      <c r="W55" s="13">
        <f t="shared" si="15"/>
        <v>16</v>
      </c>
      <c r="X55" s="13">
        <f t="shared" si="15"/>
        <v>42</v>
      </c>
      <c r="Y55" s="13">
        <f t="shared" si="15"/>
        <v>34</v>
      </c>
      <c r="Z55" s="13">
        <f t="shared" si="15"/>
        <v>24</v>
      </c>
      <c r="AA55" s="13">
        <f t="shared" si="15"/>
        <v>43</v>
      </c>
      <c r="AB55" s="13">
        <f t="shared" si="15"/>
        <v>70</v>
      </c>
      <c r="AC55" s="13">
        <f t="shared" si="15"/>
        <v>17</v>
      </c>
      <c r="AD55" s="13">
        <f t="shared" si="15"/>
        <v>26</v>
      </c>
      <c r="AE55" s="13">
        <f t="shared" si="15"/>
        <v>7</v>
      </c>
      <c r="AF55" s="13">
        <f t="shared" si="15"/>
        <v>11</v>
      </c>
      <c r="AG55" s="13">
        <f t="shared" si="15"/>
        <v>15</v>
      </c>
      <c r="AH55" s="13">
        <f t="shared" si="15"/>
        <v>15</v>
      </c>
      <c r="AI55" s="13">
        <f t="shared" si="15"/>
        <v>22</v>
      </c>
      <c r="AJ55" s="13">
        <f t="shared" si="14"/>
        <v>715</v>
      </c>
    </row>
    <row r="56" ht="12.75" customHeight="1">
      <c r="A56" s="45"/>
      <c r="B56" s="44"/>
      <c r="C56" s="44"/>
      <c r="D56" s="44"/>
      <c r="E56" s="44"/>
      <c r="AJ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4.0</v>
      </c>
      <c r="F57" s="19">
        <v>8.0</v>
      </c>
      <c r="G57" s="19">
        <v>14.0</v>
      </c>
      <c r="H57" s="19">
        <v>14.0</v>
      </c>
      <c r="I57" s="19">
        <v>6.0</v>
      </c>
      <c r="J57" s="19">
        <v>12.0</v>
      </c>
      <c r="K57" s="19">
        <v>7.0</v>
      </c>
      <c r="L57" s="19">
        <v>6.0</v>
      </c>
      <c r="M57" s="19">
        <v>20.0</v>
      </c>
      <c r="N57" s="19">
        <v>5.0</v>
      </c>
      <c r="O57" s="19">
        <v>5.0</v>
      </c>
      <c r="P57" s="19">
        <v>8.0</v>
      </c>
      <c r="Q57" s="19">
        <v>5.0</v>
      </c>
      <c r="R57" s="19">
        <v>10.0</v>
      </c>
      <c r="S57" s="19">
        <v>8.0</v>
      </c>
      <c r="T57" s="19">
        <v>8.0</v>
      </c>
      <c r="U57" s="19">
        <v>14.0</v>
      </c>
      <c r="V57" s="19">
        <v>8.0</v>
      </c>
      <c r="W57" s="19">
        <v>10.0</v>
      </c>
      <c r="X57" s="19">
        <v>11.0</v>
      </c>
      <c r="Y57" s="19">
        <v>8.0</v>
      </c>
      <c r="Z57" s="19">
        <v>7.0</v>
      </c>
      <c r="AA57" s="19">
        <v>10.0</v>
      </c>
      <c r="AB57" s="19">
        <v>9.0</v>
      </c>
      <c r="AC57" s="19">
        <v>11.0</v>
      </c>
      <c r="AD57" s="19">
        <v>4.0</v>
      </c>
      <c r="AE57" s="19">
        <v>18.0</v>
      </c>
      <c r="AF57" s="19">
        <v>10.0</v>
      </c>
      <c r="AG57" s="19">
        <v>6.0</v>
      </c>
      <c r="AH57" s="19">
        <v>7.0</v>
      </c>
      <c r="AI57" s="19">
        <v>4.0</v>
      </c>
      <c r="AJ57" s="13">
        <f t="shared" ref="AJ57:AJ67" si="16">SUM(E57:AI57)</f>
        <v>277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45.0</v>
      </c>
      <c r="F58" s="19">
        <v>53.0</v>
      </c>
      <c r="G58" s="19">
        <v>107.0</v>
      </c>
      <c r="H58" s="19">
        <v>53.0</v>
      </c>
      <c r="I58" s="19">
        <v>59.0</v>
      </c>
      <c r="J58" s="19">
        <v>45.0</v>
      </c>
      <c r="K58" s="19">
        <v>39.0</v>
      </c>
      <c r="L58" s="19">
        <v>29.0</v>
      </c>
      <c r="M58" s="19">
        <v>44.0</v>
      </c>
      <c r="N58" s="19">
        <v>59.0</v>
      </c>
      <c r="O58" s="19">
        <v>34.0</v>
      </c>
      <c r="P58" s="19">
        <v>59.0</v>
      </c>
      <c r="Q58" s="19">
        <v>71.0</v>
      </c>
      <c r="R58" s="19">
        <v>41.0</v>
      </c>
      <c r="S58" s="19">
        <v>18.0</v>
      </c>
      <c r="T58" s="19">
        <v>30.0</v>
      </c>
      <c r="U58" s="19">
        <v>16.0</v>
      </c>
      <c r="V58" s="19">
        <v>108.0</v>
      </c>
      <c r="W58" s="19">
        <v>49.0</v>
      </c>
      <c r="X58" s="19">
        <v>40.0</v>
      </c>
      <c r="Y58" s="19">
        <v>75.0</v>
      </c>
      <c r="Z58" s="19">
        <v>16.0</v>
      </c>
      <c r="AA58" s="19">
        <v>39.0</v>
      </c>
      <c r="AB58" s="19">
        <v>12.0</v>
      </c>
      <c r="AC58" s="19">
        <v>59.0</v>
      </c>
      <c r="AD58" s="19">
        <v>58.0</v>
      </c>
      <c r="AE58" s="19">
        <v>71.0</v>
      </c>
      <c r="AF58" s="19">
        <v>45.0</v>
      </c>
      <c r="AG58" s="19">
        <v>58.0</v>
      </c>
      <c r="AH58" s="19">
        <v>47.0</v>
      </c>
      <c r="AI58" s="19">
        <v>112.0</v>
      </c>
      <c r="AJ58" s="13">
        <f t="shared" si="16"/>
        <v>1591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5.0</v>
      </c>
      <c r="G59" s="19">
        <v>2.0</v>
      </c>
      <c r="H59" s="19">
        <v>5.0</v>
      </c>
      <c r="I59" s="19">
        <v>6.0</v>
      </c>
      <c r="J59" s="19">
        <v>4.0</v>
      </c>
      <c r="K59" s="19">
        <v>1.0</v>
      </c>
      <c r="L59" s="19">
        <v>2.0</v>
      </c>
      <c r="M59" s="19">
        <v>3.0</v>
      </c>
      <c r="N59" s="19">
        <v>5.0</v>
      </c>
      <c r="O59" s="19">
        <v>2.0</v>
      </c>
      <c r="P59" s="19">
        <v>1.0</v>
      </c>
      <c r="Q59" s="19">
        <v>1.0</v>
      </c>
      <c r="R59" s="19">
        <v>6.0</v>
      </c>
      <c r="S59" s="19">
        <v>3.0</v>
      </c>
      <c r="T59" s="19">
        <v>5.0</v>
      </c>
      <c r="U59" s="19">
        <v>4.0</v>
      </c>
      <c r="V59" s="19">
        <v>0.0</v>
      </c>
      <c r="W59" s="19">
        <v>1.0</v>
      </c>
      <c r="X59" s="19">
        <v>2.0</v>
      </c>
      <c r="Y59" s="19">
        <v>0.0</v>
      </c>
      <c r="Z59" s="19">
        <v>3.0</v>
      </c>
      <c r="AA59" s="19">
        <v>2.0</v>
      </c>
      <c r="AB59" s="19">
        <v>1.0</v>
      </c>
      <c r="AC59" s="19">
        <v>1.0</v>
      </c>
      <c r="AD59" s="19">
        <v>4.0</v>
      </c>
      <c r="AE59" s="19">
        <v>3.0</v>
      </c>
      <c r="AF59" s="19">
        <v>2.0</v>
      </c>
      <c r="AG59" s="19">
        <v>4.0</v>
      </c>
      <c r="AH59" s="19">
        <v>3.0</v>
      </c>
      <c r="AI59" s="19">
        <v>3.0</v>
      </c>
      <c r="AJ59" s="13">
        <f t="shared" si="16"/>
        <v>86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0.0</v>
      </c>
      <c r="H60" s="19">
        <v>1.0</v>
      </c>
      <c r="I60" s="19">
        <v>0.0</v>
      </c>
      <c r="J60" s="19">
        <v>0.0</v>
      </c>
      <c r="K60" s="19">
        <v>1.0</v>
      </c>
      <c r="L60" s="19">
        <v>1.0</v>
      </c>
      <c r="M60" s="19">
        <v>0.0</v>
      </c>
      <c r="N60" s="19">
        <v>0.0</v>
      </c>
      <c r="O60" s="19">
        <v>0.0</v>
      </c>
      <c r="P60" s="19">
        <v>3.0</v>
      </c>
      <c r="Q60" s="19">
        <v>2.0</v>
      </c>
      <c r="R60" s="19">
        <v>0.0</v>
      </c>
      <c r="S60" s="19">
        <v>2.0</v>
      </c>
      <c r="T60" s="19">
        <v>1.0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2.0</v>
      </c>
      <c r="AA60" s="19">
        <v>1.0</v>
      </c>
      <c r="AB60" s="19">
        <v>2.0</v>
      </c>
      <c r="AC60" s="19">
        <v>0.0</v>
      </c>
      <c r="AD60" s="19">
        <v>1.0</v>
      </c>
      <c r="AE60" s="19">
        <v>2.0</v>
      </c>
      <c r="AF60" s="19">
        <v>1.0</v>
      </c>
      <c r="AG60" s="19">
        <v>1.0</v>
      </c>
      <c r="AH60" s="19">
        <v>1.0</v>
      </c>
      <c r="AI60" s="19">
        <v>2.0</v>
      </c>
      <c r="AJ60" s="13">
        <f t="shared" si="16"/>
        <v>27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1.0</v>
      </c>
      <c r="G61" s="19">
        <v>3.0</v>
      </c>
      <c r="H61" s="19">
        <v>1.0</v>
      </c>
      <c r="I61" s="19">
        <v>3.0</v>
      </c>
      <c r="J61" s="19">
        <v>3.0</v>
      </c>
      <c r="K61" s="19">
        <v>3.0</v>
      </c>
      <c r="L61" s="19">
        <v>6.0</v>
      </c>
      <c r="M61" s="19">
        <v>6.0</v>
      </c>
      <c r="N61" s="19">
        <v>0.0</v>
      </c>
      <c r="O61" s="19">
        <v>1.0</v>
      </c>
      <c r="P61" s="19">
        <v>4.0</v>
      </c>
      <c r="Q61" s="19">
        <v>2.0</v>
      </c>
      <c r="R61" s="19">
        <v>3.0</v>
      </c>
      <c r="S61" s="19">
        <v>1.0</v>
      </c>
      <c r="T61" s="19">
        <v>3.0</v>
      </c>
      <c r="U61" s="19">
        <v>2.0</v>
      </c>
      <c r="V61" s="19">
        <v>3.0</v>
      </c>
      <c r="W61" s="19">
        <v>1.0</v>
      </c>
      <c r="X61" s="19">
        <v>3.0</v>
      </c>
      <c r="Y61" s="19">
        <v>5.0</v>
      </c>
      <c r="Z61" s="19">
        <v>0.0</v>
      </c>
      <c r="AA61" s="19">
        <v>0.0</v>
      </c>
      <c r="AB61" s="19">
        <v>0.0</v>
      </c>
      <c r="AC61" s="19">
        <v>4.0</v>
      </c>
      <c r="AD61" s="19">
        <v>3.0</v>
      </c>
      <c r="AE61" s="19">
        <v>4.0</v>
      </c>
      <c r="AF61" s="19">
        <v>1.0</v>
      </c>
      <c r="AG61" s="19">
        <v>0.0</v>
      </c>
      <c r="AH61" s="19">
        <v>11.0</v>
      </c>
      <c r="AI61" s="19">
        <v>1.0</v>
      </c>
      <c r="AJ61" s="13">
        <f t="shared" si="16"/>
        <v>81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2.0</v>
      </c>
      <c r="M62" s="19">
        <v>0.0</v>
      </c>
      <c r="N62" s="19">
        <v>0.0</v>
      </c>
      <c r="O62" s="19">
        <v>1.0</v>
      </c>
      <c r="P62" s="19">
        <v>1.0</v>
      </c>
      <c r="Q62" s="19">
        <v>4.0</v>
      </c>
      <c r="R62" s="19">
        <v>0.0</v>
      </c>
      <c r="S62" s="19">
        <v>1.0</v>
      </c>
      <c r="T62" s="19">
        <v>1.0</v>
      </c>
      <c r="U62" s="19">
        <v>1.0</v>
      </c>
      <c r="V62" s="19">
        <v>0.0</v>
      </c>
      <c r="W62" s="19">
        <v>0.0</v>
      </c>
      <c r="X62" s="19">
        <v>5.0</v>
      </c>
      <c r="Y62" s="19">
        <v>1.0</v>
      </c>
      <c r="Z62" s="19">
        <v>2.0</v>
      </c>
      <c r="AA62" s="19">
        <v>0.0</v>
      </c>
      <c r="AB62" s="19">
        <v>0.0</v>
      </c>
      <c r="AC62" s="19">
        <v>0.0</v>
      </c>
      <c r="AD62" s="19">
        <v>0.0</v>
      </c>
      <c r="AE62" s="19">
        <v>1.0</v>
      </c>
      <c r="AF62" s="19">
        <v>2.0</v>
      </c>
      <c r="AG62" s="19">
        <v>2.0</v>
      </c>
      <c r="AH62" s="19">
        <v>0.0</v>
      </c>
      <c r="AI62" s="19">
        <v>1.0</v>
      </c>
      <c r="AJ62" s="13">
        <f t="shared" si="16"/>
        <v>27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1.0</v>
      </c>
      <c r="P63" s="19">
        <v>1.0</v>
      </c>
      <c r="Q63" s="19">
        <v>1.0</v>
      </c>
      <c r="R63" s="19">
        <v>0.0</v>
      </c>
      <c r="S63" s="19">
        <v>0.0</v>
      </c>
      <c r="T63" s="19">
        <v>4.0</v>
      </c>
      <c r="U63" s="19">
        <v>0.0</v>
      </c>
      <c r="V63" s="19">
        <v>0.0</v>
      </c>
      <c r="W63" s="19">
        <v>0.0</v>
      </c>
      <c r="X63" s="19">
        <v>1.0</v>
      </c>
      <c r="Y63" s="19">
        <v>0.0</v>
      </c>
      <c r="Z63" s="19">
        <v>0.0</v>
      </c>
      <c r="AA63" s="19">
        <v>0.0</v>
      </c>
      <c r="AB63" s="19">
        <v>1.0</v>
      </c>
      <c r="AC63" s="19">
        <v>0.0</v>
      </c>
      <c r="AD63" s="19">
        <v>1.0</v>
      </c>
      <c r="AE63" s="19">
        <v>0.0</v>
      </c>
      <c r="AF63" s="19">
        <v>0.0</v>
      </c>
      <c r="AG63" s="19">
        <v>0.0</v>
      </c>
      <c r="AH63" s="19">
        <v>0.0</v>
      </c>
      <c r="AI63" s="19">
        <v>1.0</v>
      </c>
      <c r="AJ63" s="13">
        <f t="shared" si="16"/>
        <v>15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4.0</v>
      </c>
      <c r="J64" s="19">
        <v>0.0</v>
      </c>
      <c r="K64" s="19">
        <v>0.0</v>
      </c>
      <c r="L64" s="19">
        <v>1.0</v>
      </c>
      <c r="M64" s="19">
        <v>1.0</v>
      </c>
      <c r="N64" s="19">
        <v>0.0</v>
      </c>
      <c r="O64" s="19">
        <v>1.0</v>
      </c>
      <c r="P64" s="19">
        <v>4.0</v>
      </c>
      <c r="Q64" s="19">
        <v>1.0</v>
      </c>
      <c r="R64" s="19">
        <v>1.0</v>
      </c>
      <c r="S64" s="19">
        <v>1.0</v>
      </c>
      <c r="T64" s="19">
        <v>0.0</v>
      </c>
      <c r="U64" s="19">
        <v>4.0</v>
      </c>
      <c r="V64" s="19">
        <v>0.0</v>
      </c>
      <c r="W64" s="19">
        <v>3.0</v>
      </c>
      <c r="X64" s="19">
        <v>0.0</v>
      </c>
      <c r="Y64" s="19">
        <v>0.0</v>
      </c>
      <c r="Z64" s="19">
        <v>0.0</v>
      </c>
      <c r="AA64" s="19">
        <v>4.0</v>
      </c>
      <c r="AB64" s="19">
        <v>0.0</v>
      </c>
      <c r="AC64" s="19">
        <v>0.0</v>
      </c>
      <c r="AD64" s="19">
        <v>1.0</v>
      </c>
      <c r="AE64" s="19">
        <v>2.0</v>
      </c>
      <c r="AF64" s="19">
        <v>0.0</v>
      </c>
      <c r="AG64" s="19">
        <v>0.0</v>
      </c>
      <c r="AH64" s="19">
        <v>0.0</v>
      </c>
      <c r="AI64" s="19">
        <v>2.0</v>
      </c>
      <c r="AJ64" s="13">
        <f t="shared" si="16"/>
        <v>31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I67" si="17">SUM(E57:E64)</f>
        <v>58</v>
      </c>
      <c r="F67" s="13">
        <f t="shared" si="17"/>
        <v>69</v>
      </c>
      <c r="G67" s="13">
        <f t="shared" si="17"/>
        <v>126</v>
      </c>
      <c r="H67" s="13">
        <f t="shared" si="17"/>
        <v>74</v>
      </c>
      <c r="I67" s="13">
        <f t="shared" si="17"/>
        <v>80</v>
      </c>
      <c r="J67" s="13">
        <f t="shared" si="17"/>
        <v>64</v>
      </c>
      <c r="K67" s="13">
        <f t="shared" si="17"/>
        <v>51</v>
      </c>
      <c r="L67" s="13">
        <f t="shared" si="17"/>
        <v>47</v>
      </c>
      <c r="M67" s="13">
        <f t="shared" si="17"/>
        <v>74</v>
      </c>
      <c r="N67" s="13">
        <f t="shared" si="17"/>
        <v>70</v>
      </c>
      <c r="O67" s="13">
        <f t="shared" si="17"/>
        <v>45</v>
      </c>
      <c r="P67" s="13">
        <f t="shared" si="17"/>
        <v>81</v>
      </c>
      <c r="Q67" s="13">
        <f t="shared" si="17"/>
        <v>87</v>
      </c>
      <c r="R67" s="13">
        <f t="shared" si="17"/>
        <v>61</v>
      </c>
      <c r="S67" s="13">
        <f t="shared" si="17"/>
        <v>34</v>
      </c>
      <c r="T67" s="13">
        <f t="shared" si="17"/>
        <v>52</v>
      </c>
      <c r="U67" s="13">
        <f t="shared" si="17"/>
        <v>41</v>
      </c>
      <c r="V67" s="13">
        <f t="shared" si="17"/>
        <v>119</v>
      </c>
      <c r="W67" s="13">
        <f t="shared" si="17"/>
        <v>65</v>
      </c>
      <c r="X67" s="13">
        <f t="shared" si="17"/>
        <v>62</v>
      </c>
      <c r="Y67" s="13">
        <f t="shared" si="17"/>
        <v>89</v>
      </c>
      <c r="Z67" s="13">
        <f t="shared" si="17"/>
        <v>30</v>
      </c>
      <c r="AA67" s="13">
        <f t="shared" si="17"/>
        <v>56</v>
      </c>
      <c r="AB67" s="13">
        <f t="shared" si="17"/>
        <v>25</v>
      </c>
      <c r="AC67" s="13">
        <f t="shared" si="17"/>
        <v>75</v>
      </c>
      <c r="AD67" s="13">
        <f t="shared" si="17"/>
        <v>72</v>
      </c>
      <c r="AE67" s="13">
        <f t="shared" si="17"/>
        <v>101</v>
      </c>
      <c r="AF67" s="13">
        <f t="shared" si="17"/>
        <v>61</v>
      </c>
      <c r="AG67" s="13">
        <f t="shared" si="17"/>
        <v>71</v>
      </c>
      <c r="AH67" s="13">
        <f t="shared" si="17"/>
        <v>69</v>
      </c>
      <c r="AI67" s="13">
        <f t="shared" si="17"/>
        <v>126</v>
      </c>
      <c r="AJ67" s="13">
        <f t="shared" si="16"/>
        <v>2135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6.0</v>
      </c>
      <c r="G69" s="19">
        <v>6.0</v>
      </c>
      <c r="H69" s="19">
        <v>6.0</v>
      </c>
      <c r="I69" s="19">
        <v>4.0</v>
      </c>
      <c r="J69" s="19">
        <v>4.0</v>
      </c>
      <c r="K69" s="19">
        <v>2.0</v>
      </c>
      <c r="L69" s="19">
        <v>2.0</v>
      </c>
      <c r="M69" s="19">
        <v>3.0</v>
      </c>
      <c r="N69" s="19">
        <v>4.0</v>
      </c>
      <c r="O69" s="19">
        <v>7.0</v>
      </c>
      <c r="P69" s="19">
        <v>2.0</v>
      </c>
      <c r="Q69" s="19">
        <v>7.0</v>
      </c>
      <c r="R69" s="19">
        <v>2.0</v>
      </c>
      <c r="S69" s="19">
        <v>6.0</v>
      </c>
      <c r="T69" s="19">
        <v>3.0</v>
      </c>
      <c r="U69" s="19">
        <v>7.0</v>
      </c>
      <c r="V69" s="19">
        <v>3.0</v>
      </c>
      <c r="W69" s="19">
        <v>3.0</v>
      </c>
      <c r="X69" s="19">
        <v>4.0</v>
      </c>
      <c r="Y69" s="19">
        <v>0.0</v>
      </c>
      <c r="Z69" s="19">
        <v>6.0</v>
      </c>
      <c r="AA69" s="19">
        <v>2.0</v>
      </c>
      <c r="AB69" s="19">
        <v>5.0</v>
      </c>
      <c r="AC69" s="19">
        <v>6.0</v>
      </c>
      <c r="AD69" s="19">
        <v>4.0</v>
      </c>
      <c r="AE69" s="19">
        <v>4.0</v>
      </c>
      <c r="AF69" s="19">
        <v>3.0</v>
      </c>
      <c r="AG69" s="19">
        <v>5.0</v>
      </c>
      <c r="AH69" s="19">
        <v>9.0</v>
      </c>
      <c r="AI69" s="19">
        <v>7.0</v>
      </c>
      <c r="AJ69" s="13">
        <f t="shared" ref="AJ69:AJ79" si="18">SUM(E69:AI69)</f>
        <v>134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1.0</v>
      </c>
      <c r="F70" s="19">
        <v>3.0</v>
      </c>
      <c r="G70" s="19">
        <v>4.0</v>
      </c>
      <c r="H70" s="19">
        <v>7.0</v>
      </c>
      <c r="I70" s="19">
        <v>2.0</v>
      </c>
      <c r="J70" s="19">
        <v>2.0</v>
      </c>
      <c r="K70" s="19">
        <v>8.0</v>
      </c>
      <c r="L70" s="19">
        <v>4.0</v>
      </c>
      <c r="M70" s="19">
        <v>3.0</v>
      </c>
      <c r="N70" s="19">
        <v>9.0</v>
      </c>
      <c r="O70" s="19">
        <v>5.0</v>
      </c>
      <c r="P70" s="19">
        <v>2.0</v>
      </c>
      <c r="Q70" s="19">
        <v>2.0</v>
      </c>
      <c r="R70" s="19">
        <v>3.0</v>
      </c>
      <c r="S70" s="19">
        <v>8.0</v>
      </c>
      <c r="T70" s="19">
        <v>4.0</v>
      </c>
      <c r="U70" s="19">
        <v>6.0</v>
      </c>
      <c r="V70" s="19">
        <v>1.0</v>
      </c>
      <c r="W70" s="19">
        <v>7.0</v>
      </c>
      <c r="X70" s="19">
        <v>5.0</v>
      </c>
      <c r="Y70" s="19">
        <v>1.0</v>
      </c>
      <c r="Z70" s="19">
        <v>3.0</v>
      </c>
      <c r="AA70" s="19">
        <v>4.0</v>
      </c>
      <c r="AB70" s="19">
        <v>3.0</v>
      </c>
      <c r="AC70" s="19">
        <v>5.0</v>
      </c>
      <c r="AD70" s="19">
        <v>4.0</v>
      </c>
      <c r="AE70" s="19">
        <v>0.0</v>
      </c>
      <c r="AF70" s="19">
        <v>6.0</v>
      </c>
      <c r="AG70" s="19">
        <v>5.0</v>
      </c>
      <c r="AH70" s="19">
        <v>7.0</v>
      </c>
      <c r="AI70" s="19">
        <v>19.0</v>
      </c>
      <c r="AJ70" s="13">
        <f t="shared" si="18"/>
        <v>143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3.0</v>
      </c>
      <c r="G71" s="19">
        <v>1.0</v>
      </c>
      <c r="H71" s="19">
        <v>3.0</v>
      </c>
      <c r="I71" s="19">
        <v>4.0</v>
      </c>
      <c r="J71" s="19">
        <v>5.0</v>
      </c>
      <c r="K71" s="19">
        <v>2.0</v>
      </c>
      <c r="L71" s="19">
        <v>3.0</v>
      </c>
      <c r="M71" s="19">
        <v>2.0</v>
      </c>
      <c r="N71" s="19">
        <v>0.0</v>
      </c>
      <c r="O71" s="19">
        <v>2.0</v>
      </c>
      <c r="P71" s="19">
        <v>0.0</v>
      </c>
      <c r="Q71" s="19">
        <v>1.0</v>
      </c>
      <c r="R71" s="19">
        <v>1.0</v>
      </c>
      <c r="S71" s="19">
        <v>1.0</v>
      </c>
      <c r="T71" s="19">
        <v>1.0</v>
      </c>
      <c r="U71" s="19">
        <v>1.0</v>
      </c>
      <c r="V71" s="19">
        <v>2.0</v>
      </c>
      <c r="W71" s="19">
        <v>3.0</v>
      </c>
      <c r="X71" s="19">
        <v>3.0</v>
      </c>
      <c r="Y71" s="19">
        <v>1.0</v>
      </c>
      <c r="Z71" s="19">
        <v>2.0</v>
      </c>
      <c r="AA71" s="19">
        <v>3.0</v>
      </c>
      <c r="AB71" s="19">
        <v>3.0</v>
      </c>
      <c r="AC71" s="19">
        <v>5.0</v>
      </c>
      <c r="AD71" s="19">
        <v>2.0</v>
      </c>
      <c r="AE71" s="19">
        <v>0.0</v>
      </c>
      <c r="AF71" s="19">
        <v>5.0</v>
      </c>
      <c r="AG71" s="19">
        <v>2.0</v>
      </c>
      <c r="AH71" s="19">
        <v>0.0</v>
      </c>
      <c r="AI71" s="19">
        <v>3.0</v>
      </c>
      <c r="AJ71" s="13">
        <f t="shared" si="18"/>
        <v>64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0.0</v>
      </c>
      <c r="G72" s="19">
        <v>1.0</v>
      </c>
      <c r="H72" s="19">
        <v>2.0</v>
      </c>
      <c r="I72" s="19">
        <v>1.0</v>
      </c>
      <c r="J72" s="19">
        <v>1.0</v>
      </c>
      <c r="K72" s="19">
        <v>1.0</v>
      </c>
      <c r="L72" s="19">
        <v>4.0</v>
      </c>
      <c r="M72" s="19">
        <v>2.0</v>
      </c>
      <c r="N72" s="19">
        <v>0.0</v>
      </c>
      <c r="O72" s="19">
        <v>14.0</v>
      </c>
      <c r="P72" s="19">
        <v>12.0</v>
      </c>
      <c r="Q72" s="19">
        <v>22.0</v>
      </c>
      <c r="R72" s="19">
        <v>0.0</v>
      </c>
      <c r="S72" s="19">
        <v>3.0</v>
      </c>
      <c r="T72" s="19">
        <v>0.0</v>
      </c>
      <c r="U72" s="19">
        <v>2.0</v>
      </c>
      <c r="V72" s="19">
        <v>1.0</v>
      </c>
      <c r="W72" s="19">
        <v>2.0</v>
      </c>
      <c r="X72" s="19">
        <v>3.0</v>
      </c>
      <c r="Y72" s="19">
        <v>1.0</v>
      </c>
      <c r="Z72" s="19">
        <v>0.0</v>
      </c>
      <c r="AA72" s="19">
        <v>5.0</v>
      </c>
      <c r="AB72" s="19">
        <v>0.0</v>
      </c>
      <c r="AC72" s="19">
        <v>17.0</v>
      </c>
      <c r="AD72" s="19">
        <v>2.0</v>
      </c>
      <c r="AE72" s="19">
        <v>2.0</v>
      </c>
      <c r="AF72" s="19">
        <v>1.0</v>
      </c>
      <c r="AG72" s="19">
        <v>0.0</v>
      </c>
      <c r="AH72" s="19">
        <v>74.0</v>
      </c>
      <c r="AI72" s="19">
        <v>7.0</v>
      </c>
      <c r="AJ72" s="13">
        <f t="shared" si="18"/>
        <v>180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2.0</v>
      </c>
      <c r="I73" s="19">
        <v>2.0</v>
      </c>
      <c r="J73" s="19">
        <v>0.0</v>
      </c>
      <c r="K73" s="19">
        <v>1.0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0.0</v>
      </c>
      <c r="U73" s="19">
        <v>1.0</v>
      </c>
      <c r="V73" s="19">
        <v>2.0</v>
      </c>
      <c r="W73" s="19">
        <v>0.0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1.0</v>
      </c>
      <c r="AD73" s="19">
        <v>0.0</v>
      </c>
      <c r="AE73" s="19">
        <v>1.0</v>
      </c>
      <c r="AF73" s="19">
        <v>0.0</v>
      </c>
      <c r="AG73" s="19">
        <v>1.0</v>
      </c>
      <c r="AH73" s="19">
        <v>0.0</v>
      </c>
      <c r="AI73" s="19"/>
      <c r="AJ73" s="13">
        <f t="shared" si="18"/>
        <v>12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8.0</v>
      </c>
      <c r="G74" s="19">
        <v>2.0</v>
      </c>
      <c r="H74" s="19">
        <v>3.0</v>
      </c>
      <c r="I74" s="19">
        <v>4.0</v>
      </c>
      <c r="J74" s="19">
        <v>0.0</v>
      </c>
      <c r="K74" s="19">
        <v>2.0</v>
      </c>
      <c r="L74" s="19">
        <v>2.0</v>
      </c>
      <c r="M74" s="19">
        <v>4.0</v>
      </c>
      <c r="N74" s="19">
        <v>3.0</v>
      </c>
      <c r="O74" s="19">
        <v>2.0</v>
      </c>
      <c r="P74" s="19">
        <v>1.0</v>
      </c>
      <c r="Q74" s="19">
        <v>0.0</v>
      </c>
      <c r="R74" s="19">
        <v>4.0</v>
      </c>
      <c r="S74" s="19">
        <v>2.0</v>
      </c>
      <c r="T74" s="19">
        <v>2.0</v>
      </c>
      <c r="U74" s="19">
        <v>4.0</v>
      </c>
      <c r="V74" s="19">
        <v>1.0</v>
      </c>
      <c r="W74" s="19">
        <v>4.0</v>
      </c>
      <c r="X74" s="19">
        <v>3.0</v>
      </c>
      <c r="Y74" s="19">
        <v>0.0</v>
      </c>
      <c r="Z74" s="19">
        <v>1.0</v>
      </c>
      <c r="AA74" s="19">
        <v>0.0</v>
      </c>
      <c r="AB74" s="19">
        <v>0.0</v>
      </c>
      <c r="AC74" s="19">
        <v>5.0</v>
      </c>
      <c r="AD74" s="19">
        <v>0.0</v>
      </c>
      <c r="AE74" s="19">
        <v>2.0</v>
      </c>
      <c r="AF74" s="19">
        <v>4.0</v>
      </c>
      <c r="AG74" s="19">
        <v>2.0</v>
      </c>
      <c r="AH74" s="19">
        <v>2.0</v>
      </c>
      <c r="AI74" s="19">
        <v>1.0</v>
      </c>
      <c r="AJ74" s="13">
        <f t="shared" si="18"/>
        <v>68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1.0</v>
      </c>
      <c r="H75" s="19">
        <v>1.0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2.0</v>
      </c>
      <c r="P75" s="19">
        <v>2.0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9">
        <v>1.0</v>
      </c>
      <c r="AB75" s="19">
        <v>1.0</v>
      </c>
      <c r="AC75" s="19">
        <v>0.0</v>
      </c>
      <c r="AD75" s="19">
        <v>0.0</v>
      </c>
      <c r="AE75" s="19">
        <v>0.0</v>
      </c>
      <c r="AF75" s="19">
        <v>1.0</v>
      </c>
      <c r="AG75" s="19">
        <v>0.0</v>
      </c>
      <c r="AH75" s="19">
        <v>0.0</v>
      </c>
      <c r="AI75" s="19"/>
      <c r="AJ75" s="13">
        <f t="shared" si="18"/>
        <v>13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1.0</v>
      </c>
      <c r="R76" s="19">
        <v>0.0</v>
      </c>
      <c r="S76" s="19">
        <v>0.0</v>
      </c>
      <c r="T76" s="19">
        <v>4.0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0.0</v>
      </c>
      <c r="AB76" s="19">
        <v>1.0</v>
      </c>
      <c r="AC76" s="19">
        <v>1.0</v>
      </c>
      <c r="AD76" s="19">
        <v>0.0</v>
      </c>
      <c r="AE76" s="19">
        <v>0.0</v>
      </c>
      <c r="AF76" s="19">
        <v>0.0</v>
      </c>
      <c r="AG76" s="19">
        <v>0.0</v>
      </c>
      <c r="AH76" s="19">
        <v>1.0</v>
      </c>
      <c r="AI76" s="19"/>
      <c r="AJ76" s="13">
        <f t="shared" si="18"/>
        <v>10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I79" si="19">SUM(E69:E76)</f>
        <v>4</v>
      </c>
      <c r="F79" s="13">
        <f t="shared" si="19"/>
        <v>20</v>
      </c>
      <c r="G79" s="13">
        <f t="shared" si="19"/>
        <v>15</v>
      </c>
      <c r="H79" s="13">
        <f t="shared" si="19"/>
        <v>25</v>
      </c>
      <c r="I79" s="13">
        <f t="shared" si="19"/>
        <v>17</v>
      </c>
      <c r="J79" s="13">
        <f t="shared" si="19"/>
        <v>12</v>
      </c>
      <c r="K79" s="13">
        <f t="shared" si="19"/>
        <v>16</v>
      </c>
      <c r="L79" s="13">
        <f t="shared" si="19"/>
        <v>16</v>
      </c>
      <c r="M79" s="13">
        <f t="shared" si="19"/>
        <v>14</v>
      </c>
      <c r="N79" s="13">
        <f t="shared" si="19"/>
        <v>16</v>
      </c>
      <c r="O79" s="13">
        <f t="shared" si="19"/>
        <v>33</v>
      </c>
      <c r="P79" s="13">
        <f t="shared" si="19"/>
        <v>19</v>
      </c>
      <c r="Q79" s="13">
        <f t="shared" si="19"/>
        <v>33</v>
      </c>
      <c r="R79" s="13">
        <f t="shared" si="19"/>
        <v>10</v>
      </c>
      <c r="S79" s="13">
        <f t="shared" si="19"/>
        <v>22</v>
      </c>
      <c r="T79" s="13">
        <f t="shared" si="19"/>
        <v>14</v>
      </c>
      <c r="U79" s="13">
        <f t="shared" si="19"/>
        <v>21</v>
      </c>
      <c r="V79" s="13">
        <f t="shared" si="19"/>
        <v>10</v>
      </c>
      <c r="W79" s="13">
        <f t="shared" si="19"/>
        <v>19</v>
      </c>
      <c r="X79" s="13">
        <f t="shared" si="19"/>
        <v>18</v>
      </c>
      <c r="Y79" s="13">
        <f t="shared" si="19"/>
        <v>3</v>
      </c>
      <c r="Z79" s="13">
        <f t="shared" si="19"/>
        <v>13</v>
      </c>
      <c r="AA79" s="13">
        <f t="shared" si="19"/>
        <v>15</v>
      </c>
      <c r="AB79" s="13">
        <f t="shared" si="19"/>
        <v>13</v>
      </c>
      <c r="AC79" s="13">
        <f t="shared" si="19"/>
        <v>40</v>
      </c>
      <c r="AD79" s="13">
        <f t="shared" si="19"/>
        <v>12</v>
      </c>
      <c r="AE79" s="13">
        <f t="shared" si="19"/>
        <v>9</v>
      </c>
      <c r="AF79" s="13">
        <f t="shared" si="19"/>
        <v>20</v>
      </c>
      <c r="AG79" s="13">
        <f t="shared" si="19"/>
        <v>15</v>
      </c>
      <c r="AH79" s="13">
        <f t="shared" si="19"/>
        <v>93</v>
      </c>
      <c r="AI79" s="13">
        <f t="shared" si="19"/>
        <v>37</v>
      </c>
      <c r="AJ79" s="13">
        <f t="shared" si="18"/>
        <v>624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4.0</v>
      </c>
      <c r="G81" s="19">
        <v>4.0</v>
      </c>
      <c r="H81" s="19">
        <v>4.0</v>
      </c>
      <c r="I81" s="19">
        <v>0.0</v>
      </c>
      <c r="J81" s="19">
        <v>12.0</v>
      </c>
      <c r="K81" s="19">
        <v>5.0</v>
      </c>
      <c r="L81" s="19">
        <v>2.0</v>
      </c>
      <c r="M81" s="19">
        <v>4.0</v>
      </c>
      <c r="N81" s="19">
        <v>5.0</v>
      </c>
      <c r="O81" s="19">
        <v>4.0</v>
      </c>
      <c r="P81" s="19">
        <v>7.0</v>
      </c>
      <c r="Q81" s="19">
        <v>1.0</v>
      </c>
      <c r="R81" s="19">
        <v>4.0</v>
      </c>
      <c r="S81" s="19">
        <v>6.0</v>
      </c>
      <c r="T81" s="19">
        <v>1.0</v>
      </c>
      <c r="U81" s="19">
        <v>4.0</v>
      </c>
      <c r="V81" s="19">
        <v>4.0</v>
      </c>
      <c r="W81" s="19">
        <v>4.0</v>
      </c>
      <c r="X81" s="19">
        <v>4.0</v>
      </c>
      <c r="Y81" s="19">
        <v>14.0</v>
      </c>
      <c r="Z81" s="19">
        <v>7.0</v>
      </c>
      <c r="AA81" s="19">
        <v>5.0</v>
      </c>
      <c r="AB81" s="19">
        <v>4.0</v>
      </c>
      <c r="AC81" s="19">
        <v>3.0</v>
      </c>
      <c r="AD81" s="19">
        <v>3.0</v>
      </c>
      <c r="AE81" s="19">
        <v>1.0</v>
      </c>
      <c r="AF81" s="19">
        <v>3.0</v>
      </c>
      <c r="AG81" s="19">
        <v>2.0</v>
      </c>
      <c r="AH81" s="19">
        <v>3.0</v>
      </c>
      <c r="AI81" s="19">
        <v>5.0</v>
      </c>
      <c r="AJ81" s="13">
        <f t="shared" ref="AJ81:AJ91" si="20">SUM(E81:AI81)</f>
        <v>136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20.0</v>
      </c>
      <c r="F82" s="19">
        <v>7.0</v>
      </c>
      <c r="G82" s="19">
        <v>11.0</v>
      </c>
      <c r="H82" s="19">
        <v>4.0</v>
      </c>
      <c r="I82" s="19">
        <v>2.0</v>
      </c>
      <c r="J82" s="19">
        <v>21.0</v>
      </c>
      <c r="K82" s="19">
        <v>22.0</v>
      </c>
      <c r="L82" s="19">
        <v>15.0</v>
      </c>
      <c r="M82" s="19">
        <v>25.0</v>
      </c>
      <c r="N82" s="19">
        <v>5.0</v>
      </c>
      <c r="O82" s="19">
        <v>10.0</v>
      </c>
      <c r="P82" s="19">
        <v>10.0</v>
      </c>
      <c r="Q82" s="19">
        <v>4.0</v>
      </c>
      <c r="R82" s="19">
        <v>8.0</v>
      </c>
      <c r="S82" s="19">
        <v>27.0</v>
      </c>
      <c r="T82" s="19">
        <v>11.0</v>
      </c>
      <c r="U82" s="19">
        <v>5.0</v>
      </c>
      <c r="V82" s="19">
        <v>13.0</v>
      </c>
      <c r="W82" s="19">
        <v>14.0</v>
      </c>
      <c r="X82" s="19">
        <v>16.0</v>
      </c>
      <c r="Y82" s="19">
        <v>6.0</v>
      </c>
      <c r="Z82" s="19">
        <v>12.0</v>
      </c>
      <c r="AA82" s="19">
        <v>9.0</v>
      </c>
      <c r="AB82" s="19">
        <v>3.0</v>
      </c>
      <c r="AC82" s="19">
        <v>0.0</v>
      </c>
      <c r="AD82" s="19">
        <v>11.0</v>
      </c>
      <c r="AE82" s="19">
        <v>8.0</v>
      </c>
      <c r="AF82" s="19">
        <v>25.0</v>
      </c>
      <c r="AG82" s="19">
        <v>8.0</v>
      </c>
      <c r="AH82" s="19">
        <v>6.0</v>
      </c>
      <c r="AI82" s="19">
        <v>3.0</v>
      </c>
      <c r="AJ82" s="13">
        <f t="shared" si="20"/>
        <v>341</v>
      </c>
    </row>
    <row r="83" ht="12.75" customHeight="1">
      <c r="A83" s="18"/>
      <c r="B83" s="55">
        <v>2.0</v>
      </c>
      <c r="C83" s="50" t="s">
        <v>66</v>
      </c>
      <c r="D83" s="57"/>
      <c r="E83" s="19">
        <v>8.0</v>
      </c>
      <c r="F83" s="19">
        <v>4.0</v>
      </c>
      <c r="G83" s="19">
        <v>3.0</v>
      </c>
      <c r="H83" s="19">
        <v>1.0</v>
      </c>
      <c r="I83" s="19">
        <v>4.0</v>
      </c>
      <c r="J83" s="19">
        <v>4.0</v>
      </c>
      <c r="K83" s="19">
        <v>3.0</v>
      </c>
      <c r="L83" s="19">
        <v>3.0</v>
      </c>
      <c r="M83" s="19">
        <v>4.0</v>
      </c>
      <c r="N83" s="19">
        <v>9.0</v>
      </c>
      <c r="O83" s="19">
        <v>9.0</v>
      </c>
      <c r="P83" s="19">
        <v>12.0</v>
      </c>
      <c r="Q83" s="19">
        <v>4.0</v>
      </c>
      <c r="R83" s="19">
        <v>1.0</v>
      </c>
      <c r="S83" s="19">
        <v>12.0</v>
      </c>
      <c r="T83" s="19">
        <v>3.0</v>
      </c>
      <c r="U83" s="19">
        <v>6.0</v>
      </c>
      <c r="V83" s="19">
        <v>4.0</v>
      </c>
      <c r="W83" s="19">
        <v>7.0</v>
      </c>
      <c r="X83" s="19">
        <v>2.0</v>
      </c>
      <c r="Y83" s="19">
        <v>6.0</v>
      </c>
      <c r="Z83" s="19">
        <v>18.0</v>
      </c>
      <c r="AA83" s="19">
        <v>12.0</v>
      </c>
      <c r="AB83" s="19">
        <v>6.0</v>
      </c>
      <c r="AC83" s="19">
        <v>0.0</v>
      </c>
      <c r="AD83" s="19">
        <v>2.0</v>
      </c>
      <c r="AE83" s="19">
        <v>3.0</v>
      </c>
      <c r="AF83" s="19">
        <v>0.0</v>
      </c>
      <c r="AG83" s="19">
        <v>7.0</v>
      </c>
      <c r="AH83" s="19">
        <v>1.0</v>
      </c>
      <c r="AI83" s="19">
        <v>4.0</v>
      </c>
      <c r="AJ83" s="13">
        <f t="shared" si="20"/>
        <v>162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0.0</v>
      </c>
      <c r="G84" s="19">
        <v>1.0</v>
      </c>
      <c r="H84" s="19">
        <v>2.0</v>
      </c>
      <c r="I84" s="19">
        <v>0.0</v>
      </c>
      <c r="J84" s="19">
        <v>4.0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2.0</v>
      </c>
      <c r="S84" s="19">
        <v>3.0</v>
      </c>
      <c r="T84" s="19">
        <v>1.0</v>
      </c>
      <c r="U84" s="19">
        <v>1.0</v>
      </c>
      <c r="V84" s="19">
        <v>0.0</v>
      </c>
      <c r="W84" s="19">
        <v>3.0</v>
      </c>
      <c r="X84" s="19">
        <v>2.0</v>
      </c>
      <c r="Y84" s="19">
        <v>1.0</v>
      </c>
      <c r="Z84" s="19">
        <v>1.0</v>
      </c>
      <c r="AA84" s="19">
        <v>0.0</v>
      </c>
      <c r="AB84" s="19">
        <v>1.0</v>
      </c>
      <c r="AC84" s="19">
        <v>0.0</v>
      </c>
      <c r="AD84" s="19">
        <v>1.0</v>
      </c>
      <c r="AE84" s="19">
        <v>0.0</v>
      </c>
      <c r="AF84" s="19">
        <v>2.0</v>
      </c>
      <c r="AG84" s="19">
        <v>0.0</v>
      </c>
      <c r="AH84" s="19">
        <v>1.0</v>
      </c>
      <c r="AI84" s="19"/>
      <c r="AJ84" s="13">
        <f t="shared" si="20"/>
        <v>28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0.0</v>
      </c>
      <c r="I85" s="19">
        <v>1.0</v>
      </c>
      <c r="J85" s="19">
        <v>4.0</v>
      </c>
      <c r="K85" s="19">
        <v>0.0</v>
      </c>
      <c r="L85" s="19">
        <v>0.0</v>
      </c>
      <c r="M85" s="19">
        <v>4.0</v>
      </c>
      <c r="N85" s="19">
        <v>2.0</v>
      </c>
      <c r="O85" s="19">
        <v>0.0</v>
      </c>
      <c r="P85" s="19">
        <v>0.0</v>
      </c>
      <c r="Q85" s="19">
        <v>4.0</v>
      </c>
      <c r="R85" s="19">
        <v>1.0</v>
      </c>
      <c r="S85" s="19">
        <v>0.0</v>
      </c>
      <c r="T85" s="19">
        <v>1.0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1.0</v>
      </c>
      <c r="AC85" s="19">
        <v>1.0</v>
      </c>
      <c r="AD85" s="19">
        <v>0.0</v>
      </c>
      <c r="AE85" s="19">
        <v>2.0</v>
      </c>
      <c r="AF85" s="19">
        <v>2.0</v>
      </c>
      <c r="AG85" s="19">
        <v>2.0</v>
      </c>
      <c r="AH85" s="19">
        <v>0.0</v>
      </c>
      <c r="AI85" s="19">
        <v>1.0</v>
      </c>
      <c r="AJ85" s="13">
        <f t="shared" si="20"/>
        <v>28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3.0</v>
      </c>
      <c r="L86" s="19">
        <v>2.0</v>
      </c>
      <c r="M86" s="19">
        <v>5.0</v>
      </c>
      <c r="N86" s="19">
        <v>2.0</v>
      </c>
      <c r="O86" s="19">
        <v>5.0</v>
      </c>
      <c r="P86" s="19">
        <v>1.0</v>
      </c>
      <c r="Q86" s="19">
        <v>0.0</v>
      </c>
      <c r="R86" s="19">
        <v>0.0</v>
      </c>
      <c r="S86" s="19">
        <v>1.0</v>
      </c>
      <c r="T86" s="19">
        <v>2.0</v>
      </c>
      <c r="U86" s="19">
        <v>3.0</v>
      </c>
      <c r="V86" s="19">
        <v>0.0</v>
      </c>
      <c r="W86" s="19">
        <v>2.0</v>
      </c>
      <c r="X86" s="19">
        <v>2.0</v>
      </c>
      <c r="Y86" s="19">
        <v>0.0</v>
      </c>
      <c r="Z86" s="19">
        <v>1.0</v>
      </c>
      <c r="AA86" s="19">
        <v>7.0</v>
      </c>
      <c r="AB86" s="19">
        <v>2.0</v>
      </c>
      <c r="AC86" s="19">
        <v>0.0</v>
      </c>
      <c r="AD86" s="19">
        <v>1.0</v>
      </c>
      <c r="AE86" s="19">
        <v>2.0</v>
      </c>
      <c r="AF86" s="19">
        <v>0.0</v>
      </c>
      <c r="AG86" s="19">
        <v>4.0</v>
      </c>
      <c r="AH86" s="19">
        <v>1.0</v>
      </c>
      <c r="AI86" s="19"/>
      <c r="AJ86" s="13">
        <f t="shared" si="20"/>
        <v>50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1.0</v>
      </c>
      <c r="AG87" s="19">
        <v>0.0</v>
      </c>
      <c r="AH87" s="19">
        <v>0.0</v>
      </c>
      <c r="AI87" s="19"/>
      <c r="AJ87" s="13">
        <f t="shared" si="20"/>
        <v>4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2.0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/>
      <c r="AJ88" s="13">
        <f t="shared" si="20"/>
        <v>2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I91" si="21">SUM(E81:E88)</f>
        <v>40</v>
      </c>
      <c r="F91" s="13">
        <f t="shared" si="21"/>
        <v>16</v>
      </c>
      <c r="G91" s="13">
        <f t="shared" si="21"/>
        <v>19</v>
      </c>
      <c r="H91" s="13">
        <f t="shared" si="21"/>
        <v>11</v>
      </c>
      <c r="I91" s="13">
        <f t="shared" si="21"/>
        <v>7</v>
      </c>
      <c r="J91" s="13">
        <f t="shared" si="21"/>
        <v>47</v>
      </c>
      <c r="K91" s="13">
        <f t="shared" si="21"/>
        <v>33</v>
      </c>
      <c r="L91" s="13">
        <f t="shared" si="21"/>
        <v>22</v>
      </c>
      <c r="M91" s="13">
        <f t="shared" si="21"/>
        <v>42</v>
      </c>
      <c r="N91" s="13">
        <f t="shared" si="21"/>
        <v>23</v>
      </c>
      <c r="O91" s="13">
        <f t="shared" si="21"/>
        <v>29</v>
      </c>
      <c r="P91" s="13">
        <f t="shared" si="21"/>
        <v>30</v>
      </c>
      <c r="Q91" s="13">
        <f t="shared" si="21"/>
        <v>15</v>
      </c>
      <c r="R91" s="13">
        <f t="shared" si="21"/>
        <v>17</v>
      </c>
      <c r="S91" s="13">
        <f t="shared" si="21"/>
        <v>49</v>
      </c>
      <c r="T91" s="13">
        <f t="shared" si="21"/>
        <v>19</v>
      </c>
      <c r="U91" s="13">
        <f t="shared" si="21"/>
        <v>20</v>
      </c>
      <c r="V91" s="13">
        <f t="shared" si="21"/>
        <v>21</v>
      </c>
      <c r="W91" s="13">
        <f t="shared" si="21"/>
        <v>30</v>
      </c>
      <c r="X91" s="13">
        <f t="shared" si="21"/>
        <v>26</v>
      </c>
      <c r="Y91" s="13">
        <f t="shared" si="21"/>
        <v>27</v>
      </c>
      <c r="Z91" s="13">
        <f t="shared" si="21"/>
        <v>39</v>
      </c>
      <c r="AA91" s="13">
        <f t="shared" si="21"/>
        <v>33</v>
      </c>
      <c r="AB91" s="13">
        <f t="shared" si="21"/>
        <v>17</v>
      </c>
      <c r="AC91" s="13">
        <f t="shared" si="21"/>
        <v>4</v>
      </c>
      <c r="AD91" s="13">
        <f t="shared" si="21"/>
        <v>18</v>
      </c>
      <c r="AE91" s="13">
        <f t="shared" si="21"/>
        <v>16</v>
      </c>
      <c r="AF91" s="13">
        <f t="shared" si="21"/>
        <v>33</v>
      </c>
      <c r="AG91" s="13">
        <f t="shared" si="21"/>
        <v>23</v>
      </c>
      <c r="AH91" s="13">
        <f t="shared" si="21"/>
        <v>12</v>
      </c>
      <c r="AI91" s="13">
        <f t="shared" si="21"/>
        <v>13</v>
      </c>
      <c r="AJ91" s="13">
        <f t="shared" si="20"/>
        <v>751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1.0</v>
      </c>
      <c r="G93" s="19">
        <v>1.0</v>
      </c>
      <c r="H93" s="19">
        <v>4.0</v>
      </c>
      <c r="I93" s="19">
        <v>0.0</v>
      </c>
      <c r="J93" s="19">
        <v>2.0</v>
      </c>
      <c r="K93" s="19">
        <v>3.0</v>
      </c>
      <c r="L93" s="19">
        <v>0.0</v>
      </c>
      <c r="M93" s="19">
        <v>3.0</v>
      </c>
      <c r="N93" s="19">
        <v>1.0</v>
      </c>
      <c r="O93" s="19">
        <v>2.0</v>
      </c>
      <c r="P93" s="19">
        <v>1.0</v>
      </c>
      <c r="Q93" s="19">
        <v>3.0</v>
      </c>
      <c r="R93" s="19">
        <v>2.0</v>
      </c>
      <c r="S93" s="19">
        <v>4.0</v>
      </c>
      <c r="T93" s="19">
        <v>5.0</v>
      </c>
      <c r="U93" s="19"/>
      <c r="V93" s="19">
        <v>1.0</v>
      </c>
      <c r="W93" s="19">
        <v>2.0</v>
      </c>
      <c r="X93" s="19">
        <v>2.0</v>
      </c>
      <c r="Y93" s="19"/>
      <c r="Z93" s="19">
        <v>2.0</v>
      </c>
      <c r="AA93" s="19">
        <v>2.0</v>
      </c>
      <c r="AB93" s="19"/>
      <c r="AC93" s="19"/>
      <c r="AD93" s="19">
        <v>1.0</v>
      </c>
      <c r="AE93" s="19"/>
      <c r="AF93" s="19"/>
      <c r="AG93" s="19">
        <v>1.0</v>
      </c>
      <c r="AH93" s="19"/>
      <c r="AI93" s="19">
        <v>1.0</v>
      </c>
      <c r="AJ93" s="13">
        <f t="shared" ref="AJ93:AJ103" si="22">SUM(E93:AI93)</f>
        <v>47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5.0</v>
      </c>
      <c r="G94" s="19">
        <v>2.0</v>
      </c>
      <c r="H94" s="19">
        <v>2.0</v>
      </c>
      <c r="I94" s="19">
        <v>4.0</v>
      </c>
      <c r="J94" s="19">
        <v>2.0</v>
      </c>
      <c r="K94" s="19">
        <v>3.0</v>
      </c>
      <c r="L94" s="19">
        <v>5.0</v>
      </c>
      <c r="M94" s="19">
        <v>2.0</v>
      </c>
      <c r="N94" s="19">
        <v>7.0</v>
      </c>
      <c r="O94" s="19">
        <v>1.0</v>
      </c>
      <c r="P94" s="19">
        <v>1.0</v>
      </c>
      <c r="Q94" s="19">
        <v>6.0</v>
      </c>
      <c r="R94" s="19">
        <v>27.0</v>
      </c>
      <c r="S94" s="19">
        <v>5.0</v>
      </c>
      <c r="T94" s="19">
        <v>13.0</v>
      </c>
      <c r="U94" s="19">
        <v>4.0</v>
      </c>
      <c r="V94" s="19">
        <v>1.0</v>
      </c>
      <c r="W94" s="19">
        <v>1.0</v>
      </c>
      <c r="X94" s="19">
        <v>1.0</v>
      </c>
      <c r="Y94" s="19"/>
      <c r="Z94" s="19">
        <v>1.0</v>
      </c>
      <c r="AA94" s="19">
        <v>1.0</v>
      </c>
      <c r="AB94" s="19">
        <v>1.0</v>
      </c>
      <c r="AC94" s="19">
        <v>1.0</v>
      </c>
      <c r="AD94" s="19">
        <v>2.0</v>
      </c>
      <c r="AE94" s="19">
        <v>5.0</v>
      </c>
      <c r="AF94" s="19">
        <v>6.0</v>
      </c>
      <c r="AG94" s="19">
        <v>2.0</v>
      </c>
      <c r="AH94" s="19"/>
      <c r="AI94" s="19">
        <v>2.0</v>
      </c>
      <c r="AJ94" s="13">
        <f t="shared" si="22"/>
        <v>117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2.0</v>
      </c>
      <c r="G95" s="19">
        <v>0.0</v>
      </c>
      <c r="H95" s="19">
        <v>0.0</v>
      </c>
      <c r="I95" s="19">
        <v>1.0</v>
      </c>
      <c r="J95" s="19">
        <v>0.0</v>
      </c>
      <c r="K95" s="19">
        <v>4.0</v>
      </c>
      <c r="L95" s="19">
        <v>2.0</v>
      </c>
      <c r="M95" s="19">
        <v>0.0</v>
      </c>
      <c r="N95" s="19">
        <v>7.0</v>
      </c>
      <c r="O95" s="19">
        <v>2.0</v>
      </c>
      <c r="P95" s="19">
        <v>4.0</v>
      </c>
      <c r="Q95" s="19">
        <v>6.0</v>
      </c>
      <c r="R95" s="19">
        <v>6.0</v>
      </c>
      <c r="S95" s="19">
        <v>7.0</v>
      </c>
      <c r="T95" s="19">
        <v>3.0</v>
      </c>
      <c r="U95" s="19">
        <v>5.0</v>
      </c>
      <c r="V95" s="19">
        <v>0.0</v>
      </c>
      <c r="W95" s="19">
        <v>4.0</v>
      </c>
      <c r="X95" s="19">
        <v>1.0</v>
      </c>
      <c r="Y95" s="19">
        <v>0.0</v>
      </c>
      <c r="Z95" s="19">
        <v>1.0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9.0</v>
      </c>
      <c r="AG95" s="19">
        <v>0.0</v>
      </c>
      <c r="AH95" s="19">
        <v>2.0</v>
      </c>
      <c r="AI95" s="19"/>
      <c r="AJ95" s="13">
        <f t="shared" si="22"/>
        <v>66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1.0</v>
      </c>
      <c r="AB96" s="19">
        <v>0.0</v>
      </c>
      <c r="AC96" s="19">
        <v>0.0</v>
      </c>
      <c r="AD96" s="19">
        <v>0.0</v>
      </c>
      <c r="AE96" s="19">
        <v>0.0</v>
      </c>
      <c r="AF96" s="19">
        <v>1.0</v>
      </c>
      <c r="AG96" s="19">
        <v>0.0</v>
      </c>
      <c r="AH96" s="19">
        <v>0.0</v>
      </c>
      <c r="AI96" s="19"/>
      <c r="AJ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2.0</v>
      </c>
      <c r="M97" s="19">
        <v>0.0</v>
      </c>
      <c r="N97" s="19">
        <v>3.0</v>
      </c>
      <c r="O97" s="19">
        <v>2.0</v>
      </c>
      <c r="P97" s="19">
        <v>2.0</v>
      </c>
      <c r="Q97" s="19">
        <v>1.0</v>
      </c>
      <c r="R97" s="19">
        <v>0.0</v>
      </c>
      <c r="S97" s="19">
        <v>1.0</v>
      </c>
      <c r="T97" s="19">
        <v>3.0</v>
      </c>
      <c r="U97" s="19">
        <v>1.0</v>
      </c>
      <c r="V97" s="19">
        <v>2.0</v>
      </c>
      <c r="W97" s="19">
        <v>0.0</v>
      </c>
      <c r="X97" s="19">
        <v>1.0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2.0</v>
      </c>
      <c r="AE97" s="19">
        <v>2.0</v>
      </c>
      <c r="AF97" s="19">
        <v>1.0</v>
      </c>
      <c r="AG97" s="19">
        <v>4.0</v>
      </c>
      <c r="AH97" s="19">
        <v>0.0</v>
      </c>
      <c r="AI97" s="19"/>
      <c r="AJ97" s="13">
        <f t="shared" si="22"/>
        <v>31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2.0</v>
      </c>
      <c r="L98" s="19">
        <v>2.0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0.0</v>
      </c>
      <c r="T98" s="19">
        <v>3.0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1.0</v>
      </c>
      <c r="AE98" s="19">
        <v>0.0</v>
      </c>
      <c r="AF98" s="19">
        <v>1.0</v>
      </c>
      <c r="AG98" s="19">
        <v>1.0</v>
      </c>
      <c r="AH98" s="19">
        <v>0.0</v>
      </c>
      <c r="AI98" s="19"/>
      <c r="AJ98" s="13">
        <f t="shared" si="22"/>
        <v>14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2.0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1.0</v>
      </c>
      <c r="AG99" s="19">
        <v>1.0</v>
      </c>
      <c r="AH99" s="19">
        <v>0.0</v>
      </c>
      <c r="AI99" s="19"/>
      <c r="AJ99" s="13">
        <f t="shared" si="22"/>
        <v>6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3.0</v>
      </c>
      <c r="L100" s="19">
        <v>0.0</v>
      </c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1.0</v>
      </c>
      <c r="S100" s="19">
        <v>0.0</v>
      </c>
      <c r="T100" s="19">
        <v>2.0</v>
      </c>
      <c r="U100" s="19">
        <v>0.0</v>
      </c>
      <c r="V100" s="19">
        <v>0.0</v>
      </c>
      <c r="W100" s="19">
        <v>0.0</v>
      </c>
      <c r="X100" s="19">
        <v>1.0</v>
      </c>
      <c r="Y100" s="19">
        <v>0.0</v>
      </c>
      <c r="Z100" s="19">
        <v>0.0</v>
      </c>
      <c r="AA100" s="19">
        <v>1.0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1.0</v>
      </c>
      <c r="AJ100" s="13">
        <f t="shared" si="22"/>
        <v>10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I103" si="23">SUM(E93:E100)</f>
        <v>11</v>
      </c>
      <c r="F103" s="13">
        <f t="shared" si="23"/>
        <v>9</v>
      </c>
      <c r="G103" s="13">
        <f t="shared" si="23"/>
        <v>4</v>
      </c>
      <c r="H103" s="13">
        <f t="shared" si="23"/>
        <v>6</v>
      </c>
      <c r="I103" s="13">
        <f t="shared" si="23"/>
        <v>6</v>
      </c>
      <c r="J103" s="13">
        <f t="shared" si="23"/>
        <v>5</v>
      </c>
      <c r="K103" s="13">
        <f t="shared" si="23"/>
        <v>19</v>
      </c>
      <c r="L103" s="13">
        <f t="shared" si="23"/>
        <v>11</v>
      </c>
      <c r="M103" s="13">
        <f t="shared" si="23"/>
        <v>6</v>
      </c>
      <c r="N103" s="13">
        <f t="shared" si="23"/>
        <v>18</v>
      </c>
      <c r="O103" s="13">
        <f t="shared" si="23"/>
        <v>8</v>
      </c>
      <c r="P103" s="13">
        <f t="shared" si="23"/>
        <v>9</v>
      </c>
      <c r="Q103" s="13">
        <f t="shared" si="23"/>
        <v>16</v>
      </c>
      <c r="R103" s="13">
        <f t="shared" si="23"/>
        <v>39</v>
      </c>
      <c r="S103" s="13">
        <f t="shared" si="23"/>
        <v>17</v>
      </c>
      <c r="T103" s="13">
        <f t="shared" si="23"/>
        <v>29</v>
      </c>
      <c r="U103" s="13">
        <f t="shared" si="23"/>
        <v>10</v>
      </c>
      <c r="V103" s="13">
        <f t="shared" si="23"/>
        <v>4</v>
      </c>
      <c r="W103" s="13">
        <f t="shared" si="23"/>
        <v>8</v>
      </c>
      <c r="X103" s="13">
        <f t="shared" si="23"/>
        <v>6</v>
      </c>
      <c r="Y103" s="13">
        <f t="shared" si="23"/>
        <v>0</v>
      </c>
      <c r="Z103" s="13">
        <f t="shared" si="23"/>
        <v>4</v>
      </c>
      <c r="AA103" s="13">
        <f t="shared" si="23"/>
        <v>5</v>
      </c>
      <c r="AB103" s="13">
        <f t="shared" si="23"/>
        <v>1</v>
      </c>
      <c r="AC103" s="13">
        <f t="shared" si="23"/>
        <v>1</v>
      </c>
      <c r="AD103" s="13">
        <f t="shared" si="23"/>
        <v>6</v>
      </c>
      <c r="AE103" s="13">
        <f t="shared" si="23"/>
        <v>7</v>
      </c>
      <c r="AF103" s="13">
        <f t="shared" si="23"/>
        <v>19</v>
      </c>
      <c r="AG103" s="13">
        <f t="shared" si="23"/>
        <v>9</v>
      </c>
      <c r="AH103" s="13">
        <f t="shared" si="23"/>
        <v>2</v>
      </c>
      <c r="AI103" s="13">
        <f t="shared" si="23"/>
        <v>4</v>
      </c>
      <c r="AJ103" s="13">
        <f t="shared" si="22"/>
        <v>299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1.0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1.0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1.0</v>
      </c>
      <c r="AI105" s="19">
        <v>0.0</v>
      </c>
      <c r="AJ105" s="13">
        <f t="shared" ref="AJ105:AJ115" si="24">SUM(E105:AI105)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1.0</v>
      </c>
      <c r="AF107" s="19">
        <v>0.0</v>
      </c>
      <c r="AG107" s="19">
        <v>0.0</v>
      </c>
      <c r="AH107" s="19">
        <v>0.0</v>
      </c>
      <c r="AI107" s="19">
        <v>0.0</v>
      </c>
      <c r="AJ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1.0</v>
      </c>
      <c r="Q110" s="19">
        <v>0.0</v>
      </c>
      <c r="R110" s="19">
        <v>0.0</v>
      </c>
      <c r="S110" s="19">
        <v>1.0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1.0</v>
      </c>
      <c r="AH110" s="19">
        <v>0.0</v>
      </c>
      <c r="AI110" s="19">
        <v>0.0</v>
      </c>
      <c r="AJ110" s="13">
        <f t="shared" si="24"/>
        <v>3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1.0</v>
      </c>
      <c r="Q111" s="19">
        <v>0.0</v>
      </c>
      <c r="R111" s="19">
        <v>1.0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I115" si="25">SUM(E105:E112)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2</v>
      </c>
      <c r="Q115" s="13">
        <f t="shared" si="25"/>
        <v>1</v>
      </c>
      <c r="R115" s="13">
        <f t="shared" si="25"/>
        <v>2</v>
      </c>
      <c r="S115" s="13">
        <f t="shared" si="25"/>
        <v>2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1</v>
      </c>
      <c r="AD115" s="13">
        <f t="shared" si="25"/>
        <v>0</v>
      </c>
      <c r="AE115" s="13">
        <f t="shared" si="25"/>
        <v>1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4"/>
        <v>21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3.0</v>
      </c>
      <c r="I117" s="19">
        <v>0.0</v>
      </c>
      <c r="J117" s="19">
        <v>1.0</v>
      </c>
      <c r="K117" s="19">
        <v>0.0</v>
      </c>
      <c r="L117" s="19">
        <v>1.0</v>
      </c>
      <c r="M117" s="19">
        <v>2.0</v>
      </c>
      <c r="N117" s="19">
        <v>4.0</v>
      </c>
      <c r="O117" s="19">
        <v>2.0</v>
      </c>
      <c r="P117" s="19">
        <v>1.0</v>
      </c>
      <c r="Q117" s="19">
        <v>0.0</v>
      </c>
      <c r="R117" s="19">
        <v>1.0</v>
      </c>
      <c r="S117" s="19">
        <v>0.0</v>
      </c>
      <c r="T117" s="19"/>
      <c r="U117" s="19">
        <v>1.0</v>
      </c>
      <c r="V117" s="19"/>
      <c r="W117" s="19">
        <v>1.0</v>
      </c>
      <c r="X117" s="19">
        <v>1.0</v>
      </c>
      <c r="Y117" s="19"/>
      <c r="Z117" s="19">
        <v>1.0</v>
      </c>
      <c r="AA117" s="19">
        <v>1.0</v>
      </c>
      <c r="AB117" s="19"/>
      <c r="AC117" s="19"/>
      <c r="AD117" s="19"/>
      <c r="AE117" s="19"/>
      <c r="AF117" s="19"/>
      <c r="AG117" s="19">
        <v>1.0</v>
      </c>
      <c r="AH117" s="19">
        <v>1.0</v>
      </c>
      <c r="AI117" s="19"/>
      <c r="AJ117" s="13">
        <f t="shared" ref="AJ117:AJ127" si="26">SUM(E117:AI117)</f>
        <v>23</v>
      </c>
      <c r="AK117" s="5"/>
      <c r="AL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1.0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/>
      <c r="U118" s="19"/>
      <c r="V118" s="19"/>
      <c r="W118" s="19">
        <v>1.0</v>
      </c>
      <c r="X118" s="19">
        <v>1.0</v>
      </c>
      <c r="Y118" s="19">
        <v>1.0</v>
      </c>
      <c r="Z118" s="19"/>
      <c r="AA118" s="19"/>
      <c r="AB118" s="19"/>
      <c r="AC118" s="19"/>
      <c r="AD118" s="19"/>
      <c r="AE118" s="19"/>
      <c r="AF118" s="19">
        <v>1.0</v>
      </c>
      <c r="AG118" s="19"/>
      <c r="AH118" s="19"/>
      <c r="AI118" s="19"/>
      <c r="AJ118" s="13">
        <f t="shared" si="26"/>
        <v>8</v>
      </c>
      <c r="AK118" s="5"/>
      <c r="AL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/>
      <c r="U119" s="19">
        <v>1.0</v>
      </c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>
        <v>1.0</v>
      </c>
      <c r="AH119" s="19"/>
      <c r="AI119" s="19"/>
      <c r="AJ119" s="13">
        <f t="shared" si="26"/>
        <v>4</v>
      </c>
      <c r="AK119" s="5"/>
      <c r="AL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2.0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3">
        <f t="shared" si="26"/>
        <v>3</v>
      </c>
      <c r="AK120" s="5"/>
      <c r="AL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3">
        <f t="shared" si="26"/>
        <v>0</v>
      </c>
      <c r="AK121" s="5"/>
      <c r="AL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3">
        <f t="shared" si="26"/>
        <v>0</v>
      </c>
      <c r="AK122" s="5"/>
      <c r="AL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13">
        <f t="shared" si="26"/>
        <v>0</v>
      </c>
      <c r="AK123" s="5"/>
      <c r="AL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13">
        <f t="shared" si="26"/>
        <v>0</v>
      </c>
      <c r="AK124" s="5"/>
      <c r="AL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13">
        <f t="shared" si="26"/>
        <v>0</v>
      </c>
      <c r="AK125" s="5"/>
      <c r="AL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13">
        <f t="shared" si="26"/>
        <v>0</v>
      </c>
      <c r="AK126" s="5"/>
      <c r="AL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I127" si="27">SUM(E117:E120)</f>
        <v>3</v>
      </c>
      <c r="F127" s="58">
        <f t="shared" si="27"/>
        <v>1</v>
      </c>
      <c r="G127" s="58">
        <f t="shared" si="27"/>
        <v>1</v>
      </c>
      <c r="H127" s="58">
        <f t="shared" si="27"/>
        <v>3</v>
      </c>
      <c r="I127" s="58">
        <f t="shared" si="27"/>
        <v>1</v>
      </c>
      <c r="J127" s="58">
        <f t="shared" si="27"/>
        <v>2</v>
      </c>
      <c r="K127" s="58">
        <f t="shared" si="27"/>
        <v>1</v>
      </c>
      <c r="L127" s="58">
        <f t="shared" si="27"/>
        <v>1</v>
      </c>
      <c r="M127" s="58">
        <f t="shared" si="27"/>
        <v>4</v>
      </c>
      <c r="N127" s="58">
        <f t="shared" si="27"/>
        <v>4</v>
      </c>
      <c r="O127" s="58">
        <f t="shared" si="27"/>
        <v>2</v>
      </c>
      <c r="P127" s="58">
        <f t="shared" si="27"/>
        <v>1</v>
      </c>
      <c r="Q127" s="58">
        <f t="shared" si="27"/>
        <v>0</v>
      </c>
      <c r="R127" s="58">
        <f t="shared" si="27"/>
        <v>1</v>
      </c>
      <c r="S127" s="58">
        <f t="shared" si="27"/>
        <v>0</v>
      </c>
      <c r="T127" s="58">
        <f t="shared" si="27"/>
        <v>0</v>
      </c>
      <c r="U127" s="58">
        <f t="shared" si="27"/>
        <v>2</v>
      </c>
      <c r="V127" s="58">
        <f t="shared" si="27"/>
        <v>0</v>
      </c>
      <c r="W127" s="58">
        <f t="shared" si="27"/>
        <v>2</v>
      </c>
      <c r="X127" s="58">
        <f t="shared" si="27"/>
        <v>2</v>
      </c>
      <c r="Y127" s="58">
        <f t="shared" si="27"/>
        <v>1</v>
      </c>
      <c r="Z127" s="58">
        <f t="shared" si="27"/>
        <v>1</v>
      </c>
      <c r="AA127" s="58">
        <f t="shared" si="27"/>
        <v>1</v>
      </c>
      <c r="AB127" s="58">
        <f t="shared" si="27"/>
        <v>0</v>
      </c>
      <c r="AC127" s="58">
        <f t="shared" si="27"/>
        <v>0</v>
      </c>
      <c r="AD127" s="58">
        <f t="shared" si="27"/>
        <v>0</v>
      </c>
      <c r="AE127" s="58">
        <f t="shared" si="27"/>
        <v>0</v>
      </c>
      <c r="AF127" s="58">
        <f t="shared" si="27"/>
        <v>1</v>
      </c>
      <c r="AG127" s="58">
        <f t="shared" si="27"/>
        <v>2</v>
      </c>
      <c r="AH127" s="58">
        <f t="shared" si="27"/>
        <v>1</v>
      </c>
      <c r="AI127" s="58">
        <f t="shared" si="27"/>
        <v>0</v>
      </c>
      <c r="AJ127" s="13">
        <f t="shared" si="26"/>
        <v>38</v>
      </c>
      <c r="AK127" s="5"/>
      <c r="AL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5"/>
      <c r="AL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/>
      <c r="G129" s="19"/>
      <c r="H129" s="19"/>
      <c r="I129" s="19"/>
      <c r="J129" s="19">
        <v>2.0</v>
      </c>
      <c r="K129" s="19"/>
      <c r="L129" s="19">
        <v>1.0</v>
      </c>
      <c r="M129" s="19">
        <v>1.0</v>
      </c>
      <c r="N129" s="19">
        <v>4.0</v>
      </c>
      <c r="O129" s="19">
        <v>2.0</v>
      </c>
      <c r="P129" s="19">
        <v>2.0</v>
      </c>
      <c r="Q129" s="19">
        <v>2.0</v>
      </c>
      <c r="R129" s="19"/>
      <c r="S129" s="19">
        <v>1.0</v>
      </c>
      <c r="T129" s="19">
        <v>3.0</v>
      </c>
      <c r="U129" s="19">
        <v>1.0</v>
      </c>
      <c r="V129" s="19">
        <v>3.0</v>
      </c>
      <c r="W129" s="19">
        <v>2.0</v>
      </c>
      <c r="X129" s="19">
        <v>2.0</v>
      </c>
      <c r="Y129" s="19">
        <v>1.0</v>
      </c>
      <c r="Z129" s="19">
        <v>1.0</v>
      </c>
      <c r="AA129" s="19">
        <v>3.0</v>
      </c>
      <c r="AB129" s="19">
        <v>5.0</v>
      </c>
      <c r="AC129" s="19"/>
      <c r="AD129" s="19">
        <v>1.0</v>
      </c>
      <c r="AE129" s="19">
        <v>1.0</v>
      </c>
      <c r="AF129" s="19"/>
      <c r="AG129" s="19">
        <v>1.0</v>
      </c>
      <c r="AH129" s="19"/>
      <c r="AI129" s="19">
        <v>2.0</v>
      </c>
      <c r="AJ129" s="13">
        <f t="shared" ref="AJ129:AJ139" si="28">SUM(E129:AI129)</f>
        <v>43</v>
      </c>
      <c r="AK129" s="5"/>
      <c r="AL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/>
      <c r="G130" s="19"/>
      <c r="H130" s="19">
        <v>2.0</v>
      </c>
      <c r="I130" s="19">
        <v>1.0</v>
      </c>
      <c r="J130" s="19">
        <v>1.0</v>
      </c>
      <c r="K130" s="19">
        <v>1.0</v>
      </c>
      <c r="L130" s="19">
        <v>2.0</v>
      </c>
      <c r="M130" s="19">
        <v>1.0</v>
      </c>
      <c r="N130" s="19"/>
      <c r="O130" s="19">
        <v>1.0</v>
      </c>
      <c r="P130" s="19">
        <v>2.0</v>
      </c>
      <c r="Q130" s="19">
        <v>5.0</v>
      </c>
      <c r="R130" s="19">
        <v>2.0</v>
      </c>
      <c r="S130" s="19"/>
      <c r="T130" s="19">
        <v>2.0</v>
      </c>
      <c r="U130" s="19">
        <v>1.0</v>
      </c>
      <c r="V130" s="19">
        <v>1.0</v>
      </c>
      <c r="W130" s="19">
        <v>1.0</v>
      </c>
      <c r="X130" s="19">
        <v>6.0</v>
      </c>
      <c r="Y130" s="19">
        <v>3.0</v>
      </c>
      <c r="Z130" s="19">
        <v>8.0</v>
      </c>
      <c r="AA130" s="19"/>
      <c r="AB130" s="19">
        <v>3.0</v>
      </c>
      <c r="AC130" s="19">
        <v>1.0</v>
      </c>
      <c r="AD130" s="19">
        <v>2.0</v>
      </c>
      <c r="AE130" s="19"/>
      <c r="AF130" s="19">
        <v>2.0</v>
      </c>
      <c r="AG130" s="19">
        <v>4.0</v>
      </c>
      <c r="AH130" s="19">
        <v>1.0</v>
      </c>
      <c r="AI130" s="19">
        <v>1.0</v>
      </c>
      <c r="AJ130" s="13">
        <f t="shared" si="28"/>
        <v>55</v>
      </c>
      <c r="AK130" s="1"/>
      <c r="AL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>
        <v>2.0</v>
      </c>
      <c r="I131" s="19"/>
      <c r="J131" s="19"/>
      <c r="K131" s="19"/>
      <c r="L131" s="19"/>
      <c r="M131" s="19">
        <v>3.0</v>
      </c>
      <c r="N131" s="19">
        <v>4.0</v>
      </c>
      <c r="O131" s="19">
        <v>1.0</v>
      </c>
      <c r="P131" s="19"/>
      <c r="Q131" s="19">
        <v>2.0</v>
      </c>
      <c r="R131" s="19"/>
      <c r="S131" s="19">
        <v>2.0</v>
      </c>
      <c r="T131" s="19"/>
      <c r="U131" s="19">
        <v>4.0</v>
      </c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>
        <v>3.0</v>
      </c>
      <c r="AG131" s="19">
        <v>2.0</v>
      </c>
      <c r="AH131" s="19">
        <v>2.0</v>
      </c>
      <c r="AI131" s="19">
        <v>3.0</v>
      </c>
      <c r="AJ131" s="13">
        <f t="shared" si="28"/>
        <v>28</v>
      </c>
      <c r="AK131" s="52"/>
      <c r="AL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/>
      <c r="L132" s="19">
        <v>1.0</v>
      </c>
      <c r="M132" s="19"/>
      <c r="N132" s="19">
        <v>1.0</v>
      </c>
      <c r="O132" s="19"/>
      <c r="P132" s="19">
        <v>2.0</v>
      </c>
      <c r="Q132" s="19"/>
      <c r="R132" s="19"/>
      <c r="S132" s="19"/>
      <c r="T132" s="19">
        <v>1.0</v>
      </c>
      <c r="U132" s="19"/>
      <c r="V132" s="19"/>
      <c r="W132" s="19"/>
      <c r="X132" s="19"/>
      <c r="Y132" s="19"/>
      <c r="Z132" s="19">
        <v>1.0</v>
      </c>
      <c r="AA132" s="19">
        <v>2.0</v>
      </c>
      <c r="AB132" s="19">
        <v>2.0</v>
      </c>
      <c r="AC132" s="19">
        <v>1.0</v>
      </c>
      <c r="AD132" s="19"/>
      <c r="AE132" s="19"/>
      <c r="AF132" s="19">
        <v>1.0</v>
      </c>
      <c r="AG132" s="19"/>
      <c r="AH132" s="19">
        <v>1.0</v>
      </c>
      <c r="AI132" s="19"/>
      <c r="AJ132" s="13">
        <f t="shared" si="28"/>
        <v>13</v>
      </c>
      <c r="AK132" s="5"/>
      <c r="AL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/>
      <c r="I133" s="19"/>
      <c r="J133" s="19"/>
      <c r="K133" s="19"/>
      <c r="L133" s="19">
        <v>1.0</v>
      </c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>
        <v>1.0</v>
      </c>
      <c r="Y133" s="19"/>
      <c r="Z133" s="19"/>
      <c r="AA133" s="19"/>
      <c r="AB133" s="19"/>
      <c r="AC133" s="19">
        <v>1.0</v>
      </c>
      <c r="AD133" s="19"/>
      <c r="AE133" s="19">
        <v>1.0</v>
      </c>
      <c r="AF133" s="19"/>
      <c r="AG133" s="19"/>
      <c r="AH133" s="19"/>
      <c r="AI133" s="19"/>
      <c r="AJ133" s="13">
        <f t="shared" si="28"/>
        <v>4</v>
      </c>
      <c r="AK133" s="5"/>
      <c r="AL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>
        <v>2.0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>
        <v>2.0</v>
      </c>
      <c r="AA134" s="19"/>
      <c r="AB134" s="19"/>
      <c r="AC134" s="19"/>
      <c r="AD134" s="19"/>
      <c r="AE134" s="19"/>
      <c r="AF134" s="19"/>
      <c r="AG134" s="19">
        <v>1.0</v>
      </c>
      <c r="AH134" s="19"/>
      <c r="AI134" s="19"/>
      <c r="AJ134" s="13">
        <f t="shared" si="28"/>
        <v>5</v>
      </c>
      <c r="AK134" s="5"/>
      <c r="AL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>
        <v>1.0</v>
      </c>
      <c r="Y135" s="19"/>
      <c r="Z135" s="19"/>
      <c r="AA135" s="19"/>
      <c r="AB135" s="19">
        <v>1.0</v>
      </c>
      <c r="AC135" s="19"/>
      <c r="AD135" s="19"/>
      <c r="AE135" s="19"/>
      <c r="AF135" s="19"/>
      <c r="AG135" s="19"/>
      <c r="AH135" s="19"/>
      <c r="AI135" s="19"/>
      <c r="AJ135" s="13">
        <f t="shared" si="28"/>
        <v>2</v>
      </c>
      <c r="AK135" s="5"/>
      <c r="AL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>
        <v>2.0</v>
      </c>
      <c r="AG136" s="19"/>
      <c r="AH136" s="19"/>
      <c r="AI136" s="19"/>
      <c r="AJ136" s="13">
        <f t="shared" si="28"/>
        <v>2</v>
      </c>
      <c r="AK136" s="5"/>
      <c r="AL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3">
        <f t="shared" si="28"/>
        <v>0</v>
      </c>
      <c r="AK137" s="5"/>
      <c r="AL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3">
        <f t="shared" si="28"/>
        <v>0</v>
      </c>
      <c r="AK138" s="5"/>
      <c r="AL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I139" si="29">SUM(E129:E136)</f>
        <v>3</v>
      </c>
      <c r="F139" s="13">
        <f t="shared" si="29"/>
        <v>0</v>
      </c>
      <c r="G139" s="13">
        <f t="shared" si="29"/>
        <v>0</v>
      </c>
      <c r="H139" s="13">
        <f t="shared" si="29"/>
        <v>4</v>
      </c>
      <c r="I139" s="13">
        <f t="shared" si="29"/>
        <v>1</v>
      </c>
      <c r="J139" s="13">
        <f t="shared" si="29"/>
        <v>3</v>
      </c>
      <c r="K139" s="13">
        <f t="shared" si="29"/>
        <v>1</v>
      </c>
      <c r="L139" s="13">
        <f t="shared" si="29"/>
        <v>5</v>
      </c>
      <c r="M139" s="13">
        <f t="shared" si="29"/>
        <v>5</v>
      </c>
      <c r="N139" s="13">
        <f t="shared" si="29"/>
        <v>9</v>
      </c>
      <c r="O139" s="13">
        <f t="shared" si="29"/>
        <v>6</v>
      </c>
      <c r="P139" s="13">
        <f t="shared" si="29"/>
        <v>6</v>
      </c>
      <c r="Q139" s="13">
        <f t="shared" si="29"/>
        <v>9</v>
      </c>
      <c r="R139" s="13">
        <f t="shared" si="29"/>
        <v>2</v>
      </c>
      <c r="S139" s="13">
        <f t="shared" si="29"/>
        <v>3</v>
      </c>
      <c r="T139" s="13">
        <f t="shared" si="29"/>
        <v>6</v>
      </c>
      <c r="U139" s="13">
        <f t="shared" si="29"/>
        <v>6</v>
      </c>
      <c r="V139" s="13">
        <f t="shared" si="29"/>
        <v>4</v>
      </c>
      <c r="W139" s="13">
        <f t="shared" si="29"/>
        <v>3</v>
      </c>
      <c r="X139" s="13">
        <f t="shared" si="29"/>
        <v>10</v>
      </c>
      <c r="Y139" s="13">
        <f t="shared" si="29"/>
        <v>4</v>
      </c>
      <c r="Z139" s="13">
        <f t="shared" si="29"/>
        <v>12</v>
      </c>
      <c r="AA139" s="13">
        <f t="shared" si="29"/>
        <v>5</v>
      </c>
      <c r="AB139" s="13">
        <f t="shared" si="29"/>
        <v>11</v>
      </c>
      <c r="AC139" s="13">
        <f t="shared" si="29"/>
        <v>3</v>
      </c>
      <c r="AD139" s="13">
        <f t="shared" si="29"/>
        <v>3</v>
      </c>
      <c r="AE139" s="13">
        <f t="shared" si="29"/>
        <v>2</v>
      </c>
      <c r="AF139" s="13">
        <f t="shared" si="29"/>
        <v>8</v>
      </c>
      <c r="AG139" s="13">
        <f t="shared" si="29"/>
        <v>8</v>
      </c>
      <c r="AH139" s="13">
        <f t="shared" si="29"/>
        <v>4</v>
      </c>
      <c r="AI139" s="13">
        <f t="shared" si="29"/>
        <v>6</v>
      </c>
      <c r="AJ139" s="13">
        <f t="shared" si="28"/>
        <v>152</v>
      </c>
      <c r="AK139" s="5"/>
      <c r="AL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5"/>
      <c r="AL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>
        <v>1.0</v>
      </c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3">
        <f t="shared" ref="AJ141:AJ151" si="30">SUM(E141:AI141)</f>
        <v>1</v>
      </c>
      <c r="AK141" s="1"/>
      <c r="AL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1.0</v>
      </c>
      <c r="S142" s="19"/>
      <c r="T142" s="19"/>
      <c r="U142" s="19"/>
      <c r="V142" s="19"/>
      <c r="W142" s="19"/>
      <c r="X142" s="19"/>
      <c r="Y142" s="19"/>
      <c r="Z142" s="19"/>
      <c r="AA142" s="19"/>
      <c r="AB142" s="19">
        <v>1.0</v>
      </c>
      <c r="AC142" s="19"/>
      <c r="AD142" s="19"/>
      <c r="AE142" s="19"/>
      <c r="AF142" s="19"/>
      <c r="AG142" s="19"/>
      <c r="AH142" s="19"/>
      <c r="AI142" s="19"/>
      <c r="AJ142" s="13">
        <f t="shared" si="30"/>
        <v>2</v>
      </c>
      <c r="AK142" s="52"/>
      <c r="AL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>
        <v>1.0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>
        <v>1.0</v>
      </c>
      <c r="AJ143" s="13">
        <f t="shared" si="30"/>
        <v>2</v>
      </c>
      <c r="AK143" s="5"/>
      <c r="AL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3">
        <f t="shared" si="30"/>
        <v>0</v>
      </c>
      <c r="AK144" s="5"/>
      <c r="AL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3">
        <f t="shared" si="30"/>
        <v>0</v>
      </c>
      <c r="AK145" s="5"/>
      <c r="AL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>
        <v>1.0</v>
      </c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3">
        <f t="shared" si="30"/>
        <v>1</v>
      </c>
      <c r="AK146" s="5"/>
      <c r="AL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3">
        <f t="shared" si="30"/>
        <v>0</v>
      </c>
      <c r="AK147" s="5"/>
      <c r="AL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3">
        <f t="shared" si="30"/>
        <v>0</v>
      </c>
      <c r="AK148" s="5"/>
      <c r="AL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3">
        <f t="shared" si="30"/>
        <v>0</v>
      </c>
      <c r="AK149" s="5"/>
      <c r="AL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3">
        <f t="shared" si="30"/>
        <v>0</v>
      </c>
      <c r="AK150" s="5"/>
      <c r="AL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I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0"/>
        <v>6</v>
      </c>
      <c r="AK151" s="1"/>
      <c r="AL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13"/>
      <c r="AK152" s="52"/>
      <c r="AL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/>
      <c r="G153" s="19"/>
      <c r="H153" s="19">
        <v>1.0</v>
      </c>
      <c r="I153" s="19"/>
      <c r="J153" s="19"/>
      <c r="K153" s="19"/>
      <c r="L153" s="19"/>
      <c r="M153" s="19">
        <v>1.0</v>
      </c>
      <c r="N153" s="19"/>
      <c r="O153" s="19"/>
      <c r="P153" s="19"/>
      <c r="Q153" s="19">
        <v>1.0</v>
      </c>
      <c r="R153" s="19">
        <v>1.0</v>
      </c>
      <c r="S153" s="19"/>
      <c r="T153" s="19">
        <v>1.0</v>
      </c>
      <c r="U153" s="19">
        <v>2.0</v>
      </c>
      <c r="V153" s="19"/>
      <c r="W153" s="19"/>
      <c r="X153" s="19"/>
      <c r="Y153" s="19"/>
      <c r="Z153" s="19"/>
      <c r="AA153" s="19"/>
      <c r="AB153" s="19">
        <v>1.0</v>
      </c>
      <c r="AC153" s="19"/>
      <c r="AD153" s="19"/>
      <c r="AE153" s="19"/>
      <c r="AF153" s="19"/>
      <c r="AG153" s="19"/>
      <c r="AH153" s="19"/>
      <c r="AI153" s="19"/>
      <c r="AJ153" s="13">
        <f t="shared" ref="AJ153:AJ163" si="32">SUM(E153:AI153)</f>
        <v>9</v>
      </c>
      <c r="AK153" s="5"/>
      <c r="AL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>
        <v>2.0</v>
      </c>
      <c r="G154" s="19">
        <v>1.0</v>
      </c>
      <c r="H154" s="19"/>
      <c r="I154" s="19">
        <v>2.0</v>
      </c>
      <c r="J154" s="19"/>
      <c r="K154" s="19"/>
      <c r="L154" s="19"/>
      <c r="M154" s="19">
        <v>1.0</v>
      </c>
      <c r="N154" s="19">
        <v>1.0</v>
      </c>
      <c r="O154" s="19">
        <v>2.0</v>
      </c>
      <c r="P154" s="19">
        <v>2.0</v>
      </c>
      <c r="Q154" s="19">
        <v>1.0</v>
      </c>
      <c r="R154" s="19">
        <v>2.0</v>
      </c>
      <c r="S154" s="19"/>
      <c r="T154" s="19">
        <v>1.0</v>
      </c>
      <c r="U154" s="19"/>
      <c r="V154" s="19"/>
      <c r="W154" s="19"/>
      <c r="X154" s="19">
        <v>1.0</v>
      </c>
      <c r="Y154" s="19"/>
      <c r="Z154" s="19">
        <v>1.0</v>
      </c>
      <c r="AA154" s="19"/>
      <c r="AB154" s="19"/>
      <c r="AC154" s="19"/>
      <c r="AD154" s="19"/>
      <c r="AE154" s="19"/>
      <c r="AF154" s="19">
        <v>2.0</v>
      </c>
      <c r="AG154" s="19"/>
      <c r="AH154" s="19"/>
      <c r="AI154" s="19"/>
      <c r="AJ154" s="13">
        <f t="shared" si="32"/>
        <v>19</v>
      </c>
      <c r="AK154" s="5"/>
      <c r="AL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/>
      <c r="G155" s="19"/>
      <c r="H155" s="19"/>
      <c r="I155" s="19"/>
      <c r="J155" s="19">
        <v>2.0</v>
      </c>
      <c r="K155" s="19"/>
      <c r="L155" s="19"/>
      <c r="M155" s="19"/>
      <c r="N155" s="19"/>
      <c r="O155" s="19"/>
      <c r="P155" s="19">
        <v>1.0</v>
      </c>
      <c r="Q155" s="19"/>
      <c r="R155" s="19">
        <v>1.0</v>
      </c>
      <c r="S155" s="19"/>
      <c r="T155" s="19">
        <v>1.0</v>
      </c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3">
        <f t="shared" si="32"/>
        <v>5</v>
      </c>
      <c r="AK155" s="5"/>
      <c r="AL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>
        <v>1.0</v>
      </c>
      <c r="T156" s="19"/>
      <c r="U156" s="19"/>
      <c r="V156" s="19"/>
      <c r="W156" s="19"/>
      <c r="X156" s="19">
        <v>1.0</v>
      </c>
      <c r="Y156" s="19">
        <v>1.0</v>
      </c>
      <c r="Z156" s="19">
        <v>2.0</v>
      </c>
      <c r="AA156" s="19"/>
      <c r="AB156" s="19"/>
      <c r="AC156" s="19"/>
      <c r="AD156" s="19"/>
      <c r="AE156" s="19"/>
      <c r="AF156" s="19"/>
      <c r="AG156" s="19"/>
      <c r="AH156" s="19"/>
      <c r="AI156" s="19"/>
      <c r="AJ156" s="13">
        <f t="shared" si="32"/>
        <v>5</v>
      </c>
      <c r="AK156" s="5"/>
      <c r="AL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>
        <v>1.0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3">
        <f t="shared" si="32"/>
        <v>1</v>
      </c>
      <c r="AK157" s="5"/>
      <c r="AL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3">
        <f t="shared" si="32"/>
        <v>0</v>
      </c>
      <c r="AK158" s="5"/>
      <c r="AL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3">
        <f t="shared" si="32"/>
        <v>0</v>
      </c>
      <c r="AK159" s="5"/>
      <c r="AL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3">
        <f t="shared" si="32"/>
        <v>0</v>
      </c>
      <c r="AK160" s="5"/>
      <c r="AL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3">
        <f t="shared" si="32"/>
        <v>0</v>
      </c>
      <c r="AK161" s="5"/>
      <c r="AL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3">
        <f t="shared" si="32"/>
        <v>0</v>
      </c>
      <c r="AK162" s="5"/>
      <c r="AL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I163" si="33">SUM(E153:E157)</f>
        <v>1</v>
      </c>
      <c r="F163" s="13">
        <f t="shared" si="33"/>
        <v>2</v>
      </c>
      <c r="G163" s="13">
        <f t="shared" si="33"/>
        <v>1</v>
      </c>
      <c r="H163" s="13">
        <f t="shared" si="33"/>
        <v>1</v>
      </c>
      <c r="I163" s="13">
        <f t="shared" si="33"/>
        <v>3</v>
      </c>
      <c r="J163" s="13">
        <f t="shared" si="33"/>
        <v>2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1</v>
      </c>
      <c r="O163" s="13">
        <f t="shared" si="33"/>
        <v>2</v>
      </c>
      <c r="P163" s="13">
        <f t="shared" si="33"/>
        <v>3</v>
      </c>
      <c r="Q163" s="13">
        <f t="shared" si="33"/>
        <v>2</v>
      </c>
      <c r="R163" s="13">
        <f t="shared" si="33"/>
        <v>4</v>
      </c>
      <c r="S163" s="13">
        <f t="shared" si="33"/>
        <v>1</v>
      </c>
      <c r="T163" s="13">
        <f t="shared" si="33"/>
        <v>3</v>
      </c>
      <c r="U163" s="13">
        <f t="shared" si="33"/>
        <v>2</v>
      </c>
      <c r="V163" s="13">
        <f t="shared" si="33"/>
        <v>0</v>
      </c>
      <c r="W163" s="13">
        <f t="shared" si="33"/>
        <v>0</v>
      </c>
      <c r="X163" s="13">
        <f t="shared" si="33"/>
        <v>2</v>
      </c>
      <c r="Y163" s="13">
        <f t="shared" si="33"/>
        <v>1</v>
      </c>
      <c r="Z163" s="13">
        <f t="shared" si="33"/>
        <v>3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2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2"/>
        <v>39</v>
      </c>
      <c r="AK163" s="5"/>
      <c r="AL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5"/>
      <c r="AL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>
        <v>1.0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>
        <v>1.0</v>
      </c>
      <c r="V165" s="19"/>
      <c r="W165" s="19"/>
      <c r="X165" s="19">
        <v>1.0</v>
      </c>
      <c r="Y165" s="19">
        <v>1.0</v>
      </c>
      <c r="Z165" s="19"/>
      <c r="AA165" s="19"/>
      <c r="AB165" s="19"/>
      <c r="AC165" s="19"/>
      <c r="AD165" s="19"/>
      <c r="AE165" s="19"/>
      <c r="AF165" s="19"/>
      <c r="AG165" s="19"/>
      <c r="AH165" s="19">
        <v>1.0</v>
      </c>
      <c r="AI165" s="19"/>
      <c r="AJ165" s="13">
        <f t="shared" ref="AJ165:AJ175" si="34">SUM(E165:AI165)</f>
        <v>5</v>
      </c>
      <c r="AK165" s="1"/>
      <c r="AL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/>
      <c r="I166" s="19"/>
      <c r="J166" s="19"/>
      <c r="K166" s="19">
        <v>1.0</v>
      </c>
      <c r="L166" s="19"/>
      <c r="M166" s="19"/>
      <c r="N166" s="19"/>
      <c r="O166" s="19">
        <v>1.0</v>
      </c>
      <c r="P166" s="19"/>
      <c r="Q166" s="19"/>
      <c r="R166" s="19"/>
      <c r="S166" s="19">
        <v>1.0</v>
      </c>
      <c r="T166" s="19"/>
      <c r="U166" s="19">
        <v>1.0</v>
      </c>
      <c r="V166" s="19"/>
      <c r="W166" s="19"/>
      <c r="X166" s="19"/>
      <c r="Y166" s="19">
        <v>1.0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3">
        <f t="shared" si="34"/>
        <v>5</v>
      </c>
      <c r="AK166" s="52"/>
      <c r="AL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/>
      <c r="H167" s="19"/>
      <c r="I167" s="19"/>
      <c r="J167" s="19">
        <v>1.0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>
        <v>1.0</v>
      </c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3">
        <f t="shared" si="34"/>
        <v>2</v>
      </c>
      <c r="AK167" s="5"/>
      <c r="AL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3">
        <f t="shared" si="34"/>
        <v>0</v>
      </c>
      <c r="AK168" s="5"/>
      <c r="AL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>
        <v>1.0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>
        <v>1.0</v>
      </c>
      <c r="T169" s="19">
        <v>1.0</v>
      </c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3">
        <f t="shared" si="34"/>
        <v>3</v>
      </c>
      <c r="AK169" s="5"/>
      <c r="AL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3">
        <f t="shared" si="34"/>
        <v>0</v>
      </c>
      <c r="AK170" s="5"/>
      <c r="AL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3">
        <f t="shared" si="34"/>
        <v>0</v>
      </c>
      <c r="AK171" s="5"/>
      <c r="AL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3">
        <f t="shared" si="34"/>
        <v>0</v>
      </c>
      <c r="AK172" s="5"/>
      <c r="AL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3">
        <f t="shared" si="34"/>
        <v>0</v>
      </c>
      <c r="AK173" s="5"/>
      <c r="AL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3">
        <f t="shared" si="34"/>
        <v>0</v>
      </c>
      <c r="AK174" s="5"/>
      <c r="AL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I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2</v>
      </c>
      <c r="T175" s="13">
        <f t="shared" si="35"/>
        <v>1</v>
      </c>
      <c r="U175" s="13">
        <f t="shared" si="35"/>
        <v>2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2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4"/>
        <v>15</v>
      </c>
      <c r="AK175" s="5"/>
      <c r="AL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1"/>
      <c r="AL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>
        <v>3.0</v>
      </c>
      <c r="I177" s="19">
        <v>1.0</v>
      </c>
      <c r="J177" s="19">
        <v>1.0</v>
      </c>
      <c r="K177" s="19">
        <v>1.0</v>
      </c>
      <c r="L177" s="19">
        <v>1.0</v>
      </c>
      <c r="M177" s="19"/>
      <c r="N177" s="19"/>
      <c r="O177" s="19"/>
      <c r="P177" s="19">
        <v>2.0</v>
      </c>
      <c r="Q177" s="19">
        <v>2.0</v>
      </c>
      <c r="R177" s="19"/>
      <c r="S177" s="19"/>
      <c r="T177" s="19">
        <v>1.0</v>
      </c>
      <c r="U177" s="19"/>
      <c r="V177" s="19"/>
      <c r="W177" s="19">
        <v>1.0</v>
      </c>
      <c r="X177" s="19"/>
      <c r="Y177" s="19"/>
      <c r="Z177" s="19"/>
      <c r="AA177" s="19"/>
      <c r="AB177" s="19">
        <v>1.0</v>
      </c>
      <c r="AC177" s="19">
        <v>1.0</v>
      </c>
      <c r="AD177" s="19"/>
      <c r="AE177" s="19"/>
      <c r="AF177" s="19">
        <v>2.0</v>
      </c>
      <c r="AG177" s="19">
        <v>1.0</v>
      </c>
      <c r="AH177" s="19"/>
      <c r="AI177" s="19">
        <v>1.0</v>
      </c>
      <c r="AJ177" s="13">
        <f t="shared" ref="AJ177:AJ187" si="36">SUM(E177:AI177)</f>
        <v>19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/>
      <c r="G178" s="19"/>
      <c r="H178" s="19"/>
      <c r="I178" s="19"/>
      <c r="J178" s="19"/>
      <c r="K178" s="19"/>
      <c r="L178" s="19"/>
      <c r="M178" s="19">
        <v>1.0</v>
      </c>
      <c r="N178" s="19"/>
      <c r="O178" s="19">
        <v>1.0</v>
      </c>
      <c r="P178" s="19"/>
      <c r="Q178" s="19">
        <v>1.0</v>
      </c>
      <c r="R178" s="19">
        <v>2.0</v>
      </c>
      <c r="S178" s="19">
        <v>1.0</v>
      </c>
      <c r="T178" s="19">
        <v>1.0</v>
      </c>
      <c r="U178" s="19">
        <v>6.0</v>
      </c>
      <c r="V178" s="19"/>
      <c r="W178" s="19"/>
      <c r="X178" s="19"/>
      <c r="Y178" s="19"/>
      <c r="Z178" s="19"/>
      <c r="AA178" s="19"/>
      <c r="AB178" s="19">
        <v>2.0</v>
      </c>
      <c r="AC178" s="19"/>
      <c r="AD178" s="19">
        <v>1.0</v>
      </c>
      <c r="AE178" s="19"/>
      <c r="AF178" s="19">
        <v>2.0</v>
      </c>
      <c r="AG178" s="19">
        <v>3.0</v>
      </c>
      <c r="AH178" s="19"/>
      <c r="AI178" s="19">
        <v>1.0</v>
      </c>
      <c r="AJ178" s="13">
        <f t="shared" si="36"/>
        <v>22</v>
      </c>
      <c r="AK178" s="5"/>
      <c r="AL178" s="5"/>
    </row>
    <row r="179" ht="12.75" customHeight="1">
      <c r="A179" s="18"/>
      <c r="B179" s="55">
        <v>2.0</v>
      </c>
      <c r="C179" s="50" t="s">
        <v>131</v>
      </c>
      <c r="D179" s="57"/>
      <c r="E179" s="19"/>
      <c r="F179" s="19"/>
      <c r="G179" s="19">
        <v>2.0</v>
      </c>
      <c r="H179" s="19">
        <v>1.0</v>
      </c>
      <c r="I179" s="19"/>
      <c r="J179" s="19">
        <v>2.0</v>
      </c>
      <c r="K179" s="19"/>
      <c r="L179" s="19"/>
      <c r="M179" s="19"/>
      <c r="N179" s="19"/>
      <c r="O179" s="19">
        <v>1.0</v>
      </c>
      <c r="P179" s="19"/>
      <c r="Q179" s="19"/>
      <c r="R179" s="19"/>
      <c r="S179" s="19">
        <v>1.0</v>
      </c>
      <c r="T179" s="19">
        <v>1.0</v>
      </c>
      <c r="U179" s="19">
        <v>2.0</v>
      </c>
      <c r="V179" s="19"/>
      <c r="W179" s="19"/>
      <c r="X179" s="19"/>
      <c r="Y179" s="19"/>
      <c r="Z179" s="19">
        <v>1.0</v>
      </c>
      <c r="AA179" s="19"/>
      <c r="AB179" s="19"/>
      <c r="AC179" s="19"/>
      <c r="AD179" s="19"/>
      <c r="AE179" s="19"/>
      <c r="AF179" s="19"/>
      <c r="AG179" s="19">
        <v>2.0</v>
      </c>
      <c r="AH179" s="19"/>
      <c r="AI179" s="19"/>
      <c r="AJ179" s="13">
        <f t="shared" si="36"/>
        <v>13</v>
      </c>
      <c r="AK179" s="5"/>
      <c r="AL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>
        <v>1.0</v>
      </c>
      <c r="H180" s="19">
        <v>1.0</v>
      </c>
      <c r="I180" s="19"/>
      <c r="J180" s="19"/>
      <c r="K180" s="19"/>
      <c r="L180" s="19"/>
      <c r="M180" s="19"/>
      <c r="N180" s="19">
        <v>2.0</v>
      </c>
      <c r="O180" s="19"/>
      <c r="P180" s="19"/>
      <c r="Q180" s="19"/>
      <c r="R180" s="19">
        <v>2.0</v>
      </c>
      <c r="S180" s="19"/>
      <c r="T180" s="19"/>
      <c r="U180" s="19"/>
      <c r="V180" s="19">
        <v>2.0</v>
      </c>
      <c r="W180" s="19">
        <v>1.0</v>
      </c>
      <c r="X180" s="19"/>
      <c r="Y180" s="19"/>
      <c r="Z180" s="19"/>
      <c r="AA180" s="19">
        <v>1.0</v>
      </c>
      <c r="AB180" s="19"/>
      <c r="AC180" s="19"/>
      <c r="AD180" s="19"/>
      <c r="AE180" s="19"/>
      <c r="AF180" s="19">
        <v>1.0</v>
      </c>
      <c r="AG180" s="19"/>
      <c r="AH180" s="19"/>
      <c r="AI180" s="19"/>
      <c r="AJ180" s="13">
        <f t="shared" si="36"/>
        <v>11</v>
      </c>
      <c r="AK180" s="5"/>
      <c r="AL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/>
      <c r="G181" s="19"/>
      <c r="H181" s="19"/>
      <c r="I181" s="19"/>
      <c r="J181" s="19"/>
      <c r="K181" s="19"/>
      <c r="L181" s="19">
        <v>1.0</v>
      </c>
      <c r="M181" s="19"/>
      <c r="N181" s="19"/>
      <c r="O181" s="19"/>
      <c r="P181" s="19">
        <v>1.0</v>
      </c>
      <c r="Q181" s="19"/>
      <c r="R181" s="19"/>
      <c r="S181" s="19"/>
      <c r="T181" s="19"/>
      <c r="U181" s="19"/>
      <c r="V181" s="19"/>
      <c r="W181" s="19"/>
      <c r="X181" s="19">
        <v>1.0</v>
      </c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3">
        <f t="shared" si="36"/>
        <v>3</v>
      </c>
      <c r="AK181" s="5"/>
      <c r="AL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3">
        <f t="shared" si="36"/>
        <v>0</v>
      </c>
      <c r="AK182" s="5"/>
      <c r="AL182" s="5"/>
    </row>
    <row r="183" ht="12.75" customHeight="1">
      <c r="A183" s="18"/>
      <c r="B183" s="55">
        <v>6.0</v>
      </c>
      <c r="C183" s="50" t="s">
        <v>135</v>
      </c>
      <c r="D183" s="57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>
        <v>1.0</v>
      </c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3">
        <f t="shared" si="36"/>
        <v>1</v>
      </c>
      <c r="AK183" s="5"/>
      <c r="AL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>
        <v>1.0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3">
        <f t="shared" si="36"/>
        <v>1</v>
      </c>
      <c r="AK184" s="5"/>
      <c r="AL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3">
        <f t="shared" si="36"/>
        <v>0</v>
      </c>
      <c r="AK185" s="5"/>
      <c r="AL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3">
        <f t="shared" si="36"/>
        <v>0</v>
      </c>
      <c r="AK186" s="5"/>
      <c r="AL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I187" si="37">SUM(E177:E184)</f>
        <v>0</v>
      </c>
      <c r="F187" s="13">
        <f t="shared" si="37"/>
        <v>0</v>
      </c>
      <c r="G187" s="13">
        <f t="shared" si="37"/>
        <v>3</v>
      </c>
      <c r="H187" s="13">
        <f t="shared" si="37"/>
        <v>5</v>
      </c>
      <c r="I187" s="13">
        <f t="shared" si="37"/>
        <v>1</v>
      </c>
      <c r="J187" s="13">
        <f t="shared" si="37"/>
        <v>3</v>
      </c>
      <c r="K187" s="13">
        <f t="shared" si="37"/>
        <v>1</v>
      </c>
      <c r="L187" s="13">
        <f t="shared" si="37"/>
        <v>2</v>
      </c>
      <c r="M187" s="13">
        <f t="shared" si="37"/>
        <v>1</v>
      </c>
      <c r="N187" s="13">
        <f t="shared" si="37"/>
        <v>3</v>
      </c>
      <c r="O187" s="13">
        <f t="shared" si="37"/>
        <v>2</v>
      </c>
      <c r="P187" s="13">
        <f t="shared" si="37"/>
        <v>4</v>
      </c>
      <c r="Q187" s="13">
        <f t="shared" si="37"/>
        <v>3</v>
      </c>
      <c r="R187" s="13">
        <f t="shared" si="37"/>
        <v>4</v>
      </c>
      <c r="S187" s="13">
        <f t="shared" si="37"/>
        <v>2</v>
      </c>
      <c r="T187" s="13">
        <f t="shared" si="37"/>
        <v>3</v>
      </c>
      <c r="U187" s="13">
        <f t="shared" si="37"/>
        <v>8</v>
      </c>
      <c r="V187" s="13">
        <f t="shared" si="37"/>
        <v>2</v>
      </c>
      <c r="W187" s="13">
        <f t="shared" si="37"/>
        <v>2</v>
      </c>
      <c r="X187" s="13">
        <f t="shared" si="37"/>
        <v>1</v>
      </c>
      <c r="Y187" s="13">
        <f t="shared" si="37"/>
        <v>0</v>
      </c>
      <c r="Z187" s="13">
        <f t="shared" si="37"/>
        <v>1</v>
      </c>
      <c r="AA187" s="13">
        <f t="shared" si="37"/>
        <v>1</v>
      </c>
      <c r="AB187" s="13">
        <f t="shared" si="37"/>
        <v>3</v>
      </c>
      <c r="AC187" s="13">
        <f t="shared" si="37"/>
        <v>1</v>
      </c>
      <c r="AD187" s="13">
        <f t="shared" si="37"/>
        <v>1</v>
      </c>
      <c r="AE187" s="13">
        <f t="shared" si="37"/>
        <v>0</v>
      </c>
      <c r="AF187" s="13">
        <f t="shared" si="37"/>
        <v>5</v>
      </c>
      <c r="AG187" s="13">
        <f t="shared" si="37"/>
        <v>6</v>
      </c>
      <c r="AH187" s="13">
        <f t="shared" si="37"/>
        <v>0</v>
      </c>
      <c r="AI187" s="13">
        <f t="shared" si="37"/>
        <v>2</v>
      </c>
      <c r="AJ187" s="13">
        <f t="shared" si="36"/>
        <v>70</v>
      </c>
      <c r="AK187" s="1"/>
      <c r="AL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1.0</v>
      </c>
      <c r="AJ189" s="13">
        <f t="shared" ref="AJ189:AJ199" si="38">SUM(E189:AI189)</f>
        <v>1</v>
      </c>
      <c r="AK189" s="5"/>
      <c r="AL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/>
      <c r="F190" s="19"/>
      <c r="G190" s="19"/>
      <c r="H190" s="19">
        <v>1.0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1.0</v>
      </c>
      <c r="AG190" s="19">
        <v>0.0</v>
      </c>
      <c r="AH190" s="19">
        <v>0.0</v>
      </c>
      <c r="AI190" s="19"/>
      <c r="AJ190" s="13">
        <f t="shared" si="38"/>
        <v>2</v>
      </c>
      <c r="AK190" s="5"/>
      <c r="AL190" s="5"/>
    </row>
    <row r="191" ht="12.75" customHeight="1">
      <c r="A191" s="18"/>
      <c r="B191" s="55">
        <v>2.0</v>
      </c>
      <c r="C191" s="50" t="s">
        <v>140</v>
      </c>
      <c r="D191" s="57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/>
      <c r="AJ191" s="13">
        <f t="shared" si="38"/>
        <v>0</v>
      </c>
      <c r="AK191" s="5"/>
      <c r="AL191" s="5"/>
    </row>
    <row r="192" ht="12.75" customHeight="1">
      <c r="A192" s="18"/>
      <c r="B192" s="55">
        <v>3.0</v>
      </c>
      <c r="C192" s="50" t="s">
        <v>141</v>
      </c>
      <c r="D192" s="57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/>
      <c r="AJ192" s="13">
        <f t="shared" si="38"/>
        <v>0</v>
      </c>
      <c r="AK192" s="5"/>
      <c r="AL192" s="5"/>
    </row>
    <row r="193" ht="12.75" customHeight="1">
      <c r="A193" s="18"/>
      <c r="B193" s="55">
        <v>4.0</v>
      </c>
      <c r="C193" s="50" t="s">
        <v>142</v>
      </c>
      <c r="D193" s="57"/>
      <c r="E193" s="19"/>
      <c r="F193" s="19"/>
      <c r="G193" s="19"/>
      <c r="H193" s="19"/>
      <c r="I193" s="19"/>
      <c r="J193" s="19"/>
      <c r="K193" s="19"/>
      <c r="L193" s="19"/>
      <c r="M193" s="19"/>
      <c r="N193" s="19">
        <v>1.0</v>
      </c>
      <c r="O193" s="19"/>
      <c r="P193" s="19"/>
      <c r="Q193" s="19"/>
      <c r="R193" s="19"/>
      <c r="S193" s="19">
        <v>1.0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/>
      <c r="AJ193" s="13">
        <f t="shared" si="38"/>
        <v>2</v>
      </c>
      <c r="AK193" s="5"/>
      <c r="AL193" s="5"/>
    </row>
    <row r="194" ht="12.75" customHeight="1">
      <c r="A194" s="18"/>
      <c r="B194" s="55">
        <v>5.0</v>
      </c>
      <c r="C194" s="50" t="s">
        <v>143</v>
      </c>
      <c r="D194" s="57"/>
      <c r="E194" s="19"/>
      <c r="F194" s="19"/>
      <c r="G194" s="19"/>
      <c r="H194" s="19"/>
      <c r="I194" s="19"/>
      <c r="J194" s="19"/>
      <c r="K194" s="19">
        <v>1.0</v>
      </c>
      <c r="L194" s="19"/>
      <c r="M194" s="19"/>
      <c r="N194" s="19"/>
      <c r="O194" s="19"/>
      <c r="P194" s="19"/>
      <c r="Q194" s="19"/>
      <c r="R194" s="19"/>
      <c r="S194" s="19"/>
      <c r="T194" s="19">
        <v>1.0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/>
      <c r="AJ194" s="13">
        <f t="shared" si="38"/>
        <v>2</v>
      </c>
      <c r="AK194" s="5"/>
      <c r="AL194" s="5"/>
    </row>
    <row r="195" ht="12.75" customHeight="1">
      <c r="A195" s="18"/>
      <c r="B195" s="55">
        <v>6.0</v>
      </c>
      <c r="C195" s="50" t="s">
        <v>144</v>
      </c>
      <c r="D195" s="57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/>
      <c r="AJ195" s="13">
        <f t="shared" si="38"/>
        <v>0</v>
      </c>
      <c r="AK195" s="5"/>
      <c r="AL195" s="5"/>
    </row>
    <row r="196" ht="12.75" customHeight="1">
      <c r="A196" s="18"/>
      <c r="B196" s="55">
        <v>7.0</v>
      </c>
      <c r="C196" s="50" t="s">
        <v>145</v>
      </c>
      <c r="D196" s="57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/>
      <c r="AJ196" s="13">
        <f t="shared" si="38"/>
        <v>0</v>
      </c>
      <c r="AK196" s="1"/>
      <c r="AL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3">
        <f t="shared" si="38"/>
        <v>0</v>
      </c>
      <c r="AK197" s="1"/>
      <c r="AL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3">
        <f t="shared" si="38"/>
        <v>0</v>
      </c>
      <c r="AK198" s="1"/>
      <c r="AL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I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1</v>
      </c>
      <c r="AJ199" s="13">
        <f t="shared" si="38"/>
        <v>7</v>
      </c>
      <c r="AK199" s="52"/>
      <c r="AL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5"/>
      <c r="AL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11.0</v>
      </c>
      <c r="F201" s="19">
        <v>9.0</v>
      </c>
      <c r="G201" s="19">
        <v>4.0</v>
      </c>
      <c r="H201" s="19">
        <v>5.0</v>
      </c>
      <c r="I201" s="19">
        <v>1.0</v>
      </c>
      <c r="J201" s="19">
        <v>1.0</v>
      </c>
      <c r="K201" s="19">
        <v>2.0</v>
      </c>
      <c r="L201" s="19">
        <v>2.0</v>
      </c>
      <c r="M201" s="19">
        <v>3.0</v>
      </c>
      <c r="N201" s="19">
        <v>3.0</v>
      </c>
      <c r="O201" s="19">
        <v>4.0</v>
      </c>
      <c r="P201" s="19">
        <v>1.0</v>
      </c>
      <c r="Q201" s="19">
        <v>4.0</v>
      </c>
      <c r="R201" s="19">
        <v>2.0</v>
      </c>
      <c r="S201" s="19">
        <v>5.0</v>
      </c>
      <c r="T201" s="19">
        <v>8.0</v>
      </c>
      <c r="U201" s="19">
        <v>6.0</v>
      </c>
      <c r="V201" s="19">
        <v>2.0</v>
      </c>
      <c r="W201" s="19">
        <v>1.0</v>
      </c>
      <c r="X201" s="19">
        <v>2.0</v>
      </c>
      <c r="Y201" s="19">
        <v>1.0</v>
      </c>
      <c r="Z201" s="19">
        <v>4.0</v>
      </c>
      <c r="AA201" s="19">
        <v>0.0</v>
      </c>
      <c r="AB201" s="19">
        <v>3.0</v>
      </c>
      <c r="AC201" s="19">
        <v>0.0</v>
      </c>
      <c r="AD201" s="19">
        <v>0.0</v>
      </c>
      <c r="AE201" s="19">
        <v>2.0</v>
      </c>
      <c r="AF201" s="19">
        <v>2.0</v>
      </c>
      <c r="AG201" s="19">
        <v>0.0</v>
      </c>
      <c r="AH201" s="19">
        <v>2.0</v>
      </c>
      <c r="AI201" s="19">
        <v>3.0</v>
      </c>
      <c r="AJ201" s="13">
        <f t="shared" ref="AJ201:AJ211" si="40">SUM(E201:AI201)</f>
        <v>93</v>
      </c>
      <c r="AK201" s="5"/>
      <c r="AL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10.0</v>
      </c>
      <c r="F202" s="19">
        <v>3.0</v>
      </c>
      <c r="G202" s="19">
        <v>17.0</v>
      </c>
      <c r="H202" s="19">
        <v>6.0</v>
      </c>
      <c r="I202" s="19">
        <v>9.0</v>
      </c>
      <c r="J202" s="19">
        <v>1.0</v>
      </c>
      <c r="K202" s="19">
        <v>2.0</v>
      </c>
      <c r="L202" s="19">
        <v>3.0</v>
      </c>
      <c r="M202" s="19">
        <v>4.0</v>
      </c>
      <c r="N202" s="19">
        <v>3.0</v>
      </c>
      <c r="O202" s="19">
        <v>9.0</v>
      </c>
      <c r="P202" s="19">
        <v>7.0</v>
      </c>
      <c r="Q202" s="19">
        <v>0.0</v>
      </c>
      <c r="R202" s="19">
        <v>7.0</v>
      </c>
      <c r="S202" s="19">
        <v>7.0</v>
      </c>
      <c r="T202" s="19">
        <v>3.0</v>
      </c>
      <c r="U202" s="19">
        <v>9.0</v>
      </c>
      <c r="V202" s="19">
        <v>0.0</v>
      </c>
      <c r="W202" s="19">
        <v>0.0</v>
      </c>
      <c r="X202" s="19">
        <v>1.0</v>
      </c>
      <c r="Y202" s="19">
        <v>2.0</v>
      </c>
      <c r="Z202" s="19">
        <v>3.0</v>
      </c>
      <c r="AA202" s="19">
        <v>3.0</v>
      </c>
      <c r="AB202" s="19">
        <v>1.0</v>
      </c>
      <c r="AC202" s="19">
        <v>2.0</v>
      </c>
      <c r="AD202" s="19">
        <v>7.0</v>
      </c>
      <c r="AE202" s="19">
        <v>7.0</v>
      </c>
      <c r="AF202" s="19">
        <v>8.0</v>
      </c>
      <c r="AG202" s="19">
        <v>6.0</v>
      </c>
      <c r="AH202" s="19">
        <v>1.0</v>
      </c>
      <c r="AI202" s="19">
        <v>3.0</v>
      </c>
      <c r="AJ202" s="13">
        <f t="shared" si="40"/>
        <v>144</v>
      </c>
      <c r="AK202" s="5"/>
      <c r="AL202" s="5"/>
    </row>
    <row r="203" ht="12.75" customHeight="1">
      <c r="A203" s="18"/>
      <c r="B203" s="55">
        <v>2.0</v>
      </c>
      <c r="C203" s="50" t="s">
        <v>149</v>
      </c>
      <c r="D203" s="57"/>
      <c r="E203" s="19">
        <v>4.0</v>
      </c>
      <c r="F203" s="19">
        <v>1.0</v>
      </c>
      <c r="G203" s="19">
        <v>3.0</v>
      </c>
      <c r="H203" s="19">
        <v>2.0</v>
      </c>
      <c r="I203" s="19">
        <v>2.0</v>
      </c>
      <c r="J203" s="19">
        <v>0.0</v>
      </c>
      <c r="K203" s="19">
        <v>0.0</v>
      </c>
      <c r="L203" s="19">
        <v>0.0</v>
      </c>
      <c r="M203" s="19">
        <v>1.0</v>
      </c>
      <c r="N203" s="19">
        <v>1.0</v>
      </c>
      <c r="O203" s="19">
        <v>0.0</v>
      </c>
      <c r="P203" s="19">
        <v>1.0</v>
      </c>
      <c r="Q203" s="19">
        <v>2.0</v>
      </c>
      <c r="R203" s="19">
        <v>1.0</v>
      </c>
      <c r="S203" s="19">
        <v>1.0</v>
      </c>
      <c r="T203" s="19">
        <v>1.0</v>
      </c>
      <c r="U203" s="19">
        <v>4.0</v>
      </c>
      <c r="V203" s="19">
        <v>1.0</v>
      </c>
      <c r="W203" s="19">
        <v>0.0</v>
      </c>
      <c r="X203" s="19">
        <v>2.0</v>
      </c>
      <c r="Y203" s="19">
        <v>0.0</v>
      </c>
      <c r="Z203" s="19">
        <v>2.0</v>
      </c>
      <c r="AA203" s="19">
        <v>2.0</v>
      </c>
      <c r="AB203" s="19">
        <v>0.0</v>
      </c>
      <c r="AC203" s="19">
        <v>3.0</v>
      </c>
      <c r="AD203" s="19">
        <v>1.0</v>
      </c>
      <c r="AE203" s="19">
        <v>0.0</v>
      </c>
      <c r="AF203" s="19">
        <v>1.0</v>
      </c>
      <c r="AG203" s="19">
        <v>4.0</v>
      </c>
      <c r="AH203" s="19">
        <v>2.0</v>
      </c>
      <c r="AI203" s="19"/>
      <c r="AJ203" s="13">
        <f t="shared" si="40"/>
        <v>42</v>
      </c>
      <c r="AK203" s="5"/>
      <c r="AL203" s="5"/>
    </row>
    <row r="204" ht="12.75" customHeight="1">
      <c r="A204" s="18"/>
      <c r="B204" s="55">
        <v>3.0</v>
      </c>
      <c r="C204" s="50" t="s">
        <v>150</v>
      </c>
      <c r="D204" s="57"/>
      <c r="E204" s="19">
        <v>2.0</v>
      </c>
      <c r="F204" s="19">
        <v>1.0</v>
      </c>
      <c r="G204" s="19">
        <v>1.0</v>
      </c>
      <c r="H204" s="19">
        <v>0.0</v>
      </c>
      <c r="I204" s="19">
        <v>3.0</v>
      </c>
      <c r="J204" s="19">
        <v>0.0</v>
      </c>
      <c r="K204" s="19">
        <v>0.0</v>
      </c>
      <c r="L204" s="19">
        <v>1.0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3.0</v>
      </c>
      <c r="U204" s="19">
        <v>0.0</v>
      </c>
      <c r="V204" s="19">
        <v>0.0</v>
      </c>
      <c r="W204" s="19"/>
      <c r="X204" s="19">
        <v>1.0</v>
      </c>
      <c r="Y204" s="19">
        <v>1.0</v>
      </c>
      <c r="Z204" s="19">
        <v>2.0</v>
      </c>
      <c r="AA204" s="19">
        <v>2.0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1.0</v>
      </c>
      <c r="AI204" s="19"/>
      <c r="AJ204" s="13">
        <f t="shared" si="40"/>
        <v>19</v>
      </c>
      <c r="AK204" s="5"/>
      <c r="AL204" s="5"/>
    </row>
    <row r="205" ht="12.75" customHeight="1">
      <c r="A205" s="18"/>
      <c r="B205" s="55">
        <v>4.0</v>
      </c>
      <c r="C205" s="50" t="s">
        <v>151</v>
      </c>
      <c r="D205" s="57"/>
      <c r="E205" s="19">
        <v>3.0</v>
      </c>
      <c r="F205" s="19">
        <v>0.0</v>
      </c>
      <c r="G205" s="19">
        <v>1.0</v>
      </c>
      <c r="H205" s="19">
        <v>1.0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9"/>
      <c r="U205" s="19">
        <v>0.0</v>
      </c>
      <c r="V205" s="19">
        <v>0.0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/>
      <c r="AJ205" s="13">
        <f t="shared" si="40"/>
        <v>9</v>
      </c>
      <c r="AK205" s="5"/>
      <c r="AL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1.0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1.0</v>
      </c>
      <c r="T206" s="19">
        <v>0.0</v>
      </c>
      <c r="U206" s="19">
        <v>2.0</v>
      </c>
      <c r="V206" s="19">
        <v>1.0</v>
      </c>
      <c r="W206" s="19">
        <v>0.0</v>
      </c>
      <c r="X206" s="19">
        <v>0.0</v>
      </c>
      <c r="Y206" s="19">
        <v>0.0</v>
      </c>
      <c r="Z206" s="19">
        <v>0.0</v>
      </c>
      <c r="AA206" s="19">
        <v>2.0</v>
      </c>
      <c r="AB206" s="19">
        <v>0.0</v>
      </c>
      <c r="AC206" s="19">
        <v>0.0</v>
      </c>
      <c r="AD206" s="19">
        <v>0.0</v>
      </c>
      <c r="AE206" s="19">
        <v>1.0</v>
      </c>
      <c r="AF206" s="19">
        <v>1.0</v>
      </c>
      <c r="AG206" s="19">
        <v>1.0</v>
      </c>
      <c r="AH206" s="19">
        <v>0.0</v>
      </c>
      <c r="AI206" s="19"/>
      <c r="AJ206" s="13">
        <f t="shared" si="40"/>
        <v>13</v>
      </c>
      <c r="AK206" s="5"/>
      <c r="AL206" s="5"/>
    </row>
    <row r="207" ht="12.75" customHeight="1">
      <c r="A207" s="18"/>
      <c r="B207" s="55">
        <v>6.0</v>
      </c>
      <c r="C207" s="50" t="s">
        <v>153</v>
      </c>
      <c r="D207" s="57"/>
      <c r="E207" s="19">
        <v>1.0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2.0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1.0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/>
      <c r="AJ207" s="13">
        <f t="shared" si="40"/>
        <v>4</v>
      </c>
      <c r="AK207" s="1"/>
      <c r="AL207" s="1"/>
    </row>
    <row r="208" ht="12.75" customHeight="1">
      <c r="A208" s="18"/>
      <c r="B208" s="55">
        <v>7.0</v>
      </c>
      <c r="C208" s="50" t="s">
        <v>154</v>
      </c>
      <c r="D208" s="57"/>
      <c r="E208" s="19">
        <v>2.0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1.0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/>
      <c r="AJ208" s="13">
        <f t="shared" si="40"/>
        <v>7</v>
      </c>
      <c r="AK208" s="52"/>
      <c r="AL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3">
        <f t="shared" si="40"/>
        <v>0</v>
      </c>
      <c r="AK209" s="52"/>
      <c r="AL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3">
        <f t="shared" si="40"/>
        <v>0</v>
      </c>
      <c r="AK210" s="52"/>
      <c r="AL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I211" si="41">SUM(E201:E208)</f>
        <v>34</v>
      </c>
      <c r="F211" s="13">
        <f t="shared" si="41"/>
        <v>14</v>
      </c>
      <c r="G211" s="13">
        <f t="shared" si="41"/>
        <v>26</v>
      </c>
      <c r="H211" s="13">
        <f t="shared" si="41"/>
        <v>14</v>
      </c>
      <c r="I211" s="13">
        <f t="shared" si="41"/>
        <v>16</v>
      </c>
      <c r="J211" s="13">
        <f t="shared" si="41"/>
        <v>2</v>
      </c>
      <c r="K211" s="13">
        <f t="shared" si="41"/>
        <v>5</v>
      </c>
      <c r="L211" s="13">
        <f t="shared" si="41"/>
        <v>8</v>
      </c>
      <c r="M211" s="13">
        <f t="shared" si="41"/>
        <v>9</v>
      </c>
      <c r="N211" s="13">
        <f t="shared" si="41"/>
        <v>8</v>
      </c>
      <c r="O211" s="13">
        <f t="shared" si="41"/>
        <v>14</v>
      </c>
      <c r="P211" s="13">
        <f t="shared" si="41"/>
        <v>11</v>
      </c>
      <c r="Q211" s="13">
        <f t="shared" si="41"/>
        <v>7</v>
      </c>
      <c r="R211" s="13">
        <f t="shared" si="41"/>
        <v>10</v>
      </c>
      <c r="S211" s="13">
        <f t="shared" si="41"/>
        <v>16</v>
      </c>
      <c r="T211" s="13">
        <f t="shared" si="41"/>
        <v>15</v>
      </c>
      <c r="U211" s="13">
        <f t="shared" si="41"/>
        <v>21</v>
      </c>
      <c r="V211" s="13">
        <f t="shared" si="41"/>
        <v>4</v>
      </c>
      <c r="W211" s="13">
        <f t="shared" si="41"/>
        <v>2</v>
      </c>
      <c r="X211" s="13">
        <f t="shared" si="41"/>
        <v>7</v>
      </c>
      <c r="Y211" s="13">
        <f t="shared" si="41"/>
        <v>4</v>
      </c>
      <c r="Z211" s="13">
        <f t="shared" si="41"/>
        <v>13</v>
      </c>
      <c r="AA211" s="13">
        <f t="shared" si="41"/>
        <v>9</v>
      </c>
      <c r="AB211" s="13">
        <f t="shared" si="41"/>
        <v>4</v>
      </c>
      <c r="AC211" s="13">
        <f t="shared" si="41"/>
        <v>5</v>
      </c>
      <c r="AD211" s="13">
        <f t="shared" si="41"/>
        <v>8</v>
      </c>
      <c r="AE211" s="13">
        <f t="shared" si="41"/>
        <v>10</v>
      </c>
      <c r="AF211" s="13">
        <f t="shared" si="41"/>
        <v>12</v>
      </c>
      <c r="AG211" s="13">
        <f t="shared" si="41"/>
        <v>11</v>
      </c>
      <c r="AH211" s="13">
        <f t="shared" si="41"/>
        <v>6</v>
      </c>
      <c r="AI211" s="13">
        <f t="shared" si="41"/>
        <v>6</v>
      </c>
      <c r="AJ211" s="13">
        <f t="shared" si="40"/>
        <v>331</v>
      </c>
      <c r="AK211" s="5"/>
      <c r="AL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5"/>
      <c r="AL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2.0</v>
      </c>
      <c r="H213" s="19">
        <v>0.0</v>
      </c>
      <c r="I213" s="19">
        <v>0.0</v>
      </c>
      <c r="J213" s="19">
        <v>0.0</v>
      </c>
      <c r="K213" s="19">
        <v>3.0</v>
      </c>
      <c r="L213" s="19">
        <v>2.0</v>
      </c>
      <c r="M213" s="19">
        <v>0.0</v>
      </c>
      <c r="N213" s="19">
        <v>2.0</v>
      </c>
      <c r="O213" s="19">
        <v>2.0</v>
      </c>
      <c r="P213" s="19">
        <v>2.0</v>
      </c>
      <c r="Q213" s="19">
        <v>0.0</v>
      </c>
      <c r="R213" s="19">
        <v>3.0</v>
      </c>
      <c r="S213" s="19">
        <v>4.0</v>
      </c>
      <c r="T213" s="19">
        <v>8.0</v>
      </c>
      <c r="U213" s="19">
        <v>0.0</v>
      </c>
      <c r="V213" s="19">
        <v>0.0</v>
      </c>
      <c r="W213" s="19">
        <v>3.0</v>
      </c>
      <c r="X213" s="19">
        <v>1.0</v>
      </c>
      <c r="Y213" s="19">
        <v>1.0</v>
      </c>
      <c r="Z213" s="19">
        <v>2.0</v>
      </c>
      <c r="AA213" s="19">
        <v>1.0</v>
      </c>
      <c r="AB213" s="19">
        <v>0.0</v>
      </c>
      <c r="AC213" s="19">
        <v>0.0</v>
      </c>
      <c r="AD213" s="19">
        <v>1.0</v>
      </c>
      <c r="AE213" s="19">
        <v>0.0</v>
      </c>
      <c r="AF213" s="19">
        <v>0.0</v>
      </c>
      <c r="AG213" s="19">
        <v>0.0</v>
      </c>
      <c r="AH213" s="19">
        <v>1.0</v>
      </c>
      <c r="AI213" s="19"/>
      <c r="AJ213" s="13">
        <f t="shared" ref="AJ213:AJ223" si="42">SUM(E213:AI213)</f>
        <v>39</v>
      </c>
      <c r="AK213" s="5"/>
      <c r="AL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1.0</v>
      </c>
      <c r="I214" s="19">
        <v>1.0</v>
      </c>
      <c r="J214" s="19">
        <v>3.0</v>
      </c>
      <c r="K214" s="19">
        <v>1.0</v>
      </c>
      <c r="L214" s="19">
        <v>0.0</v>
      </c>
      <c r="M214" s="19">
        <v>1.0</v>
      </c>
      <c r="N214" s="19">
        <v>0.0</v>
      </c>
      <c r="O214" s="19">
        <v>2.0</v>
      </c>
      <c r="P214" s="19">
        <v>2.0</v>
      </c>
      <c r="Q214" s="19"/>
      <c r="R214" s="19">
        <v>3.0</v>
      </c>
      <c r="S214" s="19">
        <v>8.0</v>
      </c>
      <c r="T214" s="19">
        <v>6.0</v>
      </c>
      <c r="U214" s="19">
        <v>0.0</v>
      </c>
      <c r="V214" s="19">
        <v>1.0</v>
      </c>
      <c r="W214" s="19">
        <v>0.0</v>
      </c>
      <c r="X214" s="19">
        <v>0.0</v>
      </c>
      <c r="Y214" s="19">
        <v>0.0</v>
      </c>
      <c r="Z214" s="19">
        <v>5.0</v>
      </c>
      <c r="AA214" s="19">
        <v>1.0</v>
      </c>
      <c r="AB214" s="19">
        <v>0.0</v>
      </c>
      <c r="AC214" s="19">
        <v>0.0</v>
      </c>
      <c r="AD214" s="19">
        <v>1.0</v>
      </c>
      <c r="AE214" s="19">
        <v>2.0</v>
      </c>
      <c r="AF214" s="19">
        <v>1.0</v>
      </c>
      <c r="AG214" s="19">
        <v>1.0</v>
      </c>
      <c r="AH214" s="19">
        <v>0.0</v>
      </c>
      <c r="AI214" s="19"/>
      <c r="AJ214" s="13">
        <f t="shared" si="42"/>
        <v>40</v>
      </c>
      <c r="AK214" s="5"/>
      <c r="AL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1.0</v>
      </c>
      <c r="J215" s="19">
        <v>1.0</v>
      </c>
      <c r="K215" s="19">
        <v>0.0</v>
      </c>
      <c r="L215" s="19">
        <v>5.0</v>
      </c>
      <c r="M215" s="19">
        <v>2.0</v>
      </c>
      <c r="N215" s="19">
        <v>0.0</v>
      </c>
      <c r="O215" s="19">
        <v>0.0</v>
      </c>
      <c r="P215" s="19">
        <v>1.0</v>
      </c>
      <c r="Q215" s="19">
        <v>0.0</v>
      </c>
      <c r="R215" s="19">
        <v>4.0</v>
      </c>
      <c r="S215" s="19">
        <v>1.0</v>
      </c>
      <c r="T215" s="19">
        <v>0.0</v>
      </c>
      <c r="U215" s="19">
        <v>3.0</v>
      </c>
      <c r="V215" s="19">
        <v>0.0</v>
      </c>
      <c r="W215" s="19">
        <v>8.0</v>
      </c>
      <c r="X215" s="19">
        <v>7.0</v>
      </c>
      <c r="Y215" s="19">
        <v>5.0</v>
      </c>
      <c r="Z215" s="19">
        <v>0.0</v>
      </c>
      <c r="AA215" s="19">
        <v>0.0</v>
      </c>
      <c r="AB215" s="19">
        <v>0.0</v>
      </c>
      <c r="AC215" s="19">
        <v>0.0</v>
      </c>
      <c r="AD215" s="19">
        <v>4.0</v>
      </c>
      <c r="AE215" s="19">
        <v>1.0</v>
      </c>
      <c r="AF215" s="19">
        <v>0.0</v>
      </c>
      <c r="AG215" s="19">
        <v>2.0</v>
      </c>
      <c r="AH215" s="19">
        <v>2.0</v>
      </c>
      <c r="AI215" s="19"/>
      <c r="AJ215" s="13">
        <f t="shared" si="42"/>
        <v>47</v>
      </c>
      <c r="AK215" s="5"/>
      <c r="AL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/>
      <c r="N216" s="19">
        <v>1.0</v>
      </c>
      <c r="O216" s="19">
        <v>0.0</v>
      </c>
      <c r="P216" s="19">
        <v>0.0</v>
      </c>
      <c r="Q216" s="19">
        <v>1.0</v>
      </c>
      <c r="R216" s="19">
        <v>1.0</v>
      </c>
      <c r="S216" s="19">
        <v>1.0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0.0</v>
      </c>
      <c r="AF216" s="19">
        <v>1.0</v>
      </c>
      <c r="AG216" s="19">
        <v>0.0</v>
      </c>
      <c r="AH216" s="19">
        <v>0.0</v>
      </c>
      <c r="AI216" s="19"/>
      <c r="AJ216" s="13">
        <f t="shared" si="42"/>
        <v>7</v>
      </c>
      <c r="AK216" s="5"/>
      <c r="AL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/>
      <c r="AJ217" s="13">
        <f t="shared" si="42"/>
        <v>2</v>
      </c>
      <c r="AK217" s="5"/>
      <c r="AL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/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1.0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1.0</v>
      </c>
      <c r="AE218" s="19">
        <v>0.0</v>
      </c>
      <c r="AF218" s="19">
        <v>0.0</v>
      </c>
      <c r="AG218" s="19">
        <v>0.0</v>
      </c>
      <c r="AH218" s="19">
        <v>0.0</v>
      </c>
      <c r="AI218" s="19"/>
      <c r="AJ218" s="13">
        <f t="shared" si="42"/>
        <v>2</v>
      </c>
      <c r="AK218" s="1"/>
      <c r="AL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1.0</v>
      </c>
      <c r="AF219" s="19">
        <v>1.0</v>
      </c>
      <c r="AG219" s="19">
        <v>0.0</v>
      </c>
      <c r="AH219" s="19">
        <v>0.0</v>
      </c>
      <c r="AI219" s="19"/>
      <c r="AJ219" s="13">
        <f t="shared" si="42"/>
        <v>3</v>
      </c>
      <c r="AK219" s="52"/>
      <c r="AL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/>
      <c r="W220" s="19">
        <v>1.0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/>
      <c r="AJ220" s="13">
        <f t="shared" si="42"/>
        <v>2</v>
      </c>
      <c r="AK220" s="5"/>
      <c r="AL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3">
        <f t="shared" si="42"/>
        <v>0</v>
      </c>
      <c r="AK221" s="5"/>
      <c r="AL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3">
        <f t="shared" si="42"/>
        <v>0</v>
      </c>
      <c r="AK222" s="5"/>
      <c r="AL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I223" si="43">SUM(E213:E220)</f>
        <v>2</v>
      </c>
      <c r="F223" s="13">
        <f t="shared" si="43"/>
        <v>0</v>
      </c>
      <c r="G223" s="13">
        <f t="shared" si="43"/>
        <v>2</v>
      </c>
      <c r="H223" s="13">
        <f t="shared" si="43"/>
        <v>1</v>
      </c>
      <c r="I223" s="13">
        <f t="shared" si="43"/>
        <v>2</v>
      </c>
      <c r="J223" s="13">
        <f t="shared" si="43"/>
        <v>4</v>
      </c>
      <c r="K223" s="13">
        <f t="shared" si="43"/>
        <v>4</v>
      </c>
      <c r="L223" s="13">
        <f t="shared" si="43"/>
        <v>7</v>
      </c>
      <c r="M223" s="13">
        <f t="shared" si="43"/>
        <v>4</v>
      </c>
      <c r="N223" s="13">
        <f t="shared" si="43"/>
        <v>4</v>
      </c>
      <c r="O223" s="13">
        <f t="shared" si="43"/>
        <v>4</v>
      </c>
      <c r="P223" s="13">
        <f t="shared" si="43"/>
        <v>5</v>
      </c>
      <c r="Q223" s="13">
        <f t="shared" si="43"/>
        <v>1</v>
      </c>
      <c r="R223" s="13">
        <f t="shared" si="43"/>
        <v>11</v>
      </c>
      <c r="S223" s="13">
        <f t="shared" si="43"/>
        <v>15</v>
      </c>
      <c r="T223" s="13">
        <f t="shared" si="43"/>
        <v>14</v>
      </c>
      <c r="U223" s="13">
        <f t="shared" si="43"/>
        <v>4</v>
      </c>
      <c r="V223" s="13">
        <f t="shared" si="43"/>
        <v>1</v>
      </c>
      <c r="W223" s="13">
        <f t="shared" si="43"/>
        <v>13</v>
      </c>
      <c r="X223" s="13">
        <f t="shared" si="43"/>
        <v>8</v>
      </c>
      <c r="Y223" s="13">
        <f t="shared" si="43"/>
        <v>7</v>
      </c>
      <c r="Z223" s="13">
        <f t="shared" si="43"/>
        <v>7</v>
      </c>
      <c r="AA223" s="13">
        <f t="shared" si="43"/>
        <v>2</v>
      </c>
      <c r="AB223" s="13">
        <f t="shared" si="43"/>
        <v>0</v>
      </c>
      <c r="AC223" s="13">
        <f t="shared" si="43"/>
        <v>0</v>
      </c>
      <c r="AD223" s="13">
        <f t="shared" si="43"/>
        <v>7</v>
      </c>
      <c r="AE223" s="13">
        <f t="shared" si="43"/>
        <v>4</v>
      </c>
      <c r="AF223" s="13">
        <f t="shared" si="43"/>
        <v>3</v>
      </c>
      <c r="AG223" s="13">
        <f t="shared" si="43"/>
        <v>3</v>
      </c>
      <c r="AH223" s="13">
        <f t="shared" si="43"/>
        <v>3</v>
      </c>
      <c r="AI223" s="13">
        <f t="shared" si="43"/>
        <v>0</v>
      </c>
      <c r="AJ223" s="13">
        <f t="shared" si="42"/>
        <v>142</v>
      </c>
      <c r="AK223" s="5"/>
      <c r="AL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5"/>
      <c r="AL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1.0</v>
      </c>
      <c r="K225" s="19">
        <v>2.0</v>
      </c>
      <c r="L225" s="19">
        <v>1.0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0.0</v>
      </c>
      <c r="V225" s="19">
        <v>0.0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1.0</v>
      </c>
      <c r="AG225" s="19">
        <v>1.0</v>
      </c>
      <c r="AH225" s="19">
        <v>0.0</v>
      </c>
      <c r="AI225" s="19"/>
      <c r="AJ225" s="13">
        <f t="shared" ref="AJ225:AJ235" si="44">SUM(E225:AI225)</f>
        <v>11</v>
      </c>
      <c r="AK225" s="5"/>
      <c r="AL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5.0</v>
      </c>
      <c r="G226" s="19">
        <v>1.0</v>
      </c>
      <c r="H226" s="19">
        <v>12.0</v>
      </c>
      <c r="I226" s="19">
        <v>3.0</v>
      </c>
      <c r="J226" s="19">
        <v>4.0</v>
      </c>
      <c r="K226" s="19">
        <v>6.0</v>
      </c>
      <c r="L226" s="19">
        <v>15.0</v>
      </c>
      <c r="M226" s="19">
        <v>12.0</v>
      </c>
      <c r="N226" s="19">
        <v>9.0</v>
      </c>
      <c r="O226" s="19">
        <v>2.0</v>
      </c>
      <c r="P226" s="19">
        <v>1.0</v>
      </c>
      <c r="Q226" s="19">
        <v>4.0</v>
      </c>
      <c r="R226" s="19">
        <v>6.0</v>
      </c>
      <c r="S226" s="19">
        <v>6.0</v>
      </c>
      <c r="T226" s="19">
        <v>0.0</v>
      </c>
      <c r="U226" s="19">
        <v>1.0</v>
      </c>
      <c r="V226" s="19">
        <v>1.0</v>
      </c>
      <c r="W226" s="19">
        <v>6.0</v>
      </c>
      <c r="X226" s="19">
        <v>8.0</v>
      </c>
      <c r="Y226" s="19">
        <v>0.0</v>
      </c>
      <c r="Z226" s="19">
        <v>2.0</v>
      </c>
      <c r="AA226" s="19">
        <v>0.0</v>
      </c>
      <c r="AB226" s="19">
        <v>3.0</v>
      </c>
      <c r="AC226" s="19">
        <v>1.0</v>
      </c>
      <c r="AD226" s="19">
        <v>14.0</v>
      </c>
      <c r="AE226" s="19">
        <v>4.0</v>
      </c>
      <c r="AF226" s="19">
        <v>8.0</v>
      </c>
      <c r="AG226" s="19">
        <v>0.0</v>
      </c>
      <c r="AH226" s="19">
        <v>0.0</v>
      </c>
      <c r="AI226" s="19">
        <v>3.0</v>
      </c>
      <c r="AJ226" s="13">
        <f t="shared" si="44"/>
        <v>137</v>
      </c>
      <c r="AK226" s="5"/>
      <c r="AL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1.0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1.0</v>
      </c>
      <c r="AG227" s="19">
        <v>0.0</v>
      </c>
      <c r="AH227" s="19">
        <v>0.0</v>
      </c>
      <c r="AI227" s="19"/>
      <c r="AJ227" s="13">
        <f t="shared" si="44"/>
        <v>3</v>
      </c>
      <c r="AK227" s="5"/>
      <c r="AL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1.0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9">
        <v>1.0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/>
      <c r="AJ228" s="13">
        <f t="shared" si="44"/>
        <v>4</v>
      </c>
      <c r="AK228" s="5"/>
      <c r="AL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/>
      <c r="AJ229" s="13">
        <f t="shared" si="44"/>
        <v>0</v>
      </c>
      <c r="AK229" s="1"/>
      <c r="AL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/>
      <c r="AJ230" s="13">
        <f t="shared" si="44"/>
        <v>0</v>
      </c>
      <c r="AK230" s="52"/>
      <c r="AL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1.0</v>
      </c>
      <c r="AG231" s="19">
        <v>0.0</v>
      </c>
      <c r="AH231" s="19">
        <v>0.0</v>
      </c>
      <c r="AI231" s="19"/>
      <c r="AJ231" s="13">
        <f t="shared" si="44"/>
        <v>1</v>
      </c>
      <c r="AK231" s="5"/>
      <c r="AL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/>
      <c r="U232" s="19">
        <v>1.0</v>
      </c>
      <c r="V232" s="19">
        <v>1.0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0.0</v>
      </c>
      <c r="AB232" s="19">
        <v>0.0</v>
      </c>
      <c r="AC232" s="19">
        <v>0.0</v>
      </c>
      <c r="AD232" s="19">
        <v>2.0</v>
      </c>
      <c r="AE232" s="19">
        <v>0.0</v>
      </c>
      <c r="AF232" s="19">
        <v>2.0</v>
      </c>
      <c r="AG232" s="19">
        <v>0.0</v>
      </c>
      <c r="AH232" s="19">
        <v>0.0</v>
      </c>
      <c r="AI232" s="19"/>
      <c r="AJ232" s="13">
        <f t="shared" si="44"/>
        <v>9</v>
      </c>
      <c r="AK232" s="5"/>
      <c r="AL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3">
        <f t="shared" si="44"/>
        <v>0</v>
      </c>
      <c r="AK233" s="5"/>
      <c r="AL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3">
        <f t="shared" si="44"/>
        <v>0</v>
      </c>
      <c r="AK234" s="5"/>
      <c r="AL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I235" si="45">SUM(E225:E232)</f>
        <v>1</v>
      </c>
      <c r="F235" s="13">
        <f t="shared" si="45"/>
        <v>7</v>
      </c>
      <c r="G235" s="13">
        <f t="shared" si="45"/>
        <v>2</v>
      </c>
      <c r="H235" s="13">
        <f t="shared" si="45"/>
        <v>12</v>
      </c>
      <c r="I235" s="13">
        <f t="shared" si="45"/>
        <v>3</v>
      </c>
      <c r="J235" s="13">
        <f t="shared" si="45"/>
        <v>5</v>
      </c>
      <c r="K235" s="13">
        <f t="shared" si="45"/>
        <v>8</v>
      </c>
      <c r="L235" s="13">
        <f t="shared" si="45"/>
        <v>19</v>
      </c>
      <c r="M235" s="13">
        <f t="shared" si="45"/>
        <v>12</v>
      </c>
      <c r="N235" s="13">
        <f t="shared" si="45"/>
        <v>11</v>
      </c>
      <c r="O235" s="13">
        <f t="shared" si="45"/>
        <v>2</v>
      </c>
      <c r="P235" s="13">
        <f t="shared" si="45"/>
        <v>1</v>
      </c>
      <c r="Q235" s="13">
        <f t="shared" si="45"/>
        <v>5</v>
      </c>
      <c r="R235" s="13">
        <f t="shared" si="45"/>
        <v>6</v>
      </c>
      <c r="S235" s="13">
        <f t="shared" si="45"/>
        <v>7</v>
      </c>
      <c r="T235" s="13">
        <f t="shared" si="45"/>
        <v>1</v>
      </c>
      <c r="U235" s="13">
        <f t="shared" si="45"/>
        <v>2</v>
      </c>
      <c r="V235" s="13">
        <f t="shared" si="45"/>
        <v>2</v>
      </c>
      <c r="W235" s="13">
        <f t="shared" si="45"/>
        <v>7</v>
      </c>
      <c r="X235" s="13">
        <f t="shared" si="45"/>
        <v>8</v>
      </c>
      <c r="Y235" s="13">
        <f t="shared" si="45"/>
        <v>0</v>
      </c>
      <c r="Z235" s="13">
        <f t="shared" si="45"/>
        <v>3</v>
      </c>
      <c r="AA235" s="13">
        <f t="shared" si="45"/>
        <v>0</v>
      </c>
      <c r="AB235" s="13">
        <f t="shared" si="45"/>
        <v>3</v>
      </c>
      <c r="AC235" s="13">
        <f t="shared" si="45"/>
        <v>1</v>
      </c>
      <c r="AD235" s="13">
        <f t="shared" si="45"/>
        <v>16</v>
      </c>
      <c r="AE235" s="13">
        <f t="shared" si="45"/>
        <v>4</v>
      </c>
      <c r="AF235" s="13">
        <f t="shared" si="45"/>
        <v>13</v>
      </c>
      <c r="AG235" s="13">
        <f t="shared" si="45"/>
        <v>1</v>
      </c>
      <c r="AH235" s="13">
        <f t="shared" si="45"/>
        <v>0</v>
      </c>
      <c r="AI235" s="13">
        <f t="shared" si="45"/>
        <v>3</v>
      </c>
      <c r="AJ235" s="13">
        <f t="shared" si="44"/>
        <v>165</v>
      </c>
      <c r="AK235" s="5"/>
      <c r="AL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5"/>
      <c r="AL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3.0</v>
      </c>
      <c r="F237" s="19">
        <v>0.0</v>
      </c>
      <c r="G237" s="19">
        <v>0.0</v>
      </c>
      <c r="H237" s="19">
        <v>1.0</v>
      </c>
      <c r="I237" s="19">
        <v>0.0</v>
      </c>
      <c r="J237" s="19">
        <v>5.0</v>
      </c>
      <c r="K237" s="19">
        <v>0.0</v>
      </c>
      <c r="L237" s="19">
        <v>1.0</v>
      </c>
      <c r="M237" s="19">
        <v>3.0</v>
      </c>
      <c r="N237" s="19">
        <v>0.0</v>
      </c>
      <c r="O237" s="19">
        <v>0.0</v>
      </c>
      <c r="P237" s="19">
        <v>1.0</v>
      </c>
      <c r="Q237" s="19">
        <v>0.0</v>
      </c>
      <c r="R237" s="19">
        <v>1.0</v>
      </c>
      <c r="S237" s="19">
        <v>0.0</v>
      </c>
      <c r="T237" s="19">
        <v>1.0</v>
      </c>
      <c r="U237" s="19">
        <v>5.0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2.0</v>
      </c>
      <c r="AB237" s="19">
        <v>1.0</v>
      </c>
      <c r="AC237" s="19">
        <v>3.0</v>
      </c>
      <c r="AD237" s="19">
        <v>1.0</v>
      </c>
      <c r="AE237" s="19">
        <v>4.0</v>
      </c>
      <c r="AF237" s="19">
        <v>1.0</v>
      </c>
      <c r="AG237" s="19">
        <v>0.0</v>
      </c>
      <c r="AH237" s="19">
        <v>2.0</v>
      </c>
      <c r="AI237" s="19">
        <v>2.0</v>
      </c>
      <c r="AJ237" s="13">
        <f t="shared" ref="AJ237:AJ247" si="46">SUM(E237:AI237)</f>
        <v>37</v>
      </c>
      <c r="AK237" s="5"/>
      <c r="AL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2.0</v>
      </c>
      <c r="F238" s="19">
        <v>3.0</v>
      </c>
      <c r="G238" s="19">
        <v>2.0</v>
      </c>
      <c r="H238" s="19">
        <v>1.0</v>
      </c>
      <c r="I238" s="19">
        <v>0.0</v>
      </c>
      <c r="J238" s="19">
        <v>5.0</v>
      </c>
      <c r="K238" s="19">
        <v>1.0</v>
      </c>
      <c r="L238" s="19">
        <v>1.0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2.0</v>
      </c>
      <c r="V238" s="19">
        <v>0.0</v>
      </c>
      <c r="W238" s="19">
        <v>1.0</v>
      </c>
      <c r="X238" s="19">
        <v>1.0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7.0</v>
      </c>
      <c r="AD238" s="19">
        <v>4.0</v>
      </c>
      <c r="AE238" s="19">
        <v>6.0</v>
      </c>
      <c r="AF238" s="19">
        <v>0.0</v>
      </c>
      <c r="AG238" s="19">
        <v>0.0</v>
      </c>
      <c r="AH238" s="19">
        <v>0.0</v>
      </c>
      <c r="AI238" s="19">
        <v>7.0</v>
      </c>
      <c r="AJ238" s="13">
        <f t="shared" si="46"/>
        <v>45</v>
      </c>
      <c r="AK238" s="5"/>
      <c r="AL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10.0</v>
      </c>
      <c r="G239" s="19">
        <v>2.0</v>
      </c>
      <c r="H239" s="19">
        <v>0.0</v>
      </c>
      <c r="I239" s="19">
        <v>0.0</v>
      </c>
      <c r="J239" s="19">
        <v>5.0</v>
      </c>
      <c r="K239" s="19">
        <v>5.0</v>
      </c>
      <c r="L239" s="19">
        <v>0.0</v>
      </c>
      <c r="M239" s="19">
        <v>3.0</v>
      </c>
      <c r="N239" s="19">
        <v>2.0</v>
      </c>
      <c r="O239" s="19">
        <v>1.0</v>
      </c>
      <c r="P239" s="19">
        <v>0.0</v>
      </c>
      <c r="Q239" s="19">
        <v>1.0</v>
      </c>
      <c r="R239" s="19">
        <v>9.0</v>
      </c>
      <c r="S239" s="19">
        <v>0.0</v>
      </c>
      <c r="T239" s="19">
        <v>2.0</v>
      </c>
      <c r="U239" s="19">
        <v>0.0</v>
      </c>
      <c r="V239" s="19">
        <v>1.0</v>
      </c>
      <c r="W239" s="19">
        <v>0.0</v>
      </c>
      <c r="X239" s="19">
        <v>3.0</v>
      </c>
      <c r="Y239" s="19">
        <v>0.0</v>
      </c>
      <c r="Z239" s="19">
        <v>0.0</v>
      </c>
      <c r="AA239" s="19">
        <v>0.0</v>
      </c>
      <c r="AB239" s="19">
        <v>1.0</v>
      </c>
      <c r="AC239" s="19">
        <v>9.0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2.0</v>
      </c>
      <c r="AI239" s="19">
        <v>1.0</v>
      </c>
      <c r="AJ239" s="13">
        <f t="shared" si="46"/>
        <v>58</v>
      </c>
      <c r="AK239" s="5"/>
      <c r="AL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1.0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1.0</v>
      </c>
      <c r="AJ240" s="13">
        <f t="shared" si="46"/>
        <v>5</v>
      </c>
      <c r="AK240" s="1"/>
      <c r="AL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1.0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4.0</v>
      </c>
      <c r="AF241" s="19">
        <v>0.0</v>
      </c>
      <c r="AG241" s="19">
        <v>0.0</v>
      </c>
      <c r="AH241" s="19">
        <v>1.0</v>
      </c>
      <c r="AI241" s="19"/>
      <c r="AJ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1.0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/>
      <c r="AJ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/>
      <c r="AJ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1.0</v>
      </c>
      <c r="L244" s="19">
        <v>0.0</v>
      </c>
      <c r="M244" s="19"/>
      <c r="N244" s="19">
        <v>1.0</v>
      </c>
      <c r="O244" s="19">
        <v>1.0</v>
      </c>
      <c r="P244" s="19">
        <v>0.0</v>
      </c>
      <c r="Q244" s="19">
        <v>2.0</v>
      </c>
      <c r="R244" s="19">
        <v>0.0</v>
      </c>
      <c r="S244" s="19">
        <v>1.0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5.0</v>
      </c>
      <c r="AF244" s="19">
        <v>3.0</v>
      </c>
      <c r="AG244" s="19">
        <v>1.0</v>
      </c>
      <c r="AH244" s="19">
        <v>0.0</v>
      </c>
      <c r="AI244" s="19"/>
      <c r="AJ244" s="13">
        <f t="shared" si="46"/>
        <v>16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I247" si="47">SUM(E237:E244)</f>
        <v>7</v>
      </c>
      <c r="F247" s="13">
        <f t="shared" si="47"/>
        <v>14</v>
      </c>
      <c r="G247" s="13">
        <f t="shared" si="47"/>
        <v>4</v>
      </c>
      <c r="H247" s="13">
        <f t="shared" si="47"/>
        <v>2</v>
      </c>
      <c r="I247" s="13">
        <f t="shared" si="47"/>
        <v>1</v>
      </c>
      <c r="J247" s="13">
        <f t="shared" si="47"/>
        <v>16</v>
      </c>
      <c r="K247" s="13">
        <f t="shared" si="47"/>
        <v>7</v>
      </c>
      <c r="L247" s="13">
        <f t="shared" si="47"/>
        <v>3</v>
      </c>
      <c r="M247" s="13">
        <f t="shared" si="47"/>
        <v>6</v>
      </c>
      <c r="N247" s="13">
        <f t="shared" si="47"/>
        <v>4</v>
      </c>
      <c r="O247" s="13">
        <f t="shared" si="47"/>
        <v>3</v>
      </c>
      <c r="P247" s="13">
        <f t="shared" si="47"/>
        <v>1</v>
      </c>
      <c r="Q247" s="13">
        <f t="shared" si="47"/>
        <v>4</v>
      </c>
      <c r="R247" s="13">
        <f t="shared" si="47"/>
        <v>10</v>
      </c>
      <c r="S247" s="13">
        <f t="shared" si="47"/>
        <v>1</v>
      </c>
      <c r="T247" s="13">
        <f t="shared" si="47"/>
        <v>3</v>
      </c>
      <c r="U247" s="13">
        <f t="shared" si="47"/>
        <v>8</v>
      </c>
      <c r="V247" s="13">
        <f t="shared" si="47"/>
        <v>1</v>
      </c>
      <c r="W247" s="13">
        <f t="shared" si="47"/>
        <v>1</v>
      </c>
      <c r="X247" s="13">
        <f t="shared" si="47"/>
        <v>5</v>
      </c>
      <c r="Y247" s="13">
        <f t="shared" si="47"/>
        <v>0</v>
      </c>
      <c r="Z247" s="13">
        <f t="shared" si="47"/>
        <v>2</v>
      </c>
      <c r="AA247" s="13">
        <f t="shared" si="47"/>
        <v>2</v>
      </c>
      <c r="AB247" s="13">
        <f t="shared" si="47"/>
        <v>2</v>
      </c>
      <c r="AC247" s="13">
        <f t="shared" si="47"/>
        <v>19</v>
      </c>
      <c r="AD247" s="13">
        <f t="shared" si="47"/>
        <v>5</v>
      </c>
      <c r="AE247" s="13">
        <f t="shared" si="47"/>
        <v>20</v>
      </c>
      <c r="AF247" s="13">
        <f t="shared" si="47"/>
        <v>4</v>
      </c>
      <c r="AG247" s="13">
        <f t="shared" si="47"/>
        <v>1</v>
      </c>
      <c r="AH247" s="13">
        <f t="shared" si="47"/>
        <v>5</v>
      </c>
      <c r="AI247" s="13">
        <f t="shared" si="47"/>
        <v>11</v>
      </c>
      <c r="AJ247" s="13">
        <f t="shared" si="46"/>
        <v>172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3.0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/>
      <c r="AJ249" s="13">
        <f t="shared" ref="AJ249:AJ259" si="48">SUM(E249:AI249)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2.0</v>
      </c>
      <c r="M250" s="19">
        <v>2.0</v>
      </c>
      <c r="N250" s="19">
        <v>1.0</v>
      </c>
      <c r="O250" s="19">
        <v>0.0</v>
      </c>
      <c r="P250" s="19">
        <v>0.0</v>
      </c>
      <c r="Q250" s="19">
        <v>6.0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1.0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1.0</v>
      </c>
      <c r="AG250" s="19">
        <v>0.0</v>
      </c>
      <c r="AH250" s="19">
        <v>0.0</v>
      </c>
      <c r="AI250" s="19"/>
      <c r="AJ250" s="13">
        <f t="shared" si="48"/>
        <v>14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1.0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/>
      <c r="AJ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/>
      <c r="AJ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1.0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/>
      <c r="AB253" s="19">
        <v>1.0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/>
      <c r="AJ253" s="13">
        <f t="shared" si="48"/>
        <v>2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1.0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1.0</v>
      </c>
      <c r="AI254" s="19"/>
      <c r="AJ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/>
      <c r="Y255" s="19">
        <v>0.0</v>
      </c>
      <c r="Z255" s="19">
        <v>0.0</v>
      </c>
      <c r="AA255" s="19"/>
      <c r="AB255" s="19"/>
      <c r="AC255" s="19">
        <v>0.0</v>
      </c>
      <c r="AD255" s="19">
        <v>0.0</v>
      </c>
      <c r="AE255" s="19">
        <v>0.0</v>
      </c>
      <c r="AF255" s="19"/>
      <c r="AG255" s="19">
        <v>0.0</v>
      </c>
      <c r="AH255" s="19"/>
      <c r="AI255" s="19"/>
      <c r="AJ255" s="13">
        <f t="shared" si="48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I259" si="49">SUM(E249:E255)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2</v>
      </c>
      <c r="K259" s="13">
        <f t="shared" si="49"/>
        <v>0</v>
      </c>
      <c r="L259" s="13">
        <f t="shared" si="49"/>
        <v>3</v>
      </c>
      <c r="M259" s="13">
        <f t="shared" si="49"/>
        <v>2</v>
      </c>
      <c r="N259" s="13">
        <f t="shared" si="49"/>
        <v>4</v>
      </c>
      <c r="O259" s="13">
        <f t="shared" si="49"/>
        <v>0</v>
      </c>
      <c r="P259" s="13">
        <f t="shared" si="49"/>
        <v>0</v>
      </c>
      <c r="Q259" s="13">
        <f t="shared" si="49"/>
        <v>6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2</v>
      </c>
      <c r="Y259" s="13">
        <f t="shared" si="49"/>
        <v>0</v>
      </c>
      <c r="Z259" s="13">
        <f t="shared" si="49"/>
        <v>0</v>
      </c>
      <c r="AA259" s="13">
        <f t="shared" si="49"/>
        <v>1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1</v>
      </c>
      <c r="AI259" s="13">
        <f t="shared" si="49"/>
        <v>0</v>
      </c>
      <c r="AJ259" s="13">
        <f t="shared" si="48"/>
        <v>25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I262" si="50">E55+E67+E79+E91+E103+E115+E127+E139+E151+E163+E175+E187+E199+E211+E223+E235+E247+E259</f>
        <v>196</v>
      </c>
      <c r="F262" s="19">
        <f t="shared" si="50"/>
        <v>174</v>
      </c>
      <c r="G262" s="19">
        <f t="shared" si="50"/>
        <v>219</v>
      </c>
      <c r="H262" s="19">
        <f t="shared" si="50"/>
        <v>182</v>
      </c>
      <c r="I262" s="19">
        <f t="shared" si="50"/>
        <v>159</v>
      </c>
      <c r="J262" s="19">
        <f t="shared" si="50"/>
        <v>221</v>
      </c>
      <c r="K262" s="19">
        <f t="shared" si="50"/>
        <v>165</v>
      </c>
      <c r="L262" s="19">
        <f t="shared" si="50"/>
        <v>153</v>
      </c>
      <c r="M262" s="19">
        <f t="shared" si="50"/>
        <v>204</v>
      </c>
      <c r="N262" s="19">
        <f t="shared" si="50"/>
        <v>193</v>
      </c>
      <c r="O262" s="19">
        <f t="shared" si="50"/>
        <v>169</v>
      </c>
      <c r="P262" s="19">
        <f t="shared" si="50"/>
        <v>196</v>
      </c>
      <c r="Q262" s="19">
        <f t="shared" si="50"/>
        <v>208</v>
      </c>
      <c r="R262" s="19">
        <f t="shared" si="50"/>
        <v>208</v>
      </c>
      <c r="S262" s="19">
        <f t="shared" si="50"/>
        <v>198</v>
      </c>
      <c r="T262" s="19">
        <f t="shared" si="50"/>
        <v>174</v>
      </c>
      <c r="U262" s="19">
        <f t="shared" si="50"/>
        <v>159</v>
      </c>
      <c r="V262" s="19">
        <f t="shared" si="50"/>
        <v>182</v>
      </c>
      <c r="W262" s="19">
        <f t="shared" si="50"/>
        <v>169</v>
      </c>
      <c r="X262" s="19">
        <f t="shared" si="50"/>
        <v>201</v>
      </c>
      <c r="Y262" s="19">
        <f t="shared" si="50"/>
        <v>172</v>
      </c>
      <c r="Z262" s="19">
        <f t="shared" si="50"/>
        <v>152</v>
      </c>
      <c r="AA262" s="19">
        <f t="shared" si="50"/>
        <v>173</v>
      </c>
      <c r="AB262" s="19">
        <f t="shared" si="50"/>
        <v>153</v>
      </c>
      <c r="AC262" s="19">
        <f t="shared" si="50"/>
        <v>167</v>
      </c>
      <c r="AD262" s="19">
        <f t="shared" si="50"/>
        <v>174</v>
      </c>
      <c r="AE262" s="19">
        <f t="shared" si="50"/>
        <v>181</v>
      </c>
      <c r="AF262" s="19">
        <f t="shared" si="50"/>
        <v>194</v>
      </c>
      <c r="AG262" s="19">
        <f t="shared" si="50"/>
        <v>166</v>
      </c>
      <c r="AH262" s="19">
        <f t="shared" si="50"/>
        <v>213</v>
      </c>
      <c r="AI262" s="19">
        <f t="shared" si="50"/>
        <v>232</v>
      </c>
      <c r="AJ262" s="13">
        <f t="shared" ref="AJ262:AJ264" si="51">SUM(E262:AI262)</f>
        <v>5707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26.0</v>
      </c>
      <c r="F263" s="19">
        <v>24.0</v>
      </c>
      <c r="G263" s="19">
        <v>12.0</v>
      </c>
      <c r="H263" s="19">
        <v>35.0</v>
      </c>
      <c r="I263" s="19">
        <v>27.0</v>
      </c>
      <c r="J263" s="19">
        <v>21.0</v>
      </c>
      <c r="K263" s="19">
        <v>16.0</v>
      </c>
      <c r="L263" s="19">
        <v>14.0</v>
      </c>
      <c r="M263" s="19">
        <v>25.0</v>
      </c>
      <c r="N263" s="19">
        <v>21.0</v>
      </c>
      <c r="O263" s="19">
        <v>19.0</v>
      </c>
      <c r="P263" s="19">
        <v>17.0</v>
      </c>
      <c r="Q263" s="19">
        <v>12.0</v>
      </c>
      <c r="R263" s="19">
        <v>25.0</v>
      </c>
      <c r="S263" s="19">
        <v>9.0</v>
      </c>
      <c r="T263" s="19">
        <v>36.0</v>
      </c>
      <c r="U263" s="19">
        <v>26.0</v>
      </c>
      <c r="V263" s="19">
        <v>16.0</v>
      </c>
      <c r="W263" s="19">
        <v>26.0</v>
      </c>
      <c r="X263" s="19">
        <v>15.0</v>
      </c>
      <c r="Y263" s="19">
        <v>8.0</v>
      </c>
      <c r="Z263" s="19">
        <v>14.0</v>
      </c>
      <c r="AA263" s="19">
        <v>16.0</v>
      </c>
      <c r="AB263" s="19">
        <v>18.0</v>
      </c>
      <c r="AC263" s="19">
        <v>13.0</v>
      </c>
      <c r="AD263" s="19">
        <v>19.0</v>
      </c>
      <c r="AE263" s="19">
        <v>19.0</v>
      </c>
      <c r="AF263" s="19">
        <v>23.0</v>
      </c>
      <c r="AG263" s="19">
        <v>19.0</v>
      </c>
      <c r="AH263" s="19">
        <v>14.0</v>
      </c>
      <c r="AI263" s="19">
        <v>12.0</v>
      </c>
      <c r="AJ263" s="13">
        <f t="shared" si="51"/>
        <v>597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I264" si="52">SUM(E262:E263)</f>
        <v>222</v>
      </c>
      <c r="F264" s="13">
        <f t="shared" si="52"/>
        <v>198</v>
      </c>
      <c r="G264" s="13">
        <f t="shared" si="52"/>
        <v>231</v>
      </c>
      <c r="H264" s="13">
        <f t="shared" si="52"/>
        <v>217</v>
      </c>
      <c r="I264" s="13">
        <f t="shared" si="52"/>
        <v>186</v>
      </c>
      <c r="J264" s="13">
        <f t="shared" si="52"/>
        <v>242</v>
      </c>
      <c r="K264" s="13">
        <f t="shared" si="52"/>
        <v>181</v>
      </c>
      <c r="L264" s="13">
        <f t="shared" si="52"/>
        <v>167</v>
      </c>
      <c r="M264" s="13">
        <f t="shared" si="52"/>
        <v>229</v>
      </c>
      <c r="N264" s="13">
        <f t="shared" si="52"/>
        <v>214</v>
      </c>
      <c r="O264" s="13">
        <f t="shared" si="52"/>
        <v>188</v>
      </c>
      <c r="P264" s="13">
        <f t="shared" si="52"/>
        <v>213</v>
      </c>
      <c r="Q264" s="13">
        <f t="shared" si="52"/>
        <v>220</v>
      </c>
      <c r="R264" s="13">
        <f t="shared" si="52"/>
        <v>233</v>
      </c>
      <c r="S264" s="13">
        <f t="shared" si="52"/>
        <v>207</v>
      </c>
      <c r="T264" s="13">
        <f t="shared" si="52"/>
        <v>210</v>
      </c>
      <c r="U264" s="13">
        <f t="shared" si="52"/>
        <v>185</v>
      </c>
      <c r="V264" s="13">
        <f t="shared" si="52"/>
        <v>198</v>
      </c>
      <c r="W264" s="13">
        <f t="shared" si="52"/>
        <v>195</v>
      </c>
      <c r="X264" s="13">
        <f t="shared" si="52"/>
        <v>216</v>
      </c>
      <c r="Y264" s="13">
        <f t="shared" si="52"/>
        <v>180</v>
      </c>
      <c r="Z264" s="13">
        <f t="shared" si="52"/>
        <v>166</v>
      </c>
      <c r="AA264" s="13">
        <f t="shared" si="52"/>
        <v>189</v>
      </c>
      <c r="AB264" s="13">
        <f t="shared" si="52"/>
        <v>171</v>
      </c>
      <c r="AC264" s="13">
        <f t="shared" si="52"/>
        <v>180</v>
      </c>
      <c r="AD264" s="13">
        <f t="shared" si="52"/>
        <v>193</v>
      </c>
      <c r="AE264" s="13">
        <f t="shared" si="52"/>
        <v>200</v>
      </c>
      <c r="AF264" s="13">
        <f t="shared" si="52"/>
        <v>217</v>
      </c>
      <c r="AG264" s="13">
        <f t="shared" si="52"/>
        <v>185</v>
      </c>
      <c r="AH264" s="13">
        <f t="shared" si="52"/>
        <v>227</v>
      </c>
      <c r="AI264" s="13">
        <f t="shared" si="52"/>
        <v>244</v>
      </c>
      <c r="AJ264" s="13">
        <f t="shared" si="51"/>
        <v>6304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E34&lt;&gt;E64</formula>
    </cfRule>
  </conditionalFormatting>
  <conditionalFormatting sqref="E45:AI54">
    <cfRule type="containsBlanks" dxfId="1" priority="10">
      <formula>LEN(TRIM(E45))=0</formula>
    </cfRule>
  </conditionalFormatting>
  <conditionalFormatting sqref="E57:AI66">
    <cfRule type="containsBlanks" dxfId="1" priority="11">
      <formula>LEN(TRIM(E57))=0</formula>
    </cfRule>
  </conditionalFormatting>
  <conditionalFormatting sqref="E69:AI78">
    <cfRule type="containsBlanks" dxfId="1" priority="12">
      <formula>LEN(TRIM(E69))=0</formula>
    </cfRule>
  </conditionalFormatting>
  <conditionalFormatting sqref="E81:AI90">
    <cfRule type="containsBlanks" dxfId="1" priority="13">
      <formula>LEN(TRIM(E81))=0</formula>
    </cfRule>
  </conditionalFormatting>
  <conditionalFormatting sqref="E93:AI102">
    <cfRule type="containsBlanks" dxfId="1" priority="14">
      <formula>LEN(TRIM(E93))=0</formula>
    </cfRule>
  </conditionalFormatting>
  <conditionalFormatting sqref="E105:AI114">
    <cfRule type="containsBlanks" dxfId="1" priority="15">
      <formula>LEN(TRIM(E105))=0</formula>
    </cfRule>
  </conditionalFormatting>
  <conditionalFormatting sqref="E117:AI126">
    <cfRule type="containsBlanks" dxfId="1" priority="16">
      <formula>LEN(TRIM(E117))=0</formula>
    </cfRule>
  </conditionalFormatting>
  <conditionalFormatting sqref="E129:AI138">
    <cfRule type="containsBlanks" dxfId="1" priority="17">
      <formula>LEN(TRIM(E129))=0</formula>
    </cfRule>
  </conditionalFormatting>
  <conditionalFormatting sqref="E141:AI150">
    <cfRule type="containsBlanks" dxfId="1" priority="18">
      <formula>LEN(TRIM(E141))=0</formula>
    </cfRule>
  </conditionalFormatting>
  <conditionalFormatting sqref="E153:AI162">
    <cfRule type="containsBlanks" dxfId="1" priority="19">
      <formula>LEN(TRIM(E153))=0</formula>
    </cfRule>
  </conditionalFormatting>
  <conditionalFormatting sqref="E165:AI174">
    <cfRule type="containsBlanks" dxfId="1" priority="20">
      <formula>LEN(TRIM(E165))=0</formula>
    </cfRule>
  </conditionalFormatting>
  <conditionalFormatting sqref="E177:AI186">
    <cfRule type="containsBlanks" dxfId="1" priority="21">
      <formula>LEN(TRIM(E177))=0</formula>
    </cfRule>
  </conditionalFormatting>
  <conditionalFormatting sqref="E189:AI198">
    <cfRule type="containsBlanks" dxfId="1" priority="22">
      <formula>LEN(TRIM(E189))=0</formula>
    </cfRule>
  </conditionalFormatting>
  <conditionalFormatting sqref="E201:AI210">
    <cfRule type="containsBlanks" dxfId="1" priority="23">
      <formula>LEN(TRIM(E201))=0</formula>
    </cfRule>
  </conditionalFormatting>
  <conditionalFormatting sqref="E213:AI222">
    <cfRule type="containsBlanks" dxfId="1" priority="24">
      <formula>LEN(TRIM(E213))=0</formula>
    </cfRule>
  </conditionalFormatting>
  <conditionalFormatting sqref="E225:AI234">
    <cfRule type="containsBlanks" dxfId="1" priority="25">
      <formula>LEN(TRIM(E225))=0</formula>
    </cfRule>
  </conditionalFormatting>
  <conditionalFormatting sqref="E237:AI246">
    <cfRule type="containsBlanks" dxfId="1" priority="26">
      <formula>LEN(TRIM(E237))=0</formula>
    </cfRule>
  </conditionalFormatting>
  <conditionalFormatting sqref="E249:AI259">
    <cfRule type="containsBlanks" dxfId="1" priority="27">
      <formula>LEN(TRIM(E249))=0</formula>
    </cfRule>
  </conditionalFormatting>
  <conditionalFormatting sqref="E262:AI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129.0</v>
      </c>
      <c r="G14" s="19">
        <v>134.0</v>
      </c>
      <c r="H14" s="19">
        <v>125.0</v>
      </c>
      <c r="I14" s="19">
        <v>79.0</v>
      </c>
      <c r="J14" s="19">
        <v>90.0</v>
      </c>
      <c r="K14" s="19">
        <v>102.0</v>
      </c>
      <c r="L14" s="19">
        <v>83.0</v>
      </c>
      <c r="M14" s="19">
        <v>154.0</v>
      </c>
      <c r="N14" s="19">
        <v>128.0</v>
      </c>
      <c r="O14" s="19">
        <v>152.0</v>
      </c>
      <c r="P14" s="19">
        <v>134.0</v>
      </c>
      <c r="Q14" s="19">
        <v>146.0</v>
      </c>
      <c r="R14" s="19">
        <v>144.0</v>
      </c>
      <c r="S14" s="19">
        <v>137.0</v>
      </c>
      <c r="T14" s="19">
        <v>130.0</v>
      </c>
      <c r="U14" s="19">
        <v>143.0</v>
      </c>
      <c r="V14" s="19">
        <v>131.0</v>
      </c>
      <c r="W14" s="19">
        <v>124.0</v>
      </c>
      <c r="X14" s="19">
        <v>143.0</v>
      </c>
      <c r="Y14" s="19">
        <v>134.0</v>
      </c>
      <c r="Z14" s="19">
        <v>117.0</v>
      </c>
      <c r="AA14" s="19">
        <v>86.0</v>
      </c>
      <c r="AB14" s="13">
        <f t="shared" ref="AB14:AB16" si="1">SUM(E14:AA14)</f>
        <v>2871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119.0</v>
      </c>
      <c r="G15" s="19">
        <v>158.0</v>
      </c>
      <c r="H15" s="19">
        <v>130.0</v>
      </c>
      <c r="I15" s="19">
        <v>81.0</v>
      </c>
      <c r="J15" s="19">
        <v>80.0</v>
      </c>
      <c r="K15" s="19">
        <v>96.0</v>
      </c>
      <c r="L15" s="19">
        <v>86.0</v>
      </c>
      <c r="M15" s="19">
        <v>146.0</v>
      </c>
      <c r="N15" s="19">
        <v>122.0</v>
      </c>
      <c r="O15" s="19">
        <v>141.0</v>
      </c>
      <c r="P15" s="19">
        <v>144.0</v>
      </c>
      <c r="Q15" s="19">
        <v>133.0</v>
      </c>
      <c r="R15" s="19">
        <v>148.0</v>
      </c>
      <c r="S15" s="19">
        <v>137.0</v>
      </c>
      <c r="T15" s="19">
        <v>143.0</v>
      </c>
      <c r="U15" s="19">
        <v>155.0</v>
      </c>
      <c r="V15" s="19">
        <v>130.0</v>
      </c>
      <c r="W15" s="19">
        <v>144.0</v>
      </c>
      <c r="X15" s="19">
        <v>146.0</v>
      </c>
      <c r="Y15" s="19">
        <v>124.0</v>
      </c>
      <c r="Z15" s="19">
        <v>113.0</v>
      </c>
      <c r="AA15" s="19">
        <v>80.0</v>
      </c>
      <c r="AB15" s="13">
        <f t="shared" si="1"/>
        <v>2879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249</v>
      </c>
      <c r="F16" s="13">
        <f t="shared" si="2"/>
        <v>248</v>
      </c>
      <c r="G16" s="13">
        <f t="shared" si="2"/>
        <v>292</v>
      </c>
      <c r="H16" s="13">
        <f t="shared" si="2"/>
        <v>255</v>
      </c>
      <c r="I16" s="13">
        <f t="shared" si="2"/>
        <v>160</v>
      </c>
      <c r="J16" s="13">
        <f t="shared" si="2"/>
        <v>170</v>
      </c>
      <c r="K16" s="13">
        <f t="shared" si="2"/>
        <v>198</v>
      </c>
      <c r="L16" s="13">
        <f t="shared" si="2"/>
        <v>169</v>
      </c>
      <c r="M16" s="13">
        <f t="shared" si="2"/>
        <v>300</v>
      </c>
      <c r="N16" s="13">
        <f t="shared" si="2"/>
        <v>250</v>
      </c>
      <c r="O16" s="13">
        <f t="shared" si="2"/>
        <v>293</v>
      </c>
      <c r="P16" s="13">
        <f t="shared" si="2"/>
        <v>278</v>
      </c>
      <c r="Q16" s="13">
        <f t="shared" si="2"/>
        <v>279</v>
      </c>
      <c r="R16" s="13">
        <f t="shared" si="2"/>
        <v>292</v>
      </c>
      <c r="S16" s="13">
        <f t="shared" si="2"/>
        <v>274</v>
      </c>
      <c r="T16" s="13">
        <f t="shared" si="2"/>
        <v>273</v>
      </c>
      <c r="U16" s="13">
        <f t="shared" si="2"/>
        <v>298</v>
      </c>
      <c r="V16" s="13">
        <f t="shared" si="2"/>
        <v>261</v>
      </c>
      <c r="W16" s="13">
        <f t="shared" si="2"/>
        <v>268</v>
      </c>
      <c r="X16" s="13">
        <f t="shared" si="2"/>
        <v>289</v>
      </c>
      <c r="Y16" s="13">
        <f t="shared" si="2"/>
        <v>258</v>
      </c>
      <c r="Z16" s="13">
        <f t="shared" si="2"/>
        <v>230</v>
      </c>
      <c r="AA16" s="13">
        <f t="shared" si="2"/>
        <v>166</v>
      </c>
      <c r="AB16" s="13">
        <f t="shared" si="1"/>
        <v>5750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81.0</v>
      </c>
      <c r="F19" s="19">
        <v>83.0</v>
      </c>
      <c r="G19" s="19">
        <v>103.0</v>
      </c>
      <c r="H19" s="19">
        <v>97.0</v>
      </c>
      <c r="I19" s="19">
        <v>59.0</v>
      </c>
      <c r="J19" s="19">
        <v>71.0</v>
      </c>
      <c r="K19" s="19">
        <v>74.0</v>
      </c>
      <c r="L19" s="19">
        <v>61.0</v>
      </c>
      <c r="M19" s="19">
        <v>112.0</v>
      </c>
      <c r="N19" s="19">
        <v>98.0</v>
      </c>
      <c r="O19" s="19">
        <v>109.0</v>
      </c>
      <c r="P19" s="19">
        <v>105.0</v>
      </c>
      <c r="Q19" s="19">
        <v>95.0</v>
      </c>
      <c r="R19" s="19">
        <v>105.0</v>
      </c>
      <c r="S19" s="19">
        <v>88.0</v>
      </c>
      <c r="T19" s="19">
        <v>96.0</v>
      </c>
      <c r="U19" s="19">
        <v>116.0</v>
      </c>
      <c r="V19" s="19">
        <v>90.0</v>
      </c>
      <c r="W19" s="19">
        <v>93.0</v>
      </c>
      <c r="X19" s="19">
        <v>106.0</v>
      </c>
      <c r="Y19" s="19">
        <v>103.0</v>
      </c>
      <c r="Z19" s="19">
        <v>63.0</v>
      </c>
      <c r="AA19" s="19">
        <v>59.0</v>
      </c>
      <c r="AB19" s="13">
        <f t="shared" ref="AB19:AB30" si="3">SUM(E19:AA19)</f>
        <v>2067</v>
      </c>
    </row>
    <row r="20" ht="12.75" customHeight="1">
      <c r="A20" s="33"/>
      <c r="B20" s="27"/>
      <c r="C20" s="34"/>
      <c r="D20" s="19" t="s">
        <v>13</v>
      </c>
      <c r="E20" s="19">
        <v>91.0</v>
      </c>
      <c r="F20" s="19">
        <v>105.0</v>
      </c>
      <c r="G20" s="19">
        <v>131.0</v>
      </c>
      <c r="H20" s="19">
        <v>98.0</v>
      </c>
      <c r="I20" s="19">
        <v>62.0</v>
      </c>
      <c r="J20" s="19">
        <v>63.0</v>
      </c>
      <c r="K20" s="19">
        <v>67.0</v>
      </c>
      <c r="L20" s="19">
        <v>64.0</v>
      </c>
      <c r="M20" s="19">
        <v>117.0</v>
      </c>
      <c r="N20" s="19">
        <v>89.0</v>
      </c>
      <c r="O20" s="19">
        <v>119.0</v>
      </c>
      <c r="P20" s="19">
        <v>109.0</v>
      </c>
      <c r="Q20" s="19">
        <v>106.0</v>
      </c>
      <c r="R20" s="19">
        <v>117.0</v>
      </c>
      <c r="S20" s="19">
        <v>99.0</v>
      </c>
      <c r="T20" s="19">
        <v>114.0</v>
      </c>
      <c r="U20" s="19">
        <v>124.0</v>
      </c>
      <c r="V20" s="19">
        <v>100.0</v>
      </c>
      <c r="W20" s="19">
        <v>108.0</v>
      </c>
      <c r="X20" s="19">
        <v>113.0</v>
      </c>
      <c r="Y20" s="19">
        <v>91.0</v>
      </c>
      <c r="Z20" s="19">
        <v>79.0</v>
      </c>
      <c r="AA20" s="19">
        <v>61.0</v>
      </c>
      <c r="AB20" s="13">
        <f t="shared" si="3"/>
        <v>2227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172</v>
      </c>
      <c r="F21" s="13">
        <f t="shared" si="4"/>
        <v>188</v>
      </c>
      <c r="G21" s="13">
        <f t="shared" si="4"/>
        <v>234</v>
      </c>
      <c r="H21" s="13">
        <f t="shared" si="4"/>
        <v>195</v>
      </c>
      <c r="I21" s="13">
        <f t="shared" si="4"/>
        <v>121</v>
      </c>
      <c r="J21" s="13">
        <f t="shared" si="4"/>
        <v>134</v>
      </c>
      <c r="K21" s="13">
        <f t="shared" si="4"/>
        <v>141</v>
      </c>
      <c r="L21" s="13">
        <f t="shared" si="4"/>
        <v>125</v>
      </c>
      <c r="M21" s="13">
        <f t="shared" si="4"/>
        <v>229</v>
      </c>
      <c r="N21" s="13">
        <f t="shared" si="4"/>
        <v>187</v>
      </c>
      <c r="O21" s="13">
        <f t="shared" si="4"/>
        <v>228</v>
      </c>
      <c r="P21" s="13">
        <f t="shared" si="4"/>
        <v>214</v>
      </c>
      <c r="Q21" s="13">
        <f t="shared" si="4"/>
        <v>201</v>
      </c>
      <c r="R21" s="13">
        <f t="shared" si="4"/>
        <v>222</v>
      </c>
      <c r="S21" s="13">
        <f t="shared" si="4"/>
        <v>187</v>
      </c>
      <c r="T21" s="13">
        <f t="shared" si="4"/>
        <v>210</v>
      </c>
      <c r="U21" s="13">
        <f t="shared" si="4"/>
        <v>240</v>
      </c>
      <c r="V21" s="13">
        <f t="shared" si="4"/>
        <v>190</v>
      </c>
      <c r="W21" s="13">
        <f t="shared" si="4"/>
        <v>201</v>
      </c>
      <c r="X21" s="13">
        <f t="shared" si="4"/>
        <v>219</v>
      </c>
      <c r="Y21" s="13">
        <f t="shared" si="4"/>
        <v>194</v>
      </c>
      <c r="Z21" s="13">
        <f t="shared" si="4"/>
        <v>142</v>
      </c>
      <c r="AA21" s="13">
        <f t="shared" si="4"/>
        <v>120</v>
      </c>
      <c r="AB21" s="13">
        <f t="shared" si="3"/>
        <v>4294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>
        <v>1.0</v>
      </c>
      <c r="G22" s="19"/>
      <c r="H22" s="19"/>
      <c r="I22" s="19">
        <v>2.0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>
        <v>1.0</v>
      </c>
      <c r="J23" s="19"/>
      <c r="K23" s="19"/>
      <c r="L23" s="19"/>
      <c r="M23" s="19"/>
      <c r="N23" s="19"/>
      <c r="O23" s="19"/>
      <c r="P23" s="19">
        <v>1.0</v>
      </c>
      <c r="Q23" s="19">
        <v>1.0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1.0</v>
      </c>
      <c r="I25" s="19"/>
      <c r="J25" s="19">
        <v>1.0</v>
      </c>
      <c r="K25" s="19"/>
      <c r="L25" s="19"/>
      <c r="M25" s="19"/>
      <c r="N25" s="19"/>
      <c r="O25" s="19"/>
      <c r="P25" s="19">
        <v>2.0</v>
      </c>
      <c r="Q25" s="19">
        <v>2.0</v>
      </c>
      <c r="R25" s="19"/>
      <c r="S25" s="19"/>
      <c r="T25" s="19"/>
      <c r="U25" s="19"/>
      <c r="V25" s="19">
        <v>1.0</v>
      </c>
      <c r="W25" s="19"/>
      <c r="X25" s="19">
        <v>4.0</v>
      </c>
      <c r="Y25" s="19">
        <v>1.0</v>
      </c>
      <c r="Z25" s="19"/>
      <c r="AA25" s="19"/>
      <c r="AB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1.0</v>
      </c>
      <c r="H26" s="19">
        <v>1.0</v>
      </c>
      <c r="I26" s="19"/>
      <c r="J26" s="19">
        <v>3.0</v>
      </c>
      <c r="K26" s="19">
        <v>3.0</v>
      </c>
      <c r="L26" s="19">
        <v>1.0</v>
      </c>
      <c r="M26" s="19"/>
      <c r="N26" s="19">
        <v>1.0</v>
      </c>
      <c r="O26" s="19"/>
      <c r="P26" s="19">
        <v>2.0</v>
      </c>
      <c r="Q26" s="19"/>
      <c r="R26" s="19"/>
      <c r="S26" s="19"/>
      <c r="T26" s="19">
        <v>1.0</v>
      </c>
      <c r="U26" s="19">
        <v>1.0</v>
      </c>
      <c r="V26" s="19">
        <v>2.0</v>
      </c>
      <c r="W26" s="19">
        <v>1.0</v>
      </c>
      <c r="X26" s="19">
        <v>3.0</v>
      </c>
      <c r="Y26" s="19">
        <v>4.0</v>
      </c>
      <c r="Z26" s="19"/>
      <c r="AA26" s="19">
        <v>1.0</v>
      </c>
      <c r="AB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3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0</v>
      </c>
      <c r="J27" s="13">
        <f t="shared" si="6"/>
        <v>4</v>
      </c>
      <c r="K27" s="13">
        <f t="shared" si="6"/>
        <v>3</v>
      </c>
      <c r="L27" s="13">
        <f t="shared" si="6"/>
        <v>1</v>
      </c>
      <c r="M27" s="13">
        <f t="shared" si="6"/>
        <v>0</v>
      </c>
      <c r="N27" s="13">
        <f t="shared" si="6"/>
        <v>1</v>
      </c>
      <c r="O27" s="13">
        <f t="shared" si="6"/>
        <v>0</v>
      </c>
      <c r="P27" s="13">
        <f t="shared" si="6"/>
        <v>4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7</v>
      </c>
      <c r="Y27" s="13">
        <f t="shared" si="6"/>
        <v>5</v>
      </c>
      <c r="Z27" s="13">
        <f t="shared" si="6"/>
        <v>0</v>
      </c>
      <c r="AA27" s="13">
        <f t="shared" si="6"/>
        <v>1</v>
      </c>
      <c r="AB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81</v>
      </c>
      <c r="F28" s="13">
        <f t="shared" si="7"/>
        <v>84</v>
      </c>
      <c r="G28" s="13">
        <f t="shared" si="7"/>
        <v>103</v>
      </c>
      <c r="H28" s="13">
        <f t="shared" si="7"/>
        <v>98</v>
      </c>
      <c r="I28" s="13">
        <f t="shared" si="7"/>
        <v>61</v>
      </c>
      <c r="J28" s="13">
        <f t="shared" si="7"/>
        <v>72</v>
      </c>
      <c r="K28" s="13">
        <f t="shared" si="7"/>
        <v>74</v>
      </c>
      <c r="L28" s="13">
        <f t="shared" si="7"/>
        <v>61</v>
      </c>
      <c r="M28" s="13">
        <f t="shared" si="7"/>
        <v>112</v>
      </c>
      <c r="N28" s="13">
        <f t="shared" si="7"/>
        <v>98</v>
      </c>
      <c r="O28" s="13">
        <f t="shared" si="7"/>
        <v>109</v>
      </c>
      <c r="P28" s="13">
        <f t="shared" si="7"/>
        <v>107</v>
      </c>
      <c r="Q28" s="13">
        <f t="shared" si="7"/>
        <v>97</v>
      </c>
      <c r="R28" s="13">
        <f t="shared" si="7"/>
        <v>105</v>
      </c>
      <c r="S28" s="13">
        <f t="shared" si="7"/>
        <v>88</v>
      </c>
      <c r="T28" s="13">
        <f t="shared" si="7"/>
        <v>96</v>
      </c>
      <c r="U28" s="13">
        <f t="shared" si="7"/>
        <v>116</v>
      </c>
      <c r="V28" s="13">
        <f t="shared" si="7"/>
        <v>91</v>
      </c>
      <c r="W28" s="13">
        <f t="shared" si="7"/>
        <v>93</v>
      </c>
      <c r="X28" s="13">
        <f t="shared" si="7"/>
        <v>110</v>
      </c>
      <c r="Y28" s="13">
        <f t="shared" si="7"/>
        <v>104</v>
      </c>
      <c r="Z28" s="13">
        <f t="shared" si="7"/>
        <v>63</v>
      </c>
      <c r="AA28" s="13">
        <f t="shared" si="7"/>
        <v>59</v>
      </c>
      <c r="AB28" s="13">
        <f t="shared" si="3"/>
        <v>2082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94</v>
      </c>
      <c r="F29" s="13">
        <f t="shared" si="8"/>
        <v>106</v>
      </c>
      <c r="G29" s="13">
        <f t="shared" si="8"/>
        <v>132</v>
      </c>
      <c r="H29" s="13">
        <f t="shared" si="8"/>
        <v>99</v>
      </c>
      <c r="I29" s="13">
        <f t="shared" si="8"/>
        <v>63</v>
      </c>
      <c r="J29" s="13">
        <f t="shared" si="8"/>
        <v>66</v>
      </c>
      <c r="K29" s="13">
        <f t="shared" si="8"/>
        <v>70</v>
      </c>
      <c r="L29" s="13">
        <f t="shared" si="8"/>
        <v>65</v>
      </c>
      <c r="M29" s="13">
        <f t="shared" si="8"/>
        <v>117</v>
      </c>
      <c r="N29" s="13">
        <f t="shared" si="8"/>
        <v>90</v>
      </c>
      <c r="O29" s="13">
        <f t="shared" si="8"/>
        <v>119</v>
      </c>
      <c r="P29" s="13">
        <f t="shared" si="8"/>
        <v>112</v>
      </c>
      <c r="Q29" s="13">
        <f t="shared" si="8"/>
        <v>107</v>
      </c>
      <c r="R29" s="13">
        <f t="shared" si="8"/>
        <v>117</v>
      </c>
      <c r="S29" s="13">
        <f t="shared" si="8"/>
        <v>99</v>
      </c>
      <c r="T29" s="13">
        <f t="shared" si="8"/>
        <v>115</v>
      </c>
      <c r="U29" s="13">
        <f t="shared" si="8"/>
        <v>125</v>
      </c>
      <c r="V29" s="13">
        <f t="shared" si="8"/>
        <v>102</v>
      </c>
      <c r="W29" s="13">
        <f t="shared" si="8"/>
        <v>109</v>
      </c>
      <c r="X29" s="13">
        <f t="shared" si="8"/>
        <v>116</v>
      </c>
      <c r="Y29" s="13">
        <f t="shared" si="8"/>
        <v>95</v>
      </c>
      <c r="Z29" s="13">
        <f t="shared" si="8"/>
        <v>79</v>
      </c>
      <c r="AA29" s="13">
        <f t="shared" si="8"/>
        <v>62</v>
      </c>
      <c r="AB29" s="13">
        <f t="shared" si="3"/>
        <v>2259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175</v>
      </c>
      <c r="F30" s="13">
        <f t="shared" si="9"/>
        <v>190</v>
      </c>
      <c r="G30" s="13">
        <f t="shared" si="9"/>
        <v>235</v>
      </c>
      <c r="H30" s="13">
        <f t="shared" si="9"/>
        <v>197</v>
      </c>
      <c r="I30" s="13">
        <f t="shared" si="9"/>
        <v>124</v>
      </c>
      <c r="J30" s="13">
        <f t="shared" si="9"/>
        <v>138</v>
      </c>
      <c r="K30" s="13">
        <f t="shared" si="9"/>
        <v>144</v>
      </c>
      <c r="L30" s="13">
        <f t="shared" si="9"/>
        <v>126</v>
      </c>
      <c r="M30" s="13">
        <f t="shared" si="9"/>
        <v>229</v>
      </c>
      <c r="N30" s="13">
        <f t="shared" si="9"/>
        <v>188</v>
      </c>
      <c r="O30" s="13">
        <f t="shared" si="9"/>
        <v>228</v>
      </c>
      <c r="P30" s="13">
        <f t="shared" si="9"/>
        <v>219</v>
      </c>
      <c r="Q30" s="13">
        <f t="shared" si="9"/>
        <v>204</v>
      </c>
      <c r="R30" s="13">
        <f t="shared" si="9"/>
        <v>222</v>
      </c>
      <c r="S30" s="13">
        <f t="shared" si="9"/>
        <v>187</v>
      </c>
      <c r="T30" s="13">
        <f t="shared" si="9"/>
        <v>211</v>
      </c>
      <c r="U30" s="13">
        <f t="shared" si="9"/>
        <v>241</v>
      </c>
      <c r="V30" s="13">
        <f t="shared" si="9"/>
        <v>193</v>
      </c>
      <c r="W30" s="13">
        <f t="shared" si="9"/>
        <v>202</v>
      </c>
      <c r="X30" s="13">
        <f t="shared" si="9"/>
        <v>226</v>
      </c>
      <c r="Y30" s="13">
        <f t="shared" si="9"/>
        <v>199</v>
      </c>
      <c r="Z30" s="13">
        <f t="shared" si="9"/>
        <v>142</v>
      </c>
      <c r="AA30" s="13">
        <f t="shared" si="9"/>
        <v>121</v>
      </c>
      <c r="AB30" s="13">
        <f t="shared" si="3"/>
        <v>4341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68"/>
    </row>
    <row r="33" ht="12.75" customHeight="1">
      <c r="A33" s="19">
        <v>1.0</v>
      </c>
      <c r="B33" s="20" t="s">
        <v>27</v>
      </c>
      <c r="C33" s="15"/>
      <c r="D33" s="16"/>
      <c r="E33" s="19">
        <v>254.0</v>
      </c>
      <c r="F33" s="19">
        <v>253.0</v>
      </c>
      <c r="G33" s="19">
        <v>298.0</v>
      </c>
      <c r="H33" s="19">
        <v>261.0</v>
      </c>
      <c r="I33" s="19">
        <v>164.0</v>
      </c>
      <c r="J33" s="19">
        <v>174.0</v>
      </c>
      <c r="K33" s="19">
        <v>201.0</v>
      </c>
      <c r="L33" s="19">
        <v>173.0</v>
      </c>
      <c r="M33" s="19">
        <v>306.0</v>
      </c>
      <c r="N33" s="19">
        <v>255.0</v>
      </c>
      <c r="O33" s="19">
        <v>299.0</v>
      </c>
      <c r="P33" s="19">
        <v>284.0</v>
      </c>
      <c r="Q33" s="19">
        <v>285.0</v>
      </c>
      <c r="R33" s="19">
        <v>298.0</v>
      </c>
      <c r="S33" s="19">
        <v>280.0</v>
      </c>
      <c r="T33" s="19">
        <v>279.0</v>
      </c>
      <c r="U33" s="19">
        <v>305.0</v>
      </c>
      <c r="V33" s="19">
        <v>267.0</v>
      </c>
      <c r="W33" s="19">
        <v>274.0</v>
      </c>
      <c r="X33" s="19">
        <v>294.0</v>
      </c>
      <c r="Y33" s="19">
        <v>268.0</v>
      </c>
      <c r="Z33" s="19">
        <v>235.0</v>
      </c>
      <c r="AA33" s="19">
        <v>170.0</v>
      </c>
      <c r="AB33" s="13">
        <f t="shared" ref="AB33:AB36" si="10">SUM(E33:AA33)</f>
        <v>5877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190.0</v>
      </c>
      <c r="G34" s="13">
        <v>235.0</v>
      </c>
      <c r="H34" s="13">
        <v>197.0</v>
      </c>
      <c r="I34" s="13">
        <v>124.0</v>
      </c>
      <c r="J34" s="13">
        <v>138.0</v>
      </c>
      <c r="K34" s="13">
        <v>144.0</v>
      </c>
      <c r="L34" s="13">
        <v>126.0</v>
      </c>
      <c r="M34" s="13">
        <v>229.0</v>
      </c>
      <c r="N34" s="13">
        <v>188.0</v>
      </c>
      <c r="O34" s="13">
        <v>228.0</v>
      </c>
      <c r="P34" s="13">
        <v>219.0</v>
      </c>
      <c r="Q34" s="13">
        <v>204.0</v>
      </c>
      <c r="R34" s="13">
        <v>222.0</v>
      </c>
      <c r="S34" s="13">
        <v>187.0</v>
      </c>
      <c r="T34" s="13">
        <v>211.0</v>
      </c>
      <c r="U34" s="13">
        <v>241.0</v>
      </c>
      <c r="V34" s="13">
        <v>193.0</v>
      </c>
      <c r="W34" s="13">
        <v>202.0</v>
      </c>
      <c r="X34" s="13">
        <v>226.0</v>
      </c>
      <c r="Y34" s="13">
        <v>199.0</v>
      </c>
      <c r="Z34" s="13">
        <v>142.0</v>
      </c>
      <c r="AA34" s="13">
        <v>121.0</v>
      </c>
      <c r="AB34" s="13">
        <f t="shared" si="10"/>
        <v>4341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1.0</v>
      </c>
      <c r="I35" s="19"/>
      <c r="J35" s="19"/>
      <c r="K35" s="19"/>
      <c r="L35" s="19"/>
      <c r="M35" s="19"/>
      <c r="N35" s="19">
        <v>1.0</v>
      </c>
      <c r="O35" s="19"/>
      <c r="P35" s="19"/>
      <c r="Q35" s="19"/>
      <c r="R35" s="19"/>
      <c r="S35" s="19"/>
      <c r="T35" s="19"/>
      <c r="U35" s="19"/>
      <c r="V35" s="19"/>
      <c r="W35" s="19"/>
      <c r="X35" s="19">
        <v>1.0</v>
      </c>
      <c r="Y35" s="19"/>
      <c r="Z35" s="19"/>
      <c r="AA35" s="19"/>
      <c r="AB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79</v>
      </c>
      <c r="F36" s="13">
        <f t="shared" si="11"/>
        <v>63</v>
      </c>
      <c r="G36" s="13">
        <f t="shared" si="11"/>
        <v>63</v>
      </c>
      <c r="H36" s="13">
        <f t="shared" si="11"/>
        <v>63</v>
      </c>
      <c r="I36" s="13">
        <f t="shared" si="11"/>
        <v>40</v>
      </c>
      <c r="J36" s="13">
        <f t="shared" si="11"/>
        <v>36</v>
      </c>
      <c r="K36" s="13">
        <f t="shared" si="11"/>
        <v>57</v>
      </c>
      <c r="L36" s="13">
        <f t="shared" si="11"/>
        <v>47</v>
      </c>
      <c r="M36" s="13">
        <f t="shared" si="11"/>
        <v>77</v>
      </c>
      <c r="N36" s="13">
        <f t="shared" si="11"/>
        <v>66</v>
      </c>
      <c r="O36" s="13">
        <f t="shared" si="11"/>
        <v>71</v>
      </c>
      <c r="P36" s="13">
        <f t="shared" si="11"/>
        <v>65</v>
      </c>
      <c r="Q36" s="13">
        <f t="shared" si="11"/>
        <v>81</v>
      </c>
      <c r="R36" s="13">
        <f t="shared" si="11"/>
        <v>76</v>
      </c>
      <c r="S36" s="13">
        <f t="shared" si="11"/>
        <v>93</v>
      </c>
      <c r="T36" s="13">
        <f t="shared" si="11"/>
        <v>68</v>
      </c>
      <c r="U36" s="13">
        <f t="shared" si="11"/>
        <v>64</v>
      </c>
      <c r="V36" s="13">
        <f t="shared" si="11"/>
        <v>74</v>
      </c>
      <c r="W36" s="13">
        <f t="shared" si="11"/>
        <v>72</v>
      </c>
      <c r="X36" s="13">
        <f t="shared" si="11"/>
        <v>67</v>
      </c>
      <c r="Y36" s="13">
        <f t="shared" si="11"/>
        <v>69</v>
      </c>
      <c r="Z36" s="13">
        <f t="shared" si="11"/>
        <v>93</v>
      </c>
      <c r="AA36" s="13">
        <f t="shared" si="11"/>
        <v>49</v>
      </c>
      <c r="AB36" s="13">
        <f t="shared" si="10"/>
        <v>1533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>
        <v>1.0</v>
      </c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9.0</v>
      </c>
      <c r="G45" s="19">
        <v>12.0</v>
      </c>
      <c r="H45" s="19">
        <v>6.0</v>
      </c>
      <c r="I45" s="19">
        <v>1.0</v>
      </c>
      <c r="J45" s="19">
        <v>1.0</v>
      </c>
      <c r="K45" s="19">
        <v>7.0</v>
      </c>
      <c r="L45" s="19">
        <v>4.0</v>
      </c>
      <c r="M45" s="19">
        <v>2.0</v>
      </c>
      <c r="N45" s="19">
        <v>2.0</v>
      </c>
      <c r="O45" s="19">
        <v>9.0</v>
      </c>
      <c r="P45" s="19">
        <v>7.0</v>
      </c>
      <c r="Q45" s="19">
        <v>8.0</v>
      </c>
      <c r="R45" s="19">
        <v>1.0</v>
      </c>
      <c r="S45" s="19">
        <v>10.0</v>
      </c>
      <c r="T45" s="19">
        <v>5.0</v>
      </c>
      <c r="U45" s="19">
        <v>7.0</v>
      </c>
      <c r="V45" s="19">
        <v>5.0</v>
      </c>
      <c r="W45" s="19">
        <v>1.0</v>
      </c>
      <c r="X45" s="19">
        <v>2.0</v>
      </c>
      <c r="Y45" s="19">
        <v>6.0</v>
      </c>
      <c r="Z45" s="19">
        <v>5.0</v>
      </c>
      <c r="AA45" s="19">
        <v>1.0</v>
      </c>
      <c r="AB45" s="13">
        <f t="shared" ref="AB45:AB55" si="14">SUM(E45:AA45)</f>
        <v>118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18.0</v>
      </c>
      <c r="F46" s="19">
        <v>43.0</v>
      </c>
      <c r="G46" s="19">
        <v>74.0</v>
      </c>
      <c r="H46" s="19">
        <v>21.0</v>
      </c>
      <c r="I46" s="19">
        <v>8.0</v>
      </c>
      <c r="J46" s="19">
        <v>4.0</v>
      </c>
      <c r="K46" s="19">
        <v>31.0</v>
      </c>
      <c r="L46" s="19">
        <v>9.0</v>
      </c>
      <c r="M46" s="19">
        <v>0.0</v>
      </c>
      <c r="N46" s="19">
        <v>1.0</v>
      </c>
      <c r="O46" s="19">
        <v>12.0</v>
      </c>
      <c r="P46" s="19">
        <v>19.0</v>
      </c>
      <c r="Q46" s="19">
        <v>10.0</v>
      </c>
      <c r="R46" s="19">
        <v>8.0</v>
      </c>
      <c r="S46" s="19">
        <v>9.0</v>
      </c>
      <c r="T46" s="19">
        <v>36.0</v>
      </c>
      <c r="U46" s="19">
        <v>18.0</v>
      </c>
      <c r="V46" s="19">
        <v>19.0</v>
      </c>
      <c r="W46" s="19">
        <v>23.0</v>
      </c>
      <c r="X46" s="19">
        <v>51.0</v>
      </c>
      <c r="Y46" s="19">
        <v>22.0</v>
      </c>
      <c r="Z46" s="19">
        <v>5.0</v>
      </c>
      <c r="AA46" s="19">
        <v>6.0</v>
      </c>
      <c r="AB46" s="13">
        <f t="shared" si="14"/>
        <v>447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2.0</v>
      </c>
      <c r="G47" s="19">
        <v>6.0</v>
      </c>
      <c r="H47" s="19">
        <v>3.0</v>
      </c>
      <c r="I47" s="19">
        <v>1.0</v>
      </c>
      <c r="J47" s="19">
        <v>0.0</v>
      </c>
      <c r="K47" s="19">
        <v>4.0</v>
      </c>
      <c r="L47" s="19">
        <v>4.0</v>
      </c>
      <c r="M47" s="19">
        <v>3.0</v>
      </c>
      <c r="N47" s="19">
        <v>3.0</v>
      </c>
      <c r="O47" s="19">
        <v>15.0</v>
      </c>
      <c r="P47" s="19">
        <v>20.0</v>
      </c>
      <c r="Q47" s="19">
        <v>1.0</v>
      </c>
      <c r="R47" s="19">
        <v>0.0</v>
      </c>
      <c r="S47" s="19">
        <v>44.0</v>
      </c>
      <c r="T47" s="19">
        <v>20.0</v>
      </c>
      <c r="U47" s="19">
        <v>12.0</v>
      </c>
      <c r="V47" s="19">
        <v>7.0</v>
      </c>
      <c r="W47" s="19">
        <v>4.0</v>
      </c>
      <c r="X47" s="19">
        <v>8.0</v>
      </c>
      <c r="Y47" s="19">
        <v>6.0</v>
      </c>
      <c r="Z47" s="19">
        <v>1.0</v>
      </c>
      <c r="AA47" s="19">
        <v>4.0</v>
      </c>
      <c r="AB47" s="13">
        <f t="shared" si="14"/>
        <v>170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2.0</v>
      </c>
      <c r="N48" s="19">
        <v>0.0</v>
      </c>
      <c r="O48" s="19">
        <v>1.0</v>
      </c>
      <c r="P48" s="19">
        <v>4.0</v>
      </c>
      <c r="Q48" s="19">
        <v>2.0</v>
      </c>
      <c r="R48" s="19">
        <v>0.0</v>
      </c>
      <c r="S48" s="19">
        <v>4.0</v>
      </c>
      <c r="T48" s="19">
        <v>0.0</v>
      </c>
      <c r="U48" s="19">
        <v>0.0</v>
      </c>
      <c r="V48" s="19">
        <v>1.0</v>
      </c>
      <c r="W48" s="19">
        <v>0.0</v>
      </c>
      <c r="X48" s="19">
        <v>1.0</v>
      </c>
      <c r="Y48" s="19">
        <v>0.0</v>
      </c>
      <c r="Z48" s="19">
        <v>0.0</v>
      </c>
      <c r="AA48" s="19">
        <v>0.0</v>
      </c>
      <c r="AB48" s="13">
        <f t="shared" si="14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2.0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1.0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9">
        <v>0.0</v>
      </c>
      <c r="AB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2.0</v>
      </c>
      <c r="S51" s="19">
        <v>1.0</v>
      </c>
      <c r="T51" s="19">
        <v>1.0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3">
        <f t="shared" si="14"/>
        <v>2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A55" si="15">SUM(E45:E52)</f>
        <v>31</v>
      </c>
      <c r="F55" s="13">
        <f t="shared" si="15"/>
        <v>57</v>
      </c>
      <c r="G55" s="13">
        <f t="shared" si="15"/>
        <v>94</v>
      </c>
      <c r="H55" s="13">
        <f t="shared" si="15"/>
        <v>30</v>
      </c>
      <c r="I55" s="13">
        <f t="shared" si="15"/>
        <v>12</v>
      </c>
      <c r="J55" s="13">
        <f t="shared" si="15"/>
        <v>6</v>
      </c>
      <c r="K55" s="13">
        <f t="shared" si="15"/>
        <v>43</v>
      </c>
      <c r="L55" s="13">
        <f t="shared" si="15"/>
        <v>17</v>
      </c>
      <c r="M55" s="13">
        <f t="shared" si="15"/>
        <v>7</v>
      </c>
      <c r="N55" s="13">
        <f t="shared" si="15"/>
        <v>6</v>
      </c>
      <c r="O55" s="13">
        <f t="shared" si="15"/>
        <v>39</v>
      </c>
      <c r="P55" s="13">
        <f t="shared" si="15"/>
        <v>50</v>
      </c>
      <c r="Q55" s="13">
        <f t="shared" si="15"/>
        <v>22</v>
      </c>
      <c r="R55" s="13">
        <f t="shared" si="15"/>
        <v>11</v>
      </c>
      <c r="S55" s="13">
        <f t="shared" si="15"/>
        <v>69</v>
      </c>
      <c r="T55" s="13">
        <f t="shared" si="15"/>
        <v>63</v>
      </c>
      <c r="U55" s="13">
        <f t="shared" si="15"/>
        <v>37</v>
      </c>
      <c r="V55" s="13">
        <f t="shared" si="15"/>
        <v>32</v>
      </c>
      <c r="W55" s="13">
        <f t="shared" si="15"/>
        <v>28</v>
      </c>
      <c r="X55" s="13">
        <f t="shared" si="15"/>
        <v>62</v>
      </c>
      <c r="Y55" s="13">
        <f t="shared" si="15"/>
        <v>34</v>
      </c>
      <c r="Z55" s="13">
        <f t="shared" si="15"/>
        <v>12</v>
      </c>
      <c r="AA55" s="13">
        <f t="shared" si="15"/>
        <v>11</v>
      </c>
      <c r="AB55" s="13">
        <f t="shared" si="14"/>
        <v>773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9.0</v>
      </c>
      <c r="G57" s="19">
        <v>5.0</v>
      </c>
      <c r="H57" s="19">
        <v>7.0</v>
      </c>
      <c r="I57" s="19">
        <v>6.0</v>
      </c>
      <c r="J57" s="19">
        <v>1.0</v>
      </c>
      <c r="K57" s="19">
        <v>3.0</v>
      </c>
      <c r="L57" s="19">
        <v>4.0</v>
      </c>
      <c r="M57" s="19">
        <v>5.0</v>
      </c>
      <c r="N57" s="19">
        <v>5.0</v>
      </c>
      <c r="O57" s="19">
        <v>6.0</v>
      </c>
      <c r="P57" s="19">
        <v>6.0</v>
      </c>
      <c r="Q57" s="19">
        <v>8.0</v>
      </c>
      <c r="R57" s="19">
        <v>7.0</v>
      </c>
      <c r="S57" s="19">
        <v>9.0</v>
      </c>
      <c r="T57" s="19">
        <v>5.0</v>
      </c>
      <c r="U57" s="19">
        <v>9.0</v>
      </c>
      <c r="V57" s="19">
        <v>12.0</v>
      </c>
      <c r="W57" s="19">
        <v>5.0</v>
      </c>
      <c r="X57" s="19">
        <v>6.0</v>
      </c>
      <c r="Y57" s="19">
        <v>5.0</v>
      </c>
      <c r="Z57" s="19">
        <v>6.0</v>
      </c>
      <c r="AA57" s="19">
        <v>5.0</v>
      </c>
      <c r="AB57" s="13">
        <f t="shared" ref="AB57:AB67" si="16">SUM(E57:AA57)</f>
        <v>140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10.0</v>
      </c>
      <c r="F58" s="19">
        <v>4.0</v>
      </c>
      <c r="G58" s="19">
        <v>2.0</v>
      </c>
      <c r="H58" s="19">
        <v>1.0</v>
      </c>
      <c r="I58" s="19">
        <v>4.0</v>
      </c>
      <c r="J58" s="19">
        <v>2.0</v>
      </c>
      <c r="K58" s="19">
        <v>0.0</v>
      </c>
      <c r="L58" s="19">
        <v>4.0</v>
      </c>
      <c r="M58" s="19">
        <v>0.0</v>
      </c>
      <c r="N58" s="19">
        <v>2.0</v>
      </c>
      <c r="O58" s="19">
        <v>5.0</v>
      </c>
      <c r="P58" s="19">
        <v>1.0</v>
      </c>
      <c r="Q58" s="19">
        <v>6.0</v>
      </c>
      <c r="R58" s="19">
        <v>4.0</v>
      </c>
      <c r="S58" s="19">
        <v>11.0</v>
      </c>
      <c r="T58" s="19">
        <v>2.0</v>
      </c>
      <c r="U58" s="19">
        <v>10.0</v>
      </c>
      <c r="V58" s="19">
        <v>5.0</v>
      </c>
      <c r="W58" s="19">
        <v>3.0</v>
      </c>
      <c r="X58" s="19">
        <v>9.0</v>
      </c>
      <c r="Y58" s="19">
        <v>6.0</v>
      </c>
      <c r="Z58" s="19">
        <v>4.0</v>
      </c>
      <c r="AA58" s="19">
        <v>2.0</v>
      </c>
      <c r="AB58" s="13">
        <f t="shared" si="16"/>
        <v>97</v>
      </c>
    </row>
    <row r="59" ht="12.75" customHeight="1">
      <c r="A59" s="18"/>
      <c r="B59" s="55">
        <v>2.0</v>
      </c>
      <c r="C59" s="50" t="s">
        <v>50</v>
      </c>
      <c r="D59" s="56"/>
      <c r="E59" s="19">
        <v>0.0</v>
      </c>
      <c r="F59" s="19">
        <v>0.0</v>
      </c>
      <c r="G59" s="19">
        <v>1.0</v>
      </c>
      <c r="H59" s="19">
        <v>1.0</v>
      </c>
      <c r="I59" s="19">
        <v>0.0</v>
      </c>
      <c r="J59" s="19">
        <v>0.0</v>
      </c>
      <c r="K59" s="19">
        <v>2.0</v>
      </c>
      <c r="L59" s="19">
        <v>2.0</v>
      </c>
      <c r="M59" s="19">
        <v>1.0</v>
      </c>
      <c r="N59" s="19">
        <v>0.0</v>
      </c>
      <c r="O59" s="19">
        <v>10.0</v>
      </c>
      <c r="P59" s="19">
        <v>1.0</v>
      </c>
      <c r="Q59" s="19">
        <v>29.0</v>
      </c>
      <c r="R59" s="19">
        <v>27.0</v>
      </c>
      <c r="S59" s="19">
        <v>8.0</v>
      </c>
      <c r="T59" s="19">
        <v>14.0</v>
      </c>
      <c r="U59" s="19">
        <v>28.0</v>
      </c>
      <c r="V59" s="19">
        <v>14.0</v>
      </c>
      <c r="W59" s="19">
        <v>18.0</v>
      </c>
      <c r="X59" s="19">
        <v>55.0</v>
      </c>
      <c r="Y59" s="19">
        <v>3.0</v>
      </c>
      <c r="Z59" s="19">
        <v>30.0</v>
      </c>
      <c r="AA59" s="19">
        <v>25.0</v>
      </c>
      <c r="AB59" s="13">
        <f t="shared" si="16"/>
        <v>269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1.0</v>
      </c>
      <c r="L60" s="19">
        <v>0.0</v>
      </c>
      <c r="M60" s="19">
        <v>0.0</v>
      </c>
      <c r="N60" s="19">
        <v>0.0</v>
      </c>
      <c r="O60" s="19">
        <v>1.0</v>
      </c>
      <c r="P60" s="19">
        <v>0.0</v>
      </c>
      <c r="Q60" s="19">
        <v>1.0</v>
      </c>
      <c r="R60" s="19">
        <v>0.0</v>
      </c>
      <c r="S60" s="19">
        <v>1.0</v>
      </c>
      <c r="T60" s="19">
        <v>0.0</v>
      </c>
      <c r="U60" s="19">
        <v>0.0</v>
      </c>
      <c r="V60" s="19">
        <v>1.0</v>
      </c>
      <c r="W60" s="19">
        <v>1.0</v>
      </c>
      <c r="X60" s="19">
        <v>1.0</v>
      </c>
      <c r="Y60" s="19">
        <v>2.0</v>
      </c>
      <c r="Z60" s="19">
        <v>0.0</v>
      </c>
      <c r="AA60" s="19">
        <v>0.0</v>
      </c>
      <c r="AB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6"/>
      <c r="E61" s="19">
        <v>30.0</v>
      </c>
      <c r="F61" s="19">
        <v>27.0</v>
      </c>
      <c r="G61" s="19">
        <v>84.0</v>
      </c>
      <c r="H61" s="19">
        <v>108.0</v>
      </c>
      <c r="I61" s="19">
        <v>16.0</v>
      </c>
      <c r="J61" s="19">
        <v>12.0</v>
      </c>
      <c r="K61" s="19">
        <v>43.0</v>
      </c>
      <c r="L61" s="19">
        <v>19.0</v>
      </c>
      <c r="M61" s="19">
        <v>35.0</v>
      </c>
      <c r="N61" s="19">
        <v>7.0</v>
      </c>
      <c r="O61" s="19">
        <v>25.0</v>
      </c>
      <c r="P61" s="19">
        <v>15.0</v>
      </c>
      <c r="Q61" s="19">
        <v>2.0</v>
      </c>
      <c r="R61" s="19">
        <v>8.0</v>
      </c>
      <c r="S61" s="19">
        <v>3.0</v>
      </c>
      <c r="T61" s="19">
        <v>15.0</v>
      </c>
      <c r="U61" s="19">
        <v>7.0</v>
      </c>
      <c r="V61" s="19">
        <v>17.0</v>
      </c>
      <c r="W61" s="19">
        <v>12.0</v>
      </c>
      <c r="X61" s="19">
        <v>2.0</v>
      </c>
      <c r="Y61" s="19">
        <v>22.0</v>
      </c>
      <c r="Z61" s="19">
        <v>9.0</v>
      </c>
      <c r="AA61" s="19">
        <v>12.0</v>
      </c>
      <c r="AB61" s="13">
        <f t="shared" si="16"/>
        <v>530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4.0</v>
      </c>
      <c r="X64" s="19">
        <v>2.0</v>
      </c>
      <c r="Y64" s="19">
        <v>0.0</v>
      </c>
      <c r="Z64" s="19">
        <v>0.0</v>
      </c>
      <c r="AA64" s="19">
        <v>0.0</v>
      </c>
      <c r="AB64" s="13">
        <f t="shared" si="16"/>
        <v>8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A67" si="17">SUM(E57:E64)</f>
        <v>48</v>
      </c>
      <c r="F67" s="13">
        <f t="shared" si="17"/>
        <v>41</v>
      </c>
      <c r="G67" s="13">
        <f t="shared" si="17"/>
        <v>92</v>
      </c>
      <c r="H67" s="13">
        <f t="shared" si="17"/>
        <v>117</v>
      </c>
      <c r="I67" s="13">
        <f t="shared" si="17"/>
        <v>26</v>
      </c>
      <c r="J67" s="13">
        <f t="shared" si="17"/>
        <v>16</v>
      </c>
      <c r="K67" s="13">
        <f t="shared" si="17"/>
        <v>50</v>
      </c>
      <c r="L67" s="13">
        <f t="shared" si="17"/>
        <v>29</v>
      </c>
      <c r="M67" s="13">
        <f t="shared" si="17"/>
        <v>41</v>
      </c>
      <c r="N67" s="13">
        <f t="shared" si="17"/>
        <v>14</v>
      </c>
      <c r="O67" s="13">
        <f t="shared" si="17"/>
        <v>47</v>
      </c>
      <c r="P67" s="13">
        <f t="shared" si="17"/>
        <v>24</v>
      </c>
      <c r="Q67" s="13">
        <f t="shared" si="17"/>
        <v>47</v>
      </c>
      <c r="R67" s="13">
        <f t="shared" si="17"/>
        <v>46</v>
      </c>
      <c r="S67" s="13">
        <f t="shared" si="17"/>
        <v>32</v>
      </c>
      <c r="T67" s="13">
        <f t="shared" si="17"/>
        <v>36</v>
      </c>
      <c r="U67" s="13">
        <f t="shared" si="17"/>
        <v>54</v>
      </c>
      <c r="V67" s="13">
        <f t="shared" si="17"/>
        <v>49</v>
      </c>
      <c r="W67" s="13">
        <f t="shared" si="17"/>
        <v>43</v>
      </c>
      <c r="X67" s="13">
        <f t="shared" si="17"/>
        <v>75</v>
      </c>
      <c r="Y67" s="13">
        <f t="shared" si="17"/>
        <v>38</v>
      </c>
      <c r="Z67" s="13">
        <f t="shared" si="17"/>
        <v>49</v>
      </c>
      <c r="AA67" s="13">
        <f t="shared" si="17"/>
        <v>44</v>
      </c>
      <c r="AB67" s="13">
        <f t="shared" si="16"/>
        <v>1058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11.0</v>
      </c>
      <c r="F69" s="19">
        <v>10.0</v>
      </c>
      <c r="G69" s="19">
        <v>1.0</v>
      </c>
      <c r="H69" s="19">
        <v>4.0</v>
      </c>
      <c r="I69" s="19">
        <v>11.0</v>
      </c>
      <c r="J69" s="19">
        <v>7.0</v>
      </c>
      <c r="K69" s="19">
        <v>0.0</v>
      </c>
      <c r="L69" s="19">
        <v>6.0</v>
      </c>
      <c r="M69" s="19">
        <v>3.0</v>
      </c>
      <c r="N69" s="19">
        <v>4.0</v>
      </c>
      <c r="O69" s="19">
        <v>11.0</v>
      </c>
      <c r="P69" s="19">
        <v>12.0</v>
      </c>
      <c r="Q69" s="19">
        <v>1.0</v>
      </c>
      <c r="R69" s="19">
        <v>3.0</v>
      </c>
      <c r="S69" s="19">
        <v>13.0</v>
      </c>
      <c r="T69" s="19">
        <v>9.0</v>
      </c>
      <c r="U69" s="19">
        <v>7.0</v>
      </c>
      <c r="V69" s="19">
        <v>6.0</v>
      </c>
      <c r="W69" s="19">
        <v>10.0</v>
      </c>
      <c r="X69" s="19">
        <v>7.0</v>
      </c>
      <c r="Y69" s="19">
        <v>9.0</v>
      </c>
      <c r="Z69" s="19">
        <v>6.0</v>
      </c>
      <c r="AA69" s="19">
        <v>2.0</v>
      </c>
      <c r="AB69" s="13">
        <f t="shared" ref="AB69:AB79" si="18">SUM(E69:AA69)</f>
        <v>153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28.0</v>
      </c>
      <c r="F70" s="19">
        <v>17.0</v>
      </c>
      <c r="G70" s="19">
        <v>6.0</v>
      </c>
      <c r="H70" s="19">
        <v>12.0</v>
      </c>
      <c r="I70" s="19">
        <v>7.0</v>
      </c>
      <c r="J70" s="19">
        <v>39.0</v>
      </c>
      <c r="K70" s="19">
        <v>5.0</v>
      </c>
      <c r="L70" s="19">
        <v>8.0</v>
      </c>
      <c r="M70" s="19">
        <v>19.0</v>
      </c>
      <c r="N70" s="19">
        <v>33.0</v>
      </c>
      <c r="O70" s="19">
        <v>9.0</v>
      </c>
      <c r="P70" s="19">
        <v>25.0</v>
      </c>
      <c r="Q70" s="19">
        <v>7.0</v>
      </c>
      <c r="R70" s="19">
        <v>8.0</v>
      </c>
      <c r="S70" s="19">
        <v>16.0</v>
      </c>
      <c r="T70" s="19">
        <v>20.0</v>
      </c>
      <c r="U70" s="19">
        <v>36.0</v>
      </c>
      <c r="V70" s="19">
        <v>35.0</v>
      </c>
      <c r="W70" s="19">
        <v>41.0</v>
      </c>
      <c r="X70" s="19">
        <v>15.0</v>
      </c>
      <c r="Y70" s="19">
        <v>22.0</v>
      </c>
      <c r="Z70" s="19">
        <v>11.0</v>
      </c>
      <c r="AA70" s="19">
        <v>15.0</v>
      </c>
      <c r="AB70" s="13">
        <f t="shared" si="18"/>
        <v>434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5.0</v>
      </c>
      <c r="H71" s="19">
        <v>1.0</v>
      </c>
      <c r="I71" s="19">
        <v>1.0</v>
      </c>
      <c r="J71" s="19">
        <v>2.0</v>
      </c>
      <c r="K71" s="19">
        <v>0.0</v>
      </c>
      <c r="L71" s="19">
        <v>1.0</v>
      </c>
      <c r="M71" s="19">
        <v>5.0</v>
      </c>
      <c r="N71" s="19">
        <v>3.0</v>
      </c>
      <c r="O71" s="19">
        <v>2.0</v>
      </c>
      <c r="P71" s="19">
        <v>3.0</v>
      </c>
      <c r="Q71" s="19">
        <v>4.0</v>
      </c>
      <c r="R71" s="19">
        <v>1.0</v>
      </c>
      <c r="S71" s="19">
        <v>3.0</v>
      </c>
      <c r="T71" s="19">
        <v>0.0</v>
      </c>
      <c r="U71" s="19">
        <v>5.0</v>
      </c>
      <c r="V71" s="19">
        <v>0.0</v>
      </c>
      <c r="W71" s="19">
        <v>0.0</v>
      </c>
      <c r="X71" s="19">
        <v>1.0</v>
      </c>
      <c r="Y71" s="19">
        <v>4.0</v>
      </c>
      <c r="Z71" s="19">
        <v>1.0</v>
      </c>
      <c r="AA71" s="19">
        <v>0.0</v>
      </c>
      <c r="AB71" s="13">
        <f t="shared" si="18"/>
        <v>43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12.0</v>
      </c>
      <c r="G72" s="19">
        <v>0.0</v>
      </c>
      <c r="H72" s="19">
        <v>3.0</v>
      </c>
      <c r="I72" s="19">
        <v>0.0</v>
      </c>
      <c r="J72" s="19">
        <v>4.0</v>
      </c>
      <c r="K72" s="19">
        <v>0.0</v>
      </c>
      <c r="L72" s="19">
        <v>1.0</v>
      </c>
      <c r="M72" s="19">
        <v>0.0</v>
      </c>
      <c r="N72" s="19">
        <v>0.0</v>
      </c>
      <c r="O72" s="19">
        <v>3.0</v>
      </c>
      <c r="P72" s="19">
        <v>9.0</v>
      </c>
      <c r="Q72" s="19">
        <v>3.0</v>
      </c>
      <c r="R72" s="19">
        <v>0.0</v>
      </c>
      <c r="S72" s="19">
        <v>4.0</v>
      </c>
      <c r="T72" s="19">
        <v>10.0</v>
      </c>
      <c r="U72" s="19">
        <v>5.0</v>
      </c>
      <c r="V72" s="19">
        <v>1.0</v>
      </c>
      <c r="W72" s="19">
        <v>3.0</v>
      </c>
      <c r="X72" s="19">
        <v>0.0</v>
      </c>
      <c r="Y72" s="19">
        <v>0.0</v>
      </c>
      <c r="Z72" s="19">
        <v>1.0</v>
      </c>
      <c r="AA72" s="19">
        <v>0.0</v>
      </c>
      <c r="AB72" s="13">
        <f t="shared" si="18"/>
        <v>64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1.0</v>
      </c>
      <c r="S73" s="19">
        <v>1.0</v>
      </c>
      <c r="T73" s="19">
        <v>0.0</v>
      </c>
      <c r="U73" s="19">
        <v>0.0</v>
      </c>
      <c r="V73" s="19">
        <v>0.0</v>
      </c>
      <c r="W73" s="19">
        <v>1.0</v>
      </c>
      <c r="X73" s="19">
        <v>0.0</v>
      </c>
      <c r="Y73" s="19">
        <v>1.0</v>
      </c>
      <c r="Z73" s="19">
        <v>1.0</v>
      </c>
      <c r="AA73" s="19">
        <v>1.0</v>
      </c>
      <c r="AB73" s="13">
        <f t="shared" si="18"/>
        <v>8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0.0</v>
      </c>
      <c r="G74" s="19">
        <v>2.0</v>
      </c>
      <c r="H74" s="19">
        <v>1.0</v>
      </c>
      <c r="I74" s="19">
        <v>3.0</v>
      </c>
      <c r="J74" s="19">
        <v>5.0</v>
      </c>
      <c r="K74" s="19">
        <v>1.0</v>
      </c>
      <c r="L74" s="19">
        <v>4.0</v>
      </c>
      <c r="M74" s="19">
        <v>2.0</v>
      </c>
      <c r="N74" s="19">
        <v>1.0</v>
      </c>
      <c r="O74" s="19">
        <v>2.0</v>
      </c>
      <c r="P74" s="19">
        <v>4.0</v>
      </c>
      <c r="Q74" s="19">
        <v>0.0</v>
      </c>
      <c r="R74" s="19">
        <v>0.0</v>
      </c>
      <c r="S74" s="19">
        <v>1.0</v>
      </c>
      <c r="T74" s="19">
        <v>1.0</v>
      </c>
      <c r="U74" s="19">
        <v>1.0</v>
      </c>
      <c r="V74" s="19">
        <v>0.0</v>
      </c>
      <c r="W74" s="19">
        <v>2.0</v>
      </c>
      <c r="X74" s="19">
        <v>1.0</v>
      </c>
      <c r="Y74" s="19">
        <v>1.0</v>
      </c>
      <c r="Z74" s="19">
        <v>0.0</v>
      </c>
      <c r="AA74" s="19">
        <v>0.0</v>
      </c>
      <c r="AB74" s="13">
        <f t="shared" si="18"/>
        <v>34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9">
        <v>2.0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2.0</v>
      </c>
      <c r="AB75" s="13">
        <f t="shared" si="18"/>
        <v>6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0.0</v>
      </c>
      <c r="P76" s="19">
        <v>1.0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4.0</v>
      </c>
      <c r="Y76" s="19">
        <v>0.0</v>
      </c>
      <c r="Z76" s="19">
        <v>0.0</v>
      </c>
      <c r="AA76" s="19">
        <v>0.0</v>
      </c>
      <c r="AB76" s="13">
        <f t="shared" si="18"/>
        <v>9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A79" si="19">SUM(E69:E76)</f>
        <v>46</v>
      </c>
      <c r="F79" s="13">
        <f t="shared" si="19"/>
        <v>41</v>
      </c>
      <c r="G79" s="13">
        <f t="shared" si="19"/>
        <v>15</v>
      </c>
      <c r="H79" s="13">
        <f t="shared" si="19"/>
        <v>21</v>
      </c>
      <c r="I79" s="13">
        <f t="shared" si="19"/>
        <v>22</v>
      </c>
      <c r="J79" s="13">
        <f t="shared" si="19"/>
        <v>58</v>
      </c>
      <c r="K79" s="13">
        <f t="shared" si="19"/>
        <v>6</v>
      </c>
      <c r="L79" s="13">
        <f t="shared" si="19"/>
        <v>22</v>
      </c>
      <c r="M79" s="13">
        <f t="shared" si="19"/>
        <v>30</v>
      </c>
      <c r="N79" s="13">
        <f t="shared" si="19"/>
        <v>41</v>
      </c>
      <c r="O79" s="13">
        <f t="shared" si="19"/>
        <v>27</v>
      </c>
      <c r="P79" s="13">
        <f t="shared" si="19"/>
        <v>56</v>
      </c>
      <c r="Q79" s="13">
        <f t="shared" si="19"/>
        <v>15</v>
      </c>
      <c r="R79" s="13">
        <f t="shared" si="19"/>
        <v>14</v>
      </c>
      <c r="S79" s="13">
        <f t="shared" si="19"/>
        <v>38</v>
      </c>
      <c r="T79" s="13">
        <f t="shared" si="19"/>
        <v>40</v>
      </c>
      <c r="U79" s="13">
        <f t="shared" si="19"/>
        <v>54</v>
      </c>
      <c r="V79" s="13">
        <f t="shared" si="19"/>
        <v>43</v>
      </c>
      <c r="W79" s="13">
        <f t="shared" si="19"/>
        <v>57</v>
      </c>
      <c r="X79" s="13">
        <f t="shared" si="19"/>
        <v>28</v>
      </c>
      <c r="Y79" s="13">
        <f t="shared" si="19"/>
        <v>37</v>
      </c>
      <c r="Z79" s="13">
        <f t="shared" si="19"/>
        <v>20</v>
      </c>
      <c r="AA79" s="13">
        <f t="shared" si="19"/>
        <v>20</v>
      </c>
      <c r="AB79" s="13">
        <f t="shared" si="18"/>
        <v>751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2.0</v>
      </c>
      <c r="H81" s="19">
        <v>3.0</v>
      </c>
      <c r="I81" s="19">
        <v>4.0</v>
      </c>
      <c r="J81" s="19">
        <v>2.0</v>
      </c>
      <c r="K81" s="19">
        <v>4.0</v>
      </c>
      <c r="L81" s="19">
        <v>6.0</v>
      </c>
      <c r="M81" s="19">
        <v>6.0</v>
      </c>
      <c r="N81" s="19">
        <v>8.0</v>
      </c>
      <c r="O81" s="19">
        <v>18.0</v>
      </c>
      <c r="P81" s="19">
        <v>8.0</v>
      </c>
      <c r="Q81" s="19">
        <v>11.0</v>
      </c>
      <c r="R81" s="19">
        <v>23.0</v>
      </c>
      <c r="S81" s="19">
        <v>4.0</v>
      </c>
      <c r="T81" s="19">
        <v>8.0</v>
      </c>
      <c r="U81" s="19">
        <v>6.0</v>
      </c>
      <c r="V81" s="19">
        <v>3.0</v>
      </c>
      <c r="W81" s="19">
        <v>1.0</v>
      </c>
      <c r="X81" s="19">
        <v>2.0</v>
      </c>
      <c r="Y81" s="19">
        <v>4.0</v>
      </c>
      <c r="Z81" s="19">
        <v>22.0</v>
      </c>
      <c r="AA81" s="19">
        <v>0.0</v>
      </c>
      <c r="AB81" s="13">
        <f t="shared" ref="AB81:AB91" si="20">SUM(E81:AA81)</f>
        <v>150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1.0</v>
      </c>
      <c r="G82" s="19">
        <v>0.0</v>
      </c>
      <c r="H82" s="19">
        <v>1.0</v>
      </c>
      <c r="I82" s="19">
        <v>1.0</v>
      </c>
      <c r="J82" s="19">
        <v>2.0</v>
      </c>
      <c r="K82" s="19">
        <v>3.0</v>
      </c>
      <c r="L82" s="19">
        <v>4.0</v>
      </c>
      <c r="M82" s="19">
        <v>8.0</v>
      </c>
      <c r="N82" s="19">
        <v>8.0</v>
      </c>
      <c r="O82" s="19">
        <v>48.0</v>
      </c>
      <c r="P82" s="19">
        <v>15.0</v>
      </c>
      <c r="Q82" s="19">
        <v>48.0</v>
      </c>
      <c r="R82" s="19">
        <v>71.0</v>
      </c>
      <c r="S82" s="19">
        <v>1.0</v>
      </c>
      <c r="T82" s="19">
        <v>5.0</v>
      </c>
      <c r="U82" s="19">
        <v>5.0</v>
      </c>
      <c r="V82" s="19">
        <v>3.0</v>
      </c>
      <c r="W82" s="19">
        <v>5.0</v>
      </c>
      <c r="X82" s="19">
        <v>8.0</v>
      </c>
      <c r="Y82" s="19">
        <v>0.0</v>
      </c>
      <c r="Z82" s="19">
        <v>12.0</v>
      </c>
      <c r="AA82" s="19">
        <v>27.0</v>
      </c>
      <c r="AB82" s="13">
        <f t="shared" si="20"/>
        <v>281</v>
      </c>
    </row>
    <row r="83" ht="12.75" customHeight="1">
      <c r="A83" s="18"/>
      <c r="B83" s="55">
        <v>2.0</v>
      </c>
      <c r="C83" s="50" t="s">
        <v>66</v>
      </c>
      <c r="D83" s="57"/>
      <c r="E83" s="19">
        <v>21.0</v>
      </c>
      <c r="F83" s="19">
        <v>14.0</v>
      </c>
      <c r="G83" s="19">
        <v>13.0</v>
      </c>
      <c r="H83" s="19">
        <v>10.0</v>
      </c>
      <c r="I83" s="19">
        <v>25.0</v>
      </c>
      <c r="J83" s="19">
        <v>25.0</v>
      </c>
      <c r="K83" s="19">
        <v>13.0</v>
      </c>
      <c r="L83" s="19">
        <v>17.0</v>
      </c>
      <c r="M83" s="19">
        <v>105.0</v>
      </c>
      <c r="N83" s="19">
        <v>76.0</v>
      </c>
      <c r="O83" s="19">
        <v>19.0</v>
      </c>
      <c r="P83" s="19">
        <v>20.0</v>
      </c>
      <c r="Q83" s="19">
        <v>12.0</v>
      </c>
      <c r="R83" s="19">
        <v>15.0</v>
      </c>
      <c r="S83" s="19">
        <v>17.0</v>
      </c>
      <c r="T83" s="19">
        <v>18.0</v>
      </c>
      <c r="U83" s="19">
        <v>28.0</v>
      </c>
      <c r="V83" s="19">
        <v>16.0</v>
      </c>
      <c r="W83" s="19">
        <v>29.0</v>
      </c>
      <c r="X83" s="19">
        <v>23.0</v>
      </c>
      <c r="Y83" s="19">
        <v>30.0</v>
      </c>
      <c r="Z83" s="19">
        <v>7.0</v>
      </c>
      <c r="AA83" s="19">
        <v>3.0</v>
      </c>
      <c r="AB83" s="13">
        <f t="shared" si="20"/>
        <v>556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1.0</v>
      </c>
      <c r="M84" s="19">
        <v>1.0</v>
      </c>
      <c r="N84" s="19">
        <v>0.0</v>
      </c>
      <c r="O84" s="19">
        <v>3.0</v>
      </c>
      <c r="P84" s="19">
        <v>0.0</v>
      </c>
      <c r="Q84" s="19">
        <v>1.0</v>
      </c>
      <c r="R84" s="19">
        <v>0.0</v>
      </c>
      <c r="S84" s="19">
        <v>1.0</v>
      </c>
      <c r="T84" s="19">
        <v>1.0</v>
      </c>
      <c r="U84" s="19">
        <v>0.0</v>
      </c>
      <c r="V84" s="19">
        <v>0.0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1.0</v>
      </c>
      <c r="R86" s="19">
        <v>1.0</v>
      </c>
      <c r="S86" s="19">
        <v>1.0</v>
      </c>
      <c r="T86" s="19">
        <v>2.0</v>
      </c>
      <c r="U86" s="19">
        <v>0.0</v>
      </c>
      <c r="V86" s="19">
        <v>1.0</v>
      </c>
      <c r="W86" s="19">
        <v>1.0</v>
      </c>
      <c r="X86" s="19">
        <v>0.0</v>
      </c>
      <c r="Y86" s="19">
        <v>0.0</v>
      </c>
      <c r="Z86" s="19">
        <v>0.0</v>
      </c>
      <c r="AA86" s="19">
        <v>1.0</v>
      </c>
      <c r="AB86" s="13">
        <f t="shared" si="20"/>
        <v>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1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A91" si="21">SUM(E81:E88)</f>
        <v>28</v>
      </c>
      <c r="F91" s="13">
        <f t="shared" si="21"/>
        <v>18</v>
      </c>
      <c r="G91" s="13">
        <f t="shared" si="21"/>
        <v>15</v>
      </c>
      <c r="H91" s="13">
        <f t="shared" si="21"/>
        <v>16</v>
      </c>
      <c r="I91" s="13">
        <f t="shared" si="21"/>
        <v>30</v>
      </c>
      <c r="J91" s="13">
        <f t="shared" si="21"/>
        <v>29</v>
      </c>
      <c r="K91" s="13">
        <f t="shared" si="21"/>
        <v>20</v>
      </c>
      <c r="L91" s="13">
        <f t="shared" si="21"/>
        <v>28</v>
      </c>
      <c r="M91" s="13">
        <f t="shared" si="21"/>
        <v>121</v>
      </c>
      <c r="N91" s="13">
        <f t="shared" si="21"/>
        <v>93</v>
      </c>
      <c r="O91" s="13">
        <f t="shared" si="21"/>
        <v>88</v>
      </c>
      <c r="P91" s="13">
        <f t="shared" si="21"/>
        <v>45</v>
      </c>
      <c r="Q91" s="13">
        <f t="shared" si="21"/>
        <v>74</v>
      </c>
      <c r="R91" s="13">
        <f t="shared" si="21"/>
        <v>110</v>
      </c>
      <c r="S91" s="13">
        <f t="shared" si="21"/>
        <v>24</v>
      </c>
      <c r="T91" s="13">
        <f t="shared" si="21"/>
        <v>34</v>
      </c>
      <c r="U91" s="13">
        <f t="shared" si="21"/>
        <v>40</v>
      </c>
      <c r="V91" s="13">
        <f t="shared" si="21"/>
        <v>23</v>
      </c>
      <c r="W91" s="13">
        <f t="shared" si="21"/>
        <v>37</v>
      </c>
      <c r="X91" s="13">
        <f t="shared" si="21"/>
        <v>33</v>
      </c>
      <c r="Y91" s="13">
        <f t="shared" si="21"/>
        <v>34</v>
      </c>
      <c r="Z91" s="13">
        <f t="shared" si="21"/>
        <v>41</v>
      </c>
      <c r="AA91" s="13">
        <f t="shared" si="21"/>
        <v>31</v>
      </c>
      <c r="AB91" s="13">
        <f t="shared" si="20"/>
        <v>1012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0.0</v>
      </c>
      <c r="I93" s="19">
        <v>3.0</v>
      </c>
      <c r="J93" s="19">
        <v>0.0</v>
      </c>
      <c r="K93" s="19">
        <v>1.0</v>
      </c>
      <c r="L93" s="19">
        <v>1.0</v>
      </c>
      <c r="M93" s="19">
        <v>1.0</v>
      </c>
      <c r="N93" s="19">
        <v>0.0</v>
      </c>
      <c r="O93" s="19">
        <v>3.0</v>
      </c>
      <c r="P93" s="19">
        <v>2.0</v>
      </c>
      <c r="Q93" s="19">
        <v>1.0</v>
      </c>
      <c r="R93" s="19">
        <v>0.0</v>
      </c>
      <c r="S93" s="19">
        <v>0.0</v>
      </c>
      <c r="T93" s="19">
        <v>2.0</v>
      </c>
      <c r="U93" s="19">
        <v>1.0</v>
      </c>
      <c r="V93" s="19">
        <v>0.0</v>
      </c>
      <c r="W93" s="19">
        <v>0.0</v>
      </c>
      <c r="X93" s="19">
        <v>0.0</v>
      </c>
      <c r="Y93" s="19">
        <v>0.0</v>
      </c>
      <c r="Z93" s="19">
        <v>2.0</v>
      </c>
      <c r="AA93" s="19">
        <v>0.0</v>
      </c>
      <c r="AB93" s="13">
        <f t="shared" ref="AB93:AB103" si="22">SUM(E93:AA93)</f>
        <v>18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0.0</v>
      </c>
      <c r="H94" s="19">
        <v>0.0</v>
      </c>
      <c r="I94" s="19">
        <v>0.0</v>
      </c>
      <c r="J94" s="19">
        <v>2.0</v>
      </c>
      <c r="K94" s="19">
        <v>2.0</v>
      </c>
      <c r="L94" s="19">
        <v>0.0</v>
      </c>
      <c r="M94" s="19">
        <v>0.0</v>
      </c>
      <c r="N94" s="19">
        <v>1.0</v>
      </c>
      <c r="O94" s="19">
        <v>0.0</v>
      </c>
      <c r="P94" s="19">
        <v>1.0</v>
      </c>
      <c r="Q94" s="19">
        <v>0.0</v>
      </c>
      <c r="R94" s="19">
        <v>0.0</v>
      </c>
      <c r="S94" s="19">
        <v>1.0</v>
      </c>
      <c r="T94" s="19">
        <v>1.0</v>
      </c>
      <c r="U94" s="19">
        <v>0.0</v>
      </c>
      <c r="V94" s="19">
        <v>0.0</v>
      </c>
      <c r="W94" s="19">
        <v>0.0</v>
      </c>
      <c r="X94" s="19">
        <v>0.0</v>
      </c>
      <c r="Y94" s="19">
        <v>0.0</v>
      </c>
      <c r="Z94" s="19">
        <v>0.0</v>
      </c>
      <c r="AA94" s="19">
        <v>0.0</v>
      </c>
      <c r="AB94" s="13">
        <f t="shared" si="22"/>
        <v>10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2.0</v>
      </c>
      <c r="P95" s="19">
        <v>2.0</v>
      </c>
      <c r="Q95" s="19">
        <v>1.0</v>
      </c>
      <c r="R95" s="19">
        <v>1.0</v>
      </c>
      <c r="S95" s="19">
        <v>1.0</v>
      </c>
      <c r="T95" s="19">
        <v>1.0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3">
        <f t="shared" si="22"/>
        <v>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2.0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2.0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3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A103" si="23">SUM(E93:E100)</f>
        <v>0</v>
      </c>
      <c r="F103" s="13">
        <f t="shared" si="23"/>
        <v>3</v>
      </c>
      <c r="G103" s="13">
        <f t="shared" si="23"/>
        <v>0</v>
      </c>
      <c r="H103" s="13">
        <f t="shared" si="23"/>
        <v>0</v>
      </c>
      <c r="I103" s="13">
        <f t="shared" si="23"/>
        <v>3</v>
      </c>
      <c r="J103" s="13">
        <f t="shared" si="23"/>
        <v>2</v>
      </c>
      <c r="K103" s="13">
        <f t="shared" si="23"/>
        <v>5</v>
      </c>
      <c r="L103" s="13">
        <f t="shared" si="23"/>
        <v>5</v>
      </c>
      <c r="M103" s="13">
        <f t="shared" si="23"/>
        <v>1</v>
      </c>
      <c r="N103" s="13">
        <f t="shared" si="23"/>
        <v>1</v>
      </c>
      <c r="O103" s="13">
        <f t="shared" si="23"/>
        <v>5</v>
      </c>
      <c r="P103" s="13">
        <f t="shared" si="23"/>
        <v>5</v>
      </c>
      <c r="Q103" s="13">
        <f t="shared" si="23"/>
        <v>3</v>
      </c>
      <c r="R103" s="13">
        <f t="shared" si="23"/>
        <v>1</v>
      </c>
      <c r="S103" s="13">
        <f t="shared" si="23"/>
        <v>2</v>
      </c>
      <c r="T103" s="13">
        <f t="shared" si="23"/>
        <v>5</v>
      </c>
      <c r="U103" s="13">
        <f t="shared" si="23"/>
        <v>1</v>
      </c>
      <c r="V103" s="13">
        <f t="shared" si="23"/>
        <v>0</v>
      </c>
      <c r="W103" s="13">
        <f t="shared" si="23"/>
        <v>0</v>
      </c>
      <c r="X103" s="13">
        <f t="shared" si="23"/>
        <v>0</v>
      </c>
      <c r="Y103" s="13">
        <f t="shared" si="23"/>
        <v>0</v>
      </c>
      <c r="Z103" s="13">
        <f t="shared" si="23"/>
        <v>2</v>
      </c>
      <c r="AA103" s="13">
        <f t="shared" si="23"/>
        <v>0</v>
      </c>
      <c r="AB103" s="13">
        <f t="shared" si="22"/>
        <v>44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3">
        <f t="shared" ref="AB105:AB115" si="24">SUM(E105:AA105)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1.0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1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A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4"/>
        <v>9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0.0</v>
      </c>
      <c r="J117" s="19">
        <v>0.0</v>
      </c>
      <c r="K117" s="19">
        <v>2.0</v>
      </c>
      <c r="L117" s="19">
        <v>2.0</v>
      </c>
      <c r="M117" s="19">
        <v>2.0</v>
      </c>
      <c r="N117" s="19">
        <v>0.0</v>
      </c>
      <c r="O117" s="19">
        <v>1.0</v>
      </c>
      <c r="P117" s="19">
        <v>1.0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3">
        <f t="shared" ref="AB117:AB127" si="26">SUM(E117:AA117)</f>
        <v>10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1.0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26"/>
        <v>2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1.0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2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1.0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3">
        <f t="shared" si="26"/>
        <v>1</v>
      </c>
      <c r="AC120" s="5"/>
      <c r="AD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3">
        <f t="shared" si="26"/>
        <v>0</v>
      </c>
      <c r="AC121" s="5"/>
      <c r="AD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3">
        <f t="shared" si="26"/>
        <v>0</v>
      </c>
      <c r="AC122" s="5"/>
      <c r="AD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26"/>
        <v>0</v>
      </c>
      <c r="AC123" s="5"/>
      <c r="AD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26"/>
        <v>0</v>
      </c>
      <c r="AC124" s="5"/>
      <c r="AD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26"/>
        <v>0</v>
      </c>
      <c r="AC125" s="5"/>
      <c r="AD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26"/>
        <v>0</v>
      </c>
      <c r="AC126" s="5"/>
      <c r="AD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A127" si="27">SUM(E117:E120)</f>
        <v>1</v>
      </c>
      <c r="F127" s="58">
        <f t="shared" si="27"/>
        <v>1</v>
      </c>
      <c r="G127" s="58">
        <f t="shared" si="27"/>
        <v>0</v>
      </c>
      <c r="H127" s="58">
        <f t="shared" si="27"/>
        <v>1</v>
      </c>
      <c r="I127" s="58">
        <f t="shared" si="27"/>
        <v>1</v>
      </c>
      <c r="J127" s="58">
        <f t="shared" si="27"/>
        <v>0</v>
      </c>
      <c r="K127" s="58">
        <f t="shared" si="27"/>
        <v>2</v>
      </c>
      <c r="L127" s="58">
        <f t="shared" si="27"/>
        <v>2</v>
      </c>
      <c r="M127" s="58">
        <f t="shared" si="27"/>
        <v>2</v>
      </c>
      <c r="N127" s="58">
        <f t="shared" si="27"/>
        <v>0</v>
      </c>
      <c r="O127" s="58">
        <f t="shared" si="27"/>
        <v>2</v>
      </c>
      <c r="P127" s="58">
        <f t="shared" si="27"/>
        <v>2</v>
      </c>
      <c r="Q127" s="58">
        <f t="shared" si="27"/>
        <v>0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1</v>
      </c>
      <c r="V127" s="58">
        <f t="shared" si="27"/>
        <v>0</v>
      </c>
      <c r="W127" s="58">
        <f t="shared" si="27"/>
        <v>0</v>
      </c>
      <c r="X127" s="58">
        <f t="shared" si="27"/>
        <v>0</v>
      </c>
      <c r="Y127" s="58">
        <f t="shared" si="27"/>
        <v>0</v>
      </c>
      <c r="Z127" s="58">
        <f t="shared" si="27"/>
        <v>0</v>
      </c>
      <c r="AA127" s="58">
        <f t="shared" si="27"/>
        <v>0</v>
      </c>
      <c r="AB127" s="13">
        <f t="shared" si="26"/>
        <v>15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2.0</v>
      </c>
      <c r="N129" s="19">
        <v>0.0</v>
      </c>
      <c r="O129" s="19">
        <v>0.0</v>
      </c>
      <c r="P129" s="19">
        <v>0.0</v>
      </c>
      <c r="Q129" s="19">
        <v>1.0</v>
      </c>
      <c r="R129" s="19">
        <v>0.0</v>
      </c>
      <c r="S129" s="19">
        <v>0.0</v>
      </c>
      <c r="T129" s="19">
        <v>2.0</v>
      </c>
      <c r="U129" s="19">
        <v>1.0</v>
      </c>
      <c r="V129" s="19">
        <v>0.0</v>
      </c>
      <c r="W129" s="19">
        <v>1.0</v>
      </c>
      <c r="X129" s="19">
        <v>0.0</v>
      </c>
      <c r="Y129" s="19">
        <v>0.0</v>
      </c>
      <c r="Z129" s="19">
        <v>1.0</v>
      </c>
      <c r="AA129" s="19">
        <v>0.0</v>
      </c>
      <c r="AB129" s="13">
        <f t="shared" ref="AB129:AB139" si="28">SUM(E129:AA129)</f>
        <v>9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1.0</v>
      </c>
      <c r="G130" s="19">
        <v>3.0</v>
      </c>
      <c r="H130" s="19">
        <v>0.0</v>
      </c>
      <c r="I130" s="19">
        <v>0.0</v>
      </c>
      <c r="J130" s="19">
        <v>2.0</v>
      </c>
      <c r="K130" s="19">
        <v>1.0</v>
      </c>
      <c r="L130" s="19">
        <v>0.0</v>
      </c>
      <c r="M130" s="19">
        <v>1.0</v>
      </c>
      <c r="N130" s="19">
        <v>0.0</v>
      </c>
      <c r="O130" s="19">
        <v>0.0</v>
      </c>
      <c r="P130" s="19">
        <v>2.0</v>
      </c>
      <c r="Q130" s="19">
        <v>0.0</v>
      </c>
      <c r="R130" s="19">
        <v>1.0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1.0</v>
      </c>
      <c r="AA130" s="19">
        <v>0.0</v>
      </c>
      <c r="AB130" s="13">
        <f t="shared" si="28"/>
        <v>13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2.0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3">
        <f t="shared" si="28"/>
        <v>5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8"/>
        <v>1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3">
        <f t="shared" si="28"/>
        <v>2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0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1.0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1.0</v>
      </c>
      <c r="Z135" s="19">
        <v>0.0</v>
      </c>
      <c r="AA135" s="19">
        <v>0.0</v>
      </c>
      <c r="AB135" s="13">
        <f t="shared" si="28"/>
        <v>2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1.0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3">
        <f t="shared" si="28"/>
        <v>1</v>
      </c>
      <c r="AC136" s="5"/>
      <c r="AD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3">
        <f t="shared" si="28"/>
        <v>0</v>
      </c>
      <c r="AC137" s="5"/>
      <c r="AD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3">
        <f t="shared" si="28"/>
        <v>0</v>
      </c>
      <c r="AC138" s="5"/>
      <c r="AD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A139" si="29">SUM(E129:E136)</f>
        <v>2</v>
      </c>
      <c r="F139" s="13">
        <f t="shared" si="29"/>
        <v>2</v>
      </c>
      <c r="G139" s="13">
        <f t="shared" si="29"/>
        <v>6</v>
      </c>
      <c r="H139" s="13">
        <f t="shared" si="29"/>
        <v>0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0</v>
      </c>
      <c r="M139" s="13">
        <f t="shared" si="29"/>
        <v>3</v>
      </c>
      <c r="N139" s="13">
        <f t="shared" si="29"/>
        <v>0</v>
      </c>
      <c r="O139" s="13">
        <f t="shared" si="29"/>
        <v>1</v>
      </c>
      <c r="P139" s="13">
        <f t="shared" si="29"/>
        <v>2</v>
      </c>
      <c r="Q139" s="13">
        <f t="shared" si="29"/>
        <v>1</v>
      </c>
      <c r="R139" s="13">
        <f t="shared" si="29"/>
        <v>2</v>
      </c>
      <c r="S139" s="13">
        <f t="shared" si="29"/>
        <v>0</v>
      </c>
      <c r="T139" s="13">
        <f t="shared" si="29"/>
        <v>4</v>
      </c>
      <c r="U139" s="13">
        <f t="shared" si="29"/>
        <v>2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1</v>
      </c>
      <c r="Z139" s="13">
        <f t="shared" si="29"/>
        <v>2</v>
      </c>
      <c r="AA139" s="13">
        <f t="shared" si="29"/>
        <v>0</v>
      </c>
      <c r="AB139" s="13">
        <f t="shared" si="28"/>
        <v>33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51" si="30">SUM(E141:AA141)</f>
        <v>0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1.0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2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0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1.0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1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  <c r="AC149" s="5"/>
      <c r="AD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A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0"/>
        <v>3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2.0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2.0</v>
      </c>
      <c r="Q153" s="19">
        <v>0.0</v>
      </c>
      <c r="R153" s="19">
        <v>1.0</v>
      </c>
      <c r="S153" s="19">
        <v>0.0</v>
      </c>
      <c r="T153" s="19">
        <v>0.0</v>
      </c>
      <c r="U153" s="19">
        <v>2.0</v>
      </c>
      <c r="V153" s="19">
        <v>0.0</v>
      </c>
      <c r="W153" s="19">
        <v>0.0</v>
      </c>
      <c r="X153" s="19">
        <v>0.0</v>
      </c>
      <c r="Y153" s="19">
        <v>1.0</v>
      </c>
      <c r="Z153" s="19">
        <v>0.0</v>
      </c>
      <c r="AA153" s="19">
        <v>0.0</v>
      </c>
      <c r="AB153" s="13">
        <f t="shared" ref="AB153:AB163" si="32">SUM(E153:AA153)</f>
        <v>9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2.0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0.0</v>
      </c>
      <c r="AA154" s="19">
        <v>0.0</v>
      </c>
      <c r="AB154" s="13">
        <f t="shared" si="32"/>
        <v>4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3">
        <f t="shared" si="32"/>
        <v>3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1.0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2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1.0</v>
      </c>
      <c r="L157" s="19">
        <v>0.0</v>
      </c>
      <c r="M157" s="19">
        <v>0.0</v>
      </c>
      <c r="N157" s="19">
        <v>0.0</v>
      </c>
      <c r="O157" s="19">
        <v>0.0</v>
      </c>
      <c r="P157" s="19">
        <v>1.0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3">
        <f t="shared" si="32"/>
        <v>2</v>
      </c>
      <c r="AC157" s="5"/>
      <c r="AD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3">
        <f t="shared" si="32"/>
        <v>0</v>
      </c>
      <c r="AC158" s="5"/>
      <c r="AD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3">
        <f t="shared" si="32"/>
        <v>0</v>
      </c>
      <c r="AC159" s="5"/>
      <c r="AD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3">
        <f t="shared" si="32"/>
        <v>0</v>
      </c>
      <c r="AC160" s="5"/>
      <c r="AD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2"/>
        <v>0</v>
      </c>
      <c r="AC161" s="5"/>
      <c r="AD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2"/>
        <v>0</v>
      </c>
      <c r="AC162" s="5"/>
      <c r="AD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A163" si="33">SUM(E153:E157)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3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4</v>
      </c>
      <c r="Q163" s="13">
        <f t="shared" si="33"/>
        <v>3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2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0</v>
      </c>
      <c r="AA163" s="13">
        <f t="shared" si="33"/>
        <v>0</v>
      </c>
      <c r="AB163" s="13">
        <f t="shared" si="32"/>
        <v>20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3.0</v>
      </c>
      <c r="R165" s="19">
        <v>1.0</v>
      </c>
      <c r="S165" s="19">
        <v>1.0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5" si="34">SUM(E165:AA165)</f>
        <v>6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1.0</v>
      </c>
      <c r="Z166" s="19">
        <v>0.0</v>
      </c>
      <c r="AA166" s="19">
        <v>0.0</v>
      </c>
      <c r="AB166" s="13">
        <f t="shared" si="34"/>
        <v>2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1.0</v>
      </c>
      <c r="Y167" s="19">
        <v>0.0</v>
      </c>
      <c r="Z167" s="19">
        <v>0.0</v>
      </c>
      <c r="AA167" s="19">
        <v>0.0</v>
      </c>
      <c r="AB167" s="13">
        <f t="shared" si="34"/>
        <v>2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0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0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0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1.0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1</v>
      </c>
      <c r="AC172" s="5"/>
      <c r="AD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4"/>
        <v>0</v>
      </c>
      <c r="AC173" s="5"/>
      <c r="AD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4"/>
        <v>0</v>
      </c>
      <c r="AC174" s="5"/>
      <c r="AD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A175" si="35">SUM(E165:E172)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3</v>
      </c>
      <c r="R175" s="13">
        <f t="shared" si="35"/>
        <v>2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1</v>
      </c>
      <c r="X175" s="13">
        <f t="shared" si="35"/>
        <v>1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4"/>
        <v>11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0.0</v>
      </c>
      <c r="P177" s="19">
        <v>1.0</v>
      </c>
      <c r="Q177" s="19">
        <v>1.0</v>
      </c>
      <c r="R177" s="19">
        <v>0.0</v>
      </c>
      <c r="S177" s="19">
        <v>1.0</v>
      </c>
      <c r="T177" s="19">
        <v>0.0</v>
      </c>
      <c r="U177" s="19">
        <v>0.0</v>
      </c>
      <c r="V177" s="19">
        <v>1.0</v>
      </c>
      <c r="W177" s="19">
        <v>0.0</v>
      </c>
      <c r="X177" s="19">
        <v>2.0</v>
      </c>
      <c r="Y177" s="19">
        <v>2.0</v>
      </c>
      <c r="Z177" s="19">
        <v>0.0</v>
      </c>
      <c r="AA177" s="19">
        <v>0.0</v>
      </c>
      <c r="AB177" s="13">
        <f t="shared" ref="AB177:AB187" si="36">SUM(E177:AA177)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4.0</v>
      </c>
      <c r="N178" s="19">
        <v>3.0</v>
      </c>
      <c r="O178" s="19">
        <v>0.0</v>
      </c>
      <c r="P178" s="19">
        <v>1.0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9">
        <v>1.0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0.0</v>
      </c>
      <c r="AB178" s="13">
        <f t="shared" si="36"/>
        <v>10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1.0</v>
      </c>
      <c r="V179" s="19">
        <v>1.0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3">
        <f t="shared" si="36"/>
        <v>4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1.0</v>
      </c>
      <c r="Y180" s="19">
        <v>1.0</v>
      </c>
      <c r="Z180" s="19">
        <v>0.0</v>
      </c>
      <c r="AA180" s="19">
        <v>0.0</v>
      </c>
      <c r="AB180" s="13">
        <f t="shared" si="36"/>
        <v>3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3">
        <f t="shared" si="36"/>
        <v>0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3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0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0</v>
      </c>
      <c r="AC184" s="5"/>
      <c r="AD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3">
        <f t="shared" si="36"/>
        <v>0</v>
      </c>
      <c r="AC185" s="5"/>
      <c r="AD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3">
        <f t="shared" si="36"/>
        <v>0</v>
      </c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A187" si="37">SUM(E177:E184)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5</v>
      </c>
      <c r="N187" s="13">
        <f t="shared" si="37"/>
        <v>3</v>
      </c>
      <c r="O187" s="13">
        <f t="shared" si="37"/>
        <v>1</v>
      </c>
      <c r="P187" s="13">
        <f t="shared" si="37"/>
        <v>2</v>
      </c>
      <c r="Q187" s="13">
        <f t="shared" si="37"/>
        <v>1</v>
      </c>
      <c r="R187" s="13">
        <f t="shared" si="37"/>
        <v>0</v>
      </c>
      <c r="S187" s="13">
        <f t="shared" si="37"/>
        <v>2</v>
      </c>
      <c r="T187" s="13">
        <f t="shared" si="37"/>
        <v>0</v>
      </c>
      <c r="U187" s="13">
        <f t="shared" si="37"/>
        <v>2</v>
      </c>
      <c r="V187" s="13">
        <f t="shared" si="37"/>
        <v>3</v>
      </c>
      <c r="W187" s="13">
        <f t="shared" si="37"/>
        <v>0</v>
      </c>
      <c r="X187" s="13">
        <f t="shared" si="37"/>
        <v>3</v>
      </c>
      <c r="Y187" s="13">
        <f t="shared" si="37"/>
        <v>5</v>
      </c>
      <c r="Z187" s="13">
        <f t="shared" si="37"/>
        <v>0</v>
      </c>
      <c r="AA187" s="13">
        <f t="shared" si="37"/>
        <v>0</v>
      </c>
      <c r="AB187" s="13">
        <f t="shared" si="36"/>
        <v>29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3">
        <f t="shared" ref="AB189:AB199" si="38">SUM(E189:AA189)</f>
        <v>2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1.0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0.0</v>
      </c>
      <c r="AB190" s="13">
        <f t="shared" si="38"/>
        <v>2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0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0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0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8"/>
        <v>0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0</v>
      </c>
      <c r="AC196" s="1"/>
      <c r="AD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3">
        <f t="shared" si="38"/>
        <v>0</v>
      </c>
      <c r="AC197" s="1"/>
      <c r="AD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3">
        <f t="shared" si="38"/>
        <v>0</v>
      </c>
      <c r="AC198" s="1"/>
      <c r="AD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A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8"/>
        <v>4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5.0</v>
      </c>
      <c r="G201" s="19">
        <v>1.0</v>
      </c>
      <c r="H201" s="19">
        <v>0.0</v>
      </c>
      <c r="I201" s="19">
        <v>1.0</v>
      </c>
      <c r="J201" s="19">
        <v>4.0</v>
      </c>
      <c r="K201" s="19">
        <v>1.0</v>
      </c>
      <c r="L201" s="19">
        <v>0.0</v>
      </c>
      <c r="M201" s="19">
        <v>0.0</v>
      </c>
      <c r="N201" s="19">
        <v>0.0</v>
      </c>
      <c r="O201" s="19">
        <v>1.0</v>
      </c>
      <c r="P201" s="19">
        <v>0.0</v>
      </c>
      <c r="Q201" s="19">
        <v>2.0</v>
      </c>
      <c r="R201" s="19">
        <v>5.0</v>
      </c>
      <c r="S201" s="19">
        <v>2.0</v>
      </c>
      <c r="T201" s="19">
        <v>3.0</v>
      </c>
      <c r="U201" s="19">
        <v>1.0</v>
      </c>
      <c r="V201" s="19">
        <v>2.0</v>
      </c>
      <c r="W201" s="19">
        <v>3.0</v>
      </c>
      <c r="X201" s="19">
        <v>0.0</v>
      </c>
      <c r="Y201" s="19">
        <v>2.0</v>
      </c>
      <c r="Z201" s="19">
        <v>3.0</v>
      </c>
      <c r="AA201" s="19">
        <v>0.0</v>
      </c>
      <c r="AB201" s="13">
        <f t="shared" ref="AB201:AB211" si="40">SUM(E201:AA201)</f>
        <v>36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1.0</v>
      </c>
      <c r="G202" s="19">
        <v>0.0</v>
      </c>
      <c r="H202" s="19">
        <v>0.0</v>
      </c>
      <c r="I202" s="19">
        <v>2.0</v>
      </c>
      <c r="J202" s="19">
        <v>0.0</v>
      </c>
      <c r="K202" s="19">
        <v>0.0</v>
      </c>
      <c r="L202" s="19">
        <v>2.0</v>
      </c>
      <c r="M202" s="19">
        <v>0.0</v>
      </c>
      <c r="N202" s="19">
        <v>1.0</v>
      </c>
      <c r="O202" s="19">
        <v>0.0</v>
      </c>
      <c r="P202" s="19">
        <v>1.0</v>
      </c>
      <c r="Q202" s="19">
        <v>6.0</v>
      </c>
      <c r="R202" s="19">
        <v>5.0</v>
      </c>
      <c r="S202" s="19">
        <v>0.0</v>
      </c>
      <c r="T202" s="19">
        <v>5.0</v>
      </c>
      <c r="U202" s="19">
        <v>12.0</v>
      </c>
      <c r="V202" s="19">
        <v>3.0</v>
      </c>
      <c r="W202" s="19">
        <v>7.0</v>
      </c>
      <c r="X202" s="19">
        <v>5.0</v>
      </c>
      <c r="Y202" s="19">
        <v>6.0</v>
      </c>
      <c r="Z202" s="19">
        <v>5.0</v>
      </c>
      <c r="AA202" s="19">
        <v>2.0</v>
      </c>
      <c r="AB202" s="13">
        <f t="shared" si="40"/>
        <v>63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1.0</v>
      </c>
      <c r="K203" s="19">
        <v>0.0</v>
      </c>
      <c r="L203" s="19">
        <v>2.0</v>
      </c>
      <c r="M203" s="19">
        <v>1.0</v>
      </c>
      <c r="N203" s="19">
        <v>0.0</v>
      </c>
      <c r="O203" s="19">
        <v>0.0</v>
      </c>
      <c r="P203" s="19">
        <v>0.0</v>
      </c>
      <c r="Q203" s="19">
        <v>0.0</v>
      </c>
      <c r="R203" s="19">
        <v>2.0</v>
      </c>
      <c r="S203" s="19">
        <v>1.0</v>
      </c>
      <c r="T203" s="19">
        <v>2.0</v>
      </c>
      <c r="U203" s="19">
        <v>0.0</v>
      </c>
      <c r="V203" s="19">
        <v>1.0</v>
      </c>
      <c r="W203" s="19">
        <v>0.0</v>
      </c>
      <c r="X203" s="19">
        <v>1.0</v>
      </c>
      <c r="Y203" s="19">
        <v>1.0</v>
      </c>
      <c r="Z203" s="19">
        <v>1.0</v>
      </c>
      <c r="AA203" s="19">
        <v>0.0</v>
      </c>
      <c r="AB203" s="13">
        <f t="shared" si="40"/>
        <v>13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9">
        <v>1.0</v>
      </c>
      <c r="S204" s="19">
        <v>2.0</v>
      </c>
      <c r="T204" s="19">
        <v>0.0</v>
      </c>
      <c r="U204" s="19">
        <v>1.0</v>
      </c>
      <c r="V204" s="19">
        <v>1.0</v>
      </c>
      <c r="W204" s="19">
        <v>1.0</v>
      </c>
      <c r="X204" s="19">
        <v>0.0</v>
      </c>
      <c r="Y204" s="19">
        <v>0.0</v>
      </c>
      <c r="Z204" s="19">
        <v>0.0</v>
      </c>
      <c r="AA204" s="19">
        <v>0.0</v>
      </c>
      <c r="AB204" s="13">
        <f t="shared" si="40"/>
        <v>7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1.0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1.0</v>
      </c>
      <c r="AA205" s="19">
        <v>0.0</v>
      </c>
      <c r="AB205" s="13">
        <f t="shared" si="40"/>
        <v>3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1.0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3">
        <f t="shared" si="40"/>
        <v>4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1.0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1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3">
        <f t="shared" si="40"/>
        <v>2</v>
      </c>
      <c r="AC208" s="52"/>
      <c r="AD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3">
        <f t="shared" si="40"/>
        <v>0</v>
      </c>
      <c r="AC209" s="52"/>
      <c r="AD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3">
        <f t="shared" si="40"/>
        <v>0</v>
      </c>
      <c r="AC210" s="52"/>
      <c r="AD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A211" si="41">SUM(E201:E208)</f>
        <v>0</v>
      </c>
      <c r="F211" s="13">
        <f t="shared" si="41"/>
        <v>6</v>
      </c>
      <c r="G211" s="13">
        <f t="shared" si="41"/>
        <v>1</v>
      </c>
      <c r="H211" s="13">
        <f t="shared" si="41"/>
        <v>0</v>
      </c>
      <c r="I211" s="13">
        <f t="shared" si="41"/>
        <v>3</v>
      </c>
      <c r="J211" s="13">
        <f t="shared" si="41"/>
        <v>5</v>
      </c>
      <c r="K211" s="13">
        <f t="shared" si="41"/>
        <v>1</v>
      </c>
      <c r="L211" s="13">
        <f t="shared" si="41"/>
        <v>5</v>
      </c>
      <c r="M211" s="13">
        <f t="shared" si="41"/>
        <v>2</v>
      </c>
      <c r="N211" s="13">
        <f t="shared" si="41"/>
        <v>1</v>
      </c>
      <c r="O211" s="13">
        <f t="shared" si="41"/>
        <v>1</v>
      </c>
      <c r="P211" s="13">
        <f t="shared" si="41"/>
        <v>1</v>
      </c>
      <c r="Q211" s="13">
        <f t="shared" si="41"/>
        <v>9</v>
      </c>
      <c r="R211" s="13">
        <f t="shared" si="41"/>
        <v>14</v>
      </c>
      <c r="S211" s="13">
        <f t="shared" si="41"/>
        <v>5</v>
      </c>
      <c r="T211" s="13">
        <f t="shared" si="41"/>
        <v>13</v>
      </c>
      <c r="U211" s="13">
        <f t="shared" si="41"/>
        <v>14</v>
      </c>
      <c r="V211" s="13">
        <f t="shared" si="41"/>
        <v>9</v>
      </c>
      <c r="W211" s="13">
        <f t="shared" si="41"/>
        <v>11</v>
      </c>
      <c r="X211" s="13">
        <f t="shared" si="41"/>
        <v>7</v>
      </c>
      <c r="Y211" s="13">
        <f t="shared" si="41"/>
        <v>9</v>
      </c>
      <c r="Z211" s="13">
        <f t="shared" si="41"/>
        <v>10</v>
      </c>
      <c r="AA211" s="13">
        <f t="shared" si="41"/>
        <v>2</v>
      </c>
      <c r="AB211" s="13">
        <f t="shared" si="40"/>
        <v>129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2.0</v>
      </c>
      <c r="I213" s="19">
        <v>3.0</v>
      </c>
      <c r="J213" s="19">
        <v>1.0</v>
      </c>
      <c r="K213" s="19">
        <v>0.0</v>
      </c>
      <c r="L213" s="19">
        <v>1.0</v>
      </c>
      <c r="M213" s="19">
        <v>1.0</v>
      </c>
      <c r="N213" s="19">
        <v>0.0</v>
      </c>
      <c r="O213" s="19">
        <v>0.0</v>
      </c>
      <c r="P213" s="19">
        <v>3.0</v>
      </c>
      <c r="Q213" s="19">
        <v>0.0</v>
      </c>
      <c r="R213" s="19">
        <v>0.0</v>
      </c>
      <c r="S213" s="19">
        <v>1.0</v>
      </c>
      <c r="T213" s="19">
        <v>0.0</v>
      </c>
      <c r="U213" s="19">
        <v>2.0</v>
      </c>
      <c r="V213" s="19">
        <v>0.0</v>
      </c>
      <c r="W213" s="19">
        <v>0.0</v>
      </c>
      <c r="X213" s="19">
        <v>0.0</v>
      </c>
      <c r="Y213" s="19">
        <v>2.0</v>
      </c>
      <c r="Z213" s="19">
        <v>0.0</v>
      </c>
      <c r="AA213" s="19">
        <v>0.0</v>
      </c>
      <c r="AB213" s="13">
        <f t="shared" ref="AB213:AB223" si="42">SUM(E213:AA213)</f>
        <v>17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1.0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2.0</v>
      </c>
      <c r="V214" s="19">
        <v>3.0</v>
      </c>
      <c r="W214" s="19">
        <v>0.0</v>
      </c>
      <c r="X214" s="19">
        <v>0.0</v>
      </c>
      <c r="Y214" s="19">
        <v>1.0</v>
      </c>
      <c r="Z214" s="19">
        <v>0.0</v>
      </c>
      <c r="AA214" s="19">
        <v>0.0</v>
      </c>
      <c r="AB214" s="13">
        <f t="shared" si="42"/>
        <v>7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0.0</v>
      </c>
      <c r="H215" s="19">
        <v>0.0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1.0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1.0</v>
      </c>
      <c r="X215" s="19">
        <v>2.0</v>
      </c>
      <c r="Y215" s="19">
        <v>3.0</v>
      </c>
      <c r="Z215" s="19">
        <v>0.0</v>
      </c>
      <c r="AA215" s="19">
        <v>1.0</v>
      </c>
      <c r="AB215" s="13">
        <f t="shared" si="42"/>
        <v>9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2.0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3">
        <f t="shared" si="42"/>
        <v>2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3">
        <f t="shared" si="42"/>
        <v>0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2"/>
        <v>0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2.0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3">
        <f t="shared" si="42"/>
        <v>2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3">
        <f t="shared" si="42"/>
        <v>1</v>
      </c>
      <c r="AC220" s="5"/>
      <c r="AD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2"/>
        <v>0</v>
      </c>
      <c r="AC221" s="5"/>
      <c r="AD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2"/>
        <v>0</v>
      </c>
      <c r="AC222" s="5"/>
      <c r="AD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A223" si="43">SUM(E213:E220)</f>
        <v>1</v>
      </c>
      <c r="F223" s="13">
        <f t="shared" si="43"/>
        <v>2</v>
      </c>
      <c r="G223" s="13">
        <f t="shared" si="43"/>
        <v>2</v>
      </c>
      <c r="H223" s="13">
        <f t="shared" si="43"/>
        <v>2</v>
      </c>
      <c r="I223" s="13">
        <f t="shared" si="43"/>
        <v>5</v>
      </c>
      <c r="J223" s="13">
        <f t="shared" si="43"/>
        <v>1</v>
      </c>
      <c r="K223" s="13">
        <f t="shared" si="43"/>
        <v>0</v>
      </c>
      <c r="L223" s="13">
        <f t="shared" si="43"/>
        <v>1</v>
      </c>
      <c r="M223" s="13">
        <f t="shared" si="43"/>
        <v>1</v>
      </c>
      <c r="N223" s="13">
        <f t="shared" si="43"/>
        <v>0</v>
      </c>
      <c r="O223" s="13">
        <f t="shared" si="43"/>
        <v>0</v>
      </c>
      <c r="P223" s="13">
        <f t="shared" si="43"/>
        <v>4</v>
      </c>
      <c r="Q223" s="13">
        <f t="shared" si="43"/>
        <v>0</v>
      </c>
      <c r="R223" s="13">
        <f t="shared" si="43"/>
        <v>0</v>
      </c>
      <c r="S223" s="13">
        <f t="shared" si="43"/>
        <v>1</v>
      </c>
      <c r="T223" s="13">
        <f t="shared" si="43"/>
        <v>1</v>
      </c>
      <c r="U223" s="13">
        <f t="shared" si="43"/>
        <v>4</v>
      </c>
      <c r="V223" s="13">
        <f t="shared" si="43"/>
        <v>3</v>
      </c>
      <c r="W223" s="13">
        <f t="shared" si="43"/>
        <v>1</v>
      </c>
      <c r="X223" s="13">
        <f t="shared" si="43"/>
        <v>2</v>
      </c>
      <c r="Y223" s="13">
        <f t="shared" si="43"/>
        <v>6</v>
      </c>
      <c r="Z223" s="13">
        <f t="shared" si="43"/>
        <v>0</v>
      </c>
      <c r="AA223" s="13">
        <f t="shared" si="43"/>
        <v>1</v>
      </c>
      <c r="AB223" s="13">
        <f t="shared" si="42"/>
        <v>38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1.0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3">
        <f t="shared" ref="AB225:AB235" si="44">SUM(E225:AA225)</f>
        <v>4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1.0</v>
      </c>
      <c r="M226" s="19">
        <v>0.0</v>
      </c>
      <c r="N226" s="19">
        <v>1.0</v>
      </c>
      <c r="O226" s="19">
        <v>1.0</v>
      </c>
      <c r="P226" s="19">
        <v>0.0</v>
      </c>
      <c r="Q226" s="19">
        <v>5.0</v>
      </c>
      <c r="R226" s="19">
        <v>1.0</v>
      </c>
      <c r="S226" s="19">
        <v>0.0</v>
      </c>
      <c r="T226" s="19">
        <v>0.0</v>
      </c>
      <c r="U226" s="19">
        <v>1.0</v>
      </c>
      <c r="V226" s="19">
        <v>0.0</v>
      </c>
      <c r="W226" s="19">
        <v>3.0</v>
      </c>
      <c r="X226" s="19">
        <v>1.0</v>
      </c>
      <c r="Y226" s="19">
        <v>1.0</v>
      </c>
      <c r="Z226" s="19">
        <v>0.0</v>
      </c>
      <c r="AA226" s="19">
        <v>0.0</v>
      </c>
      <c r="AB226" s="13">
        <f t="shared" si="44"/>
        <v>16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4"/>
        <v>0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44"/>
        <v>0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3">
        <f t="shared" si="44"/>
        <v>0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0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0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44"/>
        <v>1</v>
      </c>
      <c r="AC232" s="5"/>
      <c r="AD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4"/>
        <v>0</v>
      </c>
      <c r="AC233" s="5"/>
      <c r="AD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4"/>
        <v>0</v>
      </c>
      <c r="AC234" s="5"/>
      <c r="AD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A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2</v>
      </c>
      <c r="J235" s="13">
        <f t="shared" si="45"/>
        <v>0</v>
      </c>
      <c r="K235" s="13">
        <f t="shared" si="45"/>
        <v>1</v>
      </c>
      <c r="L235" s="13">
        <f t="shared" si="45"/>
        <v>2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5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3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 t="shared" si="44"/>
        <v>21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1.0</v>
      </c>
      <c r="S237" s="19">
        <v>0.0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3.0</v>
      </c>
      <c r="Z237" s="19">
        <v>0.0</v>
      </c>
      <c r="AA237" s="19">
        <v>0.0</v>
      </c>
      <c r="AB237" s="13">
        <f t="shared" ref="AB237:AB247" si="46">SUM(E237:AA237)</f>
        <v>5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2.0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1.0</v>
      </c>
      <c r="Q238" s="19">
        <v>1.0</v>
      </c>
      <c r="R238" s="19">
        <v>0.0</v>
      </c>
      <c r="S238" s="19">
        <v>0.0</v>
      </c>
      <c r="T238" s="19">
        <v>0.0</v>
      </c>
      <c r="U238" s="19">
        <v>1.0</v>
      </c>
      <c r="V238" s="19">
        <v>1.0</v>
      </c>
      <c r="W238" s="19">
        <v>0.0</v>
      </c>
      <c r="X238" s="19">
        <v>0.0</v>
      </c>
      <c r="Y238" s="19">
        <v>6.0</v>
      </c>
      <c r="Z238" s="19">
        <v>0.0</v>
      </c>
      <c r="AA238" s="19">
        <v>0.0</v>
      </c>
      <c r="AB238" s="13">
        <f t="shared" si="46"/>
        <v>14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3">
        <f t="shared" si="46"/>
        <v>1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3">
        <f t="shared" si="46"/>
        <v>1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1.0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1.0</v>
      </c>
      <c r="H244" s="19">
        <v>0.0</v>
      </c>
      <c r="I244" s="19">
        <v>1.0</v>
      </c>
      <c r="J244" s="19">
        <v>0.0</v>
      </c>
      <c r="K244" s="19">
        <v>2.0</v>
      </c>
      <c r="L244" s="19">
        <v>2.0</v>
      </c>
      <c r="M244" s="19">
        <v>0.0</v>
      </c>
      <c r="N244" s="19">
        <v>0.0</v>
      </c>
      <c r="O244" s="19">
        <v>0.0</v>
      </c>
      <c r="P244" s="19">
        <v>3.0</v>
      </c>
      <c r="Q244" s="19">
        <v>0.0</v>
      </c>
      <c r="R244" s="19">
        <v>3.0</v>
      </c>
      <c r="S244" s="19">
        <v>0.0</v>
      </c>
      <c r="T244" s="19">
        <v>1.0</v>
      </c>
      <c r="U244" s="19">
        <v>1.0</v>
      </c>
      <c r="V244" s="19">
        <v>6.0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3">
        <f t="shared" si="46"/>
        <v>21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A247" si="47">SUM(E237:E244)</f>
        <v>1</v>
      </c>
      <c r="F247" s="13">
        <f t="shared" si="47"/>
        <v>3</v>
      </c>
      <c r="G247" s="13">
        <f t="shared" si="47"/>
        <v>3</v>
      </c>
      <c r="H247" s="13">
        <f t="shared" si="47"/>
        <v>1</v>
      </c>
      <c r="I247" s="13">
        <f t="shared" si="47"/>
        <v>1</v>
      </c>
      <c r="J247" s="13">
        <f t="shared" si="47"/>
        <v>0</v>
      </c>
      <c r="K247" s="13">
        <f t="shared" si="47"/>
        <v>3</v>
      </c>
      <c r="L247" s="13">
        <f t="shared" si="47"/>
        <v>2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4</v>
      </c>
      <c r="Q247" s="13">
        <f t="shared" si="47"/>
        <v>2</v>
      </c>
      <c r="R247" s="13">
        <f t="shared" si="47"/>
        <v>4</v>
      </c>
      <c r="S247" s="13">
        <f t="shared" si="47"/>
        <v>0</v>
      </c>
      <c r="T247" s="13">
        <f t="shared" si="47"/>
        <v>1</v>
      </c>
      <c r="U247" s="13">
        <f t="shared" si="47"/>
        <v>2</v>
      </c>
      <c r="V247" s="13">
        <f t="shared" si="47"/>
        <v>7</v>
      </c>
      <c r="W247" s="13">
        <f t="shared" si="47"/>
        <v>0</v>
      </c>
      <c r="X247" s="13">
        <f t="shared" si="47"/>
        <v>0</v>
      </c>
      <c r="Y247" s="13">
        <f t="shared" si="47"/>
        <v>10</v>
      </c>
      <c r="Z247" s="13">
        <f t="shared" si="47"/>
        <v>0</v>
      </c>
      <c r="AA247" s="13">
        <f t="shared" si="47"/>
        <v>0</v>
      </c>
      <c r="AB247" s="13">
        <f t="shared" si="46"/>
        <v>44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3">
        <f t="shared" ref="AB249:AB259" si="48">SUM(E249:AA249)</f>
        <v>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3">
        <f t="shared" si="48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1.0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3">
        <f t="shared" si="48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A259" si="49">SUM(E249:E255)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8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50">E55+E67+E79+E91+E103+E115+E127+E139+E151+E163+E175+E187+E199+E211+E223+E235+E247+E259</f>
        <v>159</v>
      </c>
      <c r="F262" s="19">
        <f t="shared" si="50"/>
        <v>176</v>
      </c>
      <c r="G262" s="19">
        <f t="shared" si="50"/>
        <v>230</v>
      </c>
      <c r="H262" s="19">
        <f t="shared" si="50"/>
        <v>189</v>
      </c>
      <c r="I262" s="19">
        <f t="shared" si="50"/>
        <v>110</v>
      </c>
      <c r="J262" s="19">
        <f t="shared" si="50"/>
        <v>123</v>
      </c>
      <c r="K262" s="19">
        <f t="shared" si="50"/>
        <v>136</v>
      </c>
      <c r="L262" s="19">
        <f t="shared" si="50"/>
        <v>114</v>
      </c>
      <c r="M262" s="19">
        <f t="shared" si="50"/>
        <v>213</v>
      </c>
      <c r="N262" s="19">
        <f t="shared" si="50"/>
        <v>161</v>
      </c>
      <c r="O262" s="19">
        <f t="shared" si="50"/>
        <v>215</v>
      </c>
      <c r="P262" s="19">
        <f t="shared" si="50"/>
        <v>199</v>
      </c>
      <c r="Q262" s="19">
        <f t="shared" si="50"/>
        <v>187</v>
      </c>
      <c r="R262" s="19">
        <f t="shared" si="50"/>
        <v>209</v>
      </c>
      <c r="S262" s="19">
        <f t="shared" si="50"/>
        <v>174</v>
      </c>
      <c r="T262" s="19">
        <f t="shared" si="50"/>
        <v>200</v>
      </c>
      <c r="U262" s="19">
        <f t="shared" si="50"/>
        <v>216</v>
      </c>
      <c r="V262" s="19">
        <f t="shared" si="50"/>
        <v>170</v>
      </c>
      <c r="W262" s="19">
        <f t="shared" si="50"/>
        <v>182</v>
      </c>
      <c r="X262" s="19">
        <f t="shared" si="50"/>
        <v>212</v>
      </c>
      <c r="Y262" s="19">
        <f t="shared" si="50"/>
        <v>179</v>
      </c>
      <c r="Z262" s="19">
        <f t="shared" si="50"/>
        <v>136</v>
      </c>
      <c r="AA262" s="19">
        <f t="shared" si="50"/>
        <v>109</v>
      </c>
      <c r="AB262" s="13">
        <f t="shared" ref="AB262:AB264" si="51">SUM(E262:AA262)</f>
        <v>3999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16.0</v>
      </c>
      <c r="F263" s="19">
        <v>14.0</v>
      </c>
      <c r="G263" s="19">
        <v>5.0</v>
      </c>
      <c r="H263" s="19">
        <v>8.0</v>
      </c>
      <c r="I263" s="19">
        <v>14.0</v>
      </c>
      <c r="J263" s="19">
        <v>15.0</v>
      </c>
      <c r="K263" s="19">
        <v>8.0</v>
      </c>
      <c r="L263" s="19">
        <v>12.0</v>
      </c>
      <c r="M263" s="19">
        <v>16.0</v>
      </c>
      <c r="N263" s="19">
        <v>27.0</v>
      </c>
      <c r="O263" s="19">
        <v>13.0</v>
      </c>
      <c r="P263" s="19">
        <v>20.0</v>
      </c>
      <c r="Q263" s="19">
        <v>17.0</v>
      </c>
      <c r="R263" s="19">
        <v>13.0</v>
      </c>
      <c r="S263" s="19">
        <v>13.0</v>
      </c>
      <c r="T263" s="19">
        <v>11.0</v>
      </c>
      <c r="U263" s="19">
        <v>25.0</v>
      </c>
      <c r="V263" s="19">
        <v>23.0</v>
      </c>
      <c r="W263" s="19">
        <v>20.0</v>
      </c>
      <c r="X263" s="19">
        <v>14.0</v>
      </c>
      <c r="Y263" s="19">
        <v>20.0</v>
      </c>
      <c r="Z263" s="19">
        <v>6.0</v>
      </c>
      <c r="AA263" s="19">
        <v>12.0</v>
      </c>
      <c r="AB263" s="13">
        <f t="shared" si="51"/>
        <v>342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52">SUM(E262:E263)</f>
        <v>175</v>
      </c>
      <c r="F264" s="13">
        <f t="shared" si="52"/>
        <v>190</v>
      </c>
      <c r="G264" s="13">
        <f t="shared" si="52"/>
        <v>235</v>
      </c>
      <c r="H264" s="13">
        <f t="shared" si="52"/>
        <v>197</v>
      </c>
      <c r="I264" s="13">
        <f t="shared" si="52"/>
        <v>124</v>
      </c>
      <c r="J264" s="13">
        <f t="shared" si="52"/>
        <v>138</v>
      </c>
      <c r="K264" s="13">
        <f t="shared" si="52"/>
        <v>144</v>
      </c>
      <c r="L264" s="13">
        <f t="shared" si="52"/>
        <v>126</v>
      </c>
      <c r="M264" s="13">
        <f t="shared" si="52"/>
        <v>229</v>
      </c>
      <c r="N264" s="13">
        <f t="shared" si="52"/>
        <v>188</v>
      </c>
      <c r="O264" s="13">
        <f t="shared" si="52"/>
        <v>228</v>
      </c>
      <c r="P264" s="13">
        <f t="shared" si="52"/>
        <v>219</v>
      </c>
      <c r="Q264" s="13">
        <f t="shared" si="52"/>
        <v>204</v>
      </c>
      <c r="R264" s="13">
        <f t="shared" si="52"/>
        <v>222</v>
      </c>
      <c r="S264" s="13">
        <f t="shared" si="52"/>
        <v>187</v>
      </c>
      <c r="T264" s="13">
        <f t="shared" si="52"/>
        <v>211</v>
      </c>
      <c r="U264" s="13">
        <f t="shared" si="52"/>
        <v>241</v>
      </c>
      <c r="V264" s="13">
        <f t="shared" si="52"/>
        <v>193</v>
      </c>
      <c r="W264" s="13">
        <f t="shared" si="52"/>
        <v>202</v>
      </c>
      <c r="X264" s="13">
        <f t="shared" si="52"/>
        <v>226</v>
      </c>
      <c r="Y264" s="13">
        <f t="shared" si="52"/>
        <v>199</v>
      </c>
      <c r="Z264" s="13">
        <f t="shared" si="52"/>
        <v>142</v>
      </c>
      <c r="AA264" s="13">
        <f t="shared" si="52"/>
        <v>121</v>
      </c>
      <c r="AB264" s="13">
        <f t="shared" si="51"/>
        <v>4341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  <col customWidth="1" min="43" max="4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90.0</v>
      </c>
      <c r="G14" s="19">
        <v>124.0</v>
      </c>
      <c r="H14" s="19">
        <v>88.0</v>
      </c>
      <c r="I14" s="19">
        <v>100.0</v>
      </c>
      <c r="J14" s="19">
        <v>130.0</v>
      </c>
      <c r="K14" s="19">
        <v>149.0</v>
      </c>
      <c r="L14" s="19">
        <v>149.0</v>
      </c>
      <c r="M14" s="19">
        <v>146.0</v>
      </c>
      <c r="N14" s="19">
        <v>129.0</v>
      </c>
      <c r="O14" s="19">
        <v>102.0</v>
      </c>
      <c r="P14" s="19">
        <v>117.0</v>
      </c>
      <c r="Q14" s="19">
        <v>117.0</v>
      </c>
      <c r="R14" s="19">
        <v>142.0</v>
      </c>
      <c r="S14" s="19">
        <v>147.0</v>
      </c>
      <c r="T14" s="19">
        <v>127.0</v>
      </c>
      <c r="U14" s="19">
        <v>81.0</v>
      </c>
      <c r="V14" s="19">
        <v>139.0</v>
      </c>
      <c r="W14" s="19">
        <v>98.0</v>
      </c>
      <c r="X14" s="19">
        <v>137.0</v>
      </c>
      <c r="Y14" s="19">
        <v>141.0</v>
      </c>
      <c r="Z14" s="19">
        <v>134.0</v>
      </c>
      <c r="AA14" s="19">
        <v>102.0</v>
      </c>
      <c r="AB14" s="19">
        <v>132.0</v>
      </c>
      <c r="AC14" s="19">
        <v>88.0</v>
      </c>
      <c r="AD14" s="19">
        <v>88.0</v>
      </c>
      <c r="AE14" s="19">
        <v>97.0</v>
      </c>
      <c r="AF14" s="19">
        <v>105.0</v>
      </c>
      <c r="AG14" s="19">
        <v>112.0</v>
      </c>
      <c r="AH14" s="19">
        <v>117.0</v>
      </c>
      <c r="AI14" s="19">
        <v>107.0</v>
      </c>
      <c r="AJ14" s="19">
        <v>104.0</v>
      </c>
      <c r="AK14" s="19">
        <v>109.0</v>
      </c>
      <c r="AL14" s="19">
        <v>143.0</v>
      </c>
      <c r="AM14" s="19">
        <v>126.0</v>
      </c>
      <c r="AN14" s="19">
        <v>109.0</v>
      </c>
      <c r="AO14" s="19">
        <v>99.0</v>
      </c>
      <c r="AP14" s="13">
        <f t="shared" ref="AP14:AP16" si="1">SUM(E14:AO14)</f>
        <v>4371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85.0</v>
      </c>
      <c r="G15" s="19">
        <v>124.0</v>
      </c>
      <c r="H15" s="19">
        <v>94.0</v>
      </c>
      <c r="I15" s="19">
        <v>110.0</v>
      </c>
      <c r="J15" s="19">
        <v>116.0</v>
      </c>
      <c r="K15" s="19">
        <v>144.0</v>
      </c>
      <c r="L15" s="19">
        <v>145.0</v>
      </c>
      <c r="M15" s="19">
        <v>145.0</v>
      </c>
      <c r="N15" s="19">
        <v>116.0</v>
      </c>
      <c r="O15" s="19">
        <v>108.0</v>
      </c>
      <c r="P15" s="19">
        <v>114.0</v>
      </c>
      <c r="Q15" s="19">
        <v>135.0</v>
      </c>
      <c r="R15" s="19">
        <v>153.0</v>
      </c>
      <c r="S15" s="19">
        <v>143.0</v>
      </c>
      <c r="T15" s="19">
        <v>141.0</v>
      </c>
      <c r="U15" s="19">
        <v>80.0</v>
      </c>
      <c r="V15" s="19">
        <v>145.0</v>
      </c>
      <c r="W15" s="19">
        <v>96.0</v>
      </c>
      <c r="X15" s="19">
        <v>131.0</v>
      </c>
      <c r="Y15" s="19">
        <v>149.0</v>
      </c>
      <c r="Z15" s="19">
        <v>142.0</v>
      </c>
      <c r="AA15" s="19">
        <v>109.0</v>
      </c>
      <c r="AB15" s="19">
        <v>132.0</v>
      </c>
      <c r="AC15" s="19">
        <v>107.0</v>
      </c>
      <c r="AD15" s="19">
        <v>96.0</v>
      </c>
      <c r="AE15" s="19">
        <v>102.0</v>
      </c>
      <c r="AF15" s="19">
        <v>103.0</v>
      </c>
      <c r="AG15" s="19">
        <v>141.0</v>
      </c>
      <c r="AH15" s="19">
        <v>103.0</v>
      </c>
      <c r="AI15" s="19">
        <v>105.0</v>
      </c>
      <c r="AJ15" s="19">
        <v>116.0</v>
      </c>
      <c r="AK15" s="19">
        <v>111.0</v>
      </c>
      <c r="AL15" s="19">
        <v>137.0</v>
      </c>
      <c r="AM15" s="19">
        <v>122.0</v>
      </c>
      <c r="AN15" s="19">
        <v>115.0</v>
      </c>
      <c r="AO15" s="19">
        <v>103.0</v>
      </c>
      <c r="AP15" s="13">
        <f t="shared" si="1"/>
        <v>4466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294</v>
      </c>
      <c r="F16" s="13">
        <f t="shared" si="2"/>
        <v>175</v>
      </c>
      <c r="G16" s="13">
        <f t="shared" si="2"/>
        <v>248</v>
      </c>
      <c r="H16" s="13">
        <f t="shared" si="2"/>
        <v>182</v>
      </c>
      <c r="I16" s="13">
        <f t="shared" si="2"/>
        <v>210</v>
      </c>
      <c r="J16" s="13">
        <f t="shared" si="2"/>
        <v>246</v>
      </c>
      <c r="K16" s="13">
        <f t="shared" si="2"/>
        <v>293</v>
      </c>
      <c r="L16" s="13">
        <f t="shared" si="2"/>
        <v>294</v>
      </c>
      <c r="M16" s="13">
        <f t="shared" si="2"/>
        <v>291</v>
      </c>
      <c r="N16" s="13">
        <f t="shared" si="2"/>
        <v>245</v>
      </c>
      <c r="O16" s="13">
        <f t="shared" si="2"/>
        <v>210</v>
      </c>
      <c r="P16" s="13">
        <f t="shared" si="2"/>
        <v>231</v>
      </c>
      <c r="Q16" s="13">
        <f t="shared" si="2"/>
        <v>252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161</v>
      </c>
      <c r="V16" s="13">
        <f t="shared" si="2"/>
        <v>284</v>
      </c>
      <c r="W16" s="13">
        <f t="shared" si="2"/>
        <v>194</v>
      </c>
      <c r="X16" s="13">
        <f t="shared" si="2"/>
        <v>268</v>
      </c>
      <c r="Y16" s="13">
        <f t="shared" si="2"/>
        <v>290</v>
      </c>
      <c r="Z16" s="13">
        <f t="shared" si="2"/>
        <v>276</v>
      </c>
      <c r="AA16" s="13">
        <f t="shared" si="2"/>
        <v>211</v>
      </c>
      <c r="AB16" s="13">
        <f t="shared" si="2"/>
        <v>264</v>
      </c>
      <c r="AC16" s="13">
        <f t="shared" si="2"/>
        <v>195</v>
      </c>
      <c r="AD16" s="13">
        <f t="shared" si="2"/>
        <v>184</v>
      </c>
      <c r="AE16" s="13">
        <f t="shared" si="2"/>
        <v>199</v>
      </c>
      <c r="AF16" s="13">
        <f t="shared" si="2"/>
        <v>208</v>
      </c>
      <c r="AG16" s="13">
        <f t="shared" si="2"/>
        <v>253</v>
      </c>
      <c r="AH16" s="13">
        <f t="shared" si="2"/>
        <v>220</v>
      </c>
      <c r="AI16" s="13">
        <f t="shared" si="2"/>
        <v>212</v>
      </c>
      <c r="AJ16" s="13">
        <f t="shared" si="2"/>
        <v>220</v>
      </c>
      <c r="AK16" s="13">
        <f t="shared" si="2"/>
        <v>220</v>
      </c>
      <c r="AL16" s="13">
        <f t="shared" si="2"/>
        <v>280</v>
      </c>
      <c r="AM16" s="13">
        <f t="shared" si="2"/>
        <v>248</v>
      </c>
      <c r="AN16" s="13">
        <f t="shared" si="2"/>
        <v>224</v>
      </c>
      <c r="AO16" s="13">
        <f t="shared" si="2"/>
        <v>202</v>
      </c>
      <c r="AP16" s="13">
        <f t="shared" si="1"/>
        <v>8837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69.0</v>
      </c>
      <c r="G19" s="19">
        <v>95.0</v>
      </c>
      <c r="H19" s="19">
        <v>53.0</v>
      </c>
      <c r="I19" s="19">
        <v>84.0</v>
      </c>
      <c r="J19" s="19">
        <v>98.0</v>
      </c>
      <c r="K19" s="19">
        <v>111.0</v>
      </c>
      <c r="L19" s="19">
        <v>112.0</v>
      </c>
      <c r="M19" s="19">
        <v>109.0</v>
      </c>
      <c r="N19" s="19">
        <v>90.0</v>
      </c>
      <c r="O19" s="19">
        <v>77.0</v>
      </c>
      <c r="P19" s="19">
        <v>80.0</v>
      </c>
      <c r="Q19" s="19">
        <v>95.0</v>
      </c>
      <c r="R19" s="19">
        <v>101.0</v>
      </c>
      <c r="S19" s="19">
        <v>107.0</v>
      </c>
      <c r="T19" s="19">
        <v>88.0</v>
      </c>
      <c r="U19" s="19">
        <v>64.0</v>
      </c>
      <c r="V19" s="19">
        <v>114.0</v>
      </c>
      <c r="W19" s="19">
        <v>74.0</v>
      </c>
      <c r="X19" s="19">
        <v>104.0</v>
      </c>
      <c r="Y19" s="19">
        <v>115.0</v>
      </c>
      <c r="Z19" s="19">
        <v>85.0</v>
      </c>
      <c r="AA19" s="19">
        <v>75.0</v>
      </c>
      <c r="AB19" s="19">
        <v>89.0</v>
      </c>
      <c r="AC19" s="19">
        <v>73.0</v>
      </c>
      <c r="AD19" s="19">
        <v>69.0</v>
      </c>
      <c r="AE19" s="19">
        <v>82.0</v>
      </c>
      <c r="AF19" s="19">
        <v>83.0</v>
      </c>
      <c r="AG19" s="19">
        <v>89.0</v>
      </c>
      <c r="AH19" s="19">
        <v>92.0</v>
      </c>
      <c r="AI19" s="19">
        <v>74.0</v>
      </c>
      <c r="AJ19" s="19">
        <v>86.0</v>
      </c>
      <c r="AK19" s="19">
        <v>93.0</v>
      </c>
      <c r="AL19" s="19">
        <v>95.0</v>
      </c>
      <c r="AM19" s="19">
        <v>104.0</v>
      </c>
      <c r="AN19" s="19">
        <v>82.0</v>
      </c>
      <c r="AO19" s="19">
        <v>90.0</v>
      </c>
      <c r="AP19" s="13">
        <f t="shared" ref="AP19:AP30" si="3">SUM(E19:AO19)</f>
        <v>3300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69.0</v>
      </c>
      <c r="G20" s="19">
        <v>98.0</v>
      </c>
      <c r="H20" s="19">
        <v>73.0</v>
      </c>
      <c r="I20" s="19">
        <v>75.0</v>
      </c>
      <c r="J20" s="19">
        <v>97.0</v>
      </c>
      <c r="K20" s="19">
        <v>121.0</v>
      </c>
      <c r="L20" s="19">
        <v>123.0</v>
      </c>
      <c r="M20" s="19">
        <v>119.0</v>
      </c>
      <c r="N20" s="19">
        <v>94.0</v>
      </c>
      <c r="O20" s="19">
        <v>84.0</v>
      </c>
      <c r="P20" s="19">
        <v>91.0</v>
      </c>
      <c r="Q20" s="19">
        <v>108.0</v>
      </c>
      <c r="R20" s="19">
        <v>116.0</v>
      </c>
      <c r="S20" s="19">
        <v>106.0</v>
      </c>
      <c r="T20" s="19">
        <v>103.0</v>
      </c>
      <c r="U20" s="19">
        <v>66.0</v>
      </c>
      <c r="V20" s="19">
        <v>122.0</v>
      </c>
      <c r="W20" s="19">
        <v>79.0</v>
      </c>
      <c r="X20" s="19">
        <v>107.0</v>
      </c>
      <c r="Y20" s="19">
        <v>125.0</v>
      </c>
      <c r="Z20" s="19">
        <v>106.0</v>
      </c>
      <c r="AA20" s="19">
        <v>94.0</v>
      </c>
      <c r="AB20" s="19">
        <v>89.0</v>
      </c>
      <c r="AC20" s="19">
        <v>87.0</v>
      </c>
      <c r="AD20" s="19">
        <v>77.0</v>
      </c>
      <c r="AE20" s="19">
        <v>86.0</v>
      </c>
      <c r="AF20" s="19">
        <v>93.0</v>
      </c>
      <c r="AG20" s="19">
        <v>107.0</v>
      </c>
      <c r="AH20" s="19">
        <v>89.0</v>
      </c>
      <c r="AI20" s="19">
        <v>87.0</v>
      </c>
      <c r="AJ20" s="19">
        <v>98.0</v>
      </c>
      <c r="AK20" s="19">
        <v>92.0</v>
      </c>
      <c r="AL20" s="19">
        <v>115.0</v>
      </c>
      <c r="AM20" s="19">
        <v>99.0</v>
      </c>
      <c r="AN20" s="19">
        <v>98.0</v>
      </c>
      <c r="AO20" s="19">
        <v>98.0</v>
      </c>
      <c r="AP20" s="13">
        <f t="shared" si="3"/>
        <v>3613</v>
      </c>
    </row>
    <row r="21" ht="12.75" customHeight="1">
      <c r="A21" s="35"/>
      <c r="B21" s="28"/>
      <c r="C21" s="36"/>
      <c r="D21" s="13" t="s">
        <v>14</v>
      </c>
      <c r="E21" s="13">
        <f t="shared" ref="E21:AO21" si="4">SUM(E19:E20)</f>
        <v>221</v>
      </c>
      <c r="F21" s="13">
        <f t="shared" si="4"/>
        <v>138</v>
      </c>
      <c r="G21" s="13">
        <f t="shared" si="4"/>
        <v>193</v>
      </c>
      <c r="H21" s="13">
        <f t="shared" si="4"/>
        <v>126</v>
      </c>
      <c r="I21" s="13">
        <f t="shared" si="4"/>
        <v>159</v>
      </c>
      <c r="J21" s="13">
        <f t="shared" si="4"/>
        <v>195</v>
      </c>
      <c r="K21" s="13">
        <f t="shared" si="4"/>
        <v>232</v>
      </c>
      <c r="L21" s="13">
        <f t="shared" si="4"/>
        <v>235</v>
      </c>
      <c r="M21" s="13">
        <f t="shared" si="4"/>
        <v>228</v>
      </c>
      <c r="N21" s="13">
        <f t="shared" si="4"/>
        <v>184</v>
      </c>
      <c r="O21" s="13">
        <f t="shared" si="4"/>
        <v>161</v>
      </c>
      <c r="P21" s="13">
        <f t="shared" si="4"/>
        <v>171</v>
      </c>
      <c r="Q21" s="13">
        <f t="shared" si="4"/>
        <v>203</v>
      </c>
      <c r="R21" s="13">
        <f t="shared" si="4"/>
        <v>217</v>
      </c>
      <c r="S21" s="13">
        <f t="shared" si="4"/>
        <v>213</v>
      </c>
      <c r="T21" s="13">
        <f t="shared" si="4"/>
        <v>191</v>
      </c>
      <c r="U21" s="13">
        <f t="shared" si="4"/>
        <v>130</v>
      </c>
      <c r="V21" s="13">
        <f t="shared" si="4"/>
        <v>236</v>
      </c>
      <c r="W21" s="13">
        <f t="shared" si="4"/>
        <v>153</v>
      </c>
      <c r="X21" s="13">
        <f t="shared" si="4"/>
        <v>211</v>
      </c>
      <c r="Y21" s="13">
        <f t="shared" si="4"/>
        <v>240</v>
      </c>
      <c r="Z21" s="13">
        <f t="shared" si="4"/>
        <v>191</v>
      </c>
      <c r="AA21" s="13">
        <f t="shared" si="4"/>
        <v>169</v>
      </c>
      <c r="AB21" s="13">
        <f t="shared" si="4"/>
        <v>178</v>
      </c>
      <c r="AC21" s="13">
        <f t="shared" si="4"/>
        <v>160</v>
      </c>
      <c r="AD21" s="13">
        <f t="shared" si="4"/>
        <v>146</v>
      </c>
      <c r="AE21" s="13">
        <f t="shared" si="4"/>
        <v>168</v>
      </c>
      <c r="AF21" s="13">
        <f t="shared" si="4"/>
        <v>176</v>
      </c>
      <c r="AG21" s="13">
        <f t="shared" si="4"/>
        <v>196</v>
      </c>
      <c r="AH21" s="13">
        <f t="shared" si="4"/>
        <v>181</v>
      </c>
      <c r="AI21" s="13">
        <f t="shared" si="4"/>
        <v>161</v>
      </c>
      <c r="AJ21" s="13">
        <f t="shared" si="4"/>
        <v>184</v>
      </c>
      <c r="AK21" s="13">
        <f t="shared" si="4"/>
        <v>185</v>
      </c>
      <c r="AL21" s="13">
        <f t="shared" si="4"/>
        <v>210</v>
      </c>
      <c r="AM21" s="13">
        <f t="shared" si="4"/>
        <v>203</v>
      </c>
      <c r="AN21" s="13">
        <f t="shared" si="4"/>
        <v>180</v>
      </c>
      <c r="AO21" s="13">
        <f t="shared" si="4"/>
        <v>188</v>
      </c>
      <c r="AP21" s="13">
        <f t="shared" si="3"/>
        <v>6913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2.0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1.0</v>
      </c>
      <c r="AI22" s="19">
        <v>1.0</v>
      </c>
      <c r="AJ22" s="19">
        <v>2.0</v>
      </c>
      <c r="AK22" s="19">
        <v>1.0</v>
      </c>
      <c r="AL22" s="19">
        <v>0.0</v>
      </c>
      <c r="AM22" s="19">
        <v>1.0</v>
      </c>
      <c r="AN22" s="19">
        <v>1.0</v>
      </c>
      <c r="AO22" s="19">
        <v>1.0</v>
      </c>
      <c r="AP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2.0</v>
      </c>
      <c r="W23" s="19">
        <v>1.0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2.0</v>
      </c>
      <c r="AG23" s="19">
        <v>0.0</v>
      </c>
      <c r="AH23" s="19">
        <v>0.0</v>
      </c>
      <c r="AI23" s="19">
        <v>0.0</v>
      </c>
      <c r="AJ23" s="19">
        <v>2.0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4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4</v>
      </c>
      <c r="AK24" s="13">
        <f t="shared" si="5"/>
        <v>1</v>
      </c>
      <c r="AL24" s="13">
        <f t="shared" si="5"/>
        <v>0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1.0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1.0</v>
      </c>
      <c r="Q25" s="19">
        <v>0.0</v>
      </c>
      <c r="R25" s="19">
        <v>4.0</v>
      </c>
      <c r="S25" s="19">
        <v>0.0</v>
      </c>
      <c r="T25" s="19">
        <v>3.0</v>
      </c>
      <c r="U25" s="19">
        <v>0.0</v>
      </c>
      <c r="V25" s="19">
        <v>1.0</v>
      </c>
      <c r="W25" s="19">
        <v>1.0</v>
      </c>
      <c r="X25" s="19">
        <v>2.0</v>
      </c>
      <c r="Y25" s="19">
        <v>0.0</v>
      </c>
      <c r="Z25" s="19">
        <v>2.0</v>
      </c>
      <c r="AA25" s="19">
        <v>4.0</v>
      </c>
      <c r="AB25" s="19">
        <v>4.0</v>
      </c>
      <c r="AC25" s="19">
        <v>0.0</v>
      </c>
      <c r="AD25" s="19">
        <v>0.0</v>
      </c>
      <c r="AE25" s="19">
        <v>3.0</v>
      </c>
      <c r="AF25" s="19">
        <v>0.0</v>
      </c>
      <c r="AG25" s="19">
        <v>0.0</v>
      </c>
      <c r="AH25" s="19">
        <v>5.0</v>
      </c>
      <c r="AI25" s="19">
        <v>2.0</v>
      </c>
      <c r="AJ25" s="19">
        <v>0.0</v>
      </c>
      <c r="AK25" s="19">
        <v>1.0</v>
      </c>
      <c r="AL25" s="19">
        <v>0.0</v>
      </c>
      <c r="AM25" s="19">
        <v>0.0</v>
      </c>
      <c r="AN25" s="19">
        <v>0.0</v>
      </c>
      <c r="AO25" s="19">
        <v>0.0</v>
      </c>
      <c r="AP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2.0</v>
      </c>
      <c r="H26" s="19">
        <v>1.0</v>
      </c>
      <c r="I26" s="19">
        <v>3.0</v>
      </c>
      <c r="J26" s="19">
        <v>3.0</v>
      </c>
      <c r="K26" s="19">
        <v>0.0</v>
      </c>
      <c r="L26" s="19">
        <v>2.0</v>
      </c>
      <c r="M26" s="19">
        <v>1.0</v>
      </c>
      <c r="N26" s="19">
        <v>0.0</v>
      </c>
      <c r="O26" s="19">
        <v>3.0</v>
      </c>
      <c r="P26" s="19">
        <v>1.0</v>
      </c>
      <c r="Q26" s="19">
        <v>0.0</v>
      </c>
      <c r="R26" s="19">
        <v>9.0</v>
      </c>
      <c r="S26" s="19">
        <v>0.0</v>
      </c>
      <c r="T26" s="19">
        <v>5.0</v>
      </c>
      <c r="U26" s="19">
        <v>0.0</v>
      </c>
      <c r="V26" s="19">
        <v>1.0</v>
      </c>
      <c r="W26" s="19">
        <v>0.0</v>
      </c>
      <c r="X26" s="19">
        <v>1.0</v>
      </c>
      <c r="Y26" s="19">
        <v>0.0</v>
      </c>
      <c r="Z26" s="19">
        <v>3.0</v>
      </c>
      <c r="AA26" s="19">
        <v>3.0</v>
      </c>
      <c r="AB26" s="19">
        <v>3.0</v>
      </c>
      <c r="AC26" s="19">
        <v>2.0</v>
      </c>
      <c r="AD26" s="19">
        <v>0.0</v>
      </c>
      <c r="AE26" s="19">
        <v>2.0</v>
      </c>
      <c r="AF26" s="19">
        <v>0.0</v>
      </c>
      <c r="AG26" s="19">
        <v>0.0</v>
      </c>
      <c r="AH26" s="19">
        <v>4.0</v>
      </c>
      <c r="AI26" s="19">
        <v>3.0</v>
      </c>
      <c r="AJ26" s="19">
        <v>0.0</v>
      </c>
      <c r="AK26" s="19">
        <v>2.0</v>
      </c>
      <c r="AL26" s="19">
        <v>0.0</v>
      </c>
      <c r="AM26" s="19">
        <v>4.0</v>
      </c>
      <c r="AN26" s="19">
        <v>0.0</v>
      </c>
      <c r="AO26" s="19">
        <v>0.0</v>
      </c>
      <c r="AP26" s="13">
        <f t="shared" si="3"/>
        <v>59</v>
      </c>
    </row>
    <row r="27" ht="12.75" customHeight="1">
      <c r="A27" s="35"/>
      <c r="B27" s="28"/>
      <c r="C27" s="36"/>
      <c r="D27" s="13" t="s">
        <v>14</v>
      </c>
      <c r="E27" s="13">
        <f t="shared" ref="E27:AO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2</v>
      </c>
      <c r="I27" s="13">
        <f t="shared" si="6"/>
        <v>3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0</v>
      </c>
      <c r="R27" s="13">
        <f t="shared" si="6"/>
        <v>13</v>
      </c>
      <c r="S27" s="13">
        <f t="shared" si="6"/>
        <v>0</v>
      </c>
      <c r="T27" s="13">
        <f t="shared" si="6"/>
        <v>8</v>
      </c>
      <c r="U27" s="13">
        <f t="shared" si="6"/>
        <v>0</v>
      </c>
      <c r="V27" s="13">
        <f t="shared" si="6"/>
        <v>2</v>
      </c>
      <c r="W27" s="13">
        <f t="shared" si="6"/>
        <v>1</v>
      </c>
      <c r="X27" s="13">
        <f t="shared" si="6"/>
        <v>3</v>
      </c>
      <c r="Y27" s="13">
        <f t="shared" si="6"/>
        <v>0</v>
      </c>
      <c r="Z27" s="13">
        <f t="shared" si="6"/>
        <v>5</v>
      </c>
      <c r="AA27" s="13">
        <f t="shared" si="6"/>
        <v>7</v>
      </c>
      <c r="AB27" s="13">
        <f t="shared" si="6"/>
        <v>7</v>
      </c>
      <c r="AC27" s="13">
        <f t="shared" si="6"/>
        <v>2</v>
      </c>
      <c r="AD27" s="13">
        <f t="shared" si="6"/>
        <v>0</v>
      </c>
      <c r="AE27" s="13">
        <f t="shared" si="6"/>
        <v>5</v>
      </c>
      <c r="AF27" s="13">
        <f t="shared" si="6"/>
        <v>0</v>
      </c>
      <c r="AG27" s="13">
        <f t="shared" si="6"/>
        <v>0</v>
      </c>
      <c r="AH27" s="13">
        <f t="shared" si="6"/>
        <v>9</v>
      </c>
      <c r="AI27" s="13">
        <f t="shared" si="6"/>
        <v>5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4</v>
      </c>
      <c r="AN27" s="13">
        <f t="shared" si="6"/>
        <v>0</v>
      </c>
      <c r="AO27" s="13">
        <f t="shared" si="6"/>
        <v>0</v>
      </c>
      <c r="AP27" s="13">
        <f t="shared" si="3"/>
        <v>96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O28" si="7">SUM(E19,E22,E25)</f>
        <v>99</v>
      </c>
      <c r="F28" s="13">
        <f t="shared" si="7"/>
        <v>70</v>
      </c>
      <c r="G28" s="13">
        <f t="shared" si="7"/>
        <v>95</v>
      </c>
      <c r="H28" s="13">
        <f t="shared" si="7"/>
        <v>54</v>
      </c>
      <c r="I28" s="13">
        <f t="shared" si="7"/>
        <v>85</v>
      </c>
      <c r="J28" s="13">
        <f t="shared" si="7"/>
        <v>99</v>
      </c>
      <c r="K28" s="13">
        <f t="shared" si="7"/>
        <v>111</v>
      </c>
      <c r="L28" s="13">
        <f t="shared" si="7"/>
        <v>113</v>
      </c>
      <c r="M28" s="13">
        <f t="shared" si="7"/>
        <v>109</v>
      </c>
      <c r="N28" s="13">
        <f t="shared" si="7"/>
        <v>90</v>
      </c>
      <c r="O28" s="13">
        <f t="shared" si="7"/>
        <v>77</v>
      </c>
      <c r="P28" s="13">
        <f t="shared" si="7"/>
        <v>81</v>
      </c>
      <c r="Q28" s="13">
        <f t="shared" si="7"/>
        <v>95</v>
      </c>
      <c r="R28" s="13">
        <f t="shared" si="7"/>
        <v>105</v>
      </c>
      <c r="S28" s="13">
        <f t="shared" si="7"/>
        <v>107</v>
      </c>
      <c r="T28" s="13">
        <f t="shared" si="7"/>
        <v>91</v>
      </c>
      <c r="U28" s="13">
        <f t="shared" si="7"/>
        <v>64</v>
      </c>
      <c r="V28" s="13">
        <f t="shared" si="7"/>
        <v>117</v>
      </c>
      <c r="W28" s="13">
        <f t="shared" si="7"/>
        <v>76</v>
      </c>
      <c r="X28" s="13">
        <f t="shared" si="7"/>
        <v>106</v>
      </c>
      <c r="Y28" s="13">
        <f t="shared" si="7"/>
        <v>115</v>
      </c>
      <c r="Z28" s="13">
        <f t="shared" si="7"/>
        <v>87</v>
      </c>
      <c r="AA28" s="13">
        <f t="shared" si="7"/>
        <v>79</v>
      </c>
      <c r="AB28" s="13">
        <f t="shared" si="7"/>
        <v>93</v>
      </c>
      <c r="AC28" s="13">
        <f t="shared" si="7"/>
        <v>73</v>
      </c>
      <c r="AD28" s="13">
        <f t="shared" si="7"/>
        <v>69</v>
      </c>
      <c r="AE28" s="13">
        <f t="shared" si="7"/>
        <v>85</v>
      </c>
      <c r="AF28" s="13">
        <f t="shared" si="7"/>
        <v>83</v>
      </c>
      <c r="AG28" s="13">
        <f t="shared" si="7"/>
        <v>90</v>
      </c>
      <c r="AH28" s="13">
        <f t="shared" si="7"/>
        <v>98</v>
      </c>
      <c r="AI28" s="13">
        <f t="shared" si="7"/>
        <v>77</v>
      </c>
      <c r="AJ28" s="13">
        <f t="shared" si="7"/>
        <v>88</v>
      </c>
      <c r="AK28" s="13">
        <f t="shared" si="7"/>
        <v>95</v>
      </c>
      <c r="AL28" s="13">
        <f t="shared" si="7"/>
        <v>95</v>
      </c>
      <c r="AM28" s="13">
        <f t="shared" si="7"/>
        <v>105</v>
      </c>
      <c r="AN28" s="13">
        <f t="shared" si="7"/>
        <v>83</v>
      </c>
      <c r="AO28" s="13">
        <f t="shared" si="7"/>
        <v>91</v>
      </c>
      <c r="AP28" s="13">
        <f t="shared" si="3"/>
        <v>3350</v>
      </c>
    </row>
    <row r="29" ht="12.75" customHeight="1">
      <c r="A29" s="35"/>
      <c r="B29" s="27"/>
      <c r="C29" s="34"/>
      <c r="D29" s="13" t="s">
        <v>13</v>
      </c>
      <c r="E29" s="13">
        <f t="shared" ref="E29:AO29" si="8">SUM(E20,E23,E26)</f>
        <v>122</v>
      </c>
      <c r="F29" s="13">
        <f t="shared" si="8"/>
        <v>70</v>
      </c>
      <c r="G29" s="13">
        <f t="shared" si="8"/>
        <v>100</v>
      </c>
      <c r="H29" s="13">
        <f t="shared" si="8"/>
        <v>74</v>
      </c>
      <c r="I29" s="13">
        <f t="shared" si="8"/>
        <v>78</v>
      </c>
      <c r="J29" s="13">
        <f t="shared" si="8"/>
        <v>100</v>
      </c>
      <c r="K29" s="13">
        <f t="shared" si="8"/>
        <v>121</v>
      </c>
      <c r="L29" s="13">
        <f t="shared" si="8"/>
        <v>125</v>
      </c>
      <c r="M29" s="13">
        <f t="shared" si="8"/>
        <v>120</v>
      </c>
      <c r="N29" s="13">
        <f t="shared" si="8"/>
        <v>95</v>
      </c>
      <c r="O29" s="13">
        <f t="shared" si="8"/>
        <v>87</v>
      </c>
      <c r="P29" s="13">
        <f t="shared" si="8"/>
        <v>92</v>
      </c>
      <c r="Q29" s="13">
        <f t="shared" si="8"/>
        <v>109</v>
      </c>
      <c r="R29" s="13">
        <f t="shared" si="8"/>
        <v>125</v>
      </c>
      <c r="S29" s="13">
        <f t="shared" si="8"/>
        <v>106</v>
      </c>
      <c r="T29" s="13">
        <f t="shared" si="8"/>
        <v>108</v>
      </c>
      <c r="U29" s="13">
        <f t="shared" si="8"/>
        <v>66</v>
      </c>
      <c r="V29" s="13">
        <f t="shared" si="8"/>
        <v>125</v>
      </c>
      <c r="W29" s="13">
        <f t="shared" si="8"/>
        <v>80</v>
      </c>
      <c r="X29" s="13">
        <f t="shared" si="8"/>
        <v>108</v>
      </c>
      <c r="Y29" s="13">
        <f t="shared" si="8"/>
        <v>126</v>
      </c>
      <c r="Z29" s="13">
        <f t="shared" si="8"/>
        <v>109</v>
      </c>
      <c r="AA29" s="13">
        <f t="shared" si="8"/>
        <v>97</v>
      </c>
      <c r="AB29" s="13">
        <f t="shared" si="8"/>
        <v>92</v>
      </c>
      <c r="AC29" s="13">
        <f t="shared" si="8"/>
        <v>89</v>
      </c>
      <c r="AD29" s="13">
        <f t="shared" si="8"/>
        <v>77</v>
      </c>
      <c r="AE29" s="13">
        <f t="shared" si="8"/>
        <v>88</v>
      </c>
      <c r="AF29" s="13">
        <f t="shared" si="8"/>
        <v>95</v>
      </c>
      <c r="AG29" s="13">
        <f t="shared" si="8"/>
        <v>107</v>
      </c>
      <c r="AH29" s="13">
        <f t="shared" si="8"/>
        <v>93</v>
      </c>
      <c r="AI29" s="13">
        <f t="shared" si="8"/>
        <v>90</v>
      </c>
      <c r="AJ29" s="13">
        <f t="shared" si="8"/>
        <v>100</v>
      </c>
      <c r="AK29" s="13">
        <f t="shared" si="8"/>
        <v>94</v>
      </c>
      <c r="AL29" s="13">
        <f t="shared" si="8"/>
        <v>115</v>
      </c>
      <c r="AM29" s="13">
        <f t="shared" si="8"/>
        <v>103</v>
      </c>
      <c r="AN29" s="13">
        <f t="shared" si="8"/>
        <v>98</v>
      </c>
      <c r="AO29" s="13">
        <f t="shared" si="8"/>
        <v>98</v>
      </c>
      <c r="AP29" s="13">
        <f t="shared" si="3"/>
        <v>3682</v>
      </c>
    </row>
    <row r="30" ht="12.75" customHeight="1">
      <c r="A30" s="35"/>
      <c r="B30" s="28"/>
      <c r="C30" s="36"/>
      <c r="D30" s="13" t="s">
        <v>14</v>
      </c>
      <c r="E30" s="13">
        <f t="shared" ref="E30:AO30" si="9">SUM(E28:E29)</f>
        <v>221</v>
      </c>
      <c r="F30" s="13">
        <f t="shared" si="9"/>
        <v>140</v>
      </c>
      <c r="G30" s="13">
        <f t="shared" si="9"/>
        <v>195</v>
      </c>
      <c r="H30" s="13">
        <f t="shared" si="9"/>
        <v>128</v>
      </c>
      <c r="I30" s="13">
        <f t="shared" si="9"/>
        <v>163</v>
      </c>
      <c r="J30" s="13">
        <f t="shared" si="9"/>
        <v>199</v>
      </c>
      <c r="K30" s="13">
        <f t="shared" si="9"/>
        <v>232</v>
      </c>
      <c r="L30" s="13">
        <f t="shared" si="9"/>
        <v>238</v>
      </c>
      <c r="M30" s="13">
        <f t="shared" si="9"/>
        <v>229</v>
      </c>
      <c r="N30" s="13">
        <f t="shared" si="9"/>
        <v>185</v>
      </c>
      <c r="O30" s="13">
        <f t="shared" si="9"/>
        <v>164</v>
      </c>
      <c r="P30" s="13">
        <f t="shared" si="9"/>
        <v>173</v>
      </c>
      <c r="Q30" s="13">
        <f t="shared" si="9"/>
        <v>204</v>
      </c>
      <c r="R30" s="13">
        <f t="shared" si="9"/>
        <v>230</v>
      </c>
      <c r="S30" s="13">
        <f t="shared" si="9"/>
        <v>213</v>
      </c>
      <c r="T30" s="13">
        <f t="shared" si="9"/>
        <v>199</v>
      </c>
      <c r="U30" s="13">
        <f t="shared" si="9"/>
        <v>130</v>
      </c>
      <c r="V30" s="13">
        <f t="shared" si="9"/>
        <v>242</v>
      </c>
      <c r="W30" s="13">
        <f t="shared" si="9"/>
        <v>156</v>
      </c>
      <c r="X30" s="13">
        <f t="shared" si="9"/>
        <v>214</v>
      </c>
      <c r="Y30" s="13">
        <f t="shared" si="9"/>
        <v>241</v>
      </c>
      <c r="Z30" s="13">
        <f t="shared" si="9"/>
        <v>196</v>
      </c>
      <c r="AA30" s="13">
        <f t="shared" si="9"/>
        <v>176</v>
      </c>
      <c r="AB30" s="13">
        <f t="shared" si="9"/>
        <v>185</v>
      </c>
      <c r="AC30" s="13">
        <f t="shared" si="9"/>
        <v>162</v>
      </c>
      <c r="AD30" s="13">
        <f t="shared" si="9"/>
        <v>146</v>
      </c>
      <c r="AE30" s="13">
        <f t="shared" si="9"/>
        <v>173</v>
      </c>
      <c r="AF30" s="13">
        <f t="shared" si="9"/>
        <v>178</v>
      </c>
      <c r="AG30" s="13">
        <f t="shared" si="9"/>
        <v>197</v>
      </c>
      <c r="AH30" s="13">
        <f t="shared" si="9"/>
        <v>191</v>
      </c>
      <c r="AI30" s="13">
        <f t="shared" si="9"/>
        <v>167</v>
      </c>
      <c r="AJ30" s="13">
        <f t="shared" si="9"/>
        <v>188</v>
      </c>
      <c r="AK30" s="13">
        <f t="shared" si="9"/>
        <v>189</v>
      </c>
      <c r="AL30" s="13">
        <f t="shared" si="9"/>
        <v>210</v>
      </c>
      <c r="AM30" s="13">
        <f t="shared" si="9"/>
        <v>208</v>
      </c>
      <c r="AN30" s="13">
        <f t="shared" si="9"/>
        <v>181</v>
      </c>
      <c r="AO30" s="13">
        <f t="shared" si="9"/>
        <v>189</v>
      </c>
      <c r="AP30" s="13">
        <f t="shared" si="3"/>
        <v>7032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68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179.0</v>
      </c>
      <c r="G33" s="19">
        <v>253.0</v>
      </c>
      <c r="H33" s="19">
        <v>186.0</v>
      </c>
      <c r="I33" s="19">
        <v>215.0</v>
      </c>
      <c r="J33" s="19">
        <v>247.0</v>
      </c>
      <c r="K33" s="19">
        <v>299.0</v>
      </c>
      <c r="L33" s="19">
        <v>300.0</v>
      </c>
      <c r="M33" s="19">
        <v>297.0</v>
      </c>
      <c r="N33" s="19">
        <v>252.0</v>
      </c>
      <c r="O33" s="19">
        <v>215.0</v>
      </c>
      <c r="P33" s="19">
        <v>236.0</v>
      </c>
      <c r="Q33" s="19">
        <v>258.0</v>
      </c>
      <c r="R33" s="19">
        <v>303.0</v>
      </c>
      <c r="S33" s="19">
        <v>294.0</v>
      </c>
      <c r="T33" s="19">
        <v>272.0</v>
      </c>
      <c r="U33" s="19">
        <v>165.0</v>
      </c>
      <c r="V33" s="19">
        <v>290.0</v>
      </c>
      <c r="W33" s="19">
        <v>198.0</v>
      </c>
      <c r="X33" s="19">
        <v>274.0</v>
      </c>
      <c r="Y33" s="19">
        <v>296.0</v>
      </c>
      <c r="Z33" s="19">
        <v>282.0</v>
      </c>
      <c r="AA33" s="19">
        <v>216.0</v>
      </c>
      <c r="AB33" s="19">
        <v>270.0</v>
      </c>
      <c r="AC33" s="19">
        <v>199.0</v>
      </c>
      <c r="AD33" s="19">
        <v>188.0</v>
      </c>
      <c r="AE33" s="19">
        <v>203.0</v>
      </c>
      <c r="AF33" s="19">
        <v>213.0</v>
      </c>
      <c r="AG33" s="19">
        <v>259.0</v>
      </c>
      <c r="AH33" s="19">
        <v>255.0</v>
      </c>
      <c r="AI33" s="19">
        <v>217.0</v>
      </c>
      <c r="AJ33" s="19">
        <v>225.0</v>
      </c>
      <c r="AK33" s="19">
        <v>223.0</v>
      </c>
      <c r="AL33" s="19">
        <v>286.0</v>
      </c>
      <c r="AM33" s="19">
        <v>252.0</v>
      </c>
      <c r="AN33" s="19">
        <v>230.0</v>
      </c>
      <c r="AO33" s="19">
        <v>209.0</v>
      </c>
      <c r="AP33" s="13">
        <f t="shared" ref="AP33:AP36" si="10">SUM(E33:AO33)</f>
        <v>9056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140.0</v>
      </c>
      <c r="G34" s="13">
        <v>195.0</v>
      </c>
      <c r="H34" s="13">
        <v>128.0</v>
      </c>
      <c r="I34" s="13">
        <v>163.0</v>
      </c>
      <c r="J34" s="13">
        <v>199.0</v>
      </c>
      <c r="K34" s="13">
        <v>232.0</v>
      </c>
      <c r="L34" s="13">
        <v>238.0</v>
      </c>
      <c r="M34" s="13">
        <v>229.0</v>
      </c>
      <c r="N34" s="13">
        <v>185.0</v>
      </c>
      <c r="O34" s="13">
        <v>164.0</v>
      </c>
      <c r="P34" s="13">
        <v>173.0</v>
      </c>
      <c r="Q34" s="13">
        <v>204.0</v>
      </c>
      <c r="R34" s="13">
        <v>230.0</v>
      </c>
      <c r="S34" s="13">
        <v>213.0</v>
      </c>
      <c r="T34" s="13">
        <v>199.0</v>
      </c>
      <c r="U34" s="13">
        <v>130.0</v>
      </c>
      <c r="V34" s="13">
        <v>242.0</v>
      </c>
      <c r="W34" s="13">
        <v>156.0</v>
      </c>
      <c r="X34" s="13">
        <v>214.0</v>
      </c>
      <c r="Y34" s="13">
        <v>241.0</v>
      </c>
      <c r="Z34" s="13">
        <v>196.0</v>
      </c>
      <c r="AA34" s="13">
        <v>176.0</v>
      </c>
      <c r="AB34" s="13">
        <v>185.0</v>
      </c>
      <c r="AC34" s="13">
        <v>162.0</v>
      </c>
      <c r="AD34" s="13">
        <v>146.0</v>
      </c>
      <c r="AE34" s="13">
        <v>173.0</v>
      </c>
      <c r="AF34" s="13">
        <v>178.0</v>
      </c>
      <c r="AG34" s="13">
        <v>197.0</v>
      </c>
      <c r="AH34" s="13">
        <v>191.0</v>
      </c>
      <c r="AI34" s="13">
        <v>167.0</v>
      </c>
      <c r="AJ34" s="13">
        <v>188.0</v>
      </c>
      <c r="AK34" s="13">
        <v>189.0</v>
      </c>
      <c r="AL34" s="13">
        <v>210.0</v>
      </c>
      <c r="AM34" s="13">
        <v>208.0</v>
      </c>
      <c r="AN34" s="13">
        <v>181.0</v>
      </c>
      <c r="AO34" s="13">
        <v>189.0</v>
      </c>
      <c r="AP34" s="13">
        <f t="shared" si="10"/>
        <v>7032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3.0</v>
      </c>
      <c r="K35" s="19">
        <v>0.0</v>
      </c>
      <c r="L35" s="19">
        <v>1.0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9">
        <v>0.0</v>
      </c>
      <c r="U35" s="19">
        <v>0.0</v>
      </c>
      <c r="V35" s="19">
        <v>0.0</v>
      </c>
      <c r="W35" s="19">
        <v>2.0</v>
      </c>
      <c r="X35" s="19">
        <v>1.0</v>
      </c>
      <c r="Y35" s="19">
        <v>0.0</v>
      </c>
      <c r="Z35" s="19">
        <v>0.0</v>
      </c>
      <c r="AA35" s="19">
        <v>0.0</v>
      </c>
      <c r="AB35" s="19">
        <v>1.0</v>
      </c>
      <c r="AC35" s="19">
        <v>1.0</v>
      </c>
      <c r="AD35" s="19">
        <v>0.0</v>
      </c>
      <c r="AE35" s="19">
        <v>0.0</v>
      </c>
      <c r="AF35" s="19">
        <v>3.0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2.0</v>
      </c>
      <c r="AO35" s="19">
        <v>0.0</v>
      </c>
      <c r="AP35" s="13">
        <f t="shared" si="10"/>
        <v>18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11">E33-(E34+E35)</f>
        <v>78</v>
      </c>
      <c r="F36" s="13">
        <f t="shared" si="11"/>
        <v>39</v>
      </c>
      <c r="G36" s="13">
        <f t="shared" si="11"/>
        <v>58</v>
      </c>
      <c r="H36" s="13">
        <f t="shared" si="11"/>
        <v>58</v>
      </c>
      <c r="I36" s="13">
        <f t="shared" si="11"/>
        <v>52</v>
      </c>
      <c r="J36" s="13">
        <f t="shared" si="11"/>
        <v>45</v>
      </c>
      <c r="K36" s="13">
        <f t="shared" si="11"/>
        <v>67</v>
      </c>
      <c r="L36" s="13">
        <f t="shared" si="11"/>
        <v>61</v>
      </c>
      <c r="M36" s="13">
        <f t="shared" si="11"/>
        <v>67</v>
      </c>
      <c r="N36" s="13">
        <f t="shared" si="11"/>
        <v>67</v>
      </c>
      <c r="O36" s="13">
        <f t="shared" si="11"/>
        <v>51</v>
      </c>
      <c r="P36" s="13">
        <f t="shared" si="11"/>
        <v>63</v>
      </c>
      <c r="Q36" s="13">
        <f t="shared" si="11"/>
        <v>54</v>
      </c>
      <c r="R36" s="13">
        <f t="shared" si="11"/>
        <v>72</v>
      </c>
      <c r="S36" s="13">
        <f t="shared" si="11"/>
        <v>80</v>
      </c>
      <c r="T36" s="13">
        <f t="shared" si="11"/>
        <v>73</v>
      </c>
      <c r="U36" s="13">
        <f t="shared" si="11"/>
        <v>35</v>
      </c>
      <c r="V36" s="13">
        <f t="shared" si="11"/>
        <v>48</v>
      </c>
      <c r="W36" s="13">
        <f t="shared" si="11"/>
        <v>40</v>
      </c>
      <c r="X36" s="13">
        <f t="shared" si="11"/>
        <v>59</v>
      </c>
      <c r="Y36" s="13">
        <f t="shared" si="11"/>
        <v>55</v>
      </c>
      <c r="Z36" s="13">
        <f t="shared" si="11"/>
        <v>86</v>
      </c>
      <c r="AA36" s="13">
        <f t="shared" si="11"/>
        <v>40</v>
      </c>
      <c r="AB36" s="13">
        <f t="shared" si="11"/>
        <v>84</v>
      </c>
      <c r="AC36" s="13">
        <f t="shared" si="11"/>
        <v>36</v>
      </c>
      <c r="AD36" s="13">
        <f t="shared" si="11"/>
        <v>42</v>
      </c>
      <c r="AE36" s="13">
        <f t="shared" si="11"/>
        <v>30</v>
      </c>
      <c r="AF36" s="13">
        <f t="shared" si="11"/>
        <v>32</v>
      </c>
      <c r="AG36" s="13">
        <f t="shared" si="11"/>
        <v>62</v>
      </c>
      <c r="AH36" s="13">
        <f t="shared" si="11"/>
        <v>64</v>
      </c>
      <c r="AI36" s="13">
        <f t="shared" si="11"/>
        <v>50</v>
      </c>
      <c r="AJ36" s="13">
        <f t="shared" si="11"/>
        <v>37</v>
      </c>
      <c r="AK36" s="13">
        <f t="shared" si="11"/>
        <v>34</v>
      </c>
      <c r="AL36" s="13">
        <f t="shared" si="11"/>
        <v>76</v>
      </c>
      <c r="AM36" s="13">
        <f t="shared" si="11"/>
        <v>44</v>
      </c>
      <c r="AN36" s="13">
        <f t="shared" si="11"/>
        <v>47</v>
      </c>
      <c r="AO36" s="13">
        <f t="shared" si="11"/>
        <v>20</v>
      </c>
      <c r="AP36" s="13">
        <f t="shared" si="10"/>
        <v>2006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>
        <v>1.0</v>
      </c>
      <c r="M39" s="19"/>
      <c r="N39" s="19"/>
      <c r="O39" s="19">
        <v>2.0</v>
      </c>
      <c r="P39" s="19"/>
      <c r="Q39" s="19"/>
      <c r="R39" s="19"/>
      <c r="S39" s="19"/>
      <c r="T39" s="19"/>
      <c r="U39" s="19"/>
      <c r="V39" s="19"/>
      <c r="W39" s="19">
        <v>2.0</v>
      </c>
      <c r="X39" s="19"/>
      <c r="Y39" s="19"/>
      <c r="Z39" s="19"/>
      <c r="AA39" s="19"/>
      <c r="AB39" s="19"/>
      <c r="AC39" s="19"/>
      <c r="AD39" s="19"/>
      <c r="AE39" s="19"/>
      <c r="AF39" s="19">
        <v>1.0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3">
        <f t="shared" ref="AP39:AP41" si="12">SUM(E39:AO39)</f>
        <v>7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5.0</v>
      </c>
      <c r="K40" s="19">
        <v>2.0</v>
      </c>
      <c r="L40" s="19">
        <v>2.0</v>
      </c>
      <c r="M40" s="19"/>
      <c r="N40" s="19"/>
      <c r="O40" s="19">
        <v>2.0</v>
      </c>
      <c r="P40" s="19"/>
      <c r="Q40" s="19"/>
      <c r="R40" s="19">
        <v>1.0</v>
      </c>
      <c r="S40" s="19"/>
      <c r="T40" s="19"/>
      <c r="U40" s="19"/>
      <c r="V40" s="19"/>
      <c r="W40" s="19">
        <v>1.0</v>
      </c>
      <c r="X40" s="19"/>
      <c r="Y40" s="19"/>
      <c r="Z40" s="19"/>
      <c r="AA40" s="19"/>
      <c r="AB40" s="19"/>
      <c r="AC40" s="19"/>
      <c r="AD40" s="19"/>
      <c r="AE40" s="19"/>
      <c r="AF40" s="19">
        <v>1.0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6</v>
      </c>
      <c r="K41" s="13">
        <f t="shared" si="13"/>
        <v>2</v>
      </c>
      <c r="L41" s="13">
        <f t="shared" si="13"/>
        <v>3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2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15.0</v>
      </c>
      <c r="F45" s="19">
        <v>10.0</v>
      </c>
      <c r="G45" s="19">
        <v>7.0</v>
      </c>
      <c r="H45" s="19">
        <v>5.0</v>
      </c>
      <c r="I45" s="19">
        <v>13.0</v>
      </c>
      <c r="J45" s="19">
        <v>6.0</v>
      </c>
      <c r="K45" s="19">
        <v>4.0</v>
      </c>
      <c r="L45" s="19">
        <v>4.0</v>
      </c>
      <c r="M45" s="19">
        <v>0.0</v>
      </c>
      <c r="N45" s="19">
        <v>3.0</v>
      </c>
      <c r="O45" s="19">
        <v>2.0</v>
      </c>
      <c r="P45" s="19">
        <v>1.0</v>
      </c>
      <c r="Q45" s="19">
        <v>2.0</v>
      </c>
      <c r="R45" s="19">
        <v>4.0</v>
      </c>
      <c r="S45" s="19">
        <v>6.0</v>
      </c>
      <c r="T45" s="19">
        <v>6.0</v>
      </c>
      <c r="U45" s="19">
        <v>1.0</v>
      </c>
      <c r="V45" s="19">
        <v>2.0</v>
      </c>
      <c r="W45" s="19">
        <v>6.0</v>
      </c>
      <c r="X45" s="19">
        <v>5.0</v>
      </c>
      <c r="Y45" s="19">
        <v>7.0</v>
      </c>
      <c r="Z45" s="19">
        <v>1.0</v>
      </c>
      <c r="AA45" s="19">
        <v>4.0</v>
      </c>
      <c r="AB45" s="19">
        <v>4.0</v>
      </c>
      <c r="AC45" s="19">
        <v>6.0</v>
      </c>
      <c r="AD45" s="19">
        <v>2.0</v>
      </c>
      <c r="AE45" s="19">
        <v>9.0</v>
      </c>
      <c r="AF45" s="19">
        <v>1.0</v>
      </c>
      <c r="AG45" s="19">
        <v>5.0</v>
      </c>
      <c r="AH45" s="19">
        <v>4.0</v>
      </c>
      <c r="AI45" s="19">
        <v>3.0</v>
      </c>
      <c r="AJ45" s="19">
        <v>2.0</v>
      </c>
      <c r="AK45" s="19">
        <v>4.0</v>
      </c>
      <c r="AL45" s="19">
        <v>40.0</v>
      </c>
      <c r="AM45" s="19">
        <v>29.0</v>
      </c>
      <c r="AN45" s="19">
        <v>7.0</v>
      </c>
      <c r="AO45" s="19">
        <v>4.0</v>
      </c>
      <c r="AP45" s="13">
        <f t="shared" ref="AP45:AP55" si="14">SUM(E45:AO45)</f>
        <v>234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4.0</v>
      </c>
      <c r="G46" s="19">
        <v>14.0</v>
      </c>
      <c r="H46" s="19">
        <v>7.0</v>
      </c>
      <c r="I46" s="19">
        <v>11.0</v>
      </c>
      <c r="J46" s="19">
        <v>6.0</v>
      </c>
      <c r="K46" s="19">
        <v>20.0</v>
      </c>
      <c r="L46" s="19">
        <v>29.0</v>
      </c>
      <c r="M46" s="19">
        <v>13.0</v>
      </c>
      <c r="N46" s="19">
        <v>15.0</v>
      </c>
      <c r="O46" s="19">
        <v>16.0</v>
      </c>
      <c r="P46" s="19">
        <v>7.0</v>
      </c>
      <c r="Q46" s="19">
        <v>6.0</v>
      </c>
      <c r="R46" s="19">
        <v>15.0</v>
      </c>
      <c r="S46" s="19">
        <v>6.0</v>
      </c>
      <c r="T46" s="19">
        <v>11.0</v>
      </c>
      <c r="U46" s="19">
        <v>1.0</v>
      </c>
      <c r="V46" s="19">
        <v>7.0</v>
      </c>
      <c r="W46" s="19">
        <v>8.0</v>
      </c>
      <c r="X46" s="19">
        <v>10.0</v>
      </c>
      <c r="Y46" s="19">
        <v>5.0</v>
      </c>
      <c r="Z46" s="19">
        <v>2.0</v>
      </c>
      <c r="AA46" s="19">
        <v>6.0</v>
      </c>
      <c r="AB46" s="19">
        <v>2.0</v>
      </c>
      <c r="AC46" s="19">
        <v>6.0</v>
      </c>
      <c r="AD46" s="19">
        <v>21.0</v>
      </c>
      <c r="AE46" s="19">
        <v>26.0</v>
      </c>
      <c r="AF46" s="19">
        <v>9.0</v>
      </c>
      <c r="AG46" s="19">
        <v>6.0</v>
      </c>
      <c r="AH46" s="19">
        <v>13.0</v>
      </c>
      <c r="AI46" s="19">
        <v>2.0</v>
      </c>
      <c r="AJ46" s="19">
        <v>2.0</v>
      </c>
      <c r="AK46" s="19">
        <v>1.0</v>
      </c>
      <c r="AL46" s="19">
        <v>73.0</v>
      </c>
      <c r="AM46" s="19">
        <v>76.0</v>
      </c>
      <c r="AN46" s="19">
        <v>26.0</v>
      </c>
      <c r="AO46" s="19">
        <v>8.0</v>
      </c>
      <c r="AP46" s="13">
        <f t="shared" si="14"/>
        <v>497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7.0</v>
      </c>
      <c r="G47" s="19">
        <v>5.0</v>
      </c>
      <c r="H47" s="19">
        <v>1.0</v>
      </c>
      <c r="I47" s="19">
        <v>2.0</v>
      </c>
      <c r="J47" s="19">
        <v>28.0</v>
      </c>
      <c r="K47" s="19">
        <v>21.0</v>
      </c>
      <c r="L47" s="19">
        <v>11.0</v>
      </c>
      <c r="M47" s="19">
        <v>1.0</v>
      </c>
      <c r="N47" s="19">
        <v>7.0</v>
      </c>
      <c r="O47" s="19">
        <v>1.0</v>
      </c>
      <c r="P47" s="19">
        <v>1.0</v>
      </c>
      <c r="Q47" s="19">
        <v>0.0</v>
      </c>
      <c r="R47" s="19">
        <v>2.0</v>
      </c>
      <c r="S47" s="19">
        <v>2.0</v>
      </c>
      <c r="T47" s="19">
        <v>1.0</v>
      </c>
      <c r="U47" s="19">
        <v>1.0</v>
      </c>
      <c r="V47" s="19">
        <v>3.0</v>
      </c>
      <c r="W47" s="19">
        <v>0.0</v>
      </c>
      <c r="X47" s="19">
        <v>2.0</v>
      </c>
      <c r="Y47" s="19">
        <v>2.0</v>
      </c>
      <c r="Z47" s="19">
        <v>1.0</v>
      </c>
      <c r="AA47" s="19">
        <v>2.0</v>
      </c>
      <c r="AB47" s="19">
        <v>2.0</v>
      </c>
      <c r="AC47" s="19">
        <v>3.0</v>
      </c>
      <c r="AD47" s="19">
        <v>0.0</v>
      </c>
      <c r="AE47" s="19">
        <v>5.0</v>
      </c>
      <c r="AF47" s="19">
        <v>4.0</v>
      </c>
      <c r="AG47" s="19">
        <v>1.0</v>
      </c>
      <c r="AH47" s="19">
        <v>2.0</v>
      </c>
      <c r="AI47" s="19">
        <v>3.0</v>
      </c>
      <c r="AJ47" s="19">
        <v>7.0</v>
      </c>
      <c r="AK47" s="19">
        <v>2.0</v>
      </c>
      <c r="AL47" s="19">
        <v>5.0</v>
      </c>
      <c r="AM47" s="19">
        <v>7.0</v>
      </c>
      <c r="AN47" s="19">
        <v>3.0</v>
      </c>
      <c r="AO47" s="19">
        <v>4.0</v>
      </c>
      <c r="AP47" s="13">
        <f t="shared" si="14"/>
        <v>150</v>
      </c>
    </row>
    <row r="48" ht="12.75" customHeight="1">
      <c r="A48" s="18"/>
      <c r="B48" s="55">
        <v>3.0</v>
      </c>
      <c r="C48" s="50" t="s">
        <v>42</v>
      </c>
      <c r="D48" s="16"/>
      <c r="E48" s="19">
        <v>7.0</v>
      </c>
      <c r="F48" s="19">
        <v>5.0</v>
      </c>
      <c r="G48" s="19">
        <v>5.0</v>
      </c>
      <c r="H48" s="19">
        <v>1.0</v>
      </c>
      <c r="I48" s="19">
        <v>11.0</v>
      </c>
      <c r="J48" s="19">
        <v>3.0</v>
      </c>
      <c r="K48" s="19">
        <v>2.0</v>
      </c>
      <c r="L48" s="19">
        <v>6.0</v>
      </c>
      <c r="M48" s="19">
        <v>1.0</v>
      </c>
      <c r="N48" s="19">
        <v>2.0</v>
      </c>
      <c r="O48" s="19">
        <v>3.0</v>
      </c>
      <c r="P48" s="19">
        <v>1.0</v>
      </c>
      <c r="Q48" s="19">
        <v>3.0</v>
      </c>
      <c r="R48" s="19">
        <v>1.0</v>
      </c>
      <c r="S48" s="19">
        <v>2.0</v>
      </c>
      <c r="T48" s="19">
        <v>0.0</v>
      </c>
      <c r="U48" s="19">
        <v>2.0</v>
      </c>
      <c r="V48" s="19">
        <v>3.0</v>
      </c>
      <c r="W48" s="19">
        <v>2.0</v>
      </c>
      <c r="X48" s="19">
        <v>6.0</v>
      </c>
      <c r="Y48" s="19">
        <v>0.0</v>
      </c>
      <c r="Z48" s="19">
        <v>0.0</v>
      </c>
      <c r="AA48" s="19">
        <v>0.0</v>
      </c>
      <c r="AB48" s="19">
        <v>2.0</v>
      </c>
      <c r="AC48" s="19">
        <v>0.0</v>
      </c>
      <c r="AD48" s="19">
        <v>4.0</v>
      </c>
      <c r="AE48" s="19">
        <v>3.0</v>
      </c>
      <c r="AF48" s="19">
        <v>3.0</v>
      </c>
      <c r="AG48" s="19">
        <v>1.0</v>
      </c>
      <c r="AH48" s="19">
        <v>4.0</v>
      </c>
      <c r="AI48" s="19">
        <v>0.0</v>
      </c>
      <c r="AJ48" s="19">
        <v>0.0</v>
      </c>
      <c r="AK48" s="19">
        <v>0.0</v>
      </c>
      <c r="AL48" s="19">
        <v>3.0</v>
      </c>
      <c r="AM48" s="19">
        <v>2.0</v>
      </c>
      <c r="AN48" s="19">
        <v>0.0</v>
      </c>
      <c r="AO48" s="19">
        <v>0.0</v>
      </c>
      <c r="AP48" s="13">
        <f t="shared" si="14"/>
        <v>88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3.0</v>
      </c>
      <c r="G49" s="19">
        <v>1.0</v>
      </c>
      <c r="H49" s="19">
        <v>0.0</v>
      </c>
      <c r="I49" s="19">
        <v>0.0</v>
      </c>
      <c r="J49" s="19">
        <v>0.0</v>
      </c>
      <c r="K49" s="19">
        <v>1.0</v>
      </c>
      <c r="L49" s="19">
        <v>1.0</v>
      </c>
      <c r="M49" s="19">
        <v>0.0</v>
      </c>
      <c r="N49" s="19">
        <v>1.0</v>
      </c>
      <c r="O49" s="19">
        <v>1.0</v>
      </c>
      <c r="P49" s="19">
        <v>0.0</v>
      </c>
      <c r="Q49" s="19">
        <v>1.0</v>
      </c>
      <c r="R49" s="19">
        <v>1.0</v>
      </c>
      <c r="S49" s="19">
        <v>0.0</v>
      </c>
      <c r="T49" s="19">
        <v>0.0</v>
      </c>
      <c r="U49" s="19">
        <v>0.0</v>
      </c>
      <c r="V49" s="19">
        <v>1.0</v>
      </c>
      <c r="W49" s="19">
        <v>0.0</v>
      </c>
      <c r="X49" s="19">
        <v>0.0</v>
      </c>
      <c r="Y49" s="19">
        <v>0.0</v>
      </c>
      <c r="Z49" s="19">
        <v>0.0</v>
      </c>
      <c r="AA49" s="19">
        <v>0.0</v>
      </c>
      <c r="AB49" s="19">
        <v>1.0</v>
      </c>
      <c r="AC49" s="19">
        <v>0.0</v>
      </c>
      <c r="AD49" s="19">
        <v>0.0</v>
      </c>
      <c r="AE49" s="19">
        <v>0.0</v>
      </c>
      <c r="AF49" s="19">
        <v>1.0</v>
      </c>
      <c r="AG49" s="19">
        <v>0.0</v>
      </c>
      <c r="AH49" s="19">
        <v>1.0</v>
      </c>
      <c r="AI49" s="19">
        <v>3.0</v>
      </c>
      <c r="AJ49" s="19">
        <v>0.0</v>
      </c>
      <c r="AK49" s="19">
        <v>0.0</v>
      </c>
      <c r="AL49" s="19">
        <v>2.0</v>
      </c>
      <c r="AM49" s="19">
        <v>0.0</v>
      </c>
      <c r="AN49" s="19">
        <v>0.0</v>
      </c>
      <c r="AO49" s="19">
        <v>0.0</v>
      </c>
      <c r="AP49" s="13">
        <f t="shared" si="14"/>
        <v>20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4.0</v>
      </c>
      <c r="J50" s="19">
        <v>0.0</v>
      </c>
      <c r="K50" s="19">
        <v>0.0</v>
      </c>
      <c r="L50" s="19">
        <v>0.0</v>
      </c>
      <c r="M50" s="19">
        <v>1.0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1.0</v>
      </c>
      <c r="AC50" s="19">
        <v>0.0</v>
      </c>
      <c r="AD50" s="19">
        <v>1.0</v>
      </c>
      <c r="AE50" s="19">
        <v>0.0</v>
      </c>
      <c r="AF50" s="19">
        <v>2.0</v>
      </c>
      <c r="AG50" s="19">
        <v>0.0</v>
      </c>
      <c r="AH50" s="19">
        <v>0.0</v>
      </c>
      <c r="AI50" s="19">
        <v>0.0</v>
      </c>
      <c r="AJ50" s="19">
        <v>1.0</v>
      </c>
      <c r="AK50" s="19">
        <v>0.0</v>
      </c>
      <c r="AL50" s="19">
        <v>1.0</v>
      </c>
      <c r="AM50" s="19">
        <v>1.0</v>
      </c>
      <c r="AN50" s="19">
        <v>0.0</v>
      </c>
      <c r="AO50" s="19">
        <v>0.0</v>
      </c>
      <c r="AP50" s="13">
        <f t="shared" si="14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0.0</v>
      </c>
      <c r="W51" s="19">
        <v>0.0</v>
      </c>
      <c r="X51" s="19">
        <v>1.0</v>
      </c>
      <c r="Y51" s="19">
        <v>0.0</v>
      </c>
      <c r="Z51" s="19">
        <v>1.0</v>
      </c>
      <c r="AA51" s="19">
        <v>0.0</v>
      </c>
      <c r="AB51" s="19">
        <v>1.0</v>
      </c>
      <c r="AC51" s="19">
        <v>0.0</v>
      </c>
      <c r="AD51" s="19">
        <v>0.0</v>
      </c>
      <c r="AE51" s="19">
        <v>1.0</v>
      </c>
      <c r="AF51" s="19">
        <v>0.0</v>
      </c>
      <c r="AG51" s="19">
        <v>0.0</v>
      </c>
      <c r="AH51" s="19">
        <v>0.0</v>
      </c>
      <c r="AI51" s="19">
        <v>0.0</v>
      </c>
      <c r="AJ51" s="19">
        <v>1.0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3">
        <f t="shared" si="14"/>
        <v>3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O55" si="15">SUM(E45:E52)</f>
        <v>32</v>
      </c>
      <c r="F55" s="13">
        <f t="shared" si="15"/>
        <v>31</v>
      </c>
      <c r="G55" s="13">
        <f t="shared" si="15"/>
        <v>32</v>
      </c>
      <c r="H55" s="13">
        <f t="shared" si="15"/>
        <v>14</v>
      </c>
      <c r="I55" s="13">
        <f t="shared" si="15"/>
        <v>41</v>
      </c>
      <c r="J55" s="13">
        <f t="shared" si="15"/>
        <v>43</v>
      </c>
      <c r="K55" s="13">
        <f t="shared" si="15"/>
        <v>49</v>
      </c>
      <c r="L55" s="13">
        <f t="shared" si="15"/>
        <v>51</v>
      </c>
      <c r="M55" s="13">
        <f t="shared" si="15"/>
        <v>16</v>
      </c>
      <c r="N55" s="13">
        <f t="shared" si="15"/>
        <v>29</v>
      </c>
      <c r="O55" s="13">
        <f t="shared" si="15"/>
        <v>23</v>
      </c>
      <c r="P55" s="13">
        <f t="shared" si="15"/>
        <v>10</v>
      </c>
      <c r="Q55" s="13">
        <f t="shared" si="15"/>
        <v>12</v>
      </c>
      <c r="R55" s="13">
        <f t="shared" si="15"/>
        <v>23</v>
      </c>
      <c r="S55" s="13">
        <f t="shared" si="15"/>
        <v>16</v>
      </c>
      <c r="T55" s="13">
        <f t="shared" si="15"/>
        <v>20</v>
      </c>
      <c r="U55" s="13">
        <f t="shared" si="15"/>
        <v>6</v>
      </c>
      <c r="V55" s="13">
        <f t="shared" si="15"/>
        <v>17</v>
      </c>
      <c r="W55" s="13">
        <f t="shared" si="15"/>
        <v>16</v>
      </c>
      <c r="X55" s="13">
        <f t="shared" si="15"/>
        <v>24</v>
      </c>
      <c r="Y55" s="13">
        <f t="shared" si="15"/>
        <v>14</v>
      </c>
      <c r="Z55" s="13">
        <f t="shared" si="15"/>
        <v>5</v>
      </c>
      <c r="AA55" s="13">
        <f t="shared" si="15"/>
        <v>12</v>
      </c>
      <c r="AB55" s="13">
        <f t="shared" si="15"/>
        <v>13</v>
      </c>
      <c r="AC55" s="13">
        <f t="shared" si="15"/>
        <v>15</v>
      </c>
      <c r="AD55" s="13">
        <f t="shared" si="15"/>
        <v>28</v>
      </c>
      <c r="AE55" s="13">
        <f t="shared" si="15"/>
        <v>44</v>
      </c>
      <c r="AF55" s="13">
        <f t="shared" si="15"/>
        <v>20</v>
      </c>
      <c r="AG55" s="13">
        <f t="shared" si="15"/>
        <v>13</v>
      </c>
      <c r="AH55" s="13">
        <f t="shared" si="15"/>
        <v>24</v>
      </c>
      <c r="AI55" s="13">
        <f t="shared" si="15"/>
        <v>11</v>
      </c>
      <c r="AJ55" s="13">
        <f t="shared" si="15"/>
        <v>13</v>
      </c>
      <c r="AK55" s="13">
        <f t="shared" si="15"/>
        <v>7</v>
      </c>
      <c r="AL55" s="13">
        <f t="shared" si="15"/>
        <v>124</v>
      </c>
      <c r="AM55" s="13">
        <f t="shared" si="15"/>
        <v>115</v>
      </c>
      <c r="AN55" s="13">
        <f t="shared" si="15"/>
        <v>36</v>
      </c>
      <c r="AO55" s="13">
        <f t="shared" si="15"/>
        <v>16</v>
      </c>
      <c r="AP55" s="13">
        <f t="shared" si="14"/>
        <v>1015</v>
      </c>
    </row>
    <row r="56" ht="12.75" customHeight="1">
      <c r="A56" s="45"/>
      <c r="B56" s="44"/>
      <c r="C56" s="44"/>
      <c r="D56" s="44"/>
      <c r="E56" s="44"/>
      <c r="A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14.0</v>
      </c>
      <c r="F57" s="19">
        <v>9.0</v>
      </c>
      <c r="G57" s="19">
        <v>7.0</v>
      </c>
      <c r="H57" s="19">
        <v>4.0</v>
      </c>
      <c r="I57" s="19">
        <v>1.0</v>
      </c>
      <c r="J57" s="19">
        <v>3.0</v>
      </c>
      <c r="K57" s="19">
        <v>2.0</v>
      </c>
      <c r="L57" s="19">
        <v>1.0</v>
      </c>
      <c r="M57" s="19">
        <v>3.0</v>
      </c>
      <c r="N57" s="19">
        <v>3.0</v>
      </c>
      <c r="O57" s="19">
        <v>11.0</v>
      </c>
      <c r="P57" s="19">
        <v>5.0</v>
      </c>
      <c r="Q57" s="19">
        <v>11.0</v>
      </c>
      <c r="R57" s="19">
        <v>16.0</v>
      </c>
      <c r="S57" s="19">
        <v>14.0</v>
      </c>
      <c r="T57" s="19">
        <v>16.0</v>
      </c>
      <c r="U57" s="19">
        <v>4.0</v>
      </c>
      <c r="V57" s="19">
        <v>14.0</v>
      </c>
      <c r="W57" s="19">
        <v>12.0</v>
      </c>
      <c r="X57" s="19">
        <v>6.0</v>
      </c>
      <c r="Y57" s="19">
        <v>8.0</v>
      </c>
      <c r="Z57" s="19">
        <v>6.0</v>
      </c>
      <c r="AA57" s="19">
        <v>9.0</v>
      </c>
      <c r="AB57" s="19">
        <v>12.0</v>
      </c>
      <c r="AC57" s="19">
        <v>6.0</v>
      </c>
      <c r="AD57" s="19">
        <v>5.0</v>
      </c>
      <c r="AE57" s="19">
        <v>4.0</v>
      </c>
      <c r="AF57" s="19">
        <v>24.0</v>
      </c>
      <c r="AG57" s="19">
        <v>9.0</v>
      </c>
      <c r="AH57" s="19">
        <v>6.0</v>
      </c>
      <c r="AI57" s="19">
        <v>11.0</v>
      </c>
      <c r="AJ57" s="19">
        <v>1.0</v>
      </c>
      <c r="AK57" s="19">
        <v>8.0</v>
      </c>
      <c r="AL57" s="19">
        <v>0.0</v>
      </c>
      <c r="AM57" s="19">
        <v>3.0</v>
      </c>
      <c r="AN57" s="19">
        <v>3.0</v>
      </c>
      <c r="AO57" s="19">
        <v>4.0</v>
      </c>
      <c r="AP57" s="13">
        <f t="shared" ref="AP57:AP67" si="16">SUM(E57:AO57)</f>
        <v>275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5.0</v>
      </c>
      <c r="F58" s="19">
        <v>8.0</v>
      </c>
      <c r="G58" s="19">
        <v>3.0</v>
      </c>
      <c r="H58" s="19">
        <v>2.0</v>
      </c>
      <c r="I58" s="19">
        <v>6.0</v>
      </c>
      <c r="J58" s="19">
        <v>2.0</v>
      </c>
      <c r="K58" s="19">
        <v>6.0</v>
      </c>
      <c r="L58" s="19">
        <v>3.0</v>
      </c>
      <c r="M58" s="19">
        <v>3.0</v>
      </c>
      <c r="N58" s="19">
        <v>5.0</v>
      </c>
      <c r="O58" s="19">
        <v>4.0</v>
      </c>
      <c r="P58" s="19">
        <v>5.0</v>
      </c>
      <c r="Q58" s="19">
        <v>5.0</v>
      </c>
      <c r="R58" s="19">
        <v>10.0</v>
      </c>
      <c r="S58" s="19">
        <v>6.0</v>
      </c>
      <c r="T58" s="19">
        <v>7.0</v>
      </c>
      <c r="U58" s="19">
        <v>5.0</v>
      </c>
      <c r="V58" s="19">
        <v>10.0</v>
      </c>
      <c r="W58" s="19">
        <v>10.0</v>
      </c>
      <c r="X58" s="19">
        <v>11.0</v>
      </c>
      <c r="Y58" s="19">
        <v>15.0</v>
      </c>
      <c r="Z58" s="19">
        <v>10.0</v>
      </c>
      <c r="AA58" s="19">
        <v>9.0</v>
      </c>
      <c r="AB58" s="19">
        <v>10.0</v>
      </c>
      <c r="AC58" s="19">
        <v>3.0</v>
      </c>
      <c r="AD58" s="19">
        <v>8.0</v>
      </c>
      <c r="AE58" s="19">
        <v>8.0</v>
      </c>
      <c r="AF58" s="19">
        <v>15.0</v>
      </c>
      <c r="AG58" s="19">
        <v>9.0</v>
      </c>
      <c r="AH58" s="19">
        <v>6.0</v>
      </c>
      <c r="AI58" s="19">
        <v>18.0</v>
      </c>
      <c r="AJ58" s="19">
        <v>6.0</v>
      </c>
      <c r="AK58" s="19">
        <v>10.0</v>
      </c>
      <c r="AL58" s="19">
        <v>11.0</v>
      </c>
      <c r="AM58" s="19">
        <v>5.0</v>
      </c>
      <c r="AN58" s="19">
        <v>4.0</v>
      </c>
      <c r="AO58" s="19">
        <v>18.0</v>
      </c>
      <c r="AP58" s="13">
        <f t="shared" si="16"/>
        <v>281</v>
      </c>
    </row>
    <row r="59" ht="12.75" customHeight="1">
      <c r="A59" s="18"/>
      <c r="B59" s="55">
        <v>2.0</v>
      </c>
      <c r="C59" s="50" t="s">
        <v>50</v>
      </c>
      <c r="D59" s="56"/>
      <c r="E59" s="19">
        <v>0.0</v>
      </c>
      <c r="F59" s="19">
        <v>2.0</v>
      </c>
      <c r="G59" s="19">
        <v>5.0</v>
      </c>
      <c r="H59" s="19">
        <v>1.0</v>
      </c>
      <c r="I59" s="19">
        <v>1.0</v>
      </c>
      <c r="J59" s="19">
        <v>16.0</v>
      </c>
      <c r="K59" s="19">
        <v>4.0</v>
      </c>
      <c r="L59" s="19">
        <v>6.0</v>
      </c>
      <c r="M59" s="19">
        <v>15.0</v>
      </c>
      <c r="N59" s="19">
        <v>0.0</v>
      </c>
      <c r="O59" s="19">
        <v>2.0</v>
      </c>
      <c r="P59" s="19">
        <v>2.0</v>
      </c>
      <c r="Q59" s="19">
        <v>1.0</v>
      </c>
      <c r="R59" s="19">
        <v>64.0</v>
      </c>
      <c r="S59" s="19">
        <v>3.0</v>
      </c>
      <c r="T59" s="19">
        <v>20.0</v>
      </c>
      <c r="U59" s="19">
        <v>54.0</v>
      </c>
      <c r="V59" s="19">
        <v>21.0</v>
      </c>
      <c r="W59" s="19">
        <v>34.0</v>
      </c>
      <c r="X59" s="19">
        <v>49.0</v>
      </c>
      <c r="Y59" s="19">
        <v>88.0</v>
      </c>
      <c r="Z59" s="19">
        <v>83.0</v>
      </c>
      <c r="AA59" s="19">
        <v>21.0</v>
      </c>
      <c r="AB59" s="19">
        <v>19.0</v>
      </c>
      <c r="AC59" s="19">
        <v>20.0</v>
      </c>
      <c r="AD59" s="19">
        <v>21.0</v>
      </c>
      <c r="AE59" s="19">
        <v>3.0</v>
      </c>
      <c r="AF59" s="19">
        <v>30.0</v>
      </c>
      <c r="AG59" s="19">
        <v>66.0</v>
      </c>
      <c r="AH59" s="19">
        <v>84.0</v>
      </c>
      <c r="AI59" s="19">
        <v>68.0</v>
      </c>
      <c r="AJ59" s="19">
        <v>6.0</v>
      </c>
      <c r="AK59" s="19">
        <v>72.0</v>
      </c>
      <c r="AL59" s="19">
        <v>1.0</v>
      </c>
      <c r="AM59" s="19">
        <v>1.0</v>
      </c>
      <c r="AN59" s="19">
        <v>3.0</v>
      </c>
      <c r="AO59" s="19">
        <v>0.0</v>
      </c>
      <c r="AP59" s="13">
        <f t="shared" si="16"/>
        <v>886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1.0</v>
      </c>
      <c r="H60" s="19">
        <v>1.0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2.0</v>
      </c>
      <c r="P60" s="19">
        <v>0.0</v>
      </c>
      <c r="Q60" s="19">
        <v>2.0</v>
      </c>
      <c r="R60" s="19">
        <v>1.0</v>
      </c>
      <c r="S60" s="19">
        <v>1.0</v>
      </c>
      <c r="T60" s="19">
        <v>2.0</v>
      </c>
      <c r="U60" s="19">
        <v>1.0</v>
      </c>
      <c r="V60" s="19">
        <v>2.0</v>
      </c>
      <c r="W60" s="19">
        <v>0.0</v>
      </c>
      <c r="X60" s="19">
        <v>2.0</v>
      </c>
      <c r="Y60" s="19">
        <v>1.0</v>
      </c>
      <c r="Z60" s="19">
        <v>0.0</v>
      </c>
      <c r="AA60" s="19">
        <v>4.0</v>
      </c>
      <c r="AB60" s="19">
        <v>0.0</v>
      </c>
      <c r="AC60" s="19">
        <v>0.0</v>
      </c>
      <c r="AD60" s="19">
        <v>3.0</v>
      </c>
      <c r="AE60" s="19">
        <v>0.0</v>
      </c>
      <c r="AF60" s="19">
        <v>2.0</v>
      </c>
      <c r="AG60" s="19">
        <v>2.0</v>
      </c>
      <c r="AH60" s="19">
        <v>0.0</v>
      </c>
      <c r="AI60" s="19">
        <v>0.0</v>
      </c>
      <c r="AJ60" s="19">
        <v>0.0</v>
      </c>
      <c r="AK60" s="19">
        <v>0.0</v>
      </c>
      <c r="AL60" s="19">
        <v>0.0</v>
      </c>
      <c r="AM60" s="19">
        <v>0.0</v>
      </c>
      <c r="AN60" s="19">
        <v>1.0</v>
      </c>
      <c r="AO60" s="19">
        <v>0.0</v>
      </c>
      <c r="AP60" s="13">
        <f t="shared" si="16"/>
        <v>31</v>
      </c>
    </row>
    <row r="61" ht="12.75" customHeight="1">
      <c r="A61" s="18"/>
      <c r="B61" s="55">
        <v>4.0</v>
      </c>
      <c r="C61" s="50" t="s">
        <v>52</v>
      </c>
      <c r="D61" s="56"/>
      <c r="E61" s="19">
        <v>2.0</v>
      </c>
      <c r="F61" s="19">
        <v>1.0</v>
      </c>
      <c r="G61" s="19">
        <v>1.0</v>
      </c>
      <c r="H61" s="19">
        <v>5.0</v>
      </c>
      <c r="I61" s="19">
        <v>1.0</v>
      </c>
      <c r="J61" s="19">
        <v>1.0</v>
      </c>
      <c r="K61" s="19">
        <v>0.0</v>
      </c>
      <c r="L61" s="19">
        <v>0.0</v>
      </c>
      <c r="M61" s="19">
        <v>2.0</v>
      </c>
      <c r="N61" s="19">
        <v>1.0</v>
      </c>
      <c r="O61" s="19">
        <v>1.0</v>
      </c>
      <c r="P61" s="19">
        <v>0.0</v>
      </c>
      <c r="Q61" s="19">
        <v>6.0</v>
      </c>
      <c r="R61" s="19">
        <v>4.0</v>
      </c>
      <c r="S61" s="19">
        <v>2.0</v>
      </c>
      <c r="T61" s="19">
        <v>0.0</v>
      </c>
      <c r="U61" s="19">
        <v>1.0</v>
      </c>
      <c r="V61" s="19">
        <v>5.0</v>
      </c>
      <c r="W61" s="19">
        <v>2.0</v>
      </c>
      <c r="X61" s="19">
        <v>16.0</v>
      </c>
      <c r="Y61" s="19">
        <v>0.0</v>
      </c>
      <c r="Z61" s="19">
        <v>2.0</v>
      </c>
      <c r="AA61" s="19">
        <v>2.0</v>
      </c>
      <c r="AB61" s="19">
        <v>3.0</v>
      </c>
      <c r="AC61" s="19">
        <v>0.0</v>
      </c>
      <c r="AD61" s="19">
        <v>2.0</v>
      </c>
      <c r="AE61" s="19">
        <v>0.0</v>
      </c>
      <c r="AF61" s="19">
        <v>2.0</v>
      </c>
      <c r="AG61" s="19">
        <v>2.0</v>
      </c>
      <c r="AH61" s="19">
        <v>2.0</v>
      </c>
      <c r="AI61" s="19">
        <v>1.0</v>
      </c>
      <c r="AJ61" s="19">
        <v>0.0</v>
      </c>
      <c r="AK61" s="19">
        <v>1.0</v>
      </c>
      <c r="AL61" s="19">
        <v>1.0</v>
      </c>
      <c r="AM61" s="19">
        <v>0.0</v>
      </c>
      <c r="AN61" s="19">
        <v>1.0</v>
      </c>
      <c r="AO61" s="19">
        <v>0.0</v>
      </c>
      <c r="AP61" s="13">
        <f t="shared" si="16"/>
        <v>70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2.0</v>
      </c>
      <c r="W62" s="19">
        <v>0.0</v>
      </c>
      <c r="X62" s="19">
        <v>0.0</v>
      </c>
      <c r="Y62" s="19">
        <v>0.0</v>
      </c>
      <c r="Z62" s="19">
        <v>0.0</v>
      </c>
      <c r="AA62" s="19">
        <v>4.0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3">
        <f t="shared" si="16"/>
        <v>9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0.0</v>
      </c>
      <c r="G63" s="19">
        <v>1.0</v>
      </c>
      <c r="H63" s="19">
        <v>0.0</v>
      </c>
      <c r="I63" s="19">
        <v>1.0</v>
      </c>
      <c r="J63" s="19">
        <v>0.0</v>
      </c>
      <c r="K63" s="19">
        <v>0.0</v>
      </c>
      <c r="L63" s="19">
        <v>1.0</v>
      </c>
      <c r="M63" s="19">
        <v>1.0</v>
      </c>
      <c r="N63" s="19">
        <v>0.0</v>
      </c>
      <c r="O63" s="19">
        <v>0.0</v>
      </c>
      <c r="P63" s="19">
        <v>0.0</v>
      </c>
      <c r="Q63" s="19">
        <v>1.0</v>
      </c>
      <c r="R63" s="19">
        <v>2.0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1.0</v>
      </c>
      <c r="AB63" s="19">
        <v>0.0</v>
      </c>
      <c r="AC63" s="19">
        <v>0.0</v>
      </c>
      <c r="AD63" s="19">
        <v>0.0</v>
      </c>
      <c r="AE63" s="19">
        <v>0.0</v>
      </c>
      <c r="AF63" s="19">
        <v>1.0</v>
      </c>
      <c r="AG63" s="19">
        <v>0.0</v>
      </c>
      <c r="AH63" s="19">
        <v>0.0</v>
      </c>
      <c r="AI63" s="19">
        <v>0.0</v>
      </c>
      <c r="AJ63" s="19">
        <v>0.0</v>
      </c>
      <c r="AK63" s="19">
        <v>1.0</v>
      </c>
      <c r="AL63" s="19">
        <v>0.0</v>
      </c>
      <c r="AM63" s="19">
        <v>0.0</v>
      </c>
      <c r="AN63" s="19">
        <v>0.0</v>
      </c>
      <c r="AO63" s="19">
        <v>0.0</v>
      </c>
      <c r="AP63" s="13">
        <f t="shared" si="16"/>
        <v>12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1.0</v>
      </c>
      <c r="K64" s="19">
        <v>1.0</v>
      </c>
      <c r="L64" s="19">
        <v>1.0</v>
      </c>
      <c r="M64" s="19">
        <v>0.0</v>
      </c>
      <c r="N64" s="19">
        <v>0.0</v>
      </c>
      <c r="O64" s="19">
        <v>1.0</v>
      </c>
      <c r="P64" s="19">
        <v>0.0</v>
      </c>
      <c r="Q64" s="19">
        <v>1.0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9">
        <v>3.0</v>
      </c>
      <c r="X64" s="19">
        <v>1.0</v>
      </c>
      <c r="Y64" s="19">
        <v>1.0</v>
      </c>
      <c r="Z64" s="19">
        <v>0.0</v>
      </c>
      <c r="AA64" s="19">
        <v>0.0</v>
      </c>
      <c r="AB64" s="19">
        <v>1.0</v>
      </c>
      <c r="AC64" s="19">
        <v>1.0</v>
      </c>
      <c r="AD64" s="19">
        <v>0.0</v>
      </c>
      <c r="AE64" s="19">
        <v>0.0</v>
      </c>
      <c r="AF64" s="19">
        <v>0.0</v>
      </c>
      <c r="AG64" s="19">
        <v>0.0</v>
      </c>
      <c r="AH64" s="19">
        <v>1.0</v>
      </c>
      <c r="AI64" s="19">
        <v>0.0</v>
      </c>
      <c r="AJ64" s="19">
        <v>2.0</v>
      </c>
      <c r="AK64" s="19">
        <v>0.0</v>
      </c>
      <c r="AL64" s="19">
        <v>0.0</v>
      </c>
      <c r="AM64" s="19">
        <v>0.0</v>
      </c>
      <c r="AN64" s="19">
        <v>0.0</v>
      </c>
      <c r="AO64" s="19">
        <v>0.0</v>
      </c>
      <c r="AP64" s="13">
        <f t="shared" si="16"/>
        <v>17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O67" si="17">SUM(E57:E64)</f>
        <v>24</v>
      </c>
      <c r="F67" s="13">
        <f t="shared" si="17"/>
        <v>21</v>
      </c>
      <c r="G67" s="13">
        <f t="shared" si="17"/>
        <v>18</v>
      </c>
      <c r="H67" s="13">
        <f t="shared" si="17"/>
        <v>14</v>
      </c>
      <c r="I67" s="13">
        <f t="shared" si="17"/>
        <v>10</v>
      </c>
      <c r="J67" s="13">
        <f t="shared" si="17"/>
        <v>23</v>
      </c>
      <c r="K67" s="13">
        <f t="shared" si="17"/>
        <v>13</v>
      </c>
      <c r="L67" s="13">
        <f t="shared" si="17"/>
        <v>13</v>
      </c>
      <c r="M67" s="13">
        <f t="shared" si="17"/>
        <v>24</v>
      </c>
      <c r="N67" s="13">
        <f t="shared" si="17"/>
        <v>9</v>
      </c>
      <c r="O67" s="13">
        <f t="shared" si="17"/>
        <v>21</v>
      </c>
      <c r="P67" s="13">
        <f t="shared" si="17"/>
        <v>13</v>
      </c>
      <c r="Q67" s="13">
        <f t="shared" si="17"/>
        <v>28</v>
      </c>
      <c r="R67" s="13">
        <f t="shared" si="17"/>
        <v>97</v>
      </c>
      <c r="S67" s="13">
        <f t="shared" si="17"/>
        <v>28</v>
      </c>
      <c r="T67" s="13">
        <f t="shared" si="17"/>
        <v>45</v>
      </c>
      <c r="U67" s="13">
        <f t="shared" si="17"/>
        <v>65</v>
      </c>
      <c r="V67" s="13">
        <f t="shared" si="17"/>
        <v>54</v>
      </c>
      <c r="W67" s="13">
        <f t="shared" si="17"/>
        <v>61</v>
      </c>
      <c r="X67" s="13">
        <f t="shared" si="17"/>
        <v>85</v>
      </c>
      <c r="Y67" s="13">
        <f t="shared" si="17"/>
        <v>113</v>
      </c>
      <c r="Z67" s="13">
        <f t="shared" si="17"/>
        <v>101</v>
      </c>
      <c r="AA67" s="13">
        <f t="shared" si="17"/>
        <v>50</v>
      </c>
      <c r="AB67" s="13">
        <f t="shared" si="17"/>
        <v>45</v>
      </c>
      <c r="AC67" s="13">
        <f t="shared" si="17"/>
        <v>30</v>
      </c>
      <c r="AD67" s="13">
        <f t="shared" si="17"/>
        <v>39</v>
      </c>
      <c r="AE67" s="13">
        <f t="shared" si="17"/>
        <v>15</v>
      </c>
      <c r="AF67" s="13">
        <f t="shared" si="17"/>
        <v>74</v>
      </c>
      <c r="AG67" s="13">
        <f t="shared" si="17"/>
        <v>88</v>
      </c>
      <c r="AH67" s="13">
        <f t="shared" si="17"/>
        <v>99</v>
      </c>
      <c r="AI67" s="13">
        <f t="shared" si="17"/>
        <v>98</v>
      </c>
      <c r="AJ67" s="13">
        <f t="shared" si="17"/>
        <v>15</v>
      </c>
      <c r="AK67" s="13">
        <f t="shared" si="17"/>
        <v>92</v>
      </c>
      <c r="AL67" s="13">
        <f t="shared" si="17"/>
        <v>13</v>
      </c>
      <c r="AM67" s="13">
        <f t="shared" si="17"/>
        <v>9</v>
      </c>
      <c r="AN67" s="13">
        <f t="shared" si="17"/>
        <v>12</v>
      </c>
      <c r="AO67" s="13">
        <f t="shared" si="17"/>
        <v>22</v>
      </c>
      <c r="AP67" s="13">
        <f t="shared" si="16"/>
        <v>1581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11.0</v>
      </c>
      <c r="G69" s="19">
        <v>4.0</v>
      </c>
      <c r="H69" s="19">
        <v>4.0</v>
      </c>
      <c r="I69" s="19">
        <v>6.0</v>
      </c>
      <c r="J69" s="19">
        <v>2.0</v>
      </c>
      <c r="K69" s="19">
        <v>5.0</v>
      </c>
      <c r="L69" s="19">
        <v>8.0</v>
      </c>
      <c r="M69" s="19">
        <v>1.0</v>
      </c>
      <c r="N69" s="19">
        <v>4.0</v>
      </c>
      <c r="O69" s="19">
        <v>5.0</v>
      </c>
      <c r="P69" s="19">
        <v>7.0</v>
      </c>
      <c r="Q69" s="19">
        <v>9.0</v>
      </c>
      <c r="R69" s="19">
        <v>2.0</v>
      </c>
      <c r="S69" s="19">
        <v>4.0</v>
      </c>
      <c r="T69" s="19">
        <v>7.0</v>
      </c>
      <c r="U69" s="19">
        <v>1.0</v>
      </c>
      <c r="V69" s="19">
        <v>6.0</v>
      </c>
      <c r="W69" s="19">
        <v>1.0</v>
      </c>
      <c r="X69" s="19">
        <v>6.0</v>
      </c>
      <c r="Y69" s="19">
        <v>3.0</v>
      </c>
      <c r="Z69" s="19">
        <v>0.0</v>
      </c>
      <c r="AA69" s="19">
        <v>7.0</v>
      </c>
      <c r="AB69" s="19">
        <v>8.0</v>
      </c>
      <c r="AC69" s="19">
        <v>6.0</v>
      </c>
      <c r="AD69" s="19">
        <v>2.0</v>
      </c>
      <c r="AE69" s="19">
        <v>4.0</v>
      </c>
      <c r="AF69" s="19">
        <v>5.0</v>
      </c>
      <c r="AG69" s="19">
        <v>7.0</v>
      </c>
      <c r="AH69" s="19">
        <v>1.0</v>
      </c>
      <c r="AI69" s="19">
        <v>3.0</v>
      </c>
      <c r="AJ69" s="19">
        <v>0.0</v>
      </c>
      <c r="AK69" s="19">
        <v>4.0</v>
      </c>
      <c r="AL69" s="19">
        <v>10.0</v>
      </c>
      <c r="AM69" s="19">
        <v>9.0</v>
      </c>
      <c r="AN69" s="19">
        <v>1.0</v>
      </c>
      <c r="AO69" s="19">
        <v>2.0</v>
      </c>
      <c r="AP69" s="13">
        <f t="shared" ref="AP69:AP79" si="18">SUM(E69:AO69)</f>
        <v>168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0.0</v>
      </c>
      <c r="F70" s="19">
        <v>4.0</v>
      </c>
      <c r="G70" s="19">
        <v>1.0</v>
      </c>
      <c r="H70" s="19">
        <v>6.0</v>
      </c>
      <c r="I70" s="19">
        <v>2.0</v>
      </c>
      <c r="J70" s="19">
        <v>5.0</v>
      </c>
      <c r="K70" s="19">
        <v>10.0</v>
      </c>
      <c r="L70" s="19">
        <v>3.0</v>
      </c>
      <c r="M70" s="19">
        <v>6.0</v>
      </c>
      <c r="N70" s="19">
        <v>7.0</v>
      </c>
      <c r="O70" s="19">
        <v>19.0</v>
      </c>
      <c r="P70" s="19">
        <v>14.0</v>
      </c>
      <c r="Q70" s="19">
        <v>5.0</v>
      </c>
      <c r="R70" s="19">
        <v>1.0</v>
      </c>
      <c r="S70" s="19">
        <v>9.0</v>
      </c>
      <c r="T70" s="19">
        <v>5.0</v>
      </c>
      <c r="U70" s="19">
        <v>7.0</v>
      </c>
      <c r="V70" s="19">
        <v>10.0</v>
      </c>
      <c r="W70" s="19">
        <v>3.0</v>
      </c>
      <c r="X70" s="19">
        <v>5.0</v>
      </c>
      <c r="Y70" s="19">
        <v>2.0</v>
      </c>
      <c r="Z70" s="19">
        <v>4.0</v>
      </c>
      <c r="AA70" s="19">
        <v>2.0</v>
      </c>
      <c r="AB70" s="19">
        <v>3.0</v>
      </c>
      <c r="AC70" s="19">
        <v>5.0</v>
      </c>
      <c r="AD70" s="19">
        <v>3.0</v>
      </c>
      <c r="AE70" s="19">
        <v>4.0</v>
      </c>
      <c r="AF70" s="19">
        <v>5.0</v>
      </c>
      <c r="AG70" s="19">
        <v>5.0</v>
      </c>
      <c r="AH70" s="19">
        <v>5.0</v>
      </c>
      <c r="AI70" s="19">
        <v>1.0</v>
      </c>
      <c r="AJ70" s="19">
        <v>1.0</v>
      </c>
      <c r="AK70" s="19">
        <v>5.0</v>
      </c>
      <c r="AL70" s="19">
        <v>4.0</v>
      </c>
      <c r="AM70" s="19">
        <v>9.0</v>
      </c>
      <c r="AN70" s="19">
        <v>5.0</v>
      </c>
      <c r="AO70" s="19">
        <v>0.0</v>
      </c>
      <c r="AP70" s="13">
        <f t="shared" si="18"/>
        <v>185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4.0</v>
      </c>
      <c r="G71" s="19">
        <v>1.0</v>
      </c>
      <c r="H71" s="19">
        <v>1.0</v>
      </c>
      <c r="I71" s="19">
        <v>2.0</v>
      </c>
      <c r="J71" s="19">
        <v>1.0</v>
      </c>
      <c r="K71" s="19">
        <v>2.0</v>
      </c>
      <c r="L71" s="19">
        <v>6.0</v>
      </c>
      <c r="M71" s="19">
        <v>1.0</v>
      </c>
      <c r="N71" s="19">
        <v>1.0</v>
      </c>
      <c r="O71" s="19">
        <v>5.0</v>
      </c>
      <c r="P71" s="19">
        <v>1.0</v>
      </c>
      <c r="Q71" s="19">
        <v>2.0</v>
      </c>
      <c r="R71" s="19">
        <v>4.0</v>
      </c>
      <c r="S71" s="19">
        <v>3.0</v>
      </c>
      <c r="T71" s="19">
        <v>1.0</v>
      </c>
      <c r="U71" s="19">
        <v>0.0</v>
      </c>
      <c r="V71" s="19">
        <v>2.0</v>
      </c>
      <c r="W71" s="19">
        <v>0.0</v>
      </c>
      <c r="X71" s="19">
        <v>3.0</v>
      </c>
      <c r="Y71" s="19">
        <v>1.0</v>
      </c>
      <c r="Z71" s="19">
        <v>0.0</v>
      </c>
      <c r="AA71" s="19">
        <v>1.0</v>
      </c>
      <c r="AB71" s="19">
        <v>4.0</v>
      </c>
      <c r="AC71" s="19">
        <v>1.0</v>
      </c>
      <c r="AD71" s="19">
        <v>1.0</v>
      </c>
      <c r="AE71" s="19">
        <v>5.0</v>
      </c>
      <c r="AF71" s="19">
        <v>3.0</v>
      </c>
      <c r="AG71" s="19">
        <v>1.0</v>
      </c>
      <c r="AH71" s="19">
        <v>3.0</v>
      </c>
      <c r="AI71" s="19">
        <v>1.0</v>
      </c>
      <c r="AJ71" s="19">
        <v>0.0</v>
      </c>
      <c r="AK71" s="19">
        <v>1.0</v>
      </c>
      <c r="AL71" s="19">
        <v>6.0</v>
      </c>
      <c r="AM71" s="19">
        <v>9.0</v>
      </c>
      <c r="AN71" s="19">
        <v>0.0</v>
      </c>
      <c r="AO71" s="19">
        <v>0.0</v>
      </c>
      <c r="AP71" s="13">
        <f t="shared" si="18"/>
        <v>78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1.0</v>
      </c>
      <c r="G72" s="19">
        <v>19.0</v>
      </c>
      <c r="H72" s="19">
        <v>2.0</v>
      </c>
      <c r="I72" s="19">
        <v>6.0</v>
      </c>
      <c r="J72" s="19">
        <v>35.0</v>
      </c>
      <c r="K72" s="19">
        <v>32.0</v>
      </c>
      <c r="L72" s="19">
        <v>86.0</v>
      </c>
      <c r="M72" s="19">
        <v>35.0</v>
      </c>
      <c r="N72" s="19">
        <v>52.0</v>
      </c>
      <c r="O72" s="19">
        <v>4.0</v>
      </c>
      <c r="P72" s="19">
        <v>51.0</v>
      </c>
      <c r="Q72" s="19">
        <v>39.0</v>
      </c>
      <c r="R72" s="19">
        <v>1.0</v>
      </c>
      <c r="S72" s="19">
        <v>0.0</v>
      </c>
      <c r="T72" s="19">
        <v>2.0</v>
      </c>
      <c r="U72" s="19">
        <v>0.0</v>
      </c>
      <c r="V72" s="19">
        <v>1.0</v>
      </c>
      <c r="W72" s="19">
        <v>5.0</v>
      </c>
      <c r="X72" s="19">
        <v>1.0</v>
      </c>
      <c r="Y72" s="19">
        <v>10.0</v>
      </c>
      <c r="Z72" s="19">
        <v>4.0</v>
      </c>
      <c r="AA72" s="19">
        <v>13.0</v>
      </c>
      <c r="AB72" s="19">
        <v>14.0</v>
      </c>
      <c r="AC72" s="19">
        <v>25.0</v>
      </c>
      <c r="AD72" s="19">
        <v>3.0</v>
      </c>
      <c r="AE72" s="19">
        <v>55.0</v>
      </c>
      <c r="AF72" s="19">
        <v>13.0</v>
      </c>
      <c r="AG72" s="19">
        <v>24.0</v>
      </c>
      <c r="AH72" s="19">
        <v>12.0</v>
      </c>
      <c r="AI72" s="19">
        <v>2.0</v>
      </c>
      <c r="AJ72" s="19">
        <v>0.0</v>
      </c>
      <c r="AK72" s="19">
        <v>1.0</v>
      </c>
      <c r="AL72" s="19">
        <v>13.0</v>
      </c>
      <c r="AM72" s="19">
        <v>15.0</v>
      </c>
      <c r="AN72" s="19">
        <v>6.0</v>
      </c>
      <c r="AO72" s="19">
        <v>0.0</v>
      </c>
      <c r="AP72" s="13">
        <f t="shared" si="18"/>
        <v>583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1.0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0.0</v>
      </c>
      <c r="N73" s="19">
        <v>0.0</v>
      </c>
      <c r="O73" s="19">
        <v>0.0</v>
      </c>
      <c r="P73" s="19">
        <v>2.0</v>
      </c>
      <c r="Q73" s="19">
        <v>0.0</v>
      </c>
      <c r="R73" s="19">
        <v>1.0</v>
      </c>
      <c r="S73" s="19">
        <v>1.0</v>
      </c>
      <c r="T73" s="19">
        <v>1.0</v>
      </c>
      <c r="U73" s="19">
        <v>1.0</v>
      </c>
      <c r="V73" s="19">
        <v>0.0</v>
      </c>
      <c r="W73" s="19">
        <v>0.0</v>
      </c>
      <c r="X73" s="19">
        <v>0.0</v>
      </c>
      <c r="Y73" s="19">
        <v>2.0</v>
      </c>
      <c r="Z73" s="19">
        <v>4.0</v>
      </c>
      <c r="AA73" s="19">
        <v>1.0</v>
      </c>
      <c r="AB73" s="19">
        <v>0.0</v>
      </c>
      <c r="AC73" s="19">
        <v>0.0</v>
      </c>
      <c r="AD73" s="19">
        <v>0.0</v>
      </c>
      <c r="AE73" s="19">
        <v>0.0</v>
      </c>
      <c r="AF73" s="19">
        <v>2.0</v>
      </c>
      <c r="AG73" s="19">
        <v>1.0</v>
      </c>
      <c r="AH73" s="19">
        <v>0.0</v>
      </c>
      <c r="AI73" s="19">
        <v>0.0</v>
      </c>
      <c r="AJ73" s="19">
        <v>0.0</v>
      </c>
      <c r="AK73" s="19">
        <v>0.0</v>
      </c>
      <c r="AL73" s="19">
        <v>2.0</v>
      </c>
      <c r="AM73" s="19">
        <v>0.0</v>
      </c>
      <c r="AN73" s="19">
        <v>0.0</v>
      </c>
      <c r="AO73" s="19">
        <v>0.0</v>
      </c>
      <c r="AP73" s="13">
        <f t="shared" si="18"/>
        <v>22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1.0</v>
      </c>
      <c r="G74" s="19">
        <v>0.0</v>
      </c>
      <c r="H74" s="19">
        <v>0.0</v>
      </c>
      <c r="I74" s="19">
        <v>0.0</v>
      </c>
      <c r="J74" s="19">
        <v>0.0</v>
      </c>
      <c r="K74" s="19">
        <v>1.0</v>
      </c>
      <c r="L74" s="19">
        <v>1.0</v>
      </c>
      <c r="M74" s="19">
        <v>1.0</v>
      </c>
      <c r="N74" s="19">
        <v>2.0</v>
      </c>
      <c r="O74" s="19">
        <v>3.0</v>
      </c>
      <c r="P74" s="19">
        <v>1.0</v>
      </c>
      <c r="Q74" s="19">
        <v>2.0</v>
      </c>
      <c r="R74" s="19">
        <v>0.0</v>
      </c>
      <c r="S74" s="19">
        <v>3.0</v>
      </c>
      <c r="T74" s="19">
        <v>1.0</v>
      </c>
      <c r="U74" s="19">
        <v>1.0</v>
      </c>
      <c r="V74" s="19">
        <v>2.0</v>
      </c>
      <c r="W74" s="19">
        <v>0.0</v>
      </c>
      <c r="X74" s="19">
        <v>0.0</v>
      </c>
      <c r="Y74" s="19">
        <v>3.0</v>
      </c>
      <c r="Z74" s="19">
        <v>2.0</v>
      </c>
      <c r="AA74" s="19">
        <v>1.0</v>
      </c>
      <c r="AB74" s="19">
        <v>0.0</v>
      </c>
      <c r="AC74" s="19">
        <v>3.0</v>
      </c>
      <c r="AD74" s="19">
        <v>1.0</v>
      </c>
      <c r="AE74" s="19">
        <v>0.0</v>
      </c>
      <c r="AF74" s="19">
        <v>0.0</v>
      </c>
      <c r="AG74" s="19">
        <v>1.0</v>
      </c>
      <c r="AH74" s="19">
        <v>0.0</v>
      </c>
      <c r="AI74" s="19">
        <v>1.0</v>
      </c>
      <c r="AJ74" s="19">
        <v>0.0</v>
      </c>
      <c r="AK74" s="19">
        <v>0.0</v>
      </c>
      <c r="AL74" s="19">
        <v>0.0</v>
      </c>
      <c r="AM74" s="19">
        <v>2.0</v>
      </c>
      <c r="AN74" s="19">
        <v>0.0</v>
      </c>
      <c r="AO74" s="19">
        <v>0.0</v>
      </c>
      <c r="AP74" s="13">
        <f t="shared" si="18"/>
        <v>35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9">
        <v>1.0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1.0</v>
      </c>
      <c r="AD75" s="19">
        <v>1.0</v>
      </c>
      <c r="AE75" s="19">
        <v>1.0</v>
      </c>
      <c r="AF75" s="19">
        <v>0.0</v>
      </c>
      <c r="AG75" s="19">
        <v>0.0</v>
      </c>
      <c r="AH75" s="19">
        <v>0.0</v>
      </c>
      <c r="AI75" s="19">
        <v>0.0</v>
      </c>
      <c r="AJ75" s="19">
        <v>1.0</v>
      </c>
      <c r="AK75" s="19">
        <v>1.0</v>
      </c>
      <c r="AL75" s="19">
        <v>0.0</v>
      </c>
      <c r="AM75" s="19">
        <v>1.0</v>
      </c>
      <c r="AN75" s="19">
        <v>0.0</v>
      </c>
      <c r="AO75" s="19">
        <v>1.0</v>
      </c>
      <c r="AP75" s="13">
        <f t="shared" si="18"/>
        <v>10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1.0</v>
      </c>
      <c r="H76" s="19">
        <v>2.0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1.0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9">
        <v>1.0</v>
      </c>
      <c r="Z76" s="19">
        <v>1.0</v>
      </c>
      <c r="AA76" s="19">
        <v>0.0</v>
      </c>
      <c r="AB76" s="19">
        <v>0.0</v>
      </c>
      <c r="AC76" s="19">
        <v>2.0</v>
      </c>
      <c r="AD76" s="19">
        <v>0.0</v>
      </c>
      <c r="AE76" s="19">
        <v>0.0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0.0</v>
      </c>
      <c r="AL76" s="19">
        <v>0.0</v>
      </c>
      <c r="AM76" s="19">
        <v>0.0</v>
      </c>
      <c r="AN76" s="19">
        <v>3.0</v>
      </c>
      <c r="AO76" s="19">
        <v>0.0</v>
      </c>
      <c r="AP76" s="13">
        <f t="shared" si="18"/>
        <v>14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O79" si="19">SUM(E69:E76)</f>
        <v>9</v>
      </c>
      <c r="F79" s="13">
        <f t="shared" si="19"/>
        <v>23</v>
      </c>
      <c r="G79" s="13">
        <f t="shared" si="19"/>
        <v>26</v>
      </c>
      <c r="H79" s="13">
        <f t="shared" si="19"/>
        <v>15</v>
      </c>
      <c r="I79" s="13">
        <f t="shared" si="19"/>
        <v>16</v>
      </c>
      <c r="J79" s="13">
        <f t="shared" si="19"/>
        <v>43</v>
      </c>
      <c r="K79" s="13">
        <f t="shared" si="19"/>
        <v>50</v>
      </c>
      <c r="L79" s="13">
        <f t="shared" si="19"/>
        <v>105</v>
      </c>
      <c r="M79" s="13">
        <f t="shared" si="19"/>
        <v>44</v>
      </c>
      <c r="N79" s="13">
        <f t="shared" si="19"/>
        <v>67</v>
      </c>
      <c r="O79" s="13">
        <f t="shared" si="19"/>
        <v>38</v>
      </c>
      <c r="P79" s="13">
        <f t="shared" si="19"/>
        <v>76</v>
      </c>
      <c r="Q79" s="13">
        <f t="shared" si="19"/>
        <v>58</v>
      </c>
      <c r="R79" s="13">
        <f t="shared" si="19"/>
        <v>9</v>
      </c>
      <c r="S79" s="13">
        <f t="shared" si="19"/>
        <v>20</v>
      </c>
      <c r="T79" s="13">
        <f t="shared" si="19"/>
        <v>18</v>
      </c>
      <c r="U79" s="13">
        <f t="shared" si="19"/>
        <v>10</v>
      </c>
      <c r="V79" s="13">
        <f t="shared" si="19"/>
        <v>22</v>
      </c>
      <c r="W79" s="13">
        <f t="shared" si="19"/>
        <v>9</v>
      </c>
      <c r="X79" s="13">
        <f t="shared" si="19"/>
        <v>15</v>
      </c>
      <c r="Y79" s="13">
        <f t="shared" si="19"/>
        <v>22</v>
      </c>
      <c r="Z79" s="13">
        <f t="shared" si="19"/>
        <v>15</v>
      </c>
      <c r="AA79" s="13">
        <f t="shared" si="19"/>
        <v>25</v>
      </c>
      <c r="AB79" s="13">
        <f t="shared" si="19"/>
        <v>29</v>
      </c>
      <c r="AC79" s="13">
        <f t="shared" si="19"/>
        <v>43</v>
      </c>
      <c r="AD79" s="13">
        <f t="shared" si="19"/>
        <v>11</v>
      </c>
      <c r="AE79" s="13">
        <f t="shared" si="19"/>
        <v>69</v>
      </c>
      <c r="AF79" s="13">
        <f t="shared" si="19"/>
        <v>28</v>
      </c>
      <c r="AG79" s="13">
        <f t="shared" si="19"/>
        <v>39</v>
      </c>
      <c r="AH79" s="13">
        <f t="shared" si="19"/>
        <v>21</v>
      </c>
      <c r="AI79" s="13">
        <f t="shared" si="19"/>
        <v>8</v>
      </c>
      <c r="AJ79" s="13">
        <f t="shared" si="19"/>
        <v>2</v>
      </c>
      <c r="AK79" s="13">
        <f t="shared" si="19"/>
        <v>12</v>
      </c>
      <c r="AL79" s="13">
        <f t="shared" si="19"/>
        <v>35</v>
      </c>
      <c r="AM79" s="13">
        <f t="shared" si="19"/>
        <v>45</v>
      </c>
      <c r="AN79" s="13">
        <f t="shared" si="19"/>
        <v>15</v>
      </c>
      <c r="AO79" s="13">
        <f t="shared" si="19"/>
        <v>3</v>
      </c>
      <c r="AP79" s="13">
        <f t="shared" si="18"/>
        <v>1095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0.0</v>
      </c>
      <c r="G81" s="19">
        <v>2.0</v>
      </c>
      <c r="H81" s="19">
        <v>7.0</v>
      </c>
      <c r="I81" s="19">
        <v>1.0</v>
      </c>
      <c r="J81" s="19">
        <v>0.0</v>
      </c>
      <c r="K81" s="19">
        <v>1.0</v>
      </c>
      <c r="L81" s="19">
        <v>2.0</v>
      </c>
      <c r="M81" s="19">
        <v>2.0</v>
      </c>
      <c r="N81" s="19">
        <v>2.0</v>
      </c>
      <c r="O81" s="19">
        <v>3.0</v>
      </c>
      <c r="P81" s="19">
        <v>1.0</v>
      </c>
      <c r="Q81" s="19">
        <v>4.0</v>
      </c>
      <c r="R81" s="19">
        <v>3.0</v>
      </c>
      <c r="S81" s="19">
        <v>9.0</v>
      </c>
      <c r="T81" s="19">
        <v>5.0</v>
      </c>
      <c r="U81" s="19">
        <v>1.0</v>
      </c>
      <c r="V81" s="19">
        <v>4.0</v>
      </c>
      <c r="W81" s="19">
        <v>3.0</v>
      </c>
      <c r="X81" s="19">
        <v>15.0</v>
      </c>
      <c r="Y81" s="19">
        <v>1.0</v>
      </c>
      <c r="Z81" s="19">
        <v>5.0</v>
      </c>
      <c r="AA81" s="19">
        <v>6.0</v>
      </c>
      <c r="AB81" s="19">
        <v>4.0</v>
      </c>
      <c r="AC81" s="19">
        <v>2.0</v>
      </c>
      <c r="AD81" s="19">
        <v>5.0</v>
      </c>
      <c r="AE81" s="19">
        <v>6.0</v>
      </c>
      <c r="AF81" s="19">
        <v>11.0</v>
      </c>
      <c r="AG81" s="19">
        <v>4.0</v>
      </c>
      <c r="AH81" s="19">
        <v>3.0</v>
      </c>
      <c r="AI81" s="19">
        <v>1.0</v>
      </c>
      <c r="AJ81" s="19">
        <v>3.0</v>
      </c>
      <c r="AK81" s="19">
        <v>6.0</v>
      </c>
      <c r="AL81" s="19">
        <v>8.0</v>
      </c>
      <c r="AM81" s="19">
        <v>9.0</v>
      </c>
      <c r="AN81" s="19">
        <v>9.0</v>
      </c>
      <c r="AO81" s="19">
        <v>10.0</v>
      </c>
      <c r="AP81" s="13">
        <f t="shared" ref="AP81:AP91" si="20">SUM(E81:AO81)</f>
        <v>160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2.0</v>
      </c>
      <c r="G82" s="19">
        <v>1.0</v>
      </c>
      <c r="H82" s="19">
        <v>7.0</v>
      </c>
      <c r="I82" s="19">
        <v>4.0</v>
      </c>
      <c r="J82" s="19">
        <v>3.0</v>
      </c>
      <c r="K82" s="19">
        <v>1.0</v>
      </c>
      <c r="L82" s="19">
        <v>0.0</v>
      </c>
      <c r="M82" s="19">
        <v>6.0</v>
      </c>
      <c r="N82" s="19">
        <v>1.0</v>
      </c>
      <c r="O82" s="19">
        <v>6.0</v>
      </c>
      <c r="P82" s="19">
        <v>1.0</v>
      </c>
      <c r="Q82" s="19">
        <v>6.0</v>
      </c>
      <c r="R82" s="19">
        <v>11.0</v>
      </c>
      <c r="S82" s="19">
        <v>12.0</v>
      </c>
      <c r="T82" s="19">
        <v>11.0</v>
      </c>
      <c r="U82" s="19">
        <v>4.0</v>
      </c>
      <c r="V82" s="19">
        <v>9.0</v>
      </c>
      <c r="W82" s="19">
        <v>3.0</v>
      </c>
      <c r="X82" s="19">
        <v>8.0</v>
      </c>
      <c r="Y82" s="19">
        <v>13.0</v>
      </c>
      <c r="Z82" s="19">
        <v>15.0</v>
      </c>
      <c r="AA82" s="19">
        <v>11.0</v>
      </c>
      <c r="AB82" s="19">
        <v>15.0</v>
      </c>
      <c r="AC82" s="19">
        <v>5.0</v>
      </c>
      <c r="AD82" s="19">
        <v>3.0</v>
      </c>
      <c r="AE82" s="19">
        <v>10.0</v>
      </c>
      <c r="AF82" s="19">
        <v>10.0</v>
      </c>
      <c r="AG82" s="19">
        <v>4.0</v>
      </c>
      <c r="AH82" s="19">
        <v>0.0</v>
      </c>
      <c r="AI82" s="19">
        <v>1.0</v>
      </c>
      <c r="AJ82" s="19">
        <v>120.0</v>
      </c>
      <c r="AK82" s="19">
        <v>6.0</v>
      </c>
      <c r="AL82" s="19">
        <v>3.0</v>
      </c>
      <c r="AM82" s="19">
        <v>1.0</v>
      </c>
      <c r="AN82" s="19">
        <v>15.0</v>
      </c>
      <c r="AO82" s="19">
        <v>25.0</v>
      </c>
      <c r="AP82" s="13">
        <f t="shared" si="20"/>
        <v>357</v>
      </c>
    </row>
    <row r="83" ht="12.75" customHeight="1">
      <c r="A83" s="18"/>
      <c r="B83" s="55">
        <v>2.0</v>
      </c>
      <c r="C83" s="50" t="s">
        <v>66</v>
      </c>
      <c r="D83" s="57"/>
      <c r="E83" s="19">
        <v>6.0</v>
      </c>
      <c r="F83" s="19">
        <v>0.0</v>
      </c>
      <c r="G83" s="19">
        <v>1.0</v>
      </c>
      <c r="H83" s="19">
        <v>8.0</v>
      </c>
      <c r="I83" s="19">
        <v>1.0</v>
      </c>
      <c r="J83" s="19">
        <v>0.0</v>
      </c>
      <c r="K83" s="19">
        <v>1.0</v>
      </c>
      <c r="L83" s="19">
        <v>1.0</v>
      </c>
      <c r="M83" s="19">
        <v>1.0</v>
      </c>
      <c r="N83" s="19">
        <v>0.0</v>
      </c>
      <c r="O83" s="19">
        <v>1.0</v>
      </c>
      <c r="P83" s="19">
        <v>2.0</v>
      </c>
      <c r="Q83" s="19">
        <v>5.0</v>
      </c>
      <c r="R83" s="19">
        <v>2.0</v>
      </c>
      <c r="S83" s="19">
        <v>5.0</v>
      </c>
      <c r="T83" s="19">
        <v>2.0</v>
      </c>
      <c r="U83" s="19">
        <v>0.0</v>
      </c>
      <c r="V83" s="19">
        <v>6.0</v>
      </c>
      <c r="W83" s="19">
        <v>2.0</v>
      </c>
      <c r="X83" s="19">
        <v>0.0</v>
      </c>
      <c r="Y83" s="19">
        <v>6.0</v>
      </c>
      <c r="Z83" s="19">
        <v>1.0</v>
      </c>
      <c r="AA83" s="19">
        <v>4.0</v>
      </c>
      <c r="AB83" s="19">
        <v>9.0</v>
      </c>
      <c r="AC83" s="19">
        <v>1.0</v>
      </c>
      <c r="AD83" s="19">
        <v>1.0</v>
      </c>
      <c r="AE83" s="19">
        <v>3.0</v>
      </c>
      <c r="AF83" s="19">
        <v>3.0</v>
      </c>
      <c r="AG83" s="19">
        <v>2.0</v>
      </c>
      <c r="AH83" s="19">
        <v>0.0</v>
      </c>
      <c r="AI83" s="19">
        <v>1.0</v>
      </c>
      <c r="AJ83" s="19">
        <v>3.0</v>
      </c>
      <c r="AK83" s="19">
        <v>4.0</v>
      </c>
      <c r="AL83" s="19">
        <v>0.0</v>
      </c>
      <c r="AM83" s="19">
        <v>3.0</v>
      </c>
      <c r="AN83" s="19">
        <v>4.0</v>
      </c>
      <c r="AO83" s="19">
        <v>3.0</v>
      </c>
      <c r="AP83" s="13">
        <f t="shared" si="20"/>
        <v>92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2.0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2.0</v>
      </c>
      <c r="Q84" s="19">
        <v>0.0</v>
      </c>
      <c r="R84" s="19">
        <v>1.0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2.0</v>
      </c>
      <c r="Z84" s="19">
        <v>0.0</v>
      </c>
      <c r="AA84" s="19">
        <v>1.0</v>
      </c>
      <c r="AB84" s="19">
        <v>0.0</v>
      </c>
      <c r="AC84" s="19">
        <v>0.0</v>
      </c>
      <c r="AD84" s="19">
        <v>1.0</v>
      </c>
      <c r="AE84" s="19">
        <v>2.0</v>
      </c>
      <c r="AF84" s="19">
        <v>2.0</v>
      </c>
      <c r="AG84" s="19">
        <v>0.0</v>
      </c>
      <c r="AH84" s="19">
        <v>0.0</v>
      </c>
      <c r="AI84" s="19">
        <v>0.0</v>
      </c>
      <c r="AJ84" s="19">
        <v>0.0</v>
      </c>
      <c r="AK84" s="19">
        <v>0.0</v>
      </c>
      <c r="AL84" s="19">
        <v>0.0</v>
      </c>
      <c r="AM84" s="19">
        <v>1.0</v>
      </c>
      <c r="AN84" s="19">
        <v>1.0</v>
      </c>
      <c r="AO84" s="19">
        <v>1.0</v>
      </c>
      <c r="AP84" s="13">
        <f t="shared" si="20"/>
        <v>18</v>
      </c>
    </row>
    <row r="85" ht="12.75" customHeight="1">
      <c r="A85" s="18"/>
      <c r="B85" s="55">
        <v>4.0</v>
      </c>
      <c r="C85" s="50" t="s">
        <v>68</v>
      </c>
      <c r="D85" s="57"/>
      <c r="E85" s="19">
        <v>20.0</v>
      </c>
      <c r="F85" s="19">
        <v>0.0</v>
      </c>
      <c r="G85" s="19">
        <v>1.0</v>
      </c>
      <c r="H85" s="19">
        <v>1.0</v>
      </c>
      <c r="I85" s="19">
        <v>0.0</v>
      </c>
      <c r="J85" s="19">
        <v>1.0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9">
        <v>0.0</v>
      </c>
      <c r="X85" s="19">
        <v>1.0</v>
      </c>
      <c r="Y85" s="19">
        <v>0.0</v>
      </c>
      <c r="Z85" s="19">
        <v>0.0</v>
      </c>
      <c r="AA85" s="19">
        <v>1.0</v>
      </c>
      <c r="AB85" s="19">
        <v>1.0</v>
      </c>
      <c r="AC85" s="19">
        <v>1.0</v>
      </c>
      <c r="AD85" s="19">
        <v>0.0</v>
      </c>
      <c r="AE85" s="19">
        <v>0.0</v>
      </c>
      <c r="AF85" s="19">
        <v>1.0</v>
      </c>
      <c r="AG85" s="19">
        <v>0.0</v>
      </c>
      <c r="AH85" s="19">
        <v>2.0</v>
      </c>
      <c r="AI85" s="19">
        <v>1.0</v>
      </c>
      <c r="AJ85" s="19">
        <v>1.0</v>
      </c>
      <c r="AK85" s="19">
        <v>2.0</v>
      </c>
      <c r="AL85" s="19">
        <v>0.0</v>
      </c>
      <c r="AM85" s="19">
        <v>0.0</v>
      </c>
      <c r="AN85" s="19">
        <v>1.0</v>
      </c>
      <c r="AO85" s="19">
        <v>0.0</v>
      </c>
      <c r="AP85" s="13">
        <f t="shared" si="20"/>
        <v>38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1.0</v>
      </c>
      <c r="H86" s="19">
        <v>1.0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0.0</v>
      </c>
      <c r="Q86" s="19">
        <v>1.0</v>
      </c>
      <c r="R86" s="19">
        <v>0.0</v>
      </c>
      <c r="S86" s="19">
        <v>2.0</v>
      </c>
      <c r="T86" s="19">
        <v>0.0</v>
      </c>
      <c r="U86" s="19">
        <v>0.0</v>
      </c>
      <c r="V86" s="19">
        <v>0.0</v>
      </c>
      <c r="W86" s="19">
        <v>0.0</v>
      </c>
      <c r="X86" s="19">
        <v>2.0</v>
      </c>
      <c r="Y86" s="19">
        <v>0.0</v>
      </c>
      <c r="Z86" s="19">
        <v>1.0</v>
      </c>
      <c r="AA86" s="19">
        <v>1.0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1.0</v>
      </c>
      <c r="AH86" s="19">
        <v>1.0</v>
      </c>
      <c r="AI86" s="19">
        <v>0.0</v>
      </c>
      <c r="AJ86" s="19">
        <v>0.0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3">
        <f t="shared" si="20"/>
        <v>13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1.0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1.0</v>
      </c>
      <c r="AE88" s="19">
        <v>1.0</v>
      </c>
      <c r="AF88" s="19">
        <v>0.0</v>
      </c>
      <c r="AG88" s="19">
        <v>0.0</v>
      </c>
      <c r="AH88" s="19">
        <v>0.0</v>
      </c>
      <c r="AI88" s="19">
        <v>1.0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3">
        <f t="shared" si="20"/>
        <v>6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O91" si="21">SUM(E81:E88)</f>
        <v>33</v>
      </c>
      <c r="F91" s="13">
        <f t="shared" si="21"/>
        <v>2</v>
      </c>
      <c r="G91" s="13">
        <f t="shared" si="21"/>
        <v>6</v>
      </c>
      <c r="H91" s="13">
        <f t="shared" si="21"/>
        <v>26</v>
      </c>
      <c r="I91" s="13">
        <f t="shared" si="21"/>
        <v>6</v>
      </c>
      <c r="J91" s="13">
        <f t="shared" si="21"/>
        <v>5</v>
      </c>
      <c r="K91" s="13">
        <f t="shared" si="21"/>
        <v>4</v>
      </c>
      <c r="L91" s="13">
        <f t="shared" si="21"/>
        <v>3</v>
      </c>
      <c r="M91" s="13">
        <f t="shared" si="21"/>
        <v>9</v>
      </c>
      <c r="N91" s="13">
        <f t="shared" si="21"/>
        <v>3</v>
      </c>
      <c r="O91" s="13">
        <f t="shared" si="21"/>
        <v>13</v>
      </c>
      <c r="P91" s="13">
        <f t="shared" si="21"/>
        <v>6</v>
      </c>
      <c r="Q91" s="13">
        <f t="shared" si="21"/>
        <v>16</v>
      </c>
      <c r="R91" s="13">
        <f t="shared" si="21"/>
        <v>17</v>
      </c>
      <c r="S91" s="13">
        <f t="shared" si="21"/>
        <v>29</v>
      </c>
      <c r="T91" s="13">
        <f t="shared" si="21"/>
        <v>18</v>
      </c>
      <c r="U91" s="13">
        <f t="shared" si="21"/>
        <v>6</v>
      </c>
      <c r="V91" s="13">
        <f t="shared" si="21"/>
        <v>20</v>
      </c>
      <c r="W91" s="13">
        <f t="shared" si="21"/>
        <v>8</v>
      </c>
      <c r="X91" s="13">
        <f t="shared" si="21"/>
        <v>27</v>
      </c>
      <c r="Y91" s="13">
        <f t="shared" si="21"/>
        <v>22</v>
      </c>
      <c r="Z91" s="13">
        <f t="shared" si="21"/>
        <v>22</v>
      </c>
      <c r="AA91" s="13">
        <f t="shared" si="21"/>
        <v>24</v>
      </c>
      <c r="AB91" s="13">
        <f t="shared" si="21"/>
        <v>29</v>
      </c>
      <c r="AC91" s="13">
        <f t="shared" si="21"/>
        <v>9</v>
      </c>
      <c r="AD91" s="13">
        <f t="shared" si="21"/>
        <v>12</v>
      </c>
      <c r="AE91" s="13">
        <f t="shared" si="21"/>
        <v>22</v>
      </c>
      <c r="AF91" s="13">
        <f t="shared" si="21"/>
        <v>28</v>
      </c>
      <c r="AG91" s="13">
        <f t="shared" si="21"/>
        <v>11</v>
      </c>
      <c r="AH91" s="13">
        <f t="shared" si="21"/>
        <v>6</v>
      </c>
      <c r="AI91" s="13">
        <f t="shared" si="21"/>
        <v>5</v>
      </c>
      <c r="AJ91" s="13">
        <f t="shared" si="21"/>
        <v>127</v>
      </c>
      <c r="AK91" s="13">
        <f t="shared" si="21"/>
        <v>18</v>
      </c>
      <c r="AL91" s="13">
        <f t="shared" si="21"/>
        <v>11</v>
      </c>
      <c r="AM91" s="13">
        <f t="shared" si="21"/>
        <v>14</v>
      </c>
      <c r="AN91" s="13">
        <f t="shared" si="21"/>
        <v>30</v>
      </c>
      <c r="AO91" s="13">
        <f t="shared" si="21"/>
        <v>39</v>
      </c>
      <c r="AP91" s="13">
        <f t="shared" si="20"/>
        <v>686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5.0</v>
      </c>
      <c r="F93" s="19">
        <v>3.0</v>
      </c>
      <c r="G93" s="19">
        <v>1.0</v>
      </c>
      <c r="H93" s="19">
        <v>0.0</v>
      </c>
      <c r="I93" s="19">
        <v>0.0</v>
      </c>
      <c r="J93" s="19">
        <v>0.0</v>
      </c>
      <c r="K93" s="19">
        <v>0.0</v>
      </c>
      <c r="L93" s="19">
        <v>4.0</v>
      </c>
      <c r="M93" s="19">
        <v>2.0</v>
      </c>
      <c r="N93" s="19">
        <v>0.0</v>
      </c>
      <c r="O93" s="19">
        <v>4.0</v>
      </c>
      <c r="P93" s="19">
        <v>1.0</v>
      </c>
      <c r="Q93" s="19">
        <v>0.0</v>
      </c>
      <c r="R93" s="19">
        <v>1.0</v>
      </c>
      <c r="S93" s="19">
        <v>1.0</v>
      </c>
      <c r="T93" s="19">
        <v>6.0</v>
      </c>
      <c r="U93" s="19">
        <v>0.0</v>
      </c>
      <c r="V93" s="19">
        <v>0.0</v>
      </c>
      <c r="W93" s="19">
        <v>1.0</v>
      </c>
      <c r="X93" s="19">
        <v>1.0</v>
      </c>
      <c r="Y93" s="19">
        <v>0.0</v>
      </c>
      <c r="Z93" s="19">
        <v>1.0</v>
      </c>
      <c r="AA93" s="19">
        <v>1.0</v>
      </c>
      <c r="AB93" s="19">
        <v>1.0</v>
      </c>
      <c r="AC93" s="19">
        <v>0.0</v>
      </c>
      <c r="AD93" s="19">
        <v>1.0</v>
      </c>
      <c r="AE93" s="19">
        <v>1.0</v>
      </c>
      <c r="AF93" s="19">
        <v>0.0</v>
      </c>
      <c r="AG93" s="19">
        <v>2.0</v>
      </c>
      <c r="AH93" s="19">
        <v>0.0</v>
      </c>
      <c r="AI93" s="19"/>
      <c r="AJ93" s="19">
        <v>2.0</v>
      </c>
      <c r="AK93" s="19">
        <v>1.0</v>
      </c>
      <c r="AL93" s="19">
        <v>4.0</v>
      </c>
      <c r="AM93" s="19">
        <v>1.0</v>
      </c>
      <c r="AN93" s="19"/>
      <c r="AO93" s="19">
        <v>3.0</v>
      </c>
      <c r="AP93" s="13">
        <f t="shared" ref="AP93:AP103" si="22">SUM(E93:AO93)</f>
        <v>48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3.0</v>
      </c>
      <c r="F94" s="19">
        <v>2.0</v>
      </c>
      <c r="G94" s="19">
        <v>8.0</v>
      </c>
      <c r="H94" s="19">
        <v>2.0</v>
      </c>
      <c r="I94" s="19">
        <v>18.0</v>
      </c>
      <c r="J94" s="19">
        <v>4.0</v>
      </c>
      <c r="K94" s="19">
        <v>2.0</v>
      </c>
      <c r="L94" s="19">
        <v>6.0</v>
      </c>
      <c r="M94" s="19">
        <v>2.0</v>
      </c>
      <c r="N94" s="19">
        <v>2.0</v>
      </c>
      <c r="O94" s="19">
        <v>1.0</v>
      </c>
      <c r="P94" s="19">
        <v>4.0</v>
      </c>
      <c r="Q94" s="19">
        <v>4.0</v>
      </c>
      <c r="R94" s="19">
        <v>2.0</v>
      </c>
      <c r="S94" s="19">
        <v>2.0</v>
      </c>
      <c r="T94" s="19">
        <v>4.0</v>
      </c>
      <c r="U94" s="19">
        <v>1.0</v>
      </c>
      <c r="V94" s="19">
        <v>9.0</v>
      </c>
      <c r="W94" s="19">
        <v>3.0</v>
      </c>
      <c r="X94" s="19">
        <v>4.0</v>
      </c>
      <c r="Y94" s="19">
        <v>11.0</v>
      </c>
      <c r="Z94" s="19">
        <v>10.0</v>
      </c>
      <c r="AA94" s="19">
        <v>2.0</v>
      </c>
      <c r="AB94" s="19">
        <v>2.0</v>
      </c>
      <c r="AC94" s="19">
        <v>5.0</v>
      </c>
      <c r="AD94" s="19">
        <v>20.0</v>
      </c>
      <c r="AE94" s="19">
        <v>2.0</v>
      </c>
      <c r="AF94" s="19">
        <v>0.0</v>
      </c>
      <c r="AG94" s="19">
        <v>0.0</v>
      </c>
      <c r="AH94" s="19">
        <v>2.0</v>
      </c>
      <c r="AI94" s="19">
        <v>1.0</v>
      </c>
      <c r="AJ94" s="19"/>
      <c r="AK94" s="19"/>
      <c r="AL94" s="19"/>
      <c r="AM94" s="19"/>
      <c r="AN94" s="19"/>
      <c r="AO94" s="19">
        <v>1.0</v>
      </c>
      <c r="AP94" s="13">
        <f t="shared" si="22"/>
        <v>139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2.0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1.0</v>
      </c>
      <c r="R95" s="19">
        <v>0.0</v>
      </c>
      <c r="S95" s="19">
        <v>2.0</v>
      </c>
      <c r="T95" s="19">
        <v>1.0</v>
      </c>
      <c r="U95" s="19">
        <v>2.0</v>
      </c>
      <c r="V95" s="19">
        <v>0.0</v>
      </c>
      <c r="W95" s="19">
        <v>0.0</v>
      </c>
      <c r="X95" s="19">
        <v>0.0</v>
      </c>
      <c r="Y95" s="19">
        <v>0.0</v>
      </c>
      <c r="Z95" s="19">
        <v>1.0</v>
      </c>
      <c r="AA95" s="19">
        <v>0.0</v>
      </c>
      <c r="AB95" s="19">
        <v>0.0</v>
      </c>
      <c r="AC95" s="19">
        <v>0.0</v>
      </c>
      <c r="AD95" s="19">
        <v>1.0</v>
      </c>
      <c r="AE95" s="19">
        <v>1.0</v>
      </c>
      <c r="AF95" s="19">
        <v>0.0</v>
      </c>
      <c r="AG95" s="19">
        <v>0.0</v>
      </c>
      <c r="AH95" s="19">
        <v>0.0</v>
      </c>
      <c r="AI95" s="19">
        <v>1.0</v>
      </c>
      <c r="AJ95" s="19"/>
      <c r="AK95" s="19"/>
      <c r="AL95" s="19"/>
      <c r="AM95" s="19"/>
      <c r="AN95" s="19">
        <v>4.0</v>
      </c>
      <c r="AO95" s="19">
        <v>1.0</v>
      </c>
      <c r="AP95" s="13">
        <f t="shared" si="22"/>
        <v>19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/>
      <c r="AJ96" s="19">
        <v>1.0</v>
      </c>
      <c r="AK96" s="19"/>
      <c r="AL96" s="19"/>
      <c r="AM96" s="19"/>
      <c r="AN96" s="19"/>
      <c r="AO96" s="19"/>
      <c r="AP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4.0</v>
      </c>
      <c r="M97" s="19">
        <v>0.0</v>
      </c>
      <c r="N97" s="19">
        <v>0.0</v>
      </c>
      <c r="O97" s="19">
        <v>0.0</v>
      </c>
      <c r="P97" s="19">
        <v>0.0</v>
      </c>
      <c r="Q97" s="19">
        <v>2.0</v>
      </c>
      <c r="R97" s="19">
        <v>0.0</v>
      </c>
      <c r="S97" s="19">
        <v>1.0</v>
      </c>
      <c r="T97" s="19">
        <v>1.0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2.0</v>
      </c>
      <c r="AA97" s="19">
        <v>0.0</v>
      </c>
      <c r="AB97" s="19">
        <v>0.0</v>
      </c>
      <c r="AC97" s="19">
        <v>4.0</v>
      </c>
      <c r="AD97" s="19">
        <v>0.0</v>
      </c>
      <c r="AE97" s="19">
        <v>0.0</v>
      </c>
      <c r="AF97" s="19">
        <v>1.0</v>
      </c>
      <c r="AG97" s="19">
        <v>0.0</v>
      </c>
      <c r="AH97" s="19">
        <v>0.0</v>
      </c>
      <c r="AI97" s="19"/>
      <c r="AJ97" s="19">
        <v>2.0</v>
      </c>
      <c r="AK97" s="19">
        <v>1.0</v>
      </c>
      <c r="AL97" s="19"/>
      <c r="AM97" s="19"/>
      <c r="AN97" s="19">
        <v>1.0</v>
      </c>
      <c r="AO97" s="19"/>
      <c r="AP97" s="13">
        <f t="shared" si="22"/>
        <v>22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2.0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2.0</v>
      </c>
      <c r="T98" s="19">
        <v>0.0</v>
      </c>
      <c r="U98" s="19">
        <v>0.0</v>
      </c>
      <c r="V98" s="19">
        <v>0.0</v>
      </c>
      <c r="W98" s="19">
        <v>1.0</v>
      </c>
      <c r="X98" s="19">
        <v>1.0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/>
      <c r="AJ98" s="19">
        <v>1.0</v>
      </c>
      <c r="AK98" s="19">
        <v>1.0</v>
      </c>
      <c r="AL98" s="19"/>
      <c r="AM98" s="19">
        <v>1.0</v>
      </c>
      <c r="AN98" s="19">
        <v>1.0</v>
      </c>
      <c r="AO98" s="19"/>
      <c r="AP98" s="13">
        <f t="shared" si="22"/>
        <v>11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1.0</v>
      </c>
      <c r="S99" s="19">
        <v>1.0</v>
      </c>
      <c r="T99" s="19">
        <v>1.0</v>
      </c>
      <c r="U99" s="19">
        <v>1.0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1.0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/>
      <c r="AJ99" s="19"/>
      <c r="AK99" s="19"/>
      <c r="AL99" s="19"/>
      <c r="AM99" s="19"/>
      <c r="AN99" s="19"/>
      <c r="AO99" s="19"/>
      <c r="AP99" s="13">
        <f t="shared" si="22"/>
        <v>7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0.0</v>
      </c>
      <c r="G100" s="19">
        <v>0.0</v>
      </c>
      <c r="H100" s="19">
        <v>1.0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2.0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1.0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/>
      <c r="AJ100" s="19"/>
      <c r="AK100" s="19"/>
      <c r="AL100" s="19"/>
      <c r="AM100" s="19"/>
      <c r="AN100" s="19"/>
      <c r="AO100" s="19"/>
      <c r="AP100" s="13">
        <f t="shared" si="22"/>
        <v>7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O103" si="23">SUM(E93:E100)</f>
        <v>10</v>
      </c>
      <c r="F103" s="13">
        <f t="shared" si="23"/>
        <v>7</v>
      </c>
      <c r="G103" s="13">
        <f t="shared" si="23"/>
        <v>10</v>
      </c>
      <c r="H103" s="13">
        <f t="shared" si="23"/>
        <v>5</v>
      </c>
      <c r="I103" s="13">
        <f t="shared" si="23"/>
        <v>19</v>
      </c>
      <c r="J103" s="13">
        <f t="shared" si="23"/>
        <v>4</v>
      </c>
      <c r="K103" s="13">
        <f t="shared" si="23"/>
        <v>2</v>
      </c>
      <c r="L103" s="13">
        <f t="shared" si="23"/>
        <v>17</v>
      </c>
      <c r="M103" s="13">
        <f t="shared" si="23"/>
        <v>4</v>
      </c>
      <c r="N103" s="13">
        <f t="shared" si="23"/>
        <v>3</v>
      </c>
      <c r="O103" s="13">
        <f t="shared" si="23"/>
        <v>6</v>
      </c>
      <c r="P103" s="13">
        <f t="shared" si="23"/>
        <v>6</v>
      </c>
      <c r="Q103" s="13">
        <f t="shared" si="23"/>
        <v>7</v>
      </c>
      <c r="R103" s="13">
        <f t="shared" si="23"/>
        <v>5</v>
      </c>
      <c r="S103" s="13">
        <f t="shared" si="23"/>
        <v>11</v>
      </c>
      <c r="T103" s="13">
        <f t="shared" si="23"/>
        <v>15</v>
      </c>
      <c r="U103" s="13">
        <f t="shared" si="23"/>
        <v>5</v>
      </c>
      <c r="V103" s="13">
        <f t="shared" si="23"/>
        <v>9</v>
      </c>
      <c r="W103" s="13">
        <f t="shared" si="23"/>
        <v>5</v>
      </c>
      <c r="X103" s="13">
        <f t="shared" si="23"/>
        <v>6</v>
      </c>
      <c r="Y103" s="13">
        <f t="shared" si="23"/>
        <v>11</v>
      </c>
      <c r="Z103" s="13">
        <f t="shared" si="23"/>
        <v>14</v>
      </c>
      <c r="AA103" s="13">
        <f t="shared" si="23"/>
        <v>4</v>
      </c>
      <c r="AB103" s="13">
        <f t="shared" si="23"/>
        <v>3</v>
      </c>
      <c r="AC103" s="13">
        <f t="shared" si="23"/>
        <v>10</v>
      </c>
      <c r="AD103" s="13">
        <f t="shared" si="23"/>
        <v>22</v>
      </c>
      <c r="AE103" s="13">
        <f t="shared" si="23"/>
        <v>4</v>
      </c>
      <c r="AF103" s="13">
        <f t="shared" si="23"/>
        <v>2</v>
      </c>
      <c r="AG103" s="13">
        <f t="shared" si="23"/>
        <v>2</v>
      </c>
      <c r="AH103" s="13">
        <f t="shared" si="23"/>
        <v>2</v>
      </c>
      <c r="AI103" s="13">
        <f t="shared" si="23"/>
        <v>2</v>
      </c>
      <c r="AJ103" s="13">
        <f t="shared" si="23"/>
        <v>6</v>
      </c>
      <c r="AK103" s="13">
        <f t="shared" si="23"/>
        <v>3</v>
      </c>
      <c r="AL103" s="13">
        <f t="shared" si="23"/>
        <v>4</v>
      </c>
      <c r="AM103" s="13">
        <f t="shared" si="23"/>
        <v>2</v>
      </c>
      <c r="AN103" s="13">
        <f t="shared" si="23"/>
        <v>6</v>
      </c>
      <c r="AO103" s="13">
        <f t="shared" si="23"/>
        <v>5</v>
      </c>
      <c r="AP103" s="13">
        <f t="shared" si="22"/>
        <v>258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1.0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1.0</v>
      </c>
      <c r="AD105" s="19">
        <v>0.0</v>
      </c>
      <c r="AE105" s="19">
        <v>1.0</v>
      </c>
      <c r="AF105" s="19">
        <v>0.0</v>
      </c>
      <c r="AG105" s="19">
        <v>1.0</v>
      </c>
      <c r="AH105" s="19">
        <v>0.0</v>
      </c>
      <c r="AI105" s="19"/>
      <c r="AJ105" s="19"/>
      <c r="AK105" s="19"/>
      <c r="AL105" s="19"/>
      <c r="AM105" s="19"/>
      <c r="AN105" s="19"/>
      <c r="AO105" s="19"/>
      <c r="AP105" s="13">
        <f t="shared" ref="AP105:AP115" si="24">SUM(E105:AO105)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0.0</v>
      </c>
      <c r="AG106" s="19">
        <v>0.0</v>
      </c>
      <c r="AH106" s="19">
        <v>0.0</v>
      </c>
      <c r="AI106" s="19"/>
      <c r="AJ106" s="19"/>
      <c r="AK106" s="19"/>
      <c r="AL106" s="19"/>
      <c r="AM106" s="19"/>
      <c r="AN106" s="19"/>
      <c r="AO106" s="19"/>
      <c r="AP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/>
      <c r="AJ107" s="19"/>
      <c r="AK107" s="19">
        <v>1.0</v>
      </c>
      <c r="AL107" s="19">
        <v>1.0</v>
      </c>
      <c r="AM107" s="19"/>
      <c r="AN107" s="19"/>
      <c r="AO107" s="19"/>
      <c r="AP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1.0</v>
      </c>
      <c r="Y108" s="19">
        <v>1.0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/>
      <c r="AJ108" s="19"/>
      <c r="AK108" s="19"/>
      <c r="AL108" s="19"/>
      <c r="AM108" s="19"/>
      <c r="AN108" s="19"/>
      <c r="AO108" s="19"/>
      <c r="AP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1.0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1.0</v>
      </c>
      <c r="AG109" s="19">
        <v>0.0</v>
      </c>
      <c r="AH109" s="19">
        <v>0.0</v>
      </c>
      <c r="AI109" s="19"/>
      <c r="AJ109" s="19">
        <v>1.0</v>
      </c>
      <c r="AK109" s="19"/>
      <c r="AL109" s="19">
        <v>1.0</v>
      </c>
      <c r="AM109" s="19"/>
      <c r="AN109" s="19"/>
      <c r="AO109" s="19"/>
      <c r="AP109" s="13">
        <f t="shared" si="24"/>
        <v>4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/>
      <c r="AJ110" s="19"/>
      <c r="AK110" s="19"/>
      <c r="AL110" s="19"/>
      <c r="AM110" s="19"/>
      <c r="AN110" s="19"/>
      <c r="AO110" s="19"/>
      <c r="AP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/>
      <c r="AJ111" s="19"/>
      <c r="AK111" s="19"/>
      <c r="AL111" s="19"/>
      <c r="AM111" s="19"/>
      <c r="AN111" s="19"/>
      <c r="AO111" s="19"/>
      <c r="AP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1.0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/>
      <c r="AJ112" s="19"/>
      <c r="AK112" s="19"/>
      <c r="AL112" s="19"/>
      <c r="AM112" s="19"/>
      <c r="AN112" s="19"/>
      <c r="AO112" s="19"/>
      <c r="AP112" s="13">
        <f t="shared" si="24"/>
        <v>1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O115" si="25">SUM(E105:E112)</f>
        <v>2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2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2</v>
      </c>
      <c r="AD115" s="13">
        <f t="shared" si="25"/>
        <v>1</v>
      </c>
      <c r="AE115" s="13">
        <f t="shared" si="25"/>
        <v>1</v>
      </c>
      <c r="AF115" s="13">
        <f t="shared" si="25"/>
        <v>1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1</v>
      </c>
      <c r="AK115" s="13">
        <f t="shared" si="25"/>
        <v>1</v>
      </c>
      <c r="AL115" s="13">
        <f t="shared" si="25"/>
        <v>2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4"/>
        <v>23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2.0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2.0</v>
      </c>
      <c r="T117" s="19">
        <v>2.0</v>
      </c>
      <c r="U117" s="19">
        <v>1.0</v>
      </c>
      <c r="V117" s="19">
        <v>0.0</v>
      </c>
      <c r="W117" s="19">
        <v>2.0</v>
      </c>
      <c r="X117" s="19">
        <v>1.0</v>
      </c>
      <c r="Y117" s="19">
        <v>0.0</v>
      </c>
      <c r="Z117" s="19">
        <v>0.0</v>
      </c>
      <c r="AA117" s="19">
        <v>1.0</v>
      </c>
      <c r="AB117" s="19">
        <v>1.0</v>
      </c>
      <c r="AC117" s="19">
        <v>0.0</v>
      </c>
      <c r="AD117" s="19">
        <v>0.0</v>
      </c>
      <c r="AE117" s="19">
        <v>4.0</v>
      </c>
      <c r="AF117" s="19">
        <v>0.0</v>
      </c>
      <c r="AG117" s="19">
        <v>0.0</v>
      </c>
      <c r="AH117" s="19">
        <v>0.0</v>
      </c>
      <c r="AI117" s="19">
        <v>1.0</v>
      </c>
      <c r="AJ117" s="19"/>
      <c r="AK117" s="19"/>
      <c r="AL117" s="19"/>
      <c r="AM117" s="19"/>
      <c r="AN117" s="19"/>
      <c r="AO117" s="19"/>
      <c r="AP117" s="13">
        <f t="shared" ref="AP117:AP127" si="26">SUM(E117:AO117)</f>
        <v>21</v>
      </c>
      <c r="AQ117" s="5"/>
      <c r="AR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1.0</v>
      </c>
      <c r="AI118" s="19"/>
      <c r="AJ118" s="19">
        <v>1.0</v>
      </c>
      <c r="AK118" s="19"/>
      <c r="AL118" s="19"/>
      <c r="AM118" s="19"/>
      <c r="AN118" s="19"/>
      <c r="AO118" s="19"/>
      <c r="AP118" s="13">
        <f t="shared" si="26"/>
        <v>3</v>
      </c>
      <c r="AQ118" s="5"/>
      <c r="AR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2.0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/>
      <c r="AJ119" s="19"/>
      <c r="AK119" s="19"/>
      <c r="AL119" s="19"/>
      <c r="AM119" s="19"/>
      <c r="AN119" s="19"/>
      <c r="AO119" s="19"/>
      <c r="AP119" s="13">
        <f t="shared" si="26"/>
        <v>2</v>
      </c>
      <c r="AQ119" s="5"/>
      <c r="AR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/>
      <c r="AJ120" s="19"/>
      <c r="AK120" s="19"/>
      <c r="AL120" s="19"/>
      <c r="AM120" s="19"/>
      <c r="AN120" s="19"/>
      <c r="AO120" s="19"/>
      <c r="AP120" s="13">
        <f t="shared" si="26"/>
        <v>2</v>
      </c>
      <c r="AQ120" s="5"/>
      <c r="AR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3">
        <f t="shared" si="26"/>
        <v>0</v>
      </c>
      <c r="AQ121" s="5"/>
      <c r="AR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3">
        <f t="shared" si="26"/>
        <v>0</v>
      </c>
      <c r="AQ122" s="5"/>
      <c r="AR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13">
        <f t="shared" si="26"/>
        <v>0</v>
      </c>
      <c r="AQ123" s="5"/>
      <c r="AR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13">
        <f t="shared" si="26"/>
        <v>0</v>
      </c>
      <c r="AQ124" s="5"/>
      <c r="AR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13">
        <f t="shared" si="26"/>
        <v>0</v>
      </c>
      <c r="AQ125" s="5"/>
      <c r="AR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13">
        <f t="shared" si="26"/>
        <v>0</v>
      </c>
      <c r="AQ126" s="5"/>
      <c r="AR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O127" si="27">SUM(E117:E120)</f>
        <v>1</v>
      </c>
      <c r="F127" s="58">
        <f t="shared" si="27"/>
        <v>1</v>
      </c>
      <c r="G127" s="58">
        <f t="shared" si="27"/>
        <v>2</v>
      </c>
      <c r="H127" s="58">
        <f t="shared" si="27"/>
        <v>0</v>
      </c>
      <c r="I127" s="58">
        <f t="shared" si="27"/>
        <v>0</v>
      </c>
      <c r="J127" s="58">
        <f t="shared" si="27"/>
        <v>0</v>
      </c>
      <c r="K127" s="58">
        <f t="shared" si="27"/>
        <v>0</v>
      </c>
      <c r="L127" s="58">
        <f t="shared" si="27"/>
        <v>1</v>
      </c>
      <c r="M127" s="58">
        <f t="shared" si="27"/>
        <v>1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2</v>
      </c>
      <c r="R127" s="58">
        <f t="shared" si="27"/>
        <v>1</v>
      </c>
      <c r="S127" s="58">
        <f t="shared" si="27"/>
        <v>4</v>
      </c>
      <c r="T127" s="58">
        <f t="shared" si="27"/>
        <v>2</v>
      </c>
      <c r="U127" s="58">
        <f t="shared" si="27"/>
        <v>1</v>
      </c>
      <c r="V127" s="58">
        <f t="shared" si="27"/>
        <v>0</v>
      </c>
      <c r="W127" s="58">
        <f t="shared" si="27"/>
        <v>2</v>
      </c>
      <c r="X127" s="58">
        <f t="shared" si="27"/>
        <v>1</v>
      </c>
      <c r="Y127" s="58">
        <f t="shared" si="27"/>
        <v>0</v>
      </c>
      <c r="Z127" s="58">
        <f t="shared" si="27"/>
        <v>0</v>
      </c>
      <c r="AA127" s="58">
        <f t="shared" si="27"/>
        <v>1</v>
      </c>
      <c r="AB127" s="58">
        <f t="shared" si="27"/>
        <v>1</v>
      </c>
      <c r="AC127" s="58">
        <f t="shared" si="27"/>
        <v>0</v>
      </c>
      <c r="AD127" s="58">
        <f t="shared" si="27"/>
        <v>0</v>
      </c>
      <c r="AE127" s="58">
        <f t="shared" si="27"/>
        <v>4</v>
      </c>
      <c r="AF127" s="58">
        <f t="shared" si="27"/>
        <v>0</v>
      </c>
      <c r="AG127" s="58">
        <f t="shared" si="27"/>
        <v>0</v>
      </c>
      <c r="AH127" s="58">
        <f t="shared" si="27"/>
        <v>1</v>
      </c>
      <c r="AI127" s="58">
        <f t="shared" si="27"/>
        <v>1</v>
      </c>
      <c r="AJ127" s="58">
        <f t="shared" si="27"/>
        <v>1</v>
      </c>
      <c r="AK127" s="58">
        <f t="shared" si="27"/>
        <v>0</v>
      </c>
      <c r="AL127" s="58">
        <f t="shared" si="27"/>
        <v>0</v>
      </c>
      <c r="AM127" s="58">
        <f t="shared" si="27"/>
        <v>0</v>
      </c>
      <c r="AN127" s="58">
        <f t="shared" si="27"/>
        <v>0</v>
      </c>
      <c r="AO127" s="58">
        <f t="shared" si="27"/>
        <v>0</v>
      </c>
      <c r="AP127" s="13">
        <f t="shared" si="26"/>
        <v>28</v>
      </c>
      <c r="AQ127" s="5"/>
      <c r="AR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5"/>
      <c r="AR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2.0</v>
      </c>
      <c r="F129" s="19">
        <v>0.0</v>
      </c>
      <c r="G129" s="19">
        <v>2.0</v>
      </c>
      <c r="H129" s="19">
        <v>1.0</v>
      </c>
      <c r="I129" s="19">
        <v>0.0</v>
      </c>
      <c r="J129" s="19">
        <v>0.0</v>
      </c>
      <c r="K129" s="19">
        <v>0.0</v>
      </c>
      <c r="L129" s="19">
        <v>1.0</v>
      </c>
      <c r="M129" s="19">
        <v>0.0</v>
      </c>
      <c r="N129" s="19">
        <v>2.0</v>
      </c>
      <c r="O129" s="19">
        <v>4.0</v>
      </c>
      <c r="P129" s="19">
        <v>2.0</v>
      </c>
      <c r="Q129" s="19">
        <v>2.0</v>
      </c>
      <c r="R129" s="19">
        <v>1.0</v>
      </c>
      <c r="S129" s="19">
        <v>3.0</v>
      </c>
      <c r="T129" s="19">
        <v>2.0</v>
      </c>
      <c r="U129" s="19">
        <v>1.0</v>
      </c>
      <c r="V129" s="19">
        <v>3.0</v>
      </c>
      <c r="W129" s="19">
        <v>0.0</v>
      </c>
      <c r="X129" s="19">
        <v>3.0</v>
      </c>
      <c r="Y129" s="19">
        <v>9.0</v>
      </c>
      <c r="Z129" s="19">
        <v>0.0</v>
      </c>
      <c r="AA129" s="19">
        <v>0.0</v>
      </c>
      <c r="AB129" s="19">
        <v>1.0</v>
      </c>
      <c r="AC129" s="19">
        <v>4.0</v>
      </c>
      <c r="AD129" s="19">
        <v>8.0</v>
      </c>
      <c r="AE129" s="19">
        <v>2.0</v>
      </c>
      <c r="AF129" s="19">
        <v>0.0</v>
      </c>
      <c r="AG129" s="19">
        <v>2.0</v>
      </c>
      <c r="AH129" s="19">
        <v>0.0</v>
      </c>
      <c r="AI129" s="19">
        <v>1.0</v>
      </c>
      <c r="AJ129" s="19"/>
      <c r="AK129" s="19">
        <v>1.0</v>
      </c>
      <c r="AL129" s="19"/>
      <c r="AM129" s="19">
        <v>2.0</v>
      </c>
      <c r="AN129" s="19">
        <v>1.0</v>
      </c>
      <c r="AO129" s="19"/>
      <c r="AP129" s="13">
        <f t="shared" ref="AP129:AP139" si="28">SUM(E129:AO129)</f>
        <v>60</v>
      </c>
      <c r="AQ129" s="5"/>
      <c r="AR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0.0</v>
      </c>
      <c r="G130" s="19">
        <v>0.0</v>
      </c>
      <c r="H130" s="19">
        <v>0.0</v>
      </c>
      <c r="I130" s="19">
        <v>0.0</v>
      </c>
      <c r="J130" s="19">
        <v>2.0</v>
      </c>
      <c r="K130" s="19">
        <v>1.0</v>
      </c>
      <c r="L130" s="19">
        <v>0.0</v>
      </c>
      <c r="M130" s="19">
        <v>1.0</v>
      </c>
      <c r="N130" s="19">
        <v>0.0</v>
      </c>
      <c r="O130" s="19">
        <v>2.0</v>
      </c>
      <c r="P130" s="19">
        <v>1.0</v>
      </c>
      <c r="Q130" s="19">
        <v>2.0</v>
      </c>
      <c r="R130" s="19">
        <v>1.0</v>
      </c>
      <c r="S130" s="19">
        <v>4.0</v>
      </c>
      <c r="T130" s="19">
        <v>5.0</v>
      </c>
      <c r="U130" s="19">
        <v>0.0</v>
      </c>
      <c r="V130" s="19">
        <v>4.0</v>
      </c>
      <c r="W130" s="19">
        <v>0.0</v>
      </c>
      <c r="X130" s="19">
        <v>1.0</v>
      </c>
      <c r="Y130" s="19">
        <v>12.0</v>
      </c>
      <c r="Z130" s="19">
        <v>1.0</v>
      </c>
      <c r="AA130" s="19">
        <v>2.0</v>
      </c>
      <c r="AB130" s="19">
        <v>2.0</v>
      </c>
      <c r="AC130" s="19">
        <v>10.0</v>
      </c>
      <c r="AD130" s="19">
        <v>1.0</v>
      </c>
      <c r="AE130" s="19">
        <v>0.0</v>
      </c>
      <c r="AF130" s="19">
        <v>1.0</v>
      </c>
      <c r="AG130" s="19">
        <v>0.0</v>
      </c>
      <c r="AH130" s="19">
        <v>0.0</v>
      </c>
      <c r="AI130" s="19">
        <v>1.0</v>
      </c>
      <c r="AJ130" s="19"/>
      <c r="AK130" s="19">
        <v>1.0</v>
      </c>
      <c r="AL130" s="19">
        <v>2.0</v>
      </c>
      <c r="AM130" s="19"/>
      <c r="AN130" s="19">
        <v>2.0</v>
      </c>
      <c r="AO130" s="19">
        <v>6.0</v>
      </c>
      <c r="AP130" s="13">
        <f t="shared" si="28"/>
        <v>67</v>
      </c>
      <c r="AQ130" s="1"/>
      <c r="AR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1.0</v>
      </c>
      <c r="J131" s="19">
        <v>0.0</v>
      </c>
      <c r="K131" s="19">
        <v>0.0</v>
      </c>
      <c r="L131" s="19">
        <v>1.0</v>
      </c>
      <c r="M131" s="19">
        <v>2.0</v>
      </c>
      <c r="N131" s="19">
        <v>1.0</v>
      </c>
      <c r="O131" s="19">
        <v>0.0</v>
      </c>
      <c r="P131" s="19">
        <v>0.0</v>
      </c>
      <c r="Q131" s="19">
        <v>0.0</v>
      </c>
      <c r="R131" s="19">
        <v>1.0</v>
      </c>
      <c r="S131" s="19">
        <v>2.0</v>
      </c>
      <c r="T131" s="19">
        <v>0.0</v>
      </c>
      <c r="U131" s="19">
        <v>6.0</v>
      </c>
      <c r="V131" s="19">
        <v>1.0</v>
      </c>
      <c r="W131" s="19">
        <v>0.0</v>
      </c>
      <c r="X131" s="19">
        <v>0.0</v>
      </c>
      <c r="Y131" s="19">
        <v>1.0</v>
      </c>
      <c r="Z131" s="19">
        <v>3.0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1.0</v>
      </c>
      <c r="AH131" s="19">
        <v>0.0</v>
      </c>
      <c r="AI131" s="19"/>
      <c r="AJ131" s="19"/>
      <c r="AK131" s="19">
        <v>1.0</v>
      </c>
      <c r="AL131" s="19"/>
      <c r="AM131" s="19"/>
      <c r="AN131" s="19"/>
      <c r="AO131" s="19">
        <v>8.0</v>
      </c>
      <c r="AP131" s="13">
        <f t="shared" si="28"/>
        <v>31</v>
      </c>
      <c r="AQ131" s="52"/>
      <c r="AR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3.0</v>
      </c>
      <c r="S132" s="19">
        <v>1.0</v>
      </c>
      <c r="T132" s="19">
        <v>0.0</v>
      </c>
      <c r="U132" s="19">
        <v>2.0</v>
      </c>
      <c r="V132" s="19">
        <v>0.0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9">
        <v>0.0</v>
      </c>
      <c r="AF132" s="19">
        <v>0.0</v>
      </c>
      <c r="AG132" s="19">
        <v>0.0</v>
      </c>
      <c r="AH132" s="19">
        <v>0.0</v>
      </c>
      <c r="AI132" s="19"/>
      <c r="AJ132" s="19"/>
      <c r="AK132" s="19"/>
      <c r="AL132" s="19"/>
      <c r="AM132" s="19"/>
      <c r="AN132" s="19"/>
      <c r="AO132" s="19"/>
      <c r="AP132" s="13">
        <f t="shared" si="28"/>
        <v>11</v>
      </c>
      <c r="AQ132" s="5"/>
      <c r="AR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/>
      <c r="AJ133" s="19"/>
      <c r="AK133" s="19"/>
      <c r="AL133" s="19"/>
      <c r="AM133" s="19"/>
      <c r="AN133" s="19"/>
      <c r="AO133" s="19"/>
      <c r="AP133" s="13">
        <f t="shared" si="28"/>
        <v>1</v>
      </c>
      <c r="AQ133" s="5"/>
      <c r="AR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1.0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/>
      <c r="AJ134" s="19"/>
      <c r="AK134" s="19">
        <v>1.0</v>
      </c>
      <c r="AL134" s="19"/>
      <c r="AM134" s="19"/>
      <c r="AN134" s="19"/>
      <c r="AO134" s="19"/>
      <c r="AP134" s="13">
        <f t="shared" si="28"/>
        <v>4</v>
      </c>
      <c r="AQ134" s="5"/>
      <c r="AR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1.0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/>
      <c r="AJ135" s="19"/>
      <c r="AK135" s="19"/>
      <c r="AL135" s="19"/>
      <c r="AM135" s="19"/>
      <c r="AN135" s="19"/>
      <c r="AO135" s="19"/>
      <c r="AP135" s="13">
        <f t="shared" si="28"/>
        <v>2</v>
      </c>
      <c r="AQ135" s="5"/>
      <c r="AR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/>
      <c r="AJ136" s="19"/>
      <c r="AK136" s="19"/>
      <c r="AL136" s="19"/>
      <c r="AM136" s="19"/>
      <c r="AN136" s="19"/>
      <c r="AO136" s="19"/>
      <c r="AP136" s="13">
        <f t="shared" si="28"/>
        <v>0</v>
      </c>
      <c r="AQ136" s="5"/>
      <c r="AR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3">
        <f t="shared" si="28"/>
        <v>0</v>
      </c>
      <c r="AQ137" s="5"/>
      <c r="AR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3">
        <f t="shared" si="28"/>
        <v>0</v>
      </c>
      <c r="AQ138" s="5"/>
      <c r="AR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O139" si="29">SUM(E129:E136)</f>
        <v>4</v>
      </c>
      <c r="F139" s="13">
        <f t="shared" si="29"/>
        <v>0</v>
      </c>
      <c r="G139" s="13">
        <f t="shared" si="29"/>
        <v>4</v>
      </c>
      <c r="H139" s="13">
        <f t="shared" si="29"/>
        <v>2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3</v>
      </c>
      <c r="M139" s="13">
        <f t="shared" si="29"/>
        <v>3</v>
      </c>
      <c r="N139" s="13">
        <f t="shared" si="29"/>
        <v>5</v>
      </c>
      <c r="O139" s="13">
        <f t="shared" si="29"/>
        <v>6</v>
      </c>
      <c r="P139" s="13">
        <f t="shared" si="29"/>
        <v>4</v>
      </c>
      <c r="Q139" s="13">
        <f t="shared" si="29"/>
        <v>4</v>
      </c>
      <c r="R139" s="13">
        <f t="shared" si="29"/>
        <v>6</v>
      </c>
      <c r="S139" s="13">
        <f t="shared" si="29"/>
        <v>10</v>
      </c>
      <c r="T139" s="13">
        <f t="shared" si="29"/>
        <v>8</v>
      </c>
      <c r="U139" s="13">
        <f t="shared" si="29"/>
        <v>9</v>
      </c>
      <c r="V139" s="13">
        <f t="shared" si="29"/>
        <v>9</v>
      </c>
      <c r="W139" s="13">
        <f t="shared" si="29"/>
        <v>0</v>
      </c>
      <c r="X139" s="13">
        <f t="shared" si="29"/>
        <v>4</v>
      </c>
      <c r="Y139" s="13">
        <f t="shared" si="29"/>
        <v>24</v>
      </c>
      <c r="Z139" s="13">
        <f t="shared" si="29"/>
        <v>4</v>
      </c>
      <c r="AA139" s="13">
        <f t="shared" si="29"/>
        <v>2</v>
      </c>
      <c r="AB139" s="13">
        <f t="shared" si="29"/>
        <v>4</v>
      </c>
      <c r="AC139" s="13">
        <f t="shared" si="29"/>
        <v>14</v>
      </c>
      <c r="AD139" s="13">
        <f t="shared" si="29"/>
        <v>10</v>
      </c>
      <c r="AE139" s="13">
        <f t="shared" si="29"/>
        <v>2</v>
      </c>
      <c r="AF139" s="13">
        <f t="shared" si="29"/>
        <v>1</v>
      </c>
      <c r="AG139" s="13">
        <f t="shared" si="29"/>
        <v>3</v>
      </c>
      <c r="AH139" s="13">
        <f t="shared" si="29"/>
        <v>0</v>
      </c>
      <c r="AI139" s="13">
        <f t="shared" si="29"/>
        <v>2</v>
      </c>
      <c r="AJ139" s="13">
        <f t="shared" si="29"/>
        <v>0</v>
      </c>
      <c r="AK139" s="13">
        <f t="shared" si="29"/>
        <v>4</v>
      </c>
      <c r="AL139" s="13">
        <f t="shared" si="29"/>
        <v>2</v>
      </c>
      <c r="AM139" s="13">
        <f t="shared" si="29"/>
        <v>2</v>
      </c>
      <c r="AN139" s="13">
        <f t="shared" si="29"/>
        <v>3</v>
      </c>
      <c r="AO139" s="13">
        <f t="shared" si="29"/>
        <v>14</v>
      </c>
      <c r="AP139" s="13">
        <f t="shared" si="28"/>
        <v>176</v>
      </c>
      <c r="AQ139" s="5"/>
      <c r="AR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5"/>
      <c r="AR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/>
      <c r="AJ141" s="19"/>
      <c r="AK141" s="19"/>
      <c r="AL141" s="19"/>
      <c r="AM141" s="19"/>
      <c r="AN141" s="19"/>
      <c r="AO141" s="19"/>
      <c r="AP141" s="13">
        <f t="shared" ref="AP141:AP151" si="30">SUM(E141:AO141)</f>
        <v>1</v>
      </c>
      <c r="AQ141" s="1"/>
      <c r="AR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/>
      <c r="AJ142" s="19"/>
      <c r="AK142" s="19"/>
      <c r="AL142" s="19"/>
      <c r="AM142" s="19"/>
      <c r="AN142" s="19"/>
      <c r="AO142" s="19"/>
      <c r="AP142" s="13">
        <f t="shared" si="30"/>
        <v>0</v>
      </c>
      <c r="AQ142" s="52"/>
      <c r="AR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/>
      <c r="AJ143" s="19"/>
      <c r="AK143" s="19"/>
      <c r="AL143" s="19"/>
      <c r="AM143" s="19">
        <v>1.0</v>
      </c>
      <c r="AN143" s="19"/>
      <c r="AO143" s="19"/>
      <c r="AP143" s="13">
        <f t="shared" si="30"/>
        <v>1</v>
      </c>
      <c r="AQ143" s="5"/>
      <c r="AR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/>
      <c r="AJ144" s="19"/>
      <c r="AK144" s="19"/>
      <c r="AL144" s="19"/>
      <c r="AM144" s="19"/>
      <c r="AN144" s="19"/>
      <c r="AO144" s="19"/>
      <c r="AP144" s="13">
        <f t="shared" si="30"/>
        <v>0</v>
      </c>
      <c r="AQ144" s="5"/>
      <c r="AR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1.0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/>
      <c r="AJ145" s="19"/>
      <c r="AK145" s="19"/>
      <c r="AL145" s="19"/>
      <c r="AM145" s="19"/>
      <c r="AN145" s="19"/>
      <c r="AO145" s="19"/>
      <c r="AP145" s="13">
        <f t="shared" si="30"/>
        <v>1</v>
      </c>
      <c r="AQ145" s="5"/>
      <c r="AR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/>
      <c r="AJ146" s="19"/>
      <c r="AK146" s="19"/>
      <c r="AL146" s="19"/>
      <c r="AM146" s="19"/>
      <c r="AN146" s="19"/>
      <c r="AO146" s="19"/>
      <c r="AP146" s="13">
        <f t="shared" si="30"/>
        <v>0</v>
      </c>
      <c r="AQ146" s="5"/>
      <c r="AR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/>
      <c r="AJ147" s="19"/>
      <c r="AK147" s="19"/>
      <c r="AL147" s="19"/>
      <c r="AM147" s="19"/>
      <c r="AN147" s="19"/>
      <c r="AO147" s="19"/>
      <c r="AP147" s="13">
        <f t="shared" si="30"/>
        <v>0</v>
      </c>
      <c r="AQ147" s="5"/>
      <c r="AR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/>
      <c r="AJ148" s="19"/>
      <c r="AK148" s="19"/>
      <c r="AL148" s="19"/>
      <c r="AM148" s="19"/>
      <c r="AN148" s="19"/>
      <c r="AO148" s="19"/>
      <c r="AP148" s="13">
        <f t="shared" si="30"/>
        <v>0</v>
      </c>
      <c r="AQ148" s="5"/>
      <c r="AR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3">
        <f t="shared" si="30"/>
        <v>0</v>
      </c>
      <c r="AQ149" s="5"/>
      <c r="AR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3">
        <f t="shared" si="30"/>
        <v>0</v>
      </c>
      <c r="AQ150" s="5"/>
      <c r="AR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O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0"/>
        <v>3</v>
      </c>
      <c r="AQ151" s="1"/>
      <c r="AR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13"/>
      <c r="AQ152" s="52"/>
      <c r="AR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1.0</v>
      </c>
      <c r="Z153" s="19">
        <v>0.0</v>
      </c>
      <c r="AA153" s="19">
        <v>1.0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/>
      <c r="AJ153" s="19"/>
      <c r="AK153" s="19"/>
      <c r="AL153" s="19"/>
      <c r="AM153" s="19"/>
      <c r="AN153" s="19"/>
      <c r="AO153" s="19"/>
      <c r="AP153" s="13">
        <f t="shared" ref="AP153:AP163" si="32">SUM(E153:AO153)</f>
        <v>2</v>
      </c>
      <c r="AQ153" s="5"/>
      <c r="AR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1.0</v>
      </c>
      <c r="V154" s="19">
        <v>0.0</v>
      </c>
      <c r="W154" s="19">
        <v>1.0</v>
      </c>
      <c r="X154" s="19">
        <v>0.0</v>
      </c>
      <c r="Y154" s="19">
        <v>1.0</v>
      </c>
      <c r="Z154" s="19">
        <v>2.0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/>
      <c r="AJ154" s="19"/>
      <c r="AK154" s="19"/>
      <c r="AL154" s="19"/>
      <c r="AM154" s="19"/>
      <c r="AN154" s="19"/>
      <c r="AO154" s="19"/>
      <c r="AP154" s="13">
        <f t="shared" si="32"/>
        <v>7</v>
      </c>
      <c r="AQ154" s="5"/>
      <c r="AR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/>
      <c r="AJ155" s="19"/>
      <c r="AK155" s="19"/>
      <c r="AL155" s="19"/>
      <c r="AM155" s="19"/>
      <c r="AN155" s="19">
        <v>1.0</v>
      </c>
      <c r="AO155" s="19"/>
      <c r="AP155" s="13">
        <f t="shared" si="32"/>
        <v>3</v>
      </c>
      <c r="AQ155" s="5"/>
      <c r="AR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/>
      <c r="AJ156" s="19"/>
      <c r="AK156" s="19"/>
      <c r="AL156" s="19"/>
      <c r="AM156" s="19"/>
      <c r="AN156" s="19"/>
      <c r="AO156" s="19"/>
      <c r="AP156" s="13">
        <f t="shared" si="32"/>
        <v>0</v>
      </c>
      <c r="AQ156" s="5"/>
      <c r="AR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/>
      <c r="AJ157" s="19"/>
      <c r="AK157" s="19"/>
      <c r="AL157" s="19"/>
      <c r="AM157" s="19"/>
      <c r="AN157" s="19"/>
      <c r="AO157" s="19"/>
      <c r="AP157" s="13">
        <f t="shared" si="32"/>
        <v>0</v>
      </c>
      <c r="AQ157" s="5"/>
      <c r="AR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3">
        <f t="shared" si="32"/>
        <v>0</v>
      </c>
      <c r="AQ158" s="5"/>
      <c r="AR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3">
        <f t="shared" si="32"/>
        <v>0</v>
      </c>
      <c r="AQ159" s="5"/>
      <c r="AR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3">
        <f t="shared" si="32"/>
        <v>0</v>
      </c>
      <c r="AQ160" s="5"/>
      <c r="AR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3">
        <f t="shared" si="32"/>
        <v>0</v>
      </c>
      <c r="AQ161" s="5"/>
      <c r="AR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3">
        <f t="shared" si="32"/>
        <v>0</v>
      </c>
      <c r="AQ162" s="5"/>
      <c r="AR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O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1</v>
      </c>
      <c r="W163" s="13">
        <f t="shared" si="33"/>
        <v>1</v>
      </c>
      <c r="X163" s="13">
        <f t="shared" si="33"/>
        <v>0</v>
      </c>
      <c r="Y163" s="13">
        <f t="shared" si="33"/>
        <v>2</v>
      </c>
      <c r="Z163" s="13">
        <f t="shared" si="33"/>
        <v>2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1</v>
      </c>
      <c r="AO163" s="13">
        <f t="shared" si="33"/>
        <v>0</v>
      </c>
      <c r="AP163" s="13">
        <f t="shared" si="32"/>
        <v>12</v>
      </c>
      <c r="AQ163" s="5"/>
      <c r="AR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5"/>
      <c r="AR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/>
      <c r="AJ165" s="19"/>
      <c r="AK165" s="19"/>
      <c r="AL165" s="19"/>
      <c r="AM165" s="19"/>
      <c r="AN165" s="19"/>
      <c r="AO165" s="19"/>
      <c r="AP165" s="13">
        <f t="shared" ref="AP165:AP175" si="34">SUM(E165:AO165)</f>
        <v>2</v>
      </c>
      <c r="AQ165" s="1"/>
      <c r="AR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0.0</v>
      </c>
      <c r="AA166" s="19">
        <v>0.0</v>
      </c>
      <c r="AB166" s="19">
        <v>2.0</v>
      </c>
      <c r="AC166" s="19">
        <v>1.0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/>
      <c r="AJ166" s="19">
        <v>1.0</v>
      </c>
      <c r="AK166" s="19"/>
      <c r="AL166" s="19"/>
      <c r="AM166" s="19"/>
      <c r="AN166" s="19"/>
      <c r="AO166" s="19"/>
      <c r="AP166" s="13">
        <f t="shared" si="34"/>
        <v>8</v>
      </c>
      <c r="AQ166" s="52"/>
      <c r="AR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2.0</v>
      </c>
      <c r="Q167" s="19">
        <v>0.0</v>
      </c>
      <c r="R167" s="19">
        <v>0.0</v>
      </c>
      <c r="S167" s="19">
        <v>0.0</v>
      </c>
      <c r="T167" s="19">
        <v>1.0</v>
      </c>
      <c r="U167" s="19">
        <v>0.0</v>
      </c>
      <c r="V167" s="19">
        <v>0.0</v>
      </c>
      <c r="W167" s="19">
        <v>0.0</v>
      </c>
      <c r="X167" s="19">
        <v>0.0</v>
      </c>
      <c r="Y167" s="19">
        <v>1.0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/>
      <c r="AJ167" s="19"/>
      <c r="AK167" s="19"/>
      <c r="AL167" s="19"/>
      <c r="AM167" s="19"/>
      <c r="AN167" s="19"/>
      <c r="AO167" s="19"/>
      <c r="AP167" s="13">
        <f t="shared" si="34"/>
        <v>4</v>
      </c>
      <c r="AQ167" s="5"/>
      <c r="AR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1.0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1.0</v>
      </c>
      <c r="AH168" s="19">
        <v>0.0</v>
      </c>
      <c r="AI168" s="19"/>
      <c r="AJ168" s="19"/>
      <c r="AK168" s="19"/>
      <c r="AL168" s="19"/>
      <c r="AM168" s="19"/>
      <c r="AN168" s="19"/>
      <c r="AO168" s="19"/>
      <c r="AP168" s="13">
        <f t="shared" si="34"/>
        <v>2</v>
      </c>
      <c r="AQ168" s="5"/>
      <c r="AR168" s="5"/>
    </row>
    <row r="169" ht="12.75" customHeight="1">
      <c r="A169" s="18"/>
      <c r="B169" s="55">
        <v>4.0</v>
      </c>
      <c r="C169" s="50" t="s">
        <v>124</v>
      </c>
      <c r="D169" s="57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/>
      <c r="AJ169" s="19"/>
      <c r="AK169" s="19"/>
      <c r="AL169" s="19"/>
      <c r="AM169" s="19"/>
      <c r="AN169" s="19"/>
      <c r="AO169" s="19"/>
      <c r="AP169" s="13">
        <f t="shared" si="34"/>
        <v>1</v>
      </c>
      <c r="AQ169" s="5"/>
      <c r="AR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/>
      <c r="AJ170" s="19"/>
      <c r="AK170" s="19"/>
      <c r="AL170" s="19"/>
      <c r="AM170" s="19"/>
      <c r="AN170" s="19"/>
      <c r="AO170" s="19"/>
      <c r="AP170" s="13">
        <f t="shared" si="34"/>
        <v>0</v>
      </c>
      <c r="AQ170" s="5"/>
      <c r="AR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/>
      <c r="AJ171" s="19"/>
      <c r="AK171" s="19"/>
      <c r="AL171" s="19"/>
      <c r="AM171" s="19"/>
      <c r="AN171" s="19"/>
      <c r="AO171" s="19"/>
      <c r="AP171" s="13">
        <f t="shared" si="34"/>
        <v>0</v>
      </c>
      <c r="AQ171" s="5"/>
      <c r="AR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1.0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/>
      <c r="AJ172" s="19"/>
      <c r="AK172" s="19"/>
      <c r="AL172" s="19"/>
      <c r="AM172" s="19"/>
      <c r="AN172" s="19"/>
      <c r="AO172" s="19"/>
      <c r="AP172" s="13">
        <f t="shared" si="34"/>
        <v>1</v>
      </c>
      <c r="AQ172" s="5"/>
      <c r="AR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3">
        <f t="shared" si="34"/>
        <v>0</v>
      </c>
      <c r="AQ173" s="5"/>
      <c r="AR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3">
        <f t="shared" si="34"/>
        <v>0</v>
      </c>
      <c r="AQ174" s="5"/>
      <c r="AR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O175" si="35">SUM(E165:E172)</f>
        <v>2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3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3</v>
      </c>
      <c r="AC175" s="13">
        <f t="shared" si="35"/>
        <v>1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1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4"/>
        <v>18</v>
      </c>
      <c r="AQ175" s="5"/>
      <c r="AR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1"/>
      <c r="AR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2.0</v>
      </c>
      <c r="H177" s="19">
        <v>3.0</v>
      </c>
      <c r="I177" s="19">
        <v>0.0</v>
      </c>
      <c r="J177" s="19">
        <v>0.0</v>
      </c>
      <c r="K177" s="19">
        <v>0.0</v>
      </c>
      <c r="L177" s="19">
        <v>1.0</v>
      </c>
      <c r="M177" s="19">
        <v>0.0</v>
      </c>
      <c r="N177" s="19">
        <v>1.0</v>
      </c>
      <c r="O177" s="19">
        <v>0.0</v>
      </c>
      <c r="P177" s="19">
        <v>1.0</v>
      </c>
      <c r="Q177" s="19">
        <v>0.0</v>
      </c>
      <c r="R177" s="19">
        <v>3.0</v>
      </c>
      <c r="S177" s="19">
        <v>0.0</v>
      </c>
      <c r="T177" s="19">
        <v>2.0</v>
      </c>
      <c r="U177" s="19">
        <v>0.0</v>
      </c>
      <c r="V177" s="19">
        <v>1.0</v>
      </c>
      <c r="W177" s="19">
        <v>1.0</v>
      </c>
      <c r="X177" s="19">
        <v>1.0</v>
      </c>
      <c r="Y177" s="19">
        <v>0.0</v>
      </c>
      <c r="Z177" s="19">
        <v>2.0</v>
      </c>
      <c r="AA177" s="19">
        <v>0.0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1.0</v>
      </c>
      <c r="AG177" s="19">
        <v>2.0</v>
      </c>
      <c r="AH177" s="19">
        <v>0.0</v>
      </c>
      <c r="AI177" s="19"/>
      <c r="AJ177" s="19"/>
      <c r="AK177" s="19"/>
      <c r="AL177" s="19"/>
      <c r="AM177" s="19"/>
      <c r="AN177" s="19">
        <v>1.0</v>
      </c>
      <c r="AO177" s="19"/>
      <c r="AP177" s="13">
        <f t="shared" ref="AP177:AP187" si="36">SUM(E177:AO177)</f>
        <v>24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3.0</v>
      </c>
      <c r="R178" s="19">
        <v>0.0</v>
      </c>
      <c r="S178" s="19">
        <v>1.0</v>
      </c>
      <c r="T178" s="19">
        <v>1.0</v>
      </c>
      <c r="U178" s="19">
        <v>1.0</v>
      </c>
      <c r="V178" s="19">
        <v>1.0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2.0</v>
      </c>
      <c r="AB178" s="19">
        <v>2.0</v>
      </c>
      <c r="AC178" s="19">
        <v>1.0</v>
      </c>
      <c r="AD178" s="19">
        <v>0.0</v>
      </c>
      <c r="AE178" s="19">
        <v>1.0</v>
      </c>
      <c r="AF178" s="19">
        <v>1.0</v>
      </c>
      <c r="AG178" s="19">
        <v>1.0</v>
      </c>
      <c r="AH178" s="19">
        <v>0.0</v>
      </c>
      <c r="AI178" s="19"/>
      <c r="AJ178" s="19">
        <v>1.0</v>
      </c>
      <c r="AK178" s="19"/>
      <c r="AL178" s="19"/>
      <c r="AM178" s="19"/>
      <c r="AN178" s="19">
        <v>1.0</v>
      </c>
      <c r="AO178" s="19"/>
      <c r="AP178" s="13">
        <f t="shared" si="36"/>
        <v>19</v>
      </c>
      <c r="AQ178" s="5"/>
      <c r="AR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3.0</v>
      </c>
      <c r="U179" s="19">
        <v>0.0</v>
      </c>
      <c r="V179" s="19">
        <v>2.0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/>
      <c r="AK179" s="19"/>
      <c r="AL179" s="19"/>
      <c r="AM179" s="19"/>
      <c r="AN179" s="19"/>
      <c r="AO179" s="19"/>
      <c r="AP179" s="13">
        <f t="shared" si="36"/>
        <v>8</v>
      </c>
      <c r="AQ179" s="5"/>
      <c r="AR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3.0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9">
        <v>0.0</v>
      </c>
      <c r="Q180" s="19">
        <v>4.0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/>
      <c r="AJ180" s="19"/>
      <c r="AK180" s="19"/>
      <c r="AL180" s="19"/>
      <c r="AM180" s="19"/>
      <c r="AN180" s="19"/>
      <c r="AO180" s="19"/>
      <c r="AP180" s="13">
        <f t="shared" si="36"/>
        <v>11</v>
      </c>
      <c r="AQ180" s="5"/>
      <c r="AR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0.0</v>
      </c>
      <c r="AH181" s="19">
        <v>0.0</v>
      </c>
      <c r="AI181" s="19"/>
      <c r="AJ181" s="19"/>
      <c r="AK181" s="19"/>
      <c r="AL181" s="19"/>
      <c r="AM181" s="19"/>
      <c r="AN181" s="19"/>
      <c r="AO181" s="19"/>
      <c r="AP181" s="13">
        <f t="shared" si="36"/>
        <v>2</v>
      </c>
      <c r="AQ181" s="5"/>
      <c r="AR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1.0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/>
      <c r="AJ182" s="19"/>
      <c r="AK182" s="19"/>
      <c r="AL182" s="19"/>
      <c r="AM182" s="19"/>
      <c r="AN182" s="19"/>
      <c r="AO182" s="19"/>
      <c r="AP182" s="13">
        <f t="shared" si="36"/>
        <v>4</v>
      </c>
      <c r="AQ182" s="5"/>
      <c r="AR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1.0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1.0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/>
      <c r="AJ183" s="19"/>
      <c r="AK183" s="19"/>
      <c r="AL183" s="19"/>
      <c r="AM183" s="19"/>
      <c r="AN183" s="19"/>
      <c r="AO183" s="19"/>
      <c r="AP183" s="13">
        <f t="shared" si="36"/>
        <v>3</v>
      </c>
      <c r="AQ183" s="5"/>
      <c r="AR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1.0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1.0</v>
      </c>
      <c r="AG184" s="19">
        <v>0.0</v>
      </c>
      <c r="AH184" s="19">
        <v>0.0</v>
      </c>
      <c r="AI184" s="19"/>
      <c r="AJ184" s="19"/>
      <c r="AK184" s="19"/>
      <c r="AL184" s="19"/>
      <c r="AM184" s="19"/>
      <c r="AN184" s="19"/>
      <c r="AO184" s="19"/>
      <c r="AP184" s="13">
        <f t="shared" si="36"/>
        <v>2</v>
      </c>
      <c r="AQ184" s="5"/>
      <c r="AR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3">
        <f t="shared" si="36"/>
        <v>0</v>
      </c>
      <c r="AQ185" s="5"/>
      <c r="AR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3">
        <f t="shared" si="36"/>
        <v>0</v>
      </c>
      <c r="AQ186" s="5"/>
      <c r="AR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O187" si="37">SUM(E177:E184)</f>
        <v>1</v>
      </c>
      <c r="F187" s="13">
        <f t="shared" si="37"/>
        <v>6</v>
      </c>
      <c r="G187" s="13">
        <f t="shared" si="37"/>
        <v>2</v>
      </c>
      <c r="H187" s="13">
        <f t="shared" si="37"/>
        <v>4</v>
      </c>
      <c r="I187" s="13">
        <f t="shared" si="37"/>
        <v>1</v>
      </c>
      <c r="J187" s="13">
        <f t="shared" si="37"/>
        <v>1</v>
      </c>
      <c r="K187" s="13">
        <f t="shared" si="37"/>
        <v>0</v>
      </c>
      <c r="L187" s="13">
        <f t="shared" si="37"/>
        <v>3</v>
      </c>
      <c r="M187" s="13">
        <f t="shared" si="37"/>
        <v>0</v>
      </c>
      <c r="N187" s="13">
        <f t="shared" si="37"/>
        <v>2</v>
      </c>
      <c r="O187" s="13">
        <f t="shared" si="37"/>
        <v>1</v>
      </c>
      <c r="P187" s="13">
        <f t="shared" si="37"/>
        <v>2</v>
      </c>
      <c r="Q187" s="13">
        <f t="shared" si="37"/>
        <v>7</v>
      </c>
      <c r="R187" s="13">
        <f t="shared" si="37"/>
        <v>4</v>
      </c>
      <c r="S187" s="13">
        <f t="shared" si="37"/>
        <v>1</v>
      </c>
      <c r="T187" s="13">
        <f t="shared" si="37"/>
        <v>7</v>
      </c>
      <c r="U187" s="13">
        <f t="shared" si="37"/>
        <v>1</v>
      </c>
      <c r="V187" s="13">
        <f t="shared" si="37"/>
        <v>5</v>
      </c>
      <c r="W187" s="13">
        <f t="shared" si="37"/>
        <v>2</v>
      </c>
      <c r="X187" s="13">
        <f t="shared" si="37"/>
        <v>1</v>
      </c>
      <c r="Y187" s="13">
        <f t="shared" si="37"/>
        <v>1</v>
      </c>
      <c r="Z187" s="13">
        <f t="shared" si="37"/>
        <v>2</v>
      </c>
      <c r="AA187" s="13">
        <f t="shared" si="37"/>
        <v>4</v>
      </c>
      <c r="AB187" s="13">
        <f t="shared" si="37"/>
        <v>2</v>
      </c>
      <c r="AC187" s="13">
        <f t="shared" si="37"/>
        <v>1</v>
      </c>
      <c r="AD187" s="13">
        <f t="shared" si="37"/>
        <v>0</v>
      </c>
      <c r="AE187" s="13">
        <f t="shared" si="37"/>
        <v>1</v>
      </c>
      <c r="AF187" s="13">
        <f t="shared" si="37"/>
        <v>4</v>
      </c>
      <c r="AG187" s="13">
        <f t="shared" si="37"/>
        <v>3</v>
      </c>
      <c r="AH187" s="13">
        <f t="shared" si="37"/>
        <v>0</v>
      </c>
      <c r="AI187" s="13">
        <f t="shared" si="37"/>
        <v>1</v>
      </c>
      <c r="AJ187" s="13">
        <f t="shared" si="37"/>
        <v>1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2</v>
      </c>
      <c r="AO187" s="13">
        <f t="shared" si="37"/>
        <v>0</v>
      </c>
      <c r="AP187" s="13">
        <f t="shared" si="36"/>
        <v>73</v>
      </c>
      <c r="AQ187" s="1"/>
      <c r="AR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/>
      <c r="AJ189" s="19"/>
      <c r="AK189" s="19"/>
      <c r="AL189" s="19"/>
      <c r="AM189" s="19"/>
      <c r="AN189" s="19"/>
      <c r="AO189" s="19"/>
      <c r="AP189" s="13">
        <f t="shared" ref="AP189:AP199" si="38">SUM(E189:AO189)</f>
        <v>4</v>
      </c>
      <c r="AQ189" s="5"/>
      <c r="AR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2.0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/>
      <c r="AJ190" s="19"/>
      <c r="AK190" s="19"/>
      <c r="AL190" s="19"/>
      <c r="AM190" s="19"/>
      <c r="AN190" s="19"/>
      <c r="AO190" s="19">
        <v>1.0</v>
      </c>
      <c r="AP190" s="13">
        <f t="shared" si="38"/>
        <v>5</v>
      </c>
      <c r="AQ190" s="5"/>
      <c r="AR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1.0</v>
      </c>
      <c r="AI191" s="19"/>
      <c r="AJ191" s="19"/>
      <c r="AK191" s="19"/>
      <c r="AL191" s="19"/>
      <c r="AM191" s="19"/>
      <c r="AN191" s="19"/>
      <c r="AO191" s="19"/>
      <c r="AP191" s="13">
        <f t="shared" si="38"/>
        <v>3</v>
      </c>
      <c r="AQ191" s="5"/>
      <c r="AR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/>
      <c r="AJ192" s="19"/>
      <c r="AK192" s="19"/>
      <c r="AL192" s="19"/>
      <c r="AM192" s="19"/>
      <c r="AN192" s="19"/>
      <c r="AO192" s="19"/>
      <c r="AP192" s="13">
        <f t="shared" si="38"/>
        <v>0</v>
      </c>
      <c r="AQ192" s="5"/>
      <c r="AR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/>
      <c r="AJ193" s="19"/>
      <c r="AK193" s="19"/>
      <c r="AL193" s="19"/>
      <c r="AM193" s="19"/>
      <c r="AN193" s="19"/>
      <c r="AO193" s="19"/>
      <c r="AP193" s="13">
        <f t="shared" si="38"/>
        <v>1</v>
      </c>
      <c r="AQ193" s="5"/>
      <c r="AR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1.0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/>
      <c r="AJ194" s="19"/>
      <c r="AK194" s="19"/>
      <c r="AL194" s="19"/>
      <c r="AM194" s="19"/>
      <c r="AN194" s="19"/>
      <c r="AO194" s="19"/>
      <c r="AP194" s="13">
        <f t="shared" si="38"/>
        <v>1</v>
      </c>
      <c r="AQ194" s="5"/>
      <c r="AR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/>
      <c r="AJ195" s="19"/>
      <c r="AK195" s="19"/>
      <c r="AL195" s="19"/>
      <c r="AM195" s="19"/>
      <c r="AN195" s="19"/>
      <c r="AO195" s="19"/>
      <c r="AP195" s="13">
        <f t="shared" si="38"/>
        <v>0</v>
      </c>
      <c r="AQ195" s="5"/>
      <c r="AR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/>
      <c r="AJ196" s="19"/>
      <c r="AK196" s="19"/>
      <c r="AL196" s="19"/>
      <c r="AM196" s="19"/>
      <c r="AN196" s="19"/>
      <c r="AO196" s="19"/>
      <c r="AP196" s="13">
        <f t="shared" si="38"/>
        <v>0</v>
      </c>
      <c r="AQ196" s="1"/>
      <c r="AR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3">
        <f t="shared" si="38"/>
        <v>0</v>
      </c>
      <c r="AQ197" s="1"/>
      <c r="AR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3">
        <f t="shared" si="38"/>
        <v>0</v>
      </c>
      <c r="AQ198" s="1"/>
      <c r="AR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O199" si="39">SUM(E189:E196)</f>
        <v>0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2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3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1</v>
      </c>
      <c r="AP199" s="13">
        <f t="shared" si="38"/>
        <v>14</v>
      </c>
      <c r="AQ199" s="52"/>
      <c r="AR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5"/>
      <c r="AR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12.0</v>
      </c>
      <c r="F201" s="19">
        <v>6.0</v>
      </c>
      <c r="G201" s="19">
        <v>5.0</v>
      </c>
      <c r="H201" s="19">
        <v>8.0</v>
      </c>
      <c r="I201" s="19">
        <v>6.0</v>
      </c>
      <c r="J201" s="19">
        <v>0.0</v>
      </c>
      <c r="K201" s="19">
        <v>4.0</v>
      </c>
      <c r="L201" s="19">
        <v>1.0</v>
      </c>
      <c r="M201" s="19">
        <v>4.0</v>
      </c>
      <c r="N201" s="19">
        <v>6.0</v>
      </c>
      <c r="O201" s="19">
        <v>6.0</v>
      </c>
      <c r="P201" s="19">
        <v>3.0</v>
      </c>
      <c r="Q201" s="19">
        <v>7.0</v>
      </c>
      <c r="R201" s="19">
        <v>4.0</v>
      </c>
      <c r="S201" s="19">
        <v>5.0</v>
      </c>
      <c r="T201" s="19">
        <v>6.0</v>
      </c>
      <c r="U201" s="19">
        <v>0.0</v>
      </c>
      <c r="V201" s="19">
        <v>16.0</v>
      </c>
      <c r="W201" s="19">
        <v>1.0</v>
      </c>
      <c r="X201" s="19">
        <v>0.0</v>
      </c>
      <c r="Y201" s="19">
        <v>2.0</v>
      </c>
      <c r="Z201" s="19">
        <v>0.0</v>
      </c>
      <c r="AA201" s="19">
        <v>3.0</v>
      </c>
      <c r="AB201" s="19">
        <v>6.0</v>
      </c>
      <c r="AC201" s="19">
        <v>5.0</v>
      </c>
      <c r="AD201" s="19">
        <v>2.0</v>
      </c>
      <c r="AE201" s="19">
        <v>0.0</v>
      </c>
      <c r="AF201" s="19">
        <v>1.0</v>
      </c>
      <c r="AG201" s="19">
        <v>0.0</v>
      </c>
      <c r="AH201" s="19">
        <v>0.0</v>
      </c>
      <c r="AI201" s="19">
        <v>4.0</v>
      </c>
      <c r="AJ201" s="19">
        <v>2.0</v>
      </c>
      <c r="AK201" s="19"/>
      <c r="AL201" s="19">
        <v>1.0</v>
      </c>
      <c r="AM201" s="19"/>
      <c r="AN201" s="19"/>
      <c r="AO201" s="19">
        <v>1.0</v>
      </c>
      <c r="AP201" s="13">
        <f t="shared" ref="AP201:AP211" si="40">SUM(E201:AO201)</f>
        <v>127</v>
      </c>
      <c r="AQ201" s="5"/>
      <c r="AR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15.0</v>
      </c>
      <c r="F202" s="19">
        <v>2.0</v>
      </c>
      <c r="G202" s="19">
        <v>3.0</v>
      </c>
      <c r="H202" s="19">
        <v>6.0</v>
      </c>
      <c r="I202" s="19">
        <v>3.0</v>
      </c>
      <c r="J202" s="19">
        <v>0.0</v>
      </c>
      <c r="K202" s="19">
        <v>3.0</v>
      </c>
      <c r="L202" s="19">
        <v>3.0</v>
      </c>
      <c r="M202" s="19">
        <v>7.0</v>
      </c>
      <c r="N202" s="19">
        <v>1.0</v>
      </c>
      <c r="O202" s="19">
        <v>2.0</v>
      </c>
      <c r="P202" s="19">
        <v>3.0</v>
      </c>
      <c r="Q202" s="19">
        <v>7.0</v>
      </c>
      <c r="R202" s="19">
        <v>3.0</v>
      </c>
      <c r="S202" s="19">
        <v>2.0</v>
      </c>
      <c r="T202" s="19">
        <v>6.0</v>
      </c>
      <c r="U202" s="19">
        <v>3.0</v>
      </c>
      <c r="V202" s="19">
        <v>12.0</v>
      </c>
      <c r="W202" s="19">
        <v>1.0</v>
      </c>
      <c r="X202" s="19">
        <v>6.0</v>
      </c>
      <c r="Y202" s="19">
        <v>6.0</v>
      </c>
      <c r="Z202" s="19">
        <v>2.0</v>
      </c>
      <c r="AA202" s="19">
        <v>4.0</v>
      </c>
      <c r="AB202" s="19">
        <v>2.0</v>
      </c>
      <c r="AC202" s="19">
        <v>1.0</v>
      </c>
      <c r="AD202" s="19">
        <v>0.0</v>
      </c>
      <c r="AE202" s="19">
        <v>1.0</v>
      </c>
      <c r="AF202" s="19">
        <v>1.0</v>
      </c>
      <c r="AG202" s="19">
        <v>0.0</v>
      </c>
      <c r="AH202" s="19">
        <v>1.0</v>
      </c>
      <c r="AI202" s="19">
        <v>3.0</v>
      </c>
      <c r="AJ202" s="19">
        <v>3.0</v>
      </c>
      <c r="AK202" s="19">
        <v>3.0</v>
      </c>
      <c r="AL202" s="19">
        <v>1.0</v>
      </c>
      <c r="AM202" s="19"/>
      <c r="AN202" s="19">
        <v>1.0</v>
      </c>
      <c r="AO202" s="19"/>
      <c r="AP202" s="13">
        <f t="shared" si="40"/>
        <v>117</v>
      </c>
      <c r="AQ202" s="5"/>
      <c r="AR202" s="5"/>
    </row>
    <row r="203" ht="12.75" customHeight="1">
      <c r="A203" s="18"/>
      <c r="B203" s="55">
        <v>2.0</v>
      </c>
      <c r="C203" s="50" t="s">
        <v>149</v>
      </c>
      <c r="D203" s="57"/>
      <c r="E203" s="19">
        <v>4.0</v>
      </c>
      <c r="F203" s="19">
        <v>0.0</v>
      </c>
      <c r="G203" s="19">
        <v>3.0</v>
      </c>
      <c r="H203" s="19">
        <v>1.0</v>
      </c>
      <c r="I203" s="19">
        <v>2.0</v>
      </c>
      <c r="J203" s="19">
        <v>0.0</v>
      </c>
      <c r="K203" s="19">
        <v>1.0</v>
      </c>
      <c r="L203" s="19">
        <v>2.0</v>
      </c>
      <c r="M203" s="19">
        <v>1.0</v>
      </c>
      <c r="N203" s="19">
        <v>1.0</v>
      </c>
      <c r="O203" s="19">
        <v>0.0</v>
      </c>
      <c r="P203" s="19">
        <v>4.0</v>
      </c>
      <c r="Q203" s="19">
        <v>0.0</v>
      </c>
      <c r="R203" s="19">
        <v>0.0</v>
      </c>
      <c r="S203" s="19">
        <v>2.0</v>
      </c>
      <c r="T203" s="19">
        <v>1.0</v>
      </c>
      <c r="U203" s="19">
        <v>0.0</v>
      </c>
      <c r="V203" s="19">
        <v>0.0</v>
      </c>
      <c r="W203" s="19">
        <v>1.0</v>
      </c>
      <c r="X203" s="19">
        <v>1.0</v>
      </c>
      <c r="Y203" s="19">
        <v>0.0</v>
      </c>
      <c r="Z203" s="19">
        <v>1.0</v>
      </c>
      <c r="AA203" s="19">
        <v>2.0</v>
      </c>
      <c r="AB203" s="19">
        <v>1.0</v>
      </c>
      <c r="AC203" s="19">
        <v>0.0</v>
      </c>
      <c r="AD203" s="19">
        <v>0.0</v>
      </c>
      <c r="AE203" s="19">
        <v>1.0</v>
      </c>
      <c r="AF203" s="19">
        <v>0.0</v>
      </c>
      <c r="AG203" s="19">
        <v>0.0</v>
      </c>
      <c r="AH203" s="19">
        <v>0.0</v>
      </c>
      <c r="AI203" s="19">
        <v>1.0</v>
      </c>
      <c r="AJ203" s="19">
        <v>1.0</v>
      </c>
      <c r="AK203" s="19"/>
      <c r="AL203" s="19"/>
      <c r="AM203" s="19"/>
      <c r="AN203" s="19"/>
      <c r="AO203" s="19"/>
      <c r="AP203" s="13">
        <f t="shared" si="40"/>
        <v>31</v>
      </c>
      <c r="AQ203" s="5"/>
      <c r="AR203" s="5"/>
    </row>
    <row r="204" ht="12.75" customHeight="1">
      <c r="A204" s="18"/>
      <c r="B204" s="55">
        <v>3.0</v>
      </c>
      <c r="C204" s="50" t="s">
        <v>150</v>
      </c>
      <c r="D204" s="57"/>
      <c r="E204" s="19">
        <v>1.0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0.0</v>
      </c>
      <c r="P204" s="19">
        <v>1.0</v>
      </c>
      <c r="Q204" s="19">
        <v>3.0</v>
      </c>
      <c r="R204" s="19">
        <v>0.0</v>
      </c>
      <c r="S204" s="19">
        <v>0.0</v>
      </c>
      <c r="T204" s="19">
        <v>0.0</v>
      </c>
      <c r="U204" s="19">
        <v>1.0</v>
      </c>
      <c r="V204" s="19">
        <v>1.0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1.0</v>
      </c>
      <c r="AB204" s="19">
        <v>0.0</v>
      </c>
      <c r="AC204" s="19">
        <v>0.0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/>
      <c r="AJ204" s="19"/>
      <c r="AK204" s="19"/>
      <c r="AL204" s="19"/>
      <c r="AM204" s="19"/>
      <c r="AN204" s="19"/>
      <c r="AO204" s="19"/>
      <c r="AP204" s="13">
        <f t="shared" si="40"/>
        <v>10</v>
      </c>
      <c r="AQ204" s="5"/>
      <c r="AR204" s="5"/>
    </row>
    <row r="205" ht="12.75" customHeight="1">
      <c r="A205" s="18"/>
      <c r="B205" s="55">
        <v>4.0</v>
      </c>
      <c r="C205" s="50" t="s">
        <v>151</v>
      </c>
      <c r="D205" s="57"/>
      <c r="E205" s="19">
        <v>2.0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1.0</v>
      </c>
      <c r="R205" s="19">
        <v>1.0</v>
      </c>
      <c r="S205" s="19">
        <v>0.0</v>
      </c>
      <c r="T205" s="19">
        <v>1.0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/>
      <c r="AJ205" s="19"/>
      <c r="AK205" s="19">
        <v>1.0</v>
      </c>
      <c r="AL205" s="19"/>
      <c r="AM205" s="19"/>
      <c r="AN205" s="19">
        <v>2.0</v>
      </c>
      <c r="AO205" s="19"/>
      <c r="AP205" s="13">
        <f t="shared" si="40"/>
        <v>10</v>
      </c>
      <c r="AQ205" s="5"/>
      <c r="AR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1.0</v>
      </c>
      <c r="R206" s="19">
        <v>0.0</v>
      </c>
      <c r="S206" s="19">
        <v>0.0</v>
      </c>
      <c r="T206" s="19">
        <v>0.0</v>
      </c>
      <c r="U206" s="19">
        <v>0.0</v>
      </c>
      <c r="V206" s="19">
        <v>2.0</v>
      </c>
      <c r="W206" s="19">
        <v>0.0</v>
      </c>
      <c r="X206" s="19">
        <v>0.0</v>
      </c>
      <c r="Y206" s="19">
        <v>2.0</v>
      </c>
      <c r="Z206" s="19">
        <v>0.0</v>
      </c>
      <c r="AA206" s="19">
        <v>1.0</v>
      </c>
      <c r="AB206" s="19">
        <v>1.0</v>
      </c>
      <c r="AC206" s="19">
        <v>0.0</v>
      </c>
      <c r="AD206" s="19">
        <v>0.0</v>
      </c>
      <c r="AE206" s="19">
        <v>1.0</v>
      </c>
      <c r="AF206" s="19">
        <v>0.0</v>
      </c>
      <c r="AG206" s="19">
        <v>0.0</v>
      </c>
      <c r="AH206" s="19">
        <v>0.0</v>
      </c>
      <c r="AI206" s="19"/>
      <c r="AJ206" s="19">
        <v>2.0</v>
      </c>
      <c r="AK206" s="19"/>
      <c r="AL206" s="19"/>
      <c r="AM206" s="19"/>
      <c r="AN206" s="19"/>
      <c r="AO206" s="19"/>
      <c r="AP206" s="13">
        <f t="shared" si="40"/>
        <v>12</v>
      </c>
      <c r="AQ206" s="5"/>
      <c r="AR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/>
      <c r="AJ207" s="19"/>
      <c r="AK207" s="19"/>
      <c r="AL207" s="19"/>
      <c r="AM207" s="19"/>
      <c r="AN207" s="19"/>
      <c r="AO207" s="19"/>
      <c r="AP207" s="13">
        <f t="shared" si="40"/>
        <v>0</v>
      </c>
      <c r="AQ207" s="1"/>
      <c r="AR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1.0</v>
      </c>
      <c r="H208" s="19">
        <v>1.0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2.0</v>
      </c>
      <c r="S208" s="19">
        <v>1.0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/>
      <c r="AJ208" s="19"/>
      <c r="AK208" s="19"/>
      <c r="AL208" s="19"/>
      <c r="AM208" s="19"/>
      <c r="AN208" s="19"/>
      <c r="AO208" s="19"/>
      <c r="AP208" s="13">
        <f t="shared" si="40"/>
        <v>9</v>
      </c>
      <c r="AQ208" s="52"/>
      <c r="AR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3">
        <f t="shared" si="40"/>
        <v>0</v>
      </c>
      <c r="AQ209" s="52"/>
      <c r="AR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3">
        <f t="shared" si="40"/>
        <v>0</v>
      </c>
      <c r="AQ210" s="52"/>
      <c r="AR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O211" si="41">SUM(E201:E208)</f>
        <v>34</v>
      </c>
      <c r="F211" s="13">
        <f t="shared" si="41"/>
        <v>8</v>
      </c>
      <c r="G211" s="13">
        <f t="shared" si="41"/>
        <v>12</v>
      </c>
      <c r="H211" s="13">
        <f t="shared" si="41"/>
        <v>18</v>
      </c>
      <c r="I211" s="13">
        <f t="shared" si="41"/>
        <v>12</v>
      </c>
      <c r="J211" s="13">
        <f t="shared" si="41"/>
        <v>0</v>
      </c>
      <c r="K211" s="13">
        <f t="shared" si="41"/>
        <v>8</v>
      </c>
      <c r="L211" s="13">
        <f t="shared" si="41"/>
        <v>6</v>
      </c>
      <c r="M211" s="13">
        <f t="shared" si="41"/>
        <v>13</v>
      </c>
      <c r="N211" s="13">
        <f t="shared" si="41"/>
        <v>9</v>
      </c>
      <c r="O211" s="13">
        <f t="shared" si="41"/>
        <v>8</v>
      </c>
      <c r="P211" s="13">
        <f t="shared" si="41"/>
        <v>12</v>
      </c>
      <c r="Q211" s="13">
        <f t="shared" si="41"/>
        <v>20</v>
      </c>
      <c r="R211" s="13">
        <f t="shared" si="41"/>
        <v>10</v>
      </c>
      <c r="S211" s="13">
        <f t="shared" si="41"/>
        <v>10</v>
      </c>
      <c r="T211" s="13">
        <f t="shared" si="41"/>
        <v>14</v>
      </c>
      <c r="U211" s="13">
        <f t="shared" si="41"/>
        <v>4</v>
      </c>
      <c r="V211" s="13">
        <f t="shared" si="41"/>
        <v>32</v>
      </c>
      <c r="W211" s="13">
        <f t="shared" si="41"/>
        <v>3</v>
      </c>
      <c r="X211" s="13">
        <f t="shared" si="41"/>
        <v>7</v>
      </c>
      <c r="Y211" s="13">
        <f t="shared" si="41"/>
        <v>11</v>
      </c>
      <c r="Z211" s="13">
        <f t="shared" si="41"/>
        <v>3</v>
      </c>
      <c r="AA211" s="13">
        <f t="shared" si="41"/>
        <v>11</v>
      </c>
      <c r="AB211" s="13">
        <f t="shared" si="41"/>
        <v>10</v>
      </c>
      <c r="AC211" s="13">
        <f t="shared" si="41"/>
        <v>6</v>
      </c>
      <c r="AD211" s="13">
        <f t="shared" si="41"/>
        <v>2</v>
      </c>
      <c r="AE211" s="13">
        <f t="shared" si="41"/>
        <v>4</v>
      </c>
      <c r="AF211" s="13">
        <f t="shared" si="41"/>
        <v>2</v>
      </c>
      <c r="AG211" s="13">
        <f t="shared" si="41"/>
        <v>0</v>
      </c>
      <c r="AH211" s="13">
        <f t="shared" si="41"/>
        <v>1</v>
      </c>
      <c r="AI211" s="13">
        <f t="shared" si="41"/>
        <v>8</v>
      </c>
      <c r="AJ211" s="13">
        <f t="shared" si="41"/>
        <v>8</v>
      </c>
      <c r="AK211" s="13">
        <f t="shared" si="41"/>
        <v>4</v>
      </c>
      <c r="AL211" s="13">
        <f t="shared" si="41"/>
        <v>2</v>
      </c>
      <c r="AM211" s="13">
        <f t="shared" si="41"/>
        <v>0</v>
      </c>
      <c r="AN211" s="13">
        <f t="shared" si="41"/>
        <v>3</v>
      </c>
      <c r="AO211" s="13">
        <f t="shared" si="41"/>
        <v>1</v>
      </c>
      <c r="AP211" s="13">
        <f t="shared" si="40"/>
        <v>316</v>
      </c>
      <c r="AQ211" s="5"/>
      <c r="AR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5"/>
      <c r="AR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1.0</v>
      </c>
      <c r="H213" s="19">
        <v>0.0</v>
      </c>
      <c r="I213" s="19">
        <v>0.0</v>
      </c>
      <c r="J213" s="19">
        <v>0.0</v>
      </c>
      <c r="K213" s="19">
        <v>1.0</v>
      </c>
      <c r="L213" s="19">
        <v>0.0</v>
      </c>
      <c r="M213" s="19">
        <v>0.0</v>
      </c>
      <c r="N213" s="19">
        <v>0.0</v>
      </c>
      <c r="O213" s="19">
        <v>2.0</v>
      </c>
      <c r="P213" s="19">
        <v>0.0</v>
      </c>
      <c r="Q213" s="19">
        <v>6.0</v>
      </c>
      <c r="R213" s="19">
        <v>5.0</v>
      </c>
      <c r="S213" s="19">
        <v>2.0</v>
      </c>
      <c r="T213" s="19">
        <v>5.0</v>
      </c>
      <c r="U213" s="19">
        <v>1.0</v>
      </c>
      <c r="V213" s="19">
        <v>2.0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1.0</v>
      </c>
      <c r="AC213" s="19">
        <v>0.0</v>
      </c>
      <c r="AD213" s="19">
        <v>1.0</v>
      </c>
      <c r="AE213" s="19">
        <v>0.0</v>
      </c>
      <c r="AF213" s="19">
        <v>0.0</v>
      </c>
      <c r="AG213" s="19">
        <v>0.0</v>
      </c>
      <c r="AH213" s="19">
        <v>0.0</v>
      </c>
      <c r="AI213" s="19"/>
      <c r="AJ213" s="19"/>
      <c r="AK213" s="19"/>
      <c r="AL213" s="19"/>
      <c r="AM213" s="19"/>
      <c r="AN213" s="19"/>
      <c r="AO213" s="19">
        <v>1.0</v>
      </c>
      <c r="AP213" s="13">
        <f t="shared" ref="AP213:AP223" si="42">SUM(E213:AO213)</f>
        <v>31</v>
      </c>
      <c r="AQ213" s="5"/>
      <c r="AR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0.0</v>
      </c>
      <c r="H214" s="19">
        <v>2.0</v>
      </c>
      <c r="I214" s="19">
        <v>1.0</v>
      </c>
      <c r="J214" s="19">
        <v>0.0</v>
      </c>
      <c r="K214" s="19">
        <v>0.0</v>
      </c>
      <c r="L214" s="19">
        <v>2.0</v>
      </c>
      <c r="M214" s="19">
        <v>2.0</v>
      </c>
      <c r="N214" s="19">
        <v>2.0</v>
      </c>
      <c r="O214" s="19">
        <v>7.0</v>
      </c>
      <c r="P214" s="19">
        <v>3.0</v>
      </c>
      <c r="Q214" s="19">
        <v>0.0</v>
      </c>
      <c r="R214" s="19">
        <v>0.0</v>
      </c>
      <c r="S214" s="19">
        <v>2.0</v>
      </c>
      <c r="T214" s="19">
        <v>2.0</v>
      </c>
      <c r="U214" s="19">
        <v>0.0</v>
      </c>
      <c r="V214" s="19">
        <v>0.0</v>
      </c>
      <c r="W214" s="19">
        <v>0.0</v>
      </c>
      <c r="X214" s="19">
        <v>1.0</v>
      </c>
      <c r="Y214" s="19">
        <v>0.0</v>
      </c>
      <c r="Z214" s="19">
        <v>2.0</v>
      </c>
      <c r="AA214" s="19">
        <v>1.0</v>
      </c>
      <c r="AB214" s="19">
        <v>0.0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/>
      <c r="AJ214" s="19"/>
      <c r="AK214" s="19"/>
      <c r="AL214" s="19"/>
      <c r="AM214" s="19"/>
      <c r="AN214" s="19"/>
      <c r="AO214" s="19">
        <v>1.0</v>
      </c>
      <c r="AP214" s="13">
        <f t="shared" si="42"/>
        <v>28</v>
      </c>
      <c r="AQ214" s="5"/>
      <c r="AR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1.0</v>
      </c>
      <c r="I215" s="19">
        <v>0.0</v>
      </c>
      <c r="J215" s="19">
        <v>1.0</v>
      </c>
      <c r="K215" s="19">
        <v>0.0</v>
      </c>
      <c r="L215" s="19">
        <v>2.0</v>
      </c>
      <c r="M215" s="19">
        <v>2.0</v>
      </c>
      <c r="N215" s="19">
        <v>0.0</v>
      </c>
      <c r="O215" s="19">
        <v>2.0</v>
      </c>
      <c r="P215" s="19">
        <v>0.0</v>
      </c>
      <c r="Q215" s="19">
        <v>3.0</v>
      </c>
      <c r="R215" s="19">
        <v>1.0</v>
      </c>
      <c r="S215" s="19">
        <v>3.0</v>
      </c>
      <c r="T215" s="19">
        <v>2.0</v>
      </c>
      <c r="U215" s="19">
        <v>0.0</v>
      </c>
      <c r="V215" s="19">
        <v>0.0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1.0</v>
      </c>
      <c r="AB215" s="19">
        <v>0.0</v>
      </c>
      <c r="AC215" s="19">
        <v>0.0</v>
      </c>
      <c r="AD215" s="19">
        <v>0.0</v>
      </c>
      <c r="AE215" s="19">
        <v>0.0</v>
      </c>
      <c r="AF215" s="19">
        <v>0.0</v>
      </c>
      <c r="AG215" s="19">
        <v>1.0</v>
      </c>
      <c r="AH215" s="19">
        <v>0.0</v>
      </c>
      <c r="AI215" s="19"/>
      <c r="AJ215" s="19">
        <v>1.0</v>
      </c>
      <c r="AK215" s="19">
        <v>20.0</v>
      </c>
      <c r="AL215" s="19"/>
      <c r="AM215" s="19">
        <v>1.0</v>
      </c>
      <c r="AN215" s="19">
        <v>3.0</v>
      </c>
      <c r="AO215" s="19"/>
      <c r="AP215" s="13">
        <f t="shared" si="42"/>
        <v>44</v>
      </c>
      <c r="AQ215" s="5"/>
      <c r="AR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1.0</v>
      </c>
      <c r="AC216" s="19">
        <v>1.0</v>
      </c>
      <c r="AD216" s="19">
        <v>0.0</v>
      </c>
      <c r="AE216" s="19">
        <v>0.0</v>
      </c>
      <c r="AF216" s="19">
        <v>0.0</v>
      </c>
      <c r="AG216" s="19">
        <v>1.0</v>
      </c>
      <c r="AH216" s="19">
        <v>0.0</v>
      </c>
      <c r="AI216" s="19"/>
      <c r="AJ216" s="19"/>
      <c r="AK216" s="19">
        <v>1.0</v>
      </c>
      <c r="AL216" s="19">
        <v>1.0</v>
      </c>
      <c r="AM216" s="19"/>
      <c r="AN216" s="19"/>
      <c r="AO216" s="19"/>
      <c r="AP216" s="13">
        <f t="shared" si="42"/>
        <v>8</v>
      </c>
      <c r="AQ216" s="5"/>
      <c r="AR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/>
      <c r="AJ217" s="19"/>
      <c r="AK217" s="19"/>
      <c r="AL217" s="19"/>
      <c r="AM217" s="19">
        <v>1.0</v>
      </c>
      <c r="AN217" s="19"/>
      <c r="AO217" s="19"/>
      <c r="AP217" s="13">
        <f t="shared" si="42"/>
        <v>2</v>
      </c>
      <c r="AQ217" s="5"/>
      <c r="AR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1.0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/>
      <c r="AJ218" s="19"/>
      <c r="AK218" s="19"/>
      <c r="AL218" s="19"/>
      <c r="AM218" s="19"/>
      <c r="AN218" s="19"/>
      <c r="AO218" s="19"/>
      <c r="AP218" s="13">
        <f t="shared" si="42"/>
        <v>2</v>
      </c>
      <c r="AQ218" s="1"/>
      <c r="AR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/>
      <c r="AJ219" s="19"/>
      <c r="AK219" s="19"/>
      <c r="AL219" s="19"/>
      <c r="AM219" s="19"/>
      <c r="AN219" s="19"/>
      <c r="AO219" s="19"/>
      <c r="AP219" s="13">
        <f t="shared" si="42"/>
        <v>3</v>
      </c>
      <c r="AQ219" s="52"/>
      <c r="AR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1.0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1.0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/>
      <c r="AJ220" s="19"/>
      <c r="AK220" s="19"/>
      <c r="AL220" s="19"/>
      <c r="AM220" s="19"/>
      <c r="AN220" s="19"/>
      <c r="AO220" s="19"/>
      <c r="AP220" s="13">
        <f t="shared" si="42"/>
        <v>3</v>
      </c>
      <c r="AQ220" s="5"/>
      <c r="AR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3">
        <f t="shared" si="42"/>
        <v>0</v>
      </c>
      <c r="AQ221" s="5"/>
      <c r="AR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3">
        <f t="shared" si="42"/>
        <v>0</v>
      </c>
      <c r="AQ222" s="5"/>
      <c r="AR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O223" si="43">SUM(E213:E220)</f>
        <v>3</v>
      </c>
      <c r="F223" s="13">
        <f t="shared" si="43"/>
        <v>1</v>
      </c>
      <c r="G223" s="13">
        <f t="shared" si="43"/>
        <v>2</v>
      </c>
      <c r="H223" s="13">
        <f t="shared" si="43"/>
        <v>3</v>
      </c>
      <c r="I223" s="13">
        <f t="shared" si="43"/>
        <v>1</v>
      </c>
      <c r="J223" s="13">
        <f t="shared" si="43"/>
        <v>1</v>
      </c>
      <c r="K223" s="13">
        <f t="shared" si="43"/>
        <v>2</v>
      </c>
      <c r="L223" s="13">
        <f t="shared" si="43"/>
        <v>4</v>
      </c>
      <c r="M223" s="13">
        <f t="shared" si="43"/>
        <v>5</v>
      </c>
      <c r="N223" s="13">
        <f t="shared" si="43"/>
        <v>3</v>
      </c>
      <c r="O223" s="13">
        <f t="shared" si="43"/>
        <v>12</v>
      </c>
      <c r="P223" s="13">
        <f t="shared" si="43"/>
        <v>3</v>
      </c>
      <c r="Q223" s="13">
        <f t="shared" si="43"/>
        <v>10</v>
      </c>
      <c r="R223" s="13">
        <f t="shared" si="43"/>
        <v>7</v>
      </c>
      <c r="S223" s="13">
        <f t="shared" si="43"/>
        <v>7</v>
      </c>
      <c r="T223" s="13">
        <f t="shared" si="43"/>
        <v>11</v>
      </c>
      <c r="U223" s="13">
        <f t="shared" si="43"/>
        <v>1</v>
      </c>
      <c r="V223" s="13">
        <f t="shared" si="43"/>
        <v>2</v>
      </c>
      <c r="W223" s="13">
        <f t="shared" si="43"/>
        <v>0</v>
      </c>
      <c r="X223" s="13">
        <f t="shared" si="43"/>
        <v>2</v>
      </c>
      <c r="Y223" s="13">
        <f t="shared" si="43"/>
        <v>0</v>
      </c>
      <c r="Z223" s="13">
        <f t="shared" si="43"/>
        <v>2</v>
      </c>
      <c r="AA223" s="13">
        <f t="shared" si="43"/>
        <v>3</v>
      </c>
      <c r="AB223" s="13">
        <f t="shared" si="43"/>
        <v>2</v>
      </c>
      <c r="AC223" s="13">
        <f t="shared" si="43"/>
        <v>1</v>
      </c>
      <c r="AD223" s="13">
        <f t="shared" si="43"/>
        <v>1</v>
      </c>
      <c r="AE223" s="13">
        <f t="shared" si="43"/>
        <v>0</v>
      </c>
      <c r="AF223" s="13">
        <f t="shared" si="43"/>
        <v>0</v>
      </c>
      <c r="AG223" s="13">
        <f t="shared" si="43"/>
        <v>2</v>
      </c>
      <c r="AH223" s="13">
        <f t="shared" si="43"/>
        <v>0</v>
      </c>
      <c r="AI223" s="13">
        <f t="shared" si="43"/>
        <v>0</v>
      </c>
      <c r="AJ223" s="13">
        <f t="shared" si="43"/>
        <v>1</v>
      </c>
      <c r="AK223" s="13">
        <f t="shared" si="43"/>
        <v>21</v>
      </c>
      <c r="AL223" s="13">
        <f t="shared" si="43"/>
        <v>1</v>
      </c>
      <c r="AM223" s="13">
        <f t="shared" si="43"/>
        <v>2</v>
      </c>
      <c r="AN223" s="13">
        <f t="shared" si="43"/>
        <v>3</v>
      </c>
      <c r="AO223" s="13">
        <f t="shared" si="43"/>
        <v>2</v>
      </c>
      <c r="AP223" s="13">
        <f t="shared" si="42"/>
        <v>121</v>
      </c>
      <c r="AQ223" s="5"/>
      <c r="AR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5"/>
      <c r="AR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5.0</v>
      </c>
      <c r="S225" s="19">
        <v>6.0</v>
      </c>
      <c r="T225" s="19">
        <v>3.0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5.0</v>
      </c>
      <c r="AB225" s="19">
        <v>1.0</v>
      </c>
      <c r="AC225" s="19">
        <v>1.0</v>
      </c>
      <c r="AD225" s="19">
        <v>3.0</v>
      </c>
      <c r="AE225" s="19">
        <v>0.0</v>
      </c>
      <c r="AF225" s="19">
        <v>1.0</v>
      </c>
      <c r="AG225" s="19">
        <v>0.0</v>
      </c>
      <c r="AH225" s="19">
        <v>0.0</v>
      </c>
      <c r="AI225" s="19"/>
      <c r="AJ225" s="19"/>
      <c r="AK225" s="19"/>
      <c r="AL225" s="19">
        <v>1.0</v>
      </c>
      <c r="AM225" s="19"/>
      <c r="AN225" s="19"/>
      <c r="AO225" s="19"/>
      <c r="AP225" s="13">
        <f t="shared" ref="AP225:AP235" si="44">SUM(E225:AO225)</f>
        <v>28</v>
      </c>
      <c r="AQ225" s="5"/>
      <c r="AR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4.0</v>
      </c>
      <c r="F226" s="19">
        <v>1.0</v>
      </c>
      <c r="G226" s="19">
        <v>0.0</v>
      </c>
      <c r="H226" s="19">
        <v>2.0</v>
      </c>
      <c r="I226" s="19">
        <v>1.0</v>
      </c>
      <c r="J226" s="19">
        <v>1.0</v>
      </c>
      <c r="K226" s="19">
        <v>0.0</v>
      </c>
      <c r="L226" s="19">
        <v>2.0</v>
      </c>
      <c r="M226" s="19">
        <v>0.0</v>
      </c>
      <c r="N226" s="19">
        <v>1.0</v>
      </c>
      <c r="O226" s="19">
        <v>7.0</v>
      </c>
      <c r="P226" s="19">
        <v>7.0</v>
      </c>
      <c r="Q226" s="19">
        <v>15.0</v>
      </c>
      <c r="R226" s="19">
        <v>12.0</v>
      </c>
      <c r="S226" s="19">
        <v>34.0</v>
      </c>
      <c r="T226" s="19">
        <v>9.0</v>
      </c>
      <c r="U226" s="19">
        <v>1.0</v>
      </c>
      <c r="V226" s="19">
        <v>0.0</v>
      </c>
      <c r="W226" s="19">
        <v>3.0</v>
      </c>
      <c r="X226" s="19">
        <v>3.0</v>
      </c>
      <c r="Y226" s="19">
        <v>0.0</v>
      </c>
      <c r="Z226" s="19">
        <v>6.0</v>
      </c>
      <c r="AA226" s="19">
        <v>11.0</v>
      </c>
      <c r="AB226" s="19">
        <v>9.0</v>
      </c>
      <c r="AC226" s="19">
        <v>6.0</v>
      </c>
      <c r="AD226" s="19">
        <v>0.0</v>
      </c>
      <c r="AE226" s="19">
        <v>0.0</v>
      </c>
      <c r="AF226" s="19">
        <v>1.0</v>
      </c>
      <c r="AG226" s="19">
        <v>0.0</v>
      </c>
      <c r="AH226" s="19">
        <v>0.0</v>
      </c>
      <c r="AI226" s="19">
        <v>4.0</v>
      </c>
      <c r="AJ226" s="19">
        <v>2.0</v>
      </c>
      <c r="AK226" s="19"/>
      <c r="AL226" s="19"/>
      <c r="AM226" s="19"/>
      <c r="AN226" s="19"/>
      <c r="AO226" s="19"/>
      <c r="AP226" s="13">
        <f t="shared" si="44"/>
        <v>142</v>
      </c>
      <c r="AQ226" s="5"/>
      <c r="AR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1.0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2.0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/>
      <c r="AJ227" s="19"/>
      <c r="AK227" s="19"/>
      <c r="AL227" s="19"/>
      <c r="AM227" s="19"/>
      <c r="AN227" s="19"/>
      <c r="AO227" s="19"/>
      <c r="AP227" s="13">
        <f t="shared" si="44"/>
        <v>4</v>
      </c>
      <c r="AQ227" s="5"/>
      <c r="AR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2.0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/>
      <c r="AJ228" s="19"/>
      <c r="AK228" s="19"/>
      <c r="AL228" s="19"/>
      <c r="AM228" s="19"/>
      <c r="AN228" s="19"/>
      <c r="AO228" s="19"/>
      <c r="AP228" s="13">
        <f t="shared" si="44"/>
        <v>3</v>
      </c>
      <c r="AQ228" s="5"/>
      <c r="AR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/>
      <c r="AJ229" s="19"/>
      <c r="AK229" s="19"/>
      <c r="AL229" s="19"/>
      <c r="AM229" s="19"/>
      <c r="AN229" s="19"/>
      <c r="AO229" s="19"/>
      <c r="AP229" s="13">
        <f t="shared" si="44"/>
        <v>0</v>
      </c>
      <c r="AQ229" s="1"/>
      <c r="AR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1.0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/>
      <c r="AJ230" s="19"/>
      <c r="AK230" s="19"/>
      <c r="AL230" s="19"/>
      <c r="AM230" s="19"/>
      <c r="AN230" s="19"/>
      <c r="AO230" s="19"/>
      <c r="AP230" s="13">
        <f t="shared" si="44"/>
        <v>1</v>
      </c>
      <c r="AQ230" s="52"/>
      <c r="AR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1.0</v>
      </c>
      <c r="Q231" s="19">
        <v>0.0</v>
      </c>
      <c r="R231" s="19">
        <v>0.0</v>
      </c>
      <c r="S231" s="19">
        <v>1.0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/>
      <c r="AJ231" s="19"/>
      <c r="AK231" s="19"/>
      <c r="AL231" s="19"/>
      <c r="AM231" s="19"/>
      <c r="AN231" s="19"/>
      <c r="AO231" s="19"/>
      <c r="AP231" s="13">
        <f t="shared" si="44"/>
        <v>2</v>
      </c>
      <c r="AQ231" s="5"/>
      <c r="AR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2.0</v>
      </c>
      <c r="O232" s="19">
        <v>5.0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1.0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/>
      <c r="AJ232" s="19"/>
      <c r="AK232" s="19"/>
      <c r="AL232" s="19"/>
      <c r="AM232" s="19"/>
      <c r="AN232" s="19"/>
      <c r="AO232" s="19"/>
      <c r="AP232" s="13">
        <f t="shared" si="44"/>
        <v>10</v>
      </c>
      <c r="AQ232" s="5"/>
      <c r="AR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3">
        <f t="shared" si="44"/>
        <v>0</v>
      </c>
      <c r="AQ233" s="5"/>
      <c r="AR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3">
        <f t="shared" si="44"/>
        <v>0</v>
      </c>
      <c r="AQ234" s="5"/>
      <c r="AR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O235" si="45">SUM(E225:E232)</f>
        <v>6</v>
      </c>
      <c r="F235" s="13">
        <f t="shared" si="45"/>
        <v>2</v>
      </c>
      <c r="G235" s="13">
        <f t="shared" si="45"/>
        <v>1</v>
      </c>
      <c r="H235" s="13">
        <f t="shared" si="45"/>
        <v>3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3</v>
      </c>
      <c r="M235" s="13">
        <f t="shared" si="45"/>
        <v>2</v>
      </c>
      <c r="N235" s="13">
        <f t="shared" si="45"/>
        <v>3</v>
      </c>
      <c r="O235" s="13">
        <f t="shared" si="45"/>
        <v>12</v>
      </c>
      <c r="P235" s="13">
        <f t="shared" si="45"/>
        <v>8</v>
      </c>
      <c r="Q235" s="13">
        <f t="shared" si="45"/>
        <v>15</v>
      </c>
      <c r="R235" s="13">
        <f t="shared" si="45"/>
        <v>18</v>
      </c>
      <c r="S235" s="13">
        <f t="shared" si="45"/>
        <v>42</v>
      </c>
      <c r="T235" s="13">
        <f t="shared" si="45"/>
        <v>12</v>
      </c>
      <c r="U235" s="13">
        <f t="shared" si="45"/>
        <v>1</v>
      </c>
      <c r="V235" s="13">
        <f t="shared" si="45"/>
        <v>1</v>
      </c>
      <c r="W235" s="13">
        <f t="shared" si="45"/>
        <v>3</v>
      </c>
      <c r="X235" s="13">
        <f t="shared" si="45"/>
        <v>3</v>
      </c>
      <c r="Y235" s="13">
        <f t="shared" si="45"/>
        <v>0</v>
      </c>
      <c r="Z235" s="13">
        <f t="shared" si="45"/>
        <v>6</v>
      </c>
      <c r="AA235" s="13">
        <f t="shared" si="45"/>
        <v>18</v>
      </c>
      <c r="AB235" s="13">
        <f t="shared" si="45"/>
        <v>10</v>
      </c>
      <c r="AC235" s="13">
        <f t="shared" si="45"/>
        <v>7</v>
      </c>
      <c r="AD235" s="13">
        <f t="shared" si="45"/>
        <v>3</v>
      </c>
      <c r="AE235" s="13">
        <f t="shared" si="45"/>
        <v>0</v>
      </c>
      <c r="AF235" s="13">
        <f t="shared" si="45"/>
        <v>2</v>
      </c>
      <c r="AG235" s="13">
        <f t="shared" si="45"/>
        <v>0</v>
      </c>
      <c r="AH235" s="13">
        <f t="shared" si="45"/>
        <v>0</v>
      </c>
      <c r="AI235" s="13">
        <f t="shared" si="45"/>
        <v>4</v>
      </c>
      <c r="AJ235" s="13">
        <f t="shared" si="45"/>
        <v>2</v>
      </c>
      <c r="AK235" s="13">
        <f t="shared" si="45"/>
        <v>0</v>
      </c>
      <c r="AL235" s="13">
        <f t="shared" si="45"/>
        <v>1</v>
      </c>
      <c r="AM235" s="13">
        <f t="shared" si="45"/>
        <v>0</v>
      </c>
      <c r="AN235" s="13">
        <f t="shared" si="45"/>
        <v>0</v>
      </c>
      <c r="AO235" s="13">
        <f t="shared" si="45"/>
        <v>0</v>
      </c>
      <c r="AP235" s="13">
        <f t="shared" si="44"/>
        <v>190</v>
      </c>
      <c r="AQ235" s="5"/>
      <c r="AR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5"/>
      <c r="AR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5.0</v>
      </c>
      <c r="H237" s="19">
        <v>1.0</v>
      </c>
      <c r="I237" s="19">
        <v>3.0</v>
      </c>
      <c r="J237" s="19">
        <v>6.0</v>
      </c>
      <c r="K237" s="19">
        <v>7.0</v>
      </c>
      <c r="L237" s="19">
        <v>0.0</v>
      </c>
      <c r="M237" s="19">
        <v>11.0</v>
      </c>
      <c r="N237" s="19">
        <v>4.0</v>
      </c>
      <c r="O237" s="19">
        <v>2.0</v>
      </c>
      <c r="P237" s="19">
        <v>2.0</v>
      </c>
      <c r="Q237" s="19">
        <v>1.0</v>
      </c>
      <c r="R237" s="19">
        <v>4.0</v>
      </c>
      <c r="S237" s="19">
        <v>3.0</v>
      </c>
      <c r="T237" s="19">
        <v>2.0</v>
      </c>
      <c r="U237" s="19">
        <v>0.0</v>
      </c>
      <c r="V237" s="19">
        <v>0.0</v>
      </c>
      <c r="W237" s="19">
        <v>1.0</v>
      </c>
      <c r="X237" s="19">
        <v>3.0</v>
      </c>
      <c r="Y237" s="19">
        <v>1.0</v>
      </c>
      <c r="Z237" s="19">
        <v>0.0</v>
      </c>
      <c r="AA237" s="19">
        <v>1.0</v>
      </c>
      <c r="AB237" s="19">
        <v>0.0</v>
      </c>
      <c r="AC237" s="19">
        <v>1.0</v>
      </c>
      <c r="AD237" s="19">
        <v>0.0</v>
      </c>
      <c r="AE237" s="19">
        <v>1.0</v>
      </c>
      <c r="AF237" s="19">
        <v>0.0</v>
      </c>
      <c r="AG237" s="19">
        <v>2.0</v>
      </c>
      <c r="AH237" s="19">
        <v>5.0</v>
      </c>
      <c r="AI237" s="19">
        <v>1.0</v>
      </c>
      <c r="AJ237" s="19"/>
      <c r="AK237" s="19"/>
      <c r="AL237" s="19"/>
      <c r="AM237" s="19">
        <v>4.0</v>
      </c>
      <c r="AN237" s="19">
        <v>6.0</v>
      </c>
      <c r="AO237" s="19">
        <v>4.0</v>
      </c>
      <c r="AP237" s="13">
        <f t="shared" ref="AP237:AP247" si="46">SUM(E237:AO237)</f>
        <v>82</v>
      </c>
      <c r="AQ237" s="5"/>
      <c r="AR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5.0</v>
      </c>
      <c r="H238" s="19">
        <v>2.0</v>
      </c>
      <c r="I238" s="19">
        <v>4.0</v>
      </c>
      <c r="J238" s="19">
        <v>9.0</v>
      </c>
      <c r="K238" s="19">
        <v>18.0</v>
      </c>
      <c r="L238" s="19">
        <v>2.0</v>
      </c>
      <c r="M238" s="19">
        <v>13.0</v>
      </c>
      <c r="N238" s="19">
        <v>8.0</v>
      </c>
      <c r="O238" s="19">
        <v>0.0</v>
      </c>
      <c r="P238" s="19">
        <v>3.0</v>
      </c>
      <c r="Q238" s="19">
        <v>1.0</v>
      </c>
      <c r="R238" s="19">
        <v>0.0</v>
      </c>
      <c r="S238" s="19">
        <v>2.0</v>
      </c>
      <c r="T238" s="19">
        <v>0.0</v>
      </c>
      <c r="U238" s="19">
        <v>0.0</v>
      </c>
      <c r="V238" s="19">
        <v>0.0</v>
      </c>
      <c r="W238" s="19">
        <v>2.0</v>
      </c>
      <c r="X238" s="19">
        <v>3.0</v>
      </c>
      <c r="Y238" s="19">
        <v>1.0</v>
      </c>
      <c r="Z238" s="19">
        <v>1.0</v>
      </c>
      <c r="AA238" s="19">
        <v>2.0</v>
      </c>
      <c r="AB238" s="19">
        <v>2.0</v>
      </c>
      <c r="AC238" s="19">
        <v>1.0</v>
      </c>
      <c r="AD238" s="19">
        <v>2.0</v>
      </c>
      <c r="AE238" s="19">
        <v>0.0</v>
      </c>
      <c r="AF238" s="19">
        <v>0.0</v>
      </c>
      <c r="AG238" s="19">
        <v>1.0</v>
      </c>
      <c r="AH238" s="19">
        <v>0.0</v>
      </c>
      <c r="AI238" s="19"/>
      <c r="AJ238" s="19"/>
      <c r="AK238" s="19"/>
      <c r="AL238" s="19"/>
      <c r="AM238" s="19">
        <v>1.0</v>
      </c>
      <c r="AN238" s="19">
        <v>10.0</v>
      </c>
      <c r="AO238" s="19">
        <v>19.0</v>
      </c>
      <c r="AP238" s="13">
        <f t="shared" si="46"/>
        <v>113</v>
      </c>
      <c r="AQ238" s="5"/>
      <c r="AR238" s="5"/>
    </row>
    <row r="239" ht="12.75" customHeight="1">
      <c r="A239" s="18"/>
      <c r="B239" s="55">
        <v>2.0</v>
      </c>
      <c r="C239" s="50" t="s">
        <v>176</v>
      </c>
      <c r="D239" s="57"/>
      <c r="E239" s="19">
        <v>4.0</v>
      </c>
      <c r="F239" s="19">
        <v>2.0</v>
      </c>
      <c r="G239" s="19">
        <v>18.0</v>
      </c>
      <c r="H239" s="19">
        <v>0.0</v>
      </c>
      <c r="I239" s="19">
        <v>5.0</v>
      </c>
      <c r="J239" s="19">
        <v>38.0</v>
      </c>
      <c r="K239" s="19">
        <v>58.0</v>
      </c>
      <c r="L239" s="19">
        <v>8.0</v>
      </c>
      <c r="M239" s="19">
        <v>56.0</v>
      </c>
      <c r="N239" s="19">
        <v>18.0</v>
      </c>
      <c r="O239" s="19">
        <v>3.0</v>
      </c>
      <c r="P239" s="19">
        <v>7.0</v>
      </c>
      <c r="Q239" s="19">
        <v>0.0</v>
      </c>
      <c r="R239" s="19">
        <v>0.0</v>
      </c>
      <c r="S239" s="19">
        <v>3.0</v>
      </c>
      <c r="T239" s="19">
        <v>0.0</v>
      </c>
      <c r="U239" s="19">
        <v>0.0</v>
      </c>
      <c r="V239" s="19">
        <v>1.0</v>
      </c>
      <c r="W239" s="19">
        <v>0.0</v>
      </c>
      <c r="X239" s="19">
        <v>1.0</v>
      </c>
      <c r="Y239" s="19">
        <v>5.0</v>
      </c>
      <c r="Z239" s="19">
        <v>0.0</v>
      </c>
      <c r="AA239" s="19">
        <v>0.0</v>
      </c>
      <c r="AB239" s="19">
        <v>1.0</v>
      </c>
      <c r="AC239" s="19">
        <v>0.0</v>
      </c>
      <c r="AD239" s="19">
        <v>2.0</v>
      </c>
      <c r="AE239" s="19">
        <v>0.0</v>
      </c>
      <c r="AF239" s="19">
        <v>0.0</v>
      </c>
      <c r="AG239" s="19">
        <v>8.0</v>
      </c>
      <c r="AH239" s="19">
        <v>16.0</v>
      </c>
      <c r="AI239" s="19">
        <v>10.0</v>
      </c>
      <c r="AJ239" s="19"/>
      <c r="AK239" s="19">
        <v>1.0</v>
      </c>
      <c r="AL239" s="19"/>
      <c r="AM239" s="19"/>
      <c r="AN239" s="19">
        <v>45.0</v>
      </c>
      <c r="AO239" s="19">
        <v>38.0</v>
      </c>
      <c r="AP239" s="13">
        <f t="shared" si="46"/>
        <v>348</v>
      </c>
      <c r="AQ239" s="5"/>
      <c r="AR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1.0</v>
      </c>
      <c r="L240" s="19">
        <v>0.0</v>
      </c>
      <c r="M240" s="19">
        <v>1.0</v>
      </c>
      <c r="N240" s="19">
        <v>1.0</v>
      </c>
      <c r="O240" s="19">
        <v>1.0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1.0</v>
      </c>
      <c r="X240" s="19">
        <v>2.0</v>
      </c>
      <c r="Y240" s="19">
        <v>0.0</v>
      </c>
      <c r="Z240" s="19">
        <v>0.0</v>
      </c>
      <c r="AA240" s="19">
        <v>0.0</v>
      </c>
      <c r="AB240" s="19">
        <v>2.0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/>
      <c r="AJ240" s="19"/>
      <c r="AK240" s="19"/>
      <c r="AL240" s="19"/>
      <c r="AM240" s="19">
        <v>1.0</v>
      </c>
      <c r="AN240" s="19"/>
      <c r="AO240" s="19">
        <v>1.0</v>
      </c>
      <c r="AP240" s="13">
        <f t="shared" si="46"/>
        <v>15</v>
      </c>
      <c r="AQ240" s="1"/>
      <c r="AR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2.0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5.0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0.0</v>
      </c>
      <c r="V241" s="19">
        <v>1.0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/>
      <c r="AJ241" s="19"/>
      <c r="AK241" s="19"/>
      <c r="AL241" s="19"/>
      <c r="AM241" s="19">
        <v>1.0</v>
      </c>
      <c r="AN241" s="19">
        <v>1.0</v>
      </c>
      <c r="AO241" s="19"/>
      <c r="AP241" s="13">
        <f t="shared" si="46"/>
        <v>14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1.0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1.0</v>
      </c>
      <c r="T242" s="19">
        <v>0.0</v>
      </c>
      <c r="U242" s="19">
        <v>0.0</v>
      </c>
      <c r="V242" s="19">
        <v>0.0</v>
      </c>
      <c r="W242" s="19">
        <v>0.0</v>
      </c>
      <c r="X242" s="19">
        <v>1.0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/>
      <c r="AJ242" s="19"/>
      <c r="AK242" s="19"/>
      <c r="AL242" s="19"/>
      <c r="AM242" s="19"/>
      <c r="AN242" s="19"/>
      <c r="AO242" s="19"/>
      <c r="AP242" s="13">
        <f t="shared" si="46"/>
        <v>4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1.0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1.0</v>
      </c>
      <c r="AF243" s="19">
        <v>1.0</v>
      </c>
      <c r="AG243" s="19">
        <v>0.0</v>
      </c>
      <c r="AH243" s="19">
        <v>0.0</v>
      </c>
      <c r="AI243" s="19"/>
      <c r="AJ243" s="19"/>
      <c r="AK243" s="19"/>
      <c r="AL243" s="19"/>
      <c r="AM243" s="19"/>
      <c r="AN243" s="19"/>
      <c r="AO243" s="19"/>
      <c r="AP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2.0</v>
      </c>
      <c r="J244" s="19">
        <v>1.0</v>
      </c>
      <c r="K244" s="19">
        <v>0.0</v>
      </c>
      <c r="L244" s="19">
        <v>0.0</v>
      </c>
      <c r="M244" s="19">
        <v>0.0</v>
      </c>
      <c r="N244" s="19">
        <v>6.0</v>
      </c>
      <c r="O244" s="19">
        <v>0.0</v>
      </c>
      <c r="P244" s="19">
        <v>0.0</v>
      </c>
      <c r="Q244" s="19">
        <v>0.0</v>
      </c>
      <c r="R244" s="19">
        <v>2.0</v>
      </c>
      <c r="S244" s="19">
        <v>0.0</v>
      </c>
      <c r="T244" s="19">
        <v>0.0</v>
      </c>
      <c r="U244" s="19">
        <v>0.0</v>
      </c>
      <c r="V244" s="19">
        <v>5.0</v>
      </c>
      <c r="W244" s="19">
        <v>21.0</v>
      </c>
      <c r="X244" s="19">
        <v>4.0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1.0</v>
      </c>
      <c r="AH244" s="19">
        <v>0.0</v>
      </c>
      <c r="AI244" s="19">
        <v>1.0</v>
      </c>
      <c r="AJ244" s="19"/>
      <c r="AK244" s="19"/>
      <c r="AL244" s="19"/>
      <c r="AM244" s="19">
        <v>1.0</v>
      </c>
      <c r="AN244" s="19"/>
      <c r="AO244" s="19"/>
      <c r="AP244" s="13">
        <f t="shared" si="46"/>
        <v>44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O247" si="47">SUM(E237:E244)</f>
        <v>9</v>
      </c>
      <c r="F247" s="13">
        <f t="shared" si="47"/>
        <v>2</v>
      </c>
      <c r="G247" s="13">
        <f t="shared" si="47"/>
        <v>30</v>
      </c>
      <c r="H247" s="13">
        <f t="shared" si="47"/>
        <v>3</v>
      </c>
      <c r="I247" s="13">
        <f t="shared" si="47"/>
        <v>15</v>
      </c>
      <c r="J247" s="13">
        <f t="shared" si="47"/>
        <v>55</v>
      </c>
      <c r="K247" s="13">
        <f t="shared" si="47"/>
        <v>87</v>
      </c>
      <c r="L247" s="13">
        <f t="shared" si="47"/>
        <v>10</v>
      </c>
      <c r="M247" s="13">
        <f t="shared" si="47"/>
        <v>86</v>
      </c>
      <c r="N247" s="13">
        <f t="shared" si="47"/>
        <v>37</v>
      </c>
      <c r="O247" s="13">
        <f t="shared" si="47"/>
        <v>6</v>
      </c>
      <c r="P247" s="13">
        <f t="shared" si="47"/>
        <v>13</v>
      </c>
      <c r="Q247" s="13">
        <f t="shared" si="47"/>
        <v>2</v>
      </c>
      <c r="R247" s="13">
        <f t="shared" si="47"/>
        <v>6</v>
      </c>
      <c r="S247" s="13">
        <f t="shared" si="47"/>
        <v>9</v>
      </c>
      <c r="T247" s="13">
        <f t="shared" si="47"/>
        <v>3</v>
      </c>
      <c r="U247" s="13">
        <f t="shared" si="47"/>
        <v>0</v>
      </c>
      <c r="V247" s="13">
        <f t="shared" si="47"/>
        <v>7</v>
      </c>
      <c r="W247" s="13">
        <f t="shared" si="47"/>
        <v>25</v>
      </c>
      <c r="X247" s="13">
        <f t="shared" si="47"/>
        <v>15</v>
      </c>
      <c r="Y247" s="13">
        <f t="shared" si="47"/>
        <v>7</v>
      </c>
      <c r="Z247" s="13">
        <f t="shared" si="47"/>
        <v>1</v>
      </c>
      <c r="AA247" s="13">
        <f t="shared" si="47"/>
        <v>3</v>
      </c>
      <c r="AB247" s="13">
        <f t="shared" si="47"/>
        <v>5</v>
      </c>
      <c r="AC247" s="13">
        <f t="shared" si="47"/>
        <v>2</v>
      </c>
      <c r="AD247" s="13">
        <f t="shared" si="47"/>
        <v>4</v>
      </c>
      <c r="AE247" s="13">
        <f t="shared" si="47"/>
        <v>3</v>
      </c>
      <c r="AF247" s="13">
        <f t="shared" si="47"/>
        <v>1</v>
      </c>
      <c r="AG247" s="13">
        <f t="shared" si="47"/>
        <v>12</v>
      </c>
      <c r="AH247" s="13">
        <f t="shared" si="47"/>
        <v>21</v>
      </c>
      <c r="AI247" s="13">
        <f t="shared" si="47"/>
        <v>12</v>
      </c>
      <c r="AJ247" s="13">
        <f t="shared" si="47"/>
        <v>0</v>
      </c>
      <c r="AK247" s="13">
        <f t="shared" si="47"/>
        <v>1</v>
      </c>
      <c r="AL247" s="13">
        <f t="shared" si="47"/>
        <v>0</v>
      </c>
      <c r="AM247" s="13">
        <f t="shared" si="47"/>
        <v>8</v>
      </c>
      <c r="AN247" s="13">
        <f t="shared" si="47"/>
        <v>62</v>
      </c>
      <c r="AO247" s="13">
        <f t="shared" si="47"/>
        <v>62</v>
      </c>
      <c r="AP247" s="13">
        <f t="shared" si="46"/>
        <v>624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2.0</v>
      </c>
      <c r="P249" s="19">
        <v>0.0</v>
      </c>
      <c r="Q249" s="19">
        <v>0.0</v>
      </c>
      <c r="R249" s="19">
        <v>0.0</v>
      </c>
      <c r="S249" s="19">
        <v>1.0</v>
      </c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>
        <v>1.0</v>
      </c>
      <c r="AH249" s="19"/>
      <c r="AI249" s="19"/>
      <c r="AJ249" s="19"/>
      <c r="AK249" s="19"/>
      <c r="AL249" s="19"/>
      <c r="AM249" s="19"/>
      <c r="AN249" s="19"/>
      <c r="AO249" s="19"/>
      <c r="AP249" s="13">
        <f t="shared" ref="AP249:AP259" si="48">SUM(E249:AO249)</f>
        <v>6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1.0</v>
      </c>
      <c r="S250" s="19">
        <v>0.0</v>
      </c>
      <c r="T250" s="19"/>
      <c r="U250" s="19">
        <v>1.0</v>
      </c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2.0</v>
      </c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3">
        <f t="shared" si="48"/>
        <v>2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9"/>
      <c r="V252" s="19"/>
      <c r="W252" s="19"/>
      <c r="X252" s="19"/>
      <c r="Y252" s="19"/>
      <c r="Z252" s="19"/>
      <c r="AA252" s="19"/>
      <c r="AB252" s="19">
        <v>1.0</v>
      </c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1.0</v>
      </c>
      <c r="R254" s="19">
        <v>0.0</v>
      </c>
      <c r="S254" s="19">
        <v>0.0</v>
      </c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1.0</v>
      </c>
      <c r="S255" s="19">
        <v>0.0</v>
      </c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3">
        <f t="shared" si="48"/>
        <v>1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O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2</v>
      </c>
      <c r="P259" s="13">
        <f t="shared" si="49"/>
        <v>0</v>
      </c>
      <c r="Q259" s="13">
        <f t="shared" si="49"/>
        <v>1</v>
      </c>
      <c r="R259" s="13">
        <f t="shared" si="49"/>
        <v>2</v>
      </c>
      <c r="S259" s="13">
        <f t="shared" si="49"/>
        <v>3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8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O262" si="50">E55+E67+E79+E91+E103+E115+E127+E139+E151+E163+E175+E187+E199+E211+E223+E235+E247+E259</f>
        <v>171</v>
      </c>
      <c r="F262" s="19">
        <f t="shared" si="50"/>
        <v>106</v>
      </c>
      <c r="G262" s="19">
        <f t="shared" si="50"/>
        <v>148</v>
      </c>
      <c r="H262" s="19">
        <f t="shared" si="50"/>
        <v>109</v>
      </c>
      <c r="I262" s="19">
        <f t="shared" si="50"/>
        <v>123</v>
      </c>
      <c r="J262" s="19">
        <f t="shared" si="50"/>
        <v>180</v>
      </c>
      <c r="K262" s="19">
        <f t="shared" si="50"/>
        <v>217</v>
      </c>
      <c r="L262" s="19">
        <f t="shared" si="50"/>
        <v>219</v>
      </c>
      <c r="M262" s="19">
        <f t="shared" si="50"/>
        <v>212</v>
      </c>
      <c r="N262" s="19">
        <f t="shared" si="50"/>
        <v>170</v>
      </c>
      <c r="O262" s="19">
        <f t="shared" si="50"/>
        <v>148</v>
      </c>
      <c r="P262" s="19">
        <f t="shared" si="50"/>
        <v>159</v>
      </c>
      <c r="Q262" s="19">
        <f t="shared" si="50"/>
        <v>183</v>
      </c>
      <c r="R262" s="19">
        <f t="shared" si="50"/>
        <v>207</v>
      </c>
      <c r="S262" s="19">
        <f t="shared" si="50"/>
        <v>191</v>
      </c>
      <c r="T262" s="19">
        <f t="shared" si="50"/>
        <v>175</v>
      </c>
      <c r="U262" s="19">
        <f t="shared" si="50"/>
        <v>111</v>
      </c>
      <c r="V262" s="19">
        <f t="shared" si="50"/>
        <v>181</v>
      </c>
      <c r="W262" s="19">
        <f t="shared" si="50"/>
        <v>136</v>
      </c>
      <c r="X262" s="19">
        <f t="shared" si="50"/>
        <v>193</v>
      </c>
      <c r="Y262" s="19">
        <f t="shared" si="50"/>
        <v>229</v>
      </c>
      <c r="Z262" s="19">
        <f t="shared" si="50"/>
        <v>177</v>
      </c>
      <c r="AA262" s="19">
        <f t="shared" si="50"/>
        <v>158</v>
      </c>
      <c r="AB262" s="19">
        <f t="shared" si="50"/>
        <v>158</v>
      </c>
      <c r="AC262" s="19">
        <f t="shared" si="50"/>
        <v>144</v>
      </c>
      <c r="AD262" s="19">
        <f t="shared" si="50"/>
        <v>133</v>
      </c>
      <c r="AE262" s="19">
        <f t="shared" si="50"/>
        <v>169</v>
      </c>
      <c r="AF262" s="19">
        <f t="shared" si="50"/>
        <v>163</v>
      </c>
      <c r="AG262" s="19">
        <f t="shared" si="50"/>
        <v>176</v>
      </c>
      <c r="AH262" s="19">
        <f t="shared" si="50"/>
        <v>176</v>
      </c>
      <c r="AI262" s="19">
        <f t="shared" si="50"/>
        <v>152</v>
      </c>
      <c r="AJ262" s="19">
        <f t="shared" si="50"/>
        <v>178</v>
      </c>
      <c r="AK262" s="19">
        <f t="shared" si="50"/>
        <v>163</v>
      </c>
      <c r="AL262" s="19">
        <f t="shared" si="50"/>
        <v>195</v>
      </c>
      <c r="AM262" s="19">
        <f t="shared" si="50"/>
        <v>198</v>
      </c>
      <c r="AN262" s="19">
        <f t="shared" si="50"/>
        <v>173</v>
      </c>
      <c r="AO262" s="19">
        <f t="shared" si="50"/>
        <v>165</v>
      </c>
      <c r="AP262" s="13">
        <f t="shared" ref="AP262:AP264" si="51">SUM(E262:AO262)</f>
        <v>6246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50.0</v>
      </c>
      <c r="F263" s="19">
        <v>34.0</v>
      </c>
      <c r="G263" s="19">
        <v>47.0</v>
      </c>
      <c r="H263" s="19">
        <v>19.0</v>
      </c>
      <c r="I263" s="19">
        <v>40.0</v>
      </c>
      <c r="J263" s="19">
        <v>20.0</v>
      </c>
      <c r="K263" s="19">
        <v>15.0</v>
      </c>
      <c r="L263" s="19">
        <v>19.0</v>
      </c>
      <c r="M263" s="19">
        <v>16.0</v>
      </c>
      <c r="N263" s="19">
        <v>15.0</v>
      </c>
      <c r="O263" s="19">
        <v>16.0</v>
      </c>
      <c r="P263" s="19">
        <v>18.0</v>
      </c>
      <c r="Q263" s="19">
        <v>18.0</v>
      </c>
      <c r="R263" s="19">
        <v>22.0</v>
      </c>
      <c r="S263" s="19">
        <v>22.0</v>
      </c>
      <c r="T263" s="19">
        <v>24.0</v>
      </c>
      <c r="U263" s="19">
        <v>19.0</v>
      </c>
      <c r="V263" s="19">
        <v>61.0</v>
      </c>
      <c r="W263" s="19">
        <v>20.0</v>
      </c>
      <c r="X263" s="19">
        <v>21.0</v>
      </c>
      <c r="Y263" s="19">
        <v>15.0</v>
      </c>
      <c r="Z263" s="19">
        <v>18.0</v>
      </c>
      <c r="AA263" s="19">
        <v>17.0</v>
      </c>
      <c r="AB263" s="19">
        <v>27.0</v>
      </c>
      <c r="AC263" s="19">
        <v>17.0</v>
      </c>
      <c r="AD263" s="19">
        <v>13.0</v>
      </c>
      <c r="AE263" s="19">
        <v>4.0</v>
      </c>
      <c r="AF263" s="19">
        <v>15.0</v>
      </c>
      <c r="AG263" s="19">
        <v>21.0</v>
      </c>
      <c r="AH263" s="19">
        <v>15.0</v>
      </c>
      <c r="AI263" s="19">
        <v>15.0</v>
      </c>
      <c r="AJ263" s="19">
        <v>10.0</v>
      </c>
      <c r="AK263" s="19">
        <v>26.0</v>
      </c>
      <c r="AL263" s="19">
        <v>15.0</v>
      </c>
      <c r="AM263" s="19">
        <v>10.0</v>
      </c>
      <c r="AN263" s="19">
        <v>8.0</v>
      </c>
      <c r="AO263" s="19">
        <v>24.0</v>
      </c>
      <c r="AP263" s="13">
        <f t="shared" si="51"/>
        <v>786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O264" si="52">SUM(E262:E263)</f>
        <v>221</v>
      </c>
      <c r="F264" s="13">
        <f t="shared" si="52"/>
        <v>140</v>
      </c>
      <c r="G264" s="13">
        <f t="shared" si="52"/>
        <v>195</v>
      </c>
      <c r="H264" s="13">
        <f t="shared" si="52"/>
        <v>128</v>
      </c>
      <c r="I264" s="13">
        <f t="shared" si="52"/>
        <v>163</v>
      </c>
      <c r="J264" s="13">
        <f t="shared" si="52"/>
        <v>200</v>
      </c>
      <c r="K264" s="13">
        <f t="shared" si="52"/>
        <v>232</v>
      </c>
      <c r="L264" s="13">
        <f t="shared" si="52"/>
        <v>238</v>
      </c>
      <c r="M264" s="13">
        <f t="shared" si="52"/>
        <v>228</v>
      </c>
      <c r="N264" s="13">
        <f t="shared" si="52"/>
        <v>185</v>
      </c>
      <c r="O264" s="13">
        <f t="shared" si="52"/>
        <v>164</v>
      </c>
      <c r="P264" s="13">
        <f t="shared" si="52"/>
        <v>177</v>
      </c>
      <c r="Q264" s="13">
        <f t="shared" si="52"/>
        <v>201</v>
      </c>
      <c r="R264" s="13">
        <f t="shared" si="52"/>
        <v>229</v>
      </c>
      <c r="S264" s="13">
        <f t="shared" si="52"/>
        <v>213</v>
      </c>
      <c r="T264" s="13">
        <f t="shared" si="52"/>
        <v>199</v>
      </c>
      <c r="U264" s="13">
        <f t="shared" si="52"/>
        <v>130</v>
      </c>
      <c r="V264" s="13">
        <f t="shared" si="52"/>
        <v>242</v>
      </c>
      <c r="W264" s="13">
        <f t="shared" si="52"/>
        <v>156</v>
      </c>
      <c r="X264" s="13">
        <f t="shared" si="52"/>
        <v>214</v>
      </c>
      <c r="Y264" s="13">
        <f t="shared" si="52"/>
        <v>244</v>
      </c>
      <c r="Z264" s="13">
        <f t="shared" si="52"/>
        <v>195</v>
      </c>
      <c r="AA264" s="13">
        <f t="shared" si="52"/>
        <v>175</v>
      </c>
      <c r="AB264" s="13">
        <f t="shared" si="52"/>
        <v>185</v>
      </c>
      <c r="AC264" s="13">
        <f t="shared" si="52"/>
        <v>161</v>
      </c>
      <c r="AD264" s="13">
        <f t="shared" si="52"/>
        <v>146</v>
      </c>
      <c r="AE264" s="13">
        <f t="shared" si="52"/>
        <v>173</v>
      </c>
      <c r="AF264" s="13">
        <f t="shared" si="52"/>
        <v>178</v>
      </c>
      <c r="AG264" s="13">
        <f t="shared" si="52"/>
        <v>197</v>
      </c>
      <c r="AH264" s="13">
        <f t="shared" si="52"/>
        <v>191</v>
      </c>
      <c r="AI264" s="13">
        <f t="shared" si="52"/>
        <v>167</v>
      </c>
      <c r="AJ264" s="13">
        <f t="shared" si="52"/>
        <v>188</v>
      </c>
      <c r="AK264" s="13">
        <f t="shared" si="52"/>
        <v>189</v>
      </c>
      <c r="AL264" s="13">
        <f t="shared" si="52"/>
        <v>210</v>
      </c>
      <c r="AM264" s="13">
        <f t="shared" si="52"/>
        <v>208</v>
      </c>
      <c r="AN264" s="13">
        <f t="shared" si="52"/>
        <v>181</v>
      </c>
      <c r="AO264" s="13">
        <f t="shared" si="52"/>
        <v>189</v>
      </c>
      <c r="AP264" s="13">
        <f t="shared" si="51"/>
        <v>7032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O15">
    <cfRule type="containsBlanks" dxfId="1" priority="1">
      <formula>LEN(TRIM(E14))=0</formula>
    </cfRule>
  </conditionalFormatting>
  <conditionalFormatting sqref="E19:AO20">
    <cfRule type="containsBlanks" dxfId="1" priority="2">
      <formula>LEN(TRIM(E19))=0</formula>
    </cfRule>
  </conditionalFormatting>
  <conditionalFormatting sqref="E22:AO23 E25:AO26 E33:AO33 E35:AO35 E39:AO40">
    <cfRule type="containsBlanks" dxfId="1" priority="3">
      <formula>LEN(TRIM(E22))=0</formula>
    </cfRule>
  </conditionalFormatting>
  <conditionalFormatting sqref="E30:AO30">
    <cfRule type="expression" dxfId="0" priority="4">
      <formula>E30&lt;&gt;E47</formula>
    </cfRule>
  </conditionalFormatting>
  <conditionalFormatting sqref="E30:AO30">
    <cfRule type="expression" dxfId="0" priority="5">
      <formula>E30&lt;&gt;E34</formula>
    </cfRule>
  </conditionalFormatting>
  <conditionalFormatting sqref="E34:AO34">
    <cfRule type="expression" dxfId="2" priority="6">
      <formula>E30&lt;&gt;E34</formula>
    </cfRule>
  </conditionalFormatting>
  <conditionalFormatting sqref="E34:AO34">
    <cfRule type="expression" dxfId="3" priority="7">
      <formula>E30=E34</formula>
    </cfRule>
  </conditionalFormatting>
  <conditionalFormatting sqref="E34:AO34">
    <cfRule type="expression" dxfId="0" priority="8">
      <formula>E34&lt;&gt;E30</formula>
    </cfRule>
  </conditionalFormatting>
  <conditionalFormatting sqref="E34:AO34">
    <cfRule type="expression" dxfId="0" priority="9">
      <formula>E34&lt;&gt;E64</formula>
    </cfRule>
  </conditionalFormatting>
  <conditionalFormatting sqref="E45:AO54">
    <cfRule type="containsBlanks" dxfId="1" priority="10">
      <formula>LEN(TRIM(E45))=0</formula>
    </cfRule>
  </conditionalFormatting>
  <conditionalFormatting sqref="E57:AO66">
    <cfRule type="containsBlanks" dxfId="1" priority="11">
      <formula>LEN(TRIM(E57))=0</formula>
    </cfRule>
  </conditionalFormatting>
  <conditionalFormatting sqref="E69:AO78">
    <cfRule type="containsBlanks" dxfId="1" priority="12">
      <formula>LEN(TRIM(E69))=0</formula>
    </cfRule>
  </conditionalFormatting>
  <conditionalFormatting sqref="E81:AO90">
    <cfRule type="containsBlanks" dxfId="1" priority="13">
      <formula>LEN(TRIM(E81))=0</formula>
    </cfRule>
  </conditionalFormatting>
  <conditionalFormatting sqref="E93:AO102">
    <cfRule type="containsBlanks" dxfId="1" priority="14">
      <formula>LEN(TRIM(E93))=0</formula>
    </cfRule>
  </conditionalFormatting>
  <conditionalFormatting sqref="E105:AO114">
    <cfRule type="containsBlanks" dxfId="1" priority="15">
      <formula>LEN(TRIM(E105))=0</formula>
    </cfRule>
  </conditionalFormatting>
  <conditionalFormatting sqref="E117:AO126">
    <cfRule type="containsBlanks" dxfId="1" priority="16">
      <formula>LEN(TRIM(E117))=0</formula>
    </cfRule>
  </conditionalFormatting>
  <conditionalFormatting sqref="E129:AO138">
    <cfRule type="containsBlanks" dxfId="1" priority="17">
      <formula>LEN(TRIM(E129))=0</formula>
    </cfRule>
  </conditionalFormatting>
  <conditionalFormatting sqref="E141:AO150">
    <cfRule type="containsBlanks" dxfId="1" priority="18">
      <formula>LEN(TRIM(E141))=0</formula>
    </cfRule>
  </conditionalFormatting>
  <conditionalFormatting sqref="E153:AO162">
    <cfRule type="containsBlanks" dxfId="1" priority="19">
      <formula>LEN(TRIM(E153))=0</formula>
    </cfRule>
  </conditionalFormatting>
  <conditionalFormatting sqref="E165:AO174">
    <cfRule type="containsBlanks" dxfId="1" priority="20">
      <formula>LEN(TRIM(E165))=0</formula>
    </cfRule>
  </conditionalFormatting>
  <conditionalFormatting sqref="E177:AO186">
    <cfRule type="containsBlanks" dxfId="1" priority="21">
      <formula>LEN(TRIM(E177))=0</formula>
    </cfRule>
  </conditionalFormatting>
  <conditionalFormatting sqref="E189:AO198">
    <cfRule type="containsBlanks" dxfId="1" priority="22">
      <formula>LEN(TRIM(E189))=0</formula>
    </cfRule>
  </conditionalFormatting>
  <conditionalFormatting sqref="E201:AO210">
    <cfRule type="containsBlanks" dxfId="1" priority="23">
      <formula>LEN(TRIM(E201))=0</formula>
    </cfRule>
  </conditionalFormatting>
  <conditionalFormatting sqref="E213:AO222">
    <cfRule type="containsBlanks" dxfId="1" priority="24">
      <formula>LEN(TRIM(E213))=0</formula>
    </cfRule>
  </conditionalFormatting>
  <conditionalFormatting sqref="E225:AO234">
    <cfRule type="containsBlanks" dxfId="1" priority="25">
      <formula>LEN(TRIM(E225))=0</formula>
    </cfRule>
  </conditionalFormatting>
  <conditionalFormatting sqref="E237:AO246">
    <cfRule type="containsBlanks" dxfId="1" priority="26">
      <formula>LEN(TRIM(E237))=0</formula>
    </cfRule>
  </conditionalFormatting>
  <conditionalFormatting sqref="E249:AO259">
    <cfRule type="containsBlanks" dxfId="1" priority="27">
      <formula>LEN(TRIM(E249))=0</formula>
    </cfRule>
  </conditionalFormatting>
  <conditionalFormatting sqref="E262:A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  <col customWidth="1" min="65" max="6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13" t="s">
        <v>264</v>
      </c>
      <c r="BL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143.0</v>
      </c>
      <c r="G14" s="19">
        <v>132.0</v>
      </c>
      <c r="H14" s="19">
        <v>93.0</v>
      </c>
      <c r="I14" s="19">
        <v>143.0</v>
      </c>
      <c r="J14" s="19">
        <v>135.0</v>
      </c>
      <c r="K14" s="19">
        <v>131.0</v>
      </c>
      <c r="L14" s="19">
        <v>148.0</v>
      </c>
      <c r="M14" s="19">
        <v>151.0</v>
      </c>
      <c r="N14" s="19">
        <v>82.0</v>
      </c>
      <c r="O14" s="19">
        <v>97.0</v>
      </c>
      <c r="P14" s="19">
        <v>124.0</v>
      </c>
      <c r="Q14" s="19">
        <v>119.0</v>
      </c>
      <c r="R14" s="19">
        <v>144.0</v>
      </c>
      <c r="S14" s="19">
        <v>141.0</v>
      </c>
      <c r="T14" s="19">
        <v>82.0</v>
      </c>
      <c r="U14" s="19">
        <v>130.0</v>
      </c>
      <c r="V14" s="19">
        <v>138.0</v>
      </c>
      <c r="W14" s="19">
        <v>123.0</v>
      </c>
      <c r="X14" s="19">
        <v>107.0</v>
      </c>
      <c r="Y14" s="19">
        <v>141.0</v>
      </c>
      <c r="Z14" s="19">
        <v>148.0</v>
      </c>
      <c r="AA14" s="19">
        <v>87.0</v>
      </c>
      <c r="AB14" s="19">
        <v>74.0</v>
      </c>
      <c r="AC14" s="19">
        <v>63.0</v>
      </c>
      <c r="AD14" s="19">
        <v>127.0</v>
      </c>
      <c r="AE14" s="19">
        <v>116.0</v>
      </c>
      <c r="AF14" s="19">
        <v>111.0</v>
      </c>
      <c r="AG14" s="19">
        <v>101.0</v>
      </c>
      <c r="AH14" s="19">
        <v>84.0</v>
      </c>
      <c r="AI14" s="19">
        <v>140.0</v>
      </c>
      <c r="AJ14" s="19">
        <v>155.0</v>
      </c>
      <c r="AK14" s="19">
        <v>150.0</v>
      </c>
      <c r="AL14" s="19">
        <v>110.0</v>
      </c>
      <c r="AM14" s="19">
        <v>122.0</v>
      </c>
      <c r="AN14" s="19">
        <v>90.0</v>
      </c>
      <c r="AO14" s="19">
        <v>131.0</v>
      </c>
      <c r="AP14" s="19">
        <v>77.0</v>
      </c>
      <c r="AQ14" s="19">
        <v>92.0</v>
      </c>
      <c r="AR14" s="19">
        <v>150.0</v>
      </c>
      <c r="AS14" s="19">
        <v>128.0</v>
      </c>
      <c r="AT14" s="19">
        <v>103.0</v>
      </c>
      <c r="AU14" s="19">
        <v>96.0</v>
      </c>
      <c r="AV14" s="19">
        <v>80.0</v>
      </c>
      <c r="AW14" s="19">
        <v>134.0</v>
      </c>
      <c r="AX14" s="19">
        <v>113.0</v>
      </c>
      <c r="AY14" s="19">
        <v>105.0</v>
      </c>
      <c r="AZ14" s="19">
        <v>105.0</v>
      </c>
      <c r="BA14" s="19">
        <v>71.0</v>
      </c>
      <c r="BB14" s="19">
        <v>88.0</v>
      </c>
      <c r="BC14" s="19">
        <v>136.0</v>
      </c>
      <c r="BD14" s="19">
        <v>120.0</v>
      </c>
      <c r="BE14" s="19">
        <v>138.0</v>
      </c>
      <c r="BF14" s="19">
        <v>130.0</v>
      </c>
      <c r="BG14" s="19">
        <v>55.0</v>
      </c>
      <c r="BH14" s="19">
        <v>95.0</v>
      </c>
      <c r="BI14" s="19">
        <v>89.0</v>
      </c>
      <c r="BJ14" s="19">
        <v>88.0</v>
      </c>
      <c r="BK14" s="19">
        <v>101.0</v>
      </c>
      <c r="BL14" s="13">
        <f t="shared" ref="BL14:BL16" si="1">SUM(E14:BK14)</f>
        <v>6735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142.0</v>
      </c>
      <c r="G15" s="19">
        <v>132.0</v>
      </c>
      <c r="H15" s="19">
        <v>96.0</v>
      </c>
      <c r="I15" s="19">
        <v>156.0</v>
      </c>
      <c r="J15" s="19">
        <v>149.0</v>
      </c>
      <c r="K15" s="19">
        <v>153.0</v>
      </c>
      <c r="L15" s="19">
        <v>145.0</v>
      </c>
      <c r="M15" s="19">
        <v>144.0</v>
      </c>
      <c r="N15" s="19">
        <v>93.0</v>
      </c>
      <c r="O15" s="19">
        <v>103.0</v>
      </c>
      <c r="P15" s="19">
        <v>152.0</v>
      </c>
      <c r="Q15" s="19">
        <v>111.0</v>
      </c>
      <c r="R15" s="19">
        <v>149.0</v>
      </c>
      <c r="S15" s="19">
        <v>147.0</v>
      </c>
      <c r="T15" s="19">
        <v>73.0</v>
      </c>
      <c r="U15" s="19">
        <v>163.0</v>
      </c>
      <c r="V15" s="19">
        <v>133.0</v>
      </c>
      <c r="W15" s="19">
        <v>147.0</v>
      </c>
      <c r="X15" s="19">
        <v>112.0</v>
      </c>
      <c r="Y15" s="19">
        <v>144.0</v>
      </c>
      <c r="Z15" s="19">
        <v>149.0</v>
      </c>
      <c r="AA15" s="19">
        <v>95.0</v>
      </c>
      <c r="AB15" s="19">
        <v>81.0</v>
      </c>
      <c r="AC15" s="19">
        <v>73.0</v>
      </c>
      <c r="AD15" s="19">
        <v>133.0</v>
      </c>
      <c r="AE15" s="19">
        <v>122.0</v>
      </c>
      <c r="AF15" s="19">
        <v>94.0</v>
      </c>
      <c r="AG15" s="19">
        <v>116.0</v>
      </c>
      <c r="AH15" s="19">
        <v>89.0</v>
      </c>
      <c r="AI15" s="19">
        <v>152.0</v>
      </c>
      <c r="AJ15" s="19">
        <v>144.0</v>
      </c>
      <c r="AK15" s="19">
        <v>147.0</v>
      </c>
      <c r="AL15" s="19">
        <v>101.0</v>
      </c>
      <c r="AM15" s="19">
        <v>120.0</v>
      </c>
      <c r="AN15" s="19">
        <v>105.0</v>
      </c>
      <c r="AO15" s="19">
        <v>131.0</v>
      </c>
      <c r="AP15" s="19">
        <v>82.0</v>
      </c>
      <c r="AQ15" s="19">
        <v>88.0</v>
      </c>
      <c r="AR15" s="19">
        <v>149.0</v>
      </c>
      <c r="AS15" s="19">
        <v>156.0</v>
      </c>
      <c r="AT15" s="19">
        <v>110.0</v>
      </c>
      <c r="AU15" s="19">
        <v>86.0</v>
      </c>
      <c r="AV15" s="19">
        <v>80.0</v>
      </c>
      <c r="AW15" s="19">
        <v>137.0</v>
      </c>
      <c r="AX15" s="19">
        <v>120.0</v>
      </c>
      <c r="AY15" s="19">
        <v>105.0</v>
      </c>
      <c r="AZ15" s="19">
        <v>120.0</v>
      </c>
      <c r="BA15" s="19">
        <v>68.0</v>
      </c>
      <c r="BB15" s="19">
        <v>106.0</v>
      </c>
      <c r="BC15" s="19">
        <v>142.0</v>
      </c>
      <c r="BD15" s="19">
        <v>141.0</v>
      </c>
      <c r="BE15" s="19">
        <v>141.0</v>
      </c>
      <c r="BF15" s="19">
        <v>162.0</v>
      </c>
      <c r="BG15" s="19">
        <v>57.0</v>
      </c>
      <c r="BH15" s="19">
        <v>99.0</v>
      </c>
      <c r="BI15" s="19">
        <v>100.0</v>
      </c>
      <c r="BJ15" s="19">
        <v>99.0</v>
      </c>
      <c r="BK15" s="19">
        <v>112.0</v>
      </c>
      <c r="BL15" s="13">
        <f t="shared" si="1"/>
        <v>7090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262</v>
      </c>
      <c r="F16" s="13">
        <f t="shared" si="2"/>
        <v>285</v>
      </c>
      <c r="G16" s="13">
        <f t="shared" si="2"/>
        <v>264</v>
      </c>
      <c r="H16" s="13">
        <f t="shared" si="2"/>
        <v>189</v>
      </c>
      <c r="I16" s="13">
        <f t="shared" si="2"/>
        <v>299</v>
      </c>
      <c r="J16" s="13">
        <f t="shared" si="2"/>
        <v>284</v>
      </c>
      <c r="K16" s="13">
        <f t="shared" si="2"/>
        <v>284</v>
      </c>
      <c r="L16" s="13">
        <f t="shared" si="2"/>
        <v>293</v>
      </c>
      <c r="M16" s="13">
        <f t="shared" si="2"/>
        <v>295</v>
      </c>
      <c r="N16" s="13">
        <f t="shared" si="2"/>
        <v>175</v>
      </c>
      <c r="O16" s="13">
        <f t="shared" si="2"/>
        <v>200</v>
      </c>
      <c r="P16" s="13">
        <f t="shared" si="2"/>
        <v>276</v>
      </c>
      <c r="Q16" s="13">
        <f t="shared" si="2"/>
        <v>230</v>
      </c>
      <c r="R16" s="13">
        <f t="shared" si="2"/>
        <v>293</v>
      </c>
      <c r="S16" s="13">
        <f t="shared" si="2"/>
        <v>288</v>
      </c>
      <c r="T16" s="13">
        <f t="shared" si="2"/>
        <v>155</v>
      </c>
      <c r="U16" s="13">
        <f t="shared" si="2"/>
        <v>293</v>
      </c>
      <c r="V16" s="13">
        <f t="shared" si="2"/>
        <v>271</v>
      </c>
      <c r="W16" s="13">
        <f t="shared" si="2"/>
        <v>270</v>
      </c>
      <c r="X16" s="13">
        <f t="shared" si="2"/>
        <v>219</v>
      </c>
      <c r="Y16" s="13">
        <f t="shared" si="2"/>
        <v>285</v>
      </c>
      <c r="Z16" s="13">
        <f t="shared" si="2"/>
        <v>297</v>
      </c>
      <c r="AA16" s="13">
        <f t="shared" si="2"/>
        <v>182</v>
      </c>
      <c r="AB16" s="13">
        <f t="shared" si="2"/>
        <v>155</v>
      </c>
      <c r="AC16" s="13">
        <f t="shared" si="2"/>
        <v>136</v>
      </c>
      <c r="AD16" s="13">
        <f t="shared" si="2"/>
        <v>260</v>
      </c>
      <c r="AE16" s="13">
        <f t="shared" si="2"/>
        <v>238</v>
      </c>
      <c r="AF16" s="13">
        <f t="shared" si="2"/>
        <v>205</v>
      </c>
      <c r="AG16" s="13">
        <f t="shared" si="2"/>
        <v>217</v>
      </c>
      <c r="AH16" s="13">
        <f t="shared" si="2"/>
        <v>173</v>
      </c>
      <c r="AI16" s="13">
        <f t="shared" si="2"/>
        <v>292</v>
      </c>
      <c r="AJ16" s="13">
        <f t="shared" si="2"/>
        <v>299</v>
      </c>
      <c r="AK16" s="13">
        <f t="shared" si="2"/>
        <v>297</v>
      </c>
      <c r="AL16" s="13">
        <f t="shared" si="2"/>
        <v>211</v>
      </c>
      <c r="AM16" s="13">
        <f t="shared" si="2"/>
        <v>242</v>
      </c>
      <c r="AN16" s="13">
        <f t="shared" si="2"/>
        <v>195</v>
      </c>
      <c r="AO16" s="13">
        <f t="shared" si="2"/>
        <v>262</v>
      </c>
      <c r="AP16" s="13">
        <f t="shared" si="2"/>
        <v>159</v>
      </c>
      <c r="AQ16" s="13">
        <f t="shared" si="2"/>
        <v>180</v>
      </c>
      <c r="AR16" s="13">
        <f t="shared" si="2"/>
        <v>299</v>
      </c>
      <c r="AS16" s="13">
        <f t="shared" si="2"/>
        <v>284</v>
      </c>
      <c r="AT16" s="13">
        <f t="shared" si="2"/>
        <v>213</v>
      </c>
      <c r="AU16" s="13">
        <f t="shared" si="2"/>
        <v>182</v>
      </c>
      <c r="AV16" s="13">
        <f t="shared" si="2"/>
        <v>160</v>
      </c>
      <c r="AW16" s="13">
        <f t="shared" si="2"/>
        <v>271</v>
      </c>
      <c r="AX16" s="13">
        <f t="shared" si="2"/>
        <v>233</v>
      </c>
      <c r="AY16" s="13">
        <f t="shared" si="2"/>
        <v>210</v>
      </c>
      <c r="AZ16" s="13">
        <f t="shared" si="2"/>
        <v>225</v>
      </c>
      <c r="BA16" s="13">
        <f t="shared" si="2"/>
        <v>139</v>
      </c>
      <c r="BB16" s="13">
        <f t="shared" si="2"/>
        <v>194</v>
      </c>
      <c r="BC16" s="13">
        <f t="shared" si="2"/>
        <v>278</v>
      </c>
      <c r="BD16" s="13">
        <f t="shared" si="2"/>
        <v>261</v>
      </c>
      <c r="BE16" s="13">
        <f t="shared" si="2"/>
        <v>279</v>
      </c>
      <c r="BF16" s="13">
        <f t="shared" si="2"/>
        <v>292</v>
      </c>
      <c r="BG16" s="13">
        <f t="shared" si="2"/>
        <v>112</v>
      </c>
      <c r="BH16" s="13">
        <f t="shared" si="2"/>
        <v>194</v>
      </c>
      <c r="BI16" s="13">
        <f t="shared" si="2"/>
        <v>189</v>
      </c>
      <c r="BJ16" s="13">
        <f t="shared" si="2"/>
        <v>187</v>
      </c>
      <c r="BK16" s="13">
        <f t="shared" si="2"/>
        <v>213</v>
      </c>
      <c r="BL16" s="13">
        <f t="shared" si="1"/>
        <v>13825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19"/>
      <c r="BD17" s="19"/>
      <c r="BE17" s="19"/>
      <c r="BF17" s="19"/>
      <c r="BG17" s="67"/>
      <c r="BH17" s="19"/>
      <c r="BI17" s="19"/>
      <c r="BJ17" s="19"/>
      <c r="BK17" s="19"/>
      <c r="BL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19"/>
      <c r="BD18" s="19"/>
      <c r="BE18" s="19"/>
      <c r="BF18" s="19"/>
      <c r="BG18" s="67"/>
      <c r="BH18" s="19"/>
      <c r="BI18" s="19"/>
      <c r="BJ18" s="19"/>
      <c r="BK18" s="19"/>
      <c r="BL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92.0</v>
      </c>
      <c r="G19" s="19">
        <v>100.0</v>
      </c>
      <c r="H19" s="19">
        <v>69.0</v>
      </c>
      <c r="I19" s="19">
        <v>106.0</v>
      </c>
      <c r="J19" s="19">
        <v>93.0</v>
      </c>
      <c r="K19" s="19">
        <v>82.0</v>
      </c>
      <c r="L19" s="19">
        <v>109.0</v>
      </c>
      <c r="M19" s="19">
        <v>112.0</v>
      </c>
      <c r="N19" s="19">
        <v>53.0</v>
      </c>
      <c r="O19" s="19">
        <v>77.0</v>
      </c>
      <c r="P19" s="19">
        <v>96.0</v>
      </c>
      <c r="Q19" s="19">
        <v>112.0</v>
      </c>
      <c r="R19" s="19">
        <v>119.0</v>
      </c>
      <c r="S19" s="19">
        <v>105.0</v>
      </c>
      <c r="T19" s="19">
        <v>62.0</v>
      </c>
      <c r="U19" s="19">
        <v>90.0</v>
      </c>
      <c r="V19" s="19">
        <v>84.0</v>
      </c>
      <c r="W19" s="19">
        <v>87.0</v>
      </c>
      <c r="X19" s="19">
        <v>75.0</v>
      </c>
      <c r="Y19" s="19">
        <v>105.0</v>
      </c>
      <c r="Z19" s="19">
        <v>112.0</v>
      </c>
      <c r="AA19" s="19">
        <v>63.0</v>
      </c>
      <c r="AB19" s="19">
        <v>61.0</v>
      </c>
      <c r="AC19" s="19">
        <v>53.0</v>
      </c>
      <c r="AD19" s="19">
        <v>93.0</v>
      </c>
      <c r="AE19" s="19">
        <v>93.0</v>
      </c>
      <c r="AF19" s="19">
        <v>88.0</v>
      </c>
      <c r="AG19" s="19">
        <v>74.0</v>
      </c>
      <c r="AH19" s="19">
        <v>58.0</v>
      </c>
      <c r="AI19" s="19">
        <v>103.0</v>
      </c>
      <c r="AJ19" s="19">
        <v>112.0</v>
      </c>
      <c r="AK19" s="19">
        <v>114.0</v>
      </c>
      <c r="AL19" s="19">
        <v>90.0</v>
      </c>
      <c r="AM19" s="19">
        <v>90.0</v>
      </c>
      <c r="AN19" s="19">
        <v>68.0</v>
      </c>
      <c r="AO19" s="19">
        <v>87.0</v>
      </c>
      <c r="AP19" s="19">
        <v>57.0</v>
      </c>
      <c r="AQ19" s="19">
        <v>66.0</v>
      </c>
      <c r="AR19" s="19">
        <v>117.0</v>
      </c>
      <c r="AS19" s="19">
        <v>102.0</v>
      </c>
      <c r="AT19" s="19">
        <v>72.0</v>
      </c>
      <c r="AU19" s="19">
        <v>60.0</v>
      </c>
      <c r="AV19" s="19">
        <v>60.0</v>
      </c>
      <c r="AW19" s="19">
        <v>101.0</v>
      </c>
      <c r="AX19" s="19">
        <v>88.0</v>
      </c>
      <c r="AY19" s="19">
        <v>87.0</v>
      </c>
      <c r="AZ19" s="19">
        <v>89.0</v>
      </c>
      <c r="BA19" s="19">
        <v>60.0</v>
      </c>
      <c r="BB19" s="19">
        <v>58.0</v>
      </c>
      <c r="BC19" s="19">
        <v>86.0</v>
      </c>
      <c r="BD19" s="19">
        <v>74.0</v>
      </c>
      <c r="BE19" s="19">
        <v>103.0</v>
      </c>
      <c r="BF19" s="19">
        <v>79.0</v>
      </c>
      <c r="BG19" s="19">
        <v>54.0</v>
      </c>
      <c r="BH19" s="19">
        <v>86.0</v>
      </c>
      <c r="BI19" s="19">
        <v>82.0</v>
      </c>
      <c r="BJ19" s="19">
        <v>66.0</v>
      </c>
      <c r="BK19" s="19">
        <v>89.0</v>
      </c>
      <c r="BL19" s="13">
        <f t="shared" ref="BL19:BL30" si="3">SUM(E19:BK19)</f>
        <v>5012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102.0</v>
      </c>
      <c r="G20" s="19">
        <v>104.0</v>
      </c>
      <c r="H20" s="19">
        <v>82.0</v>
      </c>
      <c r="I20" s="19">
        <v>121.0</v>
      </c>
      <c r="J20" s="19">
        <v>114.0</v>
      </c>
      <c r="K20" s="19">
        <v>117.0</v>
      </c>
      <c r="L20" s="19">
        <v>109.0</v>
      </c>
      <c r="M20" s="19">
        <v>116.0</v>
      </c>
      <c r="N20" s="19">
        <v>77.0</v>
      </c>
      <c r="O20" s="19">
        <v>77.0</v>
      </c>
      <c r="P20" s="19">
        <v>105.0</v>
      </c>
      <c r="Q20" s="19">
        <v>104.0</v>
      </c>
      <c r="R20" s="19">
        <v>126.0</v>
      </c>
      <c r="S20" s="19">
        <v>125.0</v>
      </c>
      <c r="T20" s="19">
        <v>59.0</v>
      </c>
      <c r="U20" s="19">
        <v>123.0</v>
      </c>
      <c r="V20" s="19">
        <v>92.0</v>
      </c>
      <c r="W20" s="19">
        <v>104.0</v>
      </c>
      <c r="X20" s="19">
        <v>86.0</v>
      </c>
      <c r="Y20" s="19">
        <v>108.0</v>
      </c>
      <c r="Z20" s="19">
        <v>128.0</v>
      </c>
      <c r="AA20" s="19">
        <v>70.0</v>
      </c>
      <c r="AB20" s="19">
        <v>66.0</v>
      </c>
      <c r="AC20" s="19">
        <v>67.0</v>
      </c>
      <c r="AD20" s="19">
        <v>104.0</v>
      </c>
      <c r="AE20" s="19">
        <v>94.0</v>
      </c>
      <c r="AF20" s="19">
        <v>84.0</v>
      </c>
      <c r="AG20" s="19">
        <v>99.0</v>
      </c>
      <c r="AH20" s="19">
        <v>70.0</v>
      </c>
      <c r="AI20" s="19">
        <v>125.0</v>
      </c>
      <c r="AJ20" s="19">
        <v>111.0</v>
      </c>
      <c r="AK20" s="19">
        <v>113.0</v>
      </c>
      <c r="AL20" s="19">
        <v>87.0</v>
      </c>
      <c r="AM20" s="19">
        <v>91.0</v>
      </c>
      <c r="AN20" s="19">
        <v>77.0</v>
      </c>
      <c r="AO20" s="19">
        <v>102.0</v>
      </c>
      <c r="AP20" s="19">
        <v>76.0</v>
      </c>
      <c r="AQ20" s="19">
        <v>70.0</v>
      </c>
      <c r="AR20" s="19">
        <v>131.0</v>
      </c>
      <c r="AS20" s="19">
        <v>128.0</v>
      </c>
      <c r="AT20" s="19">
        <v>84.0</v>
      </c>
      <c r="AU20" s="19">
        <v>71.0</v>
      </c>
      <c r="AV20" s="19">
        <v>66.0</v>
      </c>
      <c r="AW20" s="19">
        <v>104.0</v>
      </c>
      <c r="AX20" s="19">
        <v>96.0</v>
      </c>
      <c r="AY20" s="19">
        <v>90.0</v>
      </c>
      <c r="AZ20" s="19">
        <v>96.0</v>
      </c>
      <c r="BA20" s="19">
        <v>61.0</v>
      </c>
      <c r="BB20" s="19">
        <v>85.0</v>
      </c>
      <c r="BC20" s="19">
        <v>98.0</v>
      </c>
      <c r="BD20" s="19">
        <v>102.0</v>
      </c>
      <c r="BE20" s="19">
        <v>107.0</v>
      </c>
      <c r="BF20" s="19">
        <v>107.0</v>
      </c>
      <c r="BG20" s="19">
        <v>57.0</v>
      </c>
      <c r="BH20" s="19">
        <v>96.0</v>
      </c>
      <c r="BI20" s="19">
        <v>95.0</v>
      </c>
      <c r="BJ20" s="19">
        <v>68.0</v>
      </c>
      <c r="BK20" s="19">
        <v>104.0</v>
      </c>
      <c r="BL20" s="13">
        <f t="shared" si="3"/>
        <v>5627</v>
      </c>
    </row>
    <row r="21" ht="12.75" customHeight="1">
      <c r="A21" s="35"/>
      <c r="B21" s="28"/>
      <c r="C21" s="36"/>
      <c r="D21" s="13" t="s">
        <v>14</v>
      </c>
      <c r="E21" s="13">
        <f t="shared" ref="E21:BK21" si="4">SUM(E19:E20)</f>
        <v>185</v>
      </c>
      <c r="F21" s="13">
        <f t="shared" si="4"/>
        <v>194</v>
      </c>
      <c r="G21" s="13">
        <f t="shared" si="4"/>
        <v>204</v>
      </c>
      <c r="H21" s="13">
        <f t="shared" si="4"/>
        <v>151</v>
      </c>
      <c r="I21" s="13">
        <f t="shared" si="4"/>
        <v>227</v>
      </c>
      <c r="J21" s="13">
        <f t="shared" si="4"/>
        <v>207</v>
      </c>
      <c r="K21" s="13">
        <f t="shared" si="4"/>
        <v>199</v>
      </c>
      <c r="L21" s="13">
        <f t="shared" si="4"/>
        <v>218</v>
      </c>
      <c r="M21" s="13">
        <f t="shared" si="4"/>
        <v>228</v>
      </c>
      <c r="N21" s="13">
        <f t="shared" si="4"/>
        <v>130</v>
      </c>
      <c r="O21" s="13">
        <f t="shared" si="4"/>
        <v>154</v>
      </c>
      <c r="P21" s="13">
        <f t="shared" si="4"/>
        <v>201</v>
      </c>
      <c r="Q21" s="13">
        <f t="shared" si="4"/>
        <v>216</v>
      </c>
      <c r="R21" s="13">
        <f t="shared" si="4"/>
        <v>245</v>
      </c>
      <c r="S21" s="13">
        <f t="shared" si="4"/>
        <v>230</v>
      </c>
      <c r="T21" s="13">
        <f t="shared" si="4"/>
        <v>121</v>
      </c>
      <c r="U21" s="13">
        <f t="shared" si="4"/>
        <v>213</v>
      </c>
      <c r="V21" s="13">
        <f t="shared" si="4"/>
        <v>176</v>
      </c>
      <c r="W21" s="13">
        <f t="shared" si="4"/>
        <v>191</v>
      </c>
      <c r="X21" s="13">
        <f t="shared" si="4"/>
        <v>161</v>
      </c>
      <c r="Y21" s="13">
        <f t="shared" si="4"/>
        <v>213</v>
      </c>
      <c r="Z21" s="13">
        <f t="shared" si="4"/>
        <v>240</v>
      </c>
      <c r="AA21" s="13">
        <f t="shared" si="4"/>
        <v>133</v>
      </c>
      <c r="AB21" s="13">
        <f t="shared" si="4"/>
        <v>127</v>
      </c>
      <c r="AC21" s="13">
        <f t="shared" si="4"/>
        <v>120</v>
      </c>
      <c r="AD21" s="13">
        <f t="shared" si="4"/>
        <v>197</v>
      </c>
      <c r="AE21" s="13">
        <f t="shared" si="4"/>
        <v>187</v>
      </c>
      <c r="AF21" s="13">
        <f t="shared" si="4"/>
        <v>172</v>
      </c>
      <c r="AG21" s="13">
        <f t="shared" si="4"/>
        <v>173</v>
      </c>
      <c r="AH21" s="13">
        <f t="shared" si="4"/>
        <v>128</v>
      </c>
      <c r="AI21" s="13">
        <f t="shared" si="4"/>
        <v>228</v>
      </c>
      <c r="AJ21" s="13">
        <f t="shared" si="4"/>
        <v>223</v>
      </c>
      <c r="AK21" s="13">
        <f t="shared" si="4"/>
        <v>227</v>
      </c>
      <c r="AL21" s="13">
        <f t="shared" si="4"/>
        <v>177</v>
      </c>
      <c r="AM21" s="13">
        <f t="shared" si="4"/>
        <v>181</v>
      </c>
      <c r="AN21" s="13">
        <f t="shared" si="4"/>
        <v>145</v>
      </c>
      <c r="AO21" s="13">
        <f t="shared" si="4"/>
        <v>189</v>
      </c>
      <c r="AP21" s="13">
        <f t="shared" si="4"/>
        <v>133</v>
      </c>
      <c r="AQ21" s="13">
        <f t="shared" si="4"/>
        <v>136</v>
      </c>
      <c r="AR21" s="13">
        <f t="shared" si="4"/>
        <v>248</v>
      </c>
      <c r="AS21" s="13">
        <f t="shared" si="4"/>
        <v>230</v>
      </c>
      <c r="AT21" s="13">
        <f t="shared" si="4"/>
        <v>156</v>
      </c>
      <c r="AU21" s="13">
        <f t="shared" si="4"/>
        <v>131</v>
      </c>
      <c r="AV21" s="13">
        <f t="shared" si="4"/>
        <v>126</v>
      </c>
      <c r="AW21" s="13">
        <f t="shared" si="4"/>
        <v>205</v>
      </c>
      <c r="AX21" s="13">
        <f t="shared" si="4"/>
        <v>184</v>
      </c>
      <c r="AY21" s="13">
        <f t="shared" si="4"/>
        <v>177</v>
      </c>
      <c r="AZ21" s="13">
        <f t="shared" si="4"/>
        <v>185</v>
      </c>
      <c r="BA21" s="13">
        <f t="shared" si="4"/>
        <v>121</v>
      </c>
      <c r="BB21" s="13">
        <f t="shared" si="4"/>
        <v>143</v>
      </c>
      <c r="BC21" s="13">
        <f t="shared" si="4"/>
        <v>184</v>
      </c>
      <c r="BD21" s="13">
        <f t="shared" si="4"/>
        <v>176</v>
      </c>
      <c r="BE21" s="13">
        <f t="shared" si="4"/>
        <v>210</v>
      </c>
      <c r="BF21" s="13">
        <f t="shared" si="4"/>
        <v>186</v>
      </c>
      <c r="BG21" s="13">
        <f t="shared" si="4"/>
        <v>111</v>
      </c>
      <c r="BH21" s="13">
        <f t="shared" si="4"/>
        <v>182</v>
      </c>
      <c r="BI21" s="13">
        <f t="shared" si="4"/>
        <v>177</v>
      </c>
      <c r="BJ21" s="13">
        <f t="shared" si="4"/>
        <v>134</v>
      </c>
      <c r="BK21" s="13">
        <f t="shared" si="4"/>
        <v>193</v>
      </c>
      <c r="BL21" s="13">
        <f t="shared" si="3"/>
        <v>10639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>
        <v>1.0</v>
      </c>
      <c r="AG22" s="19"/>
      <c r="AH22" s="19"/>
      <c r="AI22" s="19"/>
      <c r="AJ22" s="19"/>
      <c r="AK22" s="19"/>
      <c r="AL22" s="19"/>
      <c r="AM22" s="19"/>
      <c r="AN22" s="19">
        <v>1.0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>
        <v>2.0</v>
      </c>
      <c r="BA22" s="19"/>
      <c r="BB22" s="19"/>
      <c r="BC22" s="19">
        <v>1.0</v>
      </c>
      <c r="BD22" s="19">
        <v>1.0</v>
      </c>
      <c r="BE22" s="19"/>
      <c r="BF22" s="19"/>
      <c r="BG22" s="19">
        <v>1.0</v>
      </c>
      <c r="BH22" s="19">
        <v>1.0</v>
      </c>
      <c r="BI22" s="19"/>
      <c r="BJ22" s="19"/>
      <c r="BK22" s="19">
        <v>2.0</v>
      </c>
      <c r="BL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4.0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>
        <v>1.0</v>
      </c>
      <c r="AK23" s="19"/>
      <c r="AL23" s="19"/>
      <c r="AM23" s="19"/>
      <c r="AN23" s="19"/>
      <c r="AO23" s="19">
        <v>1.0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>
        <v>1.0</v>
      </c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>
        <v>1.0</v>
      </c>
      <c r="BL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B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4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1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3</v>
      </c>
      <c r="BA24" s="13">
        <f t="shared" si="5"/>
        <v>0</v>
      </c>
      <c r="BB24" s="13">
        <f t="shared" si="5"/>
        <v>0</v>
      </c>
      <c r="BC24" s="13">
        <f t="shared" si="5"/>
        <v>1</v>
      </c>
      <c r="BD24" s="13">
        <f t="shared" si="5"/>
        <v>1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1</v>
      </c>
      <c r="BI24" s="13">
        <f t="shared" si="5"/>
        <v>0</v>
      </c>
      <c r="BJ24" s="13">
        <f t="shared" si="5"/>
        <v>0</v>
      </c>
      <c r="BK24" s="13">
        <f t="shared" si="5"/>
        <v>3</v>
      </c>
      <c r="BL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1.0</v>
      </c>
      <c r="K25" s="19"/>
      <c r="L25" s="19">
        <v>4.0</v>
      </c>
      <c r="M25" s="19">
        <v>2.0</v>
      </c>
      <c r="N25" s="19"/>
      <c r="O25" s="19"/>
      <c r="P25" s="19">
        <v>2.0</v>
      </c>
      <c r="Q25" s="19"/>
      <c r="R25" s="19"/>
      <c r="S25" s="19"/>
      <c r="T25" s="19"/>
      <c r="U25" s="19"/>
      <c r="V25" s="19"/>
      <c r="W25" s="19">
        <v>2.0</v>
      </c>
      <c r="X25" s="19"/>
      <c r="Y25" s="19">
        <v>1.0</v>
      </c>
      <c r="Z25" s="19"/>
      <c r="AA25" s="19"/>
      <c r="AB25" s="19"/>
      <c r="AC25" s="19"/>
      <c r="AD25" s="19"/>
      <c r="AE25" s="19"/>
      <c r="AF25" s="19"/>
      <c r="AG25" s="19">
        <v>1.0</v>
      </c>
      <c r="AH25" s="19">
        <v>2.0</v>
      </c>
      <c r="AI25" s="19">
        <v>1.0</v>
      </c>
      <c r="AJ25" s="19"/>
      <c r="AK25" s="19"/>
      <c r="AL25" s="19">
        <v>1.0</v>
      </c>
      <c r="AM25" s="19">
        <v>2.0</v>
      </c>
      <c r="AN25" s="19"/>
      <c r="AO25" s="19">
        <v>3.0</v>
      </c>
      <c r="AP25" s="19"/>
      <c r="AQ25" s="19"/>
      <c r="AR25" s="19"/>
      <c r="AS25" s="19"/>
      <c r="AT25" s="19"/>
      <c r="AU25" s="19"/>
      <c r="AV25" s="19">
        <v>5.0</v>
      </c>
      <c r="AW25" s="19"/>
      <c r="AX25" s="19"/>
      <c r="AY25" s="19"/>
      <c r="AZ25" s="19">
        <v>2.0</v>
      </c>
      <c r="BA25" s="19"/>
      <c r="BB25" s="19"/>
      <c r="BC25" s="19">
        <v>3.0</v>
      </c>
      <c r="BD25" s="19"/>
      <c r="BE25" s="19"/>
      <c r="BF25" s="19"/>
      <c r="BG25" s="19"/>
      <c r="BH25" s="19"/>
      <c r="BI25" s="19"/>
      <c r="BJ25" s="19"/>
      <c r="BK25" s="19"/>
      <c r="BL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/>
      <c r="F26" s="19">
        <v>1.0</v>
      </c>
      <c r="G26" s="19"/>
      <c r="H26" s="19">
        <v>3.0</v>
      </c>
      <c r="I26" s="19"/>
      <c r="J26" s="19"/>
      <c r="K26" s="19">
        <v>1.0</v>
      </c>
      <c r="L26" s="19">
        <v>1.0</v>
      </c>
      <c r="M26" s="19">
        <v>1.0</v>
      </c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4.0</v>
      </c>
      <c r="X26" s="19"/>
      <c r="Y26" s="19">
        <v>1.0</v>
      </c>
      <c r="Z26" s="19"/>
      <c r="AA26" s="19"/>
      <c r="AB26" s="19"/>
      <c r="AC26" s="19"/>
      <c r="AD26" s="19"/>
      <c r="AE26" s="19"/>
      <c r="AF26" s="19">
        <v>2.0</v>
      </c>
      <c r="AG26" s="19">
        <v>1.0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/>
      <c r="AO26" s="19"/>
      <c r="AP26" s="19"/>
      <c r="AQ26" s="19"/>
      <c r="AR26" s="19"/>
      <c r="AS26" s="19"/>
      <c r="AT26" s="19"/>
      <c r="AU26" s="19"/>
      <c r="AV26" s="19">
        <v>1.0</v>
      </c>
      <c r="AW26" s="19"/>
      <c r="AX26" s="19"/>
      <c r="AY26" s="19"/>
      <c r="AZ26" s="19">
        <v>1.0</v>
      </c>
      <c r="BA26" s="19">
        <v>2.0</v>
      </c>
      <c r="BB26" s="19"/>
      <c r="BC26" s="19">
        <v>6.0</v>
      </c>
      <c r="BD26" s="19"/>
      <c r="BE26" s="19"/>
      <c r="BF26" s="19"/>
      <c r="BG26" s="19"/>
      <c r="BH26" s="19"/>
      <c r="BI26" s="19"/>
      <c r="BJ26" s="19"/>
      <c r="BK26" s="19"/>
      <c r="BL26" s="13">
        <f t="shared" si="3"/>
        <v>36</v>
      </c>
    </row>
    <row r="27" ht="12.75" customHeight="1">
      <c r="A27" s="35"/>
      <c r="B27" s="28"/>
      <c r="C27" s="36"/>
      <c r="D27" s="13" t="s">
        <v>14</v>
      </c>
      <c r="E27" s="13">
        <f t="shared" ref="E27:BK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5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1</v>
      </c>
      <c r="W27" s="13">
        <f t="shared" si="6"/>
        <v>6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2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6"/>
        <v>2</v>
      </c>
      <c r="AL27" s="13">
        <f t="shared" si="6"/>
        <v>4</v>
      </c>
      <c r="AM27" s="13">
        <f t="shared" si="6"/>
        <v>3</v>
      </c>
      <c r="AN27" s="13">
        <f t="shared" si="6"/>
        <v>0</v>
      </c>
      <c r="AO27" s="13">
        <f t="shared" si="6"/>
        <v>3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6</v>
      </c>
      <c r="AW27" s="13">
        <f t="shared" si="6"/>
        <v>0</v>
      </c>
      <c r="AX27" s="13">
        <f t="shared" si="6"/>
        <v>0</v>
      </c>
      <c r="AY27" s="13">
        <f t="shared" si="6"/>
        <v>0</v>
      </c>
      <c r="AZ27" s="13">
        <f t="shared" si="6"/>
        <v>3</v>
      </c>
      <c r="BA27" s="13">
        <f t="shared" si="6"/>
        <v>2</v>
      </c>
      <c r="BB27" s="13">
        <f t="shared" si="6"/>
        <v>0</v>
      </c>
      <c r="BC27" s="13">
        <f t="shared" si="6"/>
        <v>9</v>
      </c>
      <c r="BD27" s="13">
        <f t="shared" si="6"/>
        <v>0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0</v>
      </c>
      <c r="BI27" s="13">
        <f t="shared" si="6"/>
        <v>0</v>
      </c>
      <c r="BJ27" s="13">
        <f t="shared" si="6"/>
        <v>0</v>
      </c>
      <c r="BK27" s="13">
        <f t="shared" si="6"/>
        <v>0</v>
      </c>
      <c r="BL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K28" si="7">SUM(E19,E22,E25)</f>
        <v>89</v>
      </c>
      <c r="F28" s="13">
        <f t="shared" si="7"/>
        <v>94</v>
      </c>
      <c r="G28" s="13">
        <f t="shared" si="7"/>
        <v>100</v>
      </c>
      <c r="H28" s="13">
        <f t="shared" si="7"/>
        <v>70</v>
      </c>
      <c r="I28" s="13">
        <f t="shared" si="7"/>
        <v>106</v>
      </c>
      <c r="J28" s="13">
        <f t="shared" si="7"/>
        <v>94</v>
      </c>
      <c r="K28" s="13">
        <f t="shared" si="7"/>
        <v>82</v>
      </c>
      <c r="L28" s="13">
        <f t="shared" si="7"/>
        <v>113</v>
      </c>
      <c r="M28" s="13">
        <f t="shared" si="7"/>
        <v>114</v>
      </c>
      <c r="N28" s="13">
        <f t="shared" si="7"/>
        <v>53</v>
      </c>
      <c r="O28" s="13">
        <f t="shared" si="7"/>
        <v>77</v>
      </c>
      <c r="P28" s="13">
        <f t="shared" si="7"/>
        <v>98</v>
      </c>
      <c r="Q28" s="13">
        <f t="shared" si="7"/>
        <v>112</v>
      </c>
      <c r="R28" s="13">
        <f t="shared" si="7"/>
        <v>119</v>
      </c>
      <c r="S28" s="13">
        <f t="shared" si="7"/>
        <v>105</v>
      </c>
      <c r="T28" s="13">
        <f t="shared" si="7"/>
        <v>62</v>
      </c>
      <c r="U28" s="13">
        <f t="shared" si="7"/>
        <v>90</v>
      </c>
      <c r="V28" s="13">
        <f t="shared" si="7"/>
        <v>84</v>
      </c>
      <c r="W28" s="13">
        <f t="shared" si="7"/>
        <v>89</v>
      </c>
      <c r="X28" s="13">
        <f t="shared" si="7"/>
        <v>75</v>
      </c>
      <c r="Y28" s="13">
        <f t="shared" si="7"/>
        <v>106</v>
      </c>
      <c r="Z28" s="13">
        <f t="shared" si="7"/>
        <v>112</v>
      </c>
      <c r="AA28" s="13">
        <f t="shared" si="7"/>
        <v>63</v>
      </c>
      <c r="AB28" s="13">
        <f t="shared" si="7"/>
        <v>61</v>
      </c>
      <c r="AC28" s="13">
        <f t="shared" si="7"/>
        <v>53</v>
      </c>
      <c r="AD28" s="13">
        <f t="shared" si="7"/>
        <v>93</v>
      </c>
      <c r="AE28" s="13">
        <f t="shared" si="7"/>
        <v>93</v>
      </c>
      <c r="AF28" s="13">
        <f t="shared" si="7"/>
        <v>89</v>
      </c>
      <c r="AG28" s="13">
        <f t="shared" si="7"/>
        <v>75</v>
      </c>
      <c r="AH28" s="13">
        <f t="shared" si="7"/>
        <v>60</v>
      </c>
      <c r="AI28" s="13">
        <f t="shared" si="7"/>
        <v>104</v>
      </c>
      <c r="AJ28" s="13">
        <f t="shared" si="7"/>
        <v>112</v>
      </c>
      <c r="AK28" s="13">
        <f t="shared" si="7"/>
        <v>114</v>
      </c>
      <c r="AL28" s="13">
        <f t="shared" si="7"/>
        <v>91</v>
      </c>
      <c r="AM28" s="13">
        <f t="shared" si="7"/>
        <v>92</v>
      </c>
      <c r="AN28" s="13">
        <f t="shared" si="7"/>
        <v>69</v>
      </c>
      <c r="AO28" s="13">
        <f t="shared" si="7"/>
        <v>90</v>
      </c>
      <c r="AP28" s="13">
        <f t="shared" si="7"/>
        <v>57</v>
      </c>
      <c r="AQ28" s="13">
        <f t="shared" si="7"/>
        <v>66</v>
      </c>
      <c r="AR28" s="13">
        <f t="shared" si="7"/>
        <v>117</v>
      </c>
      <c r="AS28" s="13">
        <f t="shared" si="7"/>
        <v>102</v>
      </c>
      <c r="AT28" s="13">
        <f t="shared" si="7"/>
        <v>72</v>
      </c>
      <c r="AU28" s="13">
        <f t="shared" si="7"/>
        <v>60</v>
      </c>
      <c r="AV28" s="13">
        <f t="shared" si="7"/>
        <v>65</v>
      </c>
      <c r="AW28" s="13">
        <f t="shared" si="7"/>
        <v>101</v>
      </c>
      <c r="AX28" s="13">
        <f t="shared" si="7"/>
        <v>88</v>
      </c>
      <c r="AY28" s="13">
        <f t="shared" si="7"/>
        <v>87</v>
      </c>
      <c r="AZ28" s="13">
        <f t="shared" si="7"/>
        <v>93</v>
      </c>
      <c r="BA28" s="13">
        <f t="shared" si="7"/>
        <v>60</v>
      </c>
      <c r="BB28" s="13">
        <f t="shared" si="7"/>
        <v>58</v>
      </c>
      <c r="BC28" s="13">
        <f t="shared" si="7"/>
        <v>90</v>
      </c>
      <c r="BD28" s="13">
        <f t="shared" si="7"/>
        <v>75</v>
      </c>
      <c r="BE28" s="13">
        <f t="shared" si="7"/>
        <v>103</v>
      </c>
      <c r="BF28" s="13">
        <f t="shared" si="7"/>
        <v>79</v>
      </c>
      <c r="BG28" s="13">
        <f t="shared" si="7"/>
        <v>55</v>
      </c>
      <c r="BH28" s="13">
        <f t="shared" si="7"/>
        <v>87</v>
      </c>
      <c r="BI28" s="13">
        <f t="shared" si="7"/>
        <v>82</v>
      </c>
      <c r="BJ28" s="13">
        <f t="shared" si="7"/>
        <v>66</v>
      </c>
      <c r="BK28" s="13">
        <f t="shared" si="7"/>
        <v>91</v>
      </c>
      <c r="BL28" s="13">
        <f t="shared" si="3"/>
        <v>5057</v>
      </c>
    </row>
    <row r="29" ht="12.75" customHeight="1">
      <c r="A29" s="35"/>
      <c r="B29" s="27"/>
      <c r="C29" s="34"/>
      <c r="D29" s="13" t="s">
        <v>13</v>
      </c>
      <c r="E29" s="13">
        <f t="shared" ref="E29:BK29" si="8">SUM(E20,E23,E26)</f>
        <v>96</v>
      </c>
      <c r="F29" s="13">
        <f t="shared" si="8"/>
        <v>103</v>
      </c>
      <c r="G29" s="13">
        <f t="shared" si="8"/>
        <v>104</v>
      </c>
      <c r="H29" s="13">
        <f t="shared" si="8"/>
        <v>85</v>
      </c>
      <c r="I29" s="13">
        <f t="shared" si="8"/>
        <v>121</v>
      </c>
      <c r="J29" s="13">
        <f t="shared" si="8"/>
        <v>114</v>
      </c>
      <c r="K29" s="13">
        <f t="shared" si="8"/>
        <v>118</v>
      </c>
      <c r="L29" s="13">
        <f t="shared" si="8"/>
        <v>110</v>
      </c>
      <c r="M29" s="13">
        <f t="shared" si="8"/>
        <v>117</v>
      </c>
      <c r="N29" s="13">
        <f t="shared" si="8"/>
        <v>77</v>
      </c>
      <c r="O29" s="13">
        <f t="shared" si="8"/>
        <v>77</v>
      </c>
      <c r="P29" s="13">
        <f t="shared" si="8"/>
        <v>106</v>
      </c>
      <c r="Q29" s="13">
        <f t="shared" si="8"/>
        <v>108</v>
      </c>
      <c r="R29" s="13">
        <f t="shared" si="8"/>
        <v>126</v>
      </c>
      <c r="S29" s="13">
        <f t="shared" si="8"/>
        <v>125</v>
      </c>
      <c r="T29" s="13">
        <f t="shared" si="8"/>
        <v>59</v>
      </c>
      <c r="U29" s="13">
        <f t="shared" si="8"/>
        <v>123</v>
      </c>
      <c r="V29" s="13">
        <f t="shared" si="8"/>
        <v>93</v>
      </c>
      <c r="W29" s="13">
        <f t="shared" si="8"/>
        <v>108</v>
      </c>
      <c r="X29" s="13">
        <f t="shared" si="8"/>
        <v>86</v>
      </c>
      <c r="Y29" s="13">
        <f t="shared" si="8"/>
        <v>109</v>
      </c>
      <c r="Z29" s="13">
        <f t="shared" si="8"/>
        <v>128</v>
      </c>
      <c r="AA29" s="13">
        <f t="shared" si="8"/>
        <v>70</v>
      </c>
      <c r="AB29" s="13">
        <f t="shared" si="8"/>
        <v>66</v>
      </c>
      <c r="AC29" s="13">
        <f t="shared" si="8"/>
        <v>67</v>
      </c>
      <c r="AD29" s="13">
        <f t="shared" si="8"/>
        <v>104</v>
      </c>
      <c r="AE29" s="13">
        <f t="shared" si="8"/>
        <v>94</v>
      </c>
      <c r="AF29" s="13">
        <f t="shared" si="8"/>
        <v>86</v>
      </c>
      <c r="AG29" s="13">
        <f t="shared" si="8"/>
        <v>100</v>
      </c>
      <c r="AH29" s="13">
        <f t="shared" si="8"/>
        <v>71</v>
      </c>
      <c r="AI29" s="13">
        <f t="shared" si="8"/>
        <v>126</v>
      </c>
      <c r="AJ29" s="13">
        <f t="shared" si="8"/>
        <v>113</v>
      </c>
      <c r="AK29" s="13">
        <f t="shared" si="8"/>
        <v>115</v>
      </c>
      <c r="AL29" s="13">
        <f t="shared" si="8"/>
        <v>90</v>
      </c>
      <c r="AM29" s="13">
        <f t="shared" si="8"/>
        <v>92</v>
      </c>
      <c r="AN29" s="13">
        <f t="shared" si="8"/>
        <v>77</v>
      </c>
      <c r="AO29" s="13">
        <f t="shared" si="8"/>
        <v>103</v>
      </c>
      <c r="AP29" s="13">
        <f t="shared" si="8"/>
        <v>76</v>
      </c>
      <c r="AQ29" s="13">
        <f t="shared" si="8"/>
        <v>70</v>
      </c>
      <c r="AR29" s="13">
        <f t="shared" si="8"/>
        <v>131</v>
      </c>
      <c r="AS29" s="13">
        <f t="shared" si="8"/>
        <v>128</v>
      </c>
      <c r="AT29" s="13">
        <f t="shared" si="8"/>
        <v>84</v>
      </c>
      <c r="AU29" s="13">
        <f t="shared" si="8"/>
        <v>71</v>
      </c>
      <c r="AV29" s="13">
        <f t="shared" si="8"/>
        <v>67</v>
      </c>
      <c r="AW29" s="13">
        <f t="shared" si="8"/>
        <v>104</v>
      </c>
      <c r="AX29" s="13">
        <f t="shared" si="8"/>
        <v>96</v>
      </c>
      <c r="AY29" s="13">
        <f t="shared" si="8"/>
        <v>90</v>
      </c>
      <c r="AZ29" s="13">
        <f t="shared" si="8"/>
        <v>98</v>
      </c>
      <c r="BA29" s="13">
        <f t="shared" si="8"/>
        <v>63</v>
      </c>
      <c r="BB29" s="13">
        <f t="shared" si="8"/>
        <v>85</v>
      </c>
      <c r="BC29" s="13">
        <f t="shared" si="8"/>
        <v>104</v>
      </c>
      <c r="BD29" s="13">
        <f t="shared" si="8"/>
        <v>102</v>
      </c>
      <c r="BE29" s="13">
        <f t="shared" si="8"/>
        <v>107</v>
      </c>
      <c r="BF29" s="13">
        <f t="shared" si="8"/>
        <v>107</v>
      </c>
      <c r="BG29" s="13">
        <f t="shared" si="8"/>
        <v>57</v>
      </c>
      <c r="BH29" s="13">
        <f t="shared" si="8"/>
        <v>96</v>
      </c>
      <c r="BI29" s="13">
        <f t="shared" si="8"/>
        <v>95</v>
      </c>
      <c r="BJ29" s="13">
        <f t="shared" si="8"/>
        <v>68</v>
      </c>
      <c r="BK29" s="13">
        <f t="shared" si="8"/>
        <v>105</v>
      </c>
      <c r="BL29" s="13">
        <f t="shared" si="3"/>
        <v>5671</v>
      </c>
    </row>
    <row r="30" ht="12.75" customHeight="1">
      <c r="A30" s="35"/>
      <c r="B30" s="28"/>
      <c r="C30" s="36"/>
      <c r="D30" s="13" t="s">
        <v>14</v>
      </c>
      <c r="E30" s="13">
        <f t="shared" ref="E30:BK30" si="9">SUM(E28:E29)</f>
        <v>185</v>
      </c>
      <c r="F30" s="13">
        <f t="shared" si="9"/>
        <v>197</v>
      </c>
      <c r="G30" s="13">
        <f t="shared" si="9"/>
        <v>204</v>
      </c>
      <c r="H30" s="13">
        <f t="shared" si="9"/>
        <v>155</v>
      </c>
      <c r="I30" s="13">
        <f t="shared" si="9"/>
        <v>227</v>
      </c>
      <c r="J30" s="13">
        <f t="shared" si="9"/>
        <v>208</v>
      </c>
      <c r="K30" s="13">
        <f t="shared" si="9"/>
        <v>200</v>
      </c>
      <c r="L30" s="13">
        <f t="shared" si="9"/>
        <v>223</v>
      </c>
      <c r="M30" s="13">
        <f t="shared" si="9"/>
        <v>231</v>
      </c>
      <c r="N30" s="13">
        <f t="shared" si="9"/>
        <v>130</v>
      </c>
      <c r="O30" s="13">
        <f t="shared" si="9"/>
        <v>154</v>
      </c>
      <c r="P30" s="13">
        <f t="shared" si="9"/>
        <v>204</v>
      </c>
      <c r="Q30" s="13">
        <f t="shared" si="9"/>
        <v>220</v>
      </c>
      <c r="R30" s="13">
        <f t="shared" si="9"/>
        <v>245</v>
      </c>
      <c r="S30" s="13">
        <f t="shared" si="9"/>
        <v>230</v>
      </c>
      <c r="T30" s="13">
        <f t="shared" si="9"/>
        <v>121</v>
      </c>
      <c r="U30" s="13">
        <f t="shared" si="9"/>
        <v>213</v>
      </c>
      <c r="V30" s="13">
        <f t="shared" si="9"/>
        <v>177</v>
      </c>
      <c r="W30" s="13">
        <f t="shared" si="9"/>
        <v>197</v>
      </c>
      <c r="X30" s="13">
        <f t="shared" si="9"/>
        <v>161</v>
      </c>
      <c r="Y30" s="13">
        <f t="shared" si="9"/>
        <v>215</v>
      </c>
      <c r="Z30" s="13">
        <f t="shared" si="9"/>
        <v>240</v>
      </c>
      <c r="AA30" s="13">
        <f t="shared" si="9"/>
        <v>133</v>
      </c>
      <c r="AB30" s="13">
        <f t="shared" si="9"/>
        <v>127</v>
      </c>
      <c r="AC30" s="13">
        <f t="shared" si="9"/>
        <v>120</v>
      </c>
      <c r="AD30" s="13">
        <f t="shared" si="9"/>
        <v>197</v>
      </c>
      <c r="AE30" s="13">
        <f t="shared" si="9"/>
        <v>187</v>
      </c>
      <c r="AF30" s="13">
        <f t="shared" si="9"/>
        <v>175</v>
      </c>
      <c r="AG30" s="13">
        <f t="shared" si="9"/>
        <v>175</v>
      </c>
      <c r="AH30" s="13">
        <f t="shared" si="9"/>
        <v>131</v>
      </c>
      <c r="AI30" s="13">
        <f t="shared" si="9"/>
        <v>230</v>
      </c>
      <c r="AJ30" s="13">
        <f t="shared" si="9"/>
        <v>225</v>
      </c>
      <c r="AK30" s="13">
        <f t="shared" si="9"/>
        <v>229</v>
      </c>
      <c r="AL30" s="13">
        <f t="shared" si="9"/>
        <v>181</v>
      </c>
      <c r="AM30" s="13">
        <f t="shared" si="9"/>
        <v>184</v>
      </c>
      <c r="AN30" s="13">
        <f t="shared" si="9"/>
        <v>146</v>
      </c>
      <c r="AO30" s="13">
        <f t="shared" si="9"/>
        <v>193</v>
      </c>
      <c r="AP30" s="13">
        <f t="shared" si="9"/>
        <v>133</v>
      </c>
      <c r="AQ30" s="13">
        <f t="shared" si="9"/>
        <v>136</v>
      </c>
      <c r="AR30" s="13">
        <f t="shared" si="9"/>
        <v>248</v>
      </c>
      <c r="AS30" s="13">
        <f t="shared" si="9"/>
        <v>230</v>
      </c>
      <c r="AT30" s="13">
        <f t="shared" si="9"/>
        <v>156</v>
      </c>
      <c r="AU30" s="13">
        <f t="shared" si="9"/>
        <v>131</v>
      </c>
      <c r="AV30" s="13">
        <f t="shared" si="9"/>
        <v>132</v>
      </c>
      <c r="AW30" s="13">
        <f t="shared" si="9"/>
        <v>205</v>
      </c>
      <c r="AX30" s="13">
        <f t="shared" si="9"/>
        <v>184</v>
      </c>
      <c r="AY30" s="13">
        <f t="shared" si="9"/>
        <v>177</v>
      </c>
      <c r="AZ30" s="13">
        <f t="shared" si="9"/>
        <v>191</v>
      </c>
      <c r="BA30" s="13">
        <f t="shared" si="9"/>
        <v>123</v>
      </c>
      <c r="BB30" s="13">
        <f t="shared" si="9"/>
        <v>143</v>
      </c>
      <c r="BC30" s="13">
        <f t="shared" si="9"/>
        <v>194</v>
      </c>
      <c r="BD30" s="13">
        <f t="shared" si="9"/>
        <v>177</v>
      </c>
      <c r="BE30" s="13">
        <f t="shared" si="9"/>
        <v>210</v>
      </c>
      <c r="BF30" s="13">
        <f t="shared" si="9"/>
        <v>186</v>
      </c>
      <c r="BG30" s="13">
        <f t="shared" si="9"/>
        <v>112</v>
      </c>
      <c r="BH30" s="13">
        <f t="shared" si="9"/>
        <v>183</v>
      </c>
      <c r="BI30" s="13">
        <f t="shared" si="9"/>
        <v>177</v>
      </c>
      <c r="BJ30" s="13">
        <f t="shared" si="9"/>
        <v>134</v>
      </c>
      <c r="BK30" s="13">
        <f t="shared" si="9"/>
        <v>196</v>
      </c>
      <c r="BL30" s="13">
        <f t="shared" si="3"/>
        <v>10728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19"/>
      <c r="BD31" s="19"/>
      <c r="BE31" s="19"/>
      <c r="BF31" s="19"/>
      <c r="BG31" s="67"/>
      <c r="BH31" s="19"/>
      <c r="BI31" s="19"/>
      <c r="BJ31" s="19"/>
      <c r="BK31" s="19"/>
      <c r="BL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13"/>
      <c r="BD32" s="13"/>
      <c r="BE32" s="13"/>
      <c r="BF32" s="13"/>
      <c r="BG32" s="69"/>
      <c r="BH32" s="13"/>
      <c r="BI32" s="13"/>
      <c r="BJ32" s="13"/>
      <c r="BK32" s="13"/>
      <c r="BL32" s="68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291.0</v>
      </c>
      <c r="G33" s="19">
        <v>270.0</v>
      </c>
      <c r="H33" s="19">
        <v>194.0</v>
      </c>
      <c r="I33" s="19">
        <v>305.0</v>
      </c>
      <c r="J33" s="19">
        <v>290.0</v>
      </c>
      <c r="K33" s="19">
        <v>291.0</v>
      </c>
      <c r="L33" s="19">
        <v>299.0</v>
      </c>
      <c r="M33" s="19">
        <v>301.0</v>
      </c>
      <c r="N33" s="19">
        <v>178.0</v>
      </c>
      <c r="O33" s="19">
        <v>204.0</v>
      </c>
      <c r="P33" s="19">
        <v>281.0</v>
      </c>
      <c r="Q33" s="19">
        <v>235.0</v>
      </c>
      <c r="R33" s="19">
        <v>299.0</v>
      </c>
      <c r="S33" s="19">
        <v>292.0</v>
      </c>
      <c r="T33" s="19">
        <v>158.0</v>
      </c>
      <c r="U33" s="19">
        <v>300.0</v>
      </c>
      <c r="V33" s="19">
        <v>277.0</v>
      </c>
      <c r="W33" s="19">
        <v>275.0</v>
      </c>
      <c r="X33" s="19">
        <v>224.0</v>
      </c>
      <c r="Y33" s="19">
        <v>291.0</v>
      </c>
      <c r="Z33" s="19">
        <v>310.0</v>
      </c>
      <c r="AA33" s="19">
        <v>186.0</v>
      </c>
      <c r="AB33" s="19">
        <v>159.0</v>
      </c>
      <c r="AC33" s="19">
        <v>139.0</v>
      </c>
      <c r="AD33" s="19">
        <v>269.0</v>
      </c>
      <c r="AE33" s="19">
        <v>243.0</v>
      </c>
      <c r="AF33" s="19">
        <v>210.0</v>
      </c>
      <c r="AG33" s="19">
        <v>222.0</v>
      </c>
      <c r="AH33" s="19">
        <v>177.0</v>
      </c>
      <c r="AI33" s="19">
        <v>298.0</v>
      </c>
      <c r="AJ33" s="19">
        <v>305.0</v>
      </c>
      <c r="AK33" s="19">
        <v>303.0</v>
      </c>
      <c r="AL33" s="19">
        <v>216.0</v>
      </c>
      <c r="AM33" s="19">
        <v>248.0</v>
      </c>
      <c r="AN33" s="19">
        <v>199.0</v>
      </c>
      <c r="AO33" s="19">
        <v>266.0</v>
      </c>
      <c r="AP33" s="19">
        <v>164.0</v>
      </c>
      <c r="AQ33" s="19">
        <v>183.0</v>
      </c>
      <c r="AR33" s="19">
        <v>305.0</v>
      </c>
      <c r="AS33" s="19">
        <v>290.0</v>
      </c>
      <c r="AT33" s="19">
        <v>218.0</v>
      </c>
      <c r="AU33" s="19">
        <v>185.0</v>
      </c>
      <c r="AV33" s="19">
        <v>164.0</v>
      </c>
      <c r="AW33" s="19">
        <v>279.0</v>
      </c>
      <c r="AX33" s="19">
        <v>239.0</v>
      </c>
      <c r="AY33" s="19">
        <v>215.0</v>
      </c>
      <c r="AZ33" s="19">
        <v>220.0</v>
      </c>
      <c r="BA33" s="19">
        <v>142.0</v>
      </c>
      <c r="BB33" s="19">
        <v>198.0</v>
      </c>
      <c r="BC33" s="19">
        <v>284.0</v>
      </c>
      <c r="BD33" s="19">
        <v>275.0</v>
      </c>
      <c r="BE33" s="19">
        <v>285.0</v>
      </c>
      <c r="BF33" s="19">
        <v>288.0</v>
      </c>
      <c r="BG33" s="19">
        <v>115.0</v>
      </c>
      <c r="BH33" s="19">
        <v>198.0</v>
      </c>
      <c r="BI33" s="19">
        <v>193.0</v>
      </c>
      <c r="BJ33" s="19">
        <v>191.0</v>
      </c>
      <c r="BK33" s="19">
        <v>217.0</v>
      </c>
      <c r="BL33" s="13">
        <f t="shared" ref="BL33:BL36" si="10">SUM(E33:BK33)</f>
        <v>14121</v>
      </c>
    </row>
    <row r="34" ht="12.75" customHeight="1">
      <c r="A34" s="19">
        <v>2.0</v>
      </c>
      <c r="B34" s="20" t="s">
        <v>28</v>
      </c>
      <c r="C34" s="15"/>
      <c r="D34" s="16"/>
      <c r="E34" s="13">
        <v>185.0</v>
      </c>
      <c r="F34" s="13">
        <v>197.0</v>
      </c>
      <c r="G34" s="13">
        <v>204.0</v>
      </c>
      <c r="H34" s="13">
        <v>155.0</v>
      </c>
      <c r="I34" s="13">
        <v>227.0</v>
      </c>
      <c r="J34" s="13">
        <v>208.0</v>
      </c>
      <c r="K34" s="13">
        <v>200.0</v>
      </c>
      <c r="L34" s="13">
        <v>223.0</v>
      </c>
      <c r="M34" s="13">
        <v>231.0</v>
      </c>
      <c r="N34" s="13">
        <v>130.0</v>
      </c>
      <c r="O34" s="13">
        <v>154.0</v>
      </c>
      <c r="P34" s="13">
        <v>204.0</v>
      </c>
      <c r="Q34" s="13">
        <v>220.0</v>
      </c>
      <c r="R34" s="13">
        <v>245.0</v>
      </c>
      <c r="S34" s="13">
        <v>230.0</v>
      </c>
      <c r="T34" s="13">
        <v>121.0</v>
      </c>
      <c r="U34" s="13">
        <v>213.0</v>
      </c>
      <c r="V34" s="13">
        <v>177.0</v>
      </c>
      <c r="W34" s="13">
        <v>197.0</v>
      </c>
      <c r="X34" s="13">
        <v>161.0</v>
      </c>
      <c r="Y34" s="13">
        <v>215.0</v>
      </c>
      <c r="Z34" s="13">
        <v>240.0</v>
      </c>
      <c r="AA34" s="13">
        <v>133.0</v>
      </c>
      <c r="AB34" s="13">
        <v>127.0</v>
      </c>
      <c r="AC34" s="13">
        <v>120.0</v>
      </c>
      <c r="AD34" s="13">
        <v>197.0</v>
      </c>
      <c r="AE34" s="13">
        <v>187.0</v>
      </c>
      <c r="AF34" s="13">
        <v>175.0</v>
      </c>
      <c r="AG34" s="13">
        <v>175.0</v>
      </c>
      <c r="AH34" s="13">
        <v>131.0</v>
      </c>
      <c r="AI34" s="13">
        <v>230.0</v>
      </c>
      <c r="AJ34" s="13">
        <v>225.0</v>
      </c>
      <c r="AK34" s="13">
        <v>229.0</v>
      </c>
      <c r="AL34" s="13">
        <v>181.0</v>
      </c>
      <c r="AM34" s="13">
        <v>184.0</v>
      </c>
      <c r="AN34" s="13">
        <v>146.0</v>
      </c>
      <c r="AO34" s="13">
        <v>193.0</v>
      </c>
      <c r="AP34" s="13">
        <v>133.0</v>
      </c>
      <c r="AQ34" s="13">
        <v>136.0</v>
      </c>
      <c r="AR34" s="13">
        <v>248.0</v>
      </c>
      <c r="AS34" s="13">
        <v>230.0</v>
      </c>
      <c r="AT34" s="13">
        <v>156.0</v>
      </c>
      <c r="AU34" s="13">
        <v>131.0</v>
      </c>
      <c r="AV34" s="13">
        <v>132.0</v>
      </c>
      <c r="AW34" s="13">
        <v>205.0</v>
      </c>
      <c r="AX34" s="13">
        <v>184.0</v>
      </c>
      <c r="AY34" s="13">
        <v>177.0</v>
      </c>
      <c r="AZ34" s="13">
        <v>191.0</v>
      </c>
      <c r="BA34" s="13">
        <v>123.0</v>
      </c>
      <c r="BB34" s="13">
        <v>143.0</v>
      </c>
      <c r="BC34" s="13">
        <v>194.0</v>
      </c>
      <c r="BD34" s="13">
        <v>177.0</v>
      </c>
      <c r="BE34" s="13">
        <v>210.0</v>
      </c>
      <c r="BF34" s="13">
        <v>186.0</v>
      </c>
      <c r="BG34" s="13">
        <v>112.0</v>
      </c>
      <c r="BH34" s="13">
        <v>183.0</v>
      </c>
      <c r="BI34" s="13">
        <v>177.0</v>
      </c>
      <c r="BJ34" s="13">
        <v>134.0</v>
      </c>
      <c r="BK34" s="13">
        <v>196.0</v>
      </c>
      <c r="BL34" s="13">
        <f t="shared" si="10"/>
        <v>10728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1.0</v>
      </c>
      <c r="I35" s="19"/>
      <c r="J35" s="19"/>
      <c r="K35" s="19"/>
      <c r="L35" s="19"/>
      <c r="M35" s="19"/>
      <c r="N35" s="19"/>
      <c r="O35" s="19"/>
      <c r="P35" s="19">
        <v>1.0</v>
      </c>
      <c r="Q35" s="19">
        <v>2.0</v>
      </c>
      <c r="R35" s="19"/>
      <c r="S35" s="19"/>
      <c r="T35" s="19"/>
      <c r="U35" s="19"/>
      <c r="V35" s="19">
        <v>1.0</v>
      </c>
      <c r="W35" s="19"/>
      <c r="X35" s="19">
        <v>2.0</v>
      </c>
      <c r="Y35" s="19"/>
      <c r="Z35" s="19">
        <v>4.0</v>
      </c>
      <c r="AA35" s="19"/>
      <c r="AB35" s="19"/>
      <c r="AC35" s="19"/>
      <c r="AD35" s="19"/>
      <c r="AE35" s="19"/>
      <c r="AF35" s="19">
        <v>1.0</v>
      </c>
      <c r="AG35" s="19"/>
      <c r="AH35" s="19"/>
      <c r="AI35" s="19"/>
      <c r="AJ35" s="19"/>
      <c r="AK35" s="19">
        <v>3.0</v>
      </c>
      <c r="AL35" s="19"/>
      <c r="AM35" s="19">
        <v>1.0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>
        <v>1.0</v>
      </c>
      <c r="BC35" s="19">
        <v>9.0</v>
      </c>
      <c r="BD35" s="19"/>
      <c r="BE35" s="19"/>
      <c r="BF35" s="19"/>
      <c r="BG35" s="19"/>
      <c r="BH35" s="19"/>
      <c r="BI35" s="19">
        <v>2.0</v>
      </c>
      <c r="BJ35" s="19"/>
      <c r="BK35" s="19"/>
      <c r="BL35" s="13">
        <f t="shared" si="10"/>
        <v>28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83</v>
      </c>
      <c r="F36" s="13">
        <f t="shared" si="11"/>
        <v>94</v>
      </c>
      <c r="G36" s="13">
        <f t="shared" si="11"/>
        <v>66</v>
      </c>
      <c r="H36" s="13">
        <f t="shared" si="11"/>
        <v>38</v>
      </c>
      <c r="I36" s="13">
        <f t="shared" si="11"/>
        <v>78</v>
      </c>
      <c r="J36" s="13">
        <f t="shared" si="11"/>
        <v>82</v>
      </c>
      <c r="K36" s="13">
        <f t="shared" si="11"/>
        <v>91</v>
      </c>
      <c r="L36" s="13">
        <f t="shared" si="11"/>
        <v>76</v>
      </c>
      <c r="M36" s="13">
        <f t="shared" si="11"/>
        <v>70</v>
      </c>
      <c r="N36" s="13">
        <f t="shared" si="11"/>
        <v>48</v>
      </c>
      <c r="O36" s="13">
        <f t="shared" si="11"/>
        <v>50</v>
      </c>
      <c r="P36" s="13">
        <f t="shared" si="11"/>
        <v>76</v>
      </c>
      <c r="Q36" s="13">
        <f t="shared" si="11"/>
        <v>13</v>
      </c>
      <c r="R36" s="13">
        <f t="shared" si="11"/>
        <v>54</v>
      </c>
      <c r="S36" s="13">
        <f t="shared" si="11"/>
        <v>62</v>
      </c>
      <c r="T36" s="13">
        <f t="shared" si="11"/>
        <v>37</v>
      </c>
      <c r="U36" s="13">
        <f t="shared" si="11"/>
        <v>87</v>
      </c>
      <c r="V36" s="13">
        <f t="shared" si="11"/>
        <v>99</v>
      </c>
      <c r="W36" s="13">
        <f t="shared" si="11"/>
        <v>78</v>
      </c>
      <c r="X36" s="13">
        <f t="shared" si="11"/>
        <v>61</v>
      </c>
      <c r="Y36" s="13">
        <f t="shared" si="11"/>
        <v>76</v>
      </c>
      <c r="Z36" s="13">
        <f t="shared" si="11"/>
        <v>66</v>
      </c>
      <c r="AA36" s="13">
        <f t="shared" si="11"/>
        <v>53</v>
      </c>
      <c r="AB36" s="13">
        <f t="shared" si="11"/>
        <v>32</v>
      </c>
      <c r="AC36" s="13">
        <f t="shared" si="11"/>
        <v>19</v>
      </c>
      <c r="AD36" s="13">
        <f t="shared" si="11"/>
        <v>72</v>
      </c>
      <c r="AE36" s="13">
        <f t="shared" si="11"/>
        <v>56</v>
      </c>
      <c r="AF36" s="13">
        <f t="shared" si="11"/>
        <v>34</v>
      </c>
      <c r="AG36" s="13">
        <f t="shared" si="11"/>
        <v>47</v>
      </c>
      <c r="AH36" s="13">
        <f t="shared" si="11"/>
        <v>46</v>
      </c>
      <c r="AI36" s="13">
        <f t="shared" si="11"/>
        <v>68</v>
      </c>
      <c r="AJ36" s="13">
        <f t="shared" si="11"/>
        <v>80</v>
      </c>
      <c r="AK36" s="13">
        <f t="shared" si="11"/>
        <v>71</v>
      </c>
      <c r="AL36" s="13">
        <f t="shared" si="11"/>
        <v>35</v>
      </c>
      <c r="AM36" s="13">
        <f t="shared" si="11"/>
        <v>63</v>
      </c>
      <c r="AN36" s="13">
        <f t="shared" si="11"/>
        <v>53</v>
      </c>
      <c r="AO36" s="13">
        <f t="shared" si="11"/>
        <v>73</v>
      </c>
      <c r="AP36" s="13">
        <f t="shared" si="11"/>
        <v>31</v>
      </c>
      <c r="AQ36" s="13">
        <f t="shared" si="11"/>
        <v>47</v>
      </c>
      <c r="AR36" s="13">
        <f t="shared" si="11"/>
        <v>57</v>
      </c>
      <c r="AS36" s="13">
        <f t="shared" si="11"/>
        <v>60</v>
      </c>
      <c r="AT36" s="13">
        <f t="shared" si="11"/>
        <v>62</v>
      </c>
      <c r="AU36" s="13">
        <f t="shared" si="11"/>
        <v>54</v>
      </c>
      <c r="AV36" s="13">
        <f t="shared" si="11"/>
        <v>32</v>
      </c>
      <c r="AW36" s="13">
        <f t="shared" si="11"/>
        <v>74</v>
      </c>
      <c r="AX36" s="13">
        <f t="shared" si="11"/>
        <v>55</v>
      </c>
      <c r="AY36" s="13">
        <f t="shared" si="11"/>
        <v>38</v>
      </c>
      <c r="AZ36" s="13">
        <f t="shared" si="11"/>
        <v>29</v>
      </c>
      <c r="BA36" s="13">
        <f t="shared" si="11"/>
        <v>19</v>
      </c>
      <c r="BB36" s="13">
        <f t="shared" si="11"/>
        <v>54</v>
      </c>
      <c r="BC36" s="13">
        <f t="shared" si="11"/>
        <v>81</v>
      </c>
      <c r="BD36" s="13">
        <f t="shared" si="11"/>
        <v>98</v>
      </c>
      <c r="BE36" s="13">
        <f t="shared" si="11"/>
        <v>75</v>
      </c>
      <c r="BF36" s="13">
        <f t="shared" si="11"/>
        <v>102</v>
      </c>
      <c r="BG36" s="13">
        <f t="shared" si="11"/>
        <v>3</v>
      </c>
      <c r="BH36" s="13">
        <f t="shared" si="11"/>
        <v>15</v>
      </c>
      <c r="BI36" s="13">
        <f t="shared" si="11"/>
        <v>14</v>
      </c>
      <c r="BJ36" s="13">
        <f t="shared" si="11"/>
        <v>57</v>
      </c>
      <c r="BK36" s="13">
        <f t="shared" si="11"/>
        <v>21</v>
      </c>
      <c r="BL36" s="13">
        <f t="shared" si="10"/>
        <v>3365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19"/>
      <c r="BD37" s="19"/>
      <c r="BE37" s="19"/>
      <c r="BF37" s="19"/>
      <c r="BG37" s="67"/>
      <c r="BH37" s="19"/>
      <c r="BI37" s="19"/>
      <c r="BJ37" s="19"/>
      <c r="BK37" s="19"/>
      <c r="BL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13"/>
      <c r="BD38" s="13"/>
      <c r="BE38" s="13"/>
      <c r="BF38" s="13"/>
      <c r="BG38" s="69"/>
      <c r="BH38" s="13"/>
      <c r="BI38" s="13"/>
      <c r="BJ38" s="13"/>
      <c r="BK38" s="13"/>
      <c r="BL38" s="6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>
        <v>2.0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3">
        <f t="shared" ref="BL39:BL41" si="12">SUM(E39:BK39)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2.0</v>
      </c>
      <c r="M40" s="19"/>
      <c r="N40" s="19"/>
      <c r="O40" s="19"/>
      <c r="P40" s="19"/>
      <c r="Q40" s="19"/>
      <c r="R40" s="19"/>
      <c r="S40" s="19">
        <v>6.0</v>
      </c>
      <c r="T40" s="19"/>
      <c r="U40" s="19"/>
      <c r="V40" s="19"/>
      <c r="W40" s="19"/>
      <c r="X40" s="19"/>
      <c r="Y40" s="19"/>
      <c r="Z40" s="19"/>
      <c r="AA40" s="19"/>
      <c r="AB40" s="19"/>
      <c r="AC40" s="19">
        <v>2.0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3">
        <f t="shared" si="12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9"/>
      <c r="BD42" s="19"/>
      <c r="BE42" s="19"/>
      <c r="BF42" s="19"/>
      <c r="BG42" s="67"/>
      <c r="BH42" s="19"/>
      <c r="BI42" s="19"/>
      <c r="BJ42" s="19"/>
      <c r="BK42" s="19"/>
      <c r="B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  <c r="BD43" s="13"/>
      <c r="BE43" s="13"/>
      <c r="BF43" s="13"/>
      <c r="BG43" s="69"/>
      <c r="BH43" s="13"/>
      <c r="BI43" s="13"/>
      <c r="BJ43" s="13"/>
      <c r="BK43" s="13"/>
      <c r="B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9"/>
      <c r="BD44" s="19"/>
      <c r="BE44" s="19"/>
      <c r="BF44" s="19"/>
      <c r="BG44" s="67"/>
      <c r="BH44" s="19"/>
      <c r="BI44" s="19"/>
      <c r="BJ44" s="19"/>
      <c r="BK44" s="19"/>
      <c r="B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9.0</v>
      </c>
      <c r="G45" s="19">
        <v>8.0</v>
      </c>
      <c r="H45" s="19">
        <v>2.0</v>
      </c>
      <c r="I45" s="19">
        <v>8.0</v>
      </c>
      <c r="J45" s="19">
        <v>9.0</v>
      </c>
      <c r="K45" s="19">
        <v>4.0</v>
      </c>
      <c r="L45" s="19">
        <v>6.0</v>
      </c>
      <c r="M45" s="19">
        <v>9.0</v>
      </c>
      <c r="N45" s="19">
        <v>1.0</v>
      </c>
      <c r="O45" s="19">
        <v>9.0</v>
      </c>
      <c r="P45" s="19">
        <v>6.0</v>
      </c>
      <c r="Q45" s="19">
        <v>6.0</v>
      </c>
      <c r="R45" s="19">
        <v>2.0</v>
      </c>
      <c r="S45" s="19">
        <v>7.0</v>
      </c>
      <c r="T45" s="19">
        <v>2.0</v>
      </c>
      <c r="U45" s="19">
        <v>9.0</v>
      </c>
      <c r="V45" s="19">
        <v>9.0</v>
      </c>
      <c r="W45" s="19">
        <v>7.0</v>
      </c>
      <c r="X45" s="19">
        <v>6.0</v>
      </c>
      <c r="Y45" s="19">
        <v>6.0</v>
      </c>
      <c r="Z45" s="19">
        <v>6.0</v>
      </c>
      <c r="AA45" s="19">
        <v>5.0</v>
      </c>
      <c r="AB45" s="19">
        <v>5.0</v>
      </c>
      <c r="AC45" s="19">
        <v>3.0</v>
      </c>
      <c r="AD45" s="19">
        <v>3.0</v>
      </c>
      <c r="AE45" s="19">
        <v>3.0</v>
      </c>
      <c r="AF45" s="19">
        <v>4.0</v>
      </c>
      <c r="AG45" s="19">
        <v>4.0</v>
      </c>
      <c r="AH45" s="19">
        <v>4.0</v>
      </c>
      <c r="AI45" s="19">
        <v>1.0</v>
      </c>
      <c r="AJ45" s="19">
        <v>8.0</v>
      </c>
      <c r="AK45" s="19">
        <v>2.0</v>
      </c>
      <c r="AL45" s="19">
        <v>2.0</v>
      </c>
      <c r="AM45" s="19">
        <v>1.0</v>
      </c>
      <c r="AN45" s="19">
        <v>2.0</v>
      </c>
      <c r="AO45" s="19">
        <v>6.0</v>
      </c>
      <c r="AP45" s="19">
        <v>2.0</v>
      </c>
      <c r="AQ45" s="19">
        <v>6.0</v>
      </c>
      <c r="AR45" s="19">
        <v>11.0</v>
      </c>
      <c r="AS45" s="19">
        <v>11.0</v>
      </c>
      <c r="AT45" s="19">
        <v>6.0</v>
      </c>
      <c r="AU45" s="19">
        <v>3.0</v>
      </c>
      <c r="AV45" s="19">
        <v>1.0</v>
      </c>
      <c r="AW45" s="19">
        <v>0.0</v>
      </c>
      <c r="AX45" s="19">
        <v>2.0</v>
      </c>
      <c r="AY45" s="19">
        <v>2.0</v>
      </c>
      <c r="AZ45" s="19">
        <v>5.0</v>
      </c>
      <c r="BA45" s="19">
        <v>1.0</v>
      </c>
      <c r="BB45" s="19">
        <v>0.0</v>
      </c>
      <c r="BC45" s="19">
        <v>0.0</v>
      </c>
      <c r="BD45" s="19">
        <v>6.0</v>
      </c>
      <c r="BE45" s="19">
        <v>3.0</v>
      </c>
      <c r="BF45" s="19">
        <v>2.0</v>
      </c>
      <c r="BG45" s="19">
        <v>0.0</v>
      </c>
      <c r="BH45" s="19">
        <v>0.0</v>
      </c>
      <c r="BI45" s="19">
        <v>0.0</v>
      </c>
      <c r="BJ45" s="19">
        <v>2.0</v>
      </c>
      <c r="BK45" s="19">
        <v>7.0</v>
      </c>
      <c r="BL45" s="13">
        <f t="shared" ref="BL45:BL55" si="14">SUM(E45:BK45)</f>
        <v>264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4.0</v>
      </c>
      <c r="G46" s="19">
        <v>20.0</v>
      </c>
      <c r="H46" s="19">
        <v>6.0</v>
      </c>
      <c r="I46" s="19">
        <v>8.0</v>
      </c>
      <c r="J46" s="19">
        <v>11.0</v>
      </c>
      <c r="K46" s="19">
        <v>10.0</v>
      </c>
      <c r="L46" s="19">
        <v>11.0</v>
      </c>
      <c r="M46" s="19">
        <v>35.0</v>
      </c>
      <c r="N46" s="19">
        <v>14.0</v>
      </c>
      <c r="O46" s="19">
        <v>34.0</v>
      </c>
      <c r="P46" s="19">
        <v>11.0</v>
      </c>
      <c r="Q46" s="19">
        <v>6.0</v>
      </c>
      <c r="R46" s="19">
        <v>12.0</v>
      </c>
      <c r="S46" s="19">
        <v>24.0</v>
      </c>
      <c r="T46" s="19">
        <v>8.0</v>
      </c>
      <c r="U46" s="19">
        <v>9.0</v>
      </c>
      <c r="V46" s="19">
        <v>5.0</v>
      </c>
      <c r="W46" s="19">
        <v>17.0</v>
      </c>
      <c r="X46" s="19">
        <v>9.0</v>
      </c>
      <c r="Y46" s="19">
        <v>14.0</v>
      </c>
      <c r="Z46" s="19">
        <v>32.0</v>
      </c>
      <c r="AA46" s="19">
        <v>1.0</v>
      </c>
      <c r="AB46" s="19">
        <v>25.0</v>
      </c>
      <c r="AC46" s="19">
        <v>14.0</v>
      </c>
      <c r="AD46" s="19">
        <v>24.0</v>
      </c>
      <c r="AE46" s="19">
        <v>3.0</v>
      </c>
      <c r="AF46" s="19">
        <v>7.0</v>
      </c>
      <c r="AG46" s="19">
        <v>8.0</v>
      </c>
      <c r="AH46" s="19">
        <v>6.0</v>
      </c>
      <c r="AI46" s="19">
        <v>2.0</v>
      </c>
      <c r="AJ46" s="19">
        <v>1.0</v>
      </c>
      <c r="AK46" s="19">
        <v>7.0</v>
      </c>
      <c r="AL46" s="19">
        <v>0.0</v>
      </c>
      <c r="AM46" s="19">
        <v>0.0</v>
      </c>
      <c r="AN46" s="19">
        <v>0.0</v>
      </c>
      <c r="AO46" s="19">
        <v>4.0</v>
      </c>
      <c r="AP46" s="19">
        <v>3.0</v>
      </c>
      <c r="AQ46" s="19">
        <v>22.0</v>
      </c>
      <c r="AR46" s="19">
        <v>59.0</v>
      </c>
      <c r="AS46" s="19">
        <v>33.0</v>
      </c>
      <c r="AT46" s="19">
        <v>33.0</v>
      </c>
      <c r="AU46" s="19">
        <v>28.0</v>
      </c>
      <c r="AV46" s="19">
        <v>1.0</v>
      </c>
      <c r="AW46" s="19">
        <v>3.0</v>
      </c>
      <c r="AX46" s="19">
        <v>1.0</v>
      </c>
      <c r="AY46" s="19">
        <v>9.0</v>
      </c>
      <c r="AZ46" s="19">
        <v>8.0</v>
      </c>
      <c r="BA46" s="19">
        <v>9.0</v>
      </c>
      <c r="BB46" s="19">
        <v>6.0</v>
      </c>
      <c r="BC46" s="19">
        <v>5.0</v>
      </c>
      <c r="BD46" s="19">
        <v>3.0</v>
      </c>
      <c r="BE46" s="19">
        <v>6.0</v>
      </c>
      <c r="BF46" s="19">
        <v>4.0</v>
      </c>
      <c r="BG46" s="19">
        <v>2.0</v>
      </c>
      <c r="BH46" s="19">
        <v>3.0</v>
      </c>
      <c r="BI46" s="19">
        <v>1.0</v>
      </c>
      <c r="BJ46" s="19">
        <v>0.0</v>
      </c>
      <c r="BK46" s="19">
        <v>5.0</v>
      </c>
      <c r="BL46" s="13">
        <f t="shared" si="14"/>
        <v>658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4.0</v>
      </c>
      <c r="G47" s="19">
        <v>4.0</v>
      </c>
      <c r="H47" s="19">
        <v>3.0</v>
      </c>
      <c r="I47" s="19">
        <v>0.0</v>
      </c>
      <c r="J47" s="19">
        <v>5.0</v>
      </c>
      <c r="K47" s="19">
        <v>4.0</v>
      </c>
      <c r="L47" s="19">
        <v>1.0</v>
      </c>
      <c r="M47" s="19">
        <v>2.0</v>
      </c>
      <c r="N47" s="19">
        <v>0.0</v>
      </c>
      <c r="O47" s="19">
        <v>1.0</v>
      </c>
      <c r="P47" s="19">
        <v>1.0</v>
      </c>
      <c r="Q47" s="19">
        <v>4.0</v>
      </c>
      <c r="R47" s="19">
        <v>85.0</v>
      </c>
      <c r="S47" s="19">
        <v>8.0</v>
      </c>
      <c r="T47" s="19">
        <v>0.0</v>
      </c>
      <c r="U47" s="19">
        <v>28.0</v>
      </c>
      <c r="V47" s="19">
        <v>6.0</v>
      </c>
      <c r="W47" s="19">
        <v>15.0</v>
      </c>
      <c r="X47" s="19">
        <v>25.0</v>
      </c>
      <c r="Y47" s="19">
        <v>27.0</v>
      </c>
      <c r="Z47" s="19">
        <v>28.0</v>
      </c>
      <c r="AA47" s="19">
        <v>44.0</v>
      </c>
      <c r="AB47" s="19">
        <v>5.0</v>
      </c>
      <c r="AC47" s="19">
        <v>3.0</v>
      </c>
      <c r="AD47" s="19">
        <v>14.0</v>
      </c>
      <c r="AE47" s="19">
        <v>10.0</v>
      </c>
      <c r="AF47" s="19">
        <v>18.0</v>
      </c>
      <c r="AG47" s="19">
        <v>19.0</v>
      </c>
      <c r="AH47" s="19">
        <v>8.0</v>
      </c>
      <c r="AI47" s="19">
        <v>1.0</v>
      </c>
      <c r="AJ47" s="19">
        <v>1.0</v>
      </c>
      <c r="AK47" s="19">
        <v>17.0</v>
      </c>
      <c r="AL47" s="19">
        <v>0.0</v>
      </c>
      <c r="AM47" s="19">
        <v>0.0</v>
      </c>
      <c r="AN47" s="19">
        <v>0.0</v>
      </c>
      <c r="AO47" s="19">
        <v>7.0</v>
      </c>
      <c r="AP47" s="19">
        <v>2.0</v>
      </c>
      <c r="AQ47" s="19">
        <v>12.0</v>
      </c>
      <c r="AR47" s="19">
        <v>1.0</v>
      </c>
      <c r="AS47" s="19">
        <v>4.0</v>
      </c>
      <c r="AT47" s="19">
        <v>7.0</v>
      </c>
      <c r="AU47" s="19">
        <v>3.0</v>
      </c>
      <c r="AV47" s="19">
        <v>0.0</v>
      </c>
      <c r="AW47" s="19">
        <v>2.0</v>
      </c>
      <c r="AX47" s="19">
        <v>0.0</v>
      </c>
      <c r="AY47" s="19">
        <v>10.0</v>
      </c>
      <c r="AZ47" s="19">
        <v>21.0</v>
      </c>
      <c r="BA47" s="19">
        <v>3.0</v>
      </c>
      <c r="BB47" s="19">
        <v>15.0</v>
      </c>
      <c r="BC47" s="19">
        <v>11.0</v>
      </c>
      <c r="BD47" s="19">
        <v>3.0</v>
      </c>
      <c r="BE47" s="19">
        <v>5.0</v>
      </c>
      <c r="BF47" s="19">
        <v>2.0</v>
      </c>
      <c r="BG47" s="19">
        <v>0.0</v>
      </c>
      <c r="BH47" s="19">
        <v>5.0</v>
      </c>
      <c r="BI47" s="19">
        <v>1.0</v>
      </c>
      <c r="BJ47" s="19">
        <v>2.0</v>
      </c>
      <c r="BK47" s="19">
        <v>1.0</v>
      </c>
      <c r="BL47" s="13">
        <f t="shared" si="14"/>
        <v>509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2.0</v>
      </c>
      <c r="G48" s="19">
        <v>3.0</v>
      </c>
      <c r="H48" s="19">
        <v>3.0</v>
      </c>
      <c r="I48" s="19">
        <v>1.0</v>
      </c>
      <c r="J48" s="19">
        <v>1.0</v>
      </c>
      <c r="K48" s="19">
        <v>1.0</v>
      </c>
      <c r="L48" s="19">
        <v>1.0</v>
      </c>
      <c r="M48" s="19">
        <v>2.0</v>
      </c>
      <c r="N48" s="19">
        <v>0.0</v>
      </c>
      <c r="O48" s="19">
        <v>1.0</v>
      </c>
      <c r="P48" s="19">
        <v>0.0</v>
      </c>
      <c r="Q48" s="19">
        <v>6.0</v>
      </c>
      <c r="R48" s="19">
        <v>2.0</v>
      </c>
      <c r="S48" s="19">
        <v>0.0</v>
      </c>
      <c r="T48" s="19">
        <v>0.0</v>
      </c>
      <c r="U48" s="19">
        <v>2.0</v>
      </c>
      <c r="V48" s="19">
        <v>1.0</v>
      </c>
      <c r="W48" s="19">
        <v>0.0</v>
      </c>
      <c r="X48" s="19">
        <v>1.0</v>
      </c>
      <c r="Y48" s="19">
        <v>1.0</v>
      </c>
      <c r="Z48" s="19">
        <v>1.0</v>
      </c>
      <c r="AA48" s="19">
        <v>3.0</v>
      </c>
      <c r="AB48" s="19">
        <v>6.0</v>
      </c>
      <c r="AC48" s="19">
        <v>1.0</v>
      </c>
      <c r="AD48" s="19">
        <v>0.0</v>
      </c>
      <c r="AE48" s="19">
        <v>0.0</v>
      </c>
      <c r="AF48" s="19">
        <v>1.0</v>
      </c>
      <c r="AG48" s="19">
        <v>2.0</v>
      </c>
      <c r="AH48" s="19">
        <v>1.0</v>
      </c>
      <c r="AI48" s="19">
        <v>1.0</v>
      </c>
      <c r="AJ48" s="19">
        <v>0.0</v>
      </c>
      <c r="AK48" s="19">
        <v>2.0</v>
      </c>
      <c r="AL48" s="19">
        <v>0.0</v>
      </c>
      <c r="AM48" s="19">
        <v>0.0</v>
      </c>
      <c r="AN48" s="19">
        <v>0.0</v>
      </c>
      <c r="AO48" s="19">
        <v>2.0</v>
      </c>
      <c r="AP48" s="19">
        <v>2.0</v>
      </c>
      <c r="AQ48" s="19">
        <v>4.0</v>
      </c>
      <c r="AR48" s="19">
        <v>6.0</v>
      </c>
      <c r="AS48" s="19">
        <v>1.0</v>
      </c>
      <c r="AT48" s="19">
        <v>1.0</v>
      </c>
      <c r="AU48" s="19">
        <v>0.0</v>
      </c>
      <c r="AV48" s="19">
        <v>0.0</v>
      </c>
      <c r="AW48" s="19">
        <v>0.0</v>
      </c>
      <c r="AX48" s="19"/>
      <c r="AY48" s="19"/>
      <c r="AZ48" s="19"/>
      <c r="BA48" s="19"/>
      <c r="BB48" s="19"/>
      <c r="BC48" s="19"/>
      <c r="BD48" s="19"/>
      <c r="BE48" s="19"/>
      <c r="BF48" s="19"/>
      <c r="BG48" s="19">
        <v>1.0</v>
      </c>
      <c r="BH48" s="19"/>
      <c r="BI48" s="19">
        <v>1.0</v>
      </c>
      <c r="BJ48" s="19"/>
      <c r="BK48" s="19">
        <v>1.0</v>
      </c>
      <c r="BL48" s="13">
        <f t="shared" si="14"/>
        <v>66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2.0</v>
      </c>
      <c r="H49" s="19">
        <v>1.0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2.0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1.0</v>
      </c>
      <c r="X49" s="19">
        <v>0.0</v>
      </c>
      <c r="Y49" s="19">
        <v>3.0</v>
      </c>
      <c r="Z49" s="19">
        <v>3.0</v>
      </c>
      <c r="AA49" s="19">
        <v>0.0</v>
      </c>
      <c r="AB49" s="19">
        <v>0.0</v>
      </c>
      <c r="AC49" s="19">
        <v>1.0</v>
      </c>
      <c r="AD49" s="19">
        <v>1.0</v>
      </c>
      <c r="AE49" s="19">
        <v>0.0</v>
      </c>
      <c r="AF49" s="19">
        <v>3.0</v>
      </c>
      <c r="AG49" s="19">
        <v>0.0</v>
      </c>
      <c r="AH49" s="19">
        <v>2.0</v>
      </c>
      <c r="AI49" s="19">
        <v>0.0</v>
      </c>
      <c r="AJ49" s="19">
        <v>0.0</v>
      </c>
      <c r="AK49" s="19">
        <v>4.0</v>
      </c>
      <c r="AL49" s="19">
        <v>0.0</v>
      </c>
      <c r="AM49" s="19">
        <v>0.0</v>
      </c>
      <c r="AN49" s="19">
        <v>0.0</v>
      </c>
      <c r="AO49" s="19">
        <v>0.0</v>
      </c>
      <c r="AP49" s="19"/>
      <c r="AQ49" s="19">
        <v>1.0</v>
      </c>
      <c r="AR49" s="19">
        <v>3.0</v>
      </c>
      <c r="AS49" s="19">
        <v>2.0</v>
      </c>
      <c r="AT49" s="19">
        <v>1.0</v>
      </c>
      <c r="AU49" s="19">
        <v>0.0</v>
      </c>
      <c r="AV49" s="19">
        <v>0.0</v>
      </c>
      <c r="AW49" s="19">
        <v>0.0</v>
      </c>
      <c r="AX49" s="19"/>
      <c r="AY49" s="19">
        <v>1.0</v>
      </c>
      <c r="AZ49" s="19"/>
      <c r="BA49" s="19"/>
      <c r="BB49" s="19"/>
      <c r="BC49" s="19">
        <v>1.0</v>
      </c>
      <c r="BD49" s="19">
        <v>1.0</v>
      </c>
      <c r="BE49" s="19"/>
      <c r="BF49" s="19">
        <v>3.0</v>
      </c>
      <c r="BG49" s="19"/>
      <c r="BH49" s="19"/>
      <c r="BI49" s="19"/>
      <c r="BJ49" s="19">
        <v>1.0</v>
      </c>
      <c r="BK49" s="19">
        <v>1.0</v>
      </c>
      <c r="BL49" s="13">
        <f t="shared" si="14"/>
        <v>42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2.0</v>
      </c>
      <c r="H50" s="19">
        <v>1.0</v>
      </c>
      <c r="I50" s="19">
        <v>1.0</v>
      </c>
      <c r="J50" s="19">
        <v>1.0</v>
      </c>
      <c r="K50" s="19">
        <v>0.0</v>
      </c>
      <c r="L50" s="19">
        <v>0.0</v>
      </c>
      <c r="M50" s="19">
        <v>0.0</v>
      </c>
      <c r="N50" s="19">
        <v>2.0</v>
      </c>
      <c r="O50" s="19">
        <v>0.0</v>
      </c>
      <c r="P50" s="19">
        <v>0.0</v>
      </c>
      <c r="Q50" s="19">
        <v>2.0</v>
      </c>
      <c r="R50" s="19">
        <v>0.0</v>
      </c>
      <c r="S50" s="19">
        <v>1.0</v>
      </c>
      <c r="T50" s="19">
        <v>0.0</v>
      </c>
      <c r="U50" s="19">
        <v>1.0</v>
      </c>
      <c r="V50" s="19">
        <v>2.0</v>
      </c>
      <c r="W50" s="19">
        <v>1.0</v>
      </c>
      <c r="X50" s="19">
        <v>2.0</v>
      </c>
      <c r="Y50" s="19">
        <v>1.0</v>
      </c>
      <c r="Z50" s="19">
        <v>0.0</v>
      </c>
      <c r="AA50" s="19">
        <v>0.0</v>
      </c>
      <c r="AB50" s="19">
        <v>1.0</v>
      </c>
      <c r="AC50" s="19">
        <v>0.0</v>
      </c>
      <c r="AD50" s="19">
        <v>0.0</v>
      </c>
      <c r="AE50" s="19">
        <v>0.0</v>
      </c>
      <c r="AF50" s="19">
        <v>1.0</v>
      </c>
      <c r="AG50" s="19">
        <v>0.0</v>
      </c>
      <c r="AH50" s="19">
        <v>1.0</v>
      </c>
      <c r="AI50" s="19">
        <v>0.0</v>
      </c>
      <c r="AJ50" s="19">
        <v>0.0</v>
      </c>
      <c r="AK50" s="19">
        <v>1.0</v>
      </c>
      <c r="AL50" s="19">
        <v>0.0</v>
      </c>
      <c r="AM50" s="19">
        <v>0.0</v>
      </c>
      <c r="AN50" s="19"/>
      <c r="AO50" s="19">
        <v>1.0</v>
      </c>
      <c r="AP50" s="19"/>
      <c r="AQ50" s="19">
        <v>1.0</v>
      </c>
      <c r="AR50" s="19">
        <v>1.0</v>
      </c>
      <c r="AS50" s="19">
        <v>1.0</v>
      </c>
      <c r="AT50" s="19">
        <v>0.0</v>
      </c>
      <c r="AU50" s="19">
        <v>0.0</v>
      </c>
      <c r="AV50" s="19">
        <v>0.0</v>
      </c>
      <c r="AW50" s="19">
        <v>0.0</v>
      </c>
      <c r="AX50" s="19"/>
      <c r="AY50" s="19"/>
      <c r="AZ50" s="19"/>
      <c r="BA50" s="19"/>
      <c r="BB50" s="19"/>
      <c r="BC50" s="19"/>
      <c r="BD50" s="19"/>
      <c r="BE50" s="19">
        <v>1.0</v>
      </c>
      <c r="BF50" s="19"/>
      <c r="BG50" s="19"/>
      <c r="BH50" s="19"/>
      <c r="BI50" s="19"/>
      <c r="BJ50" s="19">
        <v>1.0</v>
      </c>
      <c r="BK50" s="19"/>
      <c r="BL50" s="13">
        <f t="shared" si="14"/>
        <v>28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1.0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1.0</v>
      </c>
      <c r="AQ51" s="19">
        <v>0.0</v>
      </c>
      <c r="AR51" s="19">
        <v>0.0</v>
      </c>
      <c r="AS51" s="19">
        <v>0.0</v>
      </c>
      <c r="AT51" s="19">
        <v>0.0</v>
      </c>
      <c r="AU51" s="19">
        <v>1.0</v>
      </c>
      <c r="AV51" s="19">
        <v>0.0</v>
      </c>
      <c r="AW51" s="19">
        <v>0.0</v>
      </c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3">
        <f t="shared" si="14"/>
        <v>1</v>
      </c>
    </row>
    <row r="53" ht="12.75" customHeight="1">
      <c r="A53" s="18"/>
      <c r="B53" s="70"/>
      <c r="C53" s="71"/>
      <c r="D53" s="72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3">
        <f t="shared" si="14"/>
        <v>0</v>
      </c>
    </row>
    <row r="54" ht="12.75" customHeight="1">
      <c r="A54" s="18"/>
      <c r="B54" s="70"/>
      <c r="C54" s="71"/>
      <c r="D54" s="72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BK55" si="15">SUM(E45:E52)</f>
        <v>26</v>
      </c>
      <c r="F55" s="13">
        <f t="shared" si="15"/>
        <v>20</v>
      </c>
      <c r="G55" s="13">
        <f t="shared" si="15"/>
        <v>40</v>
      </c>
      <c r="H55" s="13">
        <f t="shared" si="15"/>
        <v>16</v>
      </c>
      <c r="I55" s="13">
        <f t="shared" si="15"/>
        <v>18</v>
      </c>
      <c r="J55" s="13">
        <f t="shared" si="15"/>
        <v>28</v>
      </c>
      <c r="K55" s="13">
        <f t="shared" si="15"/>
        <v>20</v>
      </c>
      <c r="L55" s="13">
        <f t="shared" si="15"/>
        <v>19</v>
      </c>
      <c r="M55" s="13">
        <f t="shared" si="15"/>
        <v>48</v>
      </c>
      <c r="N55" s="13">
        <f t="shared" si="15"/>
        <v>17</v>
      </c>
      <c r="O55" s="13">
        <f t="shared" si="15"/>
        <v>45</v>
      </c>
      <c r="P55" s="13">
        <f t="shared" si="15"/>
        <v>18</v>
      </c>
      <c r="Q55" s="13">
        <f t="shared" si="15"/>
        <v>26</v>
      </c>
      <c r="R55" s="13">
        <f t="shared" si="15"/>
        <v>101</v>
      </c>
      <c r="S55" s="13">
        <f t="shared" si="15"/>
        <v>40</v>
      </c>
      <c r="T55" s="13">
        <f t="shared" si="15"/>
        <v>10</v>
      </c>
      <c r="U55" s="13">
        <f t="shared" si="15"/>
        <v>50</v>
      </c>
      <c r="V55" s="13">
        <f t="shared" si="15"/>
        <v>23</v>
      </c>
      <c r="W55" s="13">
        <f t="shared" si="15"/>
        <v>41</v>
      </c>
      <c r="X55" s="13">
        <f t="shared" si="15"/>
        <v>43</v>
      </c>
      <c r="Y55" s="13">
        <f t="shared" si="15"/>
        <v>52</v>
      </c>
      <c r="Z55" s="13">
        <f t="shared" si="15"/>
        <v>72</v>
      </c>
      <c r="AA55" s="13">
        <f t="shared" si="15"/>
        <v>53</v>
      </c>
      <c r="AB55" s="13">
        <f t="shared" si="15"/>
        <v>42</v>
      </c>
      <c r="AC55" s="13">
        <f t="shared" si="15"/>
        <v>22</v>
      </c>
      <c r="AD55" s="13">
        <f t="shared" si="15"/>
        <v>42</v>
      </c>
      <c r="AE55" s="13">
        <f t="shared" si="15"/>
        <v>16</v>
      </c>
      <c r="AF55" s="13">
        <f t="shared" si="15"/>
        <v>34</v>
      </c>
      <c r="AG55" s="13">
        <f t="shared" si="15"/>
        <v>34</v>
      </c>
      <c r="AH55" s="13">
        <f t="shared" si="15"/>
        <v>22</v>
      </c>
      <c r="AI55" s="13">
        <f t="shared" si="15"/>
        <v>5</v>
      </c>
      <c r="AJ55" s="13">
        <f t="shared" si="15"/>
        <v>10</v>
      </c>
      <c r="AK55" s="13">
        <f t="shared" si="15"/>
        <v>33</v>
      </c>
      <c r="AL55" s="13">
        <f t="shared" si="15"/>
        <v>2</v>
      </c>
      <c r="AM55" s="13">
        <f t="shared" si="15"/>
        <v>1</v>
      </c>
      <c r="AN55" s="13">
        <f t="shared" si="15"/>
        <v>2</v>
      </c>
      <c r="AO55" s="13">
        <f t="shared" si="15"/>
        <v>20</v>
      </c>
      <c r="AP55" s="13">
        <f t="shared" si="15"/>
        <v>10</v>
      </c>
      <c r="AQ55" s="13">
        <f t="shared" si="15"/>
        <v>46</v>
      </c>
      <c r="AR55" s="13">
        <f t="shared" si="15"/>
        <v>81</v>
      </c>
      <c r="AS55" s="13">
        <f t="shared" si="15"/>
        <v>52</v>
      </c>
      <c r="AT55" s="13">
        <f t="shared" si="15"/>
        <v>48</v>
      </c>
      <c r="AU55" s="13">
        <f t="shared" si="15"/>
        <v>35</v>
      </c>
      <c r="AV55" s="13">
        <f t="shared" si="15"/>
        <v>2</v>
      </c>
      <c r="AW55" s="13">
        <f t="shared" si="15"/>
        <v>5</v>
      </c>
      <c r="AX55" s="13">
        <f t="shared" si="15"/>
        <v>3</v>
      </c>
      <c r="AY55" s="13">
        <f t="shared" si="15"/>
        <v>22</v>
      </c>
      <c r="AZ55" s="13">
        <f t="shared" si="15"/>
        <v>34</v>
      </c>
      <c r="BA55" s="13">
        <f t="shared" si="15"/>
        <v>13</v>
      </c>
      <c r="BB55" s="13">
        <f t="shared" si="15"/>
        <v>21</v>
      </c>
      <c r="BC55" s="13">
        <f t="shared" si="15"/>
        <v>17</v>
      </c>
      <c r="BD55" s="13">
        <f t="shared" si="15"/>
        <v>13</v>
      </c>
      <c r="BE55" s="13">
        <f t="shared" si="15"/>
        <v>15</v>
      </c>
      <c r="BF55" s="13">
        <f t="shared" si="15"/>
        <v>11</v>
      </c>
      <c r="BG55" s="13">
        <f t="shared" si="15"/>
        <v>3</v>
      </c>
      <c r="BH55" s="13">
        <f t="shared" si="15"/>
        <v>8</v>
      </c>
      <c r="BI55" s="13">
        <f t="shared" si="15"/>
        <v>3</v>
      </c>
      <c r="BJ55" s="13">
        <f t="shared" si="15"/>
        <v>6</v>
      </c>
      <c r="BK55" s="13">
        <f t="shared" si="15"/>
        <v>15</v>
      </c>
      <c r="BL55" s="13">
        <f t="shared" si="14"/>
        <v>1574</v>
      </c>
    </row>
    <row r="56" ht="12.75" customHeight="1">
      <c r="A56" s="45"/>
      <c r="B56" s="44"/>
      <c r="C56" s="44"/>
      <c r="D56" s="44"/>
      <c r="E56" s="44"/>
      <c r="BL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8.0</v>
      </c>
      <c r="G57" s="19">
        <v>5.0</v>
      </c>
      <c r="H57" s="19">
        <v>3.0</v>
      </c>
      <c r="I57" s="19">
        <v>7.0</v>
      </c>
      <c r="J57" s="19">
        <v>7.0</v>
      </c>
      <c r="K57" s="19">
        <v>6.0</v>
      </c>
      <c r="L57" s="19">
        <v>8.0</v>
      </c>
      <c r="M57" s="19">
        <v>4.0</v>
      </c>
      <c r="N57" s="19">
        <v>2.0</v>
      </c>
      <c r="O57" s="19">
        <v>9.0</v>
      </c>
      <c r="P57" s="19">
        <v>12.0</v>
      </c>
      <c r="Q57" s="19">
        <v>1.0</v>
      </c>
      <c r="R57" s="19">
        <v>1.0</v>
      </c>
      <c r="S57" s="19">
        <v>0.0</v>
      </c>
      <c r="T57" s="19">
        <v>3.0</v>
      </c>
      <c r="U57" s="19">
        <v>10.0</v>
      </c>
      <c r="V57" s="19">
        <v>7.0</v>
      </c>
      <c r="W57" s="19">
        <v>3.0</v>
      </c>
      <c r="X57" s="19">
        <v>4.0</v>
      </c>
      <c r="Y57" s="19">
        <v>2.0</v>
      </c>
      <c r="Z57" s="19">
        <v>3.0</v>
      </c>
      <c r="AA57" s="19">
        <v>3.0</v>
      </c>
      <c r="AB57" s="19">
        <v>0.0</v>
      </c>
      <c r="AC57" s="19">
        <v>1.0</v>
      </c>
      <c r="AD57" s="19">
        <v>6.0</v>
      </c>
      <c r="AE57" s="19">
        <v>1.0</v>
      </c>
      <c r="AF57" s="19">
        <v>7.0</v>
      </c>
      <c r="AG57" s="19">
        <v>10.0</v>
      </c>
      <c r="AH57" s="19">
        <v>1.0</v>
      </c>
      <c r="AI57" s="19">
        <v>3.0</v>
      </c>
      <c r="AJ57" s="19">
        <v>5.0</v>
      </c>
      <c r="AK57" s="19">
        <v>13.0</v>
      </c>
      <c r="AL57" s="19">
        <v>6.0</v>
      </c>
      <c r="AM57" s="19">
        <v>4.0</v>
      </c>
      <c r="AN57" s="19">
        <v>3.0</v>
      </c>
      <c r="AO57" s="19">
        <v>14.0</v>
      </c>
      <c r="AP57" s="19">
        <v>7.0</v>
      </c>
      <c r="AQ57" s="19">
        <v>2.0</v>
      </c>
      <c r="AR57" s="19">
        <v>5.0</v>
      </c>
      <c r="AS57" s="19">
        <v>12.0</v>
      </c>
      <c r="AT57" s="19">
        <v>4.0</v>
      </c>
      <c r="AU57" s="19">
        <v>5.0</v>
      </c>
      <c r="AV57" s="19">
        <v>1.0</v>
      </c>
      <c r="AW57" s="19">
        <v>0.0</v>
      </c>
      <c r="AX57" s="19">
        <v>1.0</v>
      </c>
      <c r="AY57" s="19">
        <v>5.0</v>
      </c>
      <c r="AZ57" s="19">
        <v>7.0</v>
      </c>
      <c r="BA57" s="19">
        <v>0.0</v>
      </c>
      <c r="BB57" s="19">
        <v>6.0</v>
      </c>
      <c r="BC57" s="19">
        <v>10.0</v>
      </c>
      <c r="BD57" s="19">
        <v>12.0</v>
      </c>
      <c r="BE57" s="19">
        <v>7.0</v>
      </c>
      <c r="BF57" s="19">
        <v>5.0</v>
      </c>
      <c r="BG57" s="19">
        <v>1.0</v>
      </c>
      <c r="BH57" s="19">
        <v>4.0</v>
      </c>
      <c r="BI57" s="19">
        <v>0.0</v>
      </c>
      <c r="BJ57" s="19">
        <v>4.0</v>
      </c>
      <c r="BK57" s="19">
        <v>12.0</v>
      </c>
      <c r="BL57" s="13">
        <f t="shared" ref="BL57:BL67" si="16">SUM(E57:BK57)</f>
        <v>301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5.0</v>
      </c>
      <c r="G58" s="19">
        <v>7.0</v>
      </c>
      <c r="H58" s="19">
        <v>5.0</v>
      </c>
      <c r="I58" s="19">
        <v>13.0</v>
      </c>
      <c r="J58" s="19">
        <v>10.0</v>
      </c>
      <c r="K58" s="19">
        <v>4.0</v>
      </c>
      <c r="L58" s="19">
        <v>10.0</v>
      </c>
      <c r="M58" s="19">
        <v>6.0</v>
      </c>
      <c r="N58" s="19">
        <v>14.0</v>
      </c>
      <c r="O58" s="19">
        <v>4.0</v>
      </c>
      <c r="P58" s="19">
        <v>5.0</v>
      </c>
      <c r="Q58" s="19">
        <v>8.0</v>
      </c>
      <c r="R58" s="19">
        <v>2.0</v>
      </c>
      <c r="S58" s="19">
        <v>0.0</v>
      </c>
      <c r="T58" s="19">
        <v>2.0</v>
      </c>
      <c r="U58" s="19">
        <v>5.0</v>
      </c>
      <c r="V58" s="19">
        <v>4.0</v>
      </c>
      <c r="W58" s="19">
        <v>2.0</v>
      </c>
      <c r="X58" s="19">
        <v>4.0</v>
      </c>
      <c r="Y58" s="19">
        <v>1.0</v>
      </c>
      <c r="Z58" s="19">
        <v>5.0</v>
      </c>
      <c r="AA58" s="19">
        <v>1.0</v>
      </c>
      <c r="AB58" s="19">
        <v>1.0</v>
      </c>
      <c r="AC58" s="19">
        <v>4.0</v>
      </c>
      <c r="AD58" s="19">
        <v>2.0</v>
      </c>
      <c r="AE58" s="19">
        <v>3.0</v>
      </c>
      <c r="AF58" s="19">
        <v>4.0</v>
      </c>
      <c r="AG58" s="19">
        <v>5.0</v>
      </c>
      <c r="AH58" s="19">
        <v>2.0</v>
      </c>
      <c r="AI58" s="19">
        <v>0.0</v>
      </c>
      <c r="AJ58" s="19">
        <v>2.0</v>
      </c>
      <c r="AK58" s="19">
        <v>3.0</v>
      </c>
      <c r="AL58" s="19">
        <v>3.0</v>
      </c>
      <c r="AM58" s="19">
        <v>5.0</v>
      </c>
      <c r="AN58" s="19">
        <v>1.0</v>
      </c>
      <c r="AO58" s="19">
        <v>2.0</v>
      </c>
      <c r="AP58" s="19">
        <v>1.0</v>
      </c>
      <c r="AQ58" s="19">
        <v>3.0</v>
      </c>
      <c r="AR58" s="19">
        <v>5.0</v>
      </c>
      <c r="AS58" s="19">
        <v>4.0</v>
      </c>
      <c r="AT58" s="19">
        <v>0.0</v>
      </c>
      <c r="AU58" s="19">
        <v>11.0</v>
      </c>
      <c r="AV58" s="19">
        <v>2.0</v>
      </c>
      <c r="AW58" s="19">
        <v>2.0</v>
      </c>
      <c r="AX58" s="19">
        <v>5.0</v>
      </c>
      <c r="AY58" s="19">
        <v>4.0</v>
      </c>
      <c r="AZ58" s="19">
        <v>4.0</v>
      </c>
      <c r="BA58" s="19">
        <v>2.0</v>
      </c>
      <c r="BB58" s="19">
        <v>4.0</v>
      </c>
      <c r="BC58" s="19">
        <v>10.0</v>
      </c>
      <c r="BD58" s="19">
        <v>3.0</v>
      </c>
      <c r="BE58" s="19">
        <v>7.0</v>
      </c>
      <c r="BF58" s="19">
        <v>9.0</v>
      </c>
      <c r="BG58" s="19">
        <v>3.0</v>
      </c>
      <c r="BH58" s="19">
        <v>2.0</v>
      </c>
      <c r="BI58" s="19">
        <v>1.0</v>
      </c>
      <c r="BJ58" s="19">
        <v>2.0</v>
      </c>
      <c r="BK58" s="19">
        <v>14.0</v>
      </c>
      <c r="BL58" s="13">
        <f t="shared" si="16"/>
        <v>256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2.0</v>
      </c>
      <c r="G59" s="19">
        <v>1.0</v>
      </c>
      <c r="H59" s="19">
        <v>3.0</v>
      </c>
      <c r="I59" s="19">
        <v>1.0</v>
      </c>
      <c r="J59" s="19">
        <v>4.0</v>
      </c>
      <c r="K59" s="19">
        <v>4.0</v>
      </c>
      <c r="L59" s="19">
        <v>0.0</v>
      </c>
      <c r="M59" s="19">
        <v>2.0</v>
      </c>
      <c r="N59" s="19">
        <v>1.0</v>
      </c>
      <c r="O59" s="19">
        <v>2.0</v>
      </c>
      <c r="P59" s="19">
        <v>5.0</v>
      </c>
      <c r="Q59" s="19">
        <v>1.0</v>
      </c>
      <c r="R59" s="19">
        <v>2.0</v>
      </c>
      <c r="S59" s="19">
        <v>2.0</v>
      </c>
      <c r="T59" s="19">
        <v>0.0</v>
      </c>
      <c r="U59" s="19">
        <v>0.0</v>
      </c>
      <c r="V59" s="19">
        <v>2.0</v>
      </c>
      <c r="W59" s="19">
        <v>4.0</v>
      </c>
      <c r="X59" s="19">
        <v>1.0</v>
      </c>
      <c r="Y59" s="19">
        <v>3.0</v>
      </c>
      <c r="Z59" s="19">
        <v>1.0</v>
      </c>
      <c r="AA59" s="19">
        <v>1.0</v>
      </c>
      <c r="AB59" s="19">
        <v>0.0</v>
      </c>
      <c r="AC59" s="19">
        <v>0.0</v>
      </c>
      <c r="AD59" s="19">
        <v>1.0</v>
      </c>
      <c r="AE59" s="19">
        <v>1.0</v>
      </c>
      <c r="AF59" s="19">
        <v>5.0</v>
      </c>
      <c r="AG59" s="19">
        <v>1.0</v>
      </c>
      <c r="AH59" s="19">
        <v>1.0</v>
      </c>
      <c r="AI59" s="19">
        <v>0.0</v>
      </c>
      <c r="AJ59" s="19">
        <v>3.0</v>
      </c>
      <c r="AK59" s="19">
        <v>3.0</v>
      </c>
      <c r="AL59" s="19">
        <v>0.0</v>
      </c>
      <c r="AM59" s="19">
        <v>0.0</v>
      </c>
      <c r="AN59" s="19">
        <v>0.0</v>
      </c>
      <c r="AO59" s="19">
        <v>1.0</v>
      </c>
      <c r="AP59" s="19">
        <v>0.0</v>
      </c>
      <c r="AQ59" s="19">
        <v>2.0</v>
      </c>
      <c r="AR59" s="19">
        <v>1.0</v>
      </c>
      <c r="AS59" s="19">
        <v>2.0</v>
      </c>
      <c r="AT59" s="19">
        <v>2.0</v>
      </c>
      <c r="AU59" s="19">
        <v>2.0</v>
      </c>
      <c r="AV59" s="19">
        <v>0.0</v>
      </c>
      <c r="AW59" s="19">
        <v>0.0</v>
      </c>
      <c r="AX59" s="19">
        <v>1.0</v>
      </c>
      <c r="AY59" s="19">
        <v>4.0</v>
      </c>
      <c r="AZ59" s="19">
        <v>0.0</v>
      </c>
      <c r="BA59" s="19">
        <v>6.0</v>
      </c>
      <c r="BB59" s="19">
        <v>4.0</v>
      </c>
      <c r="BC59" s="19">
        <v>4.0</v>
      </c>
      <c r="BD59" s="19">
        <v>4.0</v>
      </c>
      <c r="BE59" s="19">
        <v>2.0</v>
      </c>
      <c r="BF59" s="19">
        <v>2.0</v>
      </c>
      <c r="BG59" s="19">
        <v>0.0</v>
      </c>
      <c r="BH59" s="19">
        <v>0.0</v>
      </c>
      <c r="BI59" s="19">
        <v>0.0</v>
      </c>
      <c r="BJ59" s="19">
        <v>4.0</v>
      </c>
      <c r="BK59" s="19">
        <v>8.0</v>
      </c>
      <c r="BL59" s="13">
        <f t="shared" si="16"/>
        <v>110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1.0</v>
      </c>
      <c r="I60" s="19">
        <v>1.0</v>
      </c>
      <c r="J60" s="19">
        <v>0.0</v>
      </c>
      <c r="K60" s="19">
        <v>1.0</v>
      </c>
      <c r="L60" s="19">
        <v>3.0</v>
      </c>
      <c r="M60" s="19">
        <v>0.0</v>
      </c>
      <c r="N60" s="19">
        <v>0.0</v>
      </c>
      <c r="O60" s="19">
        <v>0.0</v>
      </c>
      <c r="P60" s="19">
        <v>1.0</v>
      </c>
      <c r="Q60" s="19">
        <v>0.0</v>
      </c>
      <c r="R60" s="19">
        <v>1.0</v>
      </c>
      <c r="S60" s="19">
        <v>0.0</v>
      </c>
      <c r="T60" s="19">
        <v>0.0</v>
      </c>
      <c r="U60" s="19">
        <v>0.0</v>
      </c>
      <c r="V60" s="19">
        <v>0.0</v>
      </c>
      <c r="W60" s="19">
        <v>1.0</v>
      </c>
      <c r="X60" s="19">
        <v>1.0</v>
      </c>
      <c r="Y60" s="19">
        <v>0.0</v>
      </c>
      <c r="Z60" s="19">
        <v>0.0</v>
      </c>
      <c r="AA60" s="19">
        <v>0.0</v>
      </c>
      <c r="AB60" s="19">
        <v>2.0</v>
      </c>
      <c r="AC60" s="19">
        <v>0.0</v>
      </c>
      <c r="AD60" s="19">
        <v>0.0</v>
      </c>
      <c r="AE60" s="19">
        <v>0.0</v>
      </c>
      <c r="AF60" s="19">
        <v>2.0</v>
      </c>
      <c r="AG60" s="19">
        <v>1.0</v>
      </c>
      <c r="AH60" s="19">
        <v>0.0</v>
      </c>
      <c r="AI60" s="19">
        <v>0.0</v>
      </c>
      <c r="AJ60" s="19">
        <v>0.0</v>
      </c>
      <c r="AK60" s="19">
        <v>0.0</v>
      </c>
      <c r="AL60" s="19">
        <v>1.0</v>
      </c>
      <c r="AM60" s="19">
        <v>0.0</v>
      </c>
      <c r="AN60" s="19">
        <v>0.0</v>
      </c>
      <c r="AO60" s="19">
        <v>2.0</v>
      </c>
      <c r="AP60" s="19">
        <v>0.0</v>
      </c>
      <c r="AQ60" s="19"/>
      <c r="AR60" s="19">
        <v>2.0</v>
      </c>
      <c r="AS60" s="19">
        <v>0.0</v>
      </c>
      <c r="AT60" s="19">
        <v>0.0</v>
      </c>
      <c r="AU60" s="19">
        <v>0.0</v>
      </c>
      <c r="AV60" s="19">
        <v>0.0</v>
      </c>
      <c r="AW60" s="19">
        <v>0.0</v>
      </c>
      <c r="AX60" s="19">
        <v>0.0</v>
      </c>
      <c r="AY60" s="19">
        <v>2.0</v>
      </c>
      <c r="AZ60" s="19">
        <v>1.0</v>
      </c>
      <c r="BA60" s="19">
        <v>1.0</v>
      </c>
      <c r="BB60" s="19">
        <v>1.0</v>
      </c>
      <c r="BC60" s="19">
        <v>4.0</v>
      </c>
      <c r="BD60" s="19">
        <v>1.0</v>
      </c>
      <c r="BE60" s="19">
        <v>1.0</v>
      </c>
      <c r="BF60" s="19">
        <v>2.0</v>
      </c>
      <c r="BG60" s="19">
        <v>0.0</v>
      </c>
      <c r="BH60" s="19">
        <v>2.0</v>
      </c>
      <c r="BI60" s="19">
        <v>0.0</v>
      </c>
      <c r="BJ60" s="19">
        <v>0.0</v>
      </c>
      <c r="BK60" s="19">
        <v>1.0</v>
      </c>
      <c r="BL60" s="13">
        <f t="shared" si="16"/>
        <v>37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3.0</v>
      </c>
      <c r="H61" s="19">
        <v>1.0</v>
      </c>
      <c r="I61" s="19">
        <v>5.0</v>
      </c>
      <c r="J61" s="19">
        <v>1.0</v>
      </c>
      <c r="K61" s="19">
        <v>1.0</v>
      </c>
      <c r="L61" s="19">
        <v>3.0</v>
      </c>
      <c r="M61" s="19">
        <v>1.0</v>
      </c>
      <c r="N61" s="19">
        <v>0.0</v>
      </c>
      <c r="O61" s="19">
        <v>0.0</v>
      </c>
      <c r="P61" s="19">
        <v>4.0</v>
      </c>
      <c r="Q61" s="19">
        <v>0.0</v>
      </c>
      <c r="R61" s="19">
        <v>11.0</v>
      </c>
      <c r="S61" s="19">
        <v>1.0</v>
      </c>
      <c r="T61" s="19">
        <v>3.0</v>
      </c>
      <c r="U61" s="19">
        <v>8.0</v>
      </c>
      <c r="V61" s="19">
        <v>2.0</v>
      </c>
      <c r="W61" s="19">
        <v>2.0</v>
      </c>
      <c r="X61" s="19">
        <v>2.0</v>
      </c>
      <c r="Y61" s="19">
        <v>0.0</v>
      </c>
      <c r="Z61" s="19">
        <v>1.0</v>
      </c>
      <c r="AA61" s="19">
        <v>1.0</v>
      </c>
      <c r="AB61" s="19">
        <v>1.0</v>
      </c>
      <c r="AC61" s="19">
        <v>3.0</v>
      </c>
      <c r="AD61" s="19">
        <v>1.0</v>
      </c>
      <c r="AE61" s="19">
        <v>1.0</v>
      </c>
      <c r="AF61" s="19">
        <v>2.0</v>
      </c>
      <c r="AG61" s="19">
        <v>2.0</v>
      </c>
      <c r="AH61" s="19">
        <v>3.0</v>
      </c>
      <c r="AI61" s="19">
        <v>0.0</v>
      </c>
      <c r="AJ61" s="19">
        <v>1.0</v>
      </c>
      <c r="AK61" s="19">
        <v>1.0</v>
      </c>
      <c r="AL61" s="19">
        <v>4.0</v>
      </c>
      <c r="AM61" s="19">
        <v>1.0</v>
      </c>
      <c r="AN61" s="19">
        <v>1.0</v>
      </c>
      <c r="AO61" s="19">
        <v>9.0</v>
      </c>
      <c r="AP61" s="19">
        <v>3.0</v>
      </c>
      <c r="AQ61" s="19">
        <v>13.0</v>
      </c>
      <c r="AR61" s="19">
        <v>9.0</v>
      </c>
      <c r="AS61" s="19">
        <v>8.0</v>
      </c>
      <c r="AT61" s="19">
        <v>4.0</v>
      </c>
      <c r="AU61" s="19">
        <v>4.0</v>
      </c>
      <c r="AV61" s="19">
        <v>1.0</v>
      </c>
      <c r="AW61" s="19">
        <v>2.0</v>
      </c>
      <c r="AX61" s="19">
        <v>0.0</v>
      </c>
      <c r="AY61" s="19">
        <v>1.0</v>
      </c>
      <c r="AZ61" s="19">
        <v>0.0</v>
      </c>
      <c r="BA61" s="19">
        <v>2.0</v>
      </c>
      <c r="BB61" s="19">
        <v>2.0</v>
      </c>
      <c r="BC61" s="19">
        <v>7.0</v>
      </c>
      <c r="BD61" s="19">
        <v>3.0</v>
      </c>
      <c r="BE61" s="19">
        <v>4.0</v>
      </c>
      <c r="BF61" s="19">
        <v>1.0</v>
      </c>
      <c r="BG61" s="19">
        <v>0.0</v>
      </c>
      <c r="BH61" s="19">
        <v>2.0</v>
      </c>
      <c r="BI61" s="19">
        <v>0.0</v>
      </c>
      <c r="BJ61" s="19">
        <v>4.0</v>
      </c>
      <c r="BK61" s="19">
        <v>3.0</v>
      </c>
      <c r="BL61" s="13">
        <f t="shared" si="16"/>
        <v>154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/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9">
        <v>0.0</v>
      </c>
      <c r="W62" s="19">
        <v>3.0</v>
      </c>
      <c r="X62" s="19">
        <v>0.0</v>
      </c>
      <c r="Y62" s="19">
        <v>0.0</v>
      </c>
      <c r="Z62" s="19">
        <v>0.0</v>
      </c>
      <c r="AA62" s="19">
        <v>1.0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1.0</v>
      </c>
      <c r="AH62" s="19">
        <v>0.0</v>
      </c>
      <c r="AI62" s="19">
        <v>0.0</v>
      </c>
      <c r="AJ62" s="19">
        <v>0.0</v>
      </c>
      <c r="AK62" s="19">
        <v>3.0</v>
      </c>
      <c r="AL62" s="19">
        <v>0.0</v>
      </c>
      <c r="AM62" s="19">
        <v>1.0</v>
      </c>
      <c r="AN62" s="19">
        <v>0.0</v>
      </c>
      <c r="AO62" s="19">
        <v>0.0</v>
      </c>
      <c r="AP62" s="19">
        <v>1.0</v>
      </c>
      <c r="AQ62" s="19">
        <v>0.0</v>
      </c>
      <c r="AR62" s="19">
        <v>1.0</v>
      </c>
      <c r="AS62" s="19">
        <v>1.0</v>
      </c>
      <c r="AT62" s="19">
        <v>0.0</v>
      </c>
      <c r="AU62" s="19">
        <v>1.0</v>
      </c>
      <c r="AV62" s="19">
        <v>0.0</v>
      </c>
      <c r="AW62" s="19">
        <v>3.0</v>
      </c>
      <c r="AX62" s="19">
        <v>0.0</v>
      </c>
      <c r="AY62" s="19">
        <v>0.0</v>
      </c>
      <c r="AZ62" s="19">
        <v>1.0</v>
      </c>
      <c r="BA62" s="19">
        <v>0.0</v>
      </c>
      <c r="BB62" s="19">
        <v>0.0</v>
      </c>
      <c r="BC62" s="19">
        <v>3.0</v>
      </c>
      <c r="BD62" s="19">
        <v>0.0</v>
      </c>
      <c r="BE62" s="19">
        <v>0.0</v>
      </c>
      <c r="BF62" s="19">
        <v>0.0</v>
      </c>
      <c r="BG62" s="19">
        <v>0.0</v>
      </c>
      <c r="BH62" s="19">
        <v>0.0</v>
      </c>
      <c r="BI62" s="19">
        <v>0.0</v>
      </c>
      <c r="BJ62" s="19">
        <v>1.0</v>
      </c>
      <c r="BK62" s="19">
        <v>1.0</v>
      </c>
      <c r="BL62" s="13">
        <f t="shared" si="16"/>
        <v>26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3.0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1.0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1.0</v>
      </c>
      <c r="AE63" s="19">
        <v>1.0</v>
      </c>
      <c r="AF63" s="19">
        <v>0.0</v>
      </c>
      <c r="AG63" s="19">
        <v>0.0</v>
      </c>
      <c r="AH63" s="19">
        <v>2.0</v>
      </c>
      <c r="AI63" s="19"/>
      <c r="AJ63" s="19">
        <v>1.0</v>
      </c>
      <c r="AK63" s="19">
        <v>0.0</v>
      </c>
      <c r="AL63" s="19">
        <v>0.0</v>
      </c>
      <c r="AM63" s="19">
        <v>1.0</v>
      </c>
      <c r="AN63" s="19">
        <v>1.0</v>
      </c>
      <c r="AO63" s="19">
        <v>0.0</v>
      </c>
      <c r="AP63" s="19">
        <v>0.0</v>
      </c>
      <c r="AQ63" s="19">
        <v>1.0</v>
      </c>
      <c r="AR63" s="19">
        <v>1.0</v>
      </c>
      <c r="AS63" s="19"/>
      <c r="AT63" s="19">
        <v>1.0</v>
      </c>
      <c r="AU63" s="19">
        <v>0.0</v>
      </c>
      <c r="AV63" s="19">
        <v>0.0</v>
      </c>
      <c r="AW63" s="19">
        <v>0.0</v>
      </c>
      <c r="AX63" s="19">
        <v>0.0</v>
      </c>
      <c r="AY63" s="19">
        <v>0.0</v>
      </c>
      <c r="AZ63" s="19">
        <v>0.0</v>
      </c>
      <c r="BA63" s="19">
        <v>0.0</v>
      </c>
      <c r="BB63" s="19">
        <v>1.0</v>
      </c>
      <c r="BC63" s="19">
        <v>1.0</v>
      </c>
      <c r="BD63" s="19">
        <v>2.0</v>
      </c>
      <c r="BE63" s="19">
        <v>0.0</v>
      </c>
      <c r="BF63" s="19">
        <v>0.0</v>
      </c>
      <c r="BG63" s="19">
        <v>1.0</v>
      </c>
      <c r="BH63" s="19">
        <v>1.0</v>
      </c>
      <c r="BI63" s="19">
        <v>0.0</v>
      </c>
      <c r="BJ63" s="19">
        <v>1.0</v>
      </c>
      <c r="BK63" s="19">
        <v>1.0</v>
      </c>
      <c r="BL63" s="13">
        <f t="shared" si="16"/>
        <v>24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3.0</v>
      </c>
      <c r="N64" s="19">
        <v>0.0</v>
      </c>
      <c r="O64" s="19">
        <v>0.0</v>
      </c>
      <c r="P64" s="19">
        <v>0.0</v>
      </c>
      <c r="Q64" s="19">
        <v>1.0</v>
      </c>
      <c r="R64" s="19">
        <v>0.0</v>
      </c>
      <c r="S64" s="19">
        <v>0.0</v>
      </c>
      <c r="T64" s="19">
        <v>1.0</v>
      </c>
      <c r="U64" s="19">
        <v>0.0</v>
      </c>
      <c r="V64" s="19">
        <v>0.0</v>
      </c>
      <c r="W64" s="19">
        <v>1.0</v>
      </c>
      <c r="X64" s="19">
        <v>1.0</v>
      </c>
      <c r="Y64" s="19">
        <v>0.0</v>
      </c>
      <c r="Z64" s="19">
        <v>0.0</v>
      </c>
      <c r="AA64" s="19">
        <v>1.0</v>
      </c>
      <c r="AB64" s="19">
        <v>0.0</v>
      </c>
      <c r="AC64" s="19"/>
      <c r="AD64" s="19">
        <v>1.0</v>
      </c>
      <c r="AE64" s="19">
        <v>0.0</v>
      </c>
      <c r="AF64" s="19">
        <v>0.0</v>
      </c>
      <c r="AG64" s="19">
        <v>0.0</v>
      </c>
      <c r="AH64" s="19">
        <v>1.0</v>
      </c>
      <c r="AI64" s="19">
        <v>0.0</v>
      </c>
      <c r="AJ64" s="19">
        <v>0.0</v>
      </c>
      <c r="AK64" s="19">
        <v>0.0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2.0</v>
      </c>
      <c r="AS64" s="19">
        <v>0.0</v>
      </c>
      <c r="AT64" s="19">
        <v>0.0</v>
      </c>
      <c r="AU64" s="19">
        <v>0.0</v>
      </c>
      <c r="AV64" s="19">
        <v>0.0</v>
      </c>
      <c r="AW64" s="19">
        <v>0.0</v>
      </c>
      <c r="AX64" s="19">
        <v>0.0</v>
      </c>
      <c r="AY64" s="19">
        <v>0.0</v>
      </c>
      <c r="AZ64" s="19">
        <v>0.0</v>
      </c>
      <c r="BA64" s="19">
        <v>0.0</v>
      </c>
      <c r="BB64" s="19">
        <v>0.0</v>
      </c>
      <c r="BC64" s="19">
        <v>0.0</v>
      </c>
      <c r="BD64" s="19">
        <v>2.0</v>
      </c>
      <c r="BE64" s="19">
        <v>0.0</v>
      </c>
      <c r="BF64" s="19">
        <v>0.0</v>
      </c>
      <c r="BG64" s="19">
        <v>0.0</v>
      </c>
      <c r="BH64" s="19">
        <v>0.0</v>
      </c>
      <c r="BI64" s="19">
        <v>0.0</v>
      </c>
      <c r="BJ64" s="19">
        <v>0.0</v>
      </c>
      <c r="BK64" s="19">
        <v>1.0</v>
      </c>
      <c r="BL64" s="13">
        <f t="shared" si="16"/>
        <v>16</v>
      </c>
    </row>
    <row r="65" ht="12.75" customHeight="1">
      <c r="A65" s="18"/>
      <c r="B65" s="70"/>
      <c r="C65" s="71"/>
      <c r="D65" s="72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3">
        <f t="shared" si="16"/>
        <v>0</v>
      </c>
    </row>
    <row r="66" ht="12.75" customHeight="1">
      <c r="A66" s="18"/>
      <c r="B66" s="70"/>
      <c r="C66" s="71"/>
      <c r="D66" s="72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BK67" si="17">SUM(E57:E64)</f>
        <v>17</v>
      </c>
      <c r="F67" s="13">
        <f t="shared" si="17"/>
        <v>18</v>
      </c>
      <c r="G67" s="13">
        <f t="shared" si="17"/>
        <v>17</v>
      </c>
      <c r="H67" s="13">
        <f t="shared" si="17"/>
        <v>13</v>
      </c>
      <c r="I67" s="13">
        <f t="shared" si="17"/>
        <v>28</v>
      </c>
      <c r="J67" s="13">
        <f t="shared" si="17"/>
        <v>25</v>
      </c>
      <c r="K67" s="13">
        <f t="shared" si="17"/>
        <v>16</v>
      </c>
      <c r="L67" s="13">
        <f t="shared" si="17"/>
        <v>25</v>
      </c>
      <c r="M67" s="13">
        <f t="shared" si="17"/>
        <v>17</v>
      </c>
      <c r="N67" s="13">
        <f t="shared" si="17"/>
        <v>17</v>
      </c>
      <c r="O67" s="13">
        <f t="shared" si="17"/>
        <v>15</v>
      </c>
      <c r="P67" s="13">
        <f t="shared" si="17"/>
        <v>27</v>
      </c>
      <c r="Q67" s="13">
        <f t="shared" si="17"/>
        <v>11</v>
      </c>
      <c r="R67" s="13">
        <f t="shared" si="17"/>
        <v>17</v>
      </c>
      <c r="S67" s="13">
        <f t="shared" si="17"/>
        <v>5</v>
      </c>
      <c r="T67" s="13">
        <f t="shared" si="17"/>
        <v>9</v>
      </c>
      <c r="U67" s="13">
        <f t="shared" si="17"/>
        <v>23</v>
      </c>
      <c r="V67" s="13">
        <f t="shared" si="17"/>
        <v>15</v>
      </c>
      <c r="W67" s="13">
        <f t="shared" si="17"/>
        <v>16</v>
      </c>
      <c r="X67" s="13">
        <f t="shared" si="17"/>
        <v>13</v>
      </c>
      <c r="Y67" s="13">
        <f t="shared" si="17"/>
        <v>6</v>
      </c>
      <c r="Z67" s="13">
        <f t="shared" si="17"/>
        <v>10</v>
      </c>
      <c r="AA67" s="13">
        <f t="shared" si="17"/>
        <v>8</v>
      </c>
      <c r="AB67" s="13">
        <f t="shared" si="17"/>
        <v>5</v>
      </c>
      <c r="AC67" s="13">
        <f t="shared" si="17"/>
        <v>8</v>
      </c>
      <c r="AD67" s="13">
        <f t="shared" si="17"/>
        <v>12</v>
      </c>
      <c r="AE67" s="13">
        <f t="shared" si="17"/>
        <v>7</v>
      </c>
      <c r="AF67" s="13">
        <f t="shared" si="17"/>
        <v>20</v>
      </c>
      <c r="AG67" s="13">
        <f t="shared" si="17"/>
        <v>20</v>
      </c>
      <c r="AH67" s="13">
        <f t="shared" si="17"/>
        <v>10</v>
      </c>
      <c r="AI67" s="13">
        <f t="shared" si="17"/>
        <v>3</v>
      </c>
      <c r="AJ67" s="13">
        <f t="shared" si="17"/>
        <v>12</v>
      </c>
      <c r="AK67" s="13">
        <f t="shared" si="17"/>
        <v>23</v>
      </c>
      <c r="AL67" s="13">
        <f t="shared" si="17"/>
        <v>14</v>
      </c>
      <c r="AM67" s="13">
        <f t="shared" si="17"/>
        <v>12</v>
      </c>
      <c r="AN67" s="13">
        <f t="shared" si="17"/>
        <v>6</v>
      </c>
      <c r="AO67" s="13">
        <f t="shared" si="17"/>
        <v>28</v>
      </c>
      <c r="AP67" s="13">
        <f t="shared" si="17"/>
        <v>12</v>
      </c>
      <c r="AQ67" s="13">
        <f t="shared" si="17"/>
        <v>21</v>
      </c>
      <c r="AR67" s="13">
        <f t="shared" si="17"/>
        <v>26</v>
      </c>
      <c r="AS67" s="13">
        <f t="shared" si="17"/>
        <v>27</v>
      </c>
      <c r="AT67" s="13">
        <f t="shared" si="17"/>
        <v>11</v>
      </c>
      <c r="AU67" s="13">
        <f t="shared" si="17"/>
        <v>23</v>
      </c>
      <c r="AV67" s="13">
        <f t="shared" si="17"/>
        <v>4</v>
      </c>
      <c r="AW67" s="13">
        <f t="shared" si="17"/>
        <v>7</v>
      </c>
      <c r="AX67" s="13">
        <f t="shared" si="17"/>
        <v>7</v>
      </c>
      <c r="AY67" s="13">
        <f t="shared" si="17"/>
        <v>16</v>
      </c>
      <c r="AZ67" s="13">
        <f t="shared" si="17"/>
        <v>13</v>
      </c>
      <c r="BA67" s="13">
        <f t="shared" si="17"/>
        <v>11</v>
      </c>
      <c r="BB67" s="13">
        <f t="shared" si="17"/>
        <v>18</v>
      </c>
      <c r="BC67" s="13">
        <f t="shared" si="17"/>
        <v>39</v>
      </c>
      <c r="BD67" s="13">
        <f t="shared" si="17"/>
        <v>27</v>
      </c>
      <c r="BE67" s="13">
        <f t="shared" si="17"/>
        <v>21</v>
      </c>
      <c r="BF67" s="13">
        <f t="shared" si="17"/>
        <v>19</v>
      </c>
      <c r="BG67" s="13">
        <f t="shared" si="17"/>
        <v>5</v>
      </c>
      <c r="BH67" s="13">
        <f t="shared" si="17"/>
        <v>11</v>
      </c>
      <c r="BI67" s="13">
        <f t="shared" si="17"/>
        <v>1</v>
      </c>
      <c r="BJ67" s="13">
        <f t="shared" si="17"/>
        <v>16</v>
      </c>
      <c r="BK67" s="13">
        <f t="shared" si="17"/>
        <v>41</v>
      </c>
      <c r="BL67" s="13">
        <f t="shared" si="16"/>
        <v>924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19.0</v>
      </c>
      <c r="F69" s="19">
        <v>5.0</v>
      </c>
      <c r="G69" s="19">
        <v>8.0</v>
      </c>
      <c r="H69" s="19">
        <v>11.0</v>
      </c>
      <c r="I69" s="19">
        <v>7.0</v>
      </c>
      <c r="J69" s="19">
        <v>11.0</v>
      </c>
      <c r="K69" s="19">
        <v>9.0</v>
      </c>
      <c r="L69" s="19">
        <v>7.0</v>
      </c>
      <c r="M69" s="19">
        <v>7.0</v>
      </c>
      <c r="N69" s="19">
        <v>4.0</v>
      </c>
      <c r="O69" s="19">
        <v>4.0</v>
      </c>
      <c r="P69" s="19">
        <v>5.0</v>
      </c>
      <c r="Q69" s="19">
        <v>5.0</v>
      </c>
      <c r="R69" s="19">
        <v>2.0</v>
      </c>
      <c r="S69" s="19">
        <v>1.0</v>
      </c>
      <c r="T69" s="19">
        <v>3.0</v>
      </c>
      <c r="U69" s="19">
        <v>6.0</v>
      </c>
      <c r="V69" s="19">
        <v>6.0</v>
      </c>
      <c r="W69" s="19">
        <v>4.0</v>
      </c>
      <c r="X69" s="19">
        <v>1.0</v>
      </c>
      <c r="Y69" s="19">
        <v>6.0</v>
      </c>
      <c r="Z69" s="19">
        <v>5.0</v>
      </c>
      <c r="AA69" s="19">
        <v>1.0</v>
      </c>
      <c r="AB69" s="19">
        <v>2.0</v>
      </c>
      <c r="AC69" s="19">
        <v>0.0</v>
      </c>
      <c r="AD69" s="19">
        <v>2.0</v>
      </c>
      <c r="AE69" s="19">
        <v>6.0</v>
      </c>
      <c r="AF69" s="19">
        <v>9.0</v>
      </c>
      <c r="AG69" s="19">
        <v>7.0</v>
      </c>
      <c r="AH69" s="19">
        <v>13.0</v>
      </c>
      <c r="AI69" s="19">
        <v>1.0</v>
      </c>
      <c r="AJ69" s="19">
        <v>6.0</v>
      </c>
      <c r="AK69" s="19">
        <v>6.0</v>
      </c>
      <c r="AL69" s="19">
        <v>14.0</v>
      </c>
      <c r="AM69" s="19">
        <v>19.0</v>
      </c>
      <c r="AN69" s="19">
        <v>9.0</v>
      </c>
      <c r="AO69" s="19">
        <v>10.0</v>
      </c>
      <c r="AP69" s="19">
        <v>4.0</v>
      </c>
      <c r="AQ69" s="19">
        <v>0.0</v>
      </c>
      <c r="AR69" s="19">
        <v>6.0</v>
      </c>
      <c r="AS69" s="19">
        <v>7.0</v>
      </c>
      <c r="AT69" s="19">
        <v>6.0</v>
      </c>
      <c r="AU69" s="19">
        <v>5.0</v>
      </c>
      <c r="AV69" s="19">
        <v>0.0</v>
      </c>
      <c r="AW69" s="19">
        <v>0.0</v>
      </c>
      <c r="AX69" s="19">
        <v>1.0</v>
      </c>
      <c r="AY69" s="19">
        <v>7.0</v>
      </c>
      <c r="AZ69" s="19">
        <v>6.0</v>
      </c>
      <c r="BA69" s="19">
        <v>8.0</v>
      </c>
      <c r="BB69" s="19">
        <v>4.0</v>
      </c>
      <c r="BC69" s="19">
        <v>11.0</v>
      </c>
      <c r="BD69" s="19">
        <v>1.0</v>
      </c>
      <c r="BE69" s="19">
        <v>1.0</v>
      </c>
      <c r="BF69" s="19">
        <v>6.0</v>
      </c>
      <c r="BG69" s="19">
        <v>0.0</v>
      </c>
      <c r="BH69" s="19">
        <v>4.0</v>
      </c>
      <c r="BI69" s="19">
        <v>0.0</v>
      </c>
      <c r="BJ69" s="19">
        <v>1.0</v>
      </c>
      <c r="BK69" s="19">
        <v>2.0</v>
      </c>
      <c r="BL69" s="13">
        <f t="shared" ref="BL69:BL79" si="18">SUM(E69:BK69)</f>
        <v>321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32.0</v>
      </c>
      <c r="F70" s="19">
        <v>8.0</v>
      </c>
      <c r="G70" s="19">
        <v>13.0</v>
      </c>
      <c r="H70" s="19">
        <v>12.0</v>
      </c>
      <c r="I70" s="19">
        <v>16.0</v>
      </c>
      <c r="J70" s="19">
        <v>22.0</v>
      </c>
      <c r="K70" s="19">
        <v>29.0</v>
      </c>
      <c r="L70" s="19">
        <v>40.0</v>
      </c>
      <c r="M70" s="19">
        <v>54.0</v>
      </c>
      <c r="N70" s="19">
        <v>4.0</v>
      </c>
      <c r="O70" s="19">
        <v>4.0</v>
      </c>
      <c r="P70" s="19">
        <v>18.0</v>
      </c>
      <c r="Q70" s="19">
        <v>13.0</v>
      </c>
      <c r="R70" s="19">
        <v>45.0</v>
      </c>
      <c r="S70" s="19">
        <v>31.0</v>
      </c>
      <c r="T70" s="19">
        <v>2.0</v>
      </c>
      <c r="U70" s="19">
        <v>3.0</v>
      </c>
      <c r="V70" s="19">
        <v>8.0</v>
      </c>
      <c r="W70" s="19">
        <v>39.0</v>
      </c>
      <c r="X70" s="19">
        <v>4.0</v>
      </c>
      <c r="Y70" s="19">
        <v>13.0</v>
      </c>
      <c r="Z70" s="19">
        <v>12.0</v>
      </c>
      <c r="AA70" s="19">
        <v>11.0</v>
      </c>
      <c r="AB70" s="19">
        <v>0.0</v>
      </c>
      <c r="AC70" s="19">
        <v>0.0</v>
      </c>
      <c r="AD70" s="19">
        <v>41.0</v>
      </c>
      <c r="AE70" s="19">
        <v>7.0</v>
      </c>
      <c r="AF70" s="19">
        <v>11.0</v>
      </c>
      <c r="AG70" s="19">
        <v>9.0</v>
      </c>
      <c r="AH70" s="19">
        <v>15.0</v>
      </c>
      <c r="AI70" s="19">
        <v>3.0</v>
      </c>
      <c r="AJ70" s="19">
        <v>4.0</v>
      </c>
      <c r="AK70" s="19">
        <v>7.0</v>
      </c>
      <c r="AL70" s="19">
        <v>43.0</v>
      </c>
      <c r="AM70" s="19">
        <v>20.0</v>
      </c>
      <c r="AN70" s="19">
        <v>15.0</v>
      </c>
      <c r="AO70" s="19">
        <v>12.0</v>
      </c>
      <c r="AP70" s="19">
        <v>2.0</v>
      </c>
      <c r="AQ70" s="19">
        <v>2.0</v>
      </c>
      <c r="AR70" s="19">
        <v>11.0</v>
      </c>
      <c r="AS70" s="19">
        <v>15.0</v>
      </c>
      <c r="AT70" s="19">
        <v>15.0</v>
      </c>
      <c r="AU70" s="19">
        <v>7.0</v>
      </c>
      <c r="AV70" s="19">
        <v>0.0</v>
      </c>
      <c r="AW70" s="19">
        <v>5.0</v>
      </c>
      <c r="AX70" s="19">
        <v>3.0</v>
      </c>
      <c r="AY70" s="19">
        <v>12.0</v>
      </c>
      <c r="AZ70" s="19">
        <v>41.0</v>
      </c>
      <c r="BA70" s="19">
        <v>35.0</v>
      </c>
      <c r="BB70" s="19">
        <v>16.0</v>
      </c>
      <c r="BC70" s="19">
        <v>15.0</v>
      </c>
      <c r="BD70" s="19">
        <v>3.0</v>
      </c>
      <c r="BE70" s="19">
        <v>7.0</v>
      </c>
      <c r="BF70" s="19">
        <v>8.0</v>
      </c>
      <c r="BG70" s="19">
        <v>2.0</v>
      </c>
      <c r="BH70" s="19">
        <v>5.0</v>
      </c>
      <c r="BI70" s="19">
        <v>2.0</v>
      </c>
      <c r="BJ70" s="19">
        <v>8.0</v>
      </c>
      <c r="BK70" s="19">
        <v>7.0</v>
      </c>
      <c r="BL70" s="13">
        <f t="shared" si="18"/>
        <v>841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4.0</v>
      </c>
      <c r="H71" s="19">
        <v>4.0</v>
      </c>
      <c r="I71" s="19">
        <v>6.0</v>
      </c>
      <c r="J71" s="19">
        <v>0.0</v>
      </c>
      <c r="K71" s="19">
        <v>1.0</v>
      </c>
      <c r="L71" s="19">
        <v>1.0</v>
      </c>
      <c r="M71" s="19">
        <v>1.0</v>
      </c>
      <c r="N71" s="19">
        <v>3.0</v>
      </c>
      <c r="O71" s="19">
        <v>0.0</v>
      </c>
      <c r="P71" s="19">
        <v>4.0</v>
      </c>
      <c r="Q71" s="19">
        <v>0.0</v>
      </c>
      <c r="R71" s="19">
        <v>1.0</v>
      </c>
      <c r="S71" s="19">
        <v>1.0</v>
      </c>
      <c r="T71" s="19">
        <v>1.0</v>
      </c>
      <c r="U71" s="19">
        <v>7.0</v>
      </c>
      <c r="V71" s="19">
        <v>4.0</v>
      </c>
      <c r="W71" s="19">
        <v>1.0</v>
      </c>
      <c r="X71" s="19">
        <v>1.0</v>
      </c>
      <c r="Y71" s="19">
        <v>7.0</v>
      </c>
      <c r="Z71" s="19">
        <v>4.0</v>
      </c>
      <c r="AA71" s="19">
        <v>2.0</v>
      </c>
      <c r="AB71" s="19">
        <v>0.0</v>
      </c>
      <c r="AC71" s="19">
        <v>0.0</v>
      </c>
      <c r="AD71" s="19">
        <v>5.0</v>
      </c>
      <c r="AE71" s="19">
        <v>2.0</v>
      </c>
      <c r="AF71" s="19">
        <v>1.0</v>
      </c>
      <c r="AG71" s="19">
        <v>2.0</v>
      </c>
      <c r="AH71" s="19">
        <v>3.0</v>
      </c>
      <c r="AI71" s="19">
        <v>0.0</v>
      </c>
      <c r="AJ71" s="19">
        <v>1.0</v>
      </c>
      <c r="AK71" s="19">
        <v>1.0</v>
      </c>
      <c r="AL71" s="19">
        <v>0.0</v>
      </c>
      <c r="AM71" s="19">
        <v>1.0</v>
      </c>
      <c r="AN71" s="19">
        <v>2.0</v>
      </c>
      <c r="AO71" s="19">
        <v>0.0</v>
      </c>
      <c r="AP71" s="19">
        <v>1.0</v>
      </c>
      <c r="AQ71" s="19">
        <v>0.0</v>
      </c>
      <c r="AR71" s="19">
        <v>1.0</v>
      </c>
      <c r="AS71" s="19">
        <v>1.0</v>
      </c>
      <c r="AT71" s="19">
        <v>1.0</v>
      </c>
      <c r="AU71" s="19">
        <v>2.0</v>
      </c>
      <c r="AV71" s="19">
        <v>1.0</v>
      </c>
      <c r="AW71" s="19">
        <v>0.0</v>
      </c>
      <c r="AX71" s="19">
        <v>2.0</v>
      </c>
      <c r="AY71" s="19">
        <v>0.0</v>
      </c>
      <c r="AZ71" s="19">
        <v>2.0</v>
      </c>
      <c r="BA71" s="19">
        <v>2.0</v>
      </c>
      <c r="BB71" s="19">
        <v>2.0</v>
      </c>
      <c r="BC71" s="19">
        <v>19.0</v>
      </c>
      <c r="BD71" s="19">
        <v>2.0</v>
      </c>
      <c r="BE71" s="19">
        <v>8.0</v>
      </c>
      <c r="BF71" s="19">
        <v>1.0</v>
      </c>
      <c r="BG71" s="19">
        <v>0.0</v>
      </c>
      <c r="BH71" s="19">
        <v>0.0</v>
      </c>
      <c r="BI71" s="19">
        <v>1.0</v>
      </c>
      <c r="BJ71" s="19">
        <v>0.0</v>
      </c>
      <c r="BK71" s="19">
        <v>3.0</v>
      </c>
      <c r="BL71" s="13">
        <f t="shared" si="18"/>
        <v>122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0.0</v>
      </c>
      <c r="G72" s="19">
        <v>9.0</v>
      </c>
      <c r="H72" s="19">
        <v>12.0</v>
      </c>
      <c r="I72" s="19">
        <v>2.0</v>
      </c>
      <c r="J72" s="19">
        <v>2.0</v>
      </c>
      <c r="K72" s="19">
        <v>4.0</v>
      </c>
      <c r="L72" s="19">
        <v>0.0</v>
      </c>
      <c r="M72" s="19">
        <v>1.0</v>
      </c>
      <c r="N72" s="19">
        <v>0.0</v>
      </c>
      <c r="O72" s="19">
        <v>0.0</v>
      </c>
      <c r="P72" s="19">
        <v>5.0</v>
      </c>
      <c r="Q72" s="19">
        <v>0.0</v>
      </c>
      <c r="R72" s="19">
        <v>0.0</v>
      </c>
      <c r="S72" s="19">
        <v>0.0</v>
      </c>
      <c r="T72" s="19">
        <v>0.0</v>
      </c>
      <c r="U72" s="19">
        <v>11.0</v>
      </c>
      <c r="V72" s="19">
        <v>3.0</v>
      </c>
      <c r="W72" s="19">
        <v>0.0</v>
      </c>
      <c r="X72" s="19">
        <v>5.0</v>
      </c>
      <c r="Y72" s="19">
        <v>5.0</v>
      </c>
      <c r="Z72" s="19">
        <v>65.0</v>
      </c>
      <c r="AA72" s="19">
        <v>23.0</v>
      </c>
      <c r="AB72" s="19">
        <v>1.0</v>
      </c>
      <c r="AC72" s="19">
        <v>1.0</v>
      </c>
      <c r="AD72" s="19">
        <v>10.0</v>
      </c>
      <c r="AE72" s="19">
        <v>1.0</v>
      </c>
      <c r="AF72" s="19">
        <v>0.0</v>
      </c>
      <c r="AG72" s="19">
        <v>1.0</v>
      </c>
      <c r="AH72" s="19">
        <v>0.0</v>
      </c>
      <c r="AI72" s="19">
        <v>0.0</v>
      </c>
      <c r="AJ72" s="19">
        <v>0.0</v>
      </c>
      <c r="AK72" s="19">
        <v>67.0</v>
      </c>
      <c r="AL72" s="19">
        <v>20.0</v>
      </c>
      <c r="AM72" s="19">
        <v>46.0</v>
      </c>
      <c r="AN72" s="19">
        <v>24.0</v>
      </c>
      <c r="AO72" s="19">
        <v>3.0</v>
      </c>
      <c r="AP72" s="19">
        <v>8.0</v>
      </c>
      <c r="AQ72" s="19">
        <v>0.0</v>
      </c>
      <c r="AR72" s="19">
        <v>3.0</v>
      </c>
      <c r="AS72" s="19">
        <v>2.0</v>
      </c>
      <c r="AT72" s="19">
        <v>10.0</v>
      </c>
      <c r="AU72" s="19">
        <v>5.0</v>
      </c>
      <c r="AV72" s="19">
        <v>0.0</v>
      </c>
      <c r="AW72" s="19">
        <v>2.0</v>
      </c>
      <c r="AX72" s="19">
        <v>1.0</v>
      </c>
      <c r="AY72" s="19">
        <v>0.0</v>
      </c>
      <c r="AZ72" s="19">
        <v>1.0</v>
      </c>
      <c r="BA72" s="19">
        <v>7.0</v>
      </c>
      <c r="BB72" s="19">
        <v>0.0</v>
      </c>
      <c r="BC72" s="19">
        <v>5.0</v>
      </c>
      <c r="BD72" s="19">
        <v>0.0</v>
      </c>
      <c r="BE72" s="19">
        <v>1.0</v>
      </c>
      <c r="BF72" s="19">
        <v>3.0</v>
      </c>
      <c r="BG72" s="19">
        <v>0.0</v>
      </c>
      <c r="BH72" s="19">
        <v>0.0</v>
      </c>
      <c r="BI72" s="19">
        <v>0.0</v>
      </c>
      <c r="BJ72" s="19">
        <v>16.0</v>
      </c>
      <c r="BK72" s="19">
        <v>3.0</v>
      </c>
      <c r="BL72" s="13">
        <f t="shared" si="18"/>
        <v>390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1.0</v>
      </c>
      <c r="G73" s="19">
        <v>0.0</v>
      </c>
      <c r="H73" s="19">
        <v>0.0</v>
      </c>
      <c r="I73" s="19">
        <v>1.0</v>
      </c>
      <c r="J73" s="19">
        <v>0.0</v>
      </c>
      <c r="K73" s="19">
        <v>0.0</v>
      </c>
      <c r="L73" s="19">
        <v>1.0</v>
      </c>
      <c r="M73" s="19">
        <v>2.0</v>
      </c>
      <c r="N73" s="19">
        <v>1.0</v>
      </c>
      <c r="O73" s="19">
        <v>0.0</v>
      </c>
      <c r="P73" s="19">
        <v>1.0</v>
      </c>
      <c r="Q73" s="19">
        <v>0.0</v>
      </c>
      <c r="R73" s="19">
        <v>1.0</v>
      </c>
      <c r="S73" s="19">
        <v>1.0</v>
      </c>
      <c r="T73" s="19">
        <v>1.0</v>
      </c>
      <c r="U73" s="19">
        <v>0.0</v>
      </c>
      <c r="V73" s="19">
        <v>0.0</v>
      </c>
      <c r="W73" s="19">
        <v>1.0</v>
      </c>
      <c r="X73" s="19">
        <v>0.0</v>
      </c>
      <c r="Y73" s="19">
        <v>1.0</v>
      </c>
      <c r="Z73" s="19">
        <v>1.0</v>
      </c>
      <c r="AA73" s="19">
        <v>0.0</v>
      </c>
      <c r="AB73" s="19">
        <v>0.0</v>
      </c>
      <c r="AC73" s="19">
        <v>0.0</v>
      </c>
      <c r="AD73" s="19">
        <v>2.0</v>
      </c>
      <c r="AE73" s="19">
        <v>0.0</v>
      </c>
      <c r="AF73" s="19">
        <v>0.0</v>
      </c>
      <c r="AG73" s="19">
        <v>1.0</v>
      </c>
      <c r="AH73" s="19">
        <v>1.0</v>
      </c>
      <c r="AI73" s="19">
        <v>0.0</v>
      </c>
      <c r="AJ73" s="19">
        <v>2.0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1.0</v>
      </c>
      <c r="AS73" s="19">
        <v>1.0</v>
      </c>
      <c r="AT73" s="19">
        <v>2.0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0.0</v>
      </c>
      <c r="BA73" s="19">
        <v>0.0</v>
      </c>
      <c r="BB73" s="19">
        <v>0.0</v>
      </c>
      <c r="BC73" s="19">
        <v>1.0</v>
      </c>
      <c r="BD73" s="19">
        <v>0.0</v>
      </c>
      <c r="BE73" s="19">
        <v>1.0</v>
      </c>
      <c r="BF73" s="19">
        <v>0.0</v>
      </c>
      <c r="BG73" s="19">
        <v>0.0</v>
      </c>
      <c r="BH73" s="19">
        <v>0.0</v>
      </c>
      <c r="BI73" s="19">
        <v>0.0</v>
      </c>
      <c r="BJ73" s="19">
        <v>0.0</v>
      </c>
      <c r="BK73" s="19">
        <v>1.0</v>
      </c>
      <c r="BL73" s="13">
        <f t="shared" si="18"/>
        <v>27</v>
      </c>
    </row>
    <row r="74" ht="12.75" customHeight="1">
      <c r="A74" s="18"/>
      <c r="B74" s="55">
        <v>5.0</v>
      </c>
      <c r="C74" s="50" t="s">
        <v>61</v>
      </c>
      <c r="D74" s="57"/>
      <c r="E74" s="19">
        <v>11.0</v>
      </c>
      <c r="F74" s="19">
        <v>4.0</v>
      </c>
      <c r="G74" s="19">
        <v>4.0</v>
      </c>
      <c r="H74" s="19">
        <v>2.0</v>
      </c>
      <c r="I74" s="19">
        <v>0.0</v>
      </c>
      <c r="J74" s="19">
        <v>3.0</v>
      </c>
      <c r="K74" s="19">
        <v>2.0</v>
      </c>
      <c r="L74" s="19">
        <v>1.0</v>
      </c>
      <c r="M74" s="19">
        <v>1.0</v>
      </c>
      <c r="N74" s="19">
        <v>0.0</v>
      </c>
      <c r="O74" s="19">
        <v>2.0</v>
      </c>
      <c r="P74" s="19">
        <v>0.0</v>
      </c>
      <c r="Q74" s="19">
        <v>1.0</v>
      </c>
      <c r="R74" s="19">
        <v>3.0</v>
      </c>
      <c r="S74" s="19">
        <v>1.0</v>
      </c>
      <c r="T74" s="19">
        <v>0.0</v>
      </c>
      <c r="U74" s="19">
        <v>4.0</v>
      </c>
      <c r="V74" s="19">
        <v>3.0</v>
      </c>
      <c r="W74" s="19">
        <v>0.0</v>
      </c>
      <c r="X74" s="19">
        <v>1.0</v>
      </c>
      <c r="Y74" s="19">
        <v>0.0</v>
      </c>
      <c r="Z74" s="19">
        <v>4.0</v>
      </c>
      <c r="AA74" s="19">
        <v>1.0</v>
      </c>
      <c r="AB74" s="19">
        <v>0.0</v>
      </c>
      <c r="AC74" s="19">
        <v>3.0</v>
      </c>
      <c r="AD74" s="19">
        <v>13.0</v>
      </c>
      <c r="AE74" s="19">
        <v>33.0</v>
      </c>
      <c r="AF74" s="19">
        <v>9.0</v>
      </c>
      <c r="AG74" s="19">
        <v>2.0</v>
      </c>
      <c r="AH74" s="19">
        <v>2.0</v>
      </c>
      <c r="AI74" s="19">
        <v>1.0</v>
      </c>
      <c r="AJ74" s="19">
        <v>1.0</v>
      </c>
      <c r="AK74" s="19">
        <v>2.0</v>
      </c>
      <c r="AL74" s="19">
        <v>5.0</v>
      </c>
      <c r="AM74" s="19">
        <v>4.0</v>
      </c>
      <c r="AN74" s="19">
        <v>3.0</v>
      </c>
      <c r="AO74" s="19">
        <v>4.0</v>
      </c>
      <c r="AP74" s="19">
        <v>5.0</v>
      </c>
      <c r="AQ74" s="19">
        <v>0.0</v>
      </c>
      <c r="AR74" s="19">
        <v>5.0</v>
      </c>
      <c r="AS74" s="19">
        <v>4.0</v>
      </c>
      <c r="AT74" s="19">
        <v>2.0</v>
      </c>
      <c r="AU74" s="19">
        <v>3.0</v>
      </c>
      <c r="AV74" s="19">
        <v>0.0</v>
      </c>
      <c r="AW74" s="19">
        <v>2.0</v>
      </c>
      <c r="AX74" s="19">
        <v>3.0</v>
      </c>
      <c r="AY74" s="19">
        <v>0.0</v>
      </c>
      <c r="AZ74" s="19">
        <v>2.0</v>
      </c>
      <c r="BA74" s="19">
        <v>0.0</v>
      </c>
      <c r="BB74" s="19">
        <v>1.0</v>
      </c>
      <c r="BC74" s="19">
        <v>2.0</v>
      </c>
      <c r="BD74" s="19">
        <v>2.0</v>
      </c>
      <c r="BE74" s="19">
        <v>5.0</v>
      </c>
      <c r="BF74" s="19">
        <v>0.0</v>
      </c>
      <c r="BG74" s="19">
        <v>1.0</v>
      </c>
      <c r="BH74" s="19">
        <v>2.0</v>
      </c>
      <c r="BI74" s="19">
        <v>0.0</v>
      </c>
      <c r="BJ74" s="19">
        <v>2.0</v>
      </c>
      <c r="BK74" s="19">
        <v>1.0</v>
      </c>
      <c r="BL74" s="13">
        <f t="shared" si="18"/>
        <v>172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6.0</v>
      </c>
      <c r="G75" s="19">
        <v>0.0</v>
      </c>
      <c r="H75" s="19">
        <v>0.0</v>
      </c>
      <c r="I75" s="19">
        <v>0.0</v>
      </c>
      <c r="J75" s="19">
        <v>1.0</v>
      </c>
      <c r="K75" s="19">
        <v>1.0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1.0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1.0</v>
      </c>
      <c r="AC75" s="19">
        <v>1.0</v>
      </c>
      <c r="AD75" s="19">
        <v>0.0</v>
      </c>
      <c r="AE75" s="19">
        <v>0.0</v>
      </c>
      <c r="AF75" s="19">
        <v>0.0</v>
      </c>
      <c r="AG75" s="19">
        <v>2.0</v>
      </c>
      <c r="AH75" s="19">
        <v>0.0</v>
      </c>
      <c r="AI75" s="19">
        <v>0.0</v>
      </c>
      <c r="AJ75" s="19">
        <v>0.0</v>
      </c>
      <c r="AK75" s="19">
        <v>0.0</v>
      </c>
      <c r="AL75" s="19">
        <v>0.0</v>
      </c>
      <c r="AM75" s="19">
        <v>2.0</v>
      </c>
      <c r="AN75" s="19">
        <v>1.0</v>
      </c>
      <c r="AO75" s="19">
        <v>1.0</v>
      </c>
      <c r="AP75" s="19">
        <v>0.0</v>
      </c>
      <c r="AQ75" s="19">
        <v>0.0</v>
      </c>
      <c r="AR75" s="19">
        <v>0.0</v>
      </c>
      <c r="AS75" s="19">
        <v>1.0</v>
      </c>
      <c r="AT75" s="19">
        <v>1.0</v>
      </c>
      <c r="AU75" s="19">
        <v>0.0</v>
      </c>
      <c r="AV75" s="19">
        <v>1.0</v>
      </c>
      <c r="AW75" s="19">
        <v>0.0</v>
      </c>
      <c r="AX75" s="19">
        <v>0.0</v>
      </c>
      <c r="AY75" s="19">
        <v>0.0</v>
      </c>
      <c r="AZ75" s="19">
        <v>0.0</v>
      </c>
      <c r="BA75" s="19">
        <v>0.0</v>
      </c>
      <c r="BB75" s="19">
        <v>1.0</v>
      </c>
      <c r="BC75" s="19">
        <v>0.0</v>
      </c>
      <c r="BD75" s="19">
        <v>0.0</v>
      </c>
      <c r="BE75" s="19">
        <v>0.0</v>
      </c>
      <c r="BF75" s="19">
        <v>1.0</v>
      </c>
      <c r="BG75" s="19">
        <v>0.0</v>
      </c>
      <c r="BH75" s="19">
        <v>1.0</v>
      </c>
      <c r="BI75" s="19">
        <v>0.0</v>
      </c>
      <c r="BJ75" s="19">
        <v>0.0</v>
      </c>
      <c r="BK75" s="19">
        <v>0.0</v>
      </c>
      <c r="BL75" s="13">
        <f t="shared" si="18"/>
        <v>25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3.0</v>
      </c>
      <c r="T76" s="19">
        <v>0.0</v>
      </c>
      <c r="U76" s="19">
        <v>1.0</v>
      </c>
      <c r="V76" s="19">
        <v>0.0</v>
      </c>
      <c r="W76" s="19">
        <v>0.0</v>
      </c>
      <c r="X76" s="19">
        <v>0.0</v>
      </c>
      <c r="Y76" s="19">
        <v>1.0</v>
      </c>
      <c r="Z76" s="19">
        <v>0.0</v>
      </c>
      <c r="AA76" s="19">
        <v>0.0</v>
      </c>
      <c r="AB76" s="19">
        <v>0.0</v>
      </c>
      <c r="AC76" s="19">
        <v>0.0</v>
      </c>
      <c r="AD76" s="19">
        <v>0.0</v>
      </c>
      <c r="AE76" s="19">
        <v>1.0</v>
      </c>
      <c r="AF76" s="19">
        <v>1.0</v>
      </c>
      <c r="AG76" s="19">
        <v>1.0</v>
      </c>
      <c r="AH76" s="19">
        <v>1.0</v>
      </c>
      <c r="AI76" s="19">
        <v>0.0</v>
      </c>
      <c r="AJ76" s="19">
        <v>0.0</v>
      </c>
      <c r="AK76" s="19">
        <v>0.0</v>
      </c>
      <c r="AL76" s="19">
        <v>1.0</v>
      </c>
      <c r="AM76" s="19">
        <v>1.0</v>
      </c>
      <c r="AN76" s="19">
        <v>0.0</v>
      </c>
      <c r="AO76" s="19">
        <v>0.0</v>
      </c>
      <c r="AP76" s="19">
        <v>1.0</v>
      </c>
      <c r="AQ76" s="19">
        <v>0.0</v>
      </c>
      <c r="AR76" s="19">
        <v>0.0</v>
      </c>
      <c r="AS76" s="19">
        <v>0.0</v>
      </c>
      <c r="AT76" s="19">
        <v>0.0</v>
      </c>
      <c r="AU76" s="19">
        <v>0.0</v>
      </c>
      <c r="AV76" s="19">
        <v>0.0</v>
      </c>
      <c r="AW76" s="19">
        <v>0.0</v>
      </c>
      <c r="AX76" s="19">
        <v>1.0</v>
      </c>
      <c r="AY76" s="19">
        <v>0.0</v>
      </c>
      <c r="AZ76" s="19">
        <v>0.0</v>
      </c>
      <c r="BA76" s="19">
        <v>1.0</v>
      </c>
      <c r="BB76" s="19">
        <v>0.0</v>
      </c>
      <c r="BC76" s="19">
        <v>0.0</v>
      </c>
      <c r="BD76" s="19">
        <v>0.0</v>
      </c>
      <c r="BE76" s="19">
        <v>0.0</v>
      </c>
      <c r="BF76" s="19">
        <v>1.0</v>
      </c>
      <c r="BG76" s="19">
        <v>0.0</v>
      </c>
      <c r="BH76" s="19">
        <v>0.0</v>
      </c>
      <c r="BI76" s="19">
        <v>0.0</v>
      </c>
      <c r="BJ76" s="19">
        <v>0.0</v>
      </c>
      <c r="BK76" s="19">
        <v>0.0</v>
      </c>
      <c r="BL76" s="13">
        <f t="shared" si="18"/>
        <v>18</v>
      </c>
    </row>
    <row r="77" ht="12.75" customHeight="1">
      <c r="A77" s="18"/>
      <c r="B77" s="70"/>
      <c r="C77" s="71"/>
      <c r="D77" s="73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3">
        <f t="shared" si="18"/>
        <v>0</v>
      </c>
    </row>
    <row r="78" ht="12.75" customHeight="1">
      <c r="A78" s="18"/>
      <c r="B78" s="70"/>
      <c r="C78" s="71"/>
      <c r="D78" s="73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BK79" si="19">SUM(E69:E76)</f>
        <v>68</v>
      </c>
      <c r="F79" s="13">
        <f t="shared" si="19"/>
        <v>26</v>
      </c>
      <c r="G79" s="13">
        <f t="shared" si="19"/>
        <v>38</v>
      </c>
      <c r="H79" s="13">
        <f t="shared" si="19"/>
        <v>41</v>
      </c>
      <c r="I79" s="13">
        <f t="shared" si="19"/>
        <v>32</v>
      </c>
      <c r="J79" s="13">
        <f t="shared" si="19"/>
        <v>40</v>
      </c>
      <c r="K79" s="13">
        <f t="shared" si="19"/>
        <v>46</v>
      </c>
      <c r="L79" s="13">
        <f t="shared" si="19"/>
        <v>50</v>
      </c>
      <c r="M79" s="13">
        <f t="shared" si="19"/>
        <v>66</v>
      </c>
      <c r="N79" s="13">
        <f t="shared" si="19"/>
        <v>12</v>
      </c>
      <c r="O79" s="13">
        <f t="shared" si="19"/>
        <v>10</v>
      </c>
      <c r="P79" s="13">
        <f t="shared" si="19"/>
        <v>33</v>
      </c>
      <c r="Q79" s="13">
        <f t="shared" si="19"/>
        <v>20</v>
      </c>
      <c r="R79" s="13">
        <f t="shared" si="19"/>
        <v>52</v>
      </c>
      <c r="S79" s="13">
        <f t="shared" si="19"/>
        <v>38</v>
      </c>
      <c r="T79" s="13">
        <f t="shared" si="19"/>
        <v>7</v>
      </c>
      <c r="U79" s="13">
        <f t="shared" si="19"/>
        <v>32</v>
      </c>
      <c r="V79" s="13">
        <f t="shared" si="19"/>
        <v>25</v>
      </c>
      <c r="W79" s="13">
        <f t="shared" si="19"/>
        <v>45</v>
      </c>
      <c r="X79" s="13">
        <f t="shared" si="19"/>
        <v>12</v>
      </c>
      <c r="Y79" s="13">
        <f t="shared" si="19"/>
        <v>33</v>
      </c>
      <c r="Z79" s="13">
        <f t="shared" si="19"/>
        <v>91</v>
      </c>
      <c r="AA79" s="13">
        <f t="shared" si="19"/>
        <v>38</v>
      </c>
      <c r="AB79" s="13">
        <f t="shared" si="19"/>
        <v>4</v>
      </c>
      <c r="AC79" s="13">
        <f t="shared" si="19"/>
        <v>5</v>
      </c>
      <c r="AD79" s="13">
        <f t="shared" si="19"/>
        <v>73</v>
      </c>
      <c r="AE79" s="13">
        <f t="shared" si="19"/>
        <v>50</v>
      </c>
      <c r="AF79" s="13">
        <f t="shared" si="19"/>
        <v>31</v>
      </c>
      <c r="AG79" s="13">
        <f t="shared" si="19"/>
        <v>25</v>
      </c>
      <c r="AH79" s="13">
        <f t="shared" si="19"/>
        <v>35</v>
      </c>
      <c r="AI79" s="13">
        <f t="shared" si="19"/>
        <v>5</v>
      </c>
      <c r="AJ79" s="13">
        <f t="shared" si="19"/>
        <v>14</v>
      </c>
      <c r="AK79" s="13">
        <f t="shared" si="19"/>
        <v>83</v>
      </c>
      <c r="AL79" s="13">
        <f t="shared" si="19"/>
        <v>83</v>
      </c>
      <c r="AM79" s="13">
        <f t="shared" si="19"/>
        <v>93</v>
      </c>
      <c r="AN79" s="13">
        <f t="shared" si="19"/>
        <v>54</v>
      </c>
      <c r="AO79" s="13">
        <f t="shared" si="19"/>
        <v>30</v>
      </c>
      <c r="AP79" s="13">
        <f t="shared" si="19"/>
        <v>21</v>
      </c>
      <c r="AQ79" s="13">
        <f t="shared" si="19"/>
        <v>2</v>
      </c>
      <c r="AR79" s="13">
        <f t="shared" si="19"/>
        <v>27</v>
      </c>
      <c r="AS79" s="13">
        <f t="shared" si="19"/>
        <v>31</v>
      </c>
      <c r="AT79" s="13">
        <f t="shared" si="19"/>
        <v>37</v>
      </c>
      <c r="AU79" s="13">
        <f t="shared" si="19"/>
        <v>22</v>
      </c>
      <c r="AV79" s="13">
        <f t="shared" si="19"/>
        <v>2</v>
      </c>
      <c r="AW79" s="13">
        <f t="shared" si="19"/>
        <v>9</v>
      </c>
      <c r="AX79" s="13">
        <f t="shared" si="19"/>
        <v>11</v>
      </c>
      <c r="AY79" s="13">
        <f t="shared" si="19"/>
        <v>19</v>
      </c>
      <c r="AZ79" s="13">
        <f t="shared" si="19"/>
        <v>52</v>
      </c>
      <c r="BA79" s="13">
        <f t="shared" si="19"/>
        <v>53</v>
      </c>
      <c r="BB79" s="13">
        <f t="shared" si="19"/>
        <v>24</v>
      </c>
      <c r="BC79" s="13">
        <f t="shared" si="19"/>
        <v>53</v>
      </c>
      <c r="BD79" s="13">
        <f t="shared" si="19"/>
        <v>8</v>
      </c>
      <c r="BE79" s="13">
        <f t="shared" si="19"/>
        <v>23</v>
      </c>
      <c r="BF79" s="13">
        <f t="shared" si="19"/>
        <v>20</v>
      </c>
      <c r="BG79" s="13">
        <f t="shared" si="19"/>
        <v>3</v>
      </c>
      <c r="BH79" s="13">
        <f t="shared" si="19"/>
        <v>12</v>
      </c>
      <c r="BI79" s="13">
        <f t="shared" si="19"/>
        <v>3</v>
      </c>
      <c r="BJ79" s="13">
        <f t="shared" si="19"/>
        <v>27</v>
      </c>
      <c r="BK79" s="13">
        <f t="shared" si="19"/>
        <v>17</v>
      </c>
      <c r="BL79" s="13">
        <f t="shared" si="18"/>
        <v>1916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9.0</v>
      </c>
      <c r="F81" s="19">
        <v>10.0</v>
      </c>
      <c r="G81" s="19">
        <v>9.0</v>
      </c>
      <c r="H81" s="19">
        <v>13.0</v>
      </c>
      <c r="I81" s="19">
        <v>17.0</v>
      </c>
      <c r="J81" s="19">
        <v>3.0</v>
      </c>
      <c r="K81" s="19">
        <v>9.0</v>
      </c>
      <c r="L81" s="19">
        <v>2.0</v>
      </c>
      <c r="M81" s="19">
        <v>5.0</v>
      </c>
      <c r="N81" s="19">
        <v>5.0</v>
      </c>
      <c r="O81" s="19">
        <v>2.0</v>
      </c>
      <c r="P81" s="19">
        <v>10.0</v>
      </c>
      <c r="Q81" s="19">
        <v>2.0</v>
      </c>
      <c r="R81" s="19">
        <v>3.0</v>
      </c>
      <c r="S81" s="19">
        <v>3.0</v>
      </c>
      <c r="T81" s="19">
        <v>11.0</v>
      </c>
      <c r="U81" s="19">
        <v>13.0</v>
      </c>
      <c r="V81" s="19">
        <v>10.0</v>
      </c>
      <c r="W81" s="19">
        <v>4.0</v>
      </c>
      <c r="X81" s="19">
        <v>2.0</v>
      </c>
      <c r="Y81" s="19">
        <v>5.0</v>
      </c>
      <c r="Z81" s="19">
        <v>2.0</v>
      </c>
      <c r="AA81" s="19">
        <v>0.0</v>
      </c>
      <c r="AB81" s="19">
        <v>4.0</v>
      </c>
      <c r="AC81" s="19">
        <v>7.0</v>
      </c>
      <c r="AD81" s="19">
        <v>0.0</v>
      </c>
      <c r="AE81" s="19">
        <v>9.0</v>
      </c>
      <c r="AF81" s="19">
        <v>6.0</v>
      </c>
      <c r="AG81" s="19">
        <v>6.0</v>
      </c>
      <c r="AH81" s="19">
        <v>5.0</v>
      </c>
      <c r="AI81" s="19">
        <v>14.0</v>
      </c>
      <c r="AJ81" s="19">
        <v>38.0</v>
      </c>
      <c r="AK81" s="19">
        <v>5.0</v>
      </c>
      <c r="AL81" s="19">
        <v>16.0</v>
      </c>
      <c r="AM81" s="19">
        <v>22.0</v>
      </c>
      <c r="AN81" s="19">
        <v>18.0</v>
      </c>
      <c r="AO81" s="19">
        <v>20.0</v>
      </c>
      <c r="AP81" s="19">
        <v>6.0</v>
      </c>
      <c r="AQ81" s="19">
        <v>5.0</v>
      </c>
      <c r="AR81" s="19">
        <v>21.0</v>
      </c>
      <c r="AS81" s="19">
        <v>8.0</v>
      </c>
      <c r="AT81" s="19">
        <v>9.0</v>
      </c>
      <c r="AU81" s="19">
        <v>1.0</v>
      </c>
      <c r="AV81" s="19">
        <v>14.0</v>
      </c>
      <c r="AW81" s="19">
        <v>6.0</v>
      </c>
      <c r="AX81" s="19">
        <v>10.0</v>
      </c>
      <c r="AY81" s="19">
        <v>18.0</v>
      </c>
      <c r="AZ81" s="19">
        <v>11.0</v>
      </c>
      <c r="BA81" s="19">
        <v>12.0</v>
      </c>
      <c r="BB81" s="19">
        <v>17.0</v>
      </c>
      <c r="BC81" s="19">
        <v>8.0</v>
      </c>
      <c r="BD81" s="19">
        <v>6.0</v>
      </c>
      <c r="BE81" s="19">
        <v>6.0</v>
      </c>
      <c r="BF81" s="19">
        <v>5.0</v>
      </c>
      <c r="BG81" s="19">
        <v>23.0</v>
      </c>
      <c r="BH81" s="19">
        <v>10.0</v>
      </c>
      <c r="BI81" s="19">
        <v>3.0</v>
      </c>
      <c r="BJ81" s="19">
        <v>4.0</v>
      </c>
      <c r="BK81" s="19">
        <v>14.0</v>
      </c>
      <c r="BL81" s="13">
        <f t="shared" ref="BL81:BL91" si="20">SUM(E81:BK81)</f>
        <v>536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14.0</v>
      </c>
      <c r="F82" s="19">
        <v>16.0</v>
      </c>
      <c r="G82" s="19">
        <v>5.0</v>
      </c>
      <c r="H82" s="19">
        <v>18.0</v>
      </c>
      <c r="I82" s="19">
        <v>50.0</v>
      </c>
      <c r="J82" s="19">
        <v>13.0</v>
      </c>
      <c r="K82" s="19">
        <v>36.0</v>
      </c>
      <c r="L82" s="19">
        <v>23.0</v>
      </c>
      <c r="M82" s="19">
        <v>32.0</v>
      </c>
      <c r="N82" s="19">
        <v>26.0</v>
      </c>
      <c r="O82" s="19">
        <v>23.0</v>
      </c>
      <c r="P82" s="19">
        <v>21.0</v>
      </c>
      <c r="Q82" s="19">
        <v>124.0</v>
      </c>
      <c r="R82" s="19">
        <v>34.0</v>
      </c>
      <c r="S82" s="19">
        <v>60.0</v>
      </c>
      <c r="T82" s="19">
        <v>23.0</v>
      </c>
      <c r="U82" s="19">
        <v>12.0</v>
      </c>
      <c r="V82" s="19">
        <v>22.0</v>
      </c>
      <c r="W82" s="19">
        <v>5.0</v>
      </c>
      <c r="X82" s="19">
        <v>28.0</v>
      </c>
      <c r="Y82" s="19">
        <v>12.0</v>
      </c>
      <c r="Z82" s="19">
        <v>14.0</v>
      </c>
      <c r="AA82" s="19">
        <v>7.0</v>
      </c>
      <c r="AB82" s="19">
        <v>13.0</v>
      </c>
      <c r="AC82" s="19">
        <v>51.0</v>
      </c>
      <c r="AD82" s="19">
        <v>13.0</v>
      </c>
      <c r="AE82" s="19">
        <v>65.0</v>
      </c>
      <c r="AF82" s="19">
        <v>13.0</v>
      </c>
      <c r="AG82" s="19">
        <v>21.0</v>
      </c>
      <c r="AH82" s="19">
        <v>14.0</v>
      </c>
      <c r="AI82" s="19">
        <v>173.0</v>
      </c>
      <c r="AJ82" s="19">
        <v>82.0</v>
      </c>
      <c r="AK82" s="19">
        <v>20.0</v>
      </c>
      <c r="AL82" s="19">
        <v>8.0</v>
      </c>
      <c r="AM82" s="19">
        <v>4.0</v>
      </c>
      <c r="AN82" s="19">
        <v>12.0</v>
      </c>
      <c r="AO82" s="19">
        <v>6.0</v>
      </c>
      <c r="AP82" s="19">
        <v>7.0</v>
      </c>
      <c r="AQ82" s="19">
        <v>8.0</v>
      </c>
      <c r="AR82" s="19">
        <v>19.0</v>
      </c>
      <c r="AS82" s="19">
        <v>31.0</v>
      </c>
      <c r="AT82" s="19">
        <v>21.0</v>
      </c>
      <c r="AU82" s="19">
        <v>3.0</v>
      </c>
      <c r="AV82" s="19">
        <v>90.0</v>
      </c>
      <c r="AW82" s="19">
        <v>13.0</v>
      </c>
      <c r="AX82" s="19">
        <v>99.0</v>
      </c>
      <c r="AY82" s="19">
        <v>36.0</v>
      </c>
      <c r="AZ82" s="19">
        <v>35.0</v>
      </c>
      <c r="BA82" s="19">
        <v>18.0</v>
      </c>
      <c r="BB82" s="19">
        <v>25.0</v>
      </c>
      <c r="BC82" s="19">
        <v>17.0</v>
      </c>
      <c r="BD82" s="19">
        <v>29.0</v>
      </c>
      <c r="BE82" s="19">
        <v>22.0</v>
      </c>
      <c r="BF82" s="19">
        <v>53.0</v>
      </c>
      <c r="BG82" s="19">
        <v>21.0</v>
      </c>
      <c r="BH82" s="19">
        <v>17.0</v>
      </c>
      <c r="BI82" s="19">
        <v>18.0</v>
      </c>
      <c r="BJ82" s="19">
        <v>22.0</v>
      </c>
      <c r="BK82" s="19">
        <v>20.0</v>
      </c>
      <c r="BL82" s="13">
        <f t="shared" si="20"/>
        <v>1737</v>
      </c>
    </row>
    <row r="83" ht="12.75" customHeight="1">
      <c r="A83" s="18"/>
      <c r="B83" s="55">
        <v>2.0</v>
      </c>
      <c r="C83" s="50" t="s">
        <v>66</v>
      </c>
      <c r="D83" s="57"/>
      <c r="E83" s="19">
        <v>11.0</v>
      </c>
      <c r="F83" s="19">
        <v>33.0</v>
      </c>
      <c r="G83" s="19">
        <v>11.0</v>
      </c>
      <c r="H83" s="19">
        <v>6.0</v>
      </c>
      <c r="I83" s="19">
        <v>12.0</v>
      </c>
      <c r="J83" s="19">
        <v>9.0</v>
      </c>
      <c r="K83" s="19">
        <v>12.0</v>
      </c>
      <c r="L83" s="19">
        <v>8.0</v>
      </c>
      <c r="M83" s="19">
        <v>5.0</v>
      </c>
      <c r="N83" s="19">
        <v>18.0</v>
      </c>
      <c r="O83" s="19">
        <v>10.0</v>
      </c>
      <c r="P83" s="19">
        <v>9.0</v>
      </c>
      <c r="Q83" s="19">
        <v>5.0</v>
      </c>
      <c r="R83" s="19">
        <v>1.0</v>
      </c>
      <c r="S83" s="19">
        <v>1.0</v>
      </c>
      <c r="T83" s="19">
        <v>7.0</v>
      </c>
      <c r="U83" s="19">
        <v>15.0</v>
      </c>
      <c r="V83" s="19">
        <v>7.0</v>
      </c>
      <c r="W83" s="19">
        <v>7.0</v>
      </c>
      <c r="X83" s="19">
        <v>1.0</v>
      </c>
      <c r="Y83" s="19">
        <v>9.0</v>
      </c>
      <c r="Z83" s="19">
        <v>5.0</v>
      </c>
      <c r="AA83" s="19">
        <v>0.0</v>
      </c>
      <c r="AB83" s="19">
        <v>3.0</v>
      </c>
      <c r="AC83" s="19">
        <v>0.0</v>
      </c>
      <c r="AD83" s="19">
        <v>10.0</v>
      </c>
      <c r="AE83" s="19">
        <v>1.0</v>
      </c>
      <c r="AF83" s="19">
        <v>17.0</v>
      </c>
      <c r="AG83" s="19">
        <v>22.0</v>
      </c>
      <c r="AH83" s="19">
        <v>5.0</v>
      </c>
      <c r="AI83" s="19">
        <v>7.0</v>
      </c>
      <c r="AJ83" s="19">
        <v>19.0</v>
      </c>
      <c r="AK83" s="19">
        <v>16.0</v>
      </c>
      <c r="AL83" s="19">
        <v>10.0</v>
      </c>
      <c r="AM83" s="19">
        <v>16.0</v>
      </c>
      <c r="AN83" s="19">
        <v>20.0</v>
      </c>
      <c r="AO83" s="19">
        <v>22.0</v>
      </c>
      <c r="AP83" s="19">
        <v>43.0</v>
      </c>
      <c r="AQ83" s="19">
        <v>17.0</v>
      </c>
      <c r="AR83" s="19">
        <v>13.0</v>
      </c>
      <c r="AS83" s="19">
        <v>24.0</v>
      </c>
      <c r="AT83" s="19">
        <v>6.0</v>
      </c>
      <c r="AU83" s="19">
        <v>9.0</v>
      </c>
      <c r="AV83" s="19">
        <v>4.0</v>
      </c>
      <c r="AW83" s="19">
        <v>149.0</v>
      </c>
      <c r="AX83" s="19">
        <v>35.0</v>
      </c>
      <c r="AY83" s="19">
        <v>31.0</v>
      </c>
      <c r="AZ83" s="19">
        <v>1.0</v>
      </c>
      <c r="BA83" s="19">
        <v>1.0</v>
      </c>
      <c r="BB83" s="19">
        <v>1.0</v>
      </c>
      <c r="BC83" s="19">
        <v>6.0</v>
      </c>
      <c r="BD83" s="19">
        <v>7.0</v>
      </c>
      <c r="BE83" s="19">
        <v>8.0</v>
      </c>
      <c r="BF83" s="19">
        <v>9.0</v>
      </c>
      <c r="BG83" s="19">
        <v>17.0</v>
      </c>
      <c r="BH83" s="19">
        <v>34.0</v>
      </c>
      <c r="BI83" s="19">
        <v>38.0</v>
      </c>
      <c r="BJ83" s="19">
        <v>18.0</v>
      </c>
      <c r="BK83" s="19">
        <v>2.0</v>
      </c>
      <c r="BL83" s="13">
        <f t="shared" si="20"/>
        <v>843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2.0</v>
      </c>
      <c r="G84" s="19">
        <v>1.0</v>
      </c>
      <c r="H84" s="19">
        <v>0.0</v>
      </c>
      <c r="I84" s="19">
        <v>1.0</v>
      </c>
      <c r="J84" s="19">
        <v>2.0</v>
      </c>
      <c r="K84" s="19">
        <v>2.0</v>
      </c>
      <c r="L84" s="19">
        <v>2.0</v>
      </c>
      <c r="M84" s="19">
        <v>1.0</v>
      </c>
      <c r="N84" s="19">
        <v>0.0</v>
      </c>
      <c r="O84" s="19">
        <v>2.0</v>
      </c>
      <c r="P84" s="19">
        <v>1.0</v>
      </c>
      <c r="Q84" s="19">
        <v>0.0</v>
      </c>
      <c r="R84" s="19">
        <v>0.0</v>
      </c>
      <c r="S84" s="19">
        <v>1.0</v>
      </c>
      <c r="T84" s="19">
        <v>0.0</v>
      </c>
      <c r="U84" s="19">
        <v>0.0</v>
      </c>
      <c r="V84" s="19">
        <v>1.0</v>
      </c>
      <c r="W84" s="19">
        <v>1.0</v>
      </c>
      <c r="X84" s="19">
        <v>0.0</v>
      </c>
      <c r="Y84" s="19">
        <v>1.0</v>
      </c>
      <c r="Z84" s="19">
        <v>0.0</v>
      </c>
      <c r="AA84" s="19">
        <v>1.0</v>
      </c>
      <c r="AB84" s="19">
        <v>0.0</v>
      </c>
      <c r="AC84" s="19">
        <v>0.0</v>
      </c>
      <c r="AD84" s="19">
        <v>0.0</v>
      </c>
      <c r="AE84" s="19">
        <v>0.0</v>
      </c>
      <c r="AF84" s="19">
        <v>0.0</v>
      </c>
      <c r="AG84" s="19">
        <v>0.0</v>
      </c>
      <c r="AH84" s="19">
        <v>1.0</v>
      </c>
      <c r="AI84" s="19">
        <v>1.0</v>
      </c>
      <c r="AJ84" s="19">
        <v>0.0</v>
      </c>
      <c r="AK84" s="19">
        <v>4.0</v>
      </c>
      <c r="AL84" s="19">
        <v>0.0</v>
      </c>
      <c r="AM84" s="19">
        <v>1.0</v>
      </c>
      <c r="AN84" s="19">
        <v>0.0</v>
      </c>
      <c r="AO84" s="19">
        <v>1.0</v>
      </c>
      <c r="AP84" s="19">
        <v>2.0</v>
      </c>
      <c r="AQ84" s="19">
        <v>1.0</v>
      </c>
      <c r="AR84" s="19">
        <v>1.0</v>
      </c>
      <c r="AS84" s="19">
        <v>1.0</v>
      </c>
      <c r="AT84" s="19">
        <v>0.0</v>
      </c>
      <c r="AU84" s="19">
        <v>0.0</v>
      </c>
      <c r="AV84" s="19">
        <v>0.0</v>
      </c>
      <c r="AW84" s="19">
        <v>1.0</v>
      </c>
      <c r="AX84" s="19">
        <v>5.0</v>
      </c>
      <c r="AY84" s="19">
        <v>0.0</v>
      </c>
      <c r="AZ84" s="19">
        <v>0.0</v>
      </c>
      <c r="BA84" s="19">
        <v>1.0</v>
      </c>
      <c r="BB84" s="19">
        <v>1.0</v>
      </c>
      <c r="BC84" s="19">
        <v>2.0</v>
      </c>
      <c r="BD84" s="19">
        <v>3.0</v>
      </c>
      <c r="BE84" s="19">
        <v>1.0</v>
      </c>
      <c r="BF84" s="19">
        <v>2.0</v>
      </c>
      <c r="BG84" s="19">
        <v>2.0</v>
      </c>
      <c r="BH84" s="19">
        <v>1.0</v>
      </c>
      <c r="BI84" s="19">
        <v>0.0</v>
      </c>
      <c r="BJ84" s="19">
        <v>0.0</v>
      </c>
      <c r="BK84" s="19">
        <v>2.0</v>
      </c>
      <c r="BL84" s="13">
        <f t="shared" si="20"/>
        <v>53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2.0</v>
      </c>
      <c r="H85" s="19">
        <v>2.0</v>
      </c>
      <c r="I85" s="19">
        <v>1.0</v>
      </c>
      <c r="J85" s="19">
        <v>1.0</v>
      </c>
      <c r="K85" s="19">
        <v>0.0</v>
      </c>
      <c r="L85" s="19">
        <v>0.0</v>
      </c>
      <c r="M85" s="19">
        <v>1.0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1.0</v>
      </c>
      <c r="T85" s="19">
        <v>0.0</v>
      </c>
      <c r="U85" s="19">
        <v>0.0</v>
      </c>
      <c r="V85" s="19">
        <v>2.0</v>
      </c>
      <c r="W85" s="19">
        <v>0.0</v>
      </c>
      <c r="X85" s="19">
        <v>2.0</v>
      </c>
      <c r="Y85" s="19">
        <v>1.0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1.0</v>
      </c>
      <c r="AF85" s="19">
        <v>1.0</v>
      </c>
      <c r="AG85" s="19">
        <v>1.0</v>
      </c>
      <c r="AH85" s="19">
        <v>2.0</v>
      </c>
      <c r="AI85" s="19">
        <v>0.0</v>
      </c>
      <c r="AJ85" s="19">
        <v>0.0</v>
      </c>
      <c r="AK85" s="19">
        <v>2.0</v>
      </c>
      <c r="AL85" s="19">
        <v>1.0</v>
      </c>
      <c r="AM85" s="19">
        <v>0.0</v>
      </c>
      <c r="AN85" s="19">
        <v>0.0</v>
      </c>
      <c r="AO85" s="19">
        <v>0.0</v>
      </c>
      <c r="AP85" s="19">
        <v>1.0</v>
      </c>
      <c r="AQ85" s="19">
        <v>1.0</v>
      </c>
      <c r="AR85" s="19">
        <v>2.0</v>
      </c>
      <c r="AS85" s="19">
        <v>0.0</v>
      </c>
      <c r="AT85" s="19">
        <v>0.0</v>
      </c>
      <c r="AU85" s="19"/>
      <c r="AV85" s="19">
        <v>1.0</v>
      </c>
      <c r="AW85" s="19">
        <v>0.0</v>
      </c>
      <c r="AX85" s="19">
        <v>1.0</v>
      </c>
      <c r="AY85" s="19">
        <v>1.0</v>
      </c>
      <c r="AZ85" s="19">
        <v>1.0</v>
      </c>
      <c r="BA85" s="19">
        <v>0.0</v>
      </c>
      <c r="BB85" s="19">
        <v>1.0</v>
      </c>
      <c r="BC85" s="19">
        <v>0.0</v>
      </c>
      <c r="BD85" s="19">
        <v>1.0</v>
      </c>
      <c r="BE85" s="19">
        <v>1.0</v>
      </c>
      <c r="BF85" s="19">
        <v>0.0</v>
      </c>
      <c r="BG85" s="19">
        <v>0.0</v>
      </c>
      <c r="BH85" s="19">
        <v>1.0</v>
      </c>
      <c r="BI85" s="19">
        <v>0.0</v>
      </c>
      <c r="BJ85" s="19">
        <v>0.0</v>
      </c>
      <c r="BK85" s="19">
        <v>0.0</v>
      </c>
      <c r="BL85" s="13">
        <f t="shared" si="20"/>
        <v>33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1.0</v>
      </c>
      <c r="H86" s="19">
        <v>1.0</v>
      </c>
      <c r="I86" s="19">
        <v>0.0</v>
      </c>
      <c r="J86" s="19">
        <v>1.0</v>
      </c>
      <c r="K86" s="19">
        <v>2.0</v>
      </c>
      <c r="L86" s="19">
        <v>1.0</v>
      </c>
      <c r="M86" s="19">
        <v>0.0</v>
      </c>
      <c r="N86" s="19">
        <v>1.0</v>
      </c>
      <c r="O86" s="19">
        <v>2.0</v>
      </c>
      <c r="P86" s="19">
        <v>1.0</v>
      </c>
      <c r="Q86" s="19"/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1.0</v>
      </c>
      <c r="X86" s="19">
        <v>1.0</v>
      </c>
      <c r="Y86" s="19">
        <v>2.0</v>
      </c>
      <c r="Z86" s="19">
        <v>3.0</v>
      </c>
      <c r="AA86" s="19">
        <v>1.0</v>
      </c>
      <c r="AB86" s="19">
        <v>0.0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2.0</v>
      </c>
      <c r="AI86" s="19">
        <v>0.0</v>
      </c>
      <c r="AJ86" s="19">
        <v>2.0</v>
      </c>
      <c r="AK86" s="19">
        <v>2.0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4.0</v>
      </c>
      <c r="AS86" s="19">
        <v>0.0</v>
      </c>
      <c r="AT86" s="19">
        <v>0.0</v>
      </c>
      <c r="AU86" s="19">
        <v>1.0</v>
      </c>
      <c r="AV86" s="19">
        <v>0.0</v>
      </c>
      <c r="AW86" s="19">
        <v>0.0</v>
      </c>
      <c r="AX86" s="19">
        <v>0.0</v>
      </c>
      <c r="AY86" s="19">
        <v>1.0</v>
      </c>
      <c r="AZ86" s="19">
        <v>0.0</v>
      </c>
      <c r="BA86" s="19">
        <v>3.0</v>
      </c>
      <c r="BB86" s="19">
        <v>1.0</v>
      </c>
      <c r="BC86" s="19">
        <v>0.0</v>
      </c>
      <c r="BD86" s="19">
        <v>0.0</v>
      </c>
      <c r="BE86" s="19">
        <v>0.0</v>
      </c>
      <c r="BF86" s="19">
        <v>0.0</v>
      </c>
      <c r="BG86" s="19">
        <v>0.0</v>
      </c>
      <c r="BH86" s="19">
        <v>0.0</v>
      </c>
      <c r="BI86" s="19">
        <v>0.0</v>
      </c>
      <c r="BJ86" s="19">
        <v>0.0</v>
      </c>
      <c r="BK86" s="19">
        <v>2.0</v>
      </c>
      <c r="BL86" s="13">
        <f t="shared" si="20"/>
        <v>38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2.0</v>
      </c>
      <c r="H87" s="19">
        <v>1.0</v>
      </c>
      <c r="I87" s="19">
        <v>0.0</v>
      </c>
      <c r="J87" s="19">
        <v>2.0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1.0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1.0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1.0</v>
      </c>
      <c r="AK87" s="19">
        <v>0.0</v>
      </c>
      <c r="AL87" s="19">
        <v>1.0</v>
      </c>
      <c r="AM87" s="19">
        <v>2.0</v>
      </c>
      <c r="AN87" s="19">
        <v>0.0</v>
      </c>
      <c r="AO87" s="19">
        <v>0.0</v>
      </c>
      <c r="AP87" s="19">
        <v>0.0</v>
      </c>
      <c r="AQ87" s="19">
        <v>1.0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1.0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1.0</v>
      </c>
      <c r="BD87" s="19">
        <v>0.0</v>
      </c>
      <c r="BE87" s="19">
        <v>0.0</v>
      </c>
      <c r="BF87" s="19">
        <v>0.0</v>
      </c>
      <c r="BG87" s="19">
        <v>0.0</v>
      </c>
      <c r="BH87" s="19">
        <v>0.0</v>
      </c>
      <c r="BI87" s="19">
        <v>0.0</v>
      </c>
      <c r="BJ87" s="19">
        <v>0.0</v>
      </c>
      <c r="BK87" s="19">
        <v>0.0</v>
      </c>
      <c r="BL87" s="13">
        <f t="shared" si="20"/>
        <v>15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1.0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/>
      <c r="AG88" s="19">
        <v>2.0</v>
      </c>
      <c r="AH88" s="19"/>
      <c r="AI88" s="19">
        <v>0.0</v>
      </c>
      <c r="AJ88" s="19">
        <v>0.0</v>
      </c>
      <c r="AK88" s="19">
        <v>0.0</v>
      </c>
      <c r="AL88" s="19">
        <v>1.0</v>
      </c>
      <c r="AM88" s="19"/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1.0</v>
      </c>
      <c r="AX88" s="19">
        <v>0.0</v>
      </c>
      <c r="AY88" s="19">
        <v>0.0</v>
      </c>
      <c r="AZ88" s="19">
        <v>0.0</v>
      </c>
      <c r="BA88" s="19">
        <v>0.0</v>
      </c>
      <c r="BB88" s="19">
        <v>1.0</v>
      </c>
      <c r="BC88" s="19">
        <v>0.0</v>
      </c>
      <c r="BD88" s="19">
        <v>0.0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9">
        <v>0.0</v>
      </c>
      <c r="BL88" s="13">
        <f t="shared" si="20"/>
        <v>6</v>
      </c>
    </row>
    <row r="89" ht="12.75" customHeight="1">
      <c r="A89" s="18"/>
      <c r="B89" s="70"/>
      <c r="C89" s="71"/>
      <c r="D89" s="73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3">
        <f t="shared" si="20"/>
        <v>0</v>
      </c>
    </row>
    <row r="90" ht="12.75" customHeight="1">
      <c r="A90" s="18"/>
      <c r="B90" s="70"/>
      <c r="C90" s="71"/>
      <c r="D90" s="73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BK91" si="21">SUM(E81:E88)</f>
        <v>34</v>
      </c>
      <c r="F91" s="13">
        <f t="shared" si="21"/>
        <v>61</v>
      </c>
      <c r="G91" s="13">
        <f t="shared" si="21"/>
        <v>31</v>
      </c>
      <c r="H91" s="13">
        <f t="shared" si="21"/>
        <v>41</v>
      </c>
      <c r="I91" s="13">
        <f t="shared" si="21"/>
        <v>81</v>
      </c>
      <c r="J91" s="13">
        <f t="shared" si="21"/>
        <v>31</v>
      </c>
      <c r="K91" s="13">
        <f t="shared" si="21"/>
        <v>61</v>
      </c>
      <c r="L91" s="13">
        <f t="shared" si="21"/>
        <v>36</v>
      </c>
      <c r="M91" s="13">
        <f t="shared" si="21"/>
        <v>44</v>
      </c>
      <c r="N91" s="13">
        <f t="shared" si="21"/>
        <v>50</v>
      </c>
      <c r="O91" s="13">
        <f t="shared" si="21"/>
        <v>39</v>
      </c>
      <c r="P91" s="13">
        <f t="shared" si="21"/>
        <v>43</v>
      </c>
      <c r="Q91" s="13">
        <f t="shared" si="21"/>
        <v>132</v>
      </c>
      <c r="R91" s="13">
        <f t="shared" si="21"/>
        <v>38</v>
      </c>
      <c r="S91" s="13">
        <f t="shared" si="21"/>
        <v>66</v>
      </c>
      <c r="T91" s="13">
        <f t="shared" si="21"/>
        <v>41</v>
      </c>
      <c r="U91" s="13">
        <f t="shared" si="21"/>
        <v>41</v>
      </c>
      <c r="V91" s="13">
        <f t="shared" si="21"/>
        <v>43</v>
      </c>
      <c r="W91" s="13">
        <f t="shared" si="21"/>
        <v>19</v>
      </c>
      <c r="X91" s="13">
        <f t="shared" si="21"/>
        <v>34</v>
      </c>
      <c r="Y91" s="13">
        <f t="shared" si="21"/>
        <v>30</v>
      </c>
      <c r="Z91" s="13">
        <f t="shared" si="21"/>
        <v>24</v>
      </c>
      <c r="AA91" s="13">
        <f t="shared" si="21"/>
        <v>9</v>
      </c>
      <c r="AB91" s="13">
        <f t="shared" si="21"/>
        <v>20</v>
      </c>
      <c r="AC91" s="13">
        <f t="shared" si="21"/>
        <v>58</v>
      </c>
      <c r="AD91" s="13">
        <f t="shared" si="21"/>
        <v>24</v>
      </c>
      <c r="AE91" s="13">
        <f t="shared" si="21"/>
        <v>76</v>
      </c>
      <c r="AF91" s="13">
        <f t="shared" si="21"/>
        <v>37</v>
      </c>
      <c r="AG91" s="13">
        <f t="shared" si="21"/>
        <v>52</v>
      </c>
      <c r="AH91" s="13">
        <f t="shared" si="21"/>
        <v>29</v>
      </c>
      <c r="AI91" s="13">
        <f t="shared" si="21"/>
        <v>195</v>
      </c>
      <c r="AJ91" s="13">
        <f t="shared" si="21"/>
        <v>142</v>
      </c>
      <c r="AK91" s="13">
        <f t="shared" si="21"/>
        <v>49</v>
      </c>
      <c r="AL91" s="13">
        <f t="shared" si="21"/>
        <v>37</v>
      </c>
      <c r="AM91" s="13">
        <f t="shared" si="21"/>
        <v>45</v>
      </c>
      <c r="AN91" s="13">
        <f t="shared" si="21"/>
        <v>50</v>
      </c>
      <c r="AO91" s="13">
        <f t="shared" si="21"/>
        <v>49</v>
      </c>
      <c r="AP91" s="13">
        <f t="shared" si="21"/>
        <v>59</v>
      </c>
      <c r="AQ91" s="13">
        <f t="shared" si="21"/>
        <v>33</v>
      </c>
      <c r="AR91" s="13">
        <f t="shared" si="21"/>
        <v>60</v>
      </c>
      <c r="AS91" s="13">
        <f t="shared" si="21"/>
        <v>64</v>
      </c>
      <c r="AT91" s="13">
        <f t="shared" si="21"/>
        <v>36</v>
      </c>
      <c r="AU91" s="13">
        <f t="shared" si="21"/>
        <v>14</v>
      </c>
      <c r="AV91" s="13">
        <f t="shared" si="21"/>
        <v>109</v>
      </c>
      <c r="AW91" s="13">
        <f t="shared" si="21"/>
        <v>171</v>
      </c>
      <c r="AX91" s="13">
        <f t="shared" si="21"/>
        <v>150</v>
      </c>
      <c r="AY91" s="13">
        <f t="shared" si="21"/>
        <v>87</v>
      </c>
      <c r="AZ91" s="13">
        <f t="shared" si="21"/>
        <v>48</v>
      </c>
      <c r="BA91" s="13">
        <f t="shared" si="21"/>
        <v>35</v>
      </c>
      <c r="BB91" s="13">
        <f t="shared" si="21"/>
        <v>47</v>
      </c>
      <c r="BC91" s="13">
        <f t="shared" si="21"/>
        <v>34</v>
      </c>
      <c r="BD91" s="13">
        <f t="shared" si="21"/>
        <v>46</v>
      </c>
      <c r="BE91" s="13">
        <f t="shared" si="21"/>
        <v>38</v>
      </c>
      <c r="BF91" s="13">
        <f t="shared" si="21"/>
        <v>69</v>
      </c>
      <c r="BG91" s="13">
        <f t="shared" si="21"/>
        <v>63</v>
      </c>
      <c r="BH91" s="13">
        <f t="shared" si="21"/>
        <v>63</v>
      </c>
      <c r="BI91" s="13">
        <f t="shared" si="21"/>
        <v>59</v>
      </c>
      <c r="BJ91" s="13">
        <f t="shared" si="21"/>
        <v>44</v>
      </c>
      <c r="BK91" s="13">
        <f t="shared" si="21"/>
        <v>40</v>
      </c>
      <c r="BL91" s="13">
        <f t="shared" si="20"/>
        <v>3261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4.0</v>
      </c>
      <c r="G93" s="19">
        <v>4.0</v>
      </c>
      <c r="H93" s="19">
        <v>1.0</v>
      </c>
      <c r="I93" s="19">
        <v>2.0</v>
      </c>
      <c r="J93" s="19">
        <v>2.0</v>
      </c>
      <c r="K93" s="19">
        <v>0.0</v>
      </c>
      <c r="L93" s="19">
        <v>3.0</v>
      </c>
      <c r="M93" s="19">
        <v>0.0</v>
      </c>
      <c r="N93" s="19">
        <v>1.0</v>
      </c>
      <c r="O93" s="19">
        <v>2.0</v>
      </c>
      <c r="P93" s="19">
        <v>0.0</v>
      </c>
      <c r="Q93" s="19">
        <v>0.0</v>
      </c>
      <c r="R93" s="19">
        <v>0.0</v>
      </c>
      <c r="S93" s="19">
        <v>1.0</v>
      </c>
      <c r="T93" s="19"/>
      <c r="U93" s="19"/>
      <c r="V93" s="19">
        <v>1.0</v>
      </c>
      <c r="W93" s="19"/>
      <c r="X93" s="19"/>
      <c r="Y93" s="19"/>
      <c r="Z93" s="19">
        <v>1.0</v>
      </c>
      <c r="AA93" s="19">
        <v>2.0</v>
      </c>
      <c r="AB93" s="19"/>
      <c r="AC93" s="19"/>
      <c r="AD93" s="19"/>
      <c r="AE93" s="19"/>
      <c r="AF93" s="19"/>
      <c r="AG93" s="19">
        <v>1.0</v>
      </c>
      <c r="AH93" s="19">
        <v>1.0</v>
      </c>
      <c r="AI93" s="19"/>
      <c r="AJ93" s="19">
        <v>1.0</v>
      </c>
      <c r="AK93" s="19"/>
      <c r="AL93" s="19"/>
      <c r="AM93" s="19"/>
      <c r="AN93" s="19">
        <v>1.0</v>
      </c>
      <c r="AO93" s="19"/>
      <c r="AP93" s="19"/>
      <c r="AQ93" s="19"/>
      <c r="AR93" s="19"/>
      <c r="AS93" s="19">
        <v>6.0</v>
      </c>
      <c r="AT93" s="19">
        <v>1.0</v>
      </c>
      <c r="AU93" s="19"/>
      <c r="AV93" s="19">
        <v>3.0</v>
      </c>
      <c r="AW93" s="19"/>
      <c r="AX93" s="19"/>
      <c r="AY93" s="19"/>
      <c r="AZ93" s="19">
        <v>1.0</v>
      </c>
      <c r="BA93" s="19"/>
      <c r="BB93" s="19">
        <v>2.0</v>
      </c>
      <c r="BC93" s="19">
        <v>4.0</v>
      </c>
      <c r="BD93" s="19">
        <v>2.0</v>
      </c>
      <c r="BE93" s="19">
        <v>4.0</v>
      </c>
      <c r="BF93" s="19">
        <v>1.0</v>
      </c>
      <c r="BG93" s="19"/>
      <c r="BH93" s="19"/>
      <c r="BI93" s="19"/>
      <c r="BJ93" s="19"/>
      <c r="BK93" s="19"/>
      <c r="BL93" s="13">
        <f t="shared" ref="BL93:BL103" si="22">SUM(E93:BK93)</f>
        <v>52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3.0</v>
      </c>
      <c r="G94" s="19">
        <v>7.0</v>
      </c>
      <c r="H94" s="19">
        <v>0.0</v>
      </c>
      <c r="I94" s="19">
        <v>7.0</v>
      </c>
      <c r="J94" s="19">
        <v>11.0</v>
      </c>
      <c r="K94" s="19">
        <v>1.0</v>
      </c>
      <c r="L94" s="19">
        <v>5.0</v>
      </c>
      <c r="M94" s="19"/>
      <c r="N94" s="19">
        <v>0.0</v>
      </c>
      <c r="O94" s="19">
        <v>1.0</v>
      </c>
      <c r="P94" s="19">
        <v>2.0</v>
      </c>
      <c r="Q94" s="19">
        <v>1.0</v>
      </c>
      <c r="R94" s="19">
        <v>0.0</v>
      </c>
      <c r="S94" s="19">
        <v>1.0</v>
      </c>
      <c r="T94" s="19">
        <v>1.0</v>
      </c>
      <c r="U94" s="19">
        <v>4.0</v>
      </c>
      <c r="V94" s="19"/>
      <c r="W94" s="19">
        <v>2.0</v>
      </c>
      <c r="X94" s="19"/>
      <c r="Y94" s="19">
        <v>3.0</v>
      </c>
      <c r="Z94" s="19">
        <v>2.0</v>
      </c>
      <c r="AA94" s="19"/>
      <c r="AB94" s="19">
        <v>2.0</v>
      </c>
      <c r="AC94" s="19"/>
      <c r="AD94" s="19">
        <v>1.0</v>
      </c>
      <c r="AE94" s="19"/>
      <c r="AF94" s="19"/>
      <c r="AG94" s="19"/>
      <c r="AH94" s="19"/>
      <c r="AI94" s="19"/>
      <c r="AJ94" s="19">
        <v>2.0</v>
      </c>
      <c r="AK94" s="19"/>
      <c r="AL94" s="19">
        <v>1.0</v>
      </c>
      <c r="AM94" s="19"/>
      <c r="AN94" s="19"/>
      <c r="AO94" s="19">
        <v>1.0</v>
      </c>
      <c r="AP94" s="19">
        <v>2.0</v>
      </c>
      <c r="AQ94" s="19"/>
      <c r="AR94" s="19">
        <v>1.0</v>
      </c>
      <c r="AS94" s="19"/>
      <c r="AT94" s="19"/>
      <c r="AU94" s="19"/>
      <c r="AV94" s="19">
        <v>1.0</v>
      </c>
      <c r="AW94" s="19"/>
      <c r="AX94" s="19">
        <v>1.0</v>
      </c>
      <c r="AY94" s="19"/>
      <c r="AZ94" s="19">
        <v>1.0</v>
      </c>
      <c r="BA94" s="19"/>
      <c r="BB94" s="19">
        <v>2.0</v>
      </c>
      <c r="BC94" s="19">
        <v>1.0</v>
      </c>
      <c r="BD94" s="19">
        <v>1.0</v>
      </c>
      <c r="BE94" s="19">
        <v>8.0</v>
      </c>
      <c r="BF94" s="19">
        <v>15.0</v>
      </c>
      <c r="BG94" s="19">
        <v>1.0</v>
      </c>
      <c r="BH94" s="19"/>
      <c r="BI94" s="19"/>
      <c r="BJ94" s="19"/>
      <c r="BK94" s="19">
        <v>4.0</v>
      </c>
      <c r="BL94" s="13">
        <f t="shared" si="22"/>
        <v>98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1.0</v>
      </c>
      <c r="H95" s="19">
        <v>0.0</v>
      </c>
      <c r="I95" s="19">
        <v>0.0</v>
      </c>
      <c r="J95" s="19">
        <v>3.0</v>
      </c>
      <c r="K95" s="19">
        <v>0.0</v>
      </c>
      <c r="L95" s="19">
        <v>0.0</v>
      </c>
      <c r="M95" s="19">
        <v>2.0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2.0</v>
      </c>
      <c r="T95" s="19">
        <v>1.0</v>
      </c>
      <c r="U95" s="19"/>
      <c r="V95" s="19">
        <v>1.0</v>
      </c>
      <c r="W95" s="19"/>
      <c r="X95" s="19"/>
      <c r="Y95" s="19"/>
      <c r="Z95" s="19">
        <v>2.0</v>
      </c>
      <c r="AA95" s="19"/>
      <c r="AB95" s="19"/>
      <c r="AC95" s="19"/>
      <c r="AD95" s="19"/>
      <c r="AE95" s="19"/>
      <c r="AF95" s="19"/>
      <c r="AG95" s="19"/>
      <c r="AH95" s="19">
        <v>1.0</v>
      </c>
      <c r="AI95" s="19">
        <v>1.0</v>
      </c>
      <c r="AJ95" s="19"/>
      <c r="AK95" s="19"/>
      <c r="AL95" s="19">
        <v>4.0</v>
      </c>
      <c r="AM95" s="19">
        <v>5.0</v>
      </c>
      <c r="AN95" s="19">
        <v>4.0</v>
      </c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>
        <v>1.0</v>
      </c>
      <c r="AZ95" s="19"/>
      <c r="BA95" s="19"/>
      <c r="BB95" s="19"/>
      <c r="BC95" s="19">
        <v>1.0</v>
      </c>
      <c r="BD95" s="19"/>
      <c r="BE95" s="19">
        <v>2.0</v>
      </c>
      <c r="BF95" s="19">
        <v>2.0</v>
      </c>
      <c r="BG95" s="19"/>
      <c r="BH95" s="19"/>
      <c r="BI95" s="19"/>
      <c r="BJ95" s="19"/>
      <c r="BK95" s="19"/>
      <c r="BL95" s="13">
        <f t="shared" si="22"/>
        <v>34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2.0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>
        <v>1.0</v>
      </c>
      <c r="AF96" s="19"/>
      <c r="AG96" s="19"/>
      <c r="AH96" s="19"/>
      <c r="AI96" s="19"/>
      <c r="AJ96" s="19"/>
      <c r="AK96" s="19">
        <v>1.0</v>
      </c>
      <c r="AL96" s="19"/>
      <c r="AM96" s="19"/>
      <c r="AN96" s="19"/>
      <c r="AO96" s="19"/>
      <c r="AP96" s="19"/>
      <c r="AQ96" s="19"/>
      <c r="AR96" s="19"/>
      <c r="AS96" s="19">
        <v>1.0</v>
      </c>
      <c r="AT96" s="19"/>
      <c r="AU96" s="19"/>
      <c r="AV96" s="19"/>
      <c r="AW96" s="19"/>
      <c r="AX96" s="19"/>
      <c r="AY96" s="19"/>
      <c r="AZ96" s="19"/>
      <c r="BA96" s="19"/>
      <c r="BB96" s="19"/>
      <c r="BC96" s="19">
        <v>1.0</v>
      </c>
      <c r="BD96" s="19"/>
      <c r="BE96" s="19"/>
      <c r="BF96" s="19"/>
      <c r="BG96" s="19"/>
      <c r="BH96" s="19"/>
      <c r="BI96" s="19"/>
      <c r="BJ96" s="19"/>
      <c r="BK96" s="19"/>
      <c r="BL96" s="13">
        <f t="shared" si="22"/>
        <v>10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/>
      <c r="U97" s="19"/>
      <c r="V97" s="19"/>
      <c r="W97" s="19"/>
      <c r="X97" s="19">
        <v>3.0</v>
      </c>
      <c r="Y97" s="19">
        <v>1.0</v>
      </c>
      <c r="Z97" s="19"/>
      <c r="AA97" s="19">
        <v>1.0</v>
      </c>
      <c r="AB97" s="19"/>
      <c r="AC97" s="19"/>
      <c r="AD97" s="19"/>
      <c r="AE97" s="19"/>
      <c r="AF97" s="19">
        <v>1.0</v>
      </c>
      <c r="AG97" s="19"/>
      <c r="AH97" s="19"/>
      <c r="AI97" s="19"/>
      <c r="AJ97" s="19"/>
      <c r="AK97" s="19"/>
      <c r="AL97" s="19">
        <v>1.0</v>
      </c>
      <c r="AM97" s="19"/>
      <c r="AN97" s="19"/>
      <c r="AO97" s="19"/>
      <c r="AP97" s="19">
        <v>1.0</v>
      </c>
      <c r="AQ97" s="19"/>
      <c r="AR97" s="19"/>
      <c r="AS97" s="19"/>
      <c r="AT97" s="19"/>
      <c r="AU97" s="19"/>
      <c r="AV97" s="19"/>
      <c r="AW97" s="19"/>
      <c r="AX97" s="19">
        <v>1.0</v>
      </c>
      <c r="AY97" s="19"/>
      <c r="AZ97" s="19">
        <v>1.0</v>
      </c>
      <c r="BA97" s="19"/>
      <c r="BB97" s="19">
        <v>1.0</v>
      </c>
      <c r="BC97" s="19">
        <v>5.0</v>
      </c>
      <c r="BD97" s="19">
        <v>1.0</v>
      </c>
      <c r="BE97" s="19">
        <v>2.0</v>
      </c>
      <c r="BF97" s="19"/>
      <c r="BG97" s="19"/>
      <c r="BH97" s="19"/>
      <c r="BI97" s="19"/>
      <c r="BJ97" s="19"/>
      <c r="BK97" s="19"/>
      <c r="BL97" s="13">
        <f t="shared" si="22"/>
        <v>22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2.0</v>
      </c>
      <c r="H98" s="19">
        <v>0.0</v>
      </c>
      <c r="I98" s="19">
        <v>0.0</v>
      </c>
      <c r="J98" s="19">
        <v>1.0</v>
      </c>
      <c r="K98" s="19">
        <v>1.0</v>
      </c>
      <c r="L98" s="19"/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>
        <v>1.0</v>
      </c>
      <c r="BC98" s="19"/>
      <c r="BD98" s="19"/>
      <c r="BE98" s="19"/>
      <c r="BF98" s="19"/>
      <c r="BG98" s="19"/>
      <c r="BH98" s="19"/>
      <c r="BI98" s="19"/>
      <c r="BJ98" s="19"/>
      <c r="BK98" s="19"/>
      <c r="BL98" s="13">
        <f t="shared" si="22"/>
        <v>6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/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1.0</v>
      </c>
      <c r="L100" s="19"/>
      <c r="M100" s="19">
        <v>0.0</v>
      </c>
      <c r="N100" s="19">
        <v>0.0</v>
      </c>
      <c r="O100" s="19">
        <v>0.0</v>
      </c>
      <c r="P100" s="19">
        <v>1.0</v>
      </c>
      <c r="Q100" s="19">
        <v>0.0</v>
      </c>
      <c r="R100" s="19">
        <v>0.0</v>
      </c>
      <c r="S100" s="19">
        <v>0.0</v>
      </c>
      <c r="T100" s="19"/>
      <c r="U100" s="19">
        <v>1.0</v>
      </c>
      <c r="V100" s="19"/>
      <c r="W100" s="19"/>
      <c r="X100" s="19"/>
      <c r="Y100" s="19">
        <v>1.0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>
        <v>1.0</v>
      </c>
      <c r="AT100" s="19"/>
      <c r="AU100" s="19"/>
      <c r="AV100" s="19"/>
      <c r="AW100" s="19"/>
      <c r="AX100" s="19"/>
      <c r="AY100" s="19"/>
      <c r="AZ100" s="19"/>
      <c r="BA100" s="19"/>
      <c r="BB100" s="19"/>
      <c r="BC100" s="19">
        <v>1.0</v>
      </c>
      <c r="BD100" s="19"/>
      <c r="BE100" s="19"/>
      <c r="BF100" s="19"/>
      <c r="BG100" s="19"/>
      <c r="BH100" s="19"/>
      <c r="BI100" s="19"/>
      <c r="BJ100" s="19"/>
      <c r="BK100" s="19">
        <v>1.0</v>
      </c>
      <c r="BL100" s="13">
        <f t="shared" si="22"/>
        <v>8</v>
      </c>
    </row>
    <row r="101" ht="12.75" customHeight="1">
      <c r="A101" s="18"/>
      <c r="B101" s="70"/>
      <c r="C101" s="71"/>
      <c r="D101" s="73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3">
        <f t="shared" si="22"/>
        <v>0</v>
      </c>
    </row>
    <row r="102" ht="12.75" customHeight="1">
      <c r="A102" s="18"/>
      <c r="B102" s="70"/>
      <c r="C102" s="71"/>
      <c r="D102" s="7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BK103" si="23">SUM(E93:E100)</f>
        <v>5</v>
      </c>
      <c r="F103" s="13">
        <f t="shared" si="23"/>
        <v>10</v>
      </c>
      <c r="G103" s="13">
        <f t="shared" si="23"/>
        <v>17</v>
      </c>
      <c r="H103" s="13">
        <f t="shared" si="23"/>
        <v>2</v>
      </c>
      <c r="I103" s="13">
        <f t="shared" si="23"/>
        <v>10</v>
      </c>
      <c r="J103" s="13">
        <f t="shared" si="23"/>
        <v>17</v>
      </c>
      <c r="K103" s="13">
        <f t="shared" si="23"/>
        <v>4</v>
      </c>
      <c r="L103" s="13">
        <f t="shared" si="23"/>
        <v>8</v>
      </c>
      <c r="M103" s="13">
        <f t="shared" si="23"/>
        <v>3</v>
      </c>
      <c r="N103" s="13">
        <f t="shared" si="23"/>
        <v>1</v>
      </c>
      <c r="O103" s="13">
        <f t="shared" si="23"/>
        <v>3</v>
      </c>
      <c r="P103" s="13">
        <f t="shared" si="23"/>
        <v>3</v>
      </c>
      <c r="Q103" s="13">
        <f t="shared" si="23"/>
        <v>1</v>
      </c>
      <c r="R103" s="13">
        <f t="shared" si="23"/>
        <v>0</v>
      </c>
      <c r="S103" s="13">
        <f t="shared" si="23"/>
        <v>5</v>
      </c>
      <c r="T103" s="13">
        <f t="shared" si="23"/>
        <v>2</v>
      </c>
      <c r="U103" s="13">
        <f t="shared" si="23"/>
        <v>5</v>
      </c>
      <c r="V103" s="13">
        <f t="shared" si="23"/>
        <v>2</v>
      </c>
      <c r="W103" s="13">
        <f t="shared" si="23"/>
        <v>2</v>
      </c>
      <c r="X103" s="13">
        <f t="shared" si="23"/>
        <v>3</v>
      </c>
      <c r="Y103" s="13">
        <f t="shared" si="23"/>
        <v>5</v>
      </c>
      <c r="Z103" s="13">
        <f t="shared" si="23"/>
        <v>5</v>
      </c>
      <c r="AA103" s="13">
        <f t="shared" si="23"/>
        <v>3</v>
      </c>
      <c r="AB103" s="13">
        <f t="shared" si="23"/>
        <v>2</v>
      </c>
      <c r="AC103" s="13">
        <f t="shared" si="23"/>
        <v>0</v>
      </c>
      <c r="AD103" s="13">
        <f t="shared" si="23"/>
        <v>1</v>
      </c>
      <c r="AE103" s="13">
        <f t="shared" si="23"/>
        <v>1</v>
      </c>
      <c r="AF103" s="13">
        <f t="shared" si="23"/>
        <v>1</v>
      </c>
      <c r="AG103" s="13">
        <f t="shared" si="23"/>
        <v>1</v>
      </c>
      <c r="AH103" s="13">
        <f t="shared" si="23"/>
        <v>2</v>
      </c>
      <c r="AI103" s="13">
        <f t="shared" si="23"/>
        <v>1</v>
      </c>
      <c r="AJ103" s="13">
        <f t="shared" si="23"/>
        <v>3</v>
      </c>
      <c r="AK103" s="13">
        <f t="shared" si="23"/>
        <v>1</v>
      </c>
      <c r="AL103" s="13">
        <f t="shared" si="23"/>
        <v>6</v>
      </c>
      <c r="AM103" s="13">
        <f t="shared" si="23"/>
        <v>5</v>
      </c>
      <c r="AN103" s="13">
        <f t="shared" si="23"/>
        <v>5</v>
      </c>
      <c r="AO103" s="13">
        <f t="shared" si="23"/>
        <v>1</v>
      </c>
      <c r="AP103" s="13">
        <f t="shared" si="23"/>
        <v>3</v>
      </c>
      <c r="AQ103" s="13">
        <f t="shared" si="23"/>
        <v>0</v>
      </c>
      <c r="AR103" s="13">
        <f t="shared" si="23"/>
        <v>1</v>
      </c>
      <c r="AS103" s="13">
        <f t="shared" si="23"/>
        <v>8</v>
      </c>
      <c r="AT103" s="13">
        <f t="shared" si="23"/>
        <v>1</v>
      </c>
      <c r="AU103" s="13">
        <f t="shared" si="23"/>
        <v>0</v>
      </c>
      <c r="AV103" s="13">
        <f t="shared" si="23"/>
        <v>4</v>
      </c>
      <c r="AW103" s="13">
        <f t="shared" si="23"/>
        <v>0</v>
      </c>
      <c r="AX103" s="13">
        <f t="shared" si="23"/>
        <v>2</v>
      </c>
      <c r="AY103" s="13">
        <f t="shared" si="23"/>
        <v>1</v>
      </c>
      <c r="AZ103" s="13">
        <f t="shared" si="23"/>
        <v>3</v>
      </c>
      <c r="BA103" s="13">
        <f t="shared" si="23"/>
        <v>0</v>
      </c>
      <c r="BB103" s="13">
        <f t="shared" si="23"/>
        <v>6</v>
      </c>
      <c r="BC103" s="13">
        <f t="shared" si="23"/>
        <v>13</v>
      </c>
      <c r="BD103" s="13">
        <f t="shared" si="23"/>
        <v>4</v>
      </c>
      <c r="BE103" s="13">
        <f t="shared" si="23"/>
        <v>16</v>
      </c>
      <c r="BF103" s="13">
        <f t="shared" si="23"/>
        <v>18</v>
      </c>
      <c r="BG103" s="13">
        <f t="shared" si="23"/>
        <v>1</v>
      </c>
      <c r="BH103" s="13">
        <f t="shared" si="23"/>
        <v>0</v>
      </c>
      <c r="BI103" s="13">
        <f t="shared" si="23"/>
        <v>0</v>
      </c>
      <c r="BJ103" s="13">
        <f t="shared" si="23"/>
        <v>0</v>
      </c>
      <c r="BK103" s="13">
        <f t="shared" si="23"/>
        <v>5</v>
      </c>
      <c r="BL103" s="13">
        <f t="shared" si="22"/>
        <v>232</v>
      </c>
    </row>
    <row r="104" ht="12.75" customHeight="1">
      <c r="A104" s="45"/>
      <c r="B104" s="44"/>
      <c r="C104" s="44"/>
      <c r="D104" s="44"/>
      <c r="E104" s="4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2.0</v>
      </c>
      <c r="P105" s="19">
        <v>0.0</v>
      </c>
      <c r="Q105" s="19">
        <v>0.0</v>
      </c>
      <c r="R105" s="19">
        <v>0.0</v>
      </c>
      <c r="S105" s="19">
        <v>0.0</v>
      </c>
      <c r="T105" s="19"/>
      <c r="U105" s="19"/>
      <c r="V105" s="19"/>
      <c r="W105" s="19"/>
      <c r="X105" s="19"/>
      <c r="Y105" s="19"/>
      <c r="Z105" s="19"/>
      <c r="AA105" s="19"/>
      <c r="AB105" s="19">
        <v>1.0</v>
      </c>
      <c r="AC105" s="19"/>
      <c r="AD105" s="19"/>
      <c r="AE105" s="19"/>
      <c r="AF105" s="19"/>
      <c r="AG105" s="19"/>
      <c r="AH105" s="19"/>
      <c r="AI105" s="19"/>
      <c r="AJ105" s="19">
        <v>1.0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>
        <v>1.0</v>
      </c>
      <c r="AV105" s="19"/>
      <c r="AW105" s="19"/>
      <c r="AX105" s="19"/>
      <c r="AY105" s="19">
        <v>1.0</v>
      </c>
      <c r="AZ105" s="19"/>
      <c r="BA105" s="19"/>
      <c r="BB105" s="19"/>
      <c r="BC105" s="19"/>
      <c r="BD105" s="19">
        <v>1.0</v>
      </c>
      <c r="BE105" s="19"/>
      <c r="BF105" s="19">
        <v>1.0</v>
      </c>
      <c r="BG105" s="19"/>
      <c r="BH105" s="19"/>
      <c r="BI105" s="19"/>
      <c r="BJ105" s="19"/>
      <c r="BK105" s="19">
        <v>2.0</v>
      </c>
      <c r="BL105" s="13">
        <f t="shared" ref="BL105:BL115" si="24">SUM(E105:BK105)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2.0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>
        <v>1.0</v>
      </c>
      <c r="AP106" s="19"/>
      <c r="AQ106" s="19"/>
      <c r="AR106" s="19"/>
      <c r="AS106" s="19"/>
      <c r="AT106" s="19"/>
      <c r="AU106" s="19">
        <v>1.0</v>
      </c>
      <c r="AV106" s="19"/>
      <c r="AW106" s="19"/>
      <c r="AX106" s="19"/>
      <c r="AY106" s="19"/>
      <c r="AZ106" s="19"/>
      <c r="BA106" s="19"/>
      <c r="BB106" s="19"/>
      <c r="BC106" s="19">
        <v>2.0</v>
      </c>
      <c r="BD106" s="19"/>
      <c r="BE106" s="19">
        <v>1.0</v>
      </c>
      <c r="BF106" s="19"/>
      <c r="BG106" s="19">
        <v>1.0</v>
      </c>
      <c r="BH106" s="19"/>
      <c r="BI106" s="19"/>
      <c r="BJ106" s="19"/>
      <c r="BK106" s="19">
        <v>2.0</v>
      </c>
      <c r="BL106" s="13">
        <f t="shared" si="24"/>
        <v>13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>
        <v>1.0</v>
      </c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>
        <v>1.0</v>
      </c>
      <c r="AS108" s="19"/>
      <c r="AT108" s="19"/>
      <c r="AU108" s="19"/>
      <c r="AV108" s="19"/>
      <c r="AW108" s="19"/>
      <c r="AX108" s="19"/>
      <c r="AY108" s="19"/>
      <c r="AZ108" s="19"/>
      <c r="BA108" s="19"/>
      <c r="BB108" s="19">
        <v>1.0</v>
      </c>
      <c r="BC108" s="19"/>
      <c r="BD108" s="19"/>
      <c r="BE108" s="19"/>
      <c r="BF108" s="19"/>
      <c r="BG108" s="19"/>
      <c r="BH108" s="19"/>
      <c r="BI108" s="19"/>
      <c r="BJ108" s="19"/>
      <c r="BK108" s="19"/>
      <c r="BL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>
        <v>1.0</v>
      </c>
      <c r="BD109" s="19"/>
      <c r="BE109" s="19"/>
      <c r="BF109" s="19"/>
      <c r="BG109" s="19"/>
      <c r="BH109" s="19"/>
      <c r="BI109" s="19"/>
      <c r="BJ109" s="19"/>
      <c r="BK109" s="19"/>
      <c r="BL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3">
        <f t="shared" si="24"/>
        <v>0</v>
      </c>
    </row>
    <row r="113" ht="12.75" customHeight="1">
      <c r="A113" s="18"/>
      <c r="B113" s="70"/>
      <c r="C113" s="71"/>
      <c r="D113" s="73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3">
        <f t="shared" si="24"/>
        <v>0</v>
      </c>
    </row>
    <row r="114" ht="12.75" customHeight="1">
      <c r="A114" s="18"/>
      <c r="B114" s="70"/>
      <c r="C114" s="71"/>
      <c r="D114" s="73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K115" si="25">SUM(E105:E112)</f>
        <v>1</v>
      </c>
      <c r="F115" s="13">
        <f t="shared" si="25"/>
        <v>2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1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1</v>
      </c>
      <c r="AP115" s="13">
        <f t="shared" si="25"/>
        <v>0</v>
      </c>
      <c r="AQ115" s="13">
        <f t="shared" si="25"/>
        <v>0</v>
      </c>
      <c r="AR115" s="13">
        <f t="shared" si="25"/>
        <v>1</v>
      </c>
      <c r="AS115" s="13">
        <f t="shared" si="25"/>
        <v>0</v>
      </c>
      <c r="AT115" s="13">
        <f t="shared" si="25"/>
        <v>0</v>
      </c>
      <c r="AU115" s="13">
        <f t="shared" si="25"/>
        <v>3</v>
      </c>
      <c r="AV115" s="13">
        <f t="shared" si="25"/>
        <v>0</v>
      </c>
      <c r="AW115" s="13">
        <f t="shared" si="25"/>
        <v>0</v>
      </c>
      <c r="AX115" s="13">
        <f t="shared" si="25"/>
        <v>0</v>
      </c>
      <c r="AY115" s="13">
        <f t="shared" si="25"/>
        <v>1</v>
      </c>
      <c r="AZ115" s="13">
        <f t="shared" si="25"/>
        <v>0</v>
      </c>
      <c r="BA115" s="13">
        <f t="shared" si="25"/>
        <v>0</v>
      </c>
      <c r="BB115" s="13">
        <f t="shared" si="25"/>
        <v>1</v>
      </c>
      <c r="BC115" s="13">
        <f t="shared" si="25"/>
        <v>3</v>
      </c>
      <c r="BD115" s="13">
        <f t="shared" si="25"/>
        <v>1</v>
      </c>
      <c r="BE115" s="13">
        <f t="shared" si="25"/>
        <v>1</v>
      </c>
      <c r="BF115" s="13">
        <f t="shared" si="25"/>
        <v>1</v>
      </c>
      <c r="BG115" s="13">
        <f t="shared" si="25"/>
        <v>1</v>
      </c>
      <c r="BH115" s="13">
        <f t="shared" si="25"/>
        <v>0</v>
      </c>
      <c r="BI115" s="13">
        <f t="shared" si="25"/>
        <v>0</v>
      </c>
      <c r="BJ115" s="13">
        <f t="shared" si="25"/>
        <v>0</v>
      </c>
      <c r="BK115" s="13">
        <f t="shared" si="25"/>
        <v>4</v>
      </c>
      <c r="BL115" s="13">
        <f t="shared" si="24"/>
        <v>30</v>
      </c>
    </row>
    <row r="116" ht="12.75" customHeight="1">
      <c r="A116" s="24"/>
      <c r="B116" s="15"/>
      <c r="C116" s="15"/>
      <c r="D116" s="15"/>
      <c r="E116" s="16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/>
      <c r="F117" s="19"/>
      <c r="G117" s="19"/>
      <c r="H117" s="19">
        <v>2.0</v>
      </c>
      <c r="I117" s="19">
        <v>1.0</v>
      </c>
      <c r="J117" s="19">
        <v>1.0</v>
      </c>
      <c r="K117" s="19"/>
      <c r="L117" s="19">
        <v>2.0</v>
      </c>
      <c r="M117" s="19">
        <v>1.0</v>
      </c>
      <c r="N117" s="19"/>
      <c r="O117" s="19"/>
      <c r="P117" s="19"/>
      <c r="Q117" s="19">
        <v>2.0</v>
      </c>
      <c r="R117" s="19"/>
      <c r="S117" s="19"/>
      <c r="T117" s="19"/>
      <c r="U117" s="19">
        <v>1.0</v>
      </c>
      <c r="V117" s="19">
        <v>2.0</v>
      </c>
      <c r="W117" s="19">
        <v>2.0</v>
      </c>
      <c r="X117" s="19"/>
      <c r="Y117" s="19">
        <v>1.0</v>
      </c>
      <c r="Z117" s="19">
        <v>3.0</v>
      </c>
      <c r="AA117" s="19"/>
      <c r="AB117" s="19"/>
      <c r="AC117" s="19"/>
      <c r="AD117" s="19"/>
      <c r="AE117" s="19"/>
      <c r="AF117" s="19"/>
      <c r="AG117" s="19">
        <v>1.0</v>
      </c>
      <c r="AH117" s="19"/>
      <c r="AI117" s="19"/>
      <c r="AJ117" s="19">
        <v>1.0</v>
      </c>
      <c r="AK117" s="19"/>
      <c r="AL117" s="19"/>
      <c r="AM117" s="19"/>
      <c r="AN117" s="19"/>
      <c r="AO117" s="19"/>
      <c r="AP117" s="19"/>
      <c r="AQ117" s="19"/>
      <c r="AR117" s="19"/>
      <c r="AS117" s="19">
        <v>1.0</v>
      </c>
      <c r="AT117" s="19"/>
      <c r="AU117" s="19">
        <v>1.0</v>
      </c>
      <c r="AV117" s="19"/>
      <c r="AW117" s="19"/>
      <c r="AX117" s="19"/>
      <c r="AY117" s="19"/>
      <c r="AZ117" s="19"/>
      <c r="BA117" s="19"/>
      <c r="BB117" s="19">
        <v>4.0</v>
      </c>
      <c r="BC117" s="19"/>
      <c r="BD117" s="19">
        <v>1.0</v>
      </c>
      <c r="BE117" s="19">
        <v>1.0</v>
      </c>
      <c r="BF117" s="19"/>
      <c r="BG117" s="19"/>
      <c r="BH117" s="19"/>
      <c r="BI117" s="19"/>
      <c r="BJ117" s="19"/>
      <c r="BK117" s="19">
        <v>1.0</v>
      </c>
      <c r="BL117" s="13">
        <f t="shared" ref="BL117:BL127" si="26">SUM(E117:BK117)</f>
        <v>29</v>
      </c>
      <c r="BM117" s="5"/>
      <c r="BN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/>
      <c r="G118" s="19">
        <v>1.0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>
        <v>1.0</v>
      </c>
      <c r="W118" s="19"/>
      <c r="X118" s="19"/>
      <c r="Y118" s="19"/>
      <c r="Z118" s="19"/>
      <c r="AA118" s="19"/>
      <c r="AB118" s="19">
        <v>1.0</v>
      </c>
      <c r="AC118" s="19">
        <v>2.0</v>
      </c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>
        <v>1.0</v>
      </c>
      <c r="AZ118" s="19"/>
      <c r="BA118" s="19"/>
      <c r="BB118" s="19"/>
      <c r="BC118" s="19"/>
      <c r="BD118" s="19">
        <v>2.0</v>
      </c>
      <c r="BE118" s="19"/>
      <c r="BF118" s="19"/>
      <c r="BG118" s="19"/>
      <c r="BH118" s="19">
        <v>1.0</v>
      </c>
      <c r="BI118" s="19"/>
      <c r="BJ118" s="19"/>
      <c r="BK118" s="19"/>
      <c r="BL118" s="13">
        <f t="shared" si="26"/>
        <v>10</v>
      </c>
      <c r="BM118" s="5"/>
      <c r="BN118" s="5"/>
    </row>
    <row r="119" ht="12.75" customHeight="1">
      <c r="A119" s="18"/>
      <c r="B119" s="55">
        <v>2.0</v>
      </c>
      <c r="C119" s="50" t="s">
        <v>93</v>
      </c>
      <c r="D119" s="57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>
        <v>2.0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3">
        <f t="shared" si="26"/>
        <v>2</v>
      </c>
      <c r="BM119" s="5"/>
      <c r="BN119" s="5"/>
    </row>
    <row r="120" ht="12.75" customHeight="1">
      <c r="A120" s="18"/>
      <c r="B120" s="55">
        <v>3.0</v>
      </c>
      <c r="C120" s="50" t="s">
        <v>94</v>
      </c>
      <c r="D120" s="57"/>
      <c r="E120" s="19"/>
      <c r="F120" s="19"/>
      <c r="G120" s="19"/>
      <c r="H120" s="19"/>
      <c r="I120" s="19"/>
      <c r="J120" s="19"/>
      <c r="K120" s="19">
        <v>1.0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3">
        <f t="shared" si="26"/>
        <v>1</v>
      </c>
      <c r="BM120" s="5"/>
      <c r="BN120" s="5"/>
    </row>
    <row r="121" ht="12.75" customHeight="1">
      <c r="A121" s="18"/>
      <c r="B121" s="70"/>
      <c r="C121" s="71"/>
      <c r="D121" s="73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3">
        <f t="shared" si="26"/>
        <v>0</v>
      </c>
      <c r="BM121" s="5"/>
      <c r="BN121" s="5"/>
    </row>
    <row r="122" ht="12.75" customHeight="1">
      <c r="A122" s="18"/>
      <c r="B122" s="70"/>
      <c r="C122" s="71"/>
      <c r="D122" s="73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3">
        <f t="shared" si="26"/>
        <v>0</v>
      </c>
      <c r="BM122" s="5"/>
      <c r="BN122" s="5"/>
    </row>
    <row r="123" ht="12.75" customHeight="1">
      <c r="A123" s="18"/>
      <c r="B123" s="70"/>
      <c r="C123" s="71"/>
      <c r="D123" s="7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13">
        <f t="shared" si="26"/>
        <v>0</v>
      </c>
      <c r="BM123" s="5"/>
      <c r="BN123" s="5"/>
    </row>
    <row r="124" ht="12.75" customHeight="1">
      <c r="A124" s="18"/>
      <c r="B124" s="70"/>
      <c r="C124" s="71"/>
      <c r="D124" s="7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13">
        <f t="shared" si="26"/>
        <v>0</v>
      </c>
      <c r="BM124" s="5"/>
      <c r="BN124" s="5"/>
    </row>
    <row r="125" ht="12.75" customHeight="1">
      <c r="A125" s="18"/>
      <c r="B125" s="70"/>
      <c r="C125" s="71"/>
      <c r="D125" s="7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13">
        <f t="shared" si="26"/>
        <v>0</v>
      </c>
      <c r="BM125" s="5"/>
      <c r="BN125" s="5"/>
    </row>
    <row r="126" ht="12.75" customHeight="1">
      <c r="A126" s="18"/>
      <c r="B126" s="70"/>
      <c r="C126" s="71"/>
      <c r="D126" s="7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13">
        <f t="shared" si="26"/>
        <v>0</v>
      </c>
      <c r="BM126" s="5"/>
      <c r="BN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BK127" si="27">SUM(E117:E120)</f>
        <v>1</v>
      </c>
      <c r="F127" s="58">
        <f t="shared" si="27"/>
        <v>0</v>
      </c>
      <c r="G127" s="58">
        <f t="shared" si="27"/>
        <v>1</v>
      </c>
      <c r="H127" s="58">
        <f t="shared" si="27"/>
        <v>2</v>
      </c>
      <c r="I127" s="58">
        <f t="shared" si="27"/>
        <v>1</v>
      </c>
      <c r="J127" s="58">
        <f t="shared" si="27"/>
        <v>1</v>
      </c>
      <c r="K127" s="58">
        <f t="shared" si="27"/>
        <v>1</v>
      </c>
      <c r="L127" s="58">
        <f t="shared" si="27"/>
        <v>2</v>
      </c>
      <c r="M127" s="58">
        <f t="shared" si="27"/>
        <v>1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2</v>
      </c>
      <c r="R127" s="58">
        <f t="shared" si="27"/>
        <v>0</v>
      </c>
      <c r="S127" s="58">
        <f t="shared" si="27"/>
        <v>0</v>
      </c>
      <c r="T127" s="58">
        <f t="shared" si="27"/>
        <v>0</v>
      </c>
      <c r="U127" s="58">
        <f t="shared" si="27"/>
        <v>1</v>
      </c>
      <c r="V127" s="58">
        <f t="shared" si="27"/>
        <v>3</v>
      </c>
      <c r="W127" s="58">
        <f t="shared" si="27"/>
        <v>4</v>
      </c>
      <c r="X127" s="58">
        <f t="shared" si="27"/>
        <v>0</v>
      </c>
      <c r="Y127" s="58">
        <f t="shared" si="27"/>
        <v>1</v>
      </c>
      <c r="Z127" s="58">
        <f t="shared" si="27"/>
        <v>3</v>
      </c>
      <c r="AA127" s="58">
        <f t="shared" si="27"/>
        <v>0</v>
      </c>
      <c r="AB127" s="58">
        <f t="shared" si="27"/>
        <v>1</v>
      </c>
      <c r="AC127" s="58">
        <f t="shared" si="27"/>
        <v>2</v>
      </c>
      <c r="AD127" s="58">
        <f t="shared" si="27"/>
        <v>0</v>
      </c>
      <c r="AE127" s="58">
        <f t="shared" si="27"/>
        <v>0</v>
      </c>
      <c r="AF127" s="58">
        <f t="shared" si="27"/>
        <v>0</v>
      </c>
      <c r="AG127" s="58">
        <f t="shared" si="27"/>
        <v>1</v>
      </c>
      <c r="AH127" s="58">
        <f t="shared" si="27"/>
        <v>0</v>
      </c>
      <c r="AI127" s="58">
        <f t="shared" si="27"/>
        <v>0</v>
      </c>
      <c r="AJ127" s="58">
        <f t="shared" si="27"/>
        <v>1</v>
      </c>
      <c r="AK127" s="58">
        <f t="shared" si="27"/>
        <v>0</v>
      </c>
      <c r="AL127" s="58">
        <f t="shared" si="27"/>
        <v>0</v>
      </c>
      <c r="AM127" s="58">
        <f t="shared" si="27"/>
        <v>0</v>
      </c>
      <c r="AN127" s="58">
        <f t="shared" si="27"/>
        <v>0</v>
      </c>
      <c r="AO127" s="58">
        <f t="shared" si="27"/>
        <v>0</v>
      </c>
      <c r="AP127" s="58">
        <f t="shared" si="27"/>
        <v>0</v>
      </c>
      <c r="AQ127" s="58">
        <f t="shared" si="27"/>
        <v>0</v>
      </c>
      <c r="AR127" s="58">
        <f t="shared" si="27"/>
        <v>0</v>
      </c>
      <c r="AS127" s="58">
        <f t="shared" si="27"/>
        <v>1</v>
      </c>
      <c r="AT127" s="58">
        <f t="shared" si="27"/>
        <v>0</v>
      </c>
      <c r="AU127" s="58">
        <f t="shared" si="27"/>
        <v>1</v>
      </c>
      <c r="AV127" s="58">
        <f t="shared" si="27"/>
        <v>0</v>
      </c>
      <c r="AW127" s="58">
        <f t="shared" si="27"/>
        <v>0</v>
      </c>
      <c r="AX127" s="58">
        <f t="shared" si="27"/>
        <v>0</v>
      </c>
      <c r="AY127" s="58">
        <f t="shared" si="27"/>
        <v>1</v>
      </c>
      <c r="AZ127" s="58">
        <f t="shared" si="27"/>
        <v>0</v>
      </c>
      <c r="BA127" s="58">
        <f t="shared" si="27"/>
        <v>0</v>
      </c>
      <c r="BB127" s="58">
        <f t="shared" si="27"/>
        <v>4</v>
      </c>
      <c r="BC127" s="58">
        <f t="shared" si="27"/>
        <v>0</v>
      </c>
      <c r="BD127" s="58">
        <f t="shared" si="27"/>
        <v>3</v>
      </c>
      <c r="BE127" s="58">
        <f t="shared" si="27"/>
        <v>1</v>
      </c>
      <c r="BF127" s="58">
        <f t="shared" si="27"/>
        <v>0</v>
      </c>
      <c r="BG127" s="58">
        <f t="shared" si="27"/>
        <v>0</v>
      </c>
      <c r="BH127" s="58">
        <f t="shared" si="27"/>
        <v>1</v>
      </c>
      <c r="BI127" s="58">
        <f t="shared" si="27"/>
        <v>0</v>
      </c>
      <c r="BJ127" s="58">
        <f t="shared" si="27"/>
        <v>0</v>
      </c>
      <c r="BK127" s="58">
        <f t="shared" si="27"/>
        <v>1</v>
      </c>
      <c r="BL127" s="13">
        <f t="shared" si="26"/>
        <v>42</v>
      </c>
      <c r="BM127" s="5"/>
      <c r="BN127" s="5"/>
    </row>
    <row r="128" ht="12.75" customHeight="1">
      <c r="A128" s="24"/>
      <c r="B128" s="15"/>
      <c r="C128" s="15"/>
      <c r="D128" s="15"/>
      <c r="E128" s="16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5"/>
      <c r="BN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>
        <v>1.0</v>
      </c>
      <c r="H129" s="19">
        <v>3.0</v>
      </c>
      <c r="I129" s="19">
        <v>3.0</v>
      </c>
      <c r="J129" s="19">
        <v>2.0</v>
      </c>
      <c r="K129" s="19">
        <v>1.0</v>
      </c>
      <c r="L129" s="19">
        <v>10.0</v>
      </c>
      <c r="M129" s="19">
        <v>6.0</v>
      </c>
      <c r="N129" s="19"/>
      <c r="O129" s="19">
        <v>1.0</v>
      </c>
      <c r="P129" s="19">
        <v>2.0</v>
      </c>
      <c r="Q129" s="19">
        <v>3.0</v>
      </c>
      <c r="R129" s="19"/>
      <c r="S129" s="19">
        <v>2.0</v>
      </c>
      <c r="T129" s="19"/>
      <c r="U129" s="19">
        <v>3.0</v>
      </c>
      <c r="V129" s="19"/>
      <c r="W129" s="19">
        <v>1.0</v>
      </c>
      <c r="X129" s="19"/>
      <c r="Y129" s="19">
        <v>1.0</v>
      </c>
      <c r="Z129" s="19">
        <v>1.0</v>
      </c>
      <c r="AA129" s="19">
        <v>2.0</v>
      </c>
      <c r="AB129" s="19"/>
      <c r="AC129" s="19"/>
      <c r="AD129" s="19">
        <v>1.0</v>
      </c>
      <c r="AE129" s="19"/>
      <c r="AF129" s="19">
        <v>2.0</v>
      </c>
      <c r="AG129" s="19">
        <v>1.0</v>
      </c>
      <c r="AH129" s="19"/>
      <c r="AI129" s="19"/>
      <c r="AJ129" s="19"/>
      <c r="AK129" s="19"/>
      <c r="AL129" s="19"/>
      <c r="AM129" s="19"/>
      <c r="AN129" s="19">
        <v>1.0</v>
      </c>
      <c r="AO129" s="19">
        <v>1.0</v>
      </c>
      <c r="AP129" s="19"/>
      <c r="AQ129" s="19">
        <v>2.0</v>
      </c>
      <c r="AR129" s="19">
        <v>1.0</v>
      </c>
      <c r="AS129" s="19">
        <v>4.0</v>
      </c>
      <c r="AT129" s="19"/>
      <c r="AU129" s="19"/>
      <c r="AV129" s="19"/>
      <c r="AW129" s="19"/>
      <c r="AX129" s="19"/>
      <c r="AY129" s="19"/>
      <c r="AZ129" s="19">
        <v>1.0</v>
      </c>
      <c r="BA129" s="19"/>
      <c r="BB129" s="19"/>
      <c r="BC129" s="19"/>
      <c r="BD129" s="19"/>
      <c r="BE129" s="19">
        <v>2.0</v>
      </c>
      <c r="BF129" s="19"/>
      <c r="BG129" s="19"/>
      <c r="BH129" s="19"/>
      <c r="BI129" s="19"/>
      <c r="BJ129" s="19"/>
      <c r="BK129" s="19"/>
      <c r="BL129" s="13">
        <f t="shared" ref="BL129:BL139" si="28">SUM(E129:BK129)</f>
        <v>58</v>
      </c>
      <c r="BM129" s="5"/>
      <c r="BN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/>
      <c r="F130" s="19"/>
      <c r="G130" s="19">
        <v>1.0</v>
      </c>
      <c r="H130" s="19">
        <v>7.0</v>
      </c>
      <c r="I130" s="19">
        <v>1.0</v>
      </c>
      <c r="J130" s="19">
        <v>2.0</v>
      </c>
      <c r="K130" s="19">
        <v>1.0</v>
      </c>
      <c r="L130" s="19">
        <v>11.0</v>
      </c>
      <c r="M130" s="19">
        <v>14.0</v>
      </c>
      <c r="N130" s="19"/>
      <c r="O130" s="19">
        <v>5.0</v>
      </c>
      <c r="P130" s="19">
        <v>7.0</v>
      </c>
      <c r="Q130" s="19">
        <v>3.0</v>
      </c>
      <c r="R130" s="19">
        <v>2.0</v>
      </c>
      <c r="S130" s="19">
        <v>1.0</v>
      </c>
      <c r="T130" s="19">
        <v>1.0</v>
      </c>
      <c r="U130" s="19">
        <v>2.0</v>
      </c>
      <c r="V130" s="19"/>
      <c r="W130" s="19"/>
      <c r="X130" s="19"/>
      <c r="Y130" s="19">
        <v>1.0</v>
      </c>
      <c r="Z130" s="19">
        <v>1.0</v>
      </c>
      <c r="AA130" s="19"/>
      <c r="AB130" s="19">
        <v>5.0</v>
      </c>
      <c r="AC130" s="19"/>
      <c r="AD130" s="19">
        <v>9.0</v>
      </c>
      <c r="AE130" s="19">
        <v>1.0</v>
      </c>
      <c r="AF130" s="19">
        <v>9.0</v>
      </c>
      <c r="AG130" s="19">
        <v>6.0</v>
      </c>
      <c r="AH130" s="19"/>
      <c r="AI130" s="19"/>
      <c r="AJ130" s="19"/>
      <c r="AK130" s="19"/>
      <c r="AL130" s="19"/>
      <c r="AM130" s="19"/>
      <c r="AN130" s="19">
        <v>1.0</v>
      </c>
      <c r="AO130" s="19">
        <v>2.0</v>
      </c>
      <c r="AP130" s="19"/>
      <c r="AQ130" s="19">
        <v>2.0</v>
      </c>
      <c r="AR130" s="19">
        <v>3.0</v>
      </c>
      <c r="AS130" s="19">
        <v>4.0</v>
      </c>
      <c r="AT130" s="19"/>
      <c r="AU130" s="19"/>
      <c r="AV130" s="19">
        <v>1.0</v>
      </c>
      <c r="AW130" s="19">
        <v>1.0</v>
      </c>
      <c r="AX130" s="19">
        <v>1.0</v>
      </c>
      <c r="AY130" s="19">
        <v>2.0</v>
      </c>
      <c r="AZ130" s="19"/>
      <c r="BA130" s="19"/>
      <c r="BB130" s="19">
        <v>2.0</v>
      </c>
      <c r="BC130" s="19">
        <v>1.0</v>
      </c>
      <c r="BD130" s="19"/>
      <c r="BE130" s="19">
        <v>3.0</v>
      </c>
      <c r="BF130" s="19">
        <v>1.0</v>
      </c>
      <c r="BG130" s="19">
        <v>1.0</v>
      </c>
      <c r="BH130" s="19">
        <v>1.0</v>
      </c>
      <c r="BI130" s="19"/>
      <c r="BJ130" s="19"/>
      <c r="BK130" s="19"/>
      <c r="BL130" s="13">
        <f t="shared" si="28"/>
        <v>116</v>
      </c>
      <c r="BM130" s="1"/>
      <c r="BN130" s="1"/>
    </row>
    <row r="131" ht="12.75" customHeight="1">
      <c r="A131" s="18"/>
      <c r="B131" s="55">
        <v>2.0</v>
      </c>
      <c r="C131" s="50" t="s">
        <v>98</v>
      </c>
      <c r="D131" s="56"/>
      <c r="E131" s="19"/>
      <c r="F131" s="19"/>
      <c r="G131" s="19"/>
      <c r="H131" s="19">
        <v>1.0</v>
      </c>
      <c r="I131" s="19"/>
      <c r="J131" s="19"/>
      <c r="K131" s="19"/>
      <c r="L131" s="19"/>
      <c r="M131" s="19">
        <v>1.0</v>
      </c>
      <c r="N131" s="19">
        <v>1.0</v>
      </c>
      <c r="O131" s="19">
        <v>1.0</v>
      </c>
      <c r="P131" s="19"/>
      <c r="Q131" s="19">
        <v>1.0</v>
      </c>
      <c r="R131" s="19"/>
      <c r="S131" s="19"/>
      <c r="T131" s="19"/>
      <c r="U131" s="19">
        <v>1.0</v>
      </c>
      <c r="V131" s="19">
        <v>1.0</v>
      </c>
      <c r="W131" s="19"/>
      <c r="X131" s="19">
        <v>1.0</v>
      </c>
      <c r="Y131" s="19"/>
      <c r="Z131" s="19">
        <v>2.0</v>
      </c>
      <c r="AA131" s="19"/>
      <c r="AB131" s="19"/>
      <c r="AC131" s="19"/>
      <c r="AD131" s="19">
        <v>3.0</v>
      </c>
      <c r="AE131" s="19">
        <v>1.0</v>
      </c>
      <c r="AF131" s="19">
        <v>2.0</v>
      </c>
      <c r="AG131" s="19"/>
      <c r="AH131" s="19"/>
      <c r="AI131" s="19"/>
      <c r="AJ131" s="19"/>
      <c r="AK131" s="19"/>
      <c r="AL131" s="19"/>
      <c r="AM131" s="19"/>
      <c r="AN131" s="19"/>
      <c r="AO131" s="19">
        <v>10.0</v>
      </c>
      <c r="AP131" s="19">
        <v>2.0</v>
      </c>
      <c r="AQ131" s="19">
        <v>3.0</v>
      </c>
      <c r="AR131" s="19">
        <v>1.0</v>
      </c>
      <c r="AS131" s="19"/>
      <c r="AT131" s="19"/>
      <c r="AU131" s="19"/>
      <c r="AV131" s="19"/>
      <c r="AW131" s="19"/>
      <c r="AX131" s="19"/>
      <c r="AY131" s="19">
        <v>1.0</v>
      </c>
      <c r="AZ131" s="19"/>
      <c r="BA131" s="19"/>
      <c r="BB131" s="19">
        <v>1.0</v>
      </c>
      <c r="BC131" s="19"/>
      <c r="BD131" s="19"/>
      <c r="BE131" s="19">
        <v>2.0</v>
      </c>
      <c r="BF131" s="19">
        <v>2.0</v>
      </c>
      <c r="BG131" s="19"/>
      <c r="BH131" s="19"/>
      <c r="BI131" s="19"/>
      <c r="BJ131" s="19"/>
      <c r="BK131" s="19">
        <v>2.0</v>
      </c>
      <c r="BL131" s="13">
        <f t="shared" si="28"/>
        <v>40</v>
      </c>
      <c r="BM131" s="52"/>
      <c r="BN131" s="52"/>
    </row>
    <row r="132" ht="12.75" customHeight="1">
      <c r="A132" s="18"/>
      <c r="B132" s="55">
        <v>3.0</v>
      </c>
      <c r="C132" s="50" t="s">
        <v>99</v>
      </c>
      <c r="D132" s="56"/>
      <c r="E132" s="19"/>
      <c r="F132" s="19"/>
      <c r="G132" s="19"/>
      <c r="H132" s="19"/>
      <c r="I132" s="19"/>
      <c r="J132" s="19"/>
      <c r="K132" s="19">
        <v>1.0</v>
      </c>
      <c r="L132" s="19"/>
      <c r="M132" s="19">
        <v>2.0</v>
      </c>
      <c r="N132" s="19"/>
      <c r="O132" s="19">
        <v>1.0</v>
      </c>
      <c r="P132" s="19"/>
      <c r="Q132" s="19"/>
      <c r="R132" s="19"/>
      <c r="S132" s="19"/>
      <c r="T132" s="19"/>
      <c r="U132" s="19">
        <v>2.0</v>
      </c>
      <c r="V132" s="19"/>
      <c r="W132" s="19"/>
      <c r="X132" s="19"/>
      <c r="Y132" s="19"/>
      <c r="Z132" s="19"/>
      <c r="AA132" s="19"/>
      <c r="AB132" s="19">
        <v>1.0</v>
      </c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>
        <v>2.0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>
        <v>1.0</v>
      </c>
      <c r="BE132" s="19"/>
      <c r="BF132" s="19">
        <v>1.0</v>
      </c>
      <c r="BG132" s="19"/>
      <c r="BH132" s="19"/>
      <c r="BI132" s="19"/>
      <c r="BJ132" s="19"/>
      <c r="BK132" s="19"/>
      <c r="BL132" s="13">
        <f t="shared" si="28"/>
        <v>11</v>
      </c>
      <c r="BM132" s="5"/>
      <c r="BN132" s="5"/>
    </row>
    <row r="133" ht="12.75" customHeight="1">
      <c r="A133" s="18"/>
      <c r="B133" s="55">
        <v>4.0</v>
      </c>
      <c r="C133" s="50" t="s">
        <v>100</v>
      </c>
      <c r="D133" s="56"/>
      <c r="E133" s="19"/>
      <c r="F133" s="19"/>
      <c r="G133" s="19"/>
      <c r="H133" s="19">
        <v>1.0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3">
        <f t="shared" si="28"/>
        <v>1</v>
      </c>
      <c r="BM133" s="5"/>
      <c r="BN133" s="5"/>
    </row>
    <row r="134" ht="12.75" customHeight="1">
      <c r="A134" s="18"/>
      <c r="B134" s="55">
        <v>5.0</v>
      </c>
      <c r="C134" s="50" t="s">
        <v>101</v>
      </c>
      <c r="D134" s="56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>
        <v>3.0</v>
      </c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3">
        <f t="shared" si="28"/>
        <v>3</v>
      </c>
      <c r="BM134" s="5"/>
      <c r="BN134" s="5"/>
    </row>
    <row r="135" ht="12.75" customHeight="1">
      <c r="A135" s="18"/>
      <c r="B135" s="55">
        <v>6.0</v>
      </c>
      <c r="C135" s="50" t="s">
        <v>102</v>
      </c>
      <c r="D135" s="57"/>
      <c r="E135" s="19"/>
      <c r="F135" s="19"/>
      <c r="G135" s="19"/>
      <c r="H135" s="19"/>
      <c r="I135" s="19"/>
      <c r="J135" s="19"/>
      <c r="K135" s="19"/>
      <c r="L135" s="19">
        <v>1.0</v>
      </c>
      <c r="M135" s="19"/>
      <c r="N135" s="19"/>
      <c r="O135" s="19"/>
      <c r="P135" s="19">
        <v>2.0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3">
        <f t="shared" si="28"/>
        <v>3</v>
      </c>
      <c r="BM135" s="5"/>
      <c r="BN135" s="5"/>
    </row>
    <row r="136" ht="12.75" customHeight="1">
      <c r="A136" s="18"/>
      <c r="B136" s="55">
        <v>7.0</v>
      </c>
      <c r="C136" s="50" t="s">
        <v>103</v>
      </c>
      <c r="D136" s="56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>
        <v>1.0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3">
        <f t="shared" si="28"/>
        <v>1</v>
      </c>
      <c r="BM136" s="5"/>
      <c r="BN136" s="5"/>
    </row>
    <row r="137" ht="12.75" customHeight="1">
      <c r="A137" s="18"/>
      <c r="B137" s="70"/>
      <c r="C137" s="71"/>
      <c r="D137" s="72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3">
        <f t="shared" si="28"/>
        <v>0</v>
      </c>
      <c r="BM137" s="5"/>
      <c r="BN137" s="5"/>
    </row>
    <row r="138" ht="12.75" customHeight="1">
      <c r="A138" s="18"/>
      <c r="B138" s="70"/>
      <c r="C138" s="71"/>
      <c r="D138" s="72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3">
        <f t="shared" si="28"/>
        <v>0</v>
      </c>
      <c r="BM138" s="5"/>
      <c r="BN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BK139" si="29">SUM(E129:E136)</f>
        <v>0</v>
      </c>
      <c r="F139" s="13">
        <f t="shared" si="29"/>
        <v>0</v>
      </c>
      <c r="G139" s="13">
        <f t="shared" si="29"/>
        <v>2</v>
      </c>
      <c r="H139" s="13">
        <f t="shared" si="29"/>
        <v>12</v>
      </c>
      <c r="I139" s="13">
        <f t="shared" si="29"/>
        <v>4</v>
      </c>
      <c r="J139" s="13">
        <f t="shared" si="29"/>
        <v>4</v>
      </c>
      <c r="K139" s="13">
        <f t="shared" si="29"/>
        <v>3</v>
      </c>
      <c r="L139" s="13">
        <f t="shared" si="29"/>
        <v>22</v>
      </c>
      <c r="M139" s="13">
        <f t="shared" si="29"/>
        <v>23</v>
      </c>
      <c r="N139" s="13">
        <f t="shared" si="29"/>
        <v>1</v>
      </c>
      <c r="O139" s="13">
        <f t="shared" si="29"/>
        <v>8</v>
      </c>
      <c r="P139" s="13">
        <f t="shared" si="29"/>
        <v>11</v>
      </c>
      <c r="Q139" s="13">
        <f t="shared" si="29"/>
        <v>7</v>
      </c>
      <c r="R139" s="13">
        <f t="shared" si="29"/>
        <v>2</v>
      </c>
      <c r="S139" s="13">
        <f t="shared" si="29"/>
        <v>3</v>
      </c>
      <c r="T139" s="13">
        <f t="shared" si="29"/>
        <v>1</v>
      </c>
      <c r="U139" s="13">
        <f t="shared" si="29"/>
        <v>8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3</v>
      </c>
      <c r="Z139" s="13">
        <f t="shared" si="29"/>
        <v>4</v>
      </c>
      <c r="AA139" s="13">
        <f t="shared" si="29"/>
        <v>2</v>
      </c>
      <c r="AB139" s="13">
        <f t="shared" si="29"/>
        <v>6</v>
      </c>
      <c r="AC139" s="13">
        <f t="shared" si="29"/>
        <v>0</v>
      </c>
      <c r="AD139" s="13">
        <f t="shared" si="29"/>
        <v>13</v>
      </c>
      <c r="AE139" s="13">
        <f t="shared" si="29"/>
        <v>5</v>
      </c>
      <c r="AF139" s="13">
        <f t="shared" si="29"/>
        <v>13</v>
      </c>
      <c r="AG139" s="13">
        <f t="shared" si="29"/>
        <v>7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0</v>
      </c>
      <c r="AL139" s="13">
        <f t="shared" si="29"/>
        <v>0</v>
      </c>
      <c r="AM139" s="13">
        <f t="shared" si="29"/>
        <v>0</v>
      </c>
      <c r="AN139" s="13">
        <f t="shared" si="29"/>
        <v>2</v>
      </c>
      <c r="AO139" s="13">
        <f t="shared" si="29"/>
        <v>15</v>
      </c>
      <c r="AP139" s="13">
        <f t="shared" si="29"/>
        <v>2</v>
      </c>
      <c r="AQ139" s="13">
        <f t="shared" si="29"/>
        <v>7</v>
      </c>
      <c r="AR139" s="13">
        <f t="shared" si="29"/>
        <v>5</v>
      </c>
      <c r="AS139" s="13">
        <f t="shared" si="29"/>
        <v>8</v>
      </c>
      <c r="AT139" s="13">
        <f t="shared" si="29"/>
        <v>0</v>
      </c>
      <c r="AU139" s="13">
        <f t="shared" si="29"/>
        <v>0</v>
      </c>
      <c r="AV139" s="13">
        <f t="shared" si="29"/>
        <v>1</v>
      </c>
      <c r="AW139" s="13">
        <f t="shared" si="29"/>
        <v>1</v>
      </c>
      <c r="AX139" s="13">
        <f t="shared" si="29"/>
        <v>1</v>
      </c>
      <c r="AY139" s="13">
        <f t="shared" si="29"/>
        <v>3</v>
      </c>
      <c r="AZ139" s="13">
        <f t="shared" si="29"/>
        <v>1</v>
      </c>
      <c r="BA139" s="13">
        <f t="shared" si="29"/>
        <v>0</v>
      </c>
      <c r="BB139" s="13">
        <f t="shared" si="29"/>
        <v>3</v>
      </c>
      <c r="BC139" s="13">
        <f t="shared" si="29"/>
        <v>1</v>
      </c>
      <c r="BD139" s="13">
        <f t="shared" si="29"/>
        <v>1</v>
      </c>
      <c r="BE139" s="13">
        <f t="shared" si="29"/>
        <v>7</v>
      </c>
      <c r="BF139" s="13">
        <f t="shared" si="29"/>
        <v>4</v>
      </c>
      <c r="BG139" s="13">
        <f t="shared" si="29"/>
        <v>1</v>
      </c>
      <c r="BH139" s="13">
        <f t="shared" si="29"/>
        <v>1</v>
      </c>
      <c r="BI139" s="13">
        <f t="shared" si="29"/>
        <v>0</v>
      </c>
      <c r="BJ139" s="13">
        <f t="shared" si="29"/>
        <v>0</v>
      </c>
      <c r="BK139" s="13">
        <f t="shared" si="29"/>
        <v>2</v>
      </c>
      <c r="BL139" s="13">
        <f t="shared" si="28"/>
        <v>233</v>
      </c>
      <c r="BM139" s="5"/>
      <c r="BN139" s="5"/>
    </row>
    <row r="140" ht="12.75" customHeight="1">
      <c r="A140" s="24"/>
      <c r="B140" s="15"/>
      <c r="C140" s="15"/>
      <c r="D140" s="15"/>
      <c r="E140" s="16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5"/>
      <c r="BN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1.0</v>
      </c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3">
        <f t="shared" ref="BL141:BL151" si="30">SUM(E141:BK141)</f>
        <v>1</v>
      </c>
      <c r="BM141" s="1"/>
      <c r="BN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1.0</v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>
        <v>1.0</v>
      </c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3">
        <f t="shared" si="30"/>
        <v>2</v>
      </c>
      <c r="BM142" s="52"/>
      <c r="BN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>
        <v>1.0</v>
      </c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3">
        <f t="shared" si="30"/>
        <v>1</v>
      </c>
      <c r="BM143" s="5"/>
      <c r="BN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1.0</v>
      </c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>
        <v>1.0</v>
      </c>
      <c r="BE144" s="19"/>
      <c r="BF144" s="19"/>
      <c r="BG144" s="19"/>
      <c r="BH144" s="19"/>
      <c r="BI144" s="19"/>
      <c r="BJ144" s="19"/>
      <c r="BK144" s="19"/>
      <c r="BL144" s="13">
        <f t="shared" si="30"/>
        <v>2</v>
      </c>
      <c r="BM144" s="5"/>
      <c r="BN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>
        <v>1.0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3">
        <f t="shared" si="30"/>
        <v>1</v>
      </c>
      <c r="BM145" s="5"/>
      <c r="BN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3">
        <f t="shared" si="30"/>
        <v>0</v>
      </c>
      <c r="BM146" s="5"/>
      <c r="BN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3">
        <f t="shared" si="30"/>
        <v>0</v>
      </c>
      <c r="BM147" s="5"/>
      <c r="BN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3">
        <f t="shared" si="30"/>
        <v>0</v>
      </c>
      <c r="BM148" s="5"/>
      <c r="BN148" s="5"/>
    </row>
    <row r="149" ht="12.75" customHeight="1">
      <c r="A149" s="18"/>
      <c r="B149" s="70"/>
      <c r="C149" s="71"/>
      <c r="D149" s="73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3">
        <f t="shared" si="30"/>
        <v>0</v>
      </c>
      <c r="BM149" s="5"/>
      <c r="BN149" s="5"/>
    </row>
    <row r="150" ht="12.75" customHeight="1">
      <c r="A150" s="18"/>
      <c r="B150" s="70"/>
      <c r="C150" s="71"/>
      <c r="D150" s="73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3">
        <f t="shared" si="30"/>
        <v>0</v>
      </c>
      <c r="BM150" s="5"/>
      <c r="BN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K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2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1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0</v>
      </c>
      <c r="BL151" s="13">
        <f t="shared" si="30"/>
        <v>7</v>
      </c>
      <c r="BM151" s="1"/>
      <c r="BN151" s="1"/>
    </row>
    <row r="152" ht="12.75" customHeight="1">
      <c r="A152" s="24"/>
      <c r="B152" s="15"/>
      <c r="C152" s="15"/>
      <c r="D152" s="15"/>
      <c r="E152" s="16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13"/>
      <c r="BM152" s="52"/>
      <c r="BN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/>
      <c r="F153" s="19"/>
      <c r="G153" s="19">
        <v>1.0</v>
      </c>
      <c r="H153" s="19"/>
      <c r="I153" s="19"/>
      <c r="J153" s="19"/>
      <c r="K153" s="19"/>
      <c r="L153" s="19">
        <v>2.0</v>
      </c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>
        <v>1.0</v>
      </c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>
        <v>1.0</v>
      </c>
      <c r="BB153" s="19"/>
      <c r="BC153" s="19">
        <v>1.0</v>
      </c>
      <c r="BD153" s="19"/>
      <c r="BE153" s="19"/>
      <c r="BF153" s="19"/>
      <c r="BG153" s="19"/>
      <c r="BH153" s="19"/>
      <c r="BI153" s="19"/>
      <c r="BJ153" s="19"/>
      <c r="BK153" s="19"/>
      <c r="BL153" s="13">
        <f t="shared" ref="BL153:BL163" si="32">SUM(E153:BK153)</f>
        <v>6</v>
      </c>
      <c r="BM153" s="5"/>
      <c r="BN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>
        <v>1.0</v>
      </c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>
        <v>1.0</v>
      </c>
      <c r="BC154" s="19"/>
      <c r="BD154" s="19"/>
      <c r="BE154" s="19"/>
      <c r="BF154" s="19"/>
      <c r="BG154" s="19"/>
      <c r="BH154" s="19">
        <v>1.0</v>
      </c>
      <c r="BI154" s="19"/>
      <c r="BJ154" s="19">
        <v>1.0</v>
      </c>
      <c r="BK154" s="19"/>
      <c r="BL154" s="13">
        <f t="shared" si="32"/>
        <v>4</v>
      </c>
      <c r="BM154" s="5"/>
      <c r="BN154" s="5"/>
    </row>
    <row r="155" ht="12.75" customHeight="1">
      <c r="A155" s="18"/>
      <c r="B155" s="55">
        <v>2.0</v>
      </c>
      <c r="C155" s="59" t="s">
        <v>116</v>
      </c>
      <c r="D155" s="57"/>
      <c r="E155" s="19"/>
      <c r="F155" s="19"/>
      <c r="G155" s="19">
        <v>1.0</v>
      </c>
      <c r="H155" s="19"/>
      <c r="I155" s="19"/>
      <c r="J155" s="19">
        <v>1.0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>
        <v>1.0</v>
      </c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3">
        <f t="shared" si="32"/>
        <v>3</v>
      </c>
      <c r="BM155" s="5"/>
      <c r="BN155" s="5"/>
    </row>
    <row r="156" ht="12.75" customHeight="1">
      <c r="A156" s="18"/>
      <c r="B156" s="55">
        <v>3.0</v>
      </c>
      <c r="C156" s="59" t="s">
        <v>117</v>
      </c>
      <c r="D156" s="57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>
        <v>1.0</v>
      </c>
      <c r="BE156" s="19"/>
      <c r="BF156" s="19"/>
      <c r="BG156" s="19"/>
      <c r="BH156" s="19"/>
      <c r="BI156" s="19"/>
      <c r="BJ156" s="19"/>
      <c r="BK156" s="19"/>
      <c r="BL156" s="13">
        <f t="shared" si="32"/>
        <v>1</v>
      </c>
      <c r="BM156" s="5"/>
      <c r="BN156" s="5"/>
    </row>
    <row r="157" ht="12.75" customHeight="1">
      <c r="A157" s="18"/>
      <c r="B157" s="55">
        <v>4.0</v>
      </c>
      <c r="C157" s="59" t="s">
        <v>118</v>
      </c>
      <c r="D157" s="57"/>
      <c r="E157" s="19"/>
      <c r="F157" s="19"/>
      <c r="G157" s="19"/>
      <c r="H157" s="19"/>
      <c r="I157" s="19"/>
      <c r="J157" s="19"/>
      <c r="K157" s="19">
        <v>1.0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3">
        <f t="shared" si="32"/>
        <v>1</v>
      </c>
      <c r="BM157" s="5"/>
      <c r="BN157" s="5"/>
    </row>
    <row r="158" ht="12.75" customHeight="1">
      <c r="A158" s="18"/>
      <c r="B158" s="70"/>
      <c r="C158" s="75"/>
      <c r="D158" s="73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3">
        <f t="shared" si="32"/>
        <v>0</v>
      </c>
      <c r="BM158" s="5"/>
      <c r="BN158" s="5"/>
    </row>
    <row r="159" ht="12.75" customHeight="1">
      <c r="A159" s="18"/>
      <c r="B159" s="70"/>
      <c r="C159" s="75"/>
      <c r="D159" s="73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3">
        <f t="shared" si="32"/>
        <v>0</v>
      </c>
      <c r="BM159" s="5"/>
      <c r="BN159" s="5"/>
    </row>
    <row r="160" ht="12.75" customHeight="1">
      <c r="A160" s="18"/>
      <c r="B160" s="70"/>
      <c r="C160" s="75"/>
      <c r="D160" s="73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3">
        <f t="shared" si="32"/>
        <v>0</v>
      </c>
      <c r="BM160" s="5"/>
      <c r="BN160" s="5"/>
    </row>
    <row r="161" ht="12.75" customHeight="1">
      <c r="A161" s="18"/>
      <c r="B161" s="70"/>
      <c r="C161" s="75"/>
      <c r="D161" s="73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3">
        <f t="shared" si="32"/>
        <v>0</v>
      </c>
      <c r="BM161" s="5"/>
      <c r="BN161" s="5"/>
    </row>
    <row r="162" ht="12.75" customHeight="1">
      <c r="A162" s="18"/>
      <c r="B162" s="70"/>
      <c r="C162" s="75"/>
      <c r="D162" s="73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3">
        <f t="shared" si="32"/>
        <v>0</v>
      </c>
      <c r="BM162" s="5"/>
      <c r="BN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BK163" si="33">SUM(E153:E157)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2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0</v>
      </c>
      <c r="BA163" s="13">
        <f t="shared" si="33"/>
        <v>1</v>
      </c>
      <c r="BB163" s="13">
        <f t="shared" si="33"/>
        <v>1</v>
      </c>
      <c r="BC163" s="13">
        <f t="shared" si="33"/>
        <v>1</v>
      </c>
      <c r="BD163" s="13">
        <f t="shared" si="33"/>
        <v>1</v>
      </c>
      <c r="BE163" s="13">
        <f t="shared" si="33"/>
        <v>0</v>
      </c>
      <c r="BF163" s="13">
        <f t="shared" si="33"/>
        <v>0</v>
      </c>
      <c r="BG163" s="13">
        <f t="shared" si="33"/>
        <v>0</v>
      </c>
      <c r="BH163" s="13">
        <f t="shared" si="33"/>
        <v>1</v>
      </c>
      <c r="BI163" s="13">
        <f t="shared" si="33"/>
        <v>0</v>
      </c>
      <c r="BJ163" s="13">
        <f t="shared" si="33"/>
        <v>1</v>
      </c>
      <c r="BK163" s="13">
        <f t="shared" si="33"/>
        <v>0</v>
      </c>
      <c r="BL163" s="13">
        <f t="shared" si="32"/>
        <v>15</v>
      </c>
      <c r="BM163" s="5"/>
      <c r="BN163" s="5"/>
    </row>
    <row r="164" ht="12.75" customHeight="1">
      <c r="A164" s="24"/>
      <c r="B164" s="15"/>
      <c r="C164" s="15"/>
      <c r="D164" s="15"/>
      <c r="E164" s="16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5"/>
      <c r="BN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1.0</v>
      </c>
      <c r="S165" s="19"/>
      <c r="T165" s="19"/>
      <c r="U165" s="19"/>
      <c r="V165" s="19"/>
      <c r="W165" s="19"/>
      <c r="X165" s="19">
        <v>1.0</v>
      </c>
      <c r="Y165" s="19">
        <v>1.0</v>
      </c>
      <c r="Z165" s="19"/>
      <c r="AA165" s="19"/>
      <c r="AB165" s="19"/>
      <c r="AC165" s="19"/>
      <c r="AD165" s="19"/>
      <c r="AE165" s="19"/>
      <c r="AF165" s="19"/>
      <c r="AG165" s="19">
        <v>1.0</v>
      </c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>
        <v>1.0</v>
      </c>
      <c r="AS165" s="19"/>
      <c r="AT165" s="19"/>
      <c r="AU165" s="19"/>
      <c r="AV165" s="19"/>
      <c r="AW165" s="19"/>
      <c r="AX165" s="19"/>
      <c r="AY165" s="19"/>
      <c r="AZ165" s="19">
        <v>1.0</v>
      </c>
      <c r="BA165" s="19"/>
      <c r="BB165" s="19"/>
      <c r="BC165" s="19"/>
      <c r="BD165" s="19">
        <v>1.0</v>
      </c>
      <c r="BE165" s="19"/>
      <c r="BF165" s="19"/>
      <c r="BG165" s="19"/>
      <c r="BH165" s="19"/>
      <c r="BI165" s="19"/>
      <c r="BJ165" s="19"/>
      <c r="BK165" s="19">
        <v>1.0</v>
      </c>
      <c r="BL165" s="13">
        <f t="shared" ref="BL165:BL175" si="34">SUM(E165:BK165)</f>
        <v>8</v>
      </c>
      <c r="BM165" s="1"/>
      <c r="BN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/>
      <c r="F166" s="19"/>
      <c r="G166" s="19"/>
      <c r="H166" s="19">
        <v>1.0</v>
      </c>
      <c r="I166" s="19"/>
      <c r="J166" s="19">
        <v>1.0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>
        <v>1.0</v>
      </c>
      <c r="W166" s="19"/>
      <c r="X166" s="19"/>
      <c r="Y166" s="19">
        <v>1.0</v>
      </c>
      <c r="Z166" s="19"/>
      <c r="AA166" s="19"/>
      <c r="AB166" s="19"/>
      <c r="AC166" s="19"/>
      <c r="AD166" s="19"/>
      <c r="AE166" s="19"/>
      <c r="AF166" s="19"/>
      <c r="AG166" s="19"/>
      <c r="AH166" s="19">
        <v>1.0</v>
      </c>
      <c r="AI166" s="19"/>
      <c r="AJ166" s="19"/>
      <c r="AK166" s="19"/>
      <c r="AL166" s="19"/>
      <c r="AM166" s="19"/>
      <c r="AN166" s="19"/>
      <c r="AO166" s="19"/>
      <c r="AP166" s="19">
        <v>1.0</v>
      </c>
      <c r="AQ166" s="19"/>
      <c r="AR166" s="19"/>
      <c r="AS166" s="19"/>
      <c r="AT166" s="19"/>
      <c r="AU166" s="19"/>
      <c r="AV166" s="19"/>
      <c r="AW166" s="19">
        <v>1.0</v>
      </c>
      <c r="AX166" s="19"/>
      <c r="AY166" s="19">
        <v>1.0</v>
      </c>
      <c r="AZ166" s="19"/>
      <c r="BA166" s="19"/>
      <c r="BB166" s="19"/>
      <c r="BC166" s="19"/>
      <c r="BD166" s="19">
        <v>3.0</v>
      </c>
      <c r="BE166" s="19"/>
      <c r="BF166" s="19"/>
      <c r="BG166" s="19"/>
      <c r="BH166" s="19"/>
      <c r="BI166" s="19"/>
      <c r="BJ166" s="19"/>
      <c r="BK166" s="19">
        <v>1.0</v>
      </c>
      <c r="BL166" s="13">
        <f t="shared" si="34"/>
        <v>12</v>
      </c>
      <c r="BM166" s="52"/>
      <c r="BN166" s="52"/>
    </row>
    <row r="167" ht="12.75" customHeight="1">
      <c r="A167" s="18"/>
      <c r="B167" s="55">
        <v>2.0</v>
      </c>
      <c r="C167" s="50" t="s">
        <v>122</v>
      </c>
      <c r="D167" s="57"/>
      <c r="E167" s="19"/>
      <c r="F167" s="19"/>
      <c r="G167" s="19"/>
      <c r="H167" s="19"/>
      <c r="I167" s="19"/>
      <c r="J167" s="19"/>
      <c r="K167" s="19"/>
      <c r="L167" s="19">
        <v>1.0</v>
      </c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>
        <v>1.0</v>
      </c>
      <c r="BE167" s="19"/>
      <c r="BF167" s="19"/>
      <c r="BG167" s="19"/>
      <c r="BH167" s="19"/>
      <c r="BI167" s="19"/>
      <c r="BJ167" s="19"/>
      <c r="BK167" s="19"/>
      <c r="BL167" s="13">
        <f t="shared" si="34"/>
        <v>2</v>
      </c>
      <c r="BM167" s="5"/>
      <c r="BN167" s="5"/>
    </row>
    <row r="168" ht="12.75" customHeight="1">
      <c r="A168" s="18"/>
      <c r="B168" s="55">
        <v>3.0</v>
      </c>
      <c r="C168" s="50" t="s">
        <v>123</v>
      </c>
      <c r="D168" s="57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>
        <v>1.0</v>
      </c>
      <c r="BL168" s="13">
        <f t="shared" si="34"/>
        <v>1</v>
      </c>
      <c r="BM168" s="5"/>
      <c r="BN168" s="5"/>
    </row>
    <row r="169" ht="12.75" customHeight="1">
      <c r="A169" s="18"/>
      <c r="B169" s="55">
        <v>4.0</v>
      </c>
      <c r="C169" s="50" t="s">
        <v>124</v>
      </c>
      <c r="D169" s="5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>
        <v>1.0</v>
      </c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>
        <v>1.0</v>
      </c>
      <c r="BI169" s="19"/>
      <c r="BJ169" s="19"/>
      <c r="BK169" s="19">
        <v>1.0</v>
      </c>
      <c r="BL169" s="13">
        <f t="shared" si="34"/>
        <v>3</v>
      </c>
      <c r="BM169" s="5"/>
      <c r="BN169" s="5"/>
    </row>
    <row r="170" ht="12.75" customHeight="1">
      <c r="A170" s="18"/>
      <c r="B170" s="55">
        <v>5.0</v>
      </c>
      <c r="C170" s="50" t="s">
        <v>125</v>
      </c>
      <c r="D170" s="57"/>
      <c r="E170" s="19"/>
      <c r="F170" s="19"/>
      <c r="G170" s="19">
        <v>1.0</v>
      </c>
      <c r="H170" s="19"/>
      <c r="I170" s="19">
        <v>1.0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3">
        <f t="shared" si="34"/>
        <v>2</v>
      </c>
      <c r="BM170" s="5"/>
      <c r="BN170" s="5"/>
    </row>
    <row r="171" ht="12.75" customHeight="1">
      <c r="A171" s="18"/>
      <c r="B171" s="55">
        <v>6.0</v>
      </c>
      <c r="C171" s="50" t="s">
        <v>126</v>
      </c>
      <c r="D171" s="57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3">
        <f t="shared" si="34"/>
        <v>0</v>
      </c>
      <c r="BM171" s="5"/>
      <c r="BN171" s="5"/>
    </row>
    <row r="172" ht="12.75" customHeight="1">
      <c r="A172" s="18"/>
      <c r="B172" s="55">
        <v>7.0</v>
      </c>
      <c r="C172" s="50" t="s">
        <v>127</v>
      </c>
      <c r="D172" s="57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>
        <v>1.0</v>
      </c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3">
        <f t="shared" si="34"/>
        <v>1</v>
      </c>
      <c r="BM172" s="5"/>
      <c r="BN172" s="5"/>
    </row>
    <row r="173" ht="12.75" customHeight="1">
      <c r="A173" s="18"/>
      <c r="B173" s="70"/>
      <c r="C173" s="71"/>
      <c r="D173" s="73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3">
        <f t="shared" si="34"/>
        <v>0</v>
      </c>
      <c r="BM173" s="5"/>
      <c r="BN173" s="5"/>
    </row>
    <row r="174" ht="12.75" customHeight="1">
      <c r="A174" s="18"/>
      <c r="B174" s="70"/>
      <c r="C174" s="71"/>
      <c r="D174" s="73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3">
        <f t="shared" si="34"/>
        <v>0</v>
      </c>
      <c r="BM174" s="5"/>
      <c r="BN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BK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3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1</v>
      </c>
      <c r="AQ175" s="13">
        <f t="shared" si="35"/>
        <v>0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0</v>
      </c>
      <c r="AW175" s="13">
        <f t="shared" si="35"/>
        <v>1</v>
      </c>
      <c r="AX175" s="13">
        <f t="shared" si="35"/>
        <v>0</v>
      </c>
      <c r="AY175" s="13">
        <f t="shared" si="35"/>
        <v>1</v>
      </c>
      <c r="AZ175" s="13">
        <f t="shared" si="35"/>
        <v>1</v>
      </c>
      <c r="BA175" s="13">
        <f t="shared" si="35"/>
        <v>0</v>
      </c>
      <c r="BB175" s="13">
        <f t="shared" si="35"/>
        <v>0</v>
      </c>
      <c r="BC175" s="13">
        <f t="shared" si="35"/>
        <v>0</v>
      </c>
      <c r="BD175" s="13">
        <f t="shared" si="35"/>
        <v>5</v>
      </c>
      <c r="BE175" s="13">
        <f t="shared" si="35"/>
        <v>0</v>
      </c>
      <c r="BF175" s="13">
        <f t="shared" si="35"/>
        <v>0</v>
      </c>
      <c r="BG175" s="13">
        <f t="shared" si="35"/>
        <v>0</v>
      </c>
      <c r="BH175" s="13">
        <f t="shared" si="35"/>
        <v>1</v>
      </c>
      <c r="BI175" s="13">
        <f t="shared" si="35"/>
        <v>0</v>
      </c>
      <c r="BJ175" s="13">
        <f t="shared" si="35"/>
        <v>0</v>
      </c>
      <c r="BK175" s="13">
        <f t="shared" si="35"/>
        <v>4</v>
      </c>
      <c r="BL175" s="13">
        <f t="shared" si="34"/>
        <v>29</v>
      </c>
      <c r="BM175" s="5"/>
      <c r="BN175" s="5"/>
    </row>
    <row r="176" ht="12.75" customHeight="1">
      <c r="A176" s="24"/>
      <c r="B176" s="15"/>
      <c r="C176" s="15"/>
      <c r="D176" s="15"/>
      <c r="E176" s="16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1"/>
      <c r="BN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/>
      <c r="I177" s="19">
        <v>1.0</v>
      </c>
      <c r="J177" s="19">
        <v>2.0</v>
      </c>
      <c r="K177" s="19">
        <v>2.0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>
        <v>2.0</v>
      </c>
      <c r="AA177" s="19"/>
      <c r="AB177" s="19"/>
      <c r="AC177" s="19"/>
      <c r="AD177" s="19">
        <v>1.0</v>
      </c>
      <c r="AE177" s="19"/>
      <c r="AF177" s="19">
        <v>2.0</v>
      </c>
      <c r="AG177" s="19"/>
      <c r="AH177" s="19"/>
      <c r="AI177" s="19"/>
      <c r="AJ177" s="19"/>
      <c r="AK177" s="19"/>
      <c r="AL177" s="19"/>
      <c r="AM177" s="19"/>
      <c r="AN177" s="19"/>
      <c r="AO177" s="19"/>
      <c r="AP177" s="19">
        <v>1.0</v>
      </c>
      <c r="AQ177" s="19"/>
      <c r="AR177" s="19">
        <v>3.0</v>
      </c>
      <c r="AS177" s="19"/>
      <c r="AT177" s="19">
        <v>1.0</v>
      </c>
      <c r="AU177" s="19">
        <v>1.0</v>
      </c>
      <c r="AV177" s="19"/>
      <c r="AW177" s="19"/>
      <c r="AX177" s="19"/>
      <c r="AY177" s="19"/>
      <c r="AZ177" s="19"/>
      <c r="BA177" s="19"/>
      <c r="BB177" s="19"/>
      <c r="BC177" s="19">
        <v>1.0</v>
      </c>
      <c r="BD177" s="19"/>
      <c r="BE177" s="19">
        <v>2.0</v>
      </c>
      <c r="BF177" s="19">
        <v>1.0</v>
      </c>
      <c r="BG177" s="19">
        <v>4.0</v>
      </c>
      <c r="BH177" s="19"/>
      <c r="BI177" s="19"/>
      <c r="BJ177" s="19"/>
      <c r="BK177" s="19"/>
      <c r="BL177" s="13">
        <f t="shared" ref="BL177:BL187" si="36">SUM(E177:BK177)</f>
        <v>24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/>
      <c r="F178" s="19"/>
      <c r="G178" s="19"/>
      <c r="H178" s="19"/>
      <c r="I178" s="19"/>
      <c r="J178" s="19"/>
      <c r="K178" s="19">
        <v>1.0</v>
      </c>
      <c r="L178" s="19"/>
      <c r="M178" s="19">
        <v>1.0</v>
      </c>
      <c r="N178" s="19"/>
      <c r="O178" s="19"/>
      <c r="P178" s="19">
        <v>2.0</v>
      </c>
      <c r="Q178" s="19"/>
      <c r="R178" s="19"/>
      <c r="S178" s="19"/>
      <c r="T178" s="19">
        <v>1.0</v>
      </c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>
        <v>2.0</v>
      </c>
      <c r="AK178" s="19"/>
      <c r="AL178" s="19"/>
      <c r="AM178" s="19"/>
      <c r="AN178" s="19"/>
      <c r="AO178" s="19">
        <v>1.0</v>
      </c>
      <c r="AP178" s="19">
        <v>1.0</v>
      </c>
      <c r="AQ178" s="19">
        <v>1.0</v>
      </c>
      <c r="AR178" s="19">
        <v>1.0</v>
      </c>
      <c r="AS178" s="19"/>
      <c r="AT178" s="19"/>
      <c r="AU178" s="19"/>
      <c r="AV178" s="19"/>
      <c r="AW178" s="19"/>
      <c r="AX178" s="19"/>
      <c r="AY178" s="19">
        <v>3.0</v>
      </c>
      <c r="AZ178" s="19"/>
      <c r="BA178" s="19"/>
      <c r="BB178" s="19">
        <v>1.0</v>
      </c>
      <c r="BC178" s="19">
        <v>1.0</v>
      </c>
      <c r="BD178" s="19">
        <v>3.0</v>
      </c>
      <c r="BE178" s="19">
        <v>9.0</v>
      </c>
      <c r="BF178" s="19">
        <v>1.0</v>
      </c>
      <c r="BG178" s="19">
        <v>21.0</v>
      </c>
      <c r="BH178" s="19">
        <v>30.0</v>
      </c>
      <c r="BI178" s="19">
        <v>19.0</v>
      </c>
      <c r="BJ178" s="19"/>
      <c r="BK178" s="19"/>
      <c r="BL178" s="13">
        <f t="shared" si="36"/>
        <v>99</v>
      </c>
      <c r="BM178" s="5"/>
      <c r="BN178" s="5"/>
    </row>
    <row r="179" ht="12.75" customHeight="1">
      <c r="A179" s="18"/>
      <c r="B179" s="55">
        <v>2.0</v>
      </c>
      <c r="C179" s="50" t="s">
        <v>131</v>
      </c>
      <c r="D179" s="57"/>
      <c r="E179" s="19"/>
      <c r="F179" s="19"/>
      <c r="G179" s="19"/>
      <c r="H179" s="19"/>
      <c r="I179" s="19"/>
      <c r="J179" s="19"/>
      <c r="K179" s="19">
        <v>1.0</v>
      </c>
      <c r="L179" s="19"/>
      <c r="M179" s="19">
        <v>1.0</v>
      </c>
      <c r="N179" s="19"/>
      <c r="O179" s="19"/>
      <c r="P179" s="19"/>
      <c r="Q179" s="19"/>
      <c r="R179" s="19"/>
      <c r="S179" s="19"/>
      <c r="T179" s="19">
        <v>1.0</v>
      </c>
      <c r="U179" s="19"/>
      <c r="V179" s="19">
        <v>1.0</v>
      </c>
      <c r="W179" s="19"/>
      <c r="X179" s="19"/>
      <c r="Y179" s="19"/>
      <c r="Z179" s="19"/>
      <c r="AA179" s="19"/>
      <c r="AB179" s="19"/>
      <c r="AC179" s="19"/>
      <c r="AD179" s="19">
        <v>1.0</v>
      </c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>
        <v>1.0</v>
      </c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>
        <v>1.0</v>
      </c>
      <c r="BE179" s="19">
        <v>1.0</v>
      </c>
      <c r="BF179" s="19">
        <v>1.0</v>
      </c>
      <c r="BG179" s="19">
        <v>2.0</v>
      </c>
      <c r="BH179" s="19">
        <v>2.0</v>
      </c>
      <c r="BI179" s="19"/>
      <c r="BJ179" s="19"/>
      <c r="BK179" s="19"/>
      <c r="BL179" s="13">
        <f t="shared" si="36"/>
        <v>13</v>
      </c>
      <c r="BM179" s="5"/>
      <c r="BN179" s="5"/>
    </row>
    <row r="180" ht="12.75" customHeight="1">
      <c r="A180" s="18"/>
      <c r="B180" s="55">
        <v>3.0</v>
      </c>
      <c r="C180" s="50" t="s">
        <v>132</v>
      </c>
      <c r="D180" s="57"/>
      <c r="E180" s="19"/>
      <c r="F180" s="19"/>
      <c r="G180" s="19"/>
      <c r="H180" s="19"/>
      <c r="I180" s="19">
        <v>2.0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>
        <v>1.0</v>
      </c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>
        <v>1.0</v>
      </c>
      <c r="BD180" s="19">
        <v>1.0</v>
      </c>
      <c r="BE180" s="19"/>
      <c r="BF180" s="19"/>
      <c r="BG180" s="19"/>
      <c r="BH180" s="19"/>
      <c r="BI180" s="19"/>
      <c r="BJ180" s="19"/>
      <c r="BK180" s="19"/>
      <c r="BL180" s="13">
        <f t="shared" si="36"/>
        <v>5</v>
      </c>
      <c r="BM180" s="5"/>
      <c r="BN180" s="5"/>
    </row>
    <row r="181" ht="12.75" customHeight="1">
      <c r="A181" s="18"/>
      <c r="B181" s="55">
        <v>4.0</v>
      </c>
      <c r="C181" s="50" t="s">
        <v>133</v>
      </c>
      <c r="D181" s="57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>
        <v>1.0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>
        <v>1.0</v>
      </c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>
        <v>1.0</v>
      </c>
      <c r="BD181" s="19">
        <v>1.0</v>
      </c>
      <c r="BE181" s="19"/>
      <c r="BF181" s="19"/>
      <c r="BG181" s="19"/>
      <c r="BH181" s="19">
        <v>1.0</v>
      </c>
      <c r="BI181" s="19"/>
      <c r="BJ181" s="19"/>
      <c r="BK181" s="19">
        <v>1.0</v>
      </c>
      <c r="BL181" s="13">
        <f t="shared" si="36"/>
        <v>6</v>
      </c>
      <c r="BM181" s="5"/>
      <c r="BN181" s="5"/>
    </row>
    <row r="182" ht="12.75" customHeight="1">
      <c r="A182" s="18"/>
      <c r="B182" s="55">
        <v>5.0</v>
      </c>
      <c r="C182" s="50" t="s">
        <v>134</v>
      </c>
      <c r="D182" s="57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>
        <v>1.0</v>
      </c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>
        <v>1.0</v>
      </c>
      <c r="AP182" s="19"/>
      <c r="AQ182" s="19"/>
      <c r="AR182" s="19"/>
      <c r="AS182" s="19"/>
      <c r="AT182" s="19"/>
      <c r="AU182" s="19"/>
      <c r="AV182" s="19"/>
      <c r="AW182" s="19"/>
      <c r="AX182" s="19">
        <v>1.0</v>
      </c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3">
        <f t="shared" si="36"/>
        <v>3</v>
      </c>
      <c r="BM182" s="5"/>
      <c r="BN182" s="5"/>
    </row>
    <row r="183" ht="12.75" customHeight="1">
      <c r="A183" s="18"/>
      <c r="B183" s="55">
        <v>6.0</v>
      </c>
      <c r="C183" s="50" t="s">
        <v>135</v>
      </c>
      <c r="D183" s="57"/>
      <c r="E183" s="19">
        <v>1.0</v>
      </c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3">
        <f t="shared" si="36"/>
        <v>1</v>
      </c>
      <c r="BM183" s="5"/>
      <c r="BN183" s="5"/>
    </row>
    <row r="184" ht="12.75" customHeight="1">
      <c r="A184" s="18"/>
      <c r="B184" s="55">
        <v>7.0</v>
      </c>
      <c r="C184" s="50" t="s">
        <v>136</v>
      </c>
      <c r="D184" s="57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>
        <v>1.0</v>
      </c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3">
        <f t="shared" si="36"/>
        <v>1</v>
      </c>
      <c r="BM184" s="5"/>
      <c r="BN184" s="5"/>
    </row>
    <row r="185" ht="12.75" customHeight="1">
      <c r="A185" s="18"/>
      <c r="B185" s="70"/>
      <c r="C185" s="71"/>
      <c r="D185" s="73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3">
        <f t="shared" si="36"/>
        <v>0</v>
      </c>
      <c r="BM185" s="5"/>
      <c r="BN185" s="5"/>
    </row>
    <row r="186" ht="12.75" customHeight="1">
      <c r="A186" s="18"/>
      <c r="B186" s="70"/>
      <c r="C186" s="71"/>
      <c r="D186" s="73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3">
        <f t="shared" si="36"/>
        <v>0</v>
      </c>
      <c r="BM186" s="5"/>
      <c r="BN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K187" si="37">SUM(E177:E184)</f>
        <v>1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3</v>
      </c>
      <c r="J187" s="13">
        <f t="shared" si="37"/>
        <v>2</v>
      </c>
      <c r="K187" s="13">
        <f t="shared" si="37"/>
        <v>4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4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2</v>
      </c>
      <c r="U187" s="13">
        <f t="shared" si="37"/>
        <v>1</v>
      </c>
      <c r="V187" s="13">
        <f t="shared" si="37"/>
        <v>1</v>
      </c>
      <c r="W187" s="13">
        <f t="shared" si="37"/>
        <v>0</v>
      </c>
      <c r="X187" s="13">
        <f t="shared" si="37"/>
        <v>0</v>
      </c>
      <c r="Y187" s="13">
        <f t="shared" si="37"/>
        <v>0</v>
      </c>
      <c r="Z187" s="13">
        <f t="shared" si="37"/>
        <v>2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2</v>
      </c>
      <c r="AE187" s="13">
        <f t="shared" si="37"/>
        <v>0</v>
      </c>
      <c r="AF187" s="13">
        <f t="shared" si="37"/>
        <v>2</v>
      </c>
      <c r="AG187" s="13">
        <f t="shared" si="37"/>
        <v>0</v>
      </c>
      <c r="AH187" s="13">
        <f t="shared" si="37"/>
        <v>0</v>
      </c>
      <c r="AI187" s="13">
        <f t="shared" si="37"/>
        <v>0</v>
      </c>
      <c r="AJ187" s="13">
        <f t="shared" si="37"/>
        <v>2</v>
      </c>
      <c r="AK187" s="13">
        <f t="shared" si="37"/>
        <v>0</v>
      </c>
      <c r="AL187" s="13">
        <f t="shared" si="37"/>
        <v>0</v>
      </c>
      <c r="AM187" s="13">
        <f t="shared" si="37"/>
        <v>0</v>
      </c>
      <c r="AN187" s="13">
        <f t="shared" si="37"/>
        <v>0</v>
      </c>
      <c r="AO187" s="13">
        <f t="shared" si="37"/>
        <v>3</v>
      </c>
      <c r="AP187" s="13">
        <f t="shared" si="37"/>
        <v>4</v>
      </c>
      <c r="AQ187" s="13">
        <f t="shared" si="37"/>
        <v>1</v>
      </c>
      <c r="AR187" s="13">
        <f t="shared" si="37"/>
        <v>4</v>
      </c>
      <c r="AS187" s="13">
        <f t="shared" si="37"/>
        <v>0</v>
      </c>
      <c r="AT187" s="13">
        <f t="shared" si="37"/>
        <v>1</v>
      </c>
      <c r="AU187" s="13">
        <f t="shared" si="37"/>
        <v>1</v>
      </c>
      <c r="AV187" s="13">
        <f t="shared" si="37"/>
        <v>0</v>
      </c>
      <c r="AW187" s="13">
        <f t="shared" si="37"/>
        <v>0</v>
      </c>
      <c r="AX187" s="13">
        <f t="shared" si="37"/>
        <v>1</v>
      </c>
      <c r="AY187" s="13">
        <f t="shared" si="37"/>
        <v>3</v>
      </c>
      <c r="AZ187" s="13">
        <f t="shared" si="37"/>
        <v>0</v>
      </c>
      <c r="BA187" s="13">
        <f t="shared" si="37"/>
        <v>0</v>
      </c>
      <c r="BB187" s="13">
        <f t="shared" si="37"/>
        <v>1</v>
      </c>
      <c r="BC187" s="13">
        <f t="shared" si="37"/>
        <v>4</v>
      </c>
      <c r="BD187" s="13">
        <f t="shared" si="37"/>
        <v>6</v>
      </c>
      <c r="BE187" s="13">
        <f t="shared" si="37"/>
        <v>12</v>
      </c>
      <c r="BF187" s="13">
        <f t="shared" si="37"/>
        <v>3</v>
      </c>
      <c r="BG187" s="13">
        <f t="shared" si="37"/>
        <v>27</v>
      </c>
      <c r="BH187" s="13">
        <f t="shared" si="37"/>
        <v>33</v>
      </c>
      <c r="BI187" s="13">
        <f t="shared" si="37"/>
        <v>19</v>
      </c>
      <c r="BJ187" s="13">
        <f t="shared" si="37"/>
        <v>0</v>
      </c>
      <c r="BK187" s="13">
        <f t="shared" si="37"/>
        <v>1</v>
      </c>
      <c r="BL187" s="13">
        <f t="shared" si="36"/>
        <v>152</v>
      </c>
      <c r="BM187" s="1"/>
      <c r="BN187" s="1"/>
    </row>
    <row r="188" ht="12.75" customHeight="1">
      <c r="A188" s="24"/>
      <c r="B188" s="15"/>
      <c r="C188" s="15"/>
      <c r="D188" s="15"/>
      <c r="E188" s="16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>
        <v>1.0</v>
      </c>
      <c r="AV189" s="19"/>
      <c r="AW189" s="19"/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9">
        <v>0.0</v>
      </c>
      <c r="BG189" s="19">
        <v>0.0</v>
      </c>
      <c r="BH189" s="19">
        <v>0.0</v>
      </c>
      <c r="BI189" s="19">
        <v>0.0</v>
      </c>
      <c r="BJ189" s="19">
        <v>0.0</v>
      </c>
      <c r="BK189" s="19">
        <v>2.0</v>
      </c>
      <c r="BL189" s="13">
        <f t="shared" ref="BL189:BL199" si="38">SUM(E189:BK189)</f>
        <v>4</v>
      </c>
      <c r="BM189" s="5"/>
      <c r="BN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>
        <v>0.0</v>
      </c>
      <c r="AY190" s="19">
        <v>0.0</v>
      </c>
      <c r="AZ190" s="19">
        <v>2.0</v>
      </c>
      <c r="BA190" s="19">
        <v>0.0</v>
      </c>
      <c r="BB190" s="19">
        <v>0.0</v>
      </c>
      <c r="BC190" s="19">
        <v>1.0</v>
      </c>
      <c r="BD190" s="19">
        <v>0.0</v>
      </c>
      <c r="BE190" s="19">
        <v>1.0</v>
      </c>
      <c r="BF190" s="19">
        <v>0.0</v>
      </c>
      <c r="BG190" s="19">
        <v>0.0</v>
      </c>
      <c r="BH190" s="19">
        <v>0.0</v>
      </c>
      <c r="BI190" s="19">
        <v>0.0</v>
      </c>
      <c r="BJ190" s="19">
        <v>0.0</v>
      </c>
      <c r="BK190" s="19">
        <v>0.0</v>
      </c>
      <c r="BL190" s="13">
        <f t="shared" si="38"/>
        <v>7</v>
      </c>
      <c r="BM190" s="5"/>
      <c r="BN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1.0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9">
        <v>0.0</v>
      </c>
      <c r="BG191" s="19">
        <v>0.0</v>
      </c>
      <c r="BH191" s="19">
        <v>0.0</v>
      </c>
      <c r="BI191" s="19">
        <v>0.0</v>
      </c>
      <c r="BJ191" s="19">
        <v>0.0</v>
      </c>
      <c r="BK191" s="19">
        <v>0.0</v>
      </c>
      <c r="BL191" s="13">
        <f t="shared" si="38"/>
        <v>1</v>
      </c>
      <c r="BM191" s="5"/>
      <c r="BN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1.0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9">
        <v>0.0</v>
      </c>
      <c r="BL192" s="13">
        <f t="shared" si="38"/>
        <v>1</v>
      </c>
      <c r="BM192" s="5"/>
      <c r="BN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0.0</v>
      </c>
      <c r="BH193" s="19">
        <v>0.0</v>
      </c>
      <c r="BI193" s="19">
        <v>0.0</v>
      </c>
      <c r="BJ193" s="19">
        <v>0.0</v>
      </c>
      <c r="BK193" s="19">
        <v>0.0</v>
      </c>
      <c r="BL193" s="13">
        <f t="shared" si="38"/>
        <v>0</v>
      </c>
      <c r="BM193" s="5"/>
      <c r="BN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1.0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1.0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9">
        <v>1.0</v>
      </c>
      <c r="BG194" s="19">
        <v>0.0</v>
      </c>
      <c r="BH194" s="19">
        <v>0.0</v>
      </c>
      <c r="BI194" s="19">
        <v>0.0</v>
      </c>
      <c r="BJ194" s="19">
        <v>0.0</v>
      </c>
      <c r="BK194" s="19">
        <v>0.0</v>
      </c>
      <c r="BL194" s="13">
        <f t="shared" si="38"/>
        <v>3</v>
      </c>
      <c r="BM194" s="5"/>
      <c r="BN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9">
        <v>0.0</v>
      </c>
      <c r="BL195" s="13">
        <f t="shared" si="38"/>
        <v>0</v>
      </c>
      <c r="BM195" s="5"/>
      <c r="BN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9">
        <v>0.0</v>
      </c>
      <c r="BL196" s="13">
        <f t="shared" si="38"/>
        <v>0</v>
      </c>
      <c r="BM196" s="1"/>
      <c r="BN196" s="1"/>
    </row>
    <row r="197" ht="12.75" customHeight="1">
      <c r="A197" s="18"/>
      <c r="B197" s="70"/>
      <c r="C197" s="71"/>
      <c r="D197" s="73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3">
        <f t="shared" si="38"/>
        <v>0</v>
      </c>
      <c r="BM197" s="1"/>
      <c r="BN197" s="1"/>
    </row>
    <row r="198" ht="12.75" customHeight="1">
      <c r="A198" s="18"/>
      <c r="B198" s="70"/>
      <c r="C198" s="71"/>
      <c r="D198" s="73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3">
        <f t="shared" si="38"/>
        <v>0</v>
      </c>
      <c r="BM198" s="1"/>
      <c r="BN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BK199" si="39">SUM(E189:E196)</f>
        <v>0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2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1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2</v>
      </c>
      <c r="BA199" s="13">
        <f t="shared" si="39"/>
        <v>0</v>
      </c>
      <c r="BB199" s="13">
        <f t="shared" si="39"/>
        <v>0</v>
      </c>
      <c r="BC199" s="13">
        <f t="shared" si="39"/>
        <v>1</v>
      </c>
      <c r="BD199" s="13">
        <f t="shared" si="39"/>
        <v>0</v>
      </c>
      <c r="BE199" s="13">
        <f t="shared" si="39"/>
        <v>2</v>
      </c>
      <c r="BF199" s="13">
        <f t="shared" si="39"/>
        <v>1</v>
      </c>
      <c r="BG199" s="13">
        <f t="shared" si="39"/>
        <v>0</v>
      </c>
      <c r="BH199" s="13">
        <f t="shared" si="39"/>
        <v>0</v>
      </c>
      <c r="BI199" s="13">
        <f t="shared" si="39"/>
        <v>0</v>
      </c>
      <c r="BJ199" s="13">
        <f t="shared" si="39"/>
        <v>0</v>
      </c>
      <c r="BK199" s="13">
        <f t="shared" si="39"/>
        <v>2</v>
      </c>
      <c r="BL199" s="13">
        <f t="shared" si="38"/>
        <v>16</v>
      </c>
      <c r="BM199" s="52"/>
      <c r="BN199" s="52"/>
    </row>
    <row r="200" ht="12.75" customHeight="1">
      <c r="A200" s="24"/>
      <c r="B200" s="15"/>
      <c r="C200" s="15"/>
      <c r="D200" s="15"/>
      <c r="E200" s="16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5"/>
      <c r="BN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7.0</v>
      </c>
      <c r="G201" s="19">
        <v>4.0</v>
      </c>
      <c r="H201" s="19">
        <v>4.0</v>
      </c>
      <c r="I201" s="19">
        <v>0.0</v>
      </c>
      <c r="J201" s="19">
        <v>6.0</v>
      </c>
      <c r="K201" s="19">
        <v>5.0</v>
      </c>
      <c r="L201" s="19">
        <v>11.0</v>
      </c>
      <c r="M201" s="19">
        <v>0.0</v>
      </c>
      <c r="N201" s="19">
        <v>2.0</v>
      </c>
      <c r="O201" s="19">
        <v>1.0</v>
      </c>
      <c r="P201" s="19">
        <v>5.0</v>
      </c>
      <c r="Q201" s="19">
        <v>1.0</v>
      </c>
      <c r="R201" s="19">
        <v>1.0</v>
      </c>
      <c r="S201" s="19">
        <v>4.0</v>
      </c>
      <c r="T201" s="19">
        <v>2.0</v>
      </c>
      <c r="U201" s="19">
        <v>5.0</v>
      </c>
      <c r="V201" s="19">
        <v>6.0</v>
      </c>
      <c r="W201" s="19">
        <v>5.0</v>
      </c>
      <c r="X201" s="19">
        <v>1.0</v>
      </c>
      <c r="Y201" s="19">
        <v>4.0</v>
      </c>
      <c r="Z201" s="19">
        <v>1.0</v>
      </c>
      <c r="AA201" s="19">
        <v>0.0</v>
      </c>
      <c r="AB201" s="19">
        <v>8.0</v>
      </c>
      <c r="AC201" s="19">
        <v>6.0</v>
      </c>
      <c r="AD201" s="19">
        <v>1.0</v>
      </c>
      <c r="AE201" s="19">
        <v>1.0</v>
      </c>
      <c r="AF201" s="19">
        <v>1.0</v>
      </c>
      <c r="AG201" s="19">
        <v>8.0</v>
      </c>
      <c r="AH201" s="19">
        <v>7.0</v>
      </c>
      <c r="AI201" s="19">
        <v>0.0</v>
      </c>
      <c r="AJ201" s="19">
        <v>2.0</v>
      </c>
      <c r="AK201" s="19">
        <v>3.0</v>
      </c>
      <c r="AL201" s="19">
        <v>2.0</v>
      </c>
      <c r="AM201" s="19">
        <v>0.0</v>
      </c>
      <c r="AN201" s="19">
        <v>1.0</v>
      </c>
      <c r="AO201" s="19">
        <v>2.0</v>
      </c>
      <c r="AP201" s="19">
        <v>1.0</v>
      </c>
      <c r="AQ201" s="19">
        <v>3.0</v>
      </c>
      <c r="AR201" s="19">
        <v>6.0</v>
      </c>
      <c r="AS201" s="19">
        <v>4.0</v>
      </c>
      <c r="AT201" s="19">
        <v>1.0</v>
      </c>
      <c r="AU201" s="19">
        <v>0.0</v>
      </c>
      <c r="AV201" s="19">
        <v>0.0</v>
      </c>
      <c r="AW201" s="19">
        <v>0.0</v>
      </c>
      <c r="AX201" s="19">
        <v>1.0</v>
      </c>
      <c r="AY201" s="19">
        <v>0.0</v>
      </c>
      <c r="AZ201" s="19">
        <v>2.0</v>
      </c>
      <c r="BA201" s="19">
        <v>0.0</v>
      </c>
      <c r="BB201" s="19">
        <v>4.0</v>
      </c>
      <c r="BC201" s="19">
        <v>6.0</v>
      </c>
      <c r="BD201" s="19">
        <v>7.0</v>
      </c>
      <c r="BE201" s="19">
        <v>12.0</v>
      </c>
      <c r="BF201" s="19">
        <v>5.0</v>
      </c>
      <c r="BG201" s="19">
        <v>0.0</v>
      </c>
      <c r="BH201" s="19">
        <v>3.0</v>
      </c>
      <c r="BI201" s="19">
        <v>0.0</v>
      </c>
      <c r="BJ201" s="19">
        <v>5.0</v>
      </c>
      <c r="BK201" s="19">
        <v>5.0</v>
      </c>
      <c r="BL201" s="13">
        <f t="shared" ref="BL201:BL211" si="40">SUM(E201:BK201)</f>
        <v>185</v>
      </c>
      <c r="BM201" s="5"/>
      <c r="BN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5.0</v>
      </c>
      <c r="G202" s="19">
        <v>3.0</v>
      </c>
      <c r="H202" s="19">
        <v>3.0</v>
      </c>
      <c r="I202" s="19">
        <v>0.0</v>
      </c>
      <c r="J202" s="19">
        <v>7.0</v>
      </c>
      <c r="K202" s="19">
        <v>5.0</v>
      </c>
      <c r="L202" s="19">
        <v>6.0</v>
      </c>
      <c r="M202" s="19">
        <v>5.0</v>
      </c>
      <c r="N202" s="19">
        <v>2.0</v>
      </c>
      <c r="O202" s="19">
        <v>1.0</v>
      </c>
      <c r="P202" s="19">
        <v>14.0</v>
      </c>
      <c r="Q202" s="19">
        <v>1.0</v>
      </c>
      <c r="R202" s="19">
        <v>5.0</v>
      </c>
      <c r="S202" s="19">
        <v>3.0</v>
      </c>
      <c r="T202" s="19">
        <v>9.0</v>
      </c>
      <c r="U202" s="19">
        <v>2.0</v>
      </c>
      <c r="V202" s="19">
        <v>3.0</v>
      </c>
      <c r="W202" s="19">
        <v>12.0</v>
      </c>
      <c r="X202" s="19">
        <v>8.0</v>
      </c>
      <c r="Y202" s="19">
        <v>9.0</v>
      </c>
      <c r="Z202" s="19">
        <v>4.0</v>
      </c>
      <c r="AA202" s="19">
        <v>0.0</v>
      </c>
      <c r="AB202" s="19">
        <v>9.0</v>
      </c>
      <c r="AC202" s="19">
        <v>6.0</v>
      </c>
      <c r="AD202" s="19">
        <v>3.0</v>
      </c>
      <c r="AE202" s="19">
        <v>4.0</v>
      </c>
      <c r="AF202" s="19">
        <v>4.0</v>
      </c>
      <c r="AG202" s="19">
        <v>5.0</v>
      </c>
      <c r="AH202" s="19">
        <v>3.0</v>
      </c>
      <c r="AI202" s="19">
        <v>1.0</v>
      </c>
      <c r="AJ202" s="19">
        <v>2.0</v>
      </c>
      <c r="AK202" s="19">
        <v>1.0</v>
      </c>
      <c r="AL202" s="19">
        <v>4.0</v>
      </c>
      <c r="AM202" s="19">
        <v>2.0</v>
      </c>
      <c r="AN202" s="19">
        <v>0.0</v>
      </c>
      <c r="AO202" s="19">
        <v>3.0</v>
      </c>
      <c r="AP202" s="19">
        <v>1.0</v>
      </c>
      <c r="AQ202" s="19">
        <v>1.0</v>
      </c>
      <c r="AR202" s="19">
        <v>9.0</v>
      </c>
      <c r="AS202" s="19">
        <v>3.0</v>
      </c>
      <c r="AT202" s="19">
        <v>2.0</v>
      </c>
      <c r="AU202" s="19">
        <v>5.0</v>
      </c>
      <c r="AV202" s="19">
        <v>0.0</v>
      </c>
      <c r="AW202" s="19">
        <v>1.0</v>
      </c>
      <c r="AX202" s="19">
        <v>0.0</v>
      </c>
      <c r="AY202" s="19">
        <v>1.0</v>
      </c>
      <c r="AZ202" s="19">
        <v>5.0</v>
      </c>
      <c r="BA202" s="19">
        <v>0.0</v>
      </c>
      <c r="BB202" s="19">
        <v>6.0</v>
      </c>
      <c r="BC202" s="19">
        <v>4.0</v>
      </c>
      <c r="BD202" s="19">
        <v>22.0</v>
      </c>
      <c r="BE202" s="19">
        <v>18.0</v>
      </c>
      <c r="BF202" s="19">
        <v>15.0</v>
      </c>
      <c r="BG202" s="19">
        <v>0.0</v>
      </c>
      <c r="BH202" s="19">
        <v>0.0</v>
      </c>
      <c r="BI202" s="19">
        <v>0.0</v>
      </c>
      <c r="BJ202" s="19">
        <v>6.0</v>
      </c>
      <c r="BK202" s="19">
        <v>11.0</v>
      </c>
      <c r="BL202" s="13">
        <f t="shared" si="40"/>
        <v>268</v>
      </c>
      <c r="BM202" s="5"/>
      <c r="BN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1.0</v>
      </c>
      <c r="H203" s="19">
        <v>2.0</v>
      </c>
      <c r="I203" s="19">
        <v>2.0</v>
      </c>
      <c r="J203" s="19">
        <v>0.0</v>
      </c>
      <c r="K203" s="19">
        <v>1.0</v>
      </c>
      <c r="L203" s="19">
        <v>3.0</v>
      </c>
      <c r="M203" s="19">
        <v>1.0</v>
      </c>
      <c r="N203" s="19">
        <v>0.0</v>
      </c>
      <c r="O203" s="19">
        <v>0.0</v>
      </c>
      <c r="P203" s="19">
        <v>1.0</v>
      </c>
      <c r="Q203" s="19">
        <v>1.0</v>
      </c>
      <c r="R203" s="19">
        <v>0.0</v>
      </c>
      <c r="S203" s="19">
        <v>0.0</v>
      </c>
      <c r="T203" s="19">
        <v>1.0</v>
      </c>
      <c r="U203" s="19">
        <v>3.0</v>
      </c>
      <c r="V203" s="19">
        <v>1.0</v>
      </c>
      <c r="W203" s="19">
        <v>5.0</v>
      </c>
      <c r="X203" s="19">
        <v>0.0</v>
      </c>
      <c r="Y203" s="19">
        <v>2.0</v>
      </c>
      <c r="Z203" s="19">
        <v>0.0</v>
      </c>
      <c r="AA203" s="19">
        <v>0.0</v>
      </c>
      <c r="AB203" s="19">
        <v>2.0</v>
      </c>
      <c r="AC203" s="19">
        <v>1.0</v>
      </c>
      <c r="AD203" s="19"/>
      <c r="AE203" s="19">
        <v>0.0</v>
      </c>
      <c r="AF203" s="19">
        <v>0.0</v>
      </c>
      <c r="AG203" s="19">
        <v>1.0</v>
      </c>
      <c r="AH203" s="19">
        <v>3.0</v>
      </c>
      <c r="AI203" s="19">
        <v>0.0</v>
      </c>
      <c r="AJ203" s="19">
        <v>0.0</v>
      </c>
      <c r="AK203" s="19">
        <v>1.0</v>
      </c>
      <c r="AL203" s="19">
        <v>0.0</v>
      </c>
      <c r="AM203" s="19">
        <v>0.0</v>
      </c>
      <c r="AN203" s="19">
        <v>1.0</v>
      </c>
      <c r="AO203" s="19">
        <v>0.0</v>
      </c>
      <c r="AP203" s="19">
        <v>1.0</v>
      </c>
      <c r="AQ203" s="19">
        <v>1.0</v>
      </c>
      <c r="AR203" s="19">
        <v>1.0</v>
      </c>
      <c r="AS203" s="19">
        <v>2.0</v>
      </c>
      <c r="AT203" s="19">
        <v>1.0</v>
      </c>
      <c r="AU203" s="19">
        <v>0.0</v>
      </c>
      <c r="AV203" s="19">
        <v>0.0</v>
      </c>
      <c r="AW203" s="19">
        <v>0.0</v>
      </c>
      <c r="AX203" s="19">
        <v>0.0</v>
      </c>
      <c r="AY203" s="19">
        <v>1.0</v>
      </c>
      <c r="AZ203" s="19">
        <v>0.0</v>
      </c>
      <c r="BA203" s="19">
        <v>1.0</v>
      </c>
      <c r="BB203" s="19">
        <v>0.0</v>
      </c>
      <c r="BC203" s="19">
        <v>1.0</v>
      </c>
      <c r="BD203" s="19">
        <v>2.0</v>
      </c>
      <c r="BE203" s="19">
        <v>12.0</v>
      </c>
      <c r="BF203" s="19">
        <v>3.0</v>
      </c>
      <c r="BG203" s="19">
        <v>0.0</v>
      </c>
      <c r="BH203" s="19">
        <v>0.0</v>
      </c>
      <c r="BI203" s="19">
        <v>0.0</v>
      </c>
      <c r="BJ203" s="19">
        <v>0.0</v>
      </c>
      <c r="BK203" s="19">
        <v>2.0</v>
      </c>
      <c r="BL203" s="13">
        <f t="shared" si="40"/>
        <v>61</v>
      </c>
      <c r="BM203" s="5"/>
      <c r="BN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1.0</v>
      </c>
      <c r="M204" s="19"/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1.0</v>
      </c>
      <c r="AF204" s="19">
        <v>1.0</v>
      </c>
      <c r="AG204" s="19">
        <v>1.0</v>
      </c>
      <c r="AH204" s="19">
        <v>0.0</v>
      </c>
      <c r="AI204" s="19">
        <v>8.0</v>
      </c>
      <c r="AJ204" s="19">
        <v>6.0</v>
      </c>
      <c r="AK204" s="19">
        <v>1.0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/>
      <c r="AT204" s="19">
        <v>1.0</v>
      </c>
      <c r="AU204" s="19">
        <v>0.0</v>
      </c>
      <c r="AV204" s="19">
        <v>0.0</v>
      </c>
      <c r="AW204" s="19">
        <v>0.0</v>
      </c>
      <c r="AX204" s="19">
        <v>0.0</v>
      </c>
      <c r="AY204" s="19">
        <v>0.0</v>
      </c>
      <c r="AZ204" s="19">
        <v>0.0</v>
      </c>
      <c r="BA204" s="19">
        <v>0.0</v>
      </c>
      <c r="BB204" s="19">
        <v>0.0</v>
      </c>
      <c r="BC204" s="19">
        <v>1.0</v>
      </c>
      <c r="BD204" s="19">
        <v>1.0</v>
      </c>
      <c r="BE204" s="19">
        <v>2.0</v>
      </c>
      <c r="BF204" s="19">
        <v>0.0</v>
      </c>
      <c r="BG204" s="19">
        <v>0.0</v>
      </c>
      <c r="BH204" s="19">
        <v>0.0</v>
      </c>
      <c r="BI204" s="19">
        <v>0.0</v>
      </c>
      <c r="BJ204" s="19">
        <v>0.0</v>
      </c>
      <c r="BK204" s="19">
        <v>0.0</v>
      </c>
      <c r="BL204" s="13">
        <f t="shared" si="40"/>
        <v>27</v>
      </c>
      <c r="BM204" s="5"/>
      <c r="BN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1.0</v>
      </c>
      <c r="AS205" s="19">
        <v>1.0</v>
      </c>
      <c r="AT205" s="19">
        <v>0.0</v>
      </c>
      <c r="AU205" s="19">
        <v>0.0</v>
      </c>
      <c r="AV205" s="19">
        <v>0.0</v>
      </c>
      <c r="AW205" s="19">
        <v>0.0</v>
      </c>
      <c r="AX205" s="19">
        <v>0.0</v>
      </c>
      <c r="AY205" s="19">
        <v>0.0</v>
      </c>
      <c r="AZ205" s="19">
        <v>1.0</v>
      </c>
      <c r="BA205" s="19">
        <v>0.0</v>
      </c>
      <c r="BB205" s="19">
        <v>1.0</v>
      </c>
      <c r="BC205" s="19">
        <v>2.0</v>
      </c>
      <c r="BD205" s="19">
        <v>0.0</v>
      </c>
      <c r="BE205" s="19">
        <v>1.0</v>
      </c>
      <c r="BF205" s="19">
        <v>2.0</v>
      </c>
      <c r="BG205" s="19">
        <v>0.0</v>
      </c>
      <c r="BH205" s="19">
        <v>0.0</v>
      </c>
      <c r="BI205" s="19">
        <v>0.0</v>
      </c>
      <c r="BJ205" s="19">
        <v>0.0</v>
      </c>
      <c r="BK205" s="19">
        <v>0.0</v>
      </c>
      <c r="BL205" s="13">
        <f t="shared" si="40"/>
        <v>14</v>
      </c>
      <c r="BM205" s="5"/>
      <c r="BN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1.0</v>
      </c>
      <c r="H206" s="19">
        <v>0.0</v>
      </c>
      <c r="I206" s="19">
        <v>0.0</v>
      </c>
      <c r="J206" s="19">
        <v>2.0</v>
      </c>
      <c r="K206" s="19">
        <v>2.0</v>
      </c>
      <c r="L206" s="19">
        <v>1.0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2.0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1.0</v>
      </c>
      <c r="AK206" s="19">
        <v>1.0</v>
      </c>
      <c r="AL206" s="19">
        <v>0.0</v>
      </c>
      <c r="AM206" s="19">
        <v>0.0</v>
      </c>
      <c r="AN206" s="19">
        <v>0.0</v>
      </c>
      <c r="AO206" s="19">
        <v>2.0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1.0</v>
      </c>
      <c r="AU206" s="19">
        <v>0.0</v>
      </c>
      <c r="AV206" s="19">
        <v>0.0</v>
      </c>
      <c r="AW206" s="19">
        <v>1.0</v>
      </c>
      <c r="AX206" s="19">
        <v>0.0</v>
      </c>
      <c r="AY206" s="19">
        <v>0.0</v>
      </c>
      <c r="AZ206" s="19">
        <v>1.0</v>
      </c>
      <c r="BA206" s="19">
        <v>0.0</v>
      </c>
      <c r="BB206" s="19">
        <v>0.0</v>
      </c>
      <c r="BC206" s="19">
        <v>1.0</v>
      </c>
      <c r="BD206" s="19">
        <v>2.0</v>
      </c>
      <c r="BE206" s="19">
        <v>3.0</v>
      </c>
      <c r="BF206" s="19">
        <v>2.0</v>
      </c>
      <c r="BG206" s="19">
        <v>0.0</v>
      </c>
      <c r="BH206" s="19">
        <v>0.0</v>
      </c>
      <c r="BI206" s="19">
        <v>0.0</v>
      </c>
      <c r="BJ206" s="19">
        <v>0.0</v>
      </c>
      <c r="BK206" s="19">
        <v>1.0</v>
      </c>
      <c r="BL206" s="13">
        <f t="shared" si="40"/>
        <v>26</v>
      </c>
      <c r="BM206" s="5"/>
      <c r="BN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0.0</v>
      </c>
      <c r="BH207" s="19">
        <v>0.0</v>
      </c>
      <c r="BI207" s="19">
        <v>0.0</v>
      </c>
      <c r="BJ207" s="19">
        <v>0.0</v>
      </c>
      <c r="BK207" s="19">
        <v>0.0</v>
      </c>
      <c r="BL207" s="13">
        <f t="shared" si="40"/>
        <v>0</v>
      </c>
      <c r="BM207" s="1"/>
      <c r="BN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2.0</v>
      </c>
      <c r="G208" s="19">
        <v>0.0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0.0</v>
      </c>
      <c r="AZ208" s="19">
        <v>1.0</v>
      </c>
      <c r="BA208" s="19">
        <v>0.0</v>
      </c>
      <c r="BB208" s="19">
        <v>0.0</v>
      </c>
      <c r="BC208" s="19">
        <v>0.0</v>
      </c>
      <c r="BD208" s="19">
        <v>0.0</v>
      </c>
      <c r="BE208" s="19">
        <v>0.0</v>
      </c>
      <c r="BF208" s="19">
        <v>0.0</v>
      </c>
      <c r="BG208" s="19">
        <v>0.0</v>
      </c>
      <c r="BH208" s="19">
        <v>0.0</v>
      </c>
      <c r="BI208" s="19">
        <v>0.0</v>
      </c>
      <c r="BJ208" s="19">
        <v>0.0</v>
      </c>
      <c r="BK208" s="19">
        <v>0.0</v>
      </c>
      <c r="BL208" s="13">
        <f t="shared" si="40"/>
        <v>6</v>
      </c>
      <c r="BM208" s="52"/>
      <c r="BN208" s="52"/>
    </row>
    <row r="209" ht="12.75" customHeight="1">
      <c r="A209" s="18"/>
      <c r="B209" s="70"/>
      <c r="C209" s="71"/>
      <c r="D209" s="73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3">
        <f t="shared" si="40"/>
        <v>0</v>
      </c>
      <c r="BM209" s="52"/>
      <c r="BN209" s="52"/>
    </row>
    <row r="210" ht="12.75" customHeight="1">
      <c r="A210" s="18"/>
      <c r="B210" s="70"/>
      <c r="C210" s="71"/>
      <c r="D210" s="73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3">
        <f t="shared" si="40"/>
        <v>0</v>
      </c>
      <c r="BM210" s="52"/>
      <c r="BN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BK211" si="41">SUM(E201:E208)</f>
        <v>8</v>
      </c>
      <c r="F211" s="13">
        <f t="shared" si="41"/>
        <v>16</v>
      </c>
      <c r="G211" s="13">
        <f t="shared" si="41"/>
        <v>9</v>
      </c>
      <c r="H211" s="13">
        <f t="shared" si="41"/>
        <v>10</v>
      </c>
      <c r="I211" s="13">
        <f t="shared" si="41"/>
        <v>4</v>
      </c>
      <c r="J211" s="13">
        <f t="shared" si="41"/>
        <v>15</v>
      </c>
      <c r="K211" s="13">
        <f t="shared" si="41"/>
        <v>13</v>
      </c>
      <c r="L211" s="13">
        <f t="shared" si="41"/>
        <v>23</v>
      </c>
      <c r="M211" s="13">
        <f t="shared" si="41"/>
        <v>6</v>
      </c>
      <c r="N211" s="13">
        <f t="shared" si="41"/>
        <v>4</v>
      </c>
      <c r="O211" s="13">
        <f t="shared" si="41"/>
        <v>3</v>
      </c>
      <c r="P211" s="13">
        <f t="shared" si="41"/>
        <v>21</v>
      </c>
      <c r="Q211" s="13">
        <f t="shared" si="41"/>
        <v>4</v>
      </c>
      <c r="R211" s="13">
        <f t="shared" si="41"/>
        <v>6</v>
      </c>
      <c r="S211" s="13">
        <f t="shared" si="41"/>
        <v>7</v>
      </c>
      <c r="T211" s="13">
        <f t="shared" si="41"/>
        <v>12</v>
      </c>
      <c r="U211" s="13">
        <f t="shared" si="41"/>
        <v>10</v>
      </c>
      <c r="V211" s="13">
        <f t="shared" si="41"/>
        <v>10</v>
      </c>
      <c r="W211" s="13">
        <f t="shared" si="41"/>
        <v>23</v>
      </c>
      <c r="X211" s="13">
        <f t="shared" si="41"/>
        <v>9</v>
      </c>
      <c r="Y211" s="13">
        <f t="shared" si="41"/>
        <v>17</v>
      </c>
      <c r="Z211" s="13">
        <f t="shared" si="41"/>
        <v>5</v>
      </c>
      <c r="AA211" s="13">
        <f t="shared" si="41"/>
        <v>0</v>
      </c>
      <c r="AB211" s="13">
        <f t="shared" si="41"/>
        <v>21</v>
      </c>
      <c r="AC211" s="13">
        <f t="shared" si="41"/>
        <v>13</v>
      </c>
      <c r="AD211" s="13">
        <f t="shared" si="41"/>
        <v>4</v>
      </c>
      <c r="AE211" s="13">
        <f t="shared" si="41"/>
        <v>6</v>
      </c>
      <c r="AF211" s="13">
        <f t="shared" si="41"/>
        <v>6</v>
      </c>
      <c r="AG211" s="13">
        <f t="shared" si="41"/>
        <v>15</v>
      </c>
      <c r="AH211" s="13">
        <f t="shared" si="41"/>
        <v>13</v>
      </c>
      <c r="AI211" s="13">
        <f t="shared" si="41"/>
        <v>9</v>
      </c>
      <c r="AJ211" s="13">
        <f t="shared" si="41"/>
        <v>11</v>
      </c>
      <c r="AK211" s="13">
        <f t="shared" si="41"/>
        <v>7</v>
      </c>
      <c r="AL211" s="13">
        <f t="shared" si="41"/>
        <v>6</v>
      </c>
      <c r="AM211" s="13">
        <f t="shared" si="41"/>
        <v>2</v>
      </c>
      <c r="AN211" s="13">
        <f t="shared" si="41"/>
        <v>2</v>
      </c>
      <c r="AO211" s="13">
        <f t="shared" si="41"/>
        <v>7</v>
      </c>
      <c r="AP211" s="13">
        <f t="shared" si="41"/>
        <v>3</v>
      </c>
      <c r="AQ211" s="13">
        <f t="shared" si="41"/>
        <v>5</v>
      </c>
      <c r="AR211" s="13">
        <f t="shared" si="41"/>
        <v>17</v>
      </c>
      <c r="AS211" s="13">
        <f t="shared" si="41"/>
        <v>10</v>
      </c>
      <c r="AT211" s="13">
        <f t="shared" si="41"/>
        <v>6</v>
      </c>
      <c r="AU211" s="13">
        <f t="shared" si="41"/>
        <v>5</v>
      </c>
      <c r="AV211" s="13">
        <f t="shared" si="41"/>
        <v>0</v>
      </c>
      <c r="AW211" s="13">
        <f t="shared" si="41"/>
        <v>2</v>
      </c>
      <c r="AX211" s="13">
        <f t="shared" si="41"/>
        <v>1</v>
      </c>
      <c r="AY211" s="13">
        <f t="shared" si="41"/>
        <v>2</v>
      </c>
      <c r="AZ211" s="13">
        <f t="shared" si="41"/>
        <v>10</v>
      </c>
      <c r="BA211" s="13">
        <f t="shared" si="41"/>
        <v>1</v>
      </c>
      <c r="BB211" s="13">
        <f t="shared" si="41"/>
        <v>11</v>
      </c>
      <c r="BC211" s="13">
        <f t="shared" si="41"/>
        <v>15</v>
      </c>
      <c r="BD211" s="13">
        <f t="shared" si="41"/>
        <v>34</v>
      </c>
      <c r="BE211" s="13">
        <f t="shared" si="41"/>
        <v>48</v>
      </c>
      <c r="BF211" s="13">
        <f t="shared" si="41"/>
        <v>27</v>
      </c>
      <c r="BG211" s="13">
        <f t="shared" si="41"/>
        <v>0</v>
      </c>
      <c r="BH211" s="13">
        <f t="shared" si="41"/>
        <v>3</v>
      </c>
      <c r="BI211" s="13">
        <f t="shared" si="41"/>
        <v>0</v>
      </c>
      <c r="BJ211" s="13">
        <f t="shared" si="41"/>
        <v>11</v>
      </c>
      <c r="BK211" s="13">
        <f t="shared" si="41"/>
        <v>19</v>
      </c>
      <c r="BL211" s="13">
        <f t="shared" si="40"/>
        <v>587</v>
      </c>
      <c r="BM211" s="5"/>
      <c r="BN211" s="5"/>
    </row>
    <row r="212" ht="12.75" customHeight="1">
      <c r="A212" s="24"/>
      <c r="B212" s="15"/>
      <c r="C212" s="15"/>
      <c r="D212" s="15"/>
      <c r="E212" s="16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5"/>
      <c r="BN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0.0</v>
      </c>
      <c r="I213" s="19">
        <v>0.0</v>
      </c>
      <c r="J213" s="19">
        <v>3.0</v>
      </c>
      <c r="K213" s="19">
        <v>1.0</v>
      </c>
      <c r="L213" s="19">
        <v>0.0</v>
      </c>
      <c r="M213" s="19">
        <v>1.0</v>
      </c>
      <c r="N213" s="19">
        <v>1.0</v>
      </c>
      <c r="O213" s="19">
        <v>0.0</v>
      </c>
      <c r="P213" s="19">
        <v>0.0</v>
      </c>
      <c r="Q213" s="19">
        <v>0.0</v>
      </c>
      <c r="R213" s="19">
        <v>0.0</v>
      </c>
      <c r="S213" s="19">
        <v>1.0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1.0</v>
      </c>
      <c r="AC213" s="19">
        <v>0.0</v>
      </c>
      <c r="AD213" s="19">
        <v>0.0</v>
      </c>
      <c r="AE213" s="19">
        <v>2.0</v>
      </c>
      <c r="AF213" s="19">
        <v>4.0</v>
      </c>
      <c r="AG213" s="19">
        <v>0.0</v>
      </c>
      <c r="AH213" s="19">
        <v>3.0</v>
      </c>
      <c r="AI213" s="19">
        <v>1.0</v>
      </c>
      <c r="AJ213" s="19">
        <v>0.0</v>
      </c>
      <c r="AK213" s="19">
        <v>1.0</v>
      </c>
      <c r="AL213" s="19">
        <v>4.0</v>
      </c>
      <c r="AM213" s="19">
        <v>6.0</v>
      </c>
      <c r="AN213" s="19">
        <v>1.0</v>
      </c>
      <c r="AO213" s="19">
        <v>0.0</v>
      </c>
      <c r="AP213" s="19">
        <v>0.0</v>
      </c>
      <c r="AQ213" s="19">
        <v>0.0</v>
      </c>
      <c r="AR213" s="19">
        <v>1.0</v>
      </c>
      <c r="AS213" s="19">
        <v>3.0</v>
      </c>
      <c r="AT213" s="19">
        <v>0.0</v>
      </c>
      <c r="AU213" s="19">
        <v>1.0</v>
      </c>
      <c r="AV213" s="19">
        <v>0.0</v>
      </c>
      <c r="AW213" s="19">
        <v>0.0</v>
      </c>
      <c r="AX213" s="19">
        <v>0.0</v>
      </c>
      <c r="AY213" s="19">
        <v>1.0</v>
      </c>
      <c r="AZ213" s="19">
        <v>0.0</v>
      </c>
      <c r="BA213" s="19">
        <v>1.0</v>
      </c>
      <c r="BB213" s="19">
        <v>0.0</v>
      </c>
      <c r="BC213" s="19">
        <v>2.0</v>
      </c>
      <c r="BD213" s="19">
        <v>1.0</v>
      </c>
      <c r="BE213" s="19">
        <v>0.0</v>
      </c>
      <c r="BF213" s="19">
        <v>0.0</v>
      </c>
      <c r="BG213" s="19">
        <v>0.0</v>
      </c>
      <c r="BH213" s="19">
        <v>1.0</v>
      </c>
      <c r="BI213" s="19">
        <v>1.0</v>
      </c>
      <c r="BJ213" s="19">
        <v>3.0</v>
      </c>
      <c r="BK213" s="19">
        <v>4.0</v>
      </c>
      <c r="BL213" s="13">
        <f t="shared" ref="BL213:BL223" si="42">SUM(E213:BK213)</f>
        <v>50</v>
      </c>
      <c r="BM213" s="5"/>
      <c r="BN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3.0</v>
      </c>
      <c r="G214" s="19">
        <v>0.0</v>
      </c>
      <c r="H214" s="19">
        <v>5.0</v>
      </c>
      <c r="I214" s="19">
        <v>0.0</v>
      </c>
      <c r="J214" s="19">
        <v>2.0</v>
      </c>
      <c r="K214" s="19">
        <v>1.0</v>
      </c>
      <c r="L214" s="19">
        <v>1.0</v>
      </c>
      <c r="M214" s="19">
        <v>1.0</v>
      </c>
      <c r="N214" s="19">
        <v>2.0</v>
      </c>
      <c r="O214" s="19">
        <v>0.0</v>
      </c>
      <c r="P214" s="19">
        <v>1.0</v>
      </c>
      <c r="Q214" s="19">
        <v>3.0</v>
      </c>
      <c r="R214" s="19">
        <v>1.0</v>
      </c>
      <c r="S214" s="19">
        <v>2.0</v>
      </c>
      <c r="T214" s="19">
        <v>0.0</v>
      </c>
      <c r="U214" s="19">
        <v>1.0</v>
      </c>
      <c r="V214" s="19">
        <v>2.0</v>
      </c>
      <c r="W214" s="19">
        <v>1.0</v>
      </c>
      <c r="X214" s="19">
        <v>0.0</v>
      </c>
      <c r="Y214" s="19">
        <v>1.0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5.0</v>
      </c>
      <c r="AE214" s="19">
        <v>1.0</v>
      </c>
      <c r="AF214" s="19">
        <v>1.0</v>
      </c>
      <c r="AG214" s="19">
        <v>1.0</v>
      </c>
      <c r="AH214" s="19">
        <v>2.0</v>
      </c>
      <c r="AI214" s="19">
        <v>0.0</v>
      </c>
      <c r="AJ214" s="19">
        <v>0.0</v>
      </c>
      <c r="AK214" s="19">
        <v>0.0</v>
      </c>
      <c r="AL214" s="19">
        <v>1.0</v>
      </c>
      <c r="AM214" s="19">
        <v>0.0</v>
      </c>
      <c r="AN214" s="19">
        <v>1.0</v>
      </c>
      <c r="AO214" s="19">
        <v>2.0</v>
      </c>
      <c r="AP214" s="19">
        <v>0.0</v>
      </c>
      <c r="AQ214" s="19">
        <v>0.0</v>
      </c>
      <c r="AR214" s="19">
        <v>0.0</v>
      </c>
      <c r="AS214" s="19">
        <v>1.0</v>
      </c>
      <c r="AT214" s="19">
        <v>0.0</v>
      </c>
      <c r="AU214" s="19">
        <v>0.0</v>
      </c>
      <c r="AV214" s="19">
        <v>0.0</v>
      </c>
      <c r="AW214" s="19">
        <v>0.0</v>
      </c>
      <c r="AX214" s="19">
        <v>0.0</v>
      </c>
      <c r="AY214" s="19">
        <v>0.0</v>
      </c>
      <c r="AZ214" s="19">
        <v>1.0</v>
      </c>
      <c r="BA214" s="19">
        <v>0.0</v>
      </c>
      <c r="BB214" s="19">
        <v>0.0</v>
      </c>
      <c r="BC214" s="19">
        <v>1.0</v>
      </c>
      <c r="BD214" s="19">
        <v>0.0</v>
      </c>
      <c r="BE214" s="19">
        <v>2.0</v>
      </c>
      <c r="BF214" s="19">
        <v>1.0</v>
      </c>
      <c r="BG214" s="19">
        <v>1.0</v>
      </c>
      <c r="BH214" s="19">
        <v>2.0</v>
      </c>
      <c r="BI214" s="19">
        <v>0.0</v>
      </c>
      <c r="BJ214" s="19">
        <v>1.0</v>
      </c>
      <c r="BK214" s="19">
        <v>1.0</v>
      </c>
      <c r="BL214" s="13">
        <f t="shared" si="42"/>
        <v>53</v>
      </c>
      <c r="BM214" s="5"/>
      <c r="BN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1.0</v>
      </c>
      <c r="H215" s="19">
        <v>0.0</v>
      </c>
      <c r="I215" s="19">
        <v>0.0</v>
      </c>
      <c r="J215" s="19">
        <v>0.0</v>
      </c>
      <c r="K215" s="19">
        <v>2.0</v>
      </c>
      <c r="L215" s="19">
        <v>1.0</v>
      </c>
      <c r="M215" s="19">
        <v>0.0</v>
      </c>
      <c r="N215" s="19">
        <v>3.0</v>
      </c>
      <c r="O215" s="19">
        <v>2.0</v>
      </c>
      <c r="P215" s="19">
        <v>1.0</v>
      </c>
      <c r="Q215" s="19">
        <v>2.0</v>
      </c>
      <c r="R215" s="19">
        <v>8.0</v>
      </c>
      <c r="S215" s="19">
        <v>34.0</v>
      </c>
      <c r="T215" s="19">
        <v>1.0</v>
      </c>
      <c r="U215" s="19">
        <v>6.0</v>
      </c>
      <c r="V215" s="19">
        <v>6.0</v>
      </c>
      <c r="W215" s="19">
        <v>7.0</v>
      </c>
      <c r="X215" s="19">
        <v>0.0</v>
      </c>
      <c r="Y215" s="19">
        <v>6.0</v>
      </c>
      <c r="Z215" s="19">
        <v>3.0</v>
      </c>
      <c r="AA215" s="19">
        <v>2.0</v>
      </c>
      <c r="AB215" s="19">
        <v>0.0</v>
      </c>
      <c r="AC215" s="19">
        <v>0.0</v>
      </c>
      <c r="AD215" s="19">
        <v>2.0</v>
      </c>
      <c r="AE215" s="19">
        <v>1.0</v>
      </c>
      <c r="AF215" s="19">
        <v>0.0</v>
      </c>
      <c r="AG215" s="19">
        <v>0.0</v>
      </c>
      <c r="AH215" s="19">
        <v>0.0</v>
      </c>
      <c r="AI215" s="19">
        <v>0.0</v>
      </c>
      <c r="AJ215" s="19">
        <v>1.0</v>
      </c>
      <c r="AK215" s="19">
        <v>0.0</v>
      </c>
      <c r="AL215" s="19">
        <v>0.0</v>
      </c>
      <c r="AM215" s="19">
        <v>0.0</v>
      </c>
      <c r="AN215" s="19">
        <v>0.0</v>
      </c>
      <c r="AO215" s="19">
        <v>2.0</v>
      </c>
      <c r="AP215" s="19">
        <v>0.0</v>
      </c>
      <c r="AQ215" s="19">
        <v>0.0</v>
      </c>
      <c r="AR215" s="19">
        <v>0.0</v>
      </c>
      <c r="AS215" s="19">
        <v>1.0</v>
      </c>
      <c r="AT215" s="19">
        <v>0.0</v>
      </c>
      <c r="AU215" s="19">
        <v>0.0</v>
      </c>
      <c r="AV215" s="19">
        <v>0.0</v>
      </c>
      <c r="AW215" s="19">
        <v>0.0</v>
      </c>
      <c r="AX215" s="19">
        <v>0.0</v>
      </c>
      <c r="AY215" s="19">
        <v>1.0</v>
      </c>
      <c r="AZ215" s="19">
        <v>3.0</v>
      </c>
      <c r="BA215" s="19">
        <v>0.0</v>
      </c>
      <c r="BB215" s="19">
        <v>0.0</v>
      </c>
      <c r="BC215" s="19">
        <v>0.0</v>
      </c>
      <c r="BD215" s="19">
        <v>2.0</v>
      </c>
      <c r="BE215" s="19">
        <v>1.0</v>
      </c>
      <c r="BF215" s="19">
        <v>0.0</v>
      </c>
      <c r="BG215" s="19">
        <v>0.0</v>
      </c>
      <c r="BH215" s="19">
        <v>30.0</v>
      </c>
      <c r="BI215" s="19">
        <v>88.0</v>
      </c>
      <c r="BJ215" s="19">
        <v>1.0</v>
      </c>
      <c r="BK215" s="19">
        <v>0.0</v>
      </c>
      <c r="BL215" s="13">
        <f t="shared" si="42"/>
        <v>218</v>
      </c>
      <c r="BM215" s="5"/>
      <c r="BN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1.0</v>
      </c>
      <c r="O216" s="19">
        <v>0.0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1.0</v>
      </c>
      <c r="AG216" s="19">
        <v>1.0</v>
      </c>
      <c r="AH216" s="19">
        <v>2.0</v>
      </c>
      <c r="AI216" s="19">
        <v>0.0</v>
      </c>
      <c r="AJ216" s="19">
        <v>0.0</v>
      </c>
      <c r="AK216" s="19">
        <v>1.0</v>
      </c>
      <c r="AL216" s="19">
        <v>3.0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9">
        <v>0.0</v>
      </c>
      <c r="AY216" s="19">
        <v>0.0</v>
      </c>
      <c r="AZ216" s="19">
        <v>0.0</v>
      </c>
      <c r="BA216" s="19">
        <v>1.0</v>
      </c>
      <c r="BB216" s="19">
        <v>0.0</v>
      </c>
      <c r="BC216" s="19">
        <v>0.0</v>
      </c>
      <c r="BD216" s="19">
        <v>0.0</v>
      </c>
      <c r="BE216" s="19">
        <v>0.0</v>
      </c>
      <c r="BF216" s="19">
        <v>0.0</v>
      </c>
      <c r="BG216" s="19">
        <v>0.0</v>
      </c>
      <c r="BH216" s="19">
        <v>0.0</v>
      </c>
      <c r="BI216" s="19">
        <v>0.0</v>
      </c>
      <c r="BJ216" s="19">
        <v>1.0</v>
      </c>
      <c r="BK216" s="19">
        <v>1.0</v>
      </c>
      <c r="BL216" s="13">
        <f t="shared" si="42"/>
        <v>15</v>
      </c>
      <c r="BM216" s="5"/>
      <c r="BN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1.0</v>
      </c>
      <c r="N217" s="19">
        <v>1.0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1.0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0.0</v>
      </c>
      <c r="BB217" s="19">
        <v>0.0</v>
      </c>
      <c r="BC217" s="19">
        <v>0.0</v>
      </c>
      <c r="BD217" s="19">
        <v>0.0</v>
      </c>
      <c r="BE217" s="19">
        <v>0.0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9">
        <v>0.0</v>
      </c>
      <c r="BL217" s="13">
        <f t="shared" si="42"/>
        <v>3</v>
      </c>
      <c r="BM217" s="5"/>
      <c r="BN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1.0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1.0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0.0</v>
      </c>
      <c r="BD218" s="19">
        <v>0.0</v>
      </c>
      <c r="BE218" s="19">
        <v>0.0</v>
      </c>
      <c r="BF218" s="19">
        <v>0.0</v>
      </c>
      <c r="BG218" s="19">
        <v>0.0</v>
      </c>
      <c r="BH218" s="19">
        <v>1.0</v>
      </c>
      <c r="BI218" s="19">
        <v>0.0</v>
      </c>
      <c r="BJ218" s="19">
        <v>0.0</v>
      </c>
      <c r="BK218" s="19">
        <v>0.0</v>
      </c>
      <c r="BL218" s="13">
        <f t="shared" si="42"/>
        <v>4</v>
      </c>
      <c r="BM218" s="1"/>
      <c r="BN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1.0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1.0</v>
      </c>
      <c r="AY219" s="19">
        <v>0.0</v>
      </c>
      <c r="AZ219" s="19">
        <v>0.0</v>
      </c>
      <c r="BA219" s="19">
        <v>0.0</v>
      </c>
      <c r="BB219" s="19">
        <v>0.0</v>
      </c>
      <c r="BC219" s="19">
        <v>0.0</v>
      </c>
      <c r="BD219" s="19">
        <v>0.0</v>
      </c>
      <c r="BE219" s="19">
        <v>0.0</v>
      </c>
      <c r="BF219" s="19">
        <v>0.0</v>
      </c>
      <c r="BG219" s="19">
        <v>0.0</v>
      </c>
      <c r="BH219" s="19">
        <v>0.0</v>
      </c>
      <c r="BI219" s="19">
        <v>0.0</v>
      </c>
      <c r="BJ219" s="19">
        <v>0.0</v>
      </c>
      <c r="BK219" s="19">
        <v>0.0</v>
      </c>
      <c r="BL219" s="13">
        <f t="shared" si="42"/>
        <v>2</v>
      </c>
      <c r="BM219" s="52"/>
      <c r="BN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1.0</v>
      </c>
      <c r="AO220" s="19">
        <v>1.0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1.0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9">
        <v>0.0</v>
      </c>
      <c r="BC220" s="19">
        <v>0.0</v>
      </c>
      <c r="BD220" s="19">
        <v>0.0</v>
      </c>
      <c r="BE220" s="19">
        <v>0.0</v>
      </c>
      <c r="BF220" s="19">
        <v>0.0</v>
      </c>
      <c r="BG220" s="19">
        <v>0.0</v>
      </c>
      <c r="BH220" s="19">
        <v>1.0</v>
      </c>
      <c r="BI220" s="19">
        <v>0.0</v>
      </c>
      <c r="BJ220" s="19">
        <v>0.0</v>
      </c>
      <c r="BK220" s="19">
        <v>0.0</v>
      </c>
      <c r="BL220" s="13">
        <f t="shared" si="42"/>
        <v>4</v>
      </c>
      <c r="BM220" s="5"/>
      <c r="BN220" s="5"/>
    </row>
    <row r="221" ht="12.75" customHeight="1">
      <c r="A221" s="18"/>
      <c r="B221" s="70"/>
      <c r="C221" s="71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3">
        <f t="shared" si="42"/>
        <v>0</v>
      </c>
      <c r="BM221" s="5"/>
      <c r="BN221" s="5"/>
    </row>
    <row r="222" ht="12.75" customHeight="1">
      <c r="A222" s="18"/>
      <c r="B222" s="70"/>
      <c r="C222" s="71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3">
        <f t="shared" si="42"/>
        <v>0</v>
      </c>
      <c r="BM222" s="5"/>
      <c r="BN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BK223" si="43">SUM(E213:E220)</f>
        <v>2</v>
      </c>
      <c r="F223" s="13">
        <f t="shared" si="43"/>
        <v>3</v>
      </c>
      <c r="G223" s="13">
        <f t="shared" si="43"/>
        <v>1</v>
      </c>
      <c r="H223" s="13">
        <f t="shared" si="43"/>
        <v>5</v>
      </c>
      <c r="I223" s="13">
        <f t="shared" si="43"/>
        <v>0</v>
      </c>
      <c r="J223" s="13">
        <f t="shared" si="43"/>
        <v>5</v>
      </c>
      <c r="K223" s="13">
        <f t="shared" si="43"/>
        <v>4</v>
      </c>
      <c r="L223" s="13">
        <f t="shared" si="43"/>
        <v>3</v>
      </c>
      <c r="M223" s="13">
        <f t="shared" si="43"/>
        <v>3</v>
      </c>
      <c r="N223" s="13">
        <f t="shared" si="43"/>
        <v>8</v>
      </c>
      <c r="O223" s="13">
        <f t="shared" si="43"/>
        <v>2</v>
      </c>
      <c r="P223" s="13">
        <f t="shared" si="43"/>
        <v>2</v>
      </c>
      <c r="Q223" s="13">
        <f t="shared" si="43"/>
        <v>6</v>
      </c>
      <c r="R223" s="13">
        <f t="shared" si="43"/>
        <v>10</v>
      </c>
      <c r="S223" s="13">
        <f t="shared" si="43"/>
        <v>37</v>
      </c>
      <c r="T223" s="13">
        <f t="shared" si="43"/>
        <v>1</v>
      </c>
      <c r="U223" s="13">
        <f t="shared" si="43"/>
        <v>7</v>
      </c>
      <c r="V223" s="13">
        <f t="shared" si="43"/>
        <v>8</v>
      </c>
      <c r="W223" s="13">
        <f t="shared" si="43"/>
        <v>8</v>
      </c>
      <c r="X223" s="13">
        <f t="shared" si="43"/>
        <v>0</v>
      </c>
      <c r="Y223" s="13">
        <f t="shared" si="43"/>
        <v>7</v>
      </c>
      <c r="Z223" s="13">
        <f t="shared" si="43"/>
        <v>3</v>
      </c>
      <c r="AA223" s="13">
        <f t="shared" si="43"/>
        <v>2</v>
      </c>
      <c r="AB223" s="13">
        <f t="shared" si="43"/>
        <v>1</v>
      </c>
      <c r="AC223" s="13">
        <f t="shared" si="43"/>
        <v>1</v>
      </c>
      <c r="AD223" s="13">
        <f t="shared" si="43"/>
        <v>7</v>
      </c>
      <c r="AE223" s="13">
        <f t="shared" si="43"/>
        <v>4</v>
      </c>
      <c r="AF223" s="13">
        <f t="shared" si="43"/>
        <v>7</v>
      </c>
      <c r="AG223" s="13">
        <f t="shared" si="43"/>
        <v>2</v>
      </c>
      <c r="AH223" s="13">
        <f t="shared" si="43"/>
        <v>8</v>
      </c>
      <c r="AI223" s="13">
        <f t="shared" si="43"/>
        <v>1</v>
      </c>
      <c r="AJ223" s="13">
        <f t="shared" si="43"/>
        <v>3</v>
      </c>
      <c r="AK223" s="13">
        <f t="shared" si="43"/>
        <v>2</v>
      </c>
      <c r="AL223" s="13">
        <f t="shared" si="43"/>
        <v>8</v>
      </c>
      <c r="AM223" s="13">
        <f t="shared" si="43"/>
        <v>6</v>
      </c>
      <c r="AN223" s="13">
        <f t="shared" si="43"/>
        <v>3</v>
      </c>
      <c r="AO223" s="13">
        <f t="shared" si="43"/>
        <v>5</v>
      </c>
      <c r="AP223" s="13">
        <f t="shared" si="43"/>
        <v>0</v>
      </c>
      <c r="AQ223" s="13">
        <f t="shared" si="43"/>
        <v>0</v>
      </c>
      <c r="AR223" s="13">
        <f t="shared" si="43"/>
        <v>1</v>
      </c>
      <c r="AS223" s="13">
        <f t="shared" si="43"/>
        <v>5</v>
      </c>
      <c r="AT223" s="13">
        <f t="shared" si="43"/>
        <v>0</v>
      </c>
      <c r="AU223" s="13">
        <f t="shared" si="43"/>
        <v>2</v>
      </c>
      <c r="AV223" s="13">
        <f t="shared" si="43"/>
        <v>0</v>
      </c>
      <c r="AW223" s="13">
        <f t="shared" si="43"/>
        <v>0</v>
      </c>
      <c r="AX223" s="13">
        <f t="shared" si="43"/>
        <v>1</v>
      </c>
      <c r="AY223" s="13">
        <f t="shared" si="43"/>
        <v>2</v>
      </c>
      <c r="AZ223" s="13">
        <f t="shared" si="43"/>
        <v>4</v>
      </c>
      <c r="BA223" s="13">
        <f t="shared" si="43"/>
        <v>2</v>
      </c>
      <c r="BB223" s="13">
        <f t="shared" si="43"/>
        <v>0</v>
      </c>
      <c r="BC223" s="13">
        <f t="shared" si="43"/>
        <v>3</v>
      </c>
      <c r="BD223" s="13">
        <f t="shared" si="43"/>
        <v>3</v>
      </c>
      <c r="BE223" s="13">
        <f t="shared" si="43"/>
        <v>3</v>
      </c>
      <c r="BF223" s="13">
        <f t="shared" si="43"/>
        <v>1</v>
      </c>
      <c r="BG223" s="13">
        <f t="shared" si="43"/>
        <v>1</v>
      </c>
      <c r="BH223" s="13">
        <f t="shared" si="43"/>
        <v>35</v>
      </c>
      <c r="BI223" s="13">
        <f t="shared" si="43"/>
        <v>89</v>
      </c>
      <c r="BJ223" s="13">
        <f t="shared" si="43"/>
        <v>6</v>
      </c>
      <c r="BK223" s="13">
        <f t="shared" si="43"/>
        <v>6</v>
      </c>
      <c r="BL223" s="13">
        <f t="shared" si="42"/>
        <v>349</v>
      </c>
      <c r="BM223" s="5"/>
      <c r="BN223" s="5"/>
    </row>
    <row r="224" ht="12.75" customHeight="1">
      <c r="A224" s="24"/>
      <c r="B224" s="15"/>
      <c r="C224" s="15"/>
      <c r="D224" s="15"/>
      <c r="E224" s="16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5"/>
      <c r="BN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1.0</v>
      </c>
      <c r="AK225" s="19">
        <v>0.0</v>
      </c>
      <c r="AL225" s="19">
        <v>1.0</v>
      </c>
      <c r="AM225" s="19">
        <v>0.0</v>
      </c>
      <c r="AN225" s="19">
        <v>0.0</v>
      </c>
      <c r="AO225" s="19">
        <v>1.0</v>
      </c>
      <c r="AP225" s="19">
        <v>0.0</v>
      </c>
      <c r="AQ225" s="19">
        <v>1.0</v>
      </c>
      <c r="AR225" s="19">
        <v>1.0</v>
      </c>
      <c r="AS225" s="19">
        <v>1.0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0.0</v>
      </c>
      <c r="BB225" s="19">
        <v>0.0</v>
      </c>
      <c r="BC225" s="19">
        <v>0.0</v>
      </c>
      <c r="BD225" s="19">
        <v>0.0</v>
      </c>
      <c r="BE225" s="19">
        <v>0.0</v>
      </c>
      <c r="BF225" s="19">
        <v>0.0</v>
      </c>
      <c r="BG225" s="19">
        <v>0.0</v>
      </c>
      <c r="BH225" s="19">
        <v>0.0</v>
      </c>
      <c r="BI225" s="19">
        <v>0.0</v>
      </c>
      <c r="BJ225" s="19">
        <v>0.0</v>
      </c>
      <c r="BK225" s="19">
        <v>0.0</v>
      </c>
      <c r="BL225" s="13">
        <f t="shared" ref="BL225:BL235" si="44">SUM(E225:BK225)</f>
        <v>8</v>
      </c>
      <c r="BM225" s="5"/>
      <c r="BN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2.0</v>
      </c>
      <c r="I226" s="19">
        <v>0.0</v>
      </c>
      <c r="J226" s="19">
        <v>2.0</v>
      </c>
      <c r="K226" s="19">
        <v>0.0</v>
      </c>
      <c r="L226" s="19">
        <v>0.0</v>
      </c>
      <c r="M226" s="19">
        <v>3.0</v>
      </c>
      <c r="N226" s="19">
        <v>1.0</v>
      </c>
      <c r="O226" s="19">
        <v>2.0</v>
      </c>
      <c r="P226" s="19">
        <v>4.0</v>
      </c>
      <c r="Q226" s="19">
        <v>0.0</v>
      </c>
      <c r="R226" s="19">
        <v>1.0</v>
      </c>
      <c r="S226" s="19">
        <v>1.0</v>
      </c>
      <c r="T226" s="19">
        <v>0.0</v>
      </c>
      <c r="U226" s="19">
        <v>2.0</v>
      </c>
      <c r="V226" s="19">
        <v>0.0</v>
      </c>
      <c r="W226" s="19">
        <v>0.0</v>
      </c>
      <c r="X226" s="19">
        <v>2.0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0.0</v>
      </c>
      <c r="AD226" s="19">
        <v>0.0</v>
      </c>
      <c r="AE226" s="19">
        <v>4.0</v>
      </c>
      <c r="AF226" s="19">
        <v>0.0</v>
      </c>
      <c r="AG226" s="19">
        <v>2.0</v>
      </c>
      <c r="AH226" s="19">
        <v>0.0</v>
      </c>
      <c r="AI226" s="19">
        <v>0.0</v>
      </c>
      <c r="AJ226" s="19">
        <v>3.0</v>
      </c>
      <c r="AK226" s="19">
        <v>1.0</v>
      </c>
      <c r="AL226" s="19">
        <v>0.0</v>
      </c>
      <c r="AM226" s="19">
        <v>0.0</v>
      </c>
      <c r="AN226" s="19">
        <v>0.0</v>
      </c>
      <c r="AO226" s="19">
        <v>1.0</v>
      </c>
      <c r="AP226" s="19">
        <v>0.0</v>
      </c>
      <c r="AQ226" s="19">
        <v>1.0</v>
      </c>
      <c r="AR226" s="19">
        <v>0.0</v>
      </c>
      <c r="AS226" s="19">
        <v>12.0</v>
      </c>
      <c r="AT226" s="19">
        <v>4.0</v>
      </c>
      <c r="AU226" s="19">
        <v>0.0</v>
      </c>
      <c r="AV226" s="19">
        <v>0.0</v>
      </c>
      <c r="AW226" s="19">
        <v>0.0</v>
      </c>
      <c r="AX226" s="19">
        <v>0.0</v>
      </c>
      <c r="AY226" s="19">
        <v>0.0</v>
      </c>
      <c r="AZ226" s="19">
        <v>2.0</v>
      </c>
      <c r="BA226" s="19">
        <v>0.0</v>
      </c>
      <c r="BB226" s="19">
        <v>0.0</v>
      </c>
      <c r="BC226" s="19">
        <v>0.0</v>
      </c>
      <c r="BD226" s="19">
        <v>2.0</v>
      </c>
      <c r="BE226" s="19">
        <v>0.0</v>
      </c>
      <c r="BF226" s="19">
        <v>0.0</v>
      </c>
      <c r="BG226" s="19">
        <v>0.0</v>
      </c>
      <c r="BH226" s="19">
        <v>0.0</v>
      </c>
      <c r="BI226" s="19">
        <v>0.0</v>
      </c>
      <c r="BJ226" s="19">
        <v>0.0</v>
      </c>
      <c r="BK226" s="19">
        <v>0.0</v>
      </c>
      <c r="BL226" s="13">
        <f t="shared" si="44"/>
        <v>52</v>
      </c>
      <c r="BM226" s="5"/>
      <c r="BN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1.0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1.0</v>
      </c>
      <c r="BC227" s="19">
        <v>0.0</v>
      </c>
      <c r="BD227" s="19">
        <v>0.0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9">
        <v>0.0</v>
      </c>
      <c r="BL227" s="13">
        <f t="shared" si="44"/>
        <v>2</v>
      </c>
      <c r="BM227" s="5"/>
      <c r="BN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1.0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1.0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9">
        <v>0.0</v>
      </c>
      <c r="BG228" s="19">
        <v>0.0</v>
      </c>
      <c r="BH228" s="19">
        <v>0.0</v>
      </c>
      <c r="BI228" s="19">
        <v>0.0</v>
      </c>
      <c r="BJ228" s="19">
        <v>0.0</v>
      </c>
      <c r="BK228" s="19">
        <v>0.0</v>
      </c>
      <c r="BL228" s="13">
        <f t="shared" si="44"/>
        <v>2</v>
      </c>
      <c r="BM228" s="5"/>
      <c r="BN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1.0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0.0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9">
        <v>0.0</v>
      </c>
      <c r="BL229" s="13">
        <f t="shared" si="44"/>
        <v>1</v>
      </c>
      <c r="BM229" s="1"/>
      <c r="BN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1.0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0.0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9">
        <v>0.0</v>
      </c>
      <c r="BL230" s="13">
        <f t="shared" si="44"/>
        <v>1</v>
      </c>
      <c r="BM230" s="52"/>
      <c r="BN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9">
        <v>0.0</v>
      </c>
      <c r="BL231" s="13">
        <f t="shared" si="44"/>
        <v>0</v>
      </c>
      <c r="BM231" s="5"/>
      <c r="BN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1.0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1.0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0.0</v>
      </c>
      <c r="BH232" s="19">
        <v>0.0</v>
      </c>
      <c r="BI232" s="19">
        <v>0.0</v>
      </c>
      <c r="BJ232" s="19">
        <v>0.0</v>
      </c>
      <c r="BK232" s="19">
        <v>0.0</v>
      </c>
      <c r="BL232" s="13">
        <f t="shared" si="44"/>
        <v>3</v>
      </c>
      <c r="BM232" s="5"/>
      <c r="BN232" s="5"/>
    </row>
    <row r="233" ht="12.75" customHeight="1">
      <c r="A233" s="18"/>
      <c r="B233" s="70"/>
      <c r="C233" s="71"/>
      <c r="D233" s="7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3">
        <f t="shared" si="44"/>
        <v>0</v>
      </c>
      <c r="BM233" s="5"/>
      <c r="BN233" s="5"/>
    </row>
    <row r="234" ht="12.75" customHeight="1">
      <c r="A234" s="18"/>
      <c r="B234" s="70"/>
      <c r="C234" s="71"/>
      <c r="D234" s="7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3">
        <f t="shared" si="44"/>
        <v>0</v>
      </c>
      <c r="BM234" s="5"/>
      <c r="BN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BK235" si="45">SUM(E225:E232)</f>
        <v>0</v>
      </c>
      <c r="F235" s="13">
        <f t="shared" si="45"/>
        <v>0</v>
      </c>
      <c r="G235" s="13">
        <f t="shared" si="45"/>
        <v>2</v>
      </c>
      <c r="H235" s="13">
        <f t="shared" si="45"/>
        <v>3</v>
      </c>
      <c r="I235" s="13">
        <f t="shared" si="45"/>
        <v>1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3</v>
      </c>
      <c r="N235" s="13">
        <f t="shared" si="45"/>
        <v>1</v>
      </c>
      <c r="O235" s="13">
        <f t="shared" si="45"/>
        <v>3</v>
      </c>
      <c r="P235" s="13">
        <f t="shared" si="45"/>
        <v>4</v>
      </c>
      <c r="Q235" s="13">
        <f t="shared" si="45"/>
        <v>0</v>
      </c>
      <c r="R235" s="13">
        <f t="shared" si="45"/>
        <v>1</v>
      </c>
      <c r="S235" s="13">
        <f t="shared" si="45"/>
        <v>1</v>
      </c>
      <c r="T235" s="13">
        <f t="shared" si="45"/>
        <v>0</v>
      </c>
      <c r="U235" s="13">
        <f t="shared" si="45"/>
        <v>2</v>
      </c>
      <c r="V235" s="13">
        <f t="shared" si="45"/>
        <v>0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4</v>
      </c>
      <c r="AF235" s="13">
        <f t="shared" si="45"/>
        <v>1</v>
      </c>
      <c r="AG235" s="13">
        <f t="shared" si="45"/>
        <v>2</v>
      </c>
      <c r="AH235" s="13">
        <f t="shared" si="45"/>
        <v>0</v>
      </c>
      <c r="AI235" s="13">
        <f t="shared" si="45"/>
        <v>0</v>
      </c>
      <c r="AJ235" s="13">
        <f t="shared" si="45"/>
        <v>4</v>
      </c>
      <c r="AK235" s="13">
        <f t="shared" si="45"/>
        <v>1</v>
      </c>
      <c r="AL235" s="13">
        <f t="shared" si="45"/>
        <v>1</v>
      </c>
      <c r="AM235" s="13">
        <f t="shared" si="45"/>
        <v>0</v>
      </c>
      <c r="AN235" s="13">
        <f t="shared" si="45"/>
        <v>0</v>
      </c>
      <c r="AO235" s="13">
        <f t="shared" si="45"/>
        <v>2</v>
      </c>
      <c r="AP235" s="13">
        <f t="shared" si="45"/>
        <v>0</v>
      </c>
      <c r="AQ235" s="13">
        <f t="shared" si="45"/>
        <v>4</v>
      </c>
      <c r="AR235" s="13">
        <f t="shared" si="45"/>
        <v>1</v>
      </c>
      <c r="AS235" s="13">
        <f t="shared" si="45"/>
        <v>15</v>
      </c>
      <c r="AT235" s="13">
        <f t="shared" si="45"/>
        <v>4</v>
      </c>
      <c r="AU235" s="13">
        <f t="shared" si="45"/>
        <v>0</v>
      </c>
      <c r="AV235" s="13">
        <f t="shared" si="45"/>
        <v>0</v>
      </c>
      <c r="AW235" s="13">
        <f t="shared" si="45"/>
        <v>0</v>
      </c>
      <c r="AX235" s="13">
        <f t="shared" si="45"/>
        <v>0</v>
      </c>
      <c r="AY235" s="13">
        <f t="shared" si="45"/>
        <v>0</v>
      </c>
      <c r="AZ235" s="13">
        <f t="shared" si="45"/>
        <v>2</v>
      </c>
      <c r="BA235" s="13">
        <f t="shared" si="45"/>
        <v>0</v>
      </c>
      <c r="BB235" s="13">
        <f t="shared" si="45"/>
        <v>1</v>
      </c>
      <c r="BC235" s="13">
        <f t="shared" si="45"/>
        <v>0</v>
      </c>
      <c r="BD235" s="13">
        <f t="shared" si="45"/>
        <v>2</v>
      </c>
      <c r="BE235" s="13">
        <f t="shared" si="45"/>
        <v>0</v>
      </c>
      <c r="BF235" s="13">
        <f t="shared" si="45"/>
        <v>0</v>
      </c>
      <c r="BG235" s="13">
        <f t="shared" si="45"/>
        <v>0</v>
      </c>
      <c r="BH235" s="13">
        <f t="shared" si="45"/>
        <v>0</v>
      </c>
      <c r="BI235" s="13">
        <f t="shared" si="45"/>
        <v>0</v>
      </c>
      <c r="BJ235" s="13">
        <f t="shared" si="45"/>
        <v>0</v>
      </c>
      <c r="BK235" s="13">
        <f t="shared" si="45"/>
        <v>0</v>
      </c>
      <c r="BL235" s="13">
        <f t="shared" si="44"/>
        <v>69</v>
      </c>
      <c r="BM235" s="5"/>
      <c r="BN235" s="5"/>
    </row>
    <row r="236" ht="12.75" customHeight="1">
      <c r="A236" s="24"/>
      <c r="B236" s="15"/>
      <c r="C236" s="15"/>
      <c r="D236" s="15"/>
      <c r="E236" s="16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5"/>
      <c r="BN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3.0</v>
      </c>
      <c r="G237" s="19">
        <v>0.0</v>
      </c>
      <c r="H237" s="19">
        <v>0.0</v>
      </c>
      <c r="I237" s="19">
        <v>2.0</v>
      </c>
      <c r="J237" s="19">
        <v>3.0</v>
      </c>
      <c r="K237" s="19">
        <v>2.0</v>
      </c>
      <c r="L237" s="19">
        <v>1.0</v>
      </c>
      <c r="M237" s="19">
        <v>0.0</v>
      </c>
      <c r="N237" s="19">
        <v>1.0</v>
      </c>
      <c r="O237" s="19">
        <v>1.0</v>
      </c>
      <c r="P237" s="19">
        <v>2.0</v>
      </c>
      <c r="Q237" s="19">
        <v>0.0</v>
      </c>
      <c r="R237" s="19">
        <v>0.0</v>
      </c>
      <c r="S237" s="19">
        <v>2.0</v>
      </c>
      <c r="T237" s="19">
        <v>12.0</v>
      </c>
      <c r="U237" s="19">
        <v>5.0</v>
      </c>
      <c r="V237" s="19">
        <v>1.0</v>
      </c>
      <c r="W237" s="19">
        <v>0.0</v>
      </c>
      <c r="X237" s="19">
        <v>5.0</v>
      </c>
      <c r="Y237" s="19">
        <v>7.0</v>
      </c>
      <c r="Z237" s="19">
        <v>1.0</v>
      </c>
      <c r="AA237" s="19">
        <v>4.0</v>
      </c>
      <c r="AB237" s="19">
        <v>1.0</v>
      </c>
      <c r="AC237" s="19">
        <v>0.0</v>
      </c>
      <c r="AD237" s="19">
        <v>1.0</v>
      </c>
      <c r="AE237" s="19">
        <v>0.0</v>
      </c>
      <c r="AF237" s="19">
        <v>0.0</v>
      </c>
      <c r="AG237" s="19">
        <v>2.0</v>
      </c>
      <c r="AH237" s="19">
        <v>0.0</v>
      </c>
      <c r="AI237" s="19">
        <v>2.0</v>
      </c>
      <c r="AJ237" s="19">
        <v>4.0</v>
      </c>
      <c r="AK237" s="19">
        <v>4.0</v>
      </c>
      <c r="AL237" s="19">
        <v>2.0</v>
      </c>
      <c r="AM237" s="19">
        <v>0.0</v>
      </c>
      <c r="AN237" s="19">
        <v>1.0</v>
      </c>
      <c r="AO237" s="19">
        <v>1.0</v>
      </c>
      <c r="AP237" s="19">
        <v>0.0</v>
      </c>
      <c r="AQ237" s="19">
        <v>1.0</v>
      </c>
      <c r="AR237" s="19">
        <v>0.0</v>
      </c>
      <c r="AS237" s="19">
        <v>0.0</v>
      </c>
      <c r="AT237" s="19">
        <v>0.0</v>
      </c>
      <c r="AU237" s="19">
        <v>0.0</v>
      </c>
      <c r="AV237" s="19">
        <v>0.0</v>
      </c>
      <c r="AW237" s="19">
        <v>0.0</v>
      </c>
      <c r="AX237" s="19">
        <v>1.0</v>
      </c>
      <c r="AY237" s="19">
        <v>1.0</v>
      </c>
      <c r="AZ237" s="19">
        <v>0.0</v>
      </c>
      <c r="BA237" s="19">
        <v>0.0</v>
      </c>
      <c r="BB237" s="19">
        <v>0.0</v>
      </c>
      <c r="BC237" s="19">
        <v>0.0</v>
      </c>
      <c r="BD237" s="19">
        <v>0.0</v>
      </c>
      <c r="BE237" s="19">
        <v>0.0</v>
      </c>
      <c r="BF237" s="19">
        <v>0.0</v>
      </c>
      <c r="BG237" s="19">
        <v>0.0</v>
      </c>
      <c r="BH237" s="19">
        <v>0.0</v>
      </c>
      <c r="BI237" s="19">
        <v>0.0</v>
      </c>
      <c r="BJ237" s="19">
        <v>2.0</v>
      </c>
      <c r="BK237" s="19">
        <v>1.0</v>
      </c>
      <c r="BL237" s="13">
        <f t="shared" ref="BL237:BL247" si="46">SUM(E237:BK237)</f>
        <v>77</v>
      </c>
      <c r="BM237" s="5"/>
      <c r="BN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0.0</v>
      </c>
      <c r="H238" s="19">
        <v>1.0</v>
      </c>
      <c r="I238" s="19">
        <v>2.0</v>
      </c>
      <c r="J238" s="19">
        <v>5.0</v>
      </c>
      <c r="K238" s="19">
        <v>6.0</v>
      </c>
      <c r="L238" s="19">
        <v>3.0</v>
      </c>
      <c r="M238" s="19">
        <v>0.0</v>
      </c>
      <c r="N238" s="19">
        <v>5.0</v>
      </c>
      <c r="O238" s="19">
        <v>0.0</v>
      </c>
      <c r="P238" s="19">
        <v>1.0</v>
      </c>
      <c r="Q238" s="19">
        <v>1.0</v>
      </c>
      <c r="R238" s="19">
        <v>5.0</v>
      </c>
      <c r="S238" s="19">
        <v>8.0</v>
      </c>
      <c r="T238" s="19">
        <v>8.0</v>
      </c>
      <c r="U238" s="19">
        <v>3.0</v>
      </c>
      <c r="V238" s="19">
        <v>1.0</v>
      </c>
      <c r="W238" s="19">
        <v>4.0</v>
      </c>
      <c r="X238" s="19">
        <v>4.0</v>
      </c>
      <c r="Y238" s="19">
        <v>11.0</v>
      </c>
      <c r="Z238" s="19">
        <v>1.0</v>
      </c>
      <c r="AA238" s="19">
        <v>4.0</v>
      </c>
      <c r="AB238" s="19">
        <v>5.0</v>
      </c>
      <c r="AC238" s="19">
        <v>2.0</v>
      </c>
      <c r="AD238" s="19">
        <v>3.0</v>
      </c>
      <c r="AE238" s="19">
        <v>1.0</v>
      </c>
      <c r="AF238" s="19">
        <v>1.0</v>
      </c>
      <c r="AG238" s="19">
        <v>1.0</v>
      </c>
      <c r="AH238" s="19">
        <v>0.0</v>
      </c>
      <c r="AI238" s="19">
        <v>0.0</v>
      </c>
      <c r="AJ238" s="19">
        <v>1.0</v>
      </c>
      <c r="AK238" s="19">
        <v>9.0</v>
      </c>
      <c r="AL238" s="19">
        <v>0.0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9">
        <v>1.0</v>
      </c>
      <c r="AY238" s="19">
        <v>2.0</v>
      </c>
      <c r="AZ238" s="19">
        <v>3.0</v>
      </c>
      <c r="BA238" s="19">
        <v>0.0</v>
      </c>
      <c r="BB238" s="19">
        <v>1.0</v>
      </c>
      <c r="BC238" s="19">
        <v>0.0</v>
      </c>
      <c r="BD238" s="19">
        <v>0.0</v>
      </c>
      <c r="BE238" s="19">
        <v>0.0</v>
      </c>
      <c r="BF238" s="19">
        <v>0.0</v>
      </c>
      <c r="BG238" s="19">
        <v>0.0</v>
      </c>
      <c r="BH238" s="19">
        <v>0.0</v>
      </c>
      <c r="BI238" s="19">
        <v>0.0</v>
      </c>
      <c r="BJ238" s="19">
        <v>2.0</v>
      </c>
      <c r="BK238" s="19">
        <v>15.0</v>
      </c>
      <c r="BL238" s="13">
        <f t="shared" si="46"/>
        <v>121</v>
      </c>
      <c r="BM238" s="5"/>
      <c r="BN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4.0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4.0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1.0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1.0</v>
      </c>
      <c r="X239" s="19">
        <v>0.0</v>
      </c>
      <c r="Y239" s="19">
        <v>1.0</v>
      </c>
      <c r="Z239" s="19">
        <v>1.0</v>
      </c>
      <c r="AA239" s="19">
        <v>1.0</v>
      </c>
      <c r="AB239" s="19">
        <v>0.0</v>
      </c>
      <c r="AC239" s="19">
        <v>2.0</v>
      </c>
      <c r="AD239" s="19">
        <v>1.0</v>
      </c>
      <c r="AE239" s="19">
        <v>0.0</v>
      </c>
      <c r="AF239" s="19">
        <v>1.0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1.0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1.0</v>
      </c>
      <c r="AR239" s="19">
        <v>0.0</v>
      </c>
      <c r="AS239" s="19">
        <v>0.0</v>
      </c>
      <c r="AT239" s="19">
        <v>0.0</v>
      </c>
      <c r="AU239" s="19">
        <v>1.0</v>
      </c>
      <c r="AV239" s="19">
        <v>0.0</v>
      </c>
      <c r="AW239" s="19">
        <v>0.0</v>
      </c>
      <c r="AX239" s="19">
        <v>0.0</v>
      </c>
      <c r="AY239" s="19">
        <v>0.0</v>
      </c>
      <c r="AZ239" s="19">
        <v>0.0</v>
      </c>
      <c r="BA239" s="19">
        <v>0.0</v>
      </c>
      <c r="BB239" s="19">
        <v>0.0</v>
      </c>
      <c r="BC239" s="19">
        <v>0.0</v>
      </c>
      <c r="BD239" s="19">
        <v>0.0</v>
      </c>
      <c r="BE239" s="19">
        <v>1.0</v>
      </c>
      <c r="BF239" s="19">
        <v>0.0</v>
      </c>
      <c r="BG239" s="19">
        <v>0.0</v>
      </c>
      <c r="BH239" s="19">
        <v>0.0</v>
      </c>
      <c r="BI239" s="19">
        <v>0.0</v>
      </c>
      <c r="BJ239" s="19">
        <v>0.0</v>
      </c>
      <c r="BK239" s="19">
        <v>0.0</v>
      </c>
      <c r="BL239" s="13">
        <f t="shared" si="46"/>
        <v>22</v>
      </c>
      <c r="BM239" s="5"/>
      <c r="BN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0.0</v>
      </c>
      <c r="V240" s="19">
        <v>0.0</v>
      </c>
      <c r="W240" s="19">
        <v>1.0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2.0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0.0</v>
      </c>
      <c r="BC240" s="19">
        <v>0.0</v>
      </c>
      <c r="BD240" s="19">
        <v>0.0</v>
      </c>
      <c r="BE240" s="19">
        <v>0.0</v>
      </c>
      <c r="BF240" s="19">
        <v>0.0</v>
      </c>
      <c r="BG240" s="19">
        <v>0.0</v>
      </c>
      <c r="BH240" s="19">
        <v>1.0</v>
      </c>
      <c r="BI240" s="19">
        <v>0.0</v>
      </c>
      <c r="BJ240" s="19">
        <v>0.0</v>
      </c>
      <c r="BK240" s="19">
        <v>0.0</v>
      </c>
      <c r="BL240" s="13">
        <f t="shared" si="46"/>
        <v>10</v>
      </c>
      <c r="BM240" s="1"/>
      <c r="BN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0.0</v>
      </c>
      <c r="V241" s="19">
        <v>0.0</v>
      </c>
      <c r="W241" s="19">
        <v>0.0</v>
      </c>
      <c r="X241" s="19">
        <v>1.0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1.0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1.0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1.0</v>
      </c>
      <c r="BB241" s="19">
        <v>0.0</v>
      </c>
      <c r="BC241" s="19">
        <v>1.0</v>
      </c>
      <c r="BD241" s="19">
        <v>1.0</v>
      </c>
      <c r="BE241" s="19">
        <v>0.0</v>
      </c>
      <c r="BF241" s="19">
        <v>0.0</v>
      </c>
      <c r="BG241" s="19">
        <v>0.0</v>
      </c>
      <c r="BH241" s="19">
        <v>0.0</v>
      </c>
      <c r="BI241" s="19">
        <v>0.0</v>
      </c>
      <c r="BJ241" s="19">
        <v>0.0</v>
      </c>
      <c r="BK241" s="19">
        <v>0.0</v>
      </c>
      <c r="BL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1.0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9">
        <v>0.0</v>
      </c>
      <c r="BL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1.0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0.0</v>
      </c>
      <c r="BG243" s="19">
        <v>0.0</v>
      </c>
      <c r="BH243" s="19">
        <v>0.0</v>
      </c>
      <c r="BI243" s="19">
        <v>0.0</v>
      </c>
      <c r="BJ243" s="19">
        <v>0.0</v>
      </c>
      <c r="BK243" s="19">
        <v>0.0</v>
      </c>
      <c r="BL243" s="13">
        <f t="shared" si="46"/>
        <v>4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3.0</v>
      </c>
      <c r="H244" s="19">
        <v>0.0</v>
      </c>
      <c r="I244" s="19">
        <v>4.0</v>
      </c>
      <c r="J244" s="19">
        <v>0.0</v>
      </c>
      <c r="K244" s="19">
        <v>1.0</v>
      </c>
      <c r="L244" s="19">
        <v>0.0</v>
      </c>
      <c r="M244" s="19">
        <v>2.0</v>
      </c>
      <c r="N244" s="19">
        <v>0.0</v>
      </c>
      <c r="O244" s="19">
        <v>0.0</v>
      </c>
      <c r="P244" s="19">
        <v>1.0</v>
      </c>
      <c r="Q244" s="19">
        <v>0.0</v>
      </c>
      <c r="R244" s="19">
        <v>2.0</v>
      </c>
      <c r="S244" s="19">
        <v>4.0</v>
      </c>
      <c r="T244" s="19">
        <v>0.0</v>
      </c>
      <c r="U244" s="19">
        <v>2.0</v>
      </c>
      <c r="V244" s="19">
        <v>7.0</v>
      </c>
      <c r="W244" s="19">
        <v>9.0</v>
      </c>
      <c r="X244" s="19">
        <v>8.0</v>
      </c>
      <c r="Y244" s="19">
        <v>11.0</v>
      </c>
      <c r="Z244" s="19">
        <v>2.0</v>
      </c>
      <c r="AA244" s="19">
        <v>0.0</v>
      </c>
      <c r="AB244" s="19">
        <v>5.0</v>
      </c>
      <c r="AC244" s="19">
        <v>0.0</v>
      </c>
      <c r="AD244" s="19">
        <v>4.0</v>
      </c>
      <c r="AE244" s="19">
        <v>0.0</v>
      </c>
      <c r="AF244" s="19">
        <v>3.0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0.0</v>
      </c>
      <c r="AM244" s="19">
        <v>0.0</v>
      </c>
      <c r="AN244" s="19">
        <v>0.0</v>
      </c>
      <c r="AO244" s="19">
        <v>4.0</v>
      </c>
      <c r="AP244" s="19">
        <v>2.0</v>
      </c>
      <c r="AQ244" s="19">
        <v>1.0</v>
      </c>
      <c r="AR244" s="19">
        <v>0.0</v>
      </c>
      <c r="AS244" s="19">
        <v>0.0</v>
      </c>
      <c r="AT244" s="19">
        <v>5.0</v>
      </c>
      <c r="AU244" s="19">
        <v>5.0</v>
      </c>
      <c r="AV244" s="19">
        <v>0.0</v>
      </c>
      <c r="AW244" s="19">
        <v>2.0</v>
      </c>
      <c r="AX244" s="19">
        <v>0.0</v>
      </c>
      <c r="AY244" s="19">
        <v>0.0</v>
      </c>
      <c r="AZ244" s="19">
        <v>0.0</v>
      </c>
      <c r="BA244" s="19">
        <v>0.0</v>
      </c>
      <c r="BB244" s="19">
        <v>0.0</v>
      </c>
      <c r="BC244" s="19">
        <v>0.0</v>
      </c>
      <c r="BD244" s="19">
        <v>0.0</v>
      </c>
      <c r="BE244" s="19">
        <v>0.0</v>
      </c>
      <c r="BF244" s="19">
        <v>0.0</v>
      </c>
      <c r="BG244" s="19">
        <v>0.0</v>
      </c>
      <c r="BH244" s="19">
        <v>1.0</v>
      </c>
      <c r="BI244" s="19">
        <v>0.0</v>
      </c>
      <c r="BJ244" s="19">
        <v>1.0</v>
      </c>
      <c r="BK244" s="19">
        <v>1.0</v>
      </c>
      <c r="BL244" s="13">
        <f t="shared" si="46"/>
        <v>90</v>
      </c>
    </row>
    <row r="245" ht="12.75" customHeight="1">
      <c r="A245" s="18"/>
      <c r="B245" s="70"/>
      <c r="C245" s="71"/>
      <c r="D245" s="7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3">
        <f t="shared" si="46"/>
        <v>0</v>
      </c>
    </row>
    <row r="246" ht="12.75" customHeight="1">
      <c r="A246" s="18"/>
      <c r="B246" s="70"/>
      <c r="C246" s="71"/>
      <c r="D246" s="7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K247" si="47">SUM(E237:E244)</f>
        <v>1</v>
      </c>
      <c r="F247" s="13">
        <f t="shared" si="47"/>
        <v>8</v>
      </c>
      <c r="G247" s="13">
        <f t="shared" si="47"/>
        <v>4</v>
      </c>
      <c r="H247" s="13">
        <f t="shared" si="47"/>
        <v>1</v>
      </c>
      <c r="I247" s="13">
        <f t="shared" si="47"/>
        <v>10</v>
      </c>
      <c r="J247" s="13">
        <f t="shared" si="47"/>
        <v>8</v>
      </c>
      <c r="K247" s="13">
        <f t="shared" si="47"/>
        <v>10</v>
      </c>
      <c r="L247" s="13">
        <f t="shared" si="47"/>
        <v>9</v>
      </c>
      <c r="M247" s="13">
        <f t="shared" si="47"/>
        <v>3</v>
      </c>
      <c r="N247" s="13">
        <f t="shared" si="47"/>
        <v>6</v>
      </c>
      <c r="O247" s="13">
        <f t="shared" si="47"/>
        <v>1</v>
      </c>
      <c r="P247" s="13">
        <f t="shared" si="47"/>
        <v>4</v>
      </c>
      <c r="Q247" s="13">
        <f t="shared" si="47"/>
        <v>3</v>
      </c>
      <c r="R247" s="13">
        <f t="shared" si="47"/>
        <v>8</v>
      </c>
      <c r="S247" s="13">
        <f t="shared" si="47"/>
        <v>15</v>
      </c>
      <c r="T247" s="13">
        <f t="shared" si="47"/>
        <v>22</v>
      </c>
      <c r="U247" s="13">
        <f t="shared" si="47"/>
        <v>10</v>
      </c>
      <c r="V247" s="13">
        <f t="shared" si="47"/>
        <v>9</v>
      </c>
      <c r="W247" s="13">
        <f t="shared" si="47"/>
        <v>15</v>
      </c>
      <c r="X247" s="13">
        <f t="shared" si="47"/>
        <v>19</v>
      </c>
      <c r="Y247" s="13">
        <f t="shared" si="47"/>
        <v>31</v>
      </c>
      <c r="Z247" s="13">
        <f t="shared" si="47"/>
        <v>5</v>
      </c>
      <c r="AA247" s="13">
        <f t="shared" si="47"/>
        <v>9</v>
      </c>
      <c r="AB247" s="13">
        <f t="shared" si="47"/>
        <v>11</v>
      </c>
      <c r="AC247" s="13">
        <f t="shared" si="47"/>
        <v>4</v>
      </c>
      <c r="AD247" s="13">
        <f t="shared" si="47"/>
        <v>9</v>
      </c>
      <c r="AE247" s="13">
        <f t="shared" si="47"/>
        <v>2</v>
      </c>
      <c r="AF247" s="13">
        <f t="shared" si="47"/>
        <v>5</v>
      </c>
      <c r="AG247" s="13">
        <f t="shared" si="47"/>
        <v>3</v>
      </c>
      <c r="AH247" s="13">
        <f t="shared" si="47"/>
        <v>0</v>
      </c>
      <c r="AI247" s="13">
        <f t="shared" si="47"/>
        <v>2</v>
      </c>
      <c r="AJ247" s="13">
        <f t="shared" si="47"/>
        <v>5</v>
      </c>
      <c r="AK247" s="13">
        <f t="shared" si="47"/>
        <v>15</v>
      </c>
      <c r="AL247" s="13">
        <f t="shared" si="47"/>
        <v>2</v>
      </c>
      <c r="AM247" s="13">
        <f t="shared" si="47"/>
        <v>0</v>
      </c>
      <c r="AN247" s="13">
        <f t="shared" si="47"/>
        <v>1</v>
      </c>
      <c r="AO247" s="13">
        <f t="shared" si="47"/>
        <v>5</v>
      </c>
      <c r="AP247" s="13">
        <f t="shared" si="47"/>
        <v>3</v>
      </c>
      <c r="AQ247" s="13">
        <f t="shared" si="47"/>
        <v>3</v>
      </c>
      <c r="AR247" s="13">
        <f t="shared" si="47"/>
        <v>2</v>
      </c>
      <c r="AS247" s="13">
        <f t="shared" si="47"/>
        <v>1</v>
      </c>
      <c r="AT247" s="13">
        <f t="shared" si="47"/>
        <v>5</v>
      </c>
      <c r="AU247" s="13">
        <f t="shared" si="47"/>
        <v>6</v>
      </c>
      <c r="AV247" s="13">
        <f t="shared" si="47"/>
        <v>0</v>
      </c>
      <c r="AW247" s="13">
        <f t="shared" si="47"/>
        <v>2</v>
      </c>
      <c r="AX247" s="13">
        <f t="shared" si="47"/>
        <v>2</v>
      </c>
      <c r="AY247" s="13">
        <f t="shared" si="47"/>
        <v>3</v>
      </c>
      <c r="AZ247" s="13">
        <f t="shared" si="47"/>
        <v>3</v>
      </c>
      <c r="BA247" s="13">
        <f t="shared" si="47"/>
        <v>1</v>
      </c>
      <c r="BB247" s="13">
        <f t="shared" si="47"/>
        <v>1</v>
      </c>
      <c r="BC247" s="13">
        <f t="shared" si="47"/>
        <v>1</v>
      </c>
      <c r="BD247" s="13">
        <f t="shared" si="47"/>
        <v>1</v>
      </c>
      <c r="BE247" s="13">
        <f t="shared" si="47"/>
        <v>1</v>
      </c>
      <c r="BF247" s="13">
        <f t="shared" si="47"/>
        <v>0</v>
      </c>
      <c r="BG247" s="13">
        <f t="shared" si="47"/>
        <v>0</v>
      </c>
      <c r="BH247" s="13">
        <f t="shared" si="47"/>
        <v>2</v>
      </c>
      <c r="BI247" s="13">
        <f t="shared" si="47"/>
        <v>0</v>
      </c>
      <c r="BJ247" s="13">
        <f t="shared" si="47"/>
        <v>5</v>
      </c>
      <c r="BK247" s="13">
        <f t="shared" si="47"/>
        <v>17</v>
      </c>
      <c r="BL247" s="13">
        <f t="shared" si="46"/>
        <v>334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2.0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6.0</v>
      </c>
      <c r="AP249" s="19">
        <v>0.0</v>
      </c>
      <c r="AQ249" s="19">
        <v>1.0</v>
      </c>
      <c r="AR249" s="19">
        <v>0.0</v>
      </c>
      <c r="AS249" s="19">
        <v>0.0</v>
      </c>
      <c r="AT249" s="19">
        <v>0.0</v>
      </c>
      <c r="AU249" s="19">
        <v>1.0</v>
      </c>
      <c r="AV249" s="19">
        <v>0.0</v>
      </c>
      <c r="AW249" s="19">
        <v>0.0</v>
      </c>
      <c r="AX249" s="19">
        <v>0.0</v>
      </c>
      <c r="AY249" s="19">
        <v>0.0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9">
        <v>0.0</v>
      </c>
      <c r="BL249" s="13">
        <f t="shared" ref="BL249:BL259" si="48">SUM(E249:BK249)</f>
        <v>14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2.0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2.0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0.0</v>
      </c>
      <c r="BC250" s="19">
        <v>0.0</v>
      </c>
      <c r="BD250" s="19">
        <v>0.0</v>
      </c>
      <c r="BE250" s="19">
        <v>1.0</v>
      </c>
      <c r="BF250" s="19">
        <v>0.0</v>
      </c>
      <c r="BG250" s="19">
        <v>0.0</v>
      </c>
      <c r="BH250" s="19">
        <v>0.0</v>
      </c>
      <c r="BI250" s="19">
        <v>0.0</v>
      </c>
      <c r="BJ250" s="19">
        <v>0.0</v>
      </c>
      <c r="BK250" s="19">
        <v>2.0</v>
      </c>
      <c r="BL250" s="13">
        <f t="shared" si="48"/>
        <v>7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1.0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1.0</v>
      </c>
      <c r="AZ251" s="19">
        <v>0.0</v>
      </c>
      <c r="BA251" s="19">
        <v>0.0</v>
      </c>
      <c r="BB251" s="19">
        <v>0.0</v>
      </c>
      <c r="BC251" s="19">
        <v>0.0</v>
      </c>
      <c r="BD251" s="19">
        <v>1.0</v>
      </c>
      <c r="BE251" s="19">
        <v>1.0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0.0</v>
      </c>
      <c r="BK251" s="19">
        <v>0.0</v>
      </c>
      <c r="BL251" s="13">
        <f t="shared" si="48"/>
        <v>4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9">
        <v>0.0</v>
      </c>
      <c r="BG252" s="19">
        <v>0.0</v>
      </c>
      <c r="BH252" s="19">
        <v>0.0</v>
      </c>
      <c r="BI252" s="19">
        <v>0.0</v>
      </c>
      <c r="BJ252" s="19">
        <v>0.0</v>
      </c>
      <c r="BK252" s="19">
        <v>0.0</v>
      </c>
      <c r="BL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0.0</v>
      </c>
      <c r="BD253" s="19">
        <v>0.0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9">
        <v>0.0</v>
      </c>
      <c r="BL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1.0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0.0</v>
      </c>
      <c r="BD254" s="19">
        <v>0.0</v>
      </c>
      <c r="BE254" s="19">
        <v>1.0</v>
      </c>
      <c r="BF254" s="19">
        <v>0.0</v>
      </c>
      <c r="BG254" s="19">
        <v>0.0</v>
      </c>
      <c r="BH254" s="19">
        <v>0.0</v>
      </c>
      <c r="BI254" s="19">
        <v>0.0</v>
      </c>
      <c r="BJ254" s="19">
        <v>0.0</v>
      </c>
      <c r="BK254" s="19">
        <v>0.0</v>
      </c>
      <c r="BL254" s="13">
        <f t="shared" si="48"/>
        <v>3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9">
        <v>0.0</v>
      </c>
      <c r="BL255" s="13">
        <f t="shared" si="48"/>
        <v>0</v>
      </c>
    </row>
    <row r="256" ht="12.75" customHeight="1">
      <c r="A256" s="18"/>
      <c r="B256" s="70"/>
      <c r="C256" s="75"/>
      <c r="D256" s="7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3">
        <f t="shared" si="48"/>
        <v>0</v>
      </c>
    </row>
    <row r="257" ht="12.75" customHeight="1">
      <c r="A257" s="18"/>
      <c r="B257" s="70"/>
      <c r="C257" s="75"/>
      <c r="D257" s="7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3">
        <f t="shared" si="48"/>
        <v>0</v>
      </c>
    </row>
    <row r="258" ht="12.75" customHeight="1">
      <c r="A258" s="18"/>
      <c r="B258" s="70"/>
      <c r="C258" s="75"/>
      <c r="D258" s="7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BK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2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6</v>
      </c>
      <c r="AP259" s="13">
        <f t="shared" si="49"/>
        <v>2</v>
      </c>
      <c r="AQ259" s="13">
        <f t="shared" si="49"/>
        <v>1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1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1</v>
      </c>
      <c r="AZ259" s="13">
        <f t="shared" si="49"/>
        <v>0</v>
      </c>
      <c r="BA259" s="13">
        <f t="shared" si="49"/>
        <v>0</v>
      </c>
      <c r="BB259" s="13">
        <f t="shared" si="49"/>
        <v>0</v>
      </c>
      <c r="BC259" s="13">
        <f t="shared" si="49"/>
        <v>0</v>
      </c>
      <c r="BD259" s="13">
        <f t="shared" si="49"/>
        <v>1</v>
      </c>
      <c r="BE259" s="13">
        <f t="shared" si="49"/>
        <v>3</v>
      </c>
      <c r="BF259" s="13">
        <f t="shared" si="49"/>
        <v>0</v>
      </c>
      <c r="BG259" s="13">
        <f t="shared" si="49"/>
        <v>0</v>
      </c>
      <c r="BH259" s="13">
        <f t="shared" si="49"/>
        <v>0</v>
      </c>
      <c r="BI259" s="13">
        <f t="shared" si="49"/>
        <v>0</v>
      </c>
      <c r="BJ259" s="13">
        <f t="shared" si="49"/>
        <v>0</v>
      </c>
      <c r="BK259" s="13">
        <f t="shared" si="49"/>
        <v>2</v>
      </c>
      <c r="BL259" s="13">
        <f t="shared" si="48"/>
        <v>28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13"/>
      <c r="BD261" s="13"/>
      <c r="BE261" s="13"/>
      <c r="BF261" s="13"/>
      <c r="BG261" s="69"/>
      <c r="BH261" s="13"/>
      <c r="BI261" s="13"/>
      <c r="BJ261" s="13"/>
      <c r="BK261" s="13"/>
      <c r="BL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K262" si="50">E55+E67+E79+E91+E103+E115+E127+E139+E151+E163+E175+E187+E199+E211+E223+E235+E247+E259</f>
        <v>165</v>
      </c>
      <c r="F262" s="19">
        <f t="shared" si="50"/>
        <v>164</v>
      </c>
      <c r="G262" s="19">
        <f t="shared" si="50"/>
        <v>166</v>
      </c>
      <c r="H262" s="19">
        <f t="shared" si="50"/>
        <v>150</v>
      </c>
      <c r="I262" s="19">
        <f t="shared" si="50"/>
        <v>195</v>
      </c>
      <c r="J262" s="19">
        <f t="shared" si="50"/>
        <v>180</v>
      </c>
      <c r="K262" s="19">
        <f t="shared" si="50"/>
        <v>183</v>
      </c>
      <c r="L262" s="19">
        <f t="shared" si="50"/>
        <v>200</v>
      </c>
      <c r="M262" s="19">
        <f t="shared" si="50"/>
        <v>221</v>
      </c>
      <c r="N262" s="19">
        <f t="shared" si="50"/>
        <v>117</v>
      </c>
      <c r="O262" s="19">
        <f t="shared" si="50"/>
        <v>131</v>
      </c>
      <c r="P262" s="19">
        <f t="shared" si="50"/>
        <v>171</v>
      </c>
      <c r="Q262" s="19">
        <f t="shared" si="50"/>
        <v>212</v>
      </c>
      <c r="R262" s="19">
        <f t="shared" si="50"/>
        <v>239</v>
      </c>
      <c r="S262" s="19">
        <f t="shared" si="50"/>
        <v>219</v>
      </c>
      <c r="T262" s="19">
        <f t="shared" si="50"/>
        <v>110</v>
      </c>
      <c r="U262" s="19">
        <f t="shared" si="50"/>
        <v>192</v>
      </c>
      <c r="V262" s="19">
        <f t="shared" si="50"/>
        <v>143</v>
      </c>
      <c r="W262" s="19">
        <f t="shared" si="50"/>
        <v>175</v>
      </c>
      <c r="X262" s="19">
        <f t="shared" si="50"/>
        <v>137</v>
      </c>
      <c r="Y262" s="19">
        <f t="shared" si="50"/>
        <v>189</v>
      </c>
      <c r="Z262" s="19">
        <f t="shared" si="50"/>
        <v>224</v>
      </c>
      <c r="AA262" s="19">
        <f t="shared" si="50"/>
        <v>125</v>
      </c>
      <c r="AB262" s="19">
        <f t="shared" si="50"/>
        <v>116</v>
      </c>
      <c r="AC262" s="19">
        <f t="shared" si="50"/>
        <v>113</v>
      </c>
      <c r="AD262" s="19">
        <f t="shared" si="50"/>
        <v>189</v>
      </c>
      <c r="AE262" s="19">
        <f t="shared" si="50"/>
        <v>172</v>
      </c>
      <c r="AF262" s="19">
        <f t="shared" si="50"/>
        <v>158</v>
      </c>
      <c r="AG262" s="19">
        <f t="shared" si="50"/>
        <v>163</v>
      </c>
      <c r="AH262" s="19">
        <f t="shared" si="50"/>
        <v>120</v>
      </c>
      <c r="AI262" s="19">
        <f t="shared" si="50"/>
        <v>221</v>
      </c>
      <c r="AJ262" s="19">
        <f t="shared" si="50"/>
        <v>208</v>
      </c>
      <c r="AK262" s="19">
        <f t="shared" si="50"/>
        <v>214</v>
      </c>
      <c r="AL262" s="19">
        <f t="shared" si="50"/>
        <v>160</v>
      </c>
      <c r="AM262" s="19">
        <f t="shared" si="50"/>
        <v>165</v>
      </c>
      <c r="AN262" s="19">
        <f t="shared" si="50"/>
        <v>125</v>
      </c>
      <c r="AO262" s="19">
        <f t="shared" si="50"/>
        <v>172</v>
      </c>
      <c r="AP262" s="19">
        <f t="shared" si="50"/>
        <v>120</v>
      </c>
      <c r="AQ262" s="19">
        <f t="shared" si="50"/>
        <v>123</v>
      </c>
      <c r="AR262" s="19">
        <f t="shared" si="50"/>
        <v>227</v>
      </c>
      <c r="AS262" s="19">
        <f t="shared" si="50"/>
        <v>222</v>
      </c>
      <c r="AT262" s="19">
        <f t="shared" si="50"/>
        <v>149</v>
      </c>
      <c r="AU262" s="19">
        <f t="shared" si="50"/>
        <v>114</v>
      </c>
      <c r="AV262" s="19">
        <f t="shared" si="50"/>
        <v>122</v>
      </c>
      <c r="AW262" s="19">
        <f t="shared" si="50"/>
        <v>198</v>
      </c>
      <c r="AX262" s="19">
        <f t="shared" si="50"/>
        <v>179</v>
      </c>
      <c r="AY262" s="19">
        <f t="shared" si="50"/>
        <v>162</v>
      </c>
      <c r="AZ262" s="19">
        <f t="shared" si="50"/>
        <v>173</v>
      </c>
      <c r="BA262" s="19">
        <f t="shared" si="50"/>
        <v>117</v>
      </c>
      <c r="BB262" s="19">
        <f t="shared" si="50"/>
        <v>139</v>
      </c>
      <c r="BC262" s="19">
        <f t="shared" si="50"/>
        <v>185</v>
      </c>
      <c r="BD262" s="19">
        <f t="shared" si="50"/>
        <v>157</v>
      </c>
      <c r="BE262" s="19">
        <f t="shared" si="50"/>
        <v>191</v>
      </c>
      <c r="BF262" s="19">
        <f t="shared" si="50"/>
        <v>174</v>
      </c>
      <c r="BG262" s="19">
        <f t="shared" si="50"/>
        <v>105</v>
      </c>
      <c r="BH262" s="19">
        <f t="shared" si="50"/>
        <v>171</v>
      </c>
      <c r="BI262" s="19">
        <f t="shared" si="50"/>
        <v>174</v>
      </c>
      <c r="BJ262" s="19">
        <f t="shared" si="50"/>
        <v>116</v>
      </c>
      <c r="BK262" s="19">
        <f t="shared" si="50"/>
        <v>176</v>
      </c>
      <c r="BL262" s="13">
        <f t="shared" ref="BL262:BL264" si="51">SUM(E262:BK262)</f>
        <v>9798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20.0</v>
      </c>
      <c r="F263" s="19">
        <v>33.0</v>
      </c>
      <c r="G263" s="19">
        <v>38.0</v>
      </c>
      <c r="H263" s="19">
        <v>5.0</v>
      </c>
      <c r="I263" s="19">
        <v>32.0</v>
      </c>
      <c r="J263" s="19">
        <v>28.0</v>
      </c>
      <c r="K263" s="19">
        <v>17.0</v>
      </c>
      <c r="L263" s="19">
        <v>23.0</v>
      </c>
      <c r="M263" s="19">
        <v>10.0</v>
      </c>
      <c r="N263" s="19">
        <v>13.0</v>
      </c>
      <c r="O263" s="19">
        <v>23.0</v>
      </c>
      <c r="P263" s="19">
        <v>33.0</v>
      </c>
      <c r="Q263" s="19">
        <v>8.0</v>
      </c>
      <c r="R263" s="19">
        <v>6.0</v>
      </c>
      <c r="S263" s="19">
        <v>11.0</v>
      </c>
      <c r="T263" s="19">
        <v>11.0</v>
      </c>
      <c r="U263" s="19">
        <v>21.0</v>
      </c>
      <c r="V263" s="19">
        <v>34.0</v>
      </c>
      <c r="W263" s="19">
        <v>22.0</v>
      </c>
      <c r="X263" s="19">
        <v>24.0</v>
      </c>
      <c r="Y263" s="19">
        <v>26.0</v>
      </c>
      <c r="Z263" s="19">
        <v>16.0</v>
      </c>
      <c r="AA263" s="19">
        <v>8.0</v>
      </c>
      <c r="AB263" s="19">
        <v>11.0</v>
      </c>
      <c r="AC263" s="19">
        <v>7.0</v>
      </c>
      <c r="AD263" s="19">
        <v>8.0</v>
      </c>
      <c r="AE263" s="19">
        <v>15.0</v>
      </c>
      <c r="AF263" s="19">
        <v>17.0</v>
      </c>
      <c r="AG263" s="19">
        <v>12.0</v>
      </c>
      <c r="AH263" s="19">
        <v>11.0</v>
      </c>
      <c r="AI263" s="19">
        <v>9.0</v>
      </c>
      <c r="AJ263" s="19">
        <v>17.0</v>
      </c>
      <c r="AK263" s="19">
        <v>15.0</v>
      </c>
      <c r="AL263" s="19">
        <v>21.0</v>
      </c>
      <c r="AM263" s="19">
        <v>19.0</v>
      </c>
      <c r="AN263" s="19">
        <v>21.0</v>
      </c>
      <c r="AO263" s="19">
        <v>21.0</v>
      </c>
      <c r="AP263" s="19">
        <v>13.0</v>
      </c>
      <c r="AQ263" s="19">
        <v>13.0</v>
      </c>
      <c r="AR263" s="19">
        <v>21.0</v>
      </c>
      <c r="AS263" s="19">
        <v>8.0</v>
      </c>
      <c r="AT263" s="19">
        <v>7.0</v>
      </c>
      <c r="AU263" s="19">
        <v>17.0</v>
      </c>
      <c r="AV263" s="19">
        <v>10.0</v>
      </c>
      <c r="AW263" s="19">
        <v>7.0</v>
      </c>
      <c r="AX263" s="19">
        <v>5.0</v>
      </c>
      <c r="AY263" s="19">
        <v>15.0</v>
      </c>
      <c r="AZ263" s="19">
        <v>18.0</v>
      </c>
      <c r="BA263" s="19">
        <v>6.0</v>
      </c>
      <c r="BB263" s="19">
        <v>4.0</v>
      </c>
      <c r="BC263" s="19">
        <v>9.0</v>
      </c>
      <c r="BD263" s="19">
        <v>20.0</v>
      </c>
      <c r="BE263" s="19">
        <v>19.0</v>
      </c>
      <c r="BF263" s="19">
        <v>13.0</v>
      </c>
      <c r="BG263" s="19">
        <v>6.0</v>
      </c>
      <c r="BH263" s="19">
        <v>12.0</v>
      </c>
      <c r="BI263" s="19">
        <v>3.0</v>
      </c>
      <c r="BJ263" s="19">
        <v>18.0</v>
      </c>
      <c r="BK263" s="19">
        <v>20.0</v>
      </c>
      <c r="BL263" s="13">
        <f t="shared" si="51"/>
        <v>930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K264" si="52">SUM(E262:E263)</f>
        <v>185</v>
      </c>
      <c r="F264" s="13">
        <f t="shared" si="52"/>
        <v>197</v>
      </c>
      <c r="G264" s="13">
        <f t="shared" si="52"/>
        <v>204</v>
      </c>
      <c r="H264" s="13">
        <f t="shared" si="52"/>
        <v>155</v>
      </c>
      <c r="I264" s="13">
        <f t="shared" si="52"/>
        <v>227</v>
      </c>
      <c r="J264" s="13">
        <f t="shared" si="52"/>
        <v>208</v>
      </c>
      <c r="K264" s="13">
        <f t="shared" si="52"/>
        <v>200</v>
      </c>
      <c r="L264" s="13">
        <f t="shared" si="52"/>
        <v>223</v>
      </c>
      <c r="M264" s="13">
        <f t="shared" si="52"/>
        <v>231</v>
      </c>
      <c r="N264" s="13">
        <f t="shared" si="52"/>
        <v>130</v>
      </c>
      <c r="O264" s="13">
        <f t="shared" si="52"/>
        <v>154</v>
      </c>
      <c r="P264" s="13">
        <f t="shared" si="52"/>
        <v>204</v>
      </c>
      <c r="Q264" s="13">
        <f t="shared" si="52"/>
        <v>220</v>
      </c>
      <c r="R264" s="13">
        <f t="shared" si="52"/>
        <v>245</v>
      </c>
      <c r="S264" s="13">
        <f t="shared" si="52"/>
        <v>230</v>
      </c>
      <c r="T264" s="13">
        <f t="shared" si="52"/>
        <v>121</v>
      </c>
      <c r="U264" s="13">
        <f t="shared" si="52"/>
        <v>213</v>
      </c>
      <c r="V264" s="13">
        <f t="shared" si="52"/>
        <v>177</v>
      </c>
      <c r="W264" s="13">
        <f t="shared" si="52"/>
        <v>197</v>
      </c>
      <c r="X264" s="13">
        <f t="shared" si="52"/>
        <v>161</v>
      </c>
      <c r="Y264" s="13">
        <f t="shared" si="52"/>
        <v>215</v>
      </c>
      <c r="Z264" s="13">
        <f t="shared" si="52"/>
        <v>240</v>
      </c>
      <c r="AA264" s="13">
        <f t="shared" si="52"/>
        <v>133</v>
      </c>
      <c r="AB264" s="13">
        <f t="shared" si="52"/>
        <v>127</v>
      </c>
      <c r="AC264" s="13">
        <f t="shared" si="52"/>
        <v>120</v>
      </c>
      <c r="AD264" s="13">
        <f t="shared" si="52"/>
        <v>197</v>
      </c>
      <c r="AE264" s="13">
        <f t="shared" si="52"/>
        <v>187</v>
      </c>
      <c r="AF264" s="13">
        <f t="shared" si="52"/>
        <v>175</v>
      </c>
      <c r="AG264" s="13">
        <f t="shared" si="52"/>
        <v>175</v>
      </c>
      <c r="AH264" s="13">
        <f t="shared" si="52"/>
        <v>131</v>
      </c>
      <c r="AI264" s="13">
        <f t="shared" si="52"/>
        <v>230</v>
      </c>
      <c r="AJ264" s="13">
        <f t="shared" si="52"/>
        <v>225</v>
      </c>
      <c r="AK264" s="13">
        <f t="shared" si="52"/>
        <v>229</v>
      </c>
      <c r="AL264" s="13">
        <f t="shared" si="52"/>
        <v>181</v>
      </c>
      <c r="AM264" s="13">
        <f t="shared" si="52"/>
        <v>184</v>
      </c>
      <c r="AN264" s="13">
        <f t="shared" si="52"/>
        <v>146</v>
      </c>
      <c r="AO264" s="13">
        <f t="shared" si="52"/>
        <v>193</v>
      </c>
      <c r="AP264" s="13">
        <f t="shared" si="52"/>
        <v>133</v>
      </c>
      <c r="AQ264" s="13">
        <f t="shared" si="52"/>
        <v>136</v>
      </c>
      <c r="AR264" s="13">
        <f t="shared" si="52"/>
        <v>248</v>
      </c>
      <c r="AS264" s="13">
        <f t="shared" si="52"/>
        <v>230</v>
      </c>
      <c r="AT264" s="13">
        <f t="shared" si="52"/>
        <v>156</v>
      </c>
      <c r="AU264" s="13">
        <f t="shared" si="52"/>
        <v>131</v>
      </c>
      <c r="AV264" s="13">
        <f t="shared" si="52"/>
        <v>132</v>
      </c>
      <c r="AW264" s="13">
        <f t="shared" si="52"/>
        <v>205</v>
      </c>
      <c r="AX264" s="13">
        <f t="shared" si="52"/>
        <v>184</v>
      </c>
      <c r="AY264" s="13">
        <f t="shared" si="52"/>
        <v>177</v>
      </c>
      <c r="AZ264" s="13">
        <f t="shared" si="52"/>
        <v>191</v>
      </c>
      <c r="BA264" s="13">
        <f t="shared" si="52"/>
        <v>123</v>
      </c>
      <c r="BB264" s="13">
        <f t="shared" si="52"/>
        <v>143</v>
      </c>
      <c r="BC264" s="13">
        <f t="shared" si="52"/>
        <v>194</v>
      </c>
      <c r="BD264" s="13">
        <f t="shared" si="52"/>
        <v>177</v>
      </c>
      <c r="BE264" s="13">
        <f t="shared" si="52"/>
        <v>210</v>
      </c>
      <c r="BF264" s="13">
        <f t="shared" si="52"/>
        <v>187</v>
      </c>
      <c r="BG264" s="13">
        <f t="shared" si="52"/>
        <v>111</v>
      </c>
      <c r="BH264" s="13">
        <f t="shared" si="52"/>
        <v>183</v>
      </c>
      <c r="BI264" s="13">
        <f t="shared" si="52"/>
        <v>177</v>
      </c>
      <c r="BJ264" s="13">
        <f t="shared" si="52"/>
        <v>134</v>
      </c>
      <c r="BK264" s="13">
        <f t="shared" si="52"/>
        <v>196</v>
      </c>
      <c r="BL264" s="13">
        <f t="shared" si="51"/>
        <v>10728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14:BK15">
    <cfRule type="containsBlanks" dxfId="1" priority="1">
      <formula>LEN(TRIM(E14))=0</formula>
    </cfRule>
  </conditionalFormatting>
  <conditionalFormatting sqref="E19:BK20">
    <cfRule type="containsBlanks" dxfId="1" priority="2">
      <formula>LEN(TRIM(E19))=0</formula>
    </cfRule>
  </conditionalFormatting>
  <conditionalFormatting sqref="E22:BK23 E25:BK26 E33:BK33 E35:BK35 E39:BK40">
    <cfRule type="containsBlanks" dxfId="1" priority="3">
      <formula>LEN(TRIM(E22))=0</formula>
    </cfRule>
  </conditionalFormatting>
  <conditionalFormatting sqref="E30:BK30">
    <cfRule type="expression" dxfId="0" priority="4">
      <formula>E30&lt;&gt;E47</formula>
    </cfRule>
  </conditionalFormatting>
  <conditionalFormatting sqref="E30:BK30">
    <cfRule type="expression" dxfId="0" priority="5">
      <formula>E30&lt;&gt;E34</formula>
    </cfRule>
  </conditionalFormatting>
  <conditionalFormatting sqref="E34:BK34">
    <cfRule type="expression" dxfId="2" priority="6">
      <formula>E30&lt;&gt;E34</formula>
    </cfRule>
  </conditionalFormatting>
  <conditionalFormatting sqref="E34:BK34">
    <cfRule type="expression" dxfId="3" priority="7">
      <formula>E30=E34</formula>
    </cfRule>
  </conditionalFormatting>
  <conditionalFormatting sqref="E34:BK34">
    <cfRule type="expression" dxfId="0" priority="8">
      <formula>E34&lt;&gt;E30</formula>
    </cfRule>
  </conditionalFormatting>
  <conditionalFormatting sqref="E34:BK34">
    <cfRule type="expression" dxfId="0" priority="9">
      <formula>E34&lt;&gt;E64</formula>
    </cfRule>
  </conditionalFormatting>
  <conditionalFormatting sqref="E45:BK54">
    <cfRule type="containsBlanks" dxfId="1" priority="10">
      <formula>LEN(TRIM(E45))=0</formula>
    </cfRule>
  </conditionalFormatting>
  <conditionalFormatting sqref="E57:BK66">
    <cfRule type="containsBlanks" dxfId="1" priority="11">
      <formula>LEN(TRIM(E57))=0</formula>
    </cfRule>
  </conditionalFormatting>
  <conditionalFormatting sqref="E69:BK78">
    <cfRule type="containsBlanks" dxfId="1" priority="12">
      <formula>LEN(TRIM(E69))=0</formula>
    </cfRule>
  </conditionalFormatting>
  <conditionalFormatting sqref="E81:BK90">
    <cfRule type="containsBlanks" dxfId="1" priority="13">
      <formula>LEN(TRIM(E81))=0</formula>
    </cfRule>
  </conditionalFormatting>
  <conditionalFormatting sqref="E93:BK102">
    <cfRule type="containsBlanks" dxfId="1" priority="14">
      <formula>LEN(TRIM(E93))=0</formula>
    </cfRule>
  </conditionalFormatting>
  <conditionalFormatting sqref="E105:BK114">
    <cfRule type="containsBlanks" dxfId="1" priority="15">
      <formula>LEN(TRIM(E105))=0</formula>
    </cfRule>
  </conditionalFormatting>
  <conditionalFormatting sqref="E117:BK126">
    <cfRule type="containsBlanks" dxfId="1" priority="16">
      <formula>LEN(TRIM(E117))=0</formula>
    </cfRule>
  </conditionalFormatting>
  <conditionalFormatting sqref="E129:BK138">
    <cfRule type="containsBlanks" dxfId="1" priority="17">
      <formula>LEN(TRIM(E129))=0</formula>
    </cfRule>
  </conditionalFormatting>
  <conditionalFormatting sqref="E141:BK150">
    <cfRule type="containsBlanks" dxfId="1" priority="18">
      <formula>LEN(TRIM(E141))=0</formula>
    </cfRule>
  </conditionalFormatting>
  <conditionalFormatting sqref="E153:BK162">
    <cfRule type="containsBlanks" dxfId="1" priority="19">
      <formula>LEN(TRIM(E153))=0</formula>
    </cfRule>
  </conditionalFormatting>
  <conditionalFormatting sqref="E165:BK174">
    <cfRule type="containsBlanks" dxfId="1" priority="20">
      <formula>LEN(TRIM(E165))=0</formula>
    </cfRule>
  </conditionalFormatting>
  <conditionalFormatting sqref="E177:BK186">
    <cfRule type="containsBlanks" dxfId="1" priority="21">
      <formula>LEN(TRIM(E177))=0</formula>
    </cfRule>
  </conditionalFormatting>
  <conditionalFormatting sqref="E189:BK198">
    <cfRule type="containsBlanks" dxfId="1" priority="22">
      <formula>LEN(TRIM(E189))=0</formula>
    </cfRule>
  </conditionalFormatting>
  <conditionalFormatting sqref="E201:BK210">
    <cfRule type="containsBlanks" dxfId="1" priority="23">
      <formula>LEN(TRIM(E201))=0</formula>
    </cfRule>
  </conditionalFormatting>
  <conditionalFormatting sqref="E213:BK222">
    <cfRule type="containsBlanks" dxfId="1" priority="24">
      <formula>LEN(TRIM(E213))=0</formula>
    </cfRule>
  </conditionalFormatting>
  <conditionalFormatting sqref="E225:BK234">
    <cfRule type="containsBlanks" dxfId="1" priority="25">
      <formula>LEN(TRIM(E225))=0</formula>
    </cfRule>
  </conditionalFormatting>
  <conditionalFormatting sqref="E237:BK246">
    <cfRule type="containsBlanks" dxfId="1" priority="26">
      <formula>LEN(TRIM(E237))=0</formula>
    </cfRule>
  </conditionalFormatting>
  <conditionalFormatting sqref="E249:BK259">
    <cfRule type="containsBlanks" dxfId="1" priority="27">
      <formula>LEN(TRIM(E249))=0</formula>
    </cfRule>
  </conditionalFormatting>
  <conditionalFormatting sqref="E262:B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