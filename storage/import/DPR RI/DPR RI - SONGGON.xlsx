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SONGGON" sheetId="2" r:id="rId5"/>
    <sheet state="visible" name="BALAK" sheetId="3" r:id="rId6"/>
    <sheet state="visible" name="SRAGI" sheetId="4" r:id="rId7"/>
    <sheet state="visible" name="PARANGHARJO" sheetId="5" r:id="rId8"/>
    <sheet state="visible" name="BEDEWANG" sheetId="6" r:id="rId9"/>
    <sheet state="visible" name="BAYU" sheetId="7" r:id="rId10"/>
    <sheet state="visible" name="SUMBERARUM" sheetId="8" r:id="rId11"/>
    <sheet state="visible" name="SUMBERBULU" sheetId="9" r:id="rId12"/>
    <sheet state="visible" name="BANGUNSARI" sheetId="10" r:id="rId13"/>
  </sheets>
  <definedNames/>
  <calcPr/>
  <extLst>
    <ext uri="GoogleSheetsCustomDataVersion2">
      <go:sheetsCustomData xmlns:go="http://customooxmlschemas.google.com/" r:id="rId14" roundtripDataChecksum="RC1NAqKSCKQBmFIHMvH/TTAeqlo1OJHh8Dyn3gcN+nA="/>
    </ext>
  </extLst>
</workbook>
</file>

<file path=xl/sharedStrings.xml><?xml version="1.0" encoding="utf-8"?>
<sst xmlns="http://schemas.openxmlformats.org/spreadsheetml/2006/main" count="3029" uniqueCount="226">
  <si>
    <t>Kecamatan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</si>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</sst>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1</v>
      </c>
      <c r="D9" s="8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f>SONGGON!AF14+BALAK!X14+SRAGI!AG14+PARANGHARJO!S14+BEDEWANG!W14+BAYU!AB14+SUMBERARUM!X14+SUMBERBULU!Q14</f>
        <v>19458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f>SONGGON!AF15+BALAK!X15+SRAGI!AG15+PARANGHARJO!S15+BEDEWANG!W15+BAYU!AB15+SUMBERARUM!X15</f>
        <v>18057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37515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f>SONGGON!AF19+BALAK!X19+SRAGI!AG19+PARANGHARJO!S19+BEDEWANG!W19+BAYU!AB19+SUMBERARUM!X19</f>
        <v>13272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f>SONGGON!AF20+BALAK!X20+SRAGI!AG20+PARANGHARJO!S20+BEDEWANG!W20+BAYU!AB20+SUMBERARUM!X20</f>
        <v>14392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27664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f>SONGGON!AF22+BALAK!X22+SRAGI!AG22+PARANGHARJO!S22+BEDEWANG!W22+BAYU!AB22+SUMBERARUM!X22</f>
        <v>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f>SONGGON!AF23+BALAK!X23+SRAGI!AG23+PARANGHARJO!S23+BEDEWANG!W23+BAYU!AB23+SUMBERARUM!X23</f>
        <v>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f>SONGGON!AF25+BALAK!X25+SRAGI!AG25+PARANGHARJO!S25+BEDEWANG!W25+BAYU!AB25+SUMBERARUM!X25</f>
        <v>84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f>SONGGON!AF26+BALAK!X26+SRAGI!AG26+PARANGHARJO!S26+BEDEWANG!W26+BAYU!AB26+SUMBERARUM!X26</f>
        <v>72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156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13359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14467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27826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f>SONGGON!AF33+BALAK!X33+SRAGI!AG33+PARANGHARJO!S33+BEDEWANG!W33+BAYU!AB33+SUMBERARUM!X33</f>
        <v>36328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f>SONGGON!AF34+BALAK!X34+SRAGI!AG34+PARANGHARJO!S34+BEDEWANG!W34+BAYU!AB34+SUMBERARUM!X34</f>
        <v>27826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f>SONGGON!AF35+BALAK!X35+SRAGI!AG35+PARANGHARJO!S35+BEDEWANG!W35+BAYU!AB35+SUMBERARUM!X35</f>
        <v>43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8459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f>SONGGON!AF39+BALAK!X39+SRAGI!AG39+PARANGHARJO!S39+BEDEWANG!W39+BAYU!AB39+SUMBERARUM!X39</f>
        <v>21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f>SONGGON!AF40+BALAK!X40+SRAGI!AG40+PARANGHARJO!S40+BEDEWANG!W40+BAYU!AB40+SUMBERARUM!X40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43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36</v>
      </c>
      <c r="B45" s="47" t="s">
        <v>16</v>
      </c>
      <c r="C45" s="48" t="s">
        <v>37</v>
      </c>
      <c r="D45" s="16"/>
      <c r="E45" s="24">
        <f>SONGGON!AF45+BALAK!X45+SRAGI!AG45+PARANGHARJO!S45+BEDEWANG!W45+BAYU!AB45+SUMBERARUM!X45</f>
        <v>1196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38</v>
      </c>
      <c r="B46" s="49">
        <v>1.0</v>
      </c>
      <c r="C46" s="50" t="s">
        <v>39</v>
      </c>
      <c r="D46" s="16"/>
      <c r="E46" s="24">
        <f>SONGGON!AF46+BALAK!X46+SRAGI!AG46+PARANGHARJO!S46+BEDEWANG!W46+BAYU!AB46+SUMBERARUM!X46</f>
        <v>2371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40</v>
      </c>
      <c r="D47" s="16"/>
      <c r="E47" s="24">
        <f>SONGGON!AF47+BALAK!X47+SRAGI!AG47+PARANGHARJO!S47+BEDEWANG!W47+BAYU!AB47+SUMBERARUM!X47</f>
        <v>592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41</v>
      </c>
      <c r="D48" s="16"/>
      <c r="E48" s="24">
        <f>SONGGON!AF48+BALAK!X48+SRAGI!AG48+PARANGHARJO!S48+BEDEWANG!W48+BAYU!AB48+SUMBERARUM!X48</f>
        <v>113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42</v>
      </c>
      <c r="D49" s="16"/>
      <c r="E49" s="24">
        <f>SONGGON!AF49+BALAK!X49+SRAGI!AG49+PARANGHARJO!S49+BEDEWANG!W49+BAYU!AB49+SUMBERARUM!X49</f>
        <v>116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43</v>
      </c>
      <c r="D50" s="16"/>
      <c r="E50" s="24">
        <f>SONGGON!AF50+BALAK!X50+SRAGI!AG50+PARANGHARJO!S50+BEDEWANG!W50+BAYU!AB50+SUMBERARUM!X50</f>
        <v>70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44</v>
      </c>
      <c r="D51" s="16"/>
      <c r="E51" s="24">
        <f>SONGGON!AF51+BALAK!X51+SRAGI!AG51+PARANGHARJO!S51+BEDEWANG!W51+BAYU!AB51+SUMBERARUM!X51</f>
        <v>36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45</v>
      </c>
      <c r="D52" s="16"/>
      <c r="E52" s="24">
        <f>SONGGON!AF52+BALAK!X52+SRAGI!AG52+PARANGHARJO!S52+BEDEWANG!W52+BAYU!AB52+SUMBERARUM!X52</f>
        <v>18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14</v>
      </c>
      <c r="B55" s="47" t="s">
        <v>46</v>
      </c>
      <c r="C55" s="15"/>
      <c r="D55" s="16"/>
      <c r="E55" s="13">
        <f>SUM(E45:E52)</f>
        <v>4512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36</v>
      </c>
      <c r="B57" s="47" t="s">
        <v>18</v>
      </c>
      <c r="C57" s="48" t="s">
        <v>47</v>
      </c>
      <c r="D57" s="16"/>
      <c r="E57" s="24">
        <f>SONGGON!AF57+BALAK!X57+SRAGI!AG57+PARANGHARJO!S57+BEDEWANG!W57+BAYU!AB57+SUMBERARUM!X57</f>
        <v>1378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38</v>
      </c>
      <c r="B58" s="55">
        <v>1.0</v>
      </c>
      <c r="C58" s="50" t="s">
        <v>48</v>
      </c>
      <c r="D58" s="56"/>
      <c r="E58" s="24">
        <f>SONGGON!AF58+BALAK!X58+SRAGI!AG58+PARANGHARJO!S58+BEDEWANG!W58+BAYU!AB58+SUMBERARUM!X58</f>
        <v>1332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49</v>
      </c>
      <c r="D59" s="56"/>
      <c r="E59" s="24">
        <f>SONGGON!AF59+BALAK!X59+SRAGI!AG59+PARANGHARJO!S59+BEDEWANG!W59+BAYU!AB59+SUMBERARUM!X59</f>
        <v>1782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50</v>
      </c>
      <c r="D60" s="56"/>
      <c r="E60" s="24">
        <f>SONGGON!AF60+BALAK!X60+SRAGI!AG60+PARANGHARJO!S60+BEDEWANG!W60+BAYU!AB60+SUMBERARUM!X60</f>
        <v>148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51</v>
      </c>
      <c r="D61" s="56"/>
      <c r="E61" s="24">
        <f>SONGGON!AF61+BALAK!X61+SRAGI!AG61+PARANGHARJO!S61+BEDEWANG!W61+BAYU!AB61+SUMBERARUM!X61</f>
        <v>167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52</v>
      </c>
      <c r="D62" s="56"/>
      <c r="E62" s="24">
        <f>SONGGON!AF62+BALAK!X62+SRAGI!AG62+PARANGHARJO!S62+BEDEWANG!W62+BAYU!AB62+SUMBERARUM!X62</f>
        <v>28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53</v>
      </c>
      <c r="D63" s="57"/>
      <c r="E63" s="24">
        <f>SONGGON!AF63+BALAK!X63+SRAGI!AG63+PARANGHARJO!S63+BEDEWANG!W63+BAYU!AB63+SUMBERARUM!X63</f>
        <v>86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54</v>
      </c>
      <c r="D64" s="56"/>
      <c r="E64" s="24">
        <f>SONGGON!AF64+BALAK!X64+SRAGI!AG64+PARANGHARJO!S64+BEDEWANG!W64+BAYU!AB64+SUMBERARUM!X64</f>
        <v>42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14</v>
      </c>
      <c r="B67" s="47" t="s">
        <v>46</v>
      </c>
      <c r="C67" s="15"/>
      <c r="D67" s="16"/>
      <c r="E67" s="13">
        <f>SUM(E57:E64)</f>
        <v>4963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36</v>
      </c>
      <c r="B69" s="47" t="s">
        <v>20</v>
      </c>
      <c r="C69" s="48" t="s">
        <v>55</v>
      </c>
      <c r="D69" s="16"/>
      <c r="E69" s="24">
        <f>SONGGON!AF69+BALAK!X69+SRAGI!AG69+PARANGHARJO!S69+BEDEWANG!W69+BAYU!AB69+SUMBERARUM!X69</f>
        <v>1522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38</v>
      </c>
      <c r="B70" s="55">
        <v>1.0</v>
      </c>
      <c r="C70" s="50" t="s">
        <v>56</v>
      </c>
      <c r="D70" s="57"/>
      <c r="E70" s="24">
        <f>SONGGON!AF70+BALAK!X70+SRAGI!AG70+PARANGHARJO!S70+BEDEWANG!W70+BAYU!AB70+SUMBERARUM!X70</f>
        <v>2661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57</v>
      </c>
      <c r="D71" s="57"/>
      <c r="E71" s="24">
        <f>SONGGON!AF71+BALAK!X71+SRAGI!AG71+PARANGHARJO!S71+BEDEWANG!W71+BAYU!AB71+SUMBERARUM!X71</f>
        <v>335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58</v>
      </c>
      <c r="D72" s="57"/>
      <c r="E72" s="24">
        <f>SONGGON!AF72+BALAK!X72+SRAGI!AG72+PARANGHARJO!S72+BEDEWANG!W72+BAYU!AB72+SUMBERARUM!X72</f>
        <v>1420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59</v>
      </c>
      <c r="D73" s="57"/>
      <c r="E73" s="24">
        <f>SONGGON!AF73+BALAK!X73+SRAGI!AG73+PARANGHARJO!S73+BEDEWANG!W73+BAYU!AB73+SUMBERARUM!X73</f>
        <v>276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60</v>
      </c>
      <c r="D74" s="57"/>
      <c r="E74" s="24">
        <f>SONGGON!AF74+BALAK!X74+SRAGI!AG74+PARANGHARJO!S74+BEDEWANG!W74+BAYU!AB74+SUMBERARUM!X74</f>
        <v>376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61</v>
      </c>
      <c r="D75" s="57"/>
      <c r="E75" s="24">
        <f>SONGGON!AF75+BALAK!X75+SRAGI!AG75+PARANGHARJO!S75+BEDEWANG!W75+BAYU!AB75+SUMBERARUM!X75</f>
        <v>181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62</v>
      </c>
      <c r="D76" s="57"/>
      <c r="E76" s="24">
        <f>SONGGON!AF76+BALAK!X76+SRAGI!AG76+PARANGHARJO!S76+BEDEWANG!W76+BAYU!AB76+SUMBERARUM!X76</f>
        <v>172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14</v>
      </c>
      <c r="B79" s="47" t="s">
        <v>46</v>
      </c>
      <c r="C79" s="15"/>
      <c r="D79" s="16"/>
      <c r="E79" s="13">
        <f>SUM(E69:E76)</f>
        <v>6943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36</v>
      </c>
      <c r="B81" s="47" t="s">
        <v>22</v>
      </c>
      <c r="C81" s="48" t="s">
        <v>63</v>
      </c>
      <c r="D81" s="16"/>
      <c r="E81" s="24">
        <f>SONGGON!AF81+BALAK!X81+SRAGI!AG81+PARANGHARJO!S81+BEDEWANG!W81+BAYU!AB81+SUMBERARUM!X81</f>
        <v>560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38</v>
      </c>
      <c r="B82" s="55">
        <v>1.0</v>
      </c>
      <c r="C82" s="50" t="s">
        <v>64</v>
      </c>
      <c r="D82" s="57"/>
      <c r="E82" s="24">
        <f>SONGGON!AF82+BALAK!X82+SRAGI!AG82+PARANGHARJO!S82+BEDEWANG!W82+BAYU!AB82+SUMBERARUM!X82</f>
        <v>1232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65</v>
      </c>
      <c r="D83" s="57"/>
      <c r="E83" s="24">
        <f>SONGGON!AF83+BALAK!X83+SRAGI!AG83+PARANGHARJO!S83+BEDEWANG!W83+BAYU!AB83+SUMBERARUM!X83</f>
        <v>1107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66</v>
      </c>
      <c r="D84" s="57"/>
      <c r="E84" s="24">
        <f>SONGGON!AF84+BALAK!X84+SRAGI!AG84+PARANGHARJO!S84+BEDEWANG!W84+BAYU!AB84+SUMBERARUM!X84</f>
        <v>78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67</v>
      </c>
      <c r="D85" s="57"/>
      <c r="E85" s="24">
        <f>SONGGON!AF85+BALAK!X85+SRAGI!AG85+PARANGHARJO!S85+BEDEWANG!W85+BAYU!AB85+SUMBERARUM!X85</f>
        <v>131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68</v>
      </c>
      <c r="D86" s="57"/>
      <c r="E86" s="24">
        <f>SONGGON!AF86+BALAK!X86+SRAGI!AG86+PARANGHARJO!S86+BEDEWANG!W86+BAYU!AB86+SUMBERARUM!X86</f>
        <v>167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69</v>
      </c>
      <c r="D87" s="57"/>
      <c r="E87" s="24">
        <f>SONGGON!AF87+BALAK!X87+SRAGI!AG87+PARANGHARJO!S87+BEDEWANG!W87+BAYU!AB87+SUMBERARUM!X87</f>
        <v>16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70</v>
      </c>
      <c r="D88" s="57"/>
      <c r="E88" s="24">
        <f>SONGGON!AF88+BALAK!X88+SRAGI!AG88+PARANGHARJO!S88+BEDEWANG!W88+BAYU!AB88+SUMBERARUM!X88</f>
        <v>9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14</v>
      </c>
      <c r="B91" s="47" t="s">
        <v>46</v>
      </c>
      <c r="C91" s="15"/>
      <c r="D91" s="16"/>
      <c r="E91" s="13">
        <f>SUM(E81:E88)</f>
        <v>3300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36</v>
      </c>
      <c r="B93" s="47" t="s">
        <v>71</v>
      </c>
      <c r="C93" s="48" t="s">
        <v>72</v>
      </c>
      <c r="D93" s="16"/>
      <c r="E93" s="24">
        <f>SONGGON!AF93+BALAK!X93+SRAGI!AG93+PARANGHARJO!S93+BEDEWANG!W93+BAYU!AB93+SUMBERARUM!X93</f>
        <v>178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38</v>
      </c>
      <c r="B94" s="55">
        <v>1.0</v>
      </c>
      <c r="C94" s="50" t="s">
        <v>73</v>
      </c>
      <c r="D94" s="57"/>
      <c r="E94" s="24">
        <f>SONGGON!AF94+BALAK!X94+SRAGI!AG94+PARANGHARJO!S94+BEDEWANG!W94+BAYU!AB94+SUMBERARUM!X94</f>
        <v>145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74</v>
      </c>
      <c r="D95" s="57"/>
      <c r="E95" s="24">
        <f>SONGGON!AF95+BALAK!X95+SRAGI!AG95+PARANGHARJO!S95+BEDEWANG!W95+BAYU!AB95+SUMBERARUM!X95</f>
        <v>229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75</v>
      </c>
      <c r="D96" s="57"/>
      <c r="E96" s="24">
        <f>SONGGON!AF96+BALAK!X96+SRAGI!AG96+PARANGHARJO!S96+BEDEWANG!W96+BAYU!AB96+SUMBERARUM!X96</f>
        <v>22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76</v>
      </c>
      <c r="D97" s="57"/>
      <c r="E97" s="24">
        <f>SONGGON!AF97+BALAK!X97+SRAGI!AG97+PARANGHARJO!S97+BEDEWANG!W97+BAYU!AB97+SUMBERARUM!X97</f>
        <v>150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77</v>
      </c>
      <c r="D98" s="57"/>
      <c r="E98" s="24">
        <f>SONGGON!AF98+BALAK!X98+SRAGI!AG98+PARANGHARJO!S98+BEDEWANG!W98+BAYU!AB98+SUMBERARUM!X98</f>
        <v>18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78</v>
      </c>
      <c r="D99" s="57"/>
      <c r="E99" s="24">
        <f>SONGGON!AF99+BALAK!X99+SRAGI!AG99+PARANGHARJO!S99+BEDEWANG!W99+BAYU!AB99+SUMBERARUM!X99</f>
        <v>19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79</v>
      </c>
      <c r="D100" s="57"/>
      <c r="E100" s="24">
        <f>SONGGON!AF100+BALAK!X100+SRAGI!AG100+PARANGHARJO!S100+BEDEWANG!W100+BAYU!AB100+SUMBERARUM!X100</f>
        <v>12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14</v>
      </c>
      <c r="B103" s="47" t="s">
        <v>46</v>
      </c>
      <c r="C103" s="15"/>
      <c r="D103" s="16"/>
      <c r="E103" s="13">
        <f>SUM(E93:E100)</f>
        <v>773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36</v>
      </c>
      <c r="B105" s="47" t="s">
        <v>80</v>
      </c>
      <c r="C105" s="48" t="s">
        <v>81</v>
      </c>
      <c r="D105" s="16"/>
      <c r="E105" s="24">
        <f>SONGGON!AF105+BALAK!X105+SRAGI!AG105+PARANGHARJO!S105+BEDEWANG!W105+BAYU!AB105+SUMBERARUM!X105</f>
        <v>112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38</v>
      </c>
      <c r="B106" s="55">
        <v>1.0</v>
      </c>
      <c r="C106" s="50" t="s">
        <v>82</v>
      </c>
      <c r="D106" s="57"/>
      <c r="E106" s="24">
        <f>SONGGON!AF106+BALAK!X106+SRAGI!AG106+PARANGHARJO!S106+BEDEWANG!W106+BAYU!AB106+SUMBERARUM!X106</f>
        <v>30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83</v>
      </c>
      <c r="D107" s="57"/>
      <c r="E107" s="24">
        <f>SONGGON!AF107+BALAK!X107+SRAGI!AG107+PARANGHARJO!S107+BEDEWANG!W107+BAYU!AB107+SUMBERARUM!X107</f>
        <v>17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84</v>
      </c>
      <c r="D108" s="57"/>
      <c r="E108" s="24">
        <f>SONGGON!AF108+BALAK!X108+SRAGI!AG108+PARANGHARJO!S108+BEDEWANG!W108+BAYU!AB108+SUMBERARUM!X108</f>
        <v>10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85</v>
      </c>
      <c r="D109" s="57"/>
      <c r="E109" s="24">
        <f>SONGGON!AF109+BALAK!X109+SRAGI!AG109+PARANGHARJO!S109+BEDEWANG!W109+BAYU!AB109+SUMBERARUM!X109</f>
        <v>3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86</v>
      </c>
      <c r="D110" s="57"/>
      <c r="E110" s="24">
        <f>SONGGON!AF110+BALAK!X110+SRAGI!AG110+PARANGHARJO!S110+BEDEWANG!W110+BAYU!AB110+SUMBERARUM!X110</f>
        <v>1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87</v>
      </c>
      <c r="D111" s="57"/>
      <c r="E111" s="24">
        <f>SONGGON!AF111+BALAK!X111+SRAGI!AG111+PARANGHARJO!S111+BEDEWANG!W111+BAYU!AB111+SUMBERARUM!X111</f>
        <v>6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88</v>
      </c>
      <c r="D112" s="57"/>
      <c r="E112" s="24">
        <f>SONGGON!AF112+BALAK!X112+SRAGI!AG112+PARANGHARJO!S112+BEDEWANG!W112+BAYU!AB112+SUMBERARUM!X112</f>
        <v>3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14</v>
      </c>
      <c r="B115" s="47" t="s">
        <v>46</v>
      </c>
      <c r="C115" s="15"/>
      <c r="D115" s="16"/>
      <c r="E115" s="13">
        <f>SUM(E105:E112)</f>
        <v>182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36</v>
      </c>
      <c r="B117" s="47" t="s">
        <v>89</v>
      </c>
      <c r="C117" s="48" t="s">
        <v>90</v>
      </c>
      <c r="D117" s="16"/>
      <c r="E117" s="24">
        <f>SONGGON!AF117+BALAK!X117+SRAGI!AG117+PARANGHARJO!S117+BEDEWANG!W117+BAYU!AB117+SUMBERARUM!X117</f>
        <v>85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38</v>
      </c>
      <c r="B118" s="55">
        <v>1.0</v>
      </c>
      <c r="C118" s="50" t="s">
        <v>91</v>
      </c>
      <c r="D118" s="57"/>
      <c r="E118" s="24">
        <f>SONGGON!AF118+BALAK!X118+SRAGI!AG118+PARANGHARJO!S118+BEDEWANG!W118+BAYU!AB118+SUMBERARUM!X118</f>
        <v>31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92</v>
      </c>
      <c r="D119" s="57"/>
      <c r="E119" s="24">
        <f>SONGGON!AF119+BALAK!X119+SRAGI!AG119+PARANGHARJO!S119+BEDEWANG!W119+BAYU!AB119+SUMBERARUM!X119</f>
        <v>11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93</v>
      </c>
      <c r="D120" s="57"/>
      <c r="E120" s="24">
        <f>SONGGON!AF120+BALAK!X120+SRAGI!AG120+PARANGHARJO!S120+BEDEWANG!W120+BAYU!AB120+SUMBERARUM!X120</f>
        <v>8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14</v>
      </c>
      <c r="B127" s="47" t="s">
        <v>46</v>
      </c>
      <c r="C127" s="15"/>
      <c r="D127" s="16"/>
      <c r="E127" s="58">
        <f>SUM(E117:E120)</f>
        <v>135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36</v>
      </c>
      <c r="B129" s="47" t="s">
        <v>94</v>
      </c>
      <c r="C129" s="48" t="s">
        <v>95</v>
      </c>
      <c r="D129" s="16"/>
      <c r="E129" s="24">
        <f>SONGGON!AF129+BALAK!X129+SRAGI!AG129+PARANGHARJO!S129+BEDEWANG!W129+BAYU!AB129+SUMBERARUM!X129</f>
        <v>197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38</v>
      </c>
      <c r="B130" s="55">
        <v>1.0</v>
      </c>
      <c r="C130" s="50" t="s">
        <v>96</v>
      </c>
      <c r="D130" s="56"/>
      <c r="E130" s="24">
        <f>SONGGON!AF130+BALAK!X130+SRAGI!AG130+PARANGHARJO!S130+BEDEWANG!W130+BAYU!AB130+SUMBERARUM!X130</f>
        <v>410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97</v>
      </c>
      <c r="D131" s="56"/>
      <c r="E131" s="24">
        <f>SONGGON!AF131+BALAK!X131+SRAGI!AG131+PARANGHARJO!S131+BEDEWANG!W131+BAYU!AB131+SUMBERARUM!X131</f>
        <v>74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98</v>
      </c>
      <c r="D132" s="56"/>
      <c r="E132" s="24">
        <f>SONGGON!AF132+BALAK!X132+SRAGI!AG132+PARANGHARJO!S132+BEDEWANG!W132+BAYU!AB132+SUMBERARUM!X132</f>
        <v>24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99</v>
      </c>
      <c r="D133" s="56"/>
      <c r="E133" s="24">
        <f>SONGGON!AF133+BALAK!X133+SRAGI!AG133+PARANGHARJO!S133+BEDEWANG!W133+BAYU!AB133+SUMBERARUM!X133</f>
        <v>10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100</v>
      </c>
      <c r="D134" s="56"/>
      <c r="E134" s="24">
        <f>SONGGON!AF134+BALAK!X134+SRAGI!AG134+PARANGHARJO!S134+BEDEWANG!W134+BAYU!AB134+SUMBERARUM!X134</f>
        <v>47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101</v>
      </c>
      <c r="D135" s="57"/>
      <c r="E135" s="24">
        <f>SONGGON!AF135+BALAK!X135+SRAGI!AG135+PARANGHARJO!S135+BEDEWANG!W135+BAYU!AB135+SUMBERARUM!X135</f>
        <v>22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102</v>
      </c>
      <c r="D136" s="56"/>
      <c r="E136" s="24">
        <f>SONGGON!AF136+BALAK!X136+SRAGI!AG136+PARANGHARJO!S136+BEDEWANG!W136+BAYU!AB136+SUMBERARUM!X136</f>
        <v>2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14</v>
      </c>
      <c r="B139" s="47" t="s">
        <v>46</v>
      </c>
      <c r="C139" s="15"/>
      <c r="D139" s="16"/>
      <c r="E139" s="13">
        <f>SUM(E129:E136)</f>
        <v>786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36</v>
      </c>
      <c r="B141" s="47" t="s">
        <v>103</v>
      </c>
      <c r="C141" s="48" t="s">
        <v>104</v>
      </c>
      <c r="D141" s="16"/>
      <c r="E141" s="24">
        <f>SONGGON!AF141+BALAK!X141+SRAGI!AG141+PARANGHARJO!S141+BEDEWANG!W141+BAYU!AB141+SUMBERARUM!X141</f>
        <v>11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38</v>
      </c>
      <c r="B142" s="55">
        <v>1.0</v>
      </c>
      <c r="C142" s="50" t="s">
        <v>105</v>
      </c>
      <c r="D142" s="57"/>
      <c r="E142" s="24">
        <f>SONGGON!AF142+BALAK!X142+SRAGI!AG142+PARANGHARJO!S142+BEDEWANG!W142+BAYU!AB142+SUMBERARUM!X142</f>
        <v>3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106</v>
      </c>
      <c r="D143" s="57"/>
      <c r="E143" s="24">
        <f>SONGGON!AF143+BALAK!X143+SRAGI!AG143+PARANGHARJO!S143+BEDEWANG!W143+BAYU!AB143+SUMBERARUM!X143</f>
        <v>1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107</v>
      </c>
      <c r="D144" s="57"/>
      <c r="E144" s="24">
        <f>SONGGON!AF144+BALAK!X144+SRAGI!AG144+PARANGHARJO!S144+BEDEWANG!W144+BAYU!AB144+SUMBERARUM!X144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108</v>
      </c>
      <c r="D145" s="57"/>
      <c r="E145" s="24">
        <f>SONGGON!AF145+BALAK!X145+SRAGI!AG145+PARANGHARJO!S145+BEDEWANG!W145+BAYU!AB145+SUMBERARUM!X145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109</v>
      </c>
      <c r="D146" s="57"/>
      <c r="E146" s="24">
        <f>SONGGON!AF146+BALAK!X146+SRAGI!AG146+PARANGHARJO!S146+BEDEWANG!W146+BAYU!AB146+SUMBERARUM!X146</f>
        <v>2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110</v>
      </c>
      <c r="D147" s="57"/>
      <c r="E147" s="24">
        <f>SONGGON!AF147+BALAK!X147+SRAGI!AG147+PARANGHARJO!S147+BEDEWANG!W147+BAYU!AB147+SUMBERARUM!X147</f>
        <v>1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111</v>
      </c>
      <c r="D148" s="57"/>
      <c r="E148" s="24">
        <f>SONGGON!AF148+BALAK!X148+SRAGI!AG148+PARANGHARJO!S148+BEDEWANG!W148+BAYU!AB148+SUMBERARUM!X148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14</v>
      </c>
      <c r="B151" s="47" t="s">
        <v>46</v>
      </c>
      <c r="C151" s="15"/>
      <c r="D151" s="16"/>
      <c r="E151" s="13">
        <f>SUM(E141:E148)</f>
        <v>18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36</v>
      </c>
      <c r="B153" s="47" t="s">
        <v>112</v>
      </c>
      <c r="C153" s="48" t="s">
        <v>113</v>
      </c>
      <c r="D153" s="16"/>
      <c r="E153" s="24">
        <f>SONGGON!AF153+BALAK!X153+SRAGI!AG153+PARANGHARJO!S153+BEDEWANG!W153+BAYU!AB153+SUMBERARUM!X153</f>
        <v>26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38</v>
      </c>
      <c r="B154" s="55">
        <v>1.0</v>
      </c>
      <c r="C154" s="59" t="s">
        <v>114</v>
      </c>
      <c r="D154" s="57"/>
      <c r="E154" s="24">
        <f>SONGGON!AF154+BALAK!X154+SRAGI!AG154+PARANGHARJO!S154+BEDEWANG!W154+BAYU!AB154+SUMBERARUM!X154</f>
        <v>21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115</v>
      </c>
      <c r="D155" s="57"/>
      <c r="E155" s="24">
        <f>SONGGON!AF155+BALAK!X155+SRAGI!AG155+PARANGHARJO!S155+BEDEWANG!W155+BAYU!AB155+SUMBERARUM!X155</f>
        <v>11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116</v>
      </c>
      <c r="D156" s="57"/>
      <c r="E156" s="24">
        <f>SONGGON!AF156+BALAK!X156+SRAGI!AG156+PARANGHARJO!S156+BEDEWANG!W156+BAYU!AB156+SUMBERARUM!X156</f>
        <v>14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117</v>
      </c>
      <c r="D157" s="57"/>
      <c r="E157" s="24">
        <f>SONGGON!AF157+BALAK!X157+SRAGI!AG157+PARANGHARJO!S157+BEDEWANG!W157+BAYU!AB157+SUMBERARUM!X157</f>
        <v>7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14</v>
      </c>
      <c r="B163" s="47" t="s">
        <v>46</v>
      </c>
      <c r="C163" s="15"/>
      <c r="D163" s="16"/>
      <c r="E163" s="13">
        <f>SUM(E153:E157)</f>
        <v>79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36</v>
      </c>
      <c r="B165" s="47" t="s">
        <v>118</v>
      </c>
      <c r="C165" s="48" t="s">
        <v>119</v>
      </c>
      <c r="D165" s="16"/>
      <c r="E165" s="24">
        <f>SONGGON!AF165+BALAK!X165+SRAGI!AG165+PARANGHARJO!S165+BEDEWANG!W165+BAYU!AB165+SUMBERARUM!X165</f>
        <v>31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38</v>
      </c>
      <c r="B166" s="55">
        <v>1.0</v>
      </c>
      <c r="C166" s="50" t="s">
        <v>120</v>
      </c>
      <c r="D166" s="57"/>
      <c r="E166" s="24">
        <f>SONGGON!AF166+BALAK!X166+SRAGI!AG166+PARANGHARJO!S166+BEDEWANG!W166+BAYU!AB166+SUMBERARUM!X166</f>
        <v>11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121</v>
      </c>
      <c r="D167" s="57"/>
      <c r="E167" s="24">
        <f>SONGGON!AF167+BALAK!X167+SRAGI!AG167+PARANGHARJO!S167+BEDEWANG!W167+BAYU!AB167+SUMBERARUM!X167</f>
        <v>6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122</v>
      </c>
      <c r="D168" s="57"/>
      <c r="E168" s="24">
        <f>SONGGON!AF168+BALAK!X168+SRAGI!AG168+PARANGHARJO!S168+BEDEWANG!W168+BAYU!AB168+SUMBERARUM!X168</f>
        <v>9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123</v>
      </c>
      <c r="D169" s="57"/>
      <c r="E169" s="24">
        <f>SONGGON!AF169+BALAK!X169+SRAGI!AG169+PARANGHARJO!S169+BEDEWANG!W169+BAYU!AB169+SUMBERARUM!X169</f>
        <v>5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124</v>
      </c>
      <c r="D170" s="57"/>
      <c r="E170" s="24">
        <f>SONGGON!AF170+BALAK!X170+SRAGI!AG170+PARANGHARJO!S170+BEDEWANG!W170+BAYU!AB170+SUMBERARUM!X170</f>
        <v>2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125</v>
      </c>
      <c r="D171" s="57"/>
      <c r="E171" s="24">
        <f>SONGGON!AF171+BALAK!X171+SRAGI!AG171+PARANGHARJO!S171+BEDEWANG!W171+BAYU!AB171+SUMBERARUM!X171</f>
        <v>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126</v>
      </c>
      <c r="D172" s="57"/>
      <c r="E172" s="24">
        <f>SONGGON!AF172+BALAK!X172+SRAGI!AG172+PARANGHARJO!S172+BEDEWANG!W172+BAYU!AB172+SUMBERARUM!X172</f>
        <v>1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14</v>
      </c>
      <c r="B175" s="47" t="s">
        <v>46</v>
      </c>
      <c r="C175" s="15"/>
      <c r="D175" s="16"/>
      <c r="E175" s="13">
        <f>SUM(E165:E172)</f>
        <v>65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36</v>
      </c>
      <c r="B177" s="47" t="s">
        <v>127</v>
      </c>
      <c r="C177" s="48" t="s">
        <v>128</v>
      </c>
      <c r="D177" s="16"/>
      <c r="E177" s="24">
        <f>SONGGON!AF177+BALAK!X177+SRAGI!AG177+PARANGHARJO!S177+BEDEWANG!W177+BAYU!AB177+SUMBERARUM!X177</f>
        <v>53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38</v>
      </c>
      <c r="B178" s="55">
        <v>1.0</v>
      </c>
      <c r="C178" s="50" t="s">
        <v>129</v>
      </c>
      <c r="D178" s="57"/>
      <c r="E178" s="24">
        <f>SONGGON!AF178+BALAK!X178+SRAGI!AG178+PARANGHARJO!S178+BEDEWANG!W178+BAYU!AB178+SUMBERARUM!X178</f>
        <v>32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130</v>
      </c>
      <c r="D179" s="57"/>
      <c r="E179" s="24">
        <f>SONGGON!AF179+BALAK!X179+SRAGI!AG179+PARANGHARJO!S179+BEDEWANG!W179+BAYU!AB179+SUMBERARUM!X179</f>
        <v>22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131</v>
      </c>
      <c r="D180" s="57"/>
      <c r="E180" s="24">
        <f>SONGGON!AF180+BALAK!X180+SRAGI!AG180+PARANGHARJO!S180+BEDEWANG!W180+BAYU!AB180+SUMBERARUM!X180</f>
        <v>19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132</v>
      </c>
      <c r="D181" s="57"/>
      <c r="E181" s="24">
        <f>SONGGON!AF181+BALAK!X181+SRAGI!AG181+PARANGHARJO!S181+BEDEWANG!W181+BAYU!AB181+SUMBERARUM!X181</f>
        <v>10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133</v>
      </c>
      <c r="D182" s="57"/>
      <c r="E182" s="24">
        <f>SONGGON!AF182+BALAK!X182+SRAGI!AG182+PARANGHARJO!S182+BEDEWANG!W182+BAYU!AB182+SUMBERARUM!X182</f>
        <v>6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134</v>
      </c>
      <c r="D183" s="57"/>
      <c r="E183" s="24">
        <f>SONGGON!AF183+BALAK!X183+SRAGI!AG183+PARANGHARJO!S183+BEDEWANG!W183+BAYU!AB183+SUMBERARUM!X183</f>
        <v>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135</v>
      </c>
      <c r="D184" s="57"/>
      <c r="E184" s="24">
        <f>SONGGON!AF184+BALAK!X184+SRAGI!AG184+PARANGHARJO!S184+BEDEWANG!W184+BAYU!AB184+SUMBERARUM!X184</f>
        <v>133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14</v>
      </c>
      <c r="B187" s="47" t="s">
        <v>46</v>
      </c>
      <c r="C187" s="15"/>
      <c r="D187" s="16"/>
      <c r="E187" s="13">
        <f>SUM(E177:E184)</f>
        <v>279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36</v>
      </c>
      <c r="B189" s="47" t="s">
        <v>136</v>
      </c>
      <c r="C189" s="48" t="s">
        <v>137</v>
      </c>
      <c r="D189" s="16"/>
      <c r="E189" s="24">
        <f>SONGGON!AF189+BALAK!X189+SRAGI!AG189+PARANGHARJO!S189+BEDEWANG!W189+BAYU!AB189+SUMBERARUM!X189</f>
        <v>6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38</v>
      </c>
      <c r="B190" s="55">
        <v>1.0</v>
      </c>
      <c r="C190" s="50" t="s">
        <v>138</v>
      </c>
      <c r="D190" s="57"/>
      <c r="E190" s="24">
        <f>SONGGON!AF190+BALAK!X190+SRAGI!AG190+PARANGHARJO!S190+BEDEWANG!W190+BAYU!AB190+SUMBERARUM!X190</f>
        <v>7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139</v>
      </c>
      <c r="D191" s="57"/>
      <c r="E191" s="24">
        <f>SONGGON!AF191+BALAK!X191+SRAGI!AG191+PARANGHARJO!S191+BEDEWANG!W191+BAYU!AB191+SUMBERARUM!X191</f>
        <v>6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140</v>
      </c>
      <c r="D192" s="57"/>
      <c r="E192" s="24">
        <f>SONGGON!AF192+BALAK!X192+SRAGI!AG192+PARANGHARJO!S192+BEDEWANG!W192+BAYU!AB192+SUMBERARUM!X192</f>
        <v>2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141</v>
      </c>
      <c r="D193" s="57"/>
      <c r="E193" s="24">
        <f>SONGGON!AF193+BALAK!X193+SRAGI!AG193+PARANGHARJO!S193+BEDEWANG!W193+BAYU!AB193+SUMBERARUM!X193</f>
        <v>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142</v>
      </c>
      <c r="D194" s="57"/>
      <c r="E194" s="24">
        <f>SONGGON!AF194+BALAK!X194+SRAGI!AG194+PARANGHARJO!S194+BEDEWANG!W194+BAYU!AB194+SUMBERARUM!X194</f>
        <v>3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143</v>
      </c>
      <c r="D195" s="57"/>
      <c r="E195" s="24">
        <f>SONGGON!AF195+BALAK!X195+SRAGI!AG195+PARANGHARJO!S195+BEDEWANG!W195+BAYU!AB195+SUMBERARUM!X195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144</v>
      </c>
      <c r="D196" s="57"/>
      <c r="E196" s="24">
        <f>SONGGON!AF196+BALAK!X196+SRAGI!AG196+PARANGHARJO!S196+BEDEWANG!W196+BAYU!AB196+SUMBERARUM!X196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14</v>
      </c>
      <c r="B199" s="47" t="s">
        <v>46</v>
      </c>
      <c r="C199" s="15"/>
      <c r="D199" s="16"/>
      <c r="E199" s="13">
        <f>SUM(E189:E196)</f>
        <v>27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36</v>
      </c>
      <c r="B201" s="47" t="s">
        <v>145</v>
      </c>
      <c r="C201" s="48" t="s">
        <v>146</v>
      </c>
      <c r="D201" s="16"/>
      <c r="E201" s="24">
        <f>SONGGON!AF201+BALAK!X201+SRAGI!AG201+PARANGHARJO!S201+BEDEWANG!W201+BAYU!AB201+SUMBERARUM!X201</f>
        <v>417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38</v>
      </c>
      <c r="B202" s="55">
        <v>1.0</v>
      </c>
      <c r="C202" s="50" t="s">
        <v>147</v>
      </c>
      <c r="D202" s="57"/>
      <c r="E202" s="24">
        <f>SONGGON!AF202+BALAK!X202+SRAGI!AG202+PARANGHARJO!S202+BEDEWANG!W202+BAYU!AB202+SUMBERARUM!X202</f>
        <v>544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148</v>
      </c>
      <c r="D203" s="57"/>
      <c r="E203" s="24">
        <f>SONGGON!AF203+BALAK!X203+SRAGI!AG203+PARANGHARJO!S203+BEDEWANG!W203+BAYU!AB203+SUMBERARUM!X203</f>
        <v>127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149</v>
      </c>
      <c r="D204" s="57"/>
      <c r="E204" s="24">
        <f>SONGGON!AF204+BALAK!X204+SRAGI!AG204+PARANGHARJO!S204+BEDEWANG!W204+BAYU!AB204+SUMBERARUM!X204</f>
        <v>58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150</v>
      </c>
      <c r="D205" s="57"/>
      <c r="E205" s="24">
        <f>SONGGON!AF205+BALAK!X205+SRAGI!AG205+PARANGHARJO!S205+BEDEWANG!W205+BAYU!AB205+SUMBERARUM!X205</f>
        <v>293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151</v>
      </c>
      <c r="D206" s="57"/>
      <c r="E206" s="24">
        <f>SONGGON!AF206+BALAK!X206+SRAGI!AG206+PARANGHARJO!S206+BEDEWANG!W206+BAYU!AB206+SUMBERARUM!X206</f>
        <v>29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152</v>
      </c>
      <c r="D207" s="57"/>
      <c r="E207" s="24">
        <f>SONGGON!AF207+BALAK!X207+SRAGI!AG207+PARANGHARJO!S207+BEDEWANG!W207+BAYU!AB207+SUMBERARUM!X207</f>
        <v>19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153</v>
      </c>
      <c r="D208" s="57"/>
      <c r="E208" s="24">
        <f>SONGGON!AF208+BALAK!X208+SRAGI!AG208+PARANGHARJO!S208+BEDEWANG!W208+BAYU!AB208+SUMBERARUM!X208</f>
        <v>23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14</v>
      </c>
      <c r="B211" s="47" t="s">
        <v>46</v>
      </c>
      <c r="C211" s="15"/>
      <c r="D211" s="16"/>
      <c r="E211" s="13">
        <f>SUM(E201:E208)</f>
        <v>1510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36</v>
      </c>
      <c r="B213" s="47" t="s">
        <v>154</v>
      </c>
      <c r="C213" s="48" t="s">
        <v>155</v>
      </c>
      <c r="D213" s="16"/>
      <c r="E213" s="24">
        <f>SONGGON!AF213+BALAK!X213+SRAGI!AG213+PARANGHARJO!S213+BEDEWANG!W213+BAYU!AB213+SUMBERARUM!X213</f>
        <v>174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38</v>
      </c>
      <c r="B214" s="55">
        <v>1.0</v>
      </c>
      <c r="C214" s="50" t="s">
        <v>156</v>
      </c>
      <c r="D214" s="56"/>
      <c r="E214" s="24">
        <f>SONGGON!AF214+BALAK!X214+SRAGI!AG214+PARANGHARJO!S214+BEDEWANG!W214+BAYU!AB214+SUMBERARUM!X214</f>
        <v>99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157</v>
      </c>
      <c r="D215" s="56"/>
      <c r="E215" s="24">
        <f>SONGGON!AF215+BALAK!X215+SRAGI!AG215+PARANGHARJO!S215+BEDEWANG!W215+BAYU!AB215+SUMBERARUM!X215</f>
        <v>2155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158</v>
      </c>
      <c r="E216" s="24">
        <f>SONGGON!AF216+BALAK!X216+SRAGI!AG216+PARANGHARJO!S216+BEDEWANG!W216+BAYU!AB216+SUMBERARUM!X216</f>
        <v>24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159</v>
      </c>
      <c r="D217" s="56"/>
      <c r="E217" s="24">
        <f>SONGGON!AF217+BALAK!X217+SRAGI!AG217+PARANGHARJO!S217+BEDEWANG!W217+BAYU!AB217+SUMBERARUM!X217</f>
        <v>21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160</v>
      </c>
      <c r="D218" s="56"/>
      <c r="E218" s="24">
        <f>SONGGON!AF218+BALAK!X218+SRAGI!AG218+PARANGHARJO!S218+BEDEWANG!W218+BAYU!AB218+SUMBERARUM!X218</f>
        <v>6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161</v>
      </c>
      <c r="D219" s="56"/>
      <c r="E219" s="24">
        <f>SONGGON!AF219+BALAK!X219+SRAGI!AG219+PARANGHARJO!S219+BEDEWANG!W219+BAYU!AB219+SUMBERARUM!X219</f>
        <v>15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162</v>
      </c>
      <c r="D220" s="56"/>
      <c r="E220" s="24">
        <f>SONGGON!AF220+BALAK!X220+SRAGI!AG220+PARANGHARJO!S220+BEDEWANG!W220+BAYU!AB220+SUMBERARUM!X220</f>
        <v>6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14</v>
      </c>
      <c r="B223" s="47" t="s">
        <v>46</v>
      </c>
      <c r="C223" s="15"/>
      <c r="D223" s="16"/>
      <c r="E223" s="13">
        <f>SUM(E213:E220)</f>
        <v>2500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36</v>
      </c>
      <c r="B225" s="47" t="s">
        <v>163</v>
      </c>
      <c r="C225" s="48" t="s">
        <v>164</v>
      </c>
      <c r="D225" s="16"/>
      <c r="E225" s="24">
        <f>SONGGON!AF225+BALAK!X225+SRAGI!AG225+PARANGHARJO!S225+BEDEWANG!W225+BAYU!AB225+SUMBERARUM!X225</f>
        <v>21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38</v>
      </c>
      <c r="B226" s="55">
        <v>1.0</v>
      </c>
      <c r="C226" s="50" t="s">
        <v>165</v>
      </c>
      <c r="D226" s="57"/>
      <c r="E226" s="24">
        <f>SONGGON!AF226+BALAK!X226+SRAGI!AG226+PARANGHARJO!S226+BEDEWANG!W226+BAYU!AB226+SUMBERARUM!X226</f>
        <v>88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166</v>
      </c>
      <c r="D227" s="57"/>
      <c r="E227" s="24">
        <f>SONGGON!AF227+BALAK!X227+SRAGI!AG227+PARANGHARJO!S227+BEDEWANG!W227+BAYU!AB227+SUMBERARUM!X227</f>
        <v>3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167</v>
      </c>
      <c r="D228" s="57"/>
      <c r="E228" s="24">
        <f>SONGGON!AF228+BALAK!X228+SRAGI!AG228+PARANGHARJO!S228+BEDEWANG!W228+BAYU!AB228+SUMBERARUM!X228</f>
        <v>1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168</v>
      </c>
      <c r="D229" s="57"/>
      <c r="E229" s="24">
        <f>SONGGON!AF229+BALAK!X229+SRAGI!AG229+PARANGHARJO!S229+BEDEWANG!W229+BAYU!AB229+SUMBERARUM!X229</f>
        <v>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169</v>
      </c>
      <c r="D230" s="57"/>
      <c r="E230" s="24">
        <f>SONGGON!AF230+BALAK!X230+SRAGI!AG230+PARANGHARJO!S230+BEDEWANG!W230+BAYU!AB230+SUMBERARUM!X230</f>
        <v>3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170</v>
      </c>
      <c r="D231" s="57"/>
      <c r="E231" s="24">
        <f>SONGGON!AF231+BALAK!X231+SRAGI!AG231+PARANGHARJO!S231+BEDEWANG!W231+BAYU!AB231+SUMBERARUM!X231</f>
        <v>1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171</v>
      </c>
      <c r="D232" s="57"/>
      <c r="E232" s="24">
        <f>SONGGON!AF232+BALAK!X232+SRAGI!AG232+PARANGHARJO!S232+BEDEWANG!W232+BAYU!AB232+SUMBERARUM!X232</f>
        <v>5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14</v>
      </c>
      <c r="B235" s="47" t="s">
        <v>46</v>
      </c>
      <c r="C235" s="15"/>
      <c r="D235" s="16"/>
      <c r="E235" s="13">
        <f>SUM(E225:E232)</f>
        <v>123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36</v>
      </c>
      <c r="B237" s="47" t="s">
        <v>172</v>
      </c>
      <c r="C237" s="48" t="s">
        <v>173</v>
      </c>
      <c r="D237" s="16"/>
      <c r="E237" s="24">
        <f>SONGGON!AF237+BALAK!X237+SRAGI!AG237+PARANGHARJO!S237+BEDEWANG!W237+BAYU!AB237+SUMBERARUM!X237</f>
        <v>114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38</v>
      </c>
      <c r="B238" s="55">
        <v>1.0</v>
      </c>
      <c r="C238" s="50" t="s">
        <v>174</v>
      </c>
      <c r="D238" s="57"/>
      <c r="E238" s="24">
        <f>SONGGON!AF238+BALAK!X238+SRAGI!AG238+PARANGHARJO!S238+BEDEWANG!W238+BAYU!AB238+SUMBERARUM!X238</f>
        <v>67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175</v>
      </c>
      <c r="D239" s="57"/>
      <c r="E239" s="24">
        <f>SONGGON!AF239+BALAK!X239+SRAGI!AG239+PARANGHARJO!S239+BEDEWANG!W239+BAYU!AB239+SUMBERARUM!X239</f>
        <v>107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176</v>
      </c>
      <c r="D240" s="57"/>
      <c r="E240" s="24">
        <f>SONGGON!AF240+BALAK!X240+SRAGI!AG240+PARANGHARJO!S240+BEDEWANG!W240+BAYU!AB240+SUMBERARUM!X240</f>
        <v>37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177</v>
      </c>
      <c r="D241" s="57"/>
      <c r="E241" s="24">
        <f>SONGGON!AF241+BALAK!X241+SRAGI!AG241+PARANGHARJO!S241+BEDEWANG!W241+BAYU!AB241+SUMBERARUM!X241</f>
        <v>21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178</v>
      </c>
      <c r="D242" s="57"/>
      <c r="E242" s="24">
        <f>SONGGON!AF242+BALAK!X242+SRAGI!AG242+PARANGHARJO!S242+BEDEWANG!W242+BAYU!AB242+SUMBERARUM!X242</f>
        <v>5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179</v>
      </c>
      <c r="D243" s="57"/>
      <c r="E243" s="24">
        <f>SONGGON!AF243+BALAK!X243+SRAGI!AG243+PARANGHARJO!S243+BEDEWANG!W243+BAYU!AB243+SUMBERARUM!X243</f>
        <v>6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180</v>
      </c>
      <c r="D244" s="57"/>
      <c r="E244" s="24">
        <f>SONGGON!AF244+BALAK!X244+SRAGI!AG244+PARANGHARJO!S244+BEDEWANG!W244+BAYU!AB244+SUMBERARUM!X244</f>
        <v>343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14</v>
      </c>
      <c r="B247" s="47" t="s">
        <v>46</v>
      </c>
      <c r="C247" s="15"/>
      <c r="D247" s="16"/>
      <c r="E247" s="13">
        <f>SUM(E237:E244)</f>
        <v>700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36</v>
      </c>
      <c r="B249" s="47" t="s">
        <v>181</v>
      </c>
      <c r="C249" s="48" t="s">
        <v>182</v>
      </c>
      <c r="D249" s="16"/>
      <c r="E249" s="24">
        <f>SONGGON!AF249+BALAK!X249+SRAGI!AG249+PARANGHARJO!S249+BEDEWANG!W249+BAYU!AB249+SUMBERARUM!X249</f>
        <v>19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38</v>
      </c>
      <c r="B250" s="55">
        <v>1.0</v>
      </c>
      <c r="C250" s="59" t="s">
        <v>183</v>
      </c>
      <c r="D250" s="57"/>
      <c r="E250" s="24">
        <f>SONGGON!AF250+BALAK!X250+SRAGI!AG250+PARANGHARJO!S250+BEDEWANG!W250+BAYU!AB250+SUMBERARUM!X250</f>
        <v>8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184</v>
      </c>
      <c r="D251" s="57"/>
      <c r="E251" s="24">
        <f>SONGGON!AF251+BALAK!X251+SRAGI!AG251+PARANGHARJO!S251+BEDEWANG!W251+BAYU!AB251+SUMBERARUM!X251</f>
        <v>29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185</v>
      </c>
      <c r="D252" s="57"/>
      <c r="E252" s="24">
        <f>SONGGON!AF252+BALAK!X252+SRAGI!AG252+PARANGHARJO!S252+BEDEWANG!W252+BAYU!AB252+SUMBERARUM!X252</f>
        <v>6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186</v>
      </c>
      <c r="D253" s="57"/>
      <c r="E253" s="24">
        <f>SONGGON!AF253+BALAK!X253+SRAGI!AG253+PARANGHARJO!S253+BEDEWANG!W253+BAYU!AB253+SUMBERARUM!X253</f>
        <v>3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187</v>
      </c>
      <c r="D254" s="57"/>
      <c r="E254" s="24">
        <f>SONGGON!AF254+BALAK!X254+SRAGI!AG254+PARANGHARJO!S254+BEDEWANG!W254+BAYU!AB254+SUMBERARUM!X254</f>
        <v>6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188</v>
      </c>
      <c r="D255" s="57"/>
      <c r="E255" s="24">
        <f>SONGGON!AF255+BALAK!X255+SRAGI!AG255+PARANGHARJO!S255+BEDEWANG!W255+BAYU!AB255+SUMBERARUM!X255</f>
        <v>1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14</v>
      </c>
      <c r="B259" s="47" t="s">
        <v>46</v>
      </c>
      <c r="C259" s="15"/>
      <c r="D259" s="16"/>
      <c r="E259" s="13">
        <f>SUM(E249:E255)</f>
        <v>72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189</v>
      </c>
      <c r="B261" s="14" t="s">
        <v>190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191</v>
      </c>
      <c r="C262" s="63" t="s">
        <v>192</v>
      </c>
      <c r="D262" s="16"/>
      <c r="E262" s="24">
        <f>SONGGON!AF262+BALAK!X262+SRAGI!AG262+PARANGHARJO!S262+BEDEWANG!W262+BAYU!AB262+SUMBERARUM!X262</f>
        <v>26967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193</v>
      </c>
      <c r="C263" s="63" t="s">
        <v>194</v>
      </c>
      <c r="D263" s="16"/>
      <c r="E263" s="24">
        <f>SONGGON!AF263+BALAK!X263+SRAGI!AG263+PARANGHARJO!S263+BEDEWANG!W263+BAYU!AB263+SUMBERARUM!X263</f>
        <v>3606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195</v>
      </c>
      <c r="C264" s="63" t="s">
        <v>196</v>
      </c>
      <c r="D264" s="16"/>
      <c r="E264" s="13">
        <f>SUM(E262:E263)</f>
        <v>30573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13" t="s">
        <v>217</v>
      </c>
      <c r="Y13" s="13" t="s">
        <v>218</v>
      </c>
      <c r="Z13" s="13" t="s">
        <v>219</v>
      </c>
      <c r="AA13" s="13" t="s">
        <v>220</v>
      </c>
      <c r="AB13" s="13" t="s">
        <v>221</v>
      </c>
      <c r="AC13" s="13" t="s">
        <v>222</v>
      </c>
      <c r="AD13" s="13" t="s">
        <v>223</v>
      </c>
      <c r="AE13" s="13" t="s">
        <v>224</v>
      </c>
      <c r="AF13" s="36"/>
    </row>
    <row r="14" ht="12.75" customHeight="1">
      <c r="A14" s="18"/>
      <c r="B14" s="22" t="s">
        <v>10</v>
      </c>
      <c r="C14" s="23"/>
      <c r="D14" s="19" t="s">
        <v>11</v>
      </c>
      <c r="E14" s="19">
        <v>105.0</v>
      </c>
      <c r="F14" s="19">
        <v>135.0</v>
      </c>
      <c r="G14" s="19">
        <v>112.0</v>
      </c>
      <c r="H14" s="19">
        <v>110.0</v>
      </c>
      <c r="I14" s="19">
        <v>120.0</v>
      </c>
      <c r="J14" s="19">
        <v>136.0</v>
      </c>
      <c r="K14" s="19">
        <v>146.0</v>
      </c>
      <c r="L14" s="19">
        <v>92.0</v>
      </c>
      <c r="M14" s="19">
        <v>81.0</v>
      </c>
      <c r="N14" s="19">
        <v>119.0</v>
      </c>
      <c r="O14" s="19">
        <v>140.0</v>
      </c>
      <c r="P14" s="19">
        <v>140.0</v>
      </c>
      <c r="Q14" s="19">
        <v>140.0</v>
      </c>
      <c r="R14" s="19">
        <v>145.0</v>
      </c>
      <c r="S14" s="19">
        <v>139.0</v>
      </c>
      <c r="T14" s="19">
        <v>94.0</v>
      </c>
      <c r="U14" s="19">
        <v>127.0</v>
      </c>
      <c r="V14" s="19">
        <v>157.0</v>
      </c>
      <c r="W14" s="19">
        <v>149.0</v>
      </c>
      <c r="X14" s="19">
        <v>127.0</v>
      </c>
      <c r="Y14" s="19">
        <v>140.0</v>
      </c>
      <c r="Z14" s="19">
        <v>127.0</v>
      </c>
      <c r="AA14" s="19">
        <v>122.0</v>
      </c>
      <c r="AB14" s="19">
        <v>147.0</v>
      </c>
      <c r="AC14" s="19">
        <v>150.0</v>
      </c>
      <c r="AD14" s="19">
        <v>148.0</v>
      </c>
      <c r="AE14" s="19">
        <v>136.0</v>
      </c>
      <c r="AF14" s="13">
        <f t="shared" ref="AF14:AF16" si="1">SUM(E14:AE14)</f>
        <v>3484</v>
      </c>
    </row>
    <row r="15" ht="12.75" customHeight="1">
      <c r="A15" s="18"/>
      <c r="B15" s="26"/>
      <c r="C15" s="27"/>
      <c r="D15" s="19" t="s">
        <v>12</v>
      </c>
      <c r="E15" s="19">
        <v>127.0</v>
      </c>
      <c r="F15" s="19">
        <v>134.0</v>
      </c>
      <c r="G15" s="19">
        <v>128.0</v>
      </c>
      <c r="H15" s="19">
        <v>110.0</v>
      </c>
      <c r="I15" s="19">
        <v>127.0</v>
      </c>
      <c r="J15" s="19">
        <v>130.0</v>
      </c>
      <c r="K15" s="19">
        <v>142.0</v>
      </c>
      <c r="L15" s="19">
        <v>98.0</v>
      </c>
      <c r="M15" s="19">
        <v>97.0</v>
      </c>
      <c r="N15" s="19">
        <v>129.0</v>
      </c>
      <c r="O15" s="19">
        <v>140.0</v>
      </c>
      <c r="P15" s="19">
        <v>136.0</v>
      </c>
      <c r="Q15" s="19">
        <v>134.0</v>
      </c>
      <c r="R15" s="19">
        <v>139.0</v>
      </c>
      <c r="S15" s="19">
        <v>141.0</v>
      </c>
      <c r="T15" s="19">
        <v>103.0</v>
      </c>
      <c r="U15" s="19">
        <v>127.0</v>
      </c>
      <c r="V15" s="19">
        <v>142.0</v>
      </c>
      <c r="W15" s="19">
        <v>148.0</v>
      </c>
      <c r="X15" s="19">
        <v>131.0</v>
      </c>
      <c r="Y15" s="19">
        <v>150.0</v>
      </c>
      <c r="Z15" s="19">
        <v>137.0</v>
      </c>
      <c r="AA15" s="19">
        <v>110.0</v>
      </c>
      <c r="AB15" s="19">
        <v>132.0</v>
      </c>
      <c r="AC15" s="19">
        <v>148.0</v>
      </c>
      <c r="AD15" s="19">
        <v>151.0</v>
      </c>
      <c r="AE15" s="19">
        <v>144.0</v>
      </c>
      <c r="AF15" s="13">
        <f t="shared" si="1"/>
        <v>3535</v>
      </c>
    </row>
    <row r="16" ht="12.75" customHeight="1">
      <c r="A16" s="25"/>
      <c r="B16" s="21"/>
      <c r="C16" s="28"/>
      <c r="D16" s="13" t="s">
        <v>13</v>
      </c>
      <c r="E16" s="13">
        <f t="shared" ref="E16:AE16" si="2">SUM(E14:E15)</f>
        <v>232</v>
      </c>
      <c r="F16" s="13">
        <f t="shared" si="2"/>
        <v>269</v>
      </c>
      <c r="G16" s="13">
        <f t="shared" si="2"/>
        <v>240</v>
      </c>
      <c r="H16" s="13">
        <f t="shared" si="2"/>
        <v>220</v>
      </c>
      <c r="I16" s="13">
        <f t="shared" si="2"/>
        <v>247</v>
      </c>
      <c r="J16" s="13">
        <f t="shared" si="2"/>
        <v>266</v>
      </c>
      <c r="K16" s="13">
        <f t="shared" si="2"/>
        <v>288</v>
      </c>
      <c r="L16" s="13">
        <f t="shared" si="2"/>
        <v>190</v>
      </c>
      <c r="M16" s="13">
        <f t="shared" si="2"/>
        <v>178</v>
      </c>
      <c r="N16" s="13">
        <f t="shared" si="2"/>
        <v>248</v>
      </c>
      <c r="O16" s="13">
        <f t="shared" si="2"/>
        <v>280</v>
      </c>
      <c r="P16" s="13">
        <f t="shared" si="2"/>
        <v>276</v>
      </c>
      <c r="Q16" s="13">
        <f t="shared" si="2"/>
        <v>274</v>
      </c>
      <c r="R16" s="13">
        <f t="shared" si="2"/>
        <v>284</v>
      </c>
      <c r="S16" s="13">
        <f t="shared" si="2"/>
        <v>280</v>
      </c>
      <c r="T16" s="13">
        <f t="shared" si="2"/>
        <v>197</v>
      </c>
      <c r="U16" s="13">
        <f t="shared" si="2"/>
        <v>254</v>
      </c>
      <c r="V16" s="13">
        <f t="shared" si="2"/>
        <v>299</v>
      </c>
      <c r="W16" s="13">
        <f t="shared" si="2"/>
        <v>297</v>
      </c>
      <c r="X16" s="13">
        <f t="shared" si="2"/>
        <v>258</v>
      </c>
      <c r="Y16" s="13">
        <f t="shared" si="2"/>
        <v>290</v>
      </c>
      <c r="Z16" s="13">
        <f t="shared" si="2"/>
        <v>264</v>
      </c>
      <c r="AA16" s="13">
        <f t="shared" si="2"/>
        <v>232</v>
      </c>
      <c r="AB16" s="13">
        <f t="shared" si="2"/>
        <v>279</v>
      </c>
      <c r="AC16" s="13">
        <f t="shared" si="2"/>
        <v>298</v>
      </c>
      <c r="AD16" s="13">
        <f t="shared" si="2"/>
        <v>299</v>
      </c>
      <c r="AE16" s="13">
        <f t="shared" si="2"/>
        <v>280</v>
      </c>
      <c r="AF16" s="13">
        <f t="shared" si="1"/>
        <v>7019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77.0</v>
      </c>
      <c r="F19" s="19">
        <v>95.0</v>
      </c>
      <c r="G19" s="19">
        <v>67.0</v>
      </c>
      <c r="H19" s="19">
        <v>84.0</v>
      </c>
      <c r="I19" s="19">
        <v>101.0</v>
      </c>
      <c r="J19" s="19">
        <v>95.0</v>
      </c>
      <c r="K19" s="19">
        <v>104.0</v>
      </c>
      <c r="L19" s="19">
        <v>65.0</v>
      </c>
      <c r="M19" s="19">
        <v>59.0</v>
      </c>
      <c r="N19" s="19">
        <v>80.0</v>
      </c>
      <c r="O19" s="19">
        <v>108.0</v>
      </c>
      <c r="P19" s="19">
        <v>103.0</v>
      </c>
      <c r="Q19" s="19">
        <v>109.0</v>
      </c>
      <c r="R19" s="19">
        <v>105.0</v>
      </c>
      <c r="S19" s="19">
        <v>101.0</v>
      </c>
      <c r="T19" s="19">
        <v>76.0</v>
      </c>
      <c r="U19" s="19">
        <v>95.0</v>
      </c>
      <c r="V19" s="19">
        <v>119.0</v>
      </c>
      <c r="W19" s="19">
        <v>110.0</v>
      </c>
      <c r="X19" s="19">
        <v>95.0</v>
      </c>
      <c r="Y19" s="19">
        <v>99.0</v>
      </c>
      <c r="Z19" s="19">
        <v>98.0</v>
      </c>
      <c r="AA19" s="19">
        <v>95.0</v>
      </c>
      <c r="AB19" s="19">
        <v>110.0</v>
      </c>
      <c r="AC19" s="19">
        <v>115.0</v>
      </c>
      <c r="AD19" s="19">
        <v>127.0</v>
      </c>
      <c r="AE19" s="19">
        <v>112.0</v>
      </c>
      <c r="AF19" s="13">
        <f t="shared" ref="AF19:AF30" si="3">SUM(E19:AE19)</f>
        <v>2604</v>
      </c>
    </row>
    <row r="20" ht="12.75" customHeight="1">
      <c r="A20" s="33"/>
      <c r="B20" s="27"/>
      <c r="C20" s="34"/>
      <c r="D20" s="19" t="s">
        <v>12</v>
      </c>
      <c r="E20" s="19">
        <v>107.0</v>
      </c>
      <c r="F20" s="19">
        <v>106.0</v>
      </c>
      <c r="G20" s="19">
        <v>88.0</v>
      </c>
      <c r="H20" s="19">
        <v>90.0</v>
      </c>
      <c r="I20" s="19">
        <v>104.0</v>
      </c>
      <c r="J20" s="19">
        <v>104.0</v>
      </c>
      <c r="K20" s="19">
        <v>108.0</v>
      </c>
      <c r="L20" s="19">
        <v>69.0</v>
      </c>
      <c r="M20" s="19">
        <v>68.0</v>
      </c>
      <c r="N20" s="19">
        <v>100.0</v>
      </c>
      <c r="O20" s="19">
        <v>108.0</v>
      </c>
      <c r="P20" s="19">
        <v>115.0</v>
      </c>
      <c r="Q20" s="19">
        <v>103.0</v>
      </c>
      <c r="R20" s="19">
        <v>115.0</v>
      </c>
      <c r="S20" s="19">
        <v>115.0</v>
      </c>
      <c r="T20" s="19">
        <v>81.0</v>
      </c>
      <c r="U20" s="19">
        <v>105.0</v>
      </c>
      <c r="V20" s="19">
        <v>120.0</v>
      </c>
      <c r="W20" s="19">
        <v>128.0</v>
      </c>
      <c r="X20" s="19">
        <v>110.0</v>
      </c>
      <c r="Y20" s="19">
        <v>116.0</v>
      </c>
      <c r="Z20" s="19">
        <v>116.0</v>
      </c>
      <c r="AA20" s="19">
        <v>93.0</v>
      </c>
      <c r="AB20" s="19">
        <v>109.0</v>
      </c>
      <c r="AC20" s="19">
        <v>114.0</v>
      </c>
      <c r="AD20" s="19">
        <v>132.0</v>
      </c>
      <c r="AE20" s="19">
        <v>127.0</v>
      </c>
      <c r="AF20" s="13">
        <f t="shared" si="3"/>
        <v>2851</v>
      </c>
    </row>
    <row r="21" ht="12.75" customHeight="1">
      <c r="A21" s="35"/>
      <c r="B21" s="28"/>
      <c r="C21" s="36"/>
      <c r="D21" s="13" t="s">
        <v>13</v>
      </c>
      <c r="E21" s="13">
        <f t="shared" ref="E21:AE21" si="4">SUM(E19:E20)</f>
        <v>184</v>
      </c>
      <c r="F21" s="13">
        <f t="shared" si="4"/>
        <v>201</v>
      </c>
      <c r="G21" s="13">
        <f t="shared" si="4"/>
        <v>155</v>
      </c>
      <c r="H21" s="13">
        <f t="shared" si="4"/>
        <v>174</v>
      </c>
      <c r="I21" s="13">
        <f t="shared" si="4"/>
        <v>205</v>
      </c>
      <c r="J21" s="13">
        <f t="shared" si="4"/>
        <v>199</v>
      </c>
      <c r="K21" s="13">
        <f t="shared" si="4"/>
        <v>212</v>
      </c>
      <c r="L21" s="13">
        <f t="shared" si="4"/>
        <v>134</v>
      </c>
      <c r="M21" s="13">
        <f t="shared" si="4"/>
        <v>127</v>
      </c>
      <c r="N21" s="13">
        <f t="shared" si="4"/>
        <v>180</v>
      </c>
      <c r="O21" s="13">
        <f t="shared" si="4"/>
        <v>216</v>
      </c>
      <c r="P21" s="13">
        <f t="shared" si="4"/>
        <v>218</v>
      </c>
      <c r="Q21" s="13">
        <f t="shared" si="4"/>
        <v>212</v>
      </c>
      <c r="R21" s="13">
        <f t="shared" si="4"/>
        <v>220</v>
      </c>
      <c r="S21" s="13">
        <f t="shared" si="4"/>
        <v>216</v>
      </c>
      <c r="T21" s="13">
        <f t="shared" si="4"/>
        <v>157</v>
      </c>
      <c r="U21" s="13">
        <f t="shared" si="4"/>
        <v>200</v>
      </c>
      <c r="V21" s="13">
        <f t="shared" si="4"/>
        <v>239</v>
      </c>
      <c r="W21" s="13">
        <f t="shared" si="4"/>
        <v>238</v>
      </c>
      <c r="X21" s="13">
        <f t="shared" si="4"/>
        <v>205</v>
      </c>
      <c r="Y21" s="13">
        <f t="shared" si="4"/>
        <v>215</v>
      </c>
      <c r="Z21" s="13">
        <f t="shared" si="4"/>
        <v>214</v>
      </c>
      <c r="AA21" s="13">
        <f t="shared" si="4"/>
        <v>188</v>
      </c>
      <c r="AB21" s="13">
        <f t="shared" si="4"/>
        <v>219</v>
      </c>
      <c r="AC21" s="13">
        <f t="shared" si="4"/>
        <v>229</v>
      </c>
      <c r="AD21" s="13">
        <f t="shared" si="4"/>
        <v>259</v>
      </c>
      <c r="AE21" s="13">
        <f t="shared" si="4"/>
        <v>239</v>
      </c>
      <c r="AF21" s="13">
        <f t="shared" si="3"/>
        <v>5455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1.0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2.0</v>
      </c>
      <c r="G25" s="19">
        <v>1.0</v>
      </c>
      <c r="H25" s="19">
        <v>1.0</v>
      </c>
      <c r="I25" s="19">
        <v>3.0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1.0</v>
      </c>
      <c r="P25" s="19">
        <v>2.0</v>
      </c>
      <c r="Q25" s="19">
        <v>1.0</v>
      </c>
      <c r="R25" s="19">
        <v>1.0</v>
      </c>
      <c r="S25" s="19">
        <v>0.0</v>
      </c>
      <c r="T25" s="19">
        <v>1.0</v>
      </c>
      <c r="U25" s="19">
        <v>0.0</v>
      </c>
      <c r="V25" s="19">
        <v>0.0</v>
      </c>
      <c r="W25" s="19">
        <v>5.0</v>
      </c>
      <c r="X25" s="19">
        <v>0.0</v>
      </c>
      <c r="Y25" s="19">
        <v>0.0</v>
      </c>
      <c r="Z25" s="19">
        <v>1.0</v>
      </c>
      <c r="AA25" s="19">
        <v>1.0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21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4.0</v>
      </c>
      <c r="X26" s="19">
        <v>1.0</v>
      </c>
      <c r="Y26" s="19">
        <v>1.0</v>
      </c>
      <c r="Z26" s="19">
        <v>0.0</v>
      </c>
      <c r="AA26" s="19">
        <v>2.0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AE27" si="6">SUM(E25:E26)</f>
        <v>1</v>
      </c>
      <c r="F27" s="13">
        <f t="shared" si="6"/>
        <v>2</v>
      </c>
      <c r="G27" s="13">
        <f t="shared" si="6"/>
        <v>1</v>
      </c>
      <c r="H27" s="13">
        <f t="shared" si="6"/>
        <v>1</v>
      </c>
      <c r="I27" s="13">
        <f t="shared" si="6"/>
        <v>4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9</v>
      </c>
      <c r="X27" s="13">
        <f t="shared" si="6"/>
        <v>1</v>
      </c>
      <c r="Y27" s="13">
        <f t="shared" si="6"/>
        <v>1</v>
      </c>
      <c r="Z27" s="13">
        <f t="shared" si="6"/>
        <v>1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E28" si="7">SUM(E19,E22,E25)</f>
        <v>77</v>
      </c>
      <c r="F28" s="13">
        <f t="shared" si="7"/>
        <v>97</v>
      </c>
      <c r="G28" s="13">
        <f t="shared" si="7"/>
        <v>68</v>
      </c>
      <c r="H28" s="13">
        <f t="shared" si="7"/>
        <v>85</v>
      </c>
      <c r="I28" s="13">
        <f t="shared" si="7"/>
        <v>104</v>
      </c>
      <c r="J28" s="13">
        <f t="shared" si="7"/>
        <v>95</v>
      </c>
      <c r="K28" s="13">
        <f t="shared" si="7"/>
        <v>104</v>
      </c>
      <c r="L28" s="13">
        <f t="shared" si="7"/>
        <v>65</v>
      </c>
      <c r="M28" s="13">
        <f t="shared" si="7"/>
        <v>59</v>
      </c>
      <c r="N28" s="13">
        <f t="shared" si="7"/>
        <v>81</v>
      </c>
      <c r="O28" s="13">
        <f t="shared" si="7"/>
        <v>109</v>
      </c>
      <c r="P28" s="13">
        <f t="shared" si="7"/>
        <v>105</v>
      </c>
      <c r="Q28" s="13">
        <f t="shared" si="7"/>
        <v>110</v>
      </c>
      <c r="R28" s="13">
        <f t="shared" si="7"/>
        <v>106</v>
      </c>
      <c r="S28" s="13">
        <f t="shared" si="7"/>
        <v>101</v>
      </c>
      <c r="T28" s="13">
        <f t="shared" si="7"/>
        <v>77</v>
      </c>
      <c r="U28" s="13">
        <f t="shared" si="7"/>
        <v>95</v>
      </c>
      <c r="V28" s="13">
        <f t="shared" si="7"/>
        <v>119</v>
      </c>
      <c r="W28" s="13">
        <f t="shared" si="7"/>
        <v>116</v>
      </c>
      <c r="X28" s="13">
        <f t="shared" si="7"/>
        <v>95</v>
      </c>
      <c r="Y28" s="13">
        <f t="shared" si="7"/>
        <v>99</v>
      </c>
      <c r="Z28" s="13">
        <f t="shared" si="7"/>
        <v>99</v>
      </c>
      <c r="AA28" s="13">
        <f t="shared" si="7"/>
        <v>96</v>
      </c>
      <c r="AB28" s="13">
        <f t="shared" si="7"/>
        <v>110</v>
      </c>
      <c r="AC28" s="13">
        <f t="shared" si="7"/>
        <v>115</v>
      </c>
      <c r="AD28" s="13">
        <f t="shared" si="7"/>
        <v>127</v>
      </c>
      <c r="AE28" s="13">
        <f t="shared" si="7"/>
        <v>112</v>
      </c>
      <c r="AF28" s="13">
        <f t="shared" si="3"/>
        <v>2626</v>
      </c>
    </row>
    <row r="29" ht="12.75" customHeight="1">
      <c r="A29" s="35"/>
      <c r="B29" s="27"/>
      <c r="C29" s="34"/>
      <c r="D29" s="13" t="s">
        <v>12</v>
      </c>
      <c r="E29" s="13">
        <f t="shared" ref="E29:AE29" si="8">SUM(E20,E23,E26)</f>
        <v>108</v>
      </c>
      <c r="F29" s="13">
        <f t="shared" si="8"/>
        <v>106</v>
      </c>
      <c r="G29" s="13">
        <f t="shared" si="8"/>
        <v>88</v>
      </c>
      <c r="H29" s="13">
        <f t="shared" si="8"/>
        <v>90</v>
      </c>
      <c r="I29" s="13">
        <f t="shared" si="8"/>
        <v>105</v>
      </c>
      <c r="J29" s="13">
        <f t="shared" si="8"/>
        <v>104</v>
      </c>
      <c r="K29" s="13">
        <f t="shared" si="8"/>
        <v>108</v>
      </c>
      <c r="L29" s="13">
        <f t="shared" si="8"/>
        <v>69</v>
      </c>
      <c r="M29" s="13">
        <f t="shared" si="8"/>
        <v>68</v>
      </c>
      <c r="N29" s="13">
        <f t="shared" si="8"/>
        <v>100</v>
      </c>
      <c r="O29" s="13">
        <f t="shared" si="8"/>
        <v>108</v>
      </c>
      <c r="P29" s="13">
        <f t="shared" si="8"/>
        <v>115</v>
      </c>
      <c r="Q29" s="13">
        <f t="shared" si="8"/>
        <v>104</v>
      </c>
      <c r="R29" s="13">
        <f t="shared" si="8"/>
        <v>116</v>
      </c>
      <c r="S29" s="13">
        <f t="shared" si="8"/>
        <v>115</v>
      </c>
      <c r="T29" s="13">
        <f t="shared" si="8"/>
        <v>81</v>
      </c>
      <c r="U29" s="13">
        <f t="shared" si="8"/>
        <v>105</v>
      </c>
      <c r="V29" s="13">
        <f t="shared" si="8"/>
        <v>120</v>
      </c>
      <c r="W29" s="13">
        <f t="shared" si="8"/>
        <v>133</v>
      </c>
      <c r="X29" s="13">
        <f t="shared" si="8"/>
        <v>111</v>
      </c>
      <c r="Y29" s="13">
        <f t="shared" si="8"/>
        <v>118</v>
      </c>
      <c r="Z29" s="13">
        <f t="shared" si="8"/>
        <v>116</v>
      </c>
      <c r="AA29" s="13">
        <f t="shared" si="8"/>
        <v>95</v>
      </c>
      <c r="AB29" s="13">
        <f t="shared" si="8"/>
        <v>109</v>
      </c>
      <c r="AC29" s="13">
        <f t="shared" si="8"/>
        <v>114</v>
      </c>
      <c r="AD29" s="13">
        <f t="shared" si="8"/>
        <v>132</v>
      </c>
      <c r="AE29" s="13">
        <f t="shared" si="8"/>
        <v>127</v>
      </c>
      <c r="AF29" s="13">
        <f t="shared" si="3"/>
        <v>2865</v>
      </c>
    </row>
    <row r="30" ht="12.75" customHeight="1">
      <c r="A30" s="35"/>
      <c r="B30" s="28"/>
      <c r="C30" s="36"/>
      <c r="D30" s="13" t="s">
        <v>13</v>
      </c>
      <c r="E30" s="13">
        <f t="shared" ref="E30:AE30" si="9">SUM(E28:E29)</f>
        <v>185</v>
      </c>
      <c r="F30" s="13">
        <f t="shared" si="9"/>
        <v>203</v>
      </c>
      <c r="G30" s="13">
        <f t="shared" si="9"/>
        <v>156</v>
      </c>
      <c r="H30" s="13">
        <f t="shared" si="9"/>
        <v>175</v>
      </c>
      <c r="I30" s="13">
        <f t="shared" si="9"/>
        <v>209</v>
      </c>
      <c r="J30" s="13">
        <f t="shared" si="9"/>
        <v>199</v>
      </c>
      <c r="K30" s="13">
        <f t="shared" si="9"/>
        <v>212</v>
      </c>
      <c r="L30" s="13">
        <f t="shared" si="9"/>
        <v>134</v>
      </c>
      <c r="M30" s="13">
        <f t="shared" si="9"/>
        <v>127</v>
      </c>
      <c r="N30" s="13">
        <f t="shared" si="9"/>
        <v>181</v>
      </c>
      <c r="O30" s="13">
        <f t="shared" si="9"/>
        <v>217</v>
      </c>
      <c r="P30" s="13">
        <f t="shared" si="9"/>
        <v>220</v>
      </c>
      <c r="Q30" s="13">
        <f t="shared" si="9"/>
        <v>214</v>
      </c>
      <c r="R30" s="13">
        <f t="shared" si="9"/>
        <v>222</v>
      </c>
      <c r="S30" s="13">
        <f t="shared" si="9"/>
        <v>216</v>
      </c>
      <c r="T30" s="13">
        <f t="shared" si="9"/>
        <v>158</v>
      </c>
      <c r="U30" s="13">
        <f t="shared" si="9"/>
        <v>200</v>
      </c>
      <c r="V30" s="13">
        <f t="shared" si="9"/>
        <v>239</v>
      </c>
      <c r="W30" s="13">
        <f t="shared" si="9"/>
        <v>249</v>
      </c>
      <c r="X30" s="13">
        <f t="shared" si="9"/>
        <v>206</v>
      </c>
      <c r="Y30" s="13">
        <f t="shared" si="9"/>
        <v>217</v>
      </c>
      <c r="Z30" s="13">
        <f t="shared" si="9"/>
        <v>215</v>
      </c>
      <c r="AA30" s="13">
        <f t="shared" si="9"/>
        <v>191</v>
      </c>
      <c r="AB30" s="13">
        <f t="shared" si="9"/>
        <v>219</v>
      </c>
      <c r="AC30" s="13">
        <f t="shared" si="9"/>
        <v>229</v>
      </c>
      <c r="AD30" s="13">
        <f t="shared" si="9"/>
        <v>259</v>
      </c>
      <c r="AE30" s="13">
        <f t="shared" si="9"/>
        <v>239</v>
      </c>
      <c r="AF30" s="13">
        <f t="shared" si="3"/>
        <v>5491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68"/>
    </row>
    <row r="33" ht="12.75" customHeight="1">
      <c r="A33" s="19">
        <v>1.0</v>
      </c>
      <c r="B33" s="20" t="s">
        <v>26</v>
      </c>
      <c r="C33" s="15"/>
      <c r="D33" s="16"/>
      <c r="E33" s="19">
        <v>227.0</v>
      </c>
      <c r="F33" s="19">
        <v>275.0</v>
      </c>
      <c r="G33" s="19">
        <v>245.0</v>
      </c>
      <c r="H33" s="19">
        <v>225.0</v>
      </c>
      <c r="I33" s="19">
        <v>252.0</v>
      </c>
      <c r="J33" s="19">
        <v>272.0</v>
      </c>
      <c r="K33" s="19">
        <v>294.0</v>
      </c>
      <c r="L33" s="19">
        <v>194.0</v>
      </c>
      <c r="M33" s="19">
        <v>216.0</v>
      </c>
      <c r="N33" s="19">
        <v>253.0</v>
      </c>
      <c r="O33" s="19">
        <v>275.0</v>
      </c>
      <c r="P33" s="19">
        <v>272.0</v>
      </c>
      <c r="Q33" s="19">
        <v>292.0</v>
      </c>
      <c r="R33" s="19">
        <v>290.0</v>
      </c>
      <c r="S33" s="19">
        <v>286.0</v>
      </c>
      <c r="T33" s="19">
        <v>198.0</v>
      </c>
      <c r="U33" s="19">
        <v>259.0</v>
      </c>
      <c r="V33" s="19">
        <v>305.0</v>
      </c>
      <c r="W33" s="19">
        <v>303.0</v>
      </c>
      <c r="X33" s="19">
        <v>264.0</v>
      </c>
      <c r="Y33" s="19">
        <v>297.0</v>
      </c>
      <c r="Z33" s="19">
        <v>270.0</v>
      </c>
      <c r="AA33" s="19">
        <v>237.0</v>
      </c>
      <c r="AB33" s="19">
        <v>275.0</v>
      </c>
      <c r="AC33" s="19">
        <v>274.0</v>
      </c>
      <c r="AD33" s="19">
        <v>305.0</v>
      </c>
      <c r="AE33" s="19">
        <v>276.0</v>
      </c>
      <c r="AF33" s="13">
        <f t="shared" ref="AF33:AF36" si="10">SUM(E33:AE33)</f>
        <v>7131</v>
      </c>
    </row>
    <row r="34" ht="12.75" customHeight="1">
      <c r="A34" s="19">
        <v>2.0</v>
      </c>
      <c r="B34" s="20" t="s">
        <v>27</v>
      </c>
      <c r="C34" s="15"/>
      <c r="D34" s="16"/>
      <c r="E34" s="13">
        <v>185.0</v>
      </c>
      <c r="F34" s="13">
        <v>203.0</v>
      </c>
      <c r="G34" s="13">
        <v>156.0</v>
      </c>
      <c r="H34" s="13">
        <v>175.0</v>
      </c>
      <c r="I34" s="13">
        <v>209.0</v>
      </c>
      <c r="J34" s="13">
        <v>199.0</v>
      </c>
      <c r="K34" s="13">
        <v>212.0</v>
      </c>
      <c r="L34" s="13">
        <v>134.0</v>
      </c>
      <c r="M34" s="13">
        <v>127.0</v>
      </c>
      <c r="N34" s="13">
        <v>181.0</v>
      </c>
      <c r="O34" s="13">
        <v>217.0</v>
      </c>
      <c r="P34" s="13">
        <v>220.0</v>
      </c>
      <c r="Q34" s="13">
        <v>214.0</v>
      </c>
      <c r="R34" s="13">
        <v>222.0</v>
      </c>
      <c r="S34" s="13">
        <v>216.0</v>
      </c>
      <c r="T34" s="13">
        <v>158.0</v>
      </c>
      <c r="U34" s="13">
        <v>200.0</v>
      </c>
      <c r="V34" s="13">
        <v>239.0</v>
      </c>
      <c r="W34" s="13">
        <v>249.0</v>
      </c>
      <c r="X34" s="13">
        <v>206.0</v>
      </c>
      <c r="Y34" s="13">
        <v>217.0</v>
      </c>
      <c r="Z34" s="13">
        <v>215.0</v>
      </c>
      <c r="AA34" s="13">
        <v>191.0</v>
      </c>
      <c r="AB34" s="13">
        <v>219.0</v>
      </c>
      <c r="AC34" s="13">
        <v>229.0</v>
      </c>
      <c r="AD34" s="13">
        <v>259.0</v>
      </c>
      <c r="AE34" s="13">
        <v>239.0</v>
      </c>
      <c r="AF34" s="13">
        <f t="shared" si="10"/>
        <v>5491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2.0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E36" si="11">E33-(E34+E35)</f>
        <v>42</v>
      </c>
      <c r="F36" s="13">
        <f t="shared" si="11"/>
        <v>71</v>
      </c>
      <c r="G36" s="13">
        <f t="shared" si="11"/>
        <v>89</v>
      </c>
      <c r="H36" s="13">
        <f t="shared" si="11"/>
        <v>50</v>
      </c>
      <c r="I36" s="13">
        <f t="shared" si="11"/>
        <v>42</v>
      </c>
      <c r="J36" s="13">
        <f t="shared" si="11"/>
        <v>73</v>
      </c>
      <c r="K36" s="13">
        <f t="shared" si="11"/>
        <v>82</v>
      </c>
      <c r="L36" s="13">
        <f t="shared" si="11"/>
        <v>59</v>
      </c>
      <c r="M36" s="13">
        <f t="shared" si="11"/>
        <v>89</v>
      </c>
      <c r="N36" s="13">
        <f t="shared" si="11"/>
        <v>72</v>
      </c>
      <c r="O36" s="13">
        <f t="shared" si="11"/>
        <v>58</v>
      </c>
      <c r="P36" s="13">
        <f t="shared" si="11"/>
        <v>52</v>
      </c>
      <c r="Q36" s="13">
        <f t="shared" si="11"/>
        <v>77</v>
      </c>
      <c r="R36" s="13">
        <f t="shared" si="11"/>
        <v>68</v>
      </c>
      <c r="S36" s="13">
        <f t="shared" si="11"/>
        <v>70</v>
      </c>
      <c r="T36" s="13">
        <f t="shared" si="11"/>
        <v>40</v>
      </c>
      <c r="U36" s="13">
        <f t="shared" si="11"/>
        <v>59</v>
      </c>
      <c r="V36" s="13">
        <f t="shared" si="11"/>
        <v>66</v>
      </c>
      <c r="W36" s="13">
        <f t="shared" si="11"/>
        <v>54</v>
      </c>
      <c r="X36" s="13">
        <f t="shared" si="11"/>
        <v>57</v>
      </c>
      <c r="Y36" s="13">
        <f t="shared" si="11"/>
        <v>78</v>
      </c>
      <c r="Z36" s="13">
        <f t="shared" si="11"/>
        <v>55</v>
      </c>
      <c r="AA36" s="13">
        <f t="shared" si="11"/>
        <v>46</v>
      </c>
      <c r="AB36" s="13">
        <f t="shared" si="11"/>
        <v>56</v>
      </c>
      <c r="AC36" s="13">
        <f t="shared" si="11"/>
        <v>45</v>
      </c>
      <c r="AD36" s="13">
        <f t="shared" si="11"/>
        <v>46</v>
      </c>
      <c r="AE36" s="13">
        <f t="shared" si="11"/>
        <v>37</v>
      </c>
      <c r="AF36" s="13">
        <f t="shared" si="10"/>
        <v>1633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2.0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6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2.0</v>
      </c>
      <c r="N40" s="19">
        <v>2.0</v>
      </c>
      <c r="O40" s="19">
        <v>0.0</v>
      </c>
      <c r="P40" s="19">
        <v>0.0</v>
      </c>
      <c r="Q40" s="19">
        <v>0.0</v>
      </c>
      <c r="R40" s="19">
        <v>4.0</v>
      </c>
      <c r="S40" s="19">
        <v>0.0</v>
      </c>
      <c r="T40" s="19">
        <v>0.0</v>
      </c>
      <c r="U40" s="19">
        <v>0.0</v>
      </c>
      <c r="V40" s="19">
        <v>2.0</v>
      </c>
      <c r="W40" s="19">
        <v>0.0</v>
      </c>
      <c r="X40" s="19">
        <v>0.0</v>
      </c>
      <c r="Y40" s="19">
        <v>2.0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13</v>
      </c>
    </row>
    <row r="41" ht="12.75" customHeight="1">
      <c r="A41" s="41"/>
      <c r="B41" s="44"/>
      <c r="C41" s="28"/>
      <c r="D41" s="13" t="s">
        <v>13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3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6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4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19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8.0</v>
      </c>
      <c r="F45" s="19">
        <v>12.0</v>
      </c>
      <c r="G45" s="19">
        <v>9.0</v>
      </c>
      <c r="H45" s="19">
        <v>7.0</v>
      </c>
      <c r="I45" s="19">
        <v>6.0</v>
      </c>
      <c r="J45" s="19">
        <v>9.0</v>
      </c>
      <c r="K45" s="19">
        <v>7.0</v>
      </c>
      <c r="L45" s="19">
        <v>3.0</v>
      </c>
      <c r="M45" s="19">
        <v>11.0</v>
      </c>
      <c r="N45" s="19">
        <v>5.0</v>
      </c>
      <c r="O45" s="19">
        <v>9.0</v>
      </c>
      <c r="P45" s="19">
        <v>8.0</v>
      </c>
      <c r="Q45" s="19">
        <v>4.0</v>
      </c>
      <c r="R45" s="19">
        <v>10.0</v>
      </c>
      <c r="S45" s="19">
        <v>12.0</v>
      </c>
      <c r="T45" s="19">
        <v>5.0</v>
      </c>
      <c r="U45" s="19">
        <v>3.0</v>
      </c>
      <c r="V45" s="19">
        <v>11.0</v>
      </c>
      <c r="W45" s="19">
        <v>7.0</v>
      </c>
      <c r="X45" s="19">
        <v>14.0</v>
      </c>
      <c r="Y45" s="19">
        <v>7.0</v>
      </c>
      <c r="Z45" s="19">
        <v>8.0</v>
      </c>
      <c r="AA45" s="19">
        <v>7.0</v>
      </c>
      <c r="AB45" s="19">
        <v>13.0</v>
      </c>
      <c r="AC45" s="19">
        <v>13.0</v>
      </c>
      <c r="AD45" s="19">
        <v>6.0</v>
      </c>
      <c r="AE45" s="19">
        <v>2.0</v>
      </c>
      <c r="AF45" s="13">
        <f t="shared" ref="AF45:AF52" si="14">SUM(E45:AE45)</f>
        <v>216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8.0</v>
      </c>
      <c r="F46" s="19">
        <v>11.0</v>
      </c>
      <c r="G46" s="19">
        <v>10.0</v>
      </c>
      <c r="H46" s="19">
        <v>12.0</v>
      </c>
      <c r="I46" s="19">
        <v>15.0</v>
      </c>
      <c r="J46" s="19">
        <v>14.0</v>
      </c>
      <c r="K46" s="19">
        <v>7.0</v>
      </c>
      <c r="L46" s="19">
        <v>4.0</v>
      </c>
      <c r="M46" s="19">
        <v>14.0</v>
      </c>
      <c r="N46" s="19">
        <v>14.0</v>
      </c>
      <c r="O46" s="19">
        <v>11.0</v>
      </c>
      <c r="P46" s="19">
        <v>5.0</v>
      </c>
      <c r="Q46" s="19">
        <v>8.0</v>
      </c>
      <c r="R46" s="19">
        <v>8.0</v>
      </c>
      <c r="S46" s="19">
        <v>20.0</v>
      </c>
      <c r="T46" s="19">
        <v>5.0</v>
      </c>
      <c r="U46" s="19">
        <v>3.0</v>
      </c>
      <c r="V46" s="19">
        <v>27.0</v>
      </c>
      <c r="W46" s="19">
        <v>27.0</v>
      </c>
      <c r="X46" s="19">
        <v>16.0</v>
      </c>
      <c r="Y46" s="19">
        <v>21.0</v>
      </c>
      <c r="Z46" s="19">
        <v>8.0</v>
      </c>
      <c r="AA46" s="19">
        <v>8.0</v>
      </c>
      <c r="AB46" s="19">
        <v>5.0</v>
      </c>
      <c r="AC46" s="19">
        <v>20.0</v>
      </c>
      <c r="AD46" s="19">
        <v>9.0</v>
      </c>
      <c r="AE46" s="19">
        <v>4.0</v>
      </c>
      <c r="AF46" s="13">
        <f t="shared" si="14"/>
        <v>314</v>
      </c>
    </row>
    <row r="47" ht="12.75" customHeight="1">
      <c r="A47" s="18"/>
      <c r="B47" s="55">
        <v>2.0</v>
      </c>
      <c r="C47" s="50" t="s">
        <v>40</v>
      </c>
      <c r="D47" s="16"/>
      <c r="E47" s="19">
        <v>4.0</v>
      </c>
      <c r="F47" s="19">
        <v>6.0</v>
      </c>
      <c r="G47" s="19">
        <v>3.0</v>
      </c>
      <c r="H47" s="19">
        <v>2.0</v>
      </c>
      <c r="I47" s="19">
        <v>4.0</v>
      </c>
      <c r="J47" s="19">
        <v>6.0</v>
      </c>
      <c r="K47" s="19">
        <v>1.0</v>
      </c>
      <c r="L47" s="19">
        <v>0.0</v>
      </c>
      <c r="M47" s="19">
        <v>2.0</v>
      </c>
      <c r="N47" s="19">
        <v>1.0</v>
      </c>
      <c r="O47" s="19">
        <v>11.0</v>
      </c>
      <c r="P47" s="19">
        <v>6.0</v>
      </c>
      <c r="Q47" s="19">
        <v>6.0</v>
      </c>
      <c r="R47" s="19">
        <v>2.0</v>
      </c>
      <c r="S47" s="19">
        <v>6.0</v>
      </c>
      <c r="T47" s="19">
        <v>2.0</v>
      </c>
      <c r="U47" s="19">
        <v>2.0</v>
      </c>
      <c r="V47" s="19">
        <v>14.0</v>
      </c>
      <c r="W47" s="19">
        <v>6.0</v>
      </c>
      <c r="X47" s="19">
        <v>11.0</v>
      </c>
      <c r="Y47" s="19">
        <v>5.0</v>
      </c>
      <c r="Z47" s="19">
        <v>4.0</v>
      </c>
      <c r="AA47" s="19">
        <v>3.0</v>
      </c>
      <c r="AB47" s="19">
        <v>5.0</v>
      </c>
      <c r="AC47" s="19">
        <v>9.0</v>
      </c>
      <c r="AD47" s="19">
        <v>7.0</v>
      </c>
      <c r="AE47" s="19">
        <v>4.0</v>
      </c>
      <c r="AF47" s="13">
        <f t="shared" si="14"/>
        <v>132</v>
      </c>
    </row>
    <row r="48" ht="12.75" customHeight="1">
      <c r="A48" s="18"/>
      <c r="B48" s="55">
        <v>3.0</v>
      </c>
      <c r="C48" s="50" t="s">
        <v>41</v>
      </c>
      <c r="D48" s="16"/>
      <c r="E48" s="19">
        <v>1.0</v>
      </c>
      <c r="F48" s="19">
        <v>0.0</v>
      </c>
      <c r="G48" s="19">
        <v>3.0</v>
      </c>
      <c r="H48" s="19">
        <v>3.0</v>
      </c>
      <c r="I48" s="19">
        <v>1.0</v>
      </c>
      <c r="J48" s="19">
        <v>3.0</v>
      </c>
      <c r="K48" s="19">
        <v>0.0</v>
      </c>
      <c r="L48" s="19">
        <v>0.0</v>
      </c>
      <c r="M48" s="19">
        <v>1.0</v>
      </c>
      <c r="N48" s="19">
        <v>0.0</v>
      </c>
      <c r="O48" s="19">
        <v>1.0</v>
      </c>
      <c r="P48" s="19">
        <v>0.0</v>
      </c>
      <c r="Q48" s="19">
        <v>0.0</v>
      </c>
      <c r="R48" s="19">
        <v>1.0</v>
      </c>
      <c r="S48" s="19">
        <v>2.0</v>
      </c>
      <c r="T48" s="19">
        <v>0.0</v>
      </c>
      <c r="U48" s="19">
        <v>0.0</v>
      </c>
      <c r="V48" s="19">
        <v>1.0</v>
      </c>
      <c r="W48" s="19">
        <v>3.0</v>
      </c>
      <c r="X48" s="19">
        <v>0.0</v>
      </c>
      <c r="Y48" s="19">
        <v>1.0</v>
      </c>
      <c r="Z48" s="19"/>
      <c r="AA48" s="19">
        <v>0.0</v>
      </c>
      <c r="AB48" s="19">
        <v>2.0</v>
      </c>
      <c r="AC48" s="19">
        <v>1.0</v>
      </c>
      <c r="AD48" s="19">
        <v>1.0</v>
      </c>
      <c r="AE48" s="19">
        <v>0.0</v>
      </c>
      <c r="AF48" s="13">
        <f t="shared" si="14"/>
        <v>25</v>
      </c>
    </row>
    <row r="49" ht="12.75" customHeight="1">
      <c r="A49" s="18"/>
      <c r="B49" s="55">
        <v>4.0</v>
      </c>
      <c r="C49" s="50" t="s">
        <v>42</v>
      </c>
      <c r="D49" s="16"/>
      <c r="E49" s="19"/>
      <c r="F49" s="19">
        <v>1.0</v>
      </c>
      <c r="G49" s="19">
        <v>1.0</v>
      </c>
      <c r="H49" s="19">
        <v>2.0</v>
      </c>
      <c r="I49" s="19">
        <v>0.0</v>
      </c>
      <c r="J49" s="19"/>
      <c r="K49" s="19">
        <v>0.0</v>
      </c>
      <c r="L49" s="19">
        <v>0.0</v>
      </c>
      <c r="M49" s="19"/>
      <c r="N49" s="19">
        <v>0.0</v>
      </c>
      <c r="O49" s="19">
        <v>0.0</v>
      </c>
      <c r="P49" s="19">
        <v>1.0</v>
      </c>
      <c r="Q49" s="19">
        <v>0.0</v>
      </c>
      <c r="R49" s="19">
        <v>0.0</v>
      </c>
      <c r="S49" s="19">
        <v>3.0</v>
      </c>
      <c r="T49" s="19">
        <v>0.0</v>
      </c>
      <c r="U49" s="19">
        <v>0.0</v>
      </c>
      <c r="V49" s="19">
        <v>1.0</v>
      </c>
      <c r="W49" s="19">
        <v>1.0</v>
      </c>
      <c r="X49" s="19">
        <v>0.0</v>
      </c>
      <c r="Y49" s="19">
        <v>1.0</v>
      </c>
      <c r="Z49" s="19">
        <v>1.0</v>
      </c>
      <c r="AA49" s="19">
        <v>0.0</v>
      </c>
      <c r="AB49" s="19">
        <v>2.0</v>
      </c>
      <c r="AC49" s="19">
        <v>1.0</v>
      </c>
      <c r="AD49" s="19">
        <v>0.0</v>
      </c>
      <c r="AE49" s="19">
        <v>5.0</v>
      </c>
      <c r="AF49" s="13">
        <f t="shared" si="14"/>
        <v>20</v>
      </c>
    </row>
    <row r="50" ht="12.75" customHeight="1">
      <c r="A50" s="18"/>
      <c r="B50" s="55">
        <v>5.0</v>
      </c>
      <c r="C50" s="50" t="s">
        <v>43</v>
      </c>
      <c r="D50" s="16"/>
      <c r="E50" s="19"/>
      <c r="F50" s="19">
        <v>0.0</v>
      </c>
      <c r="G50" s="19">
        <v>1.0</v>
      </c>
      <c r="H50" s="19">
        <v>0.0</v>
      </c>
      <c r="I50" s="19">
        <v>0.0</v>
      </c>
      <c r="J50" s="19">
        <v>1.0</v>
      </c>
      <c r="K50" s="19">
        <v>3.0</v>
      </c>
      <c r="L50" s="19">
        <v>0.0</v>
      </c>
      <c r="M50" s="19"/>
      <c r="N50" s="19">
        <v>1.0</v>
      </c>
      <c r="O50" s="19">
        <v>1.0</v>
      </c>
      <c r="P50" s="19">
        <v>3.0</v>
      </c>
      <c r="Q50" s="19">
        <v>0.0</v>
      </c>
      <c r="R50" s="19">
        <v>2.0</v>
      </c>
      <c r="S50" s="19">
        <v>1.0</v>
      </c>
      <c r="T50" s="19">
        <v>0.0</v>
      </c>
      <c r="U50" s="19">
        <v>1.0</v>
      </c>
      <c r="V50" s="19">
        <v>0.0</v>
      </c>
      <c r="W50" s="19">
        <v>2.0</v>
      </c>
      <c r="X50" s="19">
        <v>2.0</v>
      </c>
      <c r="Y50" s="19">
        <v>1.0</v>
      </c>
      <c r="Z50" s="19">
        <v>1.0</v>
      </c>
      <c r="AA50" s="19">
        <v>2.0</v>
      </c>
      <c r="AB50" s="19">
        <v>1.0</v>
      </c>
      <c r="AC50" s="19">
        <v>3.0</v>
      </c>
      <c r="AD50" s="19"/>
      <c r="AE50" s="19">
        <v>0.0</v>
      </c>
      <c r="AF50" s="13">
        <f t="shared" si="14"/>
        <v>26</v>
      </c>
    </row>
    <row r="51" ht="12.75" customHeight="1">
      <c r="A51" s="18"/>
      <c r="B51" s="55">
        <v>6.0</v>
      </c>
      <c r="C51" s="50" t="s">
        <v>44</v>
      </c>
      <c r="D51" s="16"/>
      <c r="E51" s="19"/>
      <c r="F51" s="19">
        <v>0.0</v>
      </c>
      <c r="G51" s="19">
        <v>1.0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/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0.0</v>
      </c>
      <c r="W51" s="19">
        <v>1.0</v>
      </c>
      <c r="X51" s="19">
        <v>0.0</v>
      </c>
      <c r="Y51" s="19">
        <v>0.0</v>
      </c>
      <c r="Z51" s="19">
        <v>1.0</v>
      </c>
      <c r="AA51" s="19">
        <v>1.0</v>
      </c>
      <c r="AB51" s="19">
        <v>0.0</v>
      </c>
      <c r="AC51" s="19">
        <v>0.0</v>
      </c>
      <c r="AD51" s="19"/>
      <c r="AE51" s="19">
        <v>0.0</v>
      </c>
      <c r="AF51" s="13">
        <f t="shared" si="14"/>
        <v>7</v>
      </c>
    </row>
    <row r="52" ht="12.75" customHeight="1">
      <c r="A52" s="18"/>
      <c r="B52" s="55">
        <v>7.0</v>
      </c>
      <c r="C52" s="50" t="s">
        <v>45</v>
      </c>
      <c r="D52" s="16"/>
      <c r="E52" s="19"/>
      <c r="F52" s="19">
        <v>1.0</v>
      </c>
      <c r="G52" s="19">
        <v>0.0</v>
      </c>
      <c r="H52" s="19">
        <v>0.0</v>
      </c>
      <c r="I52" s="19">
        <v>0.0</v>
      </c>
      <c r="J52" s="19"/>
      <c r="K52" s="19">
        <v>0.0</v>
      </c>
      <c r="L52" s="19">
        <v>0.0</v>
      </c>
      <c r="M52" s="19"/>
      <c r="N52" s="19">
        <v>0.0</v>
      </c>
      <c r="O52" s="19">
        <v>0.0</v>
      </c>
      <c r="P52" s="19">
        <v>1.0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/>
      <c r="AA52" s="19">
        <v>0.0</v>
      </c>
      <c r="AB52" s="19">
        <v>0.0</v>
      </c>
      <c r="AC52" s="19">
        <v>0.0</v>
      </c>
      <c r="AD52" s="19"/>
      <c r="AE52" s="19">
        <v>0.0</v>
      </c>
      <c r="AF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E55" si="15">SUM(E45:E52)</f>
        <v>21</v>
      </c>
      <c r="F55" s="13">
        <f t="shared" si="15"/>
        <v>31</v>
      </c>
      <c r="G55" s="13">
        <f t="shared" si="15"/>
        <v>28</v>
      </c>
      <c r="H55" s="13">
        <f t="shared" si="15"/>
        <v>26</v>
      </c>
      <c r="I55" s="13">
        <f t="shared" si="15"/>
        <v>27</v>
      </c>
      <c r="J55" s="13">
        <f t="shared" si="15"/>
        <v>33</v>
      </c>
      <c r="K55" s="13">
        <f t="shared" si="15"/>
        <v>18</v>
      </c>
      <c r="L55" s="13">
        <f t="shared" si="15"/>
        <v>7</v>
      </c>
      <c r="M55" s="13">
        <f t="shared" si="15"/>
        <v>28</v>
      </c>
      <c r="N55" s="13">
        <f t="shared" si="15"/>
        <v>21</v>
      </c>
      <c r="O55" s="13">
        <f t="shared" si="15"/>
        <v>34</v>
      </c>
      <c r="P55" s="13">
        <f t="shared" si="15"/>
        <v>24</v>
      </c>
      <c r="Q55" s="13">
        <f t="shared" si="15"/>
        <v>18</v>
      </c>
      <c r="R55" s="13">
        <f t="shared" si="15"/>
        <v>24</v>
      </c>
      <c r="S55" s="13">
        <f t="shared" si="15"/>
        <v>44</v>
      </c>
      <c r="T55" s="13">
        <f t="shared" si="15"/>
        <v>12</v>
      </c>
      <c r="U55" s="13">
        <f t="shared" si="15"/>
        <v>10</v>
      </c>
      <c r="V55" s="13">
        <f t="shared" si="15"/>
        <v>54</v>
      </c>
      <c r="W55" s="13">
        <f t="shared" si="15"/>
        <v>47</v>
      </c>
      <c r="X55" s="13">
        <f t="shared" si="15"/>
        <v>43</v>
      </c>
      <c r="Y55" s="13">
        <f t="shared" si="15"/>
        <v>36</v>
      </c>
      <c r="Z55" s="13">
        <f t="shared" si="15"/>
        <v>23</v>
      </c>
      <c r="AA55" s="13">
        <f t="shared" si="15"/>
        <v>21</v>
      </c>
      <c r="AB55" s="13">
        <f t="shared" si="15"/>
        <v>28</v>
      </c>
      <c r="AC55" s="13">
        <f t="shared" si="15"/>
        <v>47</v>
      </c>
      <c r="AD55" s="13">
        <f t="shared" si="15"/>
        <v>23</v>
      </c>
      <c r="AE55" s="13">
        <f t="shared" si="15"/>
        <v>15</v>
      </c>
      <c r="AF55" s="13">
        <f>SUM(E55:AE55)</f>
        <v>743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14.0</v>
      </c>
      <c r="F57" s="19">
        <v>14.0</v>
      </c>
      <c r="G57" s="19">
        <v>8.0</v>
      </c>
      <c r="H57" s="19">
        <v>3.0</v>
      </c>
      <c r="I57" s="19">
        <v>10.0</v>
      </c>
      <c r="J57" s="19">
        <v>12.0</v>
      </c>
      <c r="K57" s="19">
        <v>11.0</v>
      </c>
      <c r="L57" s="19">
        <v>5.0</v>
      </c>
      <c r="M57" s="19">
        <v>7.0</v>
      </c>
      <c r="N57" s="19">
        <v>7.0</v>
      </c>
      <c r="O57" s="19">
        <v>7.0</v>
      </c>
      <c r="P57" s="19">
        <v>13.0</v>
      </c>
      <c r="Q57" s="19">
        <v>13.0</v>
      </c>
      <c r="R57" s="19">
        <v>14.0</v>
      </c>
      <c r="S57" s="19">
        <v>10.0</v>
      </c>
      <c r="T57" s="19">
        <v>8.0</v>
      </c>
      <c r="U57" s="19">
        <v>12.0</v>
      </c>
      <c r="V57" s="19">
        <v>13.0</v>
      </c>
      <c r="W57" s="19">
        <v>4.0</v>
      </c>
      <c r="X57" s="19">
        <v>9.0</v>
      </c>
      <c r="Y57" s="19">
        <v>11.0</v>
      </c>
      <c r="Z57" s="19">
        <v>9.0</v>
      </c>
      <c r="AA57" s="19">
        <v>8.0</v>
      </c>
      <c r="AB57" s="19">
        <v>9.0</v>
      </c>
      <c r="AC57" s="19">
        <v>14.0</v>
      </c>
      <c r="AD57" s="19">
        <v>6.0</v>
      </c>
      <c r="AE57" s="19">
        <v>11.0</v>
      </c>
      <c r="AF57" s="13">
        <f t="shared" ref="AF57:AF64" si="16">SUM(E57:AE57)</f>
        <v>262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2.0</v>
      </c>
      <c r="F58" s="19">
        <v>11.0</v>
      </c>
      <c r="G58" s="19">
        <v>8.0</v>
      </c>
      <c r="H58" s="19">
        <v>1.0</v>
      </c>
      <c r="I58" s="19">
        <v>1.0</v>
      </c>
      <c r="J58" s="19">
        <v>4.0</v>
      </c>
      <c r="K58" s="19">
        <v>2.0</v>
      </c>
      <c r="L58" s="19">
        <v>2.0</v>
      </c>
      <c r="M58" s="19">
        <v>1.0</v>
      </c>
      <c r="N58" s="19">
        <v>2.0</v>
      </c>
      <c r="O58" s="19">
        <v>8.0</v>
      </c>
      <c r="P58" s="19">
        <v>8.0</v>
      </c>
      <c r="Q58" s="19">
        <v>8.0</v>
      </c>
      <c r="R58" s="19">
        <v>5.0</v>
      </c>
      <c r="S58" s="19">
        <v>15.0</v>
      </c>
      <c r="T58" s="19">
        <v>7.0</v>
      </c>
      <c r="U58" s="19">
        <v>5.0</v>
      </c>
      <c r="V58" s="19">
        <v>6.0</v>
      </c>
      <c r="W58" s="19">
        <v>26.0</v>
      </c>
      <c r="X58" s="19">
        <v>7.0</v>
      </c>
      <c r="Y58" s="19">
        <v>9.0</v>
      </c>
      <c r="Z58" s="19">
        <v>2.0</v>
      </c>
      <c r="AA58" s="19">
        <v>4.0</v>
      </c>
      <c r="AB58" s="19">
        <v>6.0</v>
      </c>
      <c r="AC58" s="19">
        <v>2.0</v>
      </c>
      <c r="AD58" s="19">
        <v>1.0</v>
      </c>
      <c r="AE58" s="19">
        <v>10.0</v>
      </c>
      <c r="AF58" s="13">
        <f t="shared" si="16"/>
        <v>163</v>
      </c>
    </row>
    <row r="59" ht="12.75" customHeight="1">
      <c r="A59" s="18"/>
      <c r="B59" s="55">
        <v>2.0</v>
      </c>
      <c r="C59" s="50" t="s">
        <v>49</v>
      </c>
      <c r="D59" s="56"/>
      <c r="E59" s="19">
        <v>41.0</v>
      </c>
      <c r="F59" s="19">
        <v>45.0</v>
      </c>
      <c r="G59" s="19">
        <v>6.0</v>
      </c>
      <c r="H59" s="19">
        <v>5.0</v>
      </c>
      <c r="I59" s="19">
        <v>1.0</v>
      </c>
      <c r="J59" s="19">
        <v>4.0</v>
      </c>
      <c r="K59" s="19">
        <v>3.0</v>
      </c>
      <c r="L59" s="19">
        <v>1.0</v>
      </c>
      <c r="M59" s="19"/>
      <c r="N59" s="19">
        <v>3.0</v>
      </c>
      <c r="O59" s="19">
        <v>13.0</v>
      </c>
      <c r="P59" s="19">
        <v>49.0</v>
      </c>
      <c r="Q59" s="19">
        <v>3.0</v>
      </c>
      <c r="R59" s="19">
        <v>8.0</v>
      </c>
      <c r="S59" s="19">
        <v>6.0</v>
      </c>
      <c r="T59" s="19">
        <v>9.0</v>
      </c>
      <c r="U59" s="19">
        <v>24.0</v>
      </c>
      <c r="V59" s="19">
        <v>4.0</v>
      </c>
      <c r="W59" s="19">
        <v>3.0</v>
      </c>
      <c r="X59" s="19">
        <v>2.0</v>
      </c>
      <c r="Y59" s="19">
        <v>12.0</v>
      </c>
      <c r="Z59" s="19">
        <v>24.0</v>
      </c>
      <c r="AA59" s="19">
        <v>8.0</v>
      </c>
      <c r="AB59" s="19">
        <v>2.0</v>
      </c>
      <c r="AC59" s="19">
        <v>6.0</v>
      </c>
      <c r="AD59" s="19">
        <v>3.0</v>
      </c>
      <c r="AE59" s="19">
        <v>28.0</v>
      </c>
      <c r="AF59" s="13">
        <f t="shared" si="16"/>
        <v>313</v>
      </c>
    </row>
    <row r="60" ht="12.75" customHeight="1">
      <c r="A60" s="18"/>
      <c r="B60" s="55">
        <v>3.0</v>
      </c>
      <c r="C60" s="50" t="s">
        <v>50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1.0</v>
      </c>
      <c r="L60" s="19">
        <v>0.0</v>
      </c>
      <c r="M60" s="19"/>
      <c r="N60" s="19">
        <v>0.0</v>
      </c>
      <c r="O60" s="19">
        <v>0.0</v>
      </c>
      <c r="P60" s="19">
        <v>4.0</v>
      </c>
      <c r="Q60" s="19">
        <v>1.0</v>
      </c>
      <c r="R60" s="19">
        <v>0.0</v>
      </c>
      <c r="S60" s="19">
        <v>1.0</v>
      </c>
      <c r="T60" s="19">
        <v>1.0</v>
      </c>
      <c r="U60" s="19">
        <v>8.0</v>
      </c>
      <c r="V60" s="19">
        <v>0.0</v>
      </c>
      <c r="W60" s="19">
        <v>0.0</v>
      </c>
      <c r="X60" s="19">
        <v>1.0</v>
      </c>
      <c r="Y60" s="19">
        <v>1.0</v>
      </c>
      <c r="Z60" s="19">
        <v>3.0</v>
      </c>
      <c r="AA60" s="19">
        <v>0.0</v>
      </c>
      <c r="AB60" s="19">
        <v>0.0</v>
      </c>
      <c r="AC60" s="19">
        <v>0.0</v>
      </c>
      <c r="AD60" s="19">
        <v>0.0</v>
      </c>
      <c r="AE60" s="19">
        <v>2.0</v>
      </c>
      <c r="AF60" s="13">
        <f t="shared" si="16"/>
        <v>25</v>
      </c>
    </row>
    <row r="61" ht="12.75" customHeight="1">
      <c r="A61" s="18"/>
      <c r="B61" s="55">
        <v>4.0</v>
      </c>
      <c r="C61" s="50" t="s">
        <v>51</v>
      </c>
      <c r="D61" s="56"/>
      <c r="E61" s="19"/>
      <c r="F61" s="19">
        <v>1.0</v>
      </c>
      <c r="G61" s="19">
        <v>1.0</v>
      </c>
      <c r="H61" s="19">
        <v>1.0</v>
      </c>
      <c r="I61" s="19">
        <v>1.0</v>
      </c>
      <c r="J61" s="19">
        <v>1.0</v>
      </c>
      <c r="K61" s="19">
        <v>1.0</v>
      </c>
      <c r="L61" s="19">
        <v>0.0</v>
      </c>
      <c r="M61" s="19"/>
      <c r="N61" s="19">
        <v>1.0</v>
      </c>
      <c r="O61" s="19">
        <v>3.0</v>
      </c>
      <c r="P61" s="19">
        <v>1.0</v>
      </c>
      <c r="Q61" s="19">
        <v>0.0</v>
      </c>
      <c r="R61" s="19">
        <v>1.0</v>
      </c>
      <c r="S61" s="19">
        <v>1.0</v>
      </c>
      <c r="T61" s="19">
        <v>2.0</v>
      </c>
      <c r="U61" s="19">
        <v>1.0</v>
      </c>
      <c r="V61" s="19">
        <v>1.0</v>
      </c>
      <c r="W61" s="19">
        <v>1.0</v>
      </c>
      <c r="X61" s="19">
        <v>1.0</v>
      </c>
      <c r="Y61" s="19">
        <v>3.0</v>
      </c>
      <c r="Z61" s="19">
        <v>1.0</v>
      </c>
      <c r="AA61" s="19">
        <v>3.0</v>
      </c>
      <c r="AB61" s="19">
        <v>0.0</v>
      </c>
      <c r="AC61" s="19">
        <v>1.0</v>
      </c>
      <c r="AD61" s="19">
        <v>1.0</v>
      </c>
      <c r="AE61" s="19">
        <v>3.0</v>
      </c>
      <c r="AF61" s="13">
        <f t="shared" si="16"/>
        <v>31</v>
      </c>
    </row>
    <row r="62" ht="12.75" customHeight="1">
      <c r="A62" s="18"/>
      <c r="B62" s="55">
        <v>5.0</v>
      </c>
      <c r="C62" s="50" t="s">
        <v>52</v>
      </c>
      <c r="D62" s="56"/>
      <c r="E62" s="19"/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/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1.0</v>
      </c>
      <c r="U62" s="19">
        <v>1.0</v>
      </c>
      <c r="V62" s="19">
        <v>1.0</v>
      </c>
      <c r="W62" s="19">
        <v>1.0</v>
      </c>
      <c r="X62" s="19">
        <v>1.0</v>
      </c>
      <c r="Y62" s="19">
        <v>0.0</v>
      </c>
      <c r="Z62" s="19">
        <v>1.0</v>
      </c>
      <c r="AA62" s="19">
        <v>0.0</v>
      </c>
      <c r="AB62" s="19">
        <v>0.0</v>
      </c>
      <c r="AC62" s="19">
        <v>0.0</v>
      </c>
      <c r="AD62" s="19">
        <v>0.0</v>
      </c>
      <c r="AE62" s="19"/>
      <c r="AF62" s="13">
        <f t="shared" si="16"/>
        <v>8</v>
      </c>
    </row>
    <row r="63" ht="12.75" customHeight="1">
      <c r="A63" s="18"/>
      <c r="B63" s="55">
        <v>6.0</v>
      </c>
      <c r="C63" s="50" t="s">
        <v>53</v>
      </c>
      <c r="D63" s="57"/>
      <c r="E63" s="19">
        <v>1.0</v>
      </c>
      <c r="F63" s="19">
        <v>1.0</v>
      </c>
      <c r="G63" s="19">
        <v>0.0</v>
      </c>
      <c r="H63" s="19">
        <v>0.0</v>
      </c>
      <c r="I63" s="19">
        <v>2.0</v>
      </c>
      <c r="J63" s="19">
        <v>1.0</v>
      </c>
      <c r="K63" s="19">
        <v>0.0</v>
      </c>
      <c r="L63" s="19">
        <v>1.0</v>
      </c>
      <c r="M63" s="19">
        <v>1.0</v>
      </c>
      <c r="N63" s="19">
        <v>3.0</v>
      </c>
      <c r="O63" s="19">
        <v>0.0</v>
      </c>
      <c r="P63" s="19">
        <v>2.0</v>
      </c>
      <c r="Q63" s="19">
        <v>1.0</v>
      </c>
      <c r="R63" s="19">
        <v>0.0</v>
      </c>
      <c r="S63" s="19">
        <v>1.0</v>
      </c>
      <c r="T63" s="19">
        <v>1.0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1.0</v>
      </c>
      <c r="AA63" s="19">
        <v>1.0</v>
      </c>
      <c r="AB63" s="19">
        <v>0.0</v>
      </c>
      <c r="AC63" s="19">
        <v>0.0</v>
      </c>
      <c r="AD63" s="19">
        <v>0.0</v>
      </c>
      <c r="AE63" s="19"/>
      <c r="AF63" s="13">
        <f t="shared" si="16"/>
        <v>17</v>
      </c>
    </row>
    <row r="64" ht="12.75" customHeight="1">
      <c r="A64" s="18"/>
      <c r="B64" s="55">
        <v>7.0</v>
      </c>
      <c r="C64" s="50" t="s">
        <v>54</v>
      </c>
      <c r="D64" s="56"/>
      <c r="E64" s="19"/>
      <c r="F64" s="19">
        <v>0.0</v>
      </c>
      <c r="G64" s="19">
        <v>0.0</v>
      </c>
      <c r="H64" s="19">
        <v>0.0</v>
      </c>
      <c r="I64" s="19">
        <v>1.0</v>
      </c>
      <c r="J64" s="19">
        <v>2.0</v>
      </c>
      <c r="K64" s="19">
        <v>0.0</v>
      </c>
      <c r="L64" s="19">
        <v>0.0</v>
      </c>
      <c r="M64" s="19"/>
      <c r="N64" s="19">
        <v>1.0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2.0</v>
      </c>
      <c r="X64" s="19">
        <v>0.0</v>
      </c>
      <c r="Y64" s="19">
        <v>0.0</v>
      </c>
      <c r="Z64" s="19"/>
      <c r="AA64" s="19">
        <v>0.0</v>
      </c>
      <c r="AB64" s="19">
        <v>0.0</v>
      </c>
      <c r="AC64" s="19">
        <v>0.0</v>
      </c>
      <c r="AD64" s="19">
        <v>0.0</v>
      </c>
      <c r="AE64" s="19"/>
      <c r="AF64" s="13">
        <f t="shared" si="16"/>
        <v>7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E67" si="17">SUM(E57:E64)</f>
        <v>58</v>
      </c>
      <c r="F67" s="13">
        <f t="shared" si="17"/>
        <v>72</v>
      </c>
      <c r="G67" s="13">
        <f t="shared" si="17"/>
        <v>24</v>
      </c>
      <c r="H67" s="13">
        <f t="shared" si="17"/>
        <v>10</v>
      </c>
      <c r="I67" s="13">
        <f t="shared" si="17"/>
        <v>16</v>
      </c>
      <c r="J67" s="13">
        <f t="shared" si="17"/>
        <v>26</v>
      </c>
      <c r="K67" s="13">
        <f t="shared" si="17"/>
        <v>18</v>
      </c>
      <c r="L67" s="13">
        <f t="shared" si="17"/>
        <v>9</v>
      </c>
      <c r="M67" s="13">
        <f t="shared" si="17"/>
        <v>9</v>
      </c>
      <c r="N67" s="13">
        <f t="shared" si="17"/>
        <v>17</v>
      </c>
      <c r="O67" s="13">
        <f t="shared" si="17"/>
        <v>31</v>
      </c>
      <c r="P67" s="13">
        <f t="shared" si="17"/>
        <v>79</v>
      </c>
      <c r="Q67" s="13">
        <f t="shared" si="17"/>
        <v>26</v>
      </c>
      <c r="R67" s="13">
        <f t="shared" si="17"/>
        <v>28</v>
      </c>
      <c r="S67" s="13">
        <f t="shared" si="17"/>
        <v>34</v>
      </c>
      <c r="T67" s="13">
        <f t="shared" si="17"/>
        <v>29</v>
      </c>
      <c r="U67" s="13">
        <f t="shared" si="17"/>
        <v>51</v>
      </c>
      <c r="V67" s="13">
        <f t="shared" si="17"/>
        <v>25</v>
      </c>
      <c r="W67" s="13">
        <f t="shared" si="17"/>
        <v>37</v>
      </c>
      <c r="X67" s="13">
        <f t="shared" si="17"/>
        <v>21</v>
      </c>
      <c r="Y67" s="13">
        <f t="shared" si="17"/>
        <v>36</v>
      </c>
      <c r="Z67" s="13">
        <f t="shared" si="17"/>
        <v>41</v>
      </c>
      <c r="AA67" s="13">
        <f t="shared" si="17"/>
        <v>24</v>
      </c>
      <c r="AB67" s="13">
        <f t="shared" si="17"/>
        <v>17</v>
      </c>
      <c r="AC67" s="13">
        <f t="shared" si="17"/>
        <v>23</v>
      </c>
      <c r="AD67" s="13">
        <f t="shared" si="17"/>
        <v>11</v>
      </c>
      <c r="AE67" s="13">
        <f t="shared" si="17"/>
        <v>54</v>
      </c>
      <c r="AF67" s="13">
        <f>SUM(E67:AE67)</f>
        <v>826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11.0</v>
      </c>
      <c r="F69" s="19">
        <v>13.0</v>
      </c>
      <c r="G69" s="19">
        <v>11.0</v>
      </c>
      <c r="H69" s="19">
        <v>17.0</v>
      </c>
      <c r="I69" s="19">
        <v>17.0</v>
      </c>
      <c r="J69" s="19">
        <v>5.0</v>
      </c>
      <c r="K69" s="19">
        <v>14.0</v>
      </c>
      <c r="L69" s="19">
        <v>12.0</v>
      </c>
      <c r="M69" s="19">
        <v>11.0</v>
      </c>
      <c r="N69" s="19">
        <v>9.0</v>
      </c>
      <c r="O69" s="19">
        <v>16.0</v>
      </c>
      <c r="P69" s="19">
        <v>14.0</v>
      </c>
      <c r="Q69" s="19">
        <v>11.0</v>
      </c>
      <c r="R69" s="19">
        <v>16.0</v>
      </c>
      <c r="S69" s="19">
        <v>13.0</v>
      </c>
      <c r="T69" s="19">
        <v>18.0</v>
      </c>
      <c r="U69" s="19">
        <v>17.0</v>
      </c>
      <c r="V69" s="19">
        <v>6.0</v>
      </c>
      <c r="W69" s="19">
        <v>6.0</v>
      </c>
      <c r="X69" s="19">
        <v>8.0</v>
      </c>
      <c r="Y69" s="19">
        <v>20.0</v>
      </c>
      <c r="Z69" s="19">
        <v>11.0</v>
      </c>
      <c r="AA69" s="19">
        <v>20.0</v>
      </c>
      <c r="AB69" s="19">
        <v>19.0</v>
      </c>
      <c r="AC69" s="19">
        <v>18.0</v>
      </c>
      <c r="AD69" s="19">
        <v>15.0</v>
      </c>
      <c r="AE69" s="19">
        <v>15.0</v>
      </c>
      <c r="AF69" s="13">
        <f t="shared" ref="AF69:AF76" si="18">SUM(E69:AE69)</f>
        <v>363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8.0</v>
      </c>
      <c r="F70" s="19">
        <v>6.0</v>
      </c>
      <c r="G70" s="19">
        <v>7.0</v>
      </c>
      <c r="H70" s="19">
        <v>26.0</v>
      </c>
      <c r="I70" s="19">
        <v>19.0</v>
      </c>
      <c r="J70" s="19">
        <v>12.0</v>
      </c>
      <c r="K70" s="19">
        <v>4.0</v>
      </c>
      <c r="L70" s="19">
        <v>3.0</v>
      </c>
      <c r="M70" s="19">
        <v>4.0</v>
      </c>
      <c r="N70" s="19">
        <v>28.0</v>
      </c>
      <c r="O70" s="19">
        <v>20.0</v>
      </c>
      <c r="P70" s="19">
        <v>22.0</v>
      </c>
      <c r="Q70" s="19">
        <v>16.0</v>
      </c>
      <c r="R70" s="19">
        <v>13.0</v>
      </c>
      <c r="S70" s="19">
        <v>21.0</v>
      </c>
      <c r="T70" s="19">
        <v>22.0</v>
      </c>
      <c r="U70" s="19">
        <v>13.0</v>
      </c>
      <c r="V70" s="19">
        <v>4.0</v>
      </c>
      <c r="W70" s="19">
        <v>10.0</v>
      </c>
      <c r="X70" s="19">
        <v>16.0</v>
      </c>
      <c r="Y70" s="19">
        <v>16.0</v>
      </c>
      <c r="Z70" s="19">
        <v>26.0</v>
      </c>
      <c r="AA70" s="19">
        <v>15.0</v>
      </c>
      <c r="AB70" s="19">
        <v>12.0</v>
      </c>
      <c r="AC70" s="19">
        <v>7.0</v>
      </c>
      <c r="AD70" s="19">
        <v>11.0</v>
      </c>
      <c r="AE70" s="19">
        <v>21.0</v>
      </c>
      <c r="AF70" s="13">
        <f t="shared" si="18"/>
        <v>382</v>
      </c>
    </row>
    <row r="71" ht="12.75" customHeight="1">
      <c r="A71" s="18"/>
      <c r="B71" s="55">
        <v>2.0</v>
      </c>
      <c r="C71" s="50" t="s">
        <v>57</v>
      </c>
      <c r="D71" s="57"/>
      <c r="E71" s="19">
        <v>1.0</v>
      </c>
      <c r="F71" s="19">
        <v>2.0</v>
      </c>
      <c r="G71" s="19">
        <v>4.0</v>
      </c>
      <c r="H71" s="19">
        <v>0.0</v>
      </c>
      <c r="I71" s="19">
        <v>0.0</v>
      </c>
      <c r="J71" s="19">
        <v>0.0</v>
      </c>
      <c r="K71" s="19">
        <v>1.0</v>
      </c>
      <c r="L71" s="19">
        <v>2.0</v>
      </c>
      <c r="M71" s="19">
        <v>1.0</v>
      </c>
      <c r="N71" s="19">
        <v>0.0</v>
      </c>
      <c r="O71" s="19">
        <v>0.0</v>
      </c>
      <c r="P71" s="19">
        <v>4.0</v>
      </c>
      <c r="Q71" s="19">
        <v>12.0</v>
      </c>
      <c r="R71" s="19">
        <v>7.0</v>
      </c>
      <c r="S71" s="19">
        <v>4.0</v>
      </c>
      <c r="T71" s="19">
        <v>2.0</v>
      </c>
      <c r="U71" s="19">
        <v>4.0</v>
      </c>
      <c r="V71" s="19">
        <v>0.0</v>
      </c>
      <c r="W71" s="19">
        <v>1.0</v>
      </c>
      <c r="X71" s="19">
        <v>2.0</v>
      </c>
      <c r="Y71" s="19">
        <v>1.0</v>
      </c>
      <c r="Z71" s="19">
        <v>2.0</v>
      </c>
      <c r="AA71" s="19">
        <v>1.0</v>
      </c>
      <c r="AB71" s="19">
        <v>10.0</v>
      </c>
      <c r="AC71" s="19">
        <v>5.0</v>
      </c>
      <c r="AD71" s="19">
        <v>5.0</v>
      </c>
      <c r="AE71" s="19">
        <v>5.0</v>
      </c>
      <c r="AF71" s="13">
        <f t="shared" si="18"/>
        <v>76</v>
      </c>
    </row>
    <row r="72" ht="12.75" customHeight="1">
      <c r="A72" s="18"/>
      <c r="B72" s="55">
        <v>3.0</v>
      </c>
      <c r="C72" s="50" t="s">
        <v>58</v>
      </c>
      <c r="D72" s="57"/>
      <c r="E72" s="19">
        <v>1.0</v>
      </c>
      <c r="F72" s="19">
        <v>1.0</v>
      </c>
      <c r="G72" s="19">
        <v>1.0</v>
      </c>
      <c r="H72" s="19">
        <v>7.0</v>
      </c>
      <c r="I72" s="19">
        <v>18.0</v>
      </c>
      <c r="J72" s="19">
        <v>0.0</v>
      </c>
      <c r="K72" s="19">
        <v>2.0</v>
      </c>
      <c r="L72" s="19">
        <v>12.0</v>
      </c>
      <c r="M72" s="19">
        <v>1.0</v>
      </c>
      <c r="N72" s="19">
        <v>1.0</v>
      </c>
      <c r="O72" s="19">
        <v>4.0</v>
      </c>
      <c r="P72" s="19">
        <v>3.0</v>
      </c>
      <c r="Q72" s="19">
        <v>36.0</v>
      </c>
      <c r="R72" s="19">
        <v>36.0</v>
      </c>
      <c r="S72" s="19">
        <v>8.0</v>
      </c>
      <c r="T72" s="19">
        <v>27.0</v>
      </c>
      <c r="U72" s="19">
        <v>24.0</v>
      </c>
      <c r="V72" s="19">
        <v>2.0</v>
      </c>
      <c r="W72" s="19">
        <v>2.0</v>
      </c>
      <c r="X72" s="19">
        <v>1.0</v>
      </c>
      <c r="Y72" s="19">
        <v>2.0</v>
      </c>
      <c r="Z72" s="19">
        <v>30.0</v>
      </c>
      <c r="AA72" s="19">
        <v>32.0</v>
      </c>
      <c r="AB72" s="19">
        <v>56.0</v>
      </c>
      <c r="AC72" s="19">
        <v>8.0</v>
      </c>
      <c r="AD72" s="19">
        <v>7.0</v>
      </c>
      <c r="AE72" s="19">
        <v>5.0</v>
      </c>
      <c r="AF72" s="13">
        <f t="shared" si="18"/>
        <v>327</v>
      </c>
    </row>
    <row r="73" ht="12.75" customHeight="1">
      <c r="A73" s="18"/>
      <c r="B73" s="55">
        <v>4.0</v>
      </c>
      <c r="C73" s="50" t="s">
        <v>59</v>
      </c>
      <c r="D73" s="57"/>
      <c r="E73" s="19">
        <v>6.0</v>
      </c>
      <c r="F73" s="19">
        <v>3.0</v>
      </c>
      <c r="G73" s="19">
        <v>3.0</v>
      </c>
      <c r="H73" s="19">
        <v>1.0</v>
      </c>
      <c r="I73" s="19">
        <v>1.0</v>
      </c>
      <c r="J73" s="19">
        <v>0.0</v>
      </c>
      <c r="K73" s="19">
        <v>1.0</v>
      </c>
      <c r="L73" s="19">
        <v>3.0</v>
      </c>
      <c r="M73" s="19">
        <v>0.0</v>
      </c>
      <c r="N73" s="19">
        <v>0.0</v>
      </c>
      <c r="O73" s="19">
        <v>4.0</v>
      </c>
      <c r="P73" s="19">
        <v>2.0</v>
      </c>
      <c r="Q73" s="19">
        <v>1.0</v>
      </c>
      <c r="R73" s="19">
        <v>1.0</v>
      </c>
      <c r="S73" s="19">
        <v>2.0</v>
      </c>
      <c r="T73" s="19">
        <v>1.0</v>
      </c>
      <c r="U73" s="19">
        <v>8.0</v>
      </c>
      <c r="V73" s="19">
        <v>0.0</v>
      </c>
      <c r="W73" s="19">
        <v>1.0</v>
      </c>
      <c r="X73" s="19">
        <v>3.0</v>
      </c>
      <c r="Y73" s="19">
        <v>3.0</v>
      </c>
      <c r="Z73" s="19"/>
      <c r="AA73" s="19">
        <v>4.0</v>
      </c>
      <c r="AB73" s="19">
        <v>1.0</v>
      </c>
      <c r="AC73" s="19">
        <v>7.0</v>
      </c>
      <c r="AD73" s="19">
        <v>3.0</v>
      </c>
      <c r="AE73" s="19">
        <v>3.0</v>
      </c>
      <c r="AF73" s="13">
        <f t="shared" si="18"/>
        <v>62</v>
      </c>
    </row>
    <row r="74" ht="12.75" customHeight="1">
      <c r="A74" s="18"/>
      <c r="B74" s="55">
        <v>5.0</v>
      </c>
      <c r="C74" s="50" t="s">
        <v>60</v>
      </c>
      <c r="D74" s="57"/>
      <c r="E74" s="19">
        <v>3.0</v>
      </c>
      <c r="F74" s="19">
        <v>2.0</v>
      </c>
      <c r="G74" s="19">
        <v>2.0</v>
      </c>
      <c r="H74" s="19">
        <v>2.0</v>
      </c>
      <c r="I74" s="19">
        <v>5.0</v>
      </c>
      <c r="J74" s="19">
        <v>2.0</v>
      </c>
      <c r="K74" s="19">
        <v>5.0</v>
      </c>
      <c r="L74" s="19">
        <v>3.0</v>
      </c>
      <c r="M74" s="19">
        <v>0.0</v>
      </c>
      <c r="N74" s="19">
        <v>2.0</v>
      </c>
      <c r="O74" s="19">
        <v>4.0</v>
      </c>
      <c r="P74" s="19">
        <v>4.0</v>
      </c>
      <c r="Q74" s="19">
        <v>4.0</v>
      </c>
      <c r="R74" s="19">
        <v>3.0</v>
      </c>
      <c r="S74" s="19">
        <v>4.0</v>
      </c>
      <c r="T74" s="19">
        <v>5.0</v>
      </c>
      <c r="U74" s="19">
        <v>4.0</v>
      </c>
      <c r="V74" s="19">
        <v>7.0</v>
      </c>
      <c r="W74" s="19">
        <v>21.0</v>
      </c>
      <c r="X74" s="19">
        <v>5.0</v>
      </c>
      <c r="Y74" s="19">
        <v>10.0</v>
      </c>
      <c r="Z74" s="19">
        <v>6.0</v>
      </c>
      <c r="AA74" s="19">
        <v>1.0</v>
      </c>
      <c r="AB74" s="19">
        <v>2.0</v>
      </c>
      <c r="AC74" s="19">
        <v>4.0</v>
      </c>
      <c r="AD74" s="19">
        <v>4.0</v>
      </c>
      <c r="AE74" s="19">
        <v>2.0</v>
      </c>
      <c r="AF74" s="13">
        <f t="shared" si="18"/>
        <v>116</v>
      </c>
    </row>
    <row r="75" ht="12.75" customHeight="1">
      <c r="A75" s="18"/>
      <c r="B75" s="55">
        <v>6.0</v>
      </c>
      <c r="C75" s="50" t="s">
        <v>61</v>
      </c>
      <c r="D75" s="57"/>
      <c r="E75" s="19">
        <v>1.0</v>
      </c>
      <c r="F75" s="19">
        <v>1.0</v>
      </c>
      <c r="G75" s="19">
        <v>0.0</v>
      </c>
      <c r="H75" s="19">
        <v>1.0</v>
      </c>
      <c r="I75" s="19">
        <v>1.0</v>
      </c>
      <c r="J75" s="19">
        <v>1.0</v>
      </c>
      <c r="K75" s="19">
        <v>3.0</v>
      </c>
      <c r="L75" s="19">
        <v>0.0</v>
      </c>
      <c r="M75" s="19">
        <v>1.0</v>
      </c>
      <c r="N75" s="19">
        <v>2.0</v>
      </c>
      <c r="O75" s="19">
        <v>1.0</v>
      </c>
      <c r="P75" s="19">
        <v>2.0</v>
      </c>
      <c r="Q75" s="19">
        <v>2.0</v>
      </c>
      <c r="R75" s="19">
        <v>3.0</v>
      </c>
      <c r="S75" s="19">
        <v>2.0</v>
      </c>
      <c r="T75" s="19">
        <v>1.0</v>
      </c>
      <c r="U75" s="19">
        <v>2.0</v>
      </c>
      <c r="V75" s="19">
        <v>1.0</v>
      </c>
      <c r="W75" s="19">
        <v>2.0</v>
      </c>
      <c r="X75" s="19">
        <v>1.0</v>
      </c>
      <c r="Y75" s="19">
        <v>8.0</v>
      </c>
      <c r="Z75" s="19">
        <v>3.0</v>
      </c>
      <c r="AA75" s="19">
        <v>2.0</v>
      </c>
      <c r="AB75" s="19">
        <v>2.0</v>
      </c>
      <c r="AC75" s="19">
        <v>8.0</v>
      </c>
      <c r="AD75" s="19">
        <v>3.0</v>
      </c>
      <c r="AE75" s="19">
        <v>1.0</v>
      </c>
      <c r="AF75" s="13">
        <f t="shared" si="18"/>
        <v>55</v>
      </c>
    </row>
    <row r="76" ht="12.75" customHeight="1">
      <c r="A76" s="18"/>
      <c r="B76" s="55">
        <v>7.0</v>
      </c>
      <c r="C76" s="50" t="s">
        <v>62</v>
      </c>
      <c r="D76" s="57"/>
      <c r="E76" s="19">
        <v>2.0</v>
      </c>
      <c r="F76" s="19">
        <v>1.0</v>
      </c>
      <c r="G76" s="19">
        <v>1.0</v>
      </c>
      <c r="H76" s="19">
        <v>10.0</v>
      </c>
      <c r="I76" s="19">
        <v>1.0</v>
      </c>
      <c r="J76" s="19"/>
      <c r="K76" s="19">
        <v>0.0</v>
      </c>
      <c r="L76" s="19">
        <v>3.0</v>
      </c>
      <c r="M76" s="19">
        <v>1.0</v>
      </c>
      <c r="N76" s="19">
        <v>0.0</v>
      </c>
      <c r="O76" s="19">
        <v>12.0</v>
      </c>
      <c r="P76" s="19">
        <v>1.0</v>
      </c>
      <c r="Q76" s="19">
        <v>1.0</v>
      </c>
      <c r="R76" s="19">
        <v>2.0</v>
      </c>
      <c r="S76" s="19">
        <v>2.0</v>
      </c>
      <c r="T76" s="19">
        <v>0.0</v>
      </c>
      <c r="U76" s="19">
        <v>0.0</v>
      </c>
      <c r="V76" s="19">
        <v>0.0</v>
      </c>
      <c r="W76" s="19">
        <v>1.0</v>
      </c>
      <c r="X76" s="19">
        <v>2.0</v>
      </c>
      <c r="Y76" s="19">
        <v>3.0</v>
      </c>
      <c r="Z76" s="19">
        <v>1.0</v>
      </c>
      <c r="AA76" s="19">
        <v>0.0</v>
      </c>
      <c r="AB76" s="19">
        <v>1.0</v>
      </c>
      <c r="AC76" s="19">
        <v>3.0</v>
      </c>
      <c r="AD76" s="19">
        <v>0.0</v>
      </c>
      <c r="AE76" s="19">
        <v>3.0</v>
      </c>
      <c r="AF76" s="13">
        <f t="shared" si="18"/>
        <v>51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E79" si="19">SUM(E69:E76)</f>
        <v>33</v>
      </c>
      <c r="F79" s="13">
        <f t="shared" si="19"/>
        <v>29</v>
      </c>
      <c r="G79" s="13">
        <f t="shared" si="19"/>
        <v>29</v>
      </c>
      <c r="H79" s="13">
        <f t="shared" si="19"/>
        <v>64</v>
      </c>
      <c r="I79" s="13">
        <f t="shared" si="19"/>
        <v>62</v>
      </c>
      <c r="J79" s="13">
        <f t="shared" si="19"/>
        <v>20</v>
      </c>
      <c r="K79" s="13">
        <f t="shared" si="19"/>
        <v>30</v>
      </c>
      <c r="L79" s="13">
        <f t="shared" si="19"/>
        <v>38</v>
      </c>
      <c r="M79" s="13">
        <f t="shared" si="19"/>
        <v>19</v>
      </c>
      <c r="N79" s="13">
        <f t="shared" si="19"/>
        <v>42</v>
      </c>
      <c r="O79" s="13">
        <f t="shared" si="19"/>
        <v>61</v>
      </c>
      <c r="P79" s="13">
        <f t="shared" si="19"/>
        <v>52</v>
      </c>
      <c r="Q79" s="13">
        <f t="shared" si="19"/>
        <v>83</v>
      </c>
      <c r="R79" s="13">
        <f t="shared" si="19"/>
        <v>81</v>
      </c>
      <c r="S79" s="13">
        <f t="shared" si="19"/>
        <v>56</v>
      </c>
      <c r="T79" s="13">
        <f t="shared" si="19"/>
        <v>76</v>
      </c>
      <c r="U79" s="13">
        <f t="shared" si="19"/>
        <v>72</v>
      </c>
      <c r="V79" s="13">
        <f t="shared" si="19"/>
        <v>20</v>
      </c>
      <c r="W79" s="13">
        <f t="shared" si="19"/>
        <v>44</v>
      </c>
      <c r="X79" s="13">
        <f t="shared" si="19"/>
        <v>38</v>
      </c>
      <c r="Y79" s="13">
        <f t="shared" si="19"/>
        <v>63</v>
      </c>
      <c r="Z79" s="13">
        <f t="shared" si="19"/>
        <v>79</v>
      </c>
      <c r="AA79" s="13">
        <f t="shared" si="19"/>
        <v>75</v>
      </c>
      <c r="AB79" s="13">
        <f t="shared" si="19"/>
        <v>103</v>
      </c>
      <c r="AC79" s="13">
        <f t="shared" si="19"/>
        <v>60</v>
      </c>
      <c r="AD79" s="13">
        <f t="shared" si="19"/>
        <v>48</v>
      </c>
      <c r="AE79" s="13">
        <f t="shared" si="19"/>
        <v>55</v>
      </c>
      <c r="AF79" s="13">
        <f>SUM(E79:AE79)</f>
        <v>1432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4.0</v>
      </c>
      <c r="G81" s="19">
        <v>5.0</v>
      </c>
      <c r="H81" s="19">
        <v>4.0</v>
      </c>
      <c r="I81" s="19">
        <v>2.0</v>
      </c>
      <c r="J81" s="19">
        <v>5.0</v>
      </c>
      <c r="K81" s="19">
        <v>5.0</v>
      </c>
      <c r="L81" s="19">
        <v>0.0</v>
      </c>
      <c r="M81" s="19">
        <v>1.0</v>
      </c>
      <c r="N81" s="19">
        <v>2.0</v>
      </c>
      <c r="O81" s="19">
        <v>2.0</v>
      </c>
      <c r="P81" s="19">
        <v>1.0</v>
      </c>
      <c r="Q81" s="19">
        <v>6.0</v>
      </c>
      <c r="R81" s="19">
        <v>2.0</v>
      </c>
      <c r="S81" s="19">
        <v>3.0</v>
      </c>
      <c r="T81" s="19">
        <v>2.0</v>
      </c>
      <c r="U81" s="19">
        <v>2.0</v>
      </c>
      <c r="V81" s="19">
        <v>2.0</v>
      </c>
      <c r="W81" s="19">
        <v>0.0</v>
      </c>
      <c r="X81" s="19">
        <v>2.0</v>
      </c>
      <c r="Y81" s="19">
        <v>3.0</v>
      </c>
      <c r="Z81" s="19">
        <v>7.0</v>
      </c>
      <c r="AA81" s="19">
        <v>5.0</v>
      </c>
      <c r="AB81" s="19">
        <v>1.0</v>
      </c>
      <c r="AC81" s="19">
        <v>3.0</v>
      </c>
      <c r="AD81" s="19">
        <v>3.0</v>
      </c>
      <c r="AE81" s="19">
        <v>5.0</v>
      </c>
      <c r="AF81" s="13">
        <f t="shared" ref="AF81:AF88" si="20">SUM(E81:AE81)</f>
        <v>80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1.0</v>
      </c>
      <c r="F82" s="19">
        <v>3.0</v>
      </c>
      <c r="G82" s="19">
        <v>1.0</v>
      </c>
      <c r="H82" s="19">
        <v>0.0</v>
      </c>
      <c r="I82" s="19">
        <v>5.0</v>
      </c>
      <c r="J82" s="19">
        <v>3.0</v>
      </c>
      <c r="K82" s="19">
        <v>30.0</v>
      </c>
      <c r="L82" s="19">
        <v>1.0</v>
      </c>
      <c r="M82" s="19">
        <v>2.0</v>
      </c>
      <c r="N82" s="19">
        <v>4.0</v>
      </c>
      <c r="O82" s="19">
        <v>1.0</v>
      </c>
      <c r="P82" s="19">
        <v>1.0</v>
      </c>
      <c r="Q82" s="19">
        <v>0.0</v>
      </c>
      <c r="R82" s="19">
        <v>1.0</v>
      </c>
      <c r="S82" s="19">
        <v>0.0</v>
      </c>
      <c r="T82" s="19">
        <v>5.0</v>
      </c>
      <c r="U82" s="19">
        <v>2.0</v>
      </c>
      <c r="V82" s="19">
        <v>18.0</v>
      </c>
      <c r="W82" s="19">
        <v>24.0</v>
      </c>
      <c r="X82" s="19">
        <v>17.0</v>
      </c>
      <c r="Y82" s="19">
        <v>3.0</v>
      </c>
      <c r="Z82" s="19">
        <v>6.0</v>
      </c>
      <c r="AA82" s="19">
        <v>16.0</v>
      </c>
      <c r="AB82" s="19">
        <v>1.0</v>
      </c>
      <c r="AC82" s="19">
        <v>0.0</v>
      </c>
      <c r="AD82" s="19">
        <v>2.0</v>
      </c>
      <c r="AE82" s="19">
        <v>1.0</v>
      </c>
      <c r="AF82" s="13">
        <f t="shared" si="20"/>
        <v>148</v>
      </c>
    </row>
    <row r="83" ht="12.75" customHeight="1">
      <c r="A83" s="18"/>
      <c r="B83" s="55">
        <v>2.0</v>
      </c>
      <c r="C83" s="50" t="s">
        <v>65</v>
      </c>
      <c r="D83" s="57"/>
      <c r="E83" s="19">
        <v>5.0</v>
      </c>
      <c r="F83" s="19">
        <v>6.0</v>
      </c>
      <c r="G83" s="19">
        <v>4.0</v>
      </c>
      <c r="H83" s="19">
        <v>4.0</v>
      </c>
      <c r="I83" s="19">
        <v>36.0</v>
      </c>
      <c r="J83" s="19">
        <v>6.0</v>
      </c>
      <c r="K83" s="19">
        <v>4.0</v>
      </c>
      <c r="L83" s="19">
        <v>3.0</v>
      </c>
      <c r="M83" s="19">
        <v>4.0</v>
      </c>
      <c r="N83" s="19">
        <v>11.0</v>
      </c>
      <c r="O83" s="19">
        <v>6.0</v>
      </c>
      <c r="P83" s="19">
        <v>2.0</v>
      </c>
      <c r="Q83" s="19">
        <v>8.0</v>
      </c>
      <c r="R83" s="19">
        <v>2.0</v>
      </c>
      <c r="S83" s="19">
        <v>3.0</v>
      </c>
      <c r="T83" s="19">
        <v>6.0</v>
      </c>
      <c r="U83" s="19">
        <v>5.0</v>
      </c>
      <c r="V83" s="19">
        <v>15.0</v>
      </c>
      <c r="W83" s="19">
        <v>3.0</v>
      </c>
      <c r="X83" s="19">
        <v>5.0</v>
      </c>
      <c r="Y83" s="19">
        <v>2.0</v>
      </c>
      <c r="Z83" s="19">
        <v>0.0</v>
      </c>
      <c r="AA83" s="19">
        <v>4.0</v>
      </c>
      <c r="AB83" s="19">
        <v>4.0</v>
      </c>
      <c r="AC83" s="19">
        <v>9.0</v>
      </c>
      <c r="AD83" s="19">
        <v>4.0</v>
      </c>
      <c r="AE83" s="19">
        <v>6.0</v>
      </c>
      <c r="AF83" s="13">
        <f t="shared" si="20"/>
        <v>167</v>
      </c>
    </row>
    <row r="84" ht="12.75" customHeight="1">
      <c r="A84" s="18"/>
      <c r="B84" s="55">
        <v>3.0</v>
      </c>
      <c r="C84" s="50" t="s">
        <v>66</v>
      </c>
      <c r="D84" s="57"/>
      <c r="E84" s="19"/>
      <c r="F84" s="19">
        <v>1.0</v>
      </c>
      <c r="G84" s="19">
        <v>1.0</v>
      </c>
      <c r="H84" s="19">
        <v>0.0</v>
      </c>
      <c r="I84" s="19">
        <v>1.0</v>
      </c>
      <c r="J84" s="19">
        <v>0.0</v>
      </c>
      <c r="K84" s="19">
        <v>4.0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2.0</v>
      </c>
      <c r="W84" s="19">
        <v>0.0</v>
      </c>
      <c r="X84" s="19">
        <v>0.0</v>
      </c>
      <c r="Y84" s="19">
        <v>0.0</v>
      </c>
      <c r="Z84" s="19"/>
      <c r="AA84" s="19">
        <v>1.0</v>
      </c>
      <c r="AB84" s="19">
        <v>4.0</v>
      </c>
      <c r="AC84" s="19">
        <v>0.0</v>
      </c>
      <c r="AD84" s="19">
        <v>0.0</v>
      </c>
      <c r="AE84" s="19"/>
      <c r="AF84" s="13">
        <f t="shared" si="20"/>
        <v>14</v>
      </c>
    </row>
    <row r="85" ht="12.75" customHeight="1">
      <c r="A85" s="18"/>
      <c r="B85" s="55">
        <v>4.0</v>
      </c>
      <c r="C85" s="50" t="s">
        <v>67</v>
      </c>
      <c r="D85" s="57"/>
      <c r="E85" s="19"/>
      <c r="F85" s="19">
        <v>0.0</v>
      </c>
      <c r="G85" s="19">
        <v>0.0</v>
      </c>
      <c r="H85" s="19">
        <v>1.0</v>
      </c>
      <c r="I85" s="19">
        <v>0.0</v>
      </c>
      <c r="J85" s="19"/>
      <c r="K85" s="19">
        <v>0.0</v>
      </c>
      <c r="L85" s="19">
        <v>0.0</v>
      </c>
      <c r="M85" s="19">
        <v>0.0</v>
      </c>
      <c r="N85" s="19">
        <v>1.0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1.0</v>
      </c>
      <c r="W85" s="19">
        <v>0.0</v>
      </c>
      <c r="X85" s="19">
        <v>2.0</v>
      </c>
      <c r="Y85" s="19">
        <v>1.0</v>
      </c>
      <c r="Z85" s="19"/>
      <c r="AA85" s="19">
        <v>1.0</v>
      </c>
      <c r="AB85" s="19">
        <v>0.0</v>
      </c>
      <c r="AC85" s="19">
        <v>0.0</v>
      </c>
      <c r="AD85" s="19">
        <v>0.0</v>
      </c>
      <c r="AE85" s="19"/>
      <c r="AF85" s="13">
        <f t="shared" si="20"/>
        <v>8</v>
      </c>
    </row>
    <row r="86" ht="12.75" customHeight="1">
      <c r="A86" s="18"/>
      <c r="B86" s="55">
        <v>5.0</v>
      </c>
      <c r="C86" s="50" t="s">
        <v>68</v>
      </c>
      <c r="D86" s="57"/>
      <c r="E86" s="19"/>
      <c r="F86" s="19">
        <v>1.0</v>
      </c>
      <c r="G86" s="19">
        <v>0.0</v>
      </c>
      <c r="H86" s="19">
        <v>0.0</v>
      </c>
      <c r="I86" s="19">
        <v>0.0</v>
      </c>
      <c r="J86" s="19"/>
      <c r="K86" s="19">
        <v>0.0</v>
      </c>
      <c r="L86" s="19">
        <v>0.0</v>
      </c>
      <c r="M86" s="19">
        <v>0.0</v>
      </c>
      <c r="N86" s="19">
        <v>2.0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3.0</v>
      </c>
      <c r="X86" s="19">
        <v>2.0</v>
      </c>
      <c r="Y86" s="19">
        <v>0.0</v>
      </c>
      <c r="Z86" s="19">
        <v>1.0</v>
      </c>
      <c r="AA86" s="19">
        <v>1.0</v>
      </c>
      <c r="AB86" s="19">
        <v>0.0</v>
      </c>
      <c r="AC86" s="19">
        <v>0.0</v>
      </c>
      <c r="AD86" s="19">
        <v>0.0</v>
      </c>
      <c r="AE86" s="19">
        <v>1.0</v>
      </c>
      <c r="AF86" s="13">
        <f t="shared" si="20"/>
        <v>12</v>
      </c>
    </row>
    <row r="87" ht="12.75" customHeight="1">
      <c r="A87" s="18"/>
      <c r="B87" s="55">
        <v>6.0</v>
      </c>
      <c r="C87" s="50" t="s">
        <v>69</v>
      </c>
      <c r="D87" s="57"/>
      <c r="E87" s="19"/>
      <c r="F87" s="19">
        <v>0.0</v>
      </c>
      <c r="G87" s="19">
        <v>0.0</v>
      </c>
      <c r="H87" s="19">
        <v>0.0</v>
      </c>
      <c r="I87" s="19">
        <v>0.0</v>
      </c>
      <c r="J87" s="19"/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/>
      <c r="AA87" s="19">
        <v>0.0</v>
      </c>
      <c r="AB87" s="19">
        <v>0.0</v>
      </c>
      <c r="AC87" s="19">
        <v>0.0</v>
      </c>
      <c r="AD87" s="19">
        <v>0.0</v>
      </c>
      <c r="AE87" s="19"/>
      <c r="AF87" s="13">
        <f t="shared" si="20"/>
        <v>1</v>
      </c>
    </row>
    <row r="88" ht="12.75" customHeight="1">
      <c r="A88" s="18"/>
      <c r="B88" s="55">
        <v>7.0</v>
      </c>
      <c r="C88" s="50" t="s">
        <v>70</v>
      </c>
      <c r="D88" s="57"/>
      <c r="E88" s="19"/>
      <c r="F88" s="19">
        <v>0.0</v>
      </c>
      <c r="G88" s="19">
        <v>0.0</v>
      </c>
      <c r="H88" s="19">
        <v>1.0</v>
      </c>
      <c r="I88" s="19">
        <v>0.0</v>
      </c>
      <c r="J88" s="19"/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/>
      <c r="AA88" s="19">
        <v>0.0</v>
      </c>
      <c r="AB88" s="19">
        <v>0.0</v>
      </c>
      <c r="AC88" s="19">
        <v>0.0</v>
      </c>
      <c r="AD88" s="19">
        <v>0.0</v>
      </c>
      <c r="AE88" s="19"/>
      <c r="AF88" s="13">
        <f t="shared" si="20"/>
        <v>2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E91" si="21">SUM(E81:E88)</f>
        <v>9</v>
      </c>
      <c r="F91" s="13">
        <f t="shared" si="21"/>
        <v>15</v>
      </c>
      <c r="G91" s="13">
        <f t="shared" si="21"/>
        <v>11</v>
      </c>
      <c r="H91" s="13">
        <f t="shared" si="21"/>
        <v>10</v>
      </c>
      <c r="I91" s="13">
        <f t="shared" si="21"/>
        <v>44</v>
      </c>
      <c r="J91" s="13">
        <f t="shared" si="21"/>
        <v>14</v>
      </c>
      <c r="K91" s="13">
        <f t="shared" si="21"/>
        <v>43</v>
      </c>
      <c r="L91" s="13">
        <f t="shared" si="21"/>
        <v>4</v>
      </c>
      <c r="M91" s="13">
        <f t="shared" si="21"/>
        <v>7</v>
      </c>
      <c r="N91" s="13">
        <f t="shared" si="21"/>
        <v>20</v>
      </c>
      <c r="O91" s="13">
        <f t="shared" si="21"/>
        <v>10</v>
      </c>
      <c r="P91" s="13">
        <f t="shared" si="21"/>
        <v>5</v>
      </c>
      <c r="Q91" s="13">
        <f t="shared" si="21"/>
        <v>14</v>
      </c>
      <c r="R91" s="13">
        <f t="shared" si="21"/>
        <v>6</v>
      </c>
      <c r="S91" s="13">
        <f t="shared" si="21"/>
        <v>6</v>
      </c>
      <c r="T91" s="13">
        <f t="shared" si="21"/>
        <v>13</v>
      </c>
      <c r="U91" s="13">
        <f t="shared" si="21"/>
        <v>9</v>
      </c>
      <c r="V91" s="13">
        <f t="shared" si="21"/>
        <v>39</v>
      </c>
      <c r="W91" s="13">
        <f t="shared" si="21"/>
        <v>30</v>
      </c>
      <c r="X91" s="13">
        <f t="shared" si="21"/>
        <v>28</v>
      </c>
      <c r="Y91" s="13">
        <f t="shared" si="21"/>
        <v>9</v>
      </c>
      <c r="Z91" s="13">
        <f t="shared" si="21"/>
        <v>14</v>
      </c>
      <c r="AA91" s="13">
        <f t="shared" si="21"/>
        <v>28</v>
      </c>
      <c r="AB91" s="13">
        <f t="shared" si="21"/>
        <v>10</v>
      </c>
      <c r="AC91" s="13">
        <f t="shared" si="21"/>
        <v>12</v>
      </c>
      <c r="AD91" s="13">
        <f t="shared" si="21"/>
        <v>9</v>
      </c>
      <c r="AE91" s="13">
        <f t="shared" si="21"/>
        <v>13</v>
      </c>
      <c r="AF91" s="13">
        <f>SUM(E91:AE91)</f>
        <v>432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1.0</v>
      </c>
      <c r="H93" s="19">
        <v>4.0</v>
      </c>
      <c r="I93" s="19">
        <v>0.0</v>
      </c>
      <c r="J93" s="19"/>
      <c r="K93" s="19">
        <v>2.0</v>
      </c>
      <c r="L93" s="19">
        <v>0.0</v>
      </c>
      <c r="M93" s="19">
        <v>0.0</v>
      </c>
      <c r="N93" s="19">
        <v>0.0</v>
      </c>
      <c r="O93" s="19">
        <v>5.0</v>
      </c>
      <c r="P93" s="19">
        <v>0.0</v>
      </c>
      <c r="Q93" s="19">
        <v>1.0</v>
      </c>
      <c r="R93" s="19">
        <v>0.0</v>
      </c>
      <c r="S93" s="19">
        <v>0.0</v>
      </c>
      <c r="T93" s="19">
        <v>1.0</v>
      </c>
      <c r="U93" s="19">
        <v>2.0</v>
      </c>
      <c r="V93" s="19">
        <v>1.0</v>
      </c>
      <c r="W93" s="19">
        <v>3.0</v>
      </c>
      <c r="X93" s="19">
        <v>0.0</v>
      </c>
      <c r="Y93" s="19">
        <v>3.0</v>
      </c>
      <c r="Z93" s="19">
        <v>1.0</v>
      </c>
      <c r="AA93" s="19">
        <v>0.0</v>
      </c>
      <c r="AB93" s="19">
        <v>3.0</v>
      </c>
      <c r="AC93" s="19">
        <v>1.0</v>
      </c>
      <c r="AD93" s="19">
        <v>0.0</v>
      </c>
      <c r="AE93" s="19">
        <v>1.0</v>
      </c>
      <c r="AF93" s="13">
        <f t="shared" ref="AF93:AF100" si="22">SUM(E93:AE93)</f>
        <v>30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1.0</v>
      </c>
      <c r="F94" s="19">
        <v>7.0</v>
      </c>
      <c r="G94" s="19">
        <v>1.0</v>
      </c>
      <c r="H94" s="19">
        <v>3.0</v>
      </c>
      <c r="I94" s="19">
        <v>0.0</v>
      </c>
      <c r="J94" s="19"/>
      <c r="K94" s="19">
        <v>0.0</v>
      </c>
      <c r="L94" s="19">
        <v>0.0</v>
      </c>
      <c r="M94" s="19">
        <v>0.0</v>
      </c>
      <c r="N94" s="19">
        <v>3.0</v>
      </c>
      <c r="O94" s="19">
        <v>0.0</v>
      </c>
      <c r="P94" s="19">
        <v>0.0</v>
      </c>
      <c r="Q94" s="19">
        <v>0.0</v>
      </c>
      <c r="R94" s="19">
        <v>0.0</v>
      </c>
      <c r="S94" s="19">
        <v>0.0</v>
      </c>
      <c r="T94" s="19">
        <v>0.0</v>
      </c>
      <c r="U94" s="19">
        <v>0.0</v>
      </c>
      <c r="V94" s="19">
        <v>0.0</v>
      </c>
      <c r="W94" s="19">
        <v>0.0</v>
      </c>
      <c r="X94" s="19">
        <v>0.0</v>
      </c>
      <c r="Y94" s="19">
        <v>0.0</v>
      </c>
      <c r="Z94" s="19"/>
      <c r="AA94" s="19">
        <v>0.0</v>
      </c>
      <c r="AB94" s="19">
        <v>1.0</v>
      </c>
      <c r="AC94" s="19">
        <v>0.0</v>
      </c>
      <c r="AD94" s="19">
        <v>0.0</v>
      </c>
      <c r="AE94" s="19"/>
      <c r="AF94" s="13">
        <f t="shared" si="22"/>
        <v>16</v>
      </c>
    </row>
    <row r="95" ht="12.75" customHeight="1">
      <c r="A95" s="18"/>
      <c r="B95" s="55">
        <v>2.0</v>
      </c>
      <c r="C95" s="50" t="s">
        <v>74</v>
      </c>
      <c r="D95" s="57"/>
      <c r="E95" s="19"/>
      <c r="F95" s="19">
        <v>0.0</v>
      </c>
      <c r="G95" s="19">
        <v>0.0</v>
      </c>
      <c r="H95" s="19">
        <v>0.0</v>
      </c>
      <c r="I95" s="19">
        <v>1.0</v>
      </c>
      <c r="J95" s="19"/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1.0</v>
      </c>
      <c r="V95" s="19">
        <v>0.0</v>
      </c>
      <c r="W95" s="19">
        <v>0.0</v>
      </c>
      <c r="X95" s="19">
        <v>1.0</v>
      </c>
      <c r="Y95" s="19">
        <v>0.0</v>
      </c>
      <c r="Z95" s="19"/>
      <c r="AA95" s="19">
        <v>0.0</v>
      </c>
      <c r="AB95" s="19">
        <v>0.0</v>
      </c>
      <c r="AC95" s="19">
        <v>0.0</v>
      </c>
      <c r="AD95" s="19">
        <v>0.0</v>
      </c>
      <c r="AE95" s="19"/>
      <c r="AF95" s="13">
        <f t="shared" si="22"/>
        <v>5</v>
      </c>
    </row>
    <row r="96" ht="12.75" customHeight="1">
      <c r="A96" s="18"/>
      <c r="B96" s="55">
        <v>3.0</v>
      </c>
      <c r="C96" s="50" t="s">
        <v>75</v>
      </c>
      <c r="D96" s="57"/>
      <c r="E96" s="19"/>
      <c r="F96" s="19">
        <v>0.0</v>
      </c>
      <c r="G96" s="19">
        <v>0.0</v>
      </c>
      <c r="H96" s="19">
        <v>0.0</v>
      </c>
      <c r="I96" s="19">
        <v>0.0</v>
      </c>
      <c r="J96" s="19"/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2.0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0.0</v>
      </c>
      <c r="AC96" s="19">
        <v>0.0</v>
      </c>
      <c r="AD96" s="19">
        <v>0.0</v>
      </c>
      <c r="AE96" s="19"/>
      <c r="AF96" s="13">
        <f t="shared" si="22"/>
        <v>3</v>
      </c>
    </row>
    <row r="97" ht="12.75" customHeight="1">
      <c r="A97" s="18"/>
      <c r="B97" s="55">
        <v>4.0</v>
      </c>
      <c r="C97" s="50" t="s">
        <v>76</v>
      </c>
      <c r="D97" s="57"/>
      <c r="E97" s="19">
        <v>1.0</v>
      </c>
      <c r="F97" s="19">
        <v>0.0</v>
      </c>
      <c r="G97" s="19">
        <v>1.0</v>
      </c>
      <c r="H97" s="19">
        <v>4.0</v>
      </c>
      <c r="I97" s="19">
        <v>0.0</v>
      </c>
      <c r="J97" s="19"/>
      <c r="K97" s="19">
        <v>2.0</v>
      </c>
      <c r="L97" s="19">
        <v>0.0</v>
      </c>
      <c r="M97" s="19">
        <v>0.0</v>
      </c>
      <c r="N97" s="19">
        <v>0.0</v>
      </c>
      <c r="O97" s="19">
        <v>4.0</v>
      </c>
      <c r="P97" s="19">
        <v>1.0</v>
      </c>
      <c r="Q97" s="19">
        <v>8.0</v>
      </c>
      <c r="R97" s="19">
        <v>16.0</v>
      </c>
      <c r="S97" s="19">
        <v>0.0</v>
      </c>
      <c r="T97" s="19">
        <v>0.0</v>
      </c>
      <c r="U97" s="19">
        <v>2.0</v>
      </c>
      <c r="V97" s="19">
        <v>0.0</v>
      </c>
      <c r="W97" s="19">
        <v>0.0</v>
      </c>
      <c r="X97" s="19">
        <v>0.0</v>
      </c>
      <c r="Y97" s="19">
        <v>1.0</v>
      </c>
      <c r="Z97" s="19">
        <v>2.0</v>
      </c>
      <c r="AA97" s="19">
        <v>0.0</v>
      </c>
      <c r="AB97" s="19">
        <v>2.0</v>
      </c>
      <c r="AC97" s="19">
        <v>1.0</v>
      </c>
      <c r="AD97" s="19">
        <v>0.0</v>
      </c>
      <c r="AE97" s="19"/>
      <c r="AF97" s="13">
        <f t="shared" si="22"/>
        <v>45</v>
      </c>
    </row>
    <row r="98" ht="12.75" customHeight="1">
      <c r="A98" s="18"/>
      <c r="B98" s="55">
        <v>5.0</v>
      </c>
      <c r="C98" s="50" t="s">
        <v>77</v>
      </c>
      <c r="D98" s="57"/>
      <c r="E98" s="19"/>
      <c r="F98" s="19">
        <v>0.0</v>
      </c>
      <c r="G98" s="19">
        <v>0.0</v>
      </c>
      <c r="H98" s="19">
        <v>0.0</v>
      </c>
      <c r="I98" s="19">
        <v>0.0</v>
      </c>
      <c r="J98" s="19"/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/>
      <c r="AA98" s="19">
        <v>0.0</v>
      </c>
      <c r="AB98" s="19">
        <v>0.0</v>
      </c>
      <c r="AC98" s="19">
        <v>0.0</v>
      </c>
      <c r="AD98" s="19">
        <v>0.0</v>
      </c>
      <c r="AE98" s="19"/>
      <c r="AF98" s="13">
        <f t="shared" si="22"/>
        <v>1</v>
      </c>
    </row>
    <row r="99" ht="12.75" customHeight="1">
      <c r="A99" s="18"/>
      <c r="B99" s="55">
        <v>6.0</v>
      </c>
      <c r="C99" s="50" t="s">
        <v>78</v>
      </c>
      <c r="D99" s="57"/>
      <c r="E99" s="19"/>
      <c r="F99" s="19">
        <v>0.0</v>
      </c>
      <c r="G99" s="19">
        <v>0.0</v>
      </c>
      <c r="H99" s="19">
        <v>0.0</v>
      </c>
      <c r="I99" s="19">
        <v>0.0</v>
      </c>
      <c r="J99" s="19"/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1.0</v>
      </c>
      <c r="AA99" s="19">
        <v>1.0</v>
      </c>
      <c r="AB99" s="19">
        <v>0.0</v>
      </c>
      <c r="AC99" s="19">
        <v>1.0</v>
      </c>
      <c r="AD99" s="19">
        <v>0.0</v>
      </c>
      <c r="AE99" s="19"/>
      <c r="AF99" s="13">
        <f t="shared" si="22"/>
        <v>4</v>
      </c>
    </row>
    <row r="100" ht="12.75" customHeight="1">
      <c r="A100" s="18"/>
      <c r="B100" s="55">
        <v>7.0</v>
      </c>
      <c r="C100" s="50" t="s">
        <v>79</v>
      </c>
      <c r="D100" s="57"/>
      <c r="E100" s="19"/>
      <c r="F100" s="19">
        <v>1.0</v>
      </c>
      <c r="G100" s="19">
        <v>0.0</v>
      </c>
      <c r="H100" s="19">
        <v>0.0</v>
      </c>
      <c r="I100" s="19">
        <v>0.0</v>
      </c>
      <c r="J100" s="19"/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1.0</v>
      </c>
      <c r="V100" s="19">
        <v>0.0</v>
      </c>
      <c r="W100" s="19">
        <v>0.0</v>
      </c>
      <c r="X100" s="19">
        <v>0.0</v>
      </c>
      <c r="Y100" s="19">
        <v>0.0</v>
      </c>
      <c r="Z100" s="19"/>
      <c r="AA100" s="19">
        <v>0.0</v>
      </c>
      <c r="AB100" s="19">
        <v>0.0</v>
      </c>
      <c r="AC100" s="19">
        <v>0.0</v>
      </c>
      <c r="AD100" s="19">
        <v>0.0</v>
      </c>
      <c r="AE100" s="19"/>
      <c r="AF100" s="13">
        <f t="shared" si="22"/>
        <v>2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E103" si="23">SUM(E93:E100)</f>
        <v>3</v>
      </c>
      <c r="F103" s="13">
        <f t="shared" si="23"/>
        <v>8</v>
      </c>
      <c r="G103" s="13">
        <f t="shared" si="23"/>
        <v>3</v>
      </c>
      <c r="H103" s="13">
        <f t="shared" si="23"/>
        <v>11</v>
      </c>
      <c r="I103" s="13">
        <f t="shared" si="23"/>
        <v>1</v>
      </c>
      <c r="J103" s="13">
        <f t="shared" si="23"/>
        <v>0</v>
      </c>
      <c r="K103" s="13">
        <f t="shared" si="23"/>
        <v>5</v>
      </c>
      <c r="L103" s="13">
        <f t="shared" si="23"/>
        <v>0</v>
      </c>
      <c r="M103" s="13">
        <f t="shared" si="23"/>
        <v>0</v>
      </c>
      <c r="N103" s="13">
        <f t="shared" si="23"/>
        <v>3</v>
      </c>
      <c r="O103" s="13">
        <f t="shared" si="23"/>
        <v>9</v>
      </c>
      <c r="P103" s="13">
        <f t="shared" si="23"/>
        <v>1</v>
      </c>
      <c r="Q103" s="13">
        <f t="shared" si="23"/>
        <v>9</v>
      </c>
      <c r="R103" s="13">
        <f t="shared" si="23"/>
        <v>19</v>
      </c>
      <c r="S103" s="13">
        <f t="shared" si="23"/>
        <v>2</v>
      </c>
      <c r="T103" s="13">
        <f t="shared" si="23"/>
        <v>1</v>
      </c>
      <c r="U103" s="13">
        <f t="shared" si="23"/>
        <v>6</v>
      </c>
      <c r="V103" s="13">
        <f t="shared" si="23"/>
        <v>1</v>
      </c>
      <c r="W103" s="13">
        <f t="shared" si="23"/>
        <v>3</v>
      </c>
      <c r="X103" s="13">
        <f t="shared" si="23"/>
        <v>1</v>
      </c>
      <c r="Y103" s="13">
        <f t="shared" si="23"/>
        <v>4</v>
      </c>
      <c r="Z103" s="13">
        <f t="shared" si="23"/>
        <v>5</v>
      </c>
      <c r="AA103" s="13">
        <f t="shared" si="23"/>
        <v>1</v>
      </c>
      <c r="AB103" s="13">
        <f t="shared" si="23"/>
        <v>6</v>
      </c>
      <c r="AC103" s="13">
        <f t="shared" si="23"/>
        <v>3</v>
      </c>
      <c r="AD103" s="13">
        <f t="shared" si="23"/>
        <v>0</v>
      </c>
      <c r="AE103" s="13">
        <f t="shared" si="23"/>
        <v>1</v>
      </c>
      <c r="AF103" s="13">
        <f>SUM(E103:AE103)</f>
        <v>106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/>
      <c r="F105" s="19">
        <v>1.0</v>
      </c>
      <c r="G105" s="19">
        <v>0.0</v>
      </c>
      <c r="H105" s="19">
        <v>0.0</v>
      </c>
      <c r="I105" s="19">
        <v>0.0</v>
      </c>
      <c r="J105" s="19">
        <v>2.0</v>
      </c>
      <c r="K105" s="19">
        <v>1.0</v>
      </c>
      <c r="L105" s="19">
        <v>0.0</v>
      </c>
      <c r="M105" s="19">
        <v>0.0</v>
      </c>
      <c r="N105" s="19">
        <v>2.0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2.0</v>
      </c>
      <c r="Y105" s="19">
        <v>1.0</v>
      </c>
      <c r="Z105" s="19"/>
      <c r="AA105" s="19">
        <v>1.0</v>
      </c>
      <c r="AB105" s="19">
        <v>0.0</v>
      </c>
      <c r="AC105" s="19">
        <v>0.0</v>
      </c>
      <c r="AD105" s="19">
        <v>3.0</v>
      </c>
      <c r="AE105" s="19">
        <v>3.0</v>
      </c>
      <c r="AF105" s="13">
        <f t="shared" ref="AF105:AF112" si="24">SUM(E105:AE105)</f>
        <v>18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/>
      <c r="F106" s="19">
        <v>0.0</v>
      </c>
      <c r="G106" s="19">
        <v>0.0</v>
      </c>
      <c r="H106" s="19">
        <v>0.0</v>
      </c>
      <c r="I106" s="19">
        <v>1.0</v>
      </c>
      <c r="J106" s="19"/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1.0</v>
      </c>
      <c r="AD106" s="19">
        <v>1.0</v>
      </c>
      <c r="AE106" s="19">
        <v>1.0</v>
      </c>
      <c r="AF106" s="13">
        <f t="shared" si="24"/>
        <v>6</v>
      </c>
    </row>
    <row r="107" ht="12.75" customHeight="1">
      <c r="A107" s="18"/>
      <c r="B107" s="55">
        <v>2.0</v>
      </c>
      <c r="C107" s="50" t="s">
        <v>83</v>
      </c>
      <c r="D107" s="57"/>
      <c r="E107" s="19"/>
      <c r="F107" s="19">
        <v>0.0</v>
      </c>
      <c r="G107" s="19">
        <v>0.0</v>
      </c>
      <c r="H107" s="19">
        <v>0.0</v>
      </c>
      <c r="I107" s="19">
        <v>0.0</v>
      </c>
      <c r="J107" s="19"/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1.0</v>
      </c>
      <c r="W107" s="19">
        <v>0.0</v>
      </c>
      <c r="X107" s="19">
        <v>1.0</v>
      </c>
      <c r="Y107" s="19">
        <v>1.0</v>
      </c>
      <c r="Z107" s="19"/>
      <c r="AA107" s="19">
        <v>0.0</v>
      </c>
      <c r="AB107" s="19">
        <v>0.0</v>
      </c>
      <c r="AC107" s="19">
        <v>0.0</v>
      </c>
      <c r="AD107" s="19">
        <v>0.0</v>
      </c>
      <c r="AE107" s="19"/>
      <c r="AF107" s="13">
        <f t="shared" si="24"/>
        <v>5</v>
      </c>
    </row>
    <row r="108" ht="12.75" customHeight="1">
      <c r="A108" s="18"/>
      <c r="B108" s="55">
        <v>3.0</v>
      </c>
      <c r="C108" s="50" t="s">
        <v>84</v>
      </c>
      <c r="D108" s="57"/>
      <c r="E108" s="19"/>
      <c r="F108" s="19">
        <v>0.0</v>
      </c>
      <c r="G108" s="19">
        <v>0.0</v>
      </c>
      <c r="H108" s="19">
        <v>0.0</v>
      </c>
      <c r="I108" s="19">
        <v>0.0</v>
      </c>
      <c r="J108" s="19"/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1.0</v>
      </c>
      <c r="Z108" s="19"/>
      <c r="AA108" s="19">
        <v>0.0</v>
      </c>
      <c r="AB108" s="19">
        <v>0.0</v>
      </c>
      <c r="AC108" s="19">
        <v>0.0</v>
      </c>
      <c r="AD108" s="19">
        <v>0.0</v>
      </c>
      <c r="AE108" s="19"/>
      <c r="AF108" s="13">
        <f t="shared" si="24"/>
        <v>3</v>
      </c>
    </row>
    <row r="109" ht="12.75" customHeight="1">
      <c r="A109" s="18"/>
      <c r="B109" s="55">
        <v>4.0</v>
      </c>
      <c r="C109" s="50" t="s">
        <v>85</v>
      </c>
      <c r="D109" s="57"/>
      <c r="E109" s="19"/>
      <c r="F109" s="19">
        <v>0.0</v>
      </c>
      <c r="G109" s="19">
        <v>0.0</v>
      </c>
      <c r="H109" s="19">
        <v>0.0</v>
      </c>
      <c r="I109" s="19">
        <v>0.0</v>
      </c>
      <c r="J109" s="19"/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/>
      <c r="AA109" s="19">
        <v>0.0</v>
      </c>
      <c r="AB109" s="19">
        <v>0.0</v>
      </c>
      <c r="AC109" s="19">
        <v>0.0</v>
      </c>
      <c r="AD109" s="19">
        <v>0.0</v>
      </c>
      <c r="AE109" s="19"/>
      <c r="AF109" s="13">
        <f t="shared" si="24"/>
        <v>1</v>
      </c>
    </row>
    <row r="110" ht="12.75" customHeight="1">
      <c r="A110" s="18"/>
      <c r="B110" s="55">
        <v>5.0</v>
      </c>
      <c r="C110" s="50" t="s">
        <v>86</v>
      </c>
      <c r="D110" s="57"/>
      <c r="E110" s="19"/>
      <c r="F110" s="19">
        <v>0.0</v>
      </c>
      <c r="G110" s="19">
        <v>0.0</v>
      </c>
      <c r="H110" s="19">
        <v>0.0</v>
      </c>
      <c r="I110" s="19">
        <v>0.0</v>
      </c>
      <c r="J110" s="19"/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/>
      <c r="AA110" s="19">
        <v>0.0</v>
      </c>
      <c r="AB110" s="19">
        <v>0.0</v>
      </c>
      <c r="AC110" s="19">
        <v>0.0</v>
      </c>
      <c r="AD110" s="19">
        <v>0.0</v>
      </c>
      <c r="AE110" s="19"/>
      <c r="AF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/>
      <c r="F111" s="19">
        <v>0.0</v>
      </c>
      <c r="G111" s="19">
        <v>0.0</v>
      </c>
      <c r="H111" s="19">
        <v>0.0</v>
      </c>
      <c r="I111" s="19">
        <v>0.0</v>
      </c>
      <c r="J111" s="19"/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/>
      <c r="AA111" s="19">
        <v>0.0</v>
      </c>
      <c r="AB111" s="19">
        <v>0.0</v>
      </c>
      <c r="AC111" s="19">
        <v>0.0</v>
      </c>
      <c r="AD111" s="19">
        <v>0.0</v>
      </c>
      <c r="AE111" s="19"/>
      <c r="AF111" s="13">
        <f t="shared" si="24"/>
        <v>0</v>
      </c>
    </row>
    <row r="112" ht="12.75" customHeight="1">
      <c r="A112" s="18"/>
      <c r="B112" s="55">
        <v>7.0</v>
      </c>
      <c r="C112" s="50" t="s">
        <v>88</v>
      </c>
      <c r="D112" s="57"/>
      <c r="E112" s="19"/>
      <c r="F112" s="19">
        <v>0.0</v>
      </c>
      <c r="G112" s="19">
        <v>0.0</v>
      </c>
      <c r="H112" s="19">
        <v>0.0</v>
      </c>
      <c r="I112" s="19">
        <v>0.0</v>
      </c>
      <c r="J112" s="19"/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/>
      <c r="AA112" s="19">
        <v>0.0</v>
      </c>
      <c r="AB112" s="19">
        <v>0.0</v>
      </c>
      <c r="AC112" s="19">
        <v>0.0</v>
      </c>
      <c r="AD112" s="19">
        <v>0.0</v>
      </c>
      <c r="AE112" s="19"/>
      <c r="AF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E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3</v>
      </c>
      <c r="O115" s="13">
        <f t="shared" si="25"/>
        <v>0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3</v>
      </c>
      <c r="W115" s="13">
        <f t="shared" si="25"/>
        <v>0</v>
      </c>
      <c r="X115" s="13">
        <f t="shared" si="25"/>
        <v>3</v>
      </c>
      <c r="Y115" s="13">
        <f t="shared" si="25"/>
        <v>3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1</v>
      </c>
      <c r="AD115" s="13">
        <f t="shared" si="25"/>
        <v>4</v>
      </c>
      <c r="AE115" s="13">
        <f t="shared" si="25"/>
        <v>4</v>
      </c>
      <c r="AF115" s="13">
        <f>SUM(E115:AE115)</f>
        <v>33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/>
      <c r="F117" s="19">
        <v>0.0</v>
      </c>
      <c r="G117" s="19"/>
      <c r="H117" s="19">
        <v>2.0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2.0</v>
      </c>
      <c r="U117" s="19">
        <v>2.0</v>
      </c>
      <c r="V117" s="19">
        <v>0.0</v>
      </c>
      <c r="W117" s="19">
        <v>0.0</v>
      </c>
      <c r="X117" s="19">
        <v>3.0</v>
      </c>
      <c r="Y117" s="19">
        <v>1.0</v>
      </c>
      <c r="Z117" s="19">
        <v>1.0</v>
      </c>
      <c r="AA117" s="19">
        <v>1.0</v>
      </c>
      <c r="AB117" s="19">
        <v>1.0</v>
      </c>
      <c r="AC117" s="19">
        <v>0.0</v>
      </c>
      <c r="AD117" s="19">
        <v>1.0</v>
      </c>
      <c r="AE117" s="19"/>
      <c r="AF117" s="13">
        <f t="shared" ref="AF117:AF120" si="26">SUM(E117:AE117)</f>
        <v>16</v>
      </c>
      <c r="AG117" s="5"/>
      <c r="AH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/>
      <c r="F118" s="19">
        <v>0.0</v>
      </c>
      <c r="G118" s="19"/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2.0</v>
      </c>
      <c r="AA118" s="19">
        <v>1.0</v>
      </c>
      <c r="AB118" s="19">
        <v>0.0</v>
      </c>
      <c r="AC118" s="19">
        <v>0.0</v>
      </c>
      <c r="AD118" s="19">
        <v>1.0</v>
      </c>
      <c r="AE118" s="19">
        <v>2.0</v>
      </c>
      <c r="AF118" s="13">
        <f t="shared" si="26"/>
        <v>9</v>
      </c>
      <c r="AG118" s="5"/>
      <c r="AH118" s="5"/>
    </row>
    <row r="119" ht="12.75" customHeight="1">
      <c r="A119" s="18"/>
      <c r="B119" s="55">
        <v>2.0</v>
      </c>
      <c r="C119" s="50" t="s">
        <v>92</v>
      </c>
      <c r="D119" s="57"/>
      <c r="E119" s="19"/>
      <c r="F119" s="19">
        <v>0.0</v>
      </c>
      <c r="G119" s="19"/>
      <c r="H119" s="19">
        <v>0.0</v>
      </c>
      <c r="I119" s="19">
        <v>0.0</v>
      </c>
      <c r="J119" s="19"/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1.0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/>
      <c r="AA119" s="19">
        <v>0.0</v>
      </c>
      <c r="AB119" s="19">
        <v>0.0</v>
      </c>
      <c r="AC119" s="19">
        <v>0.0</v>
      </c>
      <c r="AD119" s="19">
        <v>0.0</v>
      </c>
      <c r="AE119" s="19"/>
      <c r="AF119" s="13">
        <f t="shared" si="26"/>
        <v>3</v>
      </c>
      <c r="AG119" s="5"/>
      <c r="AH119" s="5"/>
    </row>
    <row r="120" ht="12.75" customHeight="1">
      <c r="A120" s="18"/>
      <c r="B120" s="55">
        <v>3.0</v>
      </c>
      <c r="C120" s="50" t="s">
        <v>93</v>
      </c>
      <c r="D120" s="57"/>
      <c r="E120" s="19"/>
      <c r="F120" s="19">
        <v>0.0</v>
      </c>
      <c r="G120" s="19"/>
      <c r="H120" s="19">
        <v>0.0</v>
      </c>
      <c r="I120" s="19">
        <v>0.0</v>
      </c>
      <c r="J120" s="19"/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/>
      <c r="AA120" s="19">
        <v>0.0</v>
      </c>
      <c r="AB120" s="19">
        <v>0.0</v>
      </c>
      <c r="AC120" s="19">
        <v>0.0</v>
      </c>
      <c r="AD120" s="19">
        <v>1.0</v>
      </c>
      <c r="AE120" s="19"/>
      <c r="AF120" s="13">
        <f t="shared" si="26"/>
        <v>1</v>
      </c>
      <c r="AG120" s="5"/>
      <c r="AH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73"/>
      <c r="AG121" s="5"/>
      <c r="AH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73"/>
      <c r="AG122" s="5"/>
      <c r="AH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73"/>
      <c r="AG123" s="5"/>
      <c r="AH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73"/>
      <c r="AG124" s="5"/>
      <c r="AH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73"/>
      <c r="AG125" s="5"/>
      <c r="AH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73"/>
      <c r="AG126" s="5"/>
      <c r="AH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AE127" si="27">SUM(E117:E120)</f>
        <v>0</v>
      </c>
      <c r="F127" s="58">
        <f t="shared" si="27"/>
        <v>0</v>
      </c>
      <c r="G127" s="58">
        <f t="shared" si="27"/>
        <v>0</v>
      </c>
      <c r="H127" s="58">
        <f t="shared" si="27"/>
        <v>2</v>
      </c>
      <c r="I127" s="58">
        <f t="shared" si="27"/>
        <v>0</v>
      </c>
      <c r="J127" s="58">
        <f t="shared" si="27"/>
        <v>2</v>
      </c>
      <c r="K127" s="58">
        <f t="shared" si="27"/>
        <v>0</v>
      </c>
      <c r="L127" s="58">
        <f t="shared" si="27"/>
        <v>0</v>
      </c>
      <c r="M127" s="58">
        <f t="shared" si="27"/>
        <v>0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1</v>
      </c>
      <c r="R127" s="58">
        <f t="shared" si="27"/>
        <v>2</v>
      </c>
      <c r="S127" s="58">
        <f t="shared" si="27"/>
        <v>0</v>
      </c>
      <c r="T127" s="58">
        <f t="shared" si="27"/>
        <v>3</v>
      </c>
      <c r="U127" s="58">
        <f t="shared" si="27"/>
        <v>2</v>
      </c>
      <c r="V127" s="58">
        <f t="shared" si="27"/>
        <v>0</v>
      </c>
      <c r="W127" s="58">
        <f t="shared" si="27"/>
        <v>0</v>
      </c>
      <c r="X127" s="58">
        <f t="shared" si="27"/>
        <v>3</v>
      </c>
      <c r="Y127" s="58">
        <f t="shared" si="27"/>
        <v>3</v>
      </c>
      <c r="Z127" s="58">
        <f t="shared" si="27"/>
        <v>3</v>
      </c>
      <c r="AA127" s="58">
        <f t="shared" si="27"/>
        <v>2</v>
      </c>
      <c r="AB127" s="58">
        <f t="shared" si="27"/>
        <v>1</v>
      </c>
      <c r="AC127" s="58">
        <f t="shared" si="27"/>
        <v>0</v>
      </c>
      <c r="AD127" s="58">
        <f t="shared" si="27"/>
        <v>3</v>
      </c>
      <c r="AE127" s="58">
        <f t="shared" si="27"/>
        <v>2</v>
      </c>
      <c r="AF127" s="13">
        <f>SUM(E127:AE127)</f>
        <v>29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5"/>
      <c r="AH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3.0</v>
      </c>
      <c r="F129" s="19">
        <v>4.0</v>
      </c>
      <c r="G129" s="19">
        <v>5.0</v>
      </c>
      <c r="H129" s="19">
        <v>3.0</v>
      </c>
      <c r="I129" s="19">
        <v>1.0</v>
      </c>
      <c r="J129" s="19">
        <v>9.0</v>
      </c>
      <c r="K129" s="19">
        <v>0.0</v>
      </c>
      <c r="L129" s="19">
        <v>0.0</v>
      </c>
      <c r="M129" s="19">
        <v>1.0</v>
      </c>
      <c r="N129" s="19">
        <v>4.0</v>
      </c>
      <c r="O129" s="19">
        <v>5.0</v>
      </c>
      <c r="P129" s="19">
        <v>1.0</v>
      </c>
      <c r="Q129" s="19">
        <v>2.0</v>
      </c>
      <c r="R129" s="19">
        <v>2.0</v>
      </c>
      <c r="S129" s="19">
        <v>0.0</v>
      </c>
      <c r="T129" s="19">
        <v>0.0</v>
      </c>
      <c r="U129" s="19">
        <v>0.0</v>
      </c>
      <c r="V129" s="19">
        <v>13.0</v>
      </c>
      <c r="W129" s="19">
        <v>14.0</v>
      </c>
      <c r="X129" s="19">
        <v>5.0</v>
      </c>
      <c r="Y129" s="19">
        <v>5.0</v>
      </c>
      <c r="Z129" s="19">
        <v>0.0</v>
      </c>
      <c r="AA129" s="19">
        <v>4.0</v>
      </c>
      <c r="AB129" s="19">
        <v>1.0</v>
      </c>
      <c r="AC129" s="19">
        <v>0.0</v>
      </c>
      <c r="AD129" s="19">
        <v>2.0</v>
      </c>
      <c r="AE129" s="19"/>
      <c r="AF129" s="13">
        <f t="shared" ref="AF129:AF136" si="28">SUM(E129:AE129)</f>
        <v>84</v>
      </c>
      <c r="AG129" s="5"/>
      <c r="AH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19.0</v>
      </c>
      <c r="F130" s="19">
        <v>7.0</v>
      </c>
      <c r="G130" s="19">
        <v>3.0</v>
      </c>
      <c r="H130" s="19">
        <v>3.0</v>
      </c>
      <c r="I130" s="19">
        <v>2.0</v>
      </c>
      <c r="J130" s="19">
        <v>21.0</v>
      </c>
      <c r="K130" s="19">
        <v>0.0</v>
      </c>
      <c r="L130" s="19">
        <v>2.0</v>
      </c>
      <c r="M130" s="19">
        <v>11.0</v>
      </c>
      <c r="N130" s="19">
        <v>4.0</v>
      </c>
      <c r="O130" s="19">
        <v>6.0</v>
      </c>
      <c r="P130" s="19">
        <v>1.0</v>
      </c>
      <c r="Q130" s="19">
        <v>1.0</v>
      </c>
      <c r="R130" s="19">
        <v>1.0</v>
      </c>
      <c r="S130" s="19">
        <v>1.0</v>
      </c>
      <c r="T130" s="19">
        <v>0.0</v>
      </c>
      <c r="U130" s="19">
        <v>1.0</v>
      </c>
      <c r="V130" s="19">
        <v>18.0</v>
      </c>
      <c r="W130" s="19">
        <v>16.0</v>
      </c>
      <c r="X130" s="19">
        <v>0.0</v>
      </c>
      <c r="Y130" s="19">
        <v>6.0</v>
      </c>
      <c r="Z130" s="19">
        <v>2.0</v>
      </c>
      <c r="AA130" s="19">
        <v>1.0</v>
      </c>
      <c r="AB130" s="19">
        <v>0.0</v>
      </c>
      <c r="AC130" s="19">
        <v>2.0</v>
      </c>
      <c r="AD130" s="19">
        <v>3.0</v>
      </c>
      <c r="AE130" s="19">
        <v>3.0</v>
      </c>
      <c r="AF130" s="13">
        <f t="shared" si="28"/>
        <v>134</v>
      </c>
      <c r="AG130" s="1"/>
      <c r="AH130" s="1"/>
    </row>
    <row r="131" ht="12.75" customHeight="1">
      <c r="A131" s="18"/>
      <c r="B131" s="55">
        <v>2.0</v>
      </c>
      <c r="C131" s="50" t="s">
        <v>97</v>
      </c>
      <c r="D131" s="56"/>
      <c r="E131" s="19"/>
      <c r="F131" s="19">
        <v>0.0</v>
      </c>
      <c r="G131" s="19">
        <v>2.0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2.0</v>
      </c>
      <c r="O131" s="19">
        <v>0.0</v>
      </c>
      <c r="P131" s="19">
        <v>1.0</v>
      </c>
      <c r="Q131" s="19">
        <v>1.0</v>
      </c>
      <c r="R131" s="19">
        <v>0.0</v>
      </c>
      <c r="S131" s="19">
        <v>0.0</v>
      </c>
      <c r="T131" s="19">
        <v>1.0</v>
      </c>
      <c r="U131" s="19">
        <v>0.0</v>
      </c>
      <c r="V131" s="19">
        <v>1.0</v>
      </c>
      <c r="W131" s="19">
        <v>2.0</v>
      </c>
      <c r="X131" s="19">
        <v>3.0</v>
      </c>
      <c r="Y131" s="19">
        <v>0.0</v>
      </c>
      <c r="Z131" s="19"/>
      <c r="AA131" s="19">
        <v>0.0</v>
      </c>
      <c r="AB131" s="19">
        <v>1.0</v>
      </c>
      <c r="AC131" s="19">
        <v>0.0</v>
      </c>
      <c r="AD131" s="19">
        <v>0.0</v>
      </c>
      <c r="AE131" s="19">
        <v>1.0</v>
      </c>
      <c r="AF131" s="13">
        <f t="shared" si="28"/>
        <v>16</v>
      </c>
      <c r="AG131" s="52"/>
      <c r="AH131" s="52"/>
    </row>
    <row r="132" ht="12.75" customHeight="1">
      <c r="A132" s="18"/>
      <c r="B132" s="55">
        <v>3.0</v>
      </c>
      <c r="C132" s="50" t="s">
        <v>98</v>
      </c>
      <c r="D132" s="56"/>
      <c r="E132" s="19"/>
      <c r="F132" s="19">
        <v>2.0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/>
      <c r="AA132" s="19">
        <v>0.0</v>
      </c>
      <c r="AB132" s="19">
        <v>0.0</v>
      </c>
      <c r="AC132" s="19">
        <v>0.0</v>
      </c>
      <c r="AD132" s="19">
        <v>0.0</v>
      </c>
      <c r="AE132" s="19"/>
      <c r="AF132" s="13">
        <f t="shared" si="28"/>
        <v>4</v>
      </c>
      <c r="AG132" s="5"/>
      <c r="AH132" s="5"/>
    </row>
    <row r="133" ht="12.75" customHeight="1">
      <c r="A133" s="18"/>
      <c r="B133" s="55">
        <v>4.0</v>
      </c>
      <c r="C133" s="50" t="s">
        <v>99</v>
      </c>
      <c r="D133" s="56"/>
      <c r="E133" s="19"/>
      <c r="F133" s="19">
        <v>0.0</v>
      </c>
      <c r="G133" s="19"/>
      <c r="H133" s="19">
        <v>1.0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2.0</v>
      </c>
      <c r="Y133" s="19">
        <v>0.0</v>
      </c>
      <c r="Z133" s="19"/>
      <c r="AA133" s="19">
        <v>0.0</v>
      </c>
      <c r="AB133" s="19">
        <v>0.0</v>
      </c>
      <c r="AC133" s="19">
        <v>0.0</v>
      </c>
      <c r="AD133" s="19">
        <v>0.0</v>
      </c>
      <c r="AE133" s="19"/>
      <c r="AF133" s="13">
        <f t="shared" si="28"/>
        <v>5</v>
      </c>
      <c r="AG133" s="5"/>
      <c r="AH133" s="5"/>
    </row>
    <row r="134" ht="12.75" customHeight="1">
      <c r="A134" s="18"/>
      <c r="B134" s="55">
        <v>5.0</v>
      </c>
      <c r="C134" s="50" t="s">
        <v>100</v>
      </c>
      <c r="D134" s="56"/>
      <c r="E134" s="19"/>
      <c r="F134" s="19">
        <v>0.0</v>
      </c>
      <c r="G134" s="19"/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0.0</v>
      </c>
      <c r="Q134" s="19">
        <v>0.0</v>
      </c>
      <c r="R134" s="19">
        <v>1.0</v>
      </c>
      <c r="S134" s="19">
        <v>0.0</v>
      </c>
      <c r="T134" s="19">
        <v>0.0</v>
      </c>
      <c r="U134" s="19">
        <v>0.0</v>
      </c>
      <c r="V134" s="19">
        <v>6.0</v>
      </c>
      <c r="W134" s="19">
        <v>0.0</v>
      </c>
      <c r="X134" s="19">
        <v>0.0</v>
      </c>
      <c r="Y134" s="19">
        <v>0.0</v>
      </c>
      <c r="Z134" s="19"/>
      <c r="AA134" s="19">
        <v>0.0</v>
      </c>
      <c r="AB134" s="19">
        <v>0.0</v>
      </c>
      <c r="AC134" s="19">
        <v>0.0</v>
      </c>
      <c r="AD134" s="19">
        <v>0.0</v>
      </c>
      <c r="AE134" s="19"/>
      <c r="AF134" s="13">
        <f t="shared" si="28"/>
        <v>8</v>
      </c>
      <c r="AG134" s="5"/>
      <c r="AH134" s="5"/>
    </row>
    <row r="135" ht="12.75" customHeight="1">
      <c r="A135" s="18"/>
      <c r="B135" s="55">
        <v>6.0</v>
      </c>
      <c r="C135" s="50" t="s">
        <v>101</v>
      </c>
      <c r="D135" s="57"/>
      <c r="E135" s="19">
        <v>1.0</v>
      </c>
      <c r="F135" s="19">
        <v>0.0</v>
      </c>
      <c r="G135" s="19"/>
      <c r="H135" s="19">
        <v>0.0</v>
      </c>
      <c r="I135" s="19">
        <v>0.0</v>
      </c>
      <c r="J135" s="19">
        <v>0.0</v>
      </c>
      <c r="K135" s="19">
        <v>0.0</v>
      </c>
      <c r="L135" s="19">
        <v>3.0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/>
      <c r="AA135" s="19">
        <v>0.0</v>
      </c>
      <c r="AB135" s="19">
        <v>0.0</v>
      </c>
      <c r="AC135" s="19">
        <v>0.0</v>
      </c>
      <c r="AD135" s="19">
        <v>0.0</v>
      </c>
      <c r="AE135" s="19"/>
      <c r="AF135" s="13">
        <f t="shared" si="28"/>
        <v>5</v>
      </c>
      <c r="AG135" s="5"/>
      <c r="AH135" s="5"/>
    </row>
    <row r="136" ht="12.75" customHeight="1">
      <c r="A136" s="18"/>
      <c r="B136" s="55">
        <v>7.0</v>
      </c>
      <c r="C136" s="50" t="s">
        <v>102</v>
      </c>
      <c r="D136" s="56"/>
      <c r="E136" s="19">
        <v>1.0</v>
      </c>
      <c r="F136" s="19">
        <v>0.0</v>
      </c>
      <c r="G136" s="19"/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/>
      <c r="AA136" s="19">
        <v>0.0</v>
      </c>
      <c r="AB136" s="19">
        <v>0.0</v>
      </c>
      <c r="AC136" s="19">
        <v>0.0</v>
      </c>
      <c r="AD136" s="19">
        <v>0.0</v>
      </c>
      <c r="AE136" s="19"/>
      <c r="AF136" s="13">
        <f t="shared" si="28"/>
        <v>1</v>
      </c>
      <c r="AG136" s="5"/>
      <c r="AH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73"/>
      <c r="AG137" s="5"/>
      <c r="AH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73"/>
      <c r="AG138" s="5"/>
      <c r="AH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E139" si="29">SUM(E129:E136)</f>
        <v>24</v>
      </c>
      <c r="F139" s="13">
        <f t="shared" si="29"/>
        <v>13</v>
      </c>
      <c r="G139" s="13">
        <f t="shared" si="29"/>
        <v>10</v>
      </c>
      <c r="H139" s="13">
        <f t="shared" si="29"/>
        <v>8</v>
      </c>
      <c r="I139" s="13">
        <f t="shared" si="29"/>
        <v>3</v>
      </c>
      <c r="J139" s="13">
        <f t="shared" si="29"/>
        <v>31</v>
      </c>
      <c r="K139" s="13">
        <f t="shared" si="29"/>
        <v>0</v>
      </c>
      <c r="L139" s="13">
        <f t="shared" si="29"/>
        <v>6</v>
      </c>
      <c r="M139" s="13">
        <f t="shared" si="29"/>
        <v>12</v>
      </c>
      <c r="N139" s="13">
        <f t="shared" si="29"/>
        <v>10</v>
      </c>
      <c r="O139" s="13">
        <f t="shared" si="29"/>
        <v>12</v>
      </c>
      <c r="P139" s="13">
        <f t="shared" si="29"/>
        <v>3</v>
      </c>
      <c r="Q139" s="13">
        <f t="shared" si="29"/>
        <v>4</v>
      </c>
      <c r="R139" s="13">
        <f t="shared" si="29"/>
        <v>5</v>
      </c>
      <c r="S139" s="13">
        <f t="shared" si="29"/>
        <v>1</v>
      </c>
      <c r="T139" s="13">
        <f t="shared" si="29"/>
        <v>1</v>
      </c>
      <c r="U139" s="13">
        <f t="shared" si="29"/>
        <v>1</v>
      </c>
      <c r="V139" s="13">
        <f t="shared" si="29"/>
        <v>38</v>
      </c>
      <c r="W139" s="13">
        <f t="shared" si="29"/>
        <v>33</v>
      </c>
      <c r="X139" s="13">
        <f t="shared" si="29"/>
        <v>11</v>
      </c>
      <c r="Y139" s="13">
        <f t="shared" si="29"/>
        <v>11</v>
      </c>
      <c r="Z139" s="13">
        <f t="shared" si="29"/>
        <v>2</v>
      </c>
      <c r="AA139" s="13">
        <f t="shared" si="29"/>
        <v>5</v>
      </c>
      <c r="AB139" s="13">
        <f t="shared" si="29"/>
        <v>2</v>
      </c>
      <c r="AC139" s="13">
        <f t="shared" si="29"/>
        <v>2</v>
      </c>
      <c r="AD139" s="13">
        <f t="shared" si="29"/>
        <v>5</v>
      </c>
      <c r="AE139" s="13">
        <f t="shared" si="29"/>
        <v>4</v>
      </c>
      <c r="AF139" s="13">
        <f>SUM(E139:AE139)</f>
        <v>257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5"/>
      <c r="AH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/>
      <c r="F141" s="19">
        <v>1.0</v>
      </c>
      <c r="G141" s="19"/>
      <c r="H141" s="19">
        <v>0.0</v>
      </c>
      <c r="I141" s="19">
        <v>0.0</v>
      </c>
      <c r="J141" s="19"/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/>
      <c r="AA141" s="19">
        <v>0.0</v>
      </c>
      <c r="AB141" s="19">
        <v>0.0</v>
      </c>
      <c r="AC141" s="19">
        <v>0.0</v>
      </c>
      <c r="AD141" s="19">
        <v>0.0</v>
      </c>
      <c r="AE141" s="19"/>
      <c r="AF141" s="13">
        <f t="shared" ref="AF141:AF148" si="30">SUM(E141:AE141)</f>
        <v>1</v>
      </c>
      <c r="AG141" s="1"/>
      <c r="AH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/>
      <c r="F142" s="19">
        <v>0.0</v>
      </c>
      <c r="G142" s="19"/>
      <c r="H142" s="19">
        <v>0.0</v>
      </c>
      <c r="I142" s="19">
        <v>0.0</v>
      </c>
      <c r="J142" s="19"/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/>
      <c r="AA142" s="19">
        <v>0.0</v>
      </c>
      <c r="AB142" s="19">
        <v>0.0</v>
      </c>
      <c r="AC142" s="19">
        <v>0.0</v>
      </c>
      <c r="AD142" s="19">
        <v>0.0</v>
      </c>
      <c r="AE142" s="19"/>
      <c r="AF142" s="13">
        <f t="shared" si="30"/>
        <v>0</v>
      </c>
      <c r="AG142" s="52"/>
      <c r="AH142" s="52"/>
    </row>
    <row r="143" ht="12.75" customHeight="1">
      <c r="A143" s="18"/>
      <c r="B143" s="55">
        <v>2.0</v>
      </c>
      <c r="C143" s="50" t="s">
        <v>106</v>
      </c>
      <c r="D143" s="57"/>
      <c r="E143" s="19"/>
      <c r="F143" s="19">
        <v>0.0</v>
      </c>
      <c r="G143" s="19"/>
      <c r="H143" s="19">
        <v>0.0</v>
      </c>
      <c r="I143" s="19">
        <v>0.0</v>
      </c>
      <c r="J143" s="19"/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/>
      <c r="AA143" s="19">
        <v>0.0</v>
      </c>
      <c r="AB143" s="19">
        <v>0.0</v>
      </c>
      <c r="AC143" s="19">
        <v>0.0</v>
      </c>
      <c r="AD143" s="19">
        <v>0.0</v>
      </c>
      <c r="AE143" s="19"/>
      <c r="AF143" s="13">
        <f t="shared" si="30"/>
        <v>0</v>
      </c>
      <c r="AG143" s="5"/>
      <c r="AH143" s="5"/>
    </row>
    <row r="144" ht="12.75" customHeight="1">
      <c r="A144" s="18"/>
      <c r="B144" s="55">
        <v>3.0</v>
      </c>
      <c r="C144" s="50" t="s">
        <v>107</v>
      </c>
      <c r="D144" s="57"/>
      <c r="E144" s="19"/>
      <c r="F144" s="19">
        <v>0.0</v>
      </c>
      <c r="G144" s="19"/>
      <c r="H144" s="19">
        <v>0.0</v>
      </c>
      <c r="I144" s="19">
        <v>0.0</v>
      </c>
      <c r="J144" s="19"/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/>
      <c r="AA144" s="19">
        <v>0.0</v>
      </c>
      <c r="AB144" s="19">
        <v>0.0</v>
      </c>
      <c r="AC144" s="19">
        <v>0.0</v>
      </c>
      <c r="AD144" s="19">
        <v>0.0</v>
      </c>
      <c r="AE144" s="19"/>
      <c r="AF144" s="13">
        <f t="shared" si="30"/>
        <v>0</v>
      </c>
      <c r="AG144" s="5"/>
      <c r="AH144" s="5"/>
    </row>
    <row r="145" ht="12.75" customHeight="1">
      <c r="A145" s="18"/>
      <c r="B145" s="55">
        <v>4.0</v>
      </c>
      <c r="C145" s="50" t="s">
        <v>108</v>
      </c>
      <c r="D145" s="57"/>
      <c r="E145" s="19"/>
      <c r="F145" s="19">
        <v>0.0</v>
      </c>
      <c r="G145" s="19"/>
      <c r="H145" s="19">
        <v>0.0</v>
      </c>
      <c r="I145" s="19">
        <v>0.0</v>
      </c>
      <c r="J145" s="19"/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/>
      <c r="AA145" s="19">
        <v>0.0</v>
      </c>
      <c r="AB145" s="19">
        <v>0.0</v>
      </c>
      <c r="AC145" s="19">
        <v>0.0</v>
      </c>
      <c r="AD145" s="19">
        <v>0.0</v>
      </c>
      <c r="AE145" s="19"/>
      <c r="AF145" s="13">
        <f t="shared" si="30"/>
        <v>0</v>
      </c>
      <c r="AG145" s="5"/>
      <c r="AH145" s="5"/>
    </row>
    <row r="146" ht="12.75" customHeight="1">
      <c r="A146" s="18"/>
      <c r="B146" s="55">
        <v>5.0</v>
      </c>
      <c r="C146" s="50" t="s">
        <v>109</v>
      </c>
      <c r="D146" s="57"/>
      <c r="E146" s="19"/>
      <c r="F146" s="19">
        <v>0.0</v>
      </c>
      <c r="G146" s="19"/>
      <c r="H146" s="19">
        <v>0.0</v>
      </c>
      <c r="I146" s="19">
        <v>0.0</v>
      </c>
      <c r="J146" s="19"/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/>
      <c r="AA146" s="19">
        <v>0.0</v>
      </c>
      <c r="AB146" s="19">
        <v>0.0</v>
      </c>
      <c r="AC146" s="19">
        <v>0.0</v>
      </c>
      <c r="AD146" s="19">
        <v>0.0</v>
      </c>
      <c r="AE146" s="19"/>
      <c r="AF146" s="13">
        <f t="shared" si="30"/>
        <v>0</v>
      </c>
      <c r="AG146" s="5"/>
      <c r="AH146" s="5"/>
    </row>
    <row r="147" ht="12.75" customHeight="1">
      <c r="A147" s="18"/>
      <c r="B147" s="55">
        <v>6.0</v>
      </c>
      <c r="C147" s="50" t="s">
        <v>110</v>
      </c>
      <c r="D147" s="57"/>
      <c r="E147" s="19"/>
      <c r="F147" s="19">
        <v>0.0</v>
      </c>
      <c r="G147" s="19"/>
      <c r="H147" s="19">
        <v>0.0</v>
      </c>
      <c r="I147" s="19">
        <v>0.0</v>
      </c>
      <c r="J147" s="19"/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/>
      <c r="AA147" s="19">
        <v>0.0</v>
      </c>
      <c r="AB147" s="19">
        <v>0.0</v>
      </c>
      <c r="AC147" s="19">
        <v>0.0</v>
      </c>
      <c r="AD147" s="19">
        <v>0.0</v>
      </c>
      <c r="AE147" s="19"/>
      <c r="AF147" s="13">
        <f t="shared" si="30"/>
        <v>0</v>
      </c>
      <c r="AG147" s="5"/>
      <c r="AH147" s="5"/>
    </row>
    <row r="148" ht="12.75" customHeight="1">
      <c r="A148" s="18"/>
      <c r="B148" s="55">
        <v>7.0</v>
      </c>
      <c r="C148" s="50" t="s">
        <v>111</v>
      </c>
      <c r="D148" s="57"/>
      <c r="E148" s="19"/>
      <c r="F148" s="19">
        <v>0.0</v>
      </c>
      <c r="G148" s="19"/>
      <c r="H148" s="19">
        <v>0.0</v>
      </c>
      <c r="I148" s="19">
        <v>0.0</v>
      </c>
      <c r="J148" s="19"/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/>
      <c r="AA148" s="19">
        <v>0.0</v>
      </c>
      <c r="AB148" s="19">
        <v>0.0</v>
      </c>
      <c r="AC148" s="19">
        <v>0.0</v>
      </c>
      <c r="AD148" s="19">
        <v>0.0</v>
      </c>
      <c r="AE148" s="19"/>
      <c r="AF148" s="13">
        <f t="shared" si="30"/>
        <v>0</v>
      </c>
      <c r="AG148" s="5"/>
      <c r="AH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73"/>
      <c r="AG149" s="5"/>
      <c r="AH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73"/>
      <c r="AG150" s="5"/>
      <c r="AH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E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>SUM(E151:AE151)</f>
        <v>1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13"/>
      <c r="AG152" s="52"/>
      <c r="AH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1.0</v>
      </c>
      <c r="F153" s="19">
        <v>1.0</v>
      </c>
      <c r="G153" s="19"/>
      <c r="H153" s="19">
        <v>1.0</v>
      </c>
      <c r="I153" s="19">
        <v>1.0</v>
      </c>
      <c r="J153" s="19">
        <v>3.0</v>
      </c>
      <c r="K153" s="19">
        <v>3.0</v>
      </c>
      <c r="L153" s="19">
        <v>0.0</v>
      </c>
      <c r="M153" s="19"/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/>
      <c r="AA153" s="19">
        <v>1.0</v>
      </c>
      <c r="AB153" s="19">
        <v>0.0</v>
      </c>
      <c r="AC153" s="19">
        <v>0.0</v>
      </c>
      <c r="AD153" s="19">
        <v>0.0</v>
      </c>
      <c r="AE153" s="19"/>
      <c r="AF153" s="13">
        <f t="shared" ref="AF153:AF157" si="32">SUM(E153:AE153)</f>
        <v>12</v>
      </c>
      <c r="AG153" s="5"/>
      <c r="AH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/>
      <c r="F154" s="19">
        <v>1.0</v>
      </c>
      <c r="G154" s="19"/>
      <c r="H154" s="19">
        <v>0.0</v>
      </c>
      <c r="I154" s="19">
        <v>0.0</v>
      </c>
      <c r="J154" s="19">
        <v>2.0</v>
      </c>
      <c r="K154" s="19">
        <v>0.0</v>
      </c>
      <c r="L154" s="19">
        <v>0.0</v>
      </c>
      <c r="M154" s="19"/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/>
      <c r="AA154" s="19">
        <v>0.0</v>
      </c>
      <c r="AB154" s="19">
        <v>0.0</v>
      </c>
      <c r="AC154" s="19">
        <v>0.0</v>
      </c>
      <c r="AD154" s="19">
        <v>0.0</v>
      </c>
      <c r="AE154" s="19"/>
      <c r="AF154" s="13">
        <f t="shared" si="32"/>
        <v>4</v>
      </c>
      <c r="AG154" s="5"/>
      <c r="AH154" s="5"/>
    </row>
    <row r="155" ht="12.75" customHeight="1">
      <c r="A155" s="18"/>
      <c r="B155" s="55">
        <v>2.0</v>
      </c>
      <c r="C155" s="59" t="s">
        <v>115</v>
      </c>
      <c r="D155" s="57"/>
      <c r="E155" s="19">
        <v>1.0</v>
      </c>
      <c r="F155" s="19">
        <v>0.0</v>
      </c>
      <c r="G155" s="19"/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/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/>
      <c r="AA155" s="19">
        <v>0.0</v>
      </c>
      <c r="AB155" s="19">
        <v>0.0</v>
      </c>
      <c r="AC155" s="19">
        <v>0.0</v>
      </c>
      <c r="AD155" s="19">
        <v>0.0</v>
      </c>
      <c r="AE155" s="19"/>
      <c r="AF155" s="13">
        <f t="shared" si="32"/>
        <v>2</v>
      </c>
      <c r="AG155" s="5"/>
      <c r="AH155" s="5"/>
    </row>
    <row r="156" ht="12.75" customHeight="1">
      <c r="A156" s="18"/>
      <c r="B156" s="55">
        <v>3.0</v>
      </c>
      <c r="C156" s="59" t="s">
        <v>116</v>
      </c>
      <c r="D156" s="57"/>
      <c r="E156" s="19"/>
      <c r="F156" s="19">
        <v>0.0</v>
      </c>
      <c r="G156" s="19"/>
      <c r="H156" s="19">
        <v>0.0</v>
      </c>
      <c r="I156" s="19">
        <v>1.0</v>
      </c>
      <c r="J156" s="19">
        <v>1.0</v>
      </c>
      <c r="K156" s="19">
        <v>1.0</v>
      </c>
      <c r="L156" s="19">
        <v>0.0</v>
      </c>
      <c r="M156" s="19"/>
      <c r="N156" s="19">
        <v>0.0</v>
      </c>
      <c r="O156" s="19">
        <v>1.0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/>
      <c r="AA156" s="19">
        <v>0.0</v>
      </c>
      <c r="AB156" s="19">
        <v>0.0</v>
      </c>
      <c r="AC156" s="19">
        <v>0.0</v>
      </c>
      <c r="AD156" s="19">
        <v>0.0</v>
      </c>
      <c r="AE156" s="19"/>
      <c r="AF156" s="13">
        <f t="shared" si="32"/>
        <v>4</v>
      </c>
      <c r="AG156" s="5"/>
      <c r="AH156" s="5"/>
    </row>
    <row r="157" ht="12.75" customHeight="1">
      <c r="A157" s="18"/>
      <c r="B157" s="55">
        <v>4.0</v>
      </c>
      <c r="C157" s="59" t="s">
        <v>117</v>
      </c>
      <c r="D157" s="57"/>
      <c r="E157" s="19"/>
      <c r="F157" s="19">
        <v>0.0</v>
      </c>
      <c r="G157" s="19"/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/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/>
      <c r="AA157" s="19">
        <v>0.0</v>
      </c>
      <c r="AB157" s="19">
        <v>0.0</v>
      </c>
      <c r="AC157" s="19">
        <v>0.0</v>
      </c>
      <c r="AD157" s="19">
        <v>0.0</v>
      </c>
      <c r="AE157" s="19"/>
      <c r="AF157" s="13">
        <f t="shared" si="32"/>
        <v>1</v>
      </c>
      <c r="AG157" s="5"/>
      <c r="AH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73"/>
      <c r="AG158" s="5"/>
      <c r="AH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73"/>
      <c r="AG159" s="5"/>
      <c r="AH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73"/>
      <c r="AG160" s="5"/>
      <c r="AH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73"/>
      <c r="AG161" s="5"/>
      <c r="AH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73"/>
      <c r="AG162" s="5"/>
      <c r="AH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AE163" si="33">SUM(E153:E157)</f>
        <v>2</v>
      </c>
      <c r="F163" s="13">
        <f t="shared" si="33"/>
        <v>2</v>
      </c>
      <c r="G163" s="13">
        <f t="shared" si="33"/>
        <v>0</v>
      </c>
      <c r="H163" s="13">
        <f t="shared" si="33"/>
        <v>1</v>
      </c>
      <c r="I163" s="13">
        <f t="shared" si="33"/>
        <v>2</v>
      </c>
      <c r="J163" s="13">
        <f t="shared" si="33"/>
        <v>7</v>
      </c>
      <c r="K163" s="13">
        <f t="shared" si="33"/>
        <v>5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>SUM(E163:AE163)</f>
        <v>23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5"/>
      <c r="AH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/>
      <c r="F165" s="19">
        <v>0.0</v>
      </c>
      <c r="G165" s="19"/>
      <c r="H165" s="19">
        <v>0.0</v>
      </c>
      <c r="I165" s="19">
        <v>0.0</v>
      </c>
      <c r="J165" s="19">
        <v>0.0</v>
      </c>
      <c r="K165" s="19">
        <v>1.0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/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/>
      <c r="AA165" s="19">
        <v>0.0</v>
      </c>
      <c r="AB165" s="19">
        <v>0.0</v>
      </c>
      <c r="AC165" s="19">
        <v>0.0</v>
      </c>
      <c r="AD165" s="19">
        <v>0.0</v>
      </c>
      <c r="AE165" s="19"/>
      <c r="AF165" s="13">
        <f t="shared" ref="AF165:AF172" si="34">SUM(E165:AE165)</f>
        <v>2</v>
      </c>
      <c r="AG165" s="1"/>
      <c r="AH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/>
      <c r="F166" s="19">
        <v>0.0</v>
      </c>
      <c r="G166" s="19"/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/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/>
      <c r="AA166" s="19">
        <v>0.0</v>
      </c>
      <c r="AB166" s="19">
        <v>0.0</v>
      </c>
      <c r="AC166" s="19">
        <v>0.0</v>
      </c>
      <c r="AD166" s="19">
        <v>0.0</v>
      </c>
      <c r="AE166" s="19"/>
      <c r="AF166" s="13">
        <f t="shared" si="34"/>
        <v>1</v>
      </c>
      <c r="AG166" s="52"/>
      <c r="AH166" s="52"/>
    </row>
    <row r="167" ht="12.75" customHeight="1">
      <c r="A167" s="18"/>
      <c r="B167" s="55">
        <v>2.0</v>
      </c>
      <c r="C167" s="50" t="s">
        <v>121</v>
      </c>
      <c r="D167" s="57"/>
      <c r="E167" s="19"/>
      <c r="F167" s="19">
        <v>0.0</v>
      </c>
      <c r="G167" s="19"/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/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/>
      <c r="AA167" s="19">
        <v>0.0</v>
      </c>
      <c r="AB167" s="19">
        <v>0.0</v>
      </c>
      <c r="AC167" s="19">
        <v>0.0</v>
      </c>
      <c r="AD167" s="19">
        <v>0.0</v>
      </c>
      <c r="AE167" s="19"/>
      <c r="AF167" s="13">
        <f t="shared" si="34"/>
        <v>1</v>
      </c>
      <c r="AG167" s="5"/>
      <c r="AH167" s="5"/>
    </row>
    <row r="168" ht="12.75" customHeight="1">
      <c r="A168" s="18"/>
      <c r="B168" s="55">
        <v>3.0</v>
      </c>
      <c r="C168" s="50" t="s">
        <v>122</v>
      </c>
      <c r="D168" s="57"/>
      <c r="E168" s="19"/>
      <c r="F168" s="19">
        <v>0.0</v>
      </c>
      <c r="G168" s="19"/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/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/>
      <c r="AA168" s="19">
        <v>0.0</v>
      </c>
      <c r="AB168" s="19">
        <v>0.0</v>
      </c>
      <c r="AC168" s="19">
        <v>0.0</v>
      </c>
      <c r="AD168" s="19">
        <v>1.0</v>
      </c>
      <c r="AE168" s="19"/>
      <c r="AF168" s="13">
        <f t="shared" si="34"/>
        <v>2</v>
      </c>
      <c r="AG168" s="5"/>
      <c r="AH168" s="5"/>
    </row>
    <row r="169" ht="12.75" customHeight="1">
      <c r="A169" s="18"/>
      <c r="B169" s="55">
        <v>4.0</v>
      </c>
      <c r="C169" s="50" t="s">
        <v>123</v>
      </c>
      <c r="D169" s="57"/>
      <c r="E169" s="19"/>
      <c r="F169" s="19">
        <v>0.0</v>
      </c>
      <c r="G169" s="19"/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/>
      <c r="U169" s="19">
        <v>0.0</v>
      </c>
      <c r="V169" s="19">
        <v>0.0</v>
      </c>
      <c r="W169" s="19">
        <v>1.0</v>
      </c>
      <c r="X169" s="19">
        <v>0.0</v>
      </c>
      <c r="Y169" s="19">
        <v>0.0</v>
      </c>
      <c r="Z169" s="19"/>
      <c r="AA169" s="19">
        <v>0.0</v>
      </c>
      <c r="AB169" s="19">
        <v>0.0</v>
      </c>
      <c r="AC169" s="19">
        <v>0.0</v>
      </c>
      <c r="AD169" s="19">
        <v>0.0</v>
      </c>
      <c r="AE169" s="19"/>
      <c r="AF169" s="13">
        <f t="shared" si="34"/>
        <v>1</v>
      </c>
      <c r="AG169" s="5"/>
      <c r="AH169" s="5"/>
    </row>
    <row r="170" ht="12.75" customHeight="1">
      <c r="A170" s="18"/>
      <c r="B170" s="55">
        <v>5.0</v>
      </c>
      <c r="C170" s="50" t="s">
        <v>124</v>
      </c>
      <c r="D170" s="57"/>
      <c r="E170" s="19"/>
      <c r="F170" s="19">
        <v>0.0</v>
      </c>
      <c r="G170" s="19"/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/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/>
      <c r="AA170" s="19">
        <v>0.0</v>
      </c>
      <c r="AB170" s="19">
        <v>0.0</v>
      </c>
      <c r="AC170" s="19">
        <v>0.0</v>
      </c>
      <c r="AD170" s="19">
        <v>0.0</v>
      </c>
      <c r="AE170" s="19"/>
      <c r="AF170" s="13">
        <f t="shared" si="34"/>
        <v>0</v>
      </c>
      <c r="AG170" s="5"/>
      <c r="AH170" s="5"/>
    </row>
    <row r="171" ht="12.75" customHeight="1">
      <c r="A171" s="18"/>
      <c r="B171" s="55">
        <v>6.0</v>
      </c>
      <c r="C171" s="50" t="s">
        <v>125</v>
      </c>
      <c r="D171" s="57"/>
      <c r="E171" s="19"/>
      <c r="F171" s="19">
        <v>0.0</v>
      </c>
      <c r="G171" s="19"/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/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/>
      <c r="AA171" s="19">
        <v>0.0</v>
      </c>
      <c r="AB171" s="19">
        <v>0.0</v>
      </c>
      <c r="AC171" s="19">
        <v>0.0</v>
      </c>
      <c r="AD171" s="19">
        <v>0.0</v>
      </c>
      <c r="AE171" s="19"/>
      <c r="AF171" s="13">
        <f t="shared" si="34"/>
        <v>0</v>
      </c>
      <c r="AG171" s="5"/>
      <c r="AH171" s="5"/>
    </row>
    <row r="172" ht="12.75" customHeight="1">
      <c r="A172" s="18"/>
      <c r="B172" s="55">
        <v>7.0</v>
      </c>
      <c r="C172" s="50" t="s">
        <v>126</v>
      </c>
      <c r="D172" s="57"/>
      <c r="E172" s="19"/>
      <c r="F172" s="19">
        <v>0.0</v>
      </c>
      <c r="G172" s="19"/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/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/>
      <c r="AA172" s="19">
        <v>0.0</v>
      </c>
      <c r="AB172" s="19">
        <v>0.0</v>
      </c>
      <c r="AC172" s="19">
        <v>0.0</v>
      </c>
      <c r="AD172" s="19">
        <v>0.0</v>
      </c>
      <c r="AE172" s="19"/>
      <c r="AF172" s="13">
        <f t="shared" si="34"/>
        <v>0</v>
      </c>
      <c r="AG172" s="5"/>
      <c r="AH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73"/>
      <c r="AG173" s="5"/>
      <c r="AH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73"/>
      <c r="AG174" s="5"/>
      <c r="AH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E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2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>SUM(E175:AE175)</f>
        <v>7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1"/>
      <c r="AH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/>
      <c r="F177" s="19">
        <v>0.0</v>
      </c>
      <c r="G177" s="19">
        <v>1.0</v>
      </c>
      <c r="H177" s="19">
        <v>1.0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1.0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/>
      <c r="U177" s="19">
        <v>0.0</v>
      </c>
      <c r="V177" s="19">
        <v>0.0</v>
      </c>
      <c r="W177" s="19">
        <v>1.0</v>
      </c>
      <c r="X177" s="19">
        <v>0.0</v>
      </c>
      <c r="Y177" s="19">
        <v>3.0</v>
      </c>
      <c r="Z177" s="19">
        <v>1.0</v>
      </c>
      <c r="AA177" s="19">
        <v>0.0</v>
      </c>
      <c r="AB177" s="19">
        <v>0.0</v>
      </c>
      <c r="AC177" s="19">
        <v>0.0</v>
      </c>
      <c r="AD177" s="19">
        <v>0.0</v>
      </c>
      <c r="AE177" s="19"/>
      <c r="AF177" s="13">
        <f t="shared" ref="AF177:AF184" si="36">SUM(E177:AE177)</f>
        <v>9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1.0</v>
      </c>
      <c r="F178" s="19">
        <v>0.0</v>
      </c>
      <c r="G178" s="19">
        <v>2.0</v>
      </c>
      <c r="H178" s="19">
        <v>1.0</v>
      </c>
      <c r="I178" s="19">
        <v>1.0</v>
      </c>
      <c r="J178" s="19">
        <v>2.0</v>
      </c>
      <c r="K178" s="19">
        <v>0.0</v>
      </c>
      <c r="L178" s="19">
        <v>0.0</v>
      </c>
      <c r="M178" s="19"/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/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/>
      <c r="AF178" s="13">
        <f t="shared" si="36"/>
        <v>7</v>
      </c>
      <c r="AG178" s="5"/>
      <c r="AH178" s="5"/>
    </row>
    <row r="179" ht="12.75" customHeight="1">
      <c r="A179" s="18"/>
      <c r="B179" s="55">
        <v>2.0</v>
      </c>
      <c r="C179" s="50" t="s">
        <v>130</v>
      </c>
      <c r="D179" s="57"/>
      <c r="E179" s="19"/>
      <c r="F179" s="19">
        <v>0.0</v>
      </c>
      <c r="G179" s="19"/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/>
      <c r="N179" s="19">
        <v>1.0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/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/>
      <c r="AA179" s="19">
        <v>0.0</v>
      </c>
      <c r="AB179" s="19">
        <v>0.0</v>
      </c>
      <c r="AC179" s="19">
        <v>0.0</v>
      </c>
      <c r="AD179" s="19">
        <v>0.0</v>
      </c>
      <c r="AE179" s="19"/>
      <c r="AF179" s="13">
        <f t="shared" si="36"/>
        <v>3</v>
      </c>
      <c r="AG179" s="5"/>
      <c r="AH179" s="5"/>
    </row>
    <row r="180" ht="12.75" customHeight="1">
      <c r="A180" s="18"/>
      <c r="B180" s="55">
        <v>3.0</v>
      </c>
      <c r="C180" s="50" t="s">
        <v>131</v>
      </c>
      <c r="D180" s="57"/>
      <c r="E180" s="19"/>
      <c r="F180" s="19">
        <v>1.0</v>
      </c>
      <c r="G180" s="19"/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/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/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1.0</v>
      </c>
      <c r="AF180" s="13">
        <f t="shared" si="36"/>
        <v>4</v>
      </c>
      <c r="AG180" s="5"/>
      <c r="AH180" s="5"/>
    </row>
    <row r="181" ht="12.75" customHeight="1">
      <c r="A181" s="18"/>
      <c r="B181" s="55">
        <v>4.0</v>
      </c>
      <c r="C181" s="50" t="s">
        <v>132</v>
      </c>
      <c r="D181" s="57"/>
      <c r="E181" s="19"/>
      <c r="F181" s="19">
        <v>0.0</v>
      </c>
      <c r="G181" s="19"/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/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/>
      <c r="U181" s="19">
        <v>1.0</v>
      </c>
      <c r="V181" s="19">
        <v>1.0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9">
        <v>0.0</v>
      </c>
      <c r="AD181" s="19">
        <v>0.0</v>
      </c>
      <c r="AE181" s="19"/>
      <c r="AF181" s="13">
        <f t="shared" si="36"/>
        <v>4</v>
      </c>
      <c r="AG181" s="5"/>
      <c r="AH181" s="5"/>
    </row>
    <row r="182" ht="12.75" customHeight="1">
      <c r="A182" s="18"/>
      <c r="B182" s="55">
        <v>5.0</v>
      </c>
      <c r="C182" s="50" t="s">
        <v>133</v>
      </c>
      <c r="D182" s="57"/>
      <c r="E182" s="19"/>
      <c r="F182" s="19">
        <v>0.0</v>
      </c>
      <c r="G182" s="19"/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/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/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/>
      <c r="AA182" s="19">
        <v>0.0</v>
      </c>
      <c r="AB182" s="19">
        <v>0.0</v>
      </c>
      <c r="AC182" s="19">
        <v>0.0</v>
      </c>
      <c r="AD182" s="19">
        <v>0.0</v>
      </c>
      <c r="AE182" s="19"/>
      <c r="AF182" s="13">
        <f t="shared" si="36"/>
        <v>1</v>
      </c>
      <c r="AG182" s="5"/>
      <c r="AH182" s="5"/>
    </row>
    <row r="183" ht="12.75" customHeight="1">
      <c r="A183" s="18"/>
      <c r="B183" s="55">
        <v>6.0</v>
      </c>
      <c r="C183" s="50" t="s">
        <v>134</v>
      </c>
      <c r="D183" s="57"/>
      <c r="E183" s="19"/>
      <c r="F183" s="19">
        <v>0.0</v>
      </c>
      <c r="G183" s="19"/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/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/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/>
      <c r="AA183" s="19">
        <v>0.0</v>
      </c>
      <c r="AB183" s="19">
        <v>0.0</v>
      </c>
      <c r="AC183" s="19">
        <v>0.0</v>
      </c>
      <c r="AD183" s="19">
        <v>0.0</v>
      </c>
      <c r="AE183" s="19"/>
      <c r="AF183" s="13">
        <f t="shared" si="36"/>
        <v>0</v>
      </c>
      <c r="AG183" s="5"/>
      <c r="AH183" s="5"/>
    </row>
    <row r="184" ht="12.75" customHeight="1">
      <c r="A184" s="18"/>
      <c r="B184" s="55">
        <v>7.0</v>
      </c>
      <c r="C184" s="50" t="s">
        <v>135</v>
      </c>
      <c r="D184" s="57"/>
      <c r="E184" s="19"/>
      <c r="F184" s="19">
        <v>0.0</v>
      </c>
      <c r="G184" s="19"/>
      <c r="H184" s="19">
        <v>0.0</v>
      </c>
      <c r="I184" s="19">
        <v>0.0</v>
      </c>
      <c r="J184" s="19">
        <v>1.0</v>
      </c>
      <c r="K184" s="19">
        <v>1.0</v>
      </c>
      <c r="L184" s="19">
        <v>0.0</v>
      </c>
      <c r="M184" s="19"/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/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/>
      <c r="AA184" s="19">
        <v>0.0</v>
      </c>
      <c r="AB184" s="19">
        <v>0.0</v>
      </c>
      <c r="AC184" s="19">
        <v>0.0</v>
      </c>
      <c r="AD184" s="19">
        <v>0.0</v>
      </c>
      <c r="AE184" s="19"/>
      <c r="AF184" s="13">
        <f t="shared" si="36"/>
        <v>2</v>
      </c>
      <c r="AG184" s="5"/>
      <c r="AH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73"/>
      <c r="AG185" s="5"/>
      <c r="AH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73"/>
      <c r="AG186" s="5"/>
      <c r="AH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E187" si="37">SUM(E177:E184)</f>
        <v>1</v>
      </c>
      <c r="F187" s="13">
        <f t="shared" si="37"/>
        <v>1</v>
      </c>
      <c r="G187" s="13">
        <f t="shared" si="37"/>
        <v>3</v>
      </c>
      <c r="H187" s="13">
        <f t="shared" si="37"/>
        <v>2</v>
      </c>
      <c r="I187" s="13">
        <f t="shared" si="37"/>
        <v>2</v>
      </c>
      <c r="J187" s="13">
        <f t="shared" si="37"/>
        <v>4</v>
      </c>
      <c r="K187" s="13">
        <f t="shared" si="37"/>
        <v>2</v>
      </c>
      <c r="L187" s="13">
        <f t="shared" si="37"/>
        <v>0</v>
      </c>
      <c r="M187" s="13">
        <f t="shared" si="37"/>
        <v>0</v>
      </c>
      <c r="N187" s="13">
        <f t="shared" si="37"/>
        <v>2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1</v>
      </c>
      <c r="S187" s="13">
        <f t="shared" si="37"/>
        <v>0</v>
      </c>
      <c r="T187" s="13">
        <f t="shared" si="37"/>
        <v>0</v>
      </c>
      <c r="U187" s="13">
        <f t="shared" si="37"/>
        <v>1</v>
      </c>
      <c r="V187" s="13">
        <f t="shared" si="37"/>
        <v>1</v>
      </c>
      <c r="W187" s="13">
        <f t="shared" si="37"/>
        <v>1</v>
      </c>
      <c r="X187" s="13">
        <f t="shared" si="37"/>
        <v>0</v>
      </c>
      <c r="Y187" s="13">
        <f t="shared" si="37"/>
        <v>4</v>
      </c>
      <c r="Z187" s="13">
        <f t="shared" si="37"/>
        <v>3</v>
      </c>
      <c r="AA187" s="13">
        <f t="shared" si="37"/>
        <v>0</v>
      </c>
      <c r="AB187" s="13">
        <f t="shared" si="37"/>
        <v>0</v>
      </c>
      <c r="AC187" s="13">
        <f t="shared" si="37"/>
        <v>0</v>
      </c>
      <c r="AD187" s="13">
        <f t="shared" si="37"/>
        <v>0</v>
      </c>
      <c r="AE187" s="13">
        <f t="shared" si="37"/>
        <v>1</v>
      </c>
      <c r="AF187" s="13">
        <f>SUM(E187:AE187)</f>
        <v>30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/>
      <c r="F189" s="19">
        <v>0.0</v>
      </c>
      <c r="G189" s="19"/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/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/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/>
      <c r="AF189" s="13">
        <f t="shared" ref="AF189:AF196" si="38">SUM(E189:AE189)</f>
        <v>0</v>
      </c>
      <c r="AG189" s="5"/>
      <c r="AH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/>
      <c r="F190" s="19">
        <v>0.0</v>
      </c>
      <c r="G190" s="19"/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/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/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/>
      <c r="AF190" s="13">
        <f t="shared" si="38"/>
        <v>0</v>
      </c>
      <c r="AG190" s="5"/>
      <c r="AH190" s="5"/>
    </row>
    <row r="191" ht="12.75" customHeight="1">
      <c r="A191" s="18"/>
      <c r="B191" s="55">
        <v>2.0</v>
      </c>
      <c r="C191" s="50" t="s">
        <v>139</v>
      </c>
      <c r="D191" s="57"/>
      <c r="E191" s="19"/>
      <c r="F191" s="19">
        <v>0.0</v>
      </c>
      <c r="G191" s="19"/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/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/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/>
      <c r="AF191" s="13">
        <f t="shared" si="38"/>
        <v>0</v>
      </c>
      <c r="AG191" s="5"/>
      <c r="AH191" s="5"/>
    </row>
    <row r="192" ht="12.75" customHeight="1">
      <c r="A192" s="18"/>
      <c r="B192" s="55">
        <v>3.0</v>
      </c>
      <c r="C192" s="50" t="s">
        <v>140</v>
      </c>
      <c r="D192" s="57"/>
      <c r="E192" s="19"/>
      <c r="F192" s="19">
        <v>0.0</v>
      </c>
      <c r="G192" s="19"/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/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/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/>
      <c r="AF192" s="13">
        <f t="shared" si="38"/>
        <v>0</v>
      </c>
      <c r="AG192" s="5"/>
      <c r="AH192" s="5"/>
    </row>
    <row r="193" ht="12.75" customHeight="1">
      <c r="A193" s="18"/>
      <c r="B193" s="55">
        <v>4.0</v>
      </c>
      <c r="C193" s="50" t="s">
        <v>141</v>
      </c>
      <c r="D193" s="57"/>
      <c r="E193" s="19"/>
      <c r="F193" s="19">
        <v>0.0</v>
      </c>
      <c r="G193" s="19"/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/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/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/>
      <c r="AF193" s="13">
        <f t="shared" si="38"/>
        <v>0</v>
      </c>
      <c r="AG193" s="5"/>
      <c r="AH193" s="5"/>
    </row>
    <row r="194" ht="12.75" customHeight="1">
      <c r="A194" s="18"/>
      <c r="B194" s="55">
        <v>5.0</v>
      </c>
      <c r="C194" s="50" t="s">
        <v>142</v>
      </c>
      <c r="D194" s="57"/>
      <c r="E194" s="19"/>
      <c r="F194" s="19">
        <v>0.0</v>
      </c>
      <c r="G194" s="19"/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/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/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/>
      <c r="AF194" s="13">
        <f t="shared" si="38"/>
        <v>0</v>
      </c>
      <c r="AG194" s="5"/>
      <c r="AH194" s="5"/>
    </row>
    <row r="195" ht="12.75" customHeight="1">
      <c r="A195" s="18"/>
      <c r="B195" s="55">
        <v>6.0</v>
      </c>
      <c r="C195" s="50" t="s">
        <v>143</v>
      </c>
      <c r="D195" s="57"/>
      <c r="E195" s="19"/>
      <c r="F195" s="19">
        <v>0.0</v>
      </c>
      <c r="G195" s="19"/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/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/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/>
      <c r="AF195" s="13">
        <f t="shared" si="38"/>
        <v>0</v>
      </c>
      <c r="AG195" s="5"/>
      <c r="AH195" s="5"/>
    </row>
    <row r="196" ht="12.75" customHeight="1">
      <c r="A196" s="18"/>
      <c r="B196" s="55">
        <v>7.0</v>
      </c>
      <c r="C196" s="50" t="s">
        <v>144</v>
      </c>
      <c r="D196" s="57"/>
      <c r="E196" s="19"/>
      <c r="F196" s="19">
        <v>0.0</v>
      </c>
      <c r="G196" s="19"/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/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/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/>
      <c r="AF196" s="13">
        <f t="shared" si="38"/>
        <v>0</v>
      </c>
      <c r="AG196" s="1"/>
      <c r="AH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73"/>
      <c r="AG197" s="1"/>
      <c r="AH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73"/>
      <c r="AG198" s="1"/>
      <c r="AH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E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>SUM(E199:AE199)</f>
        <v>0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5"/>
      <c r="AH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1.0</v>
      </c>
      <c r="F201" s="19">
        <v>1.0</v>
      </c>
      <c r="G201" s="19">
        <v>5.0</v>
      </c>
      <c r="H201" s="19">
        <v>1.0</v>
      </c>
      <c r="I201" s="19">
        <v>2.0</v>
      </c>
      <c r="J201" s="19">
        <v>7.0</v>
      </c>
      <c r="K201" s="19">
        <v>18.0</v>
      </c>
      <c r="L201" s="19">
        <v>0.0</v>
      </c>
      <c r="M201" s="19">
        <v>1.0</v>
      </c>
      <c r="N201" s="19">
        <v>3.0</v>
      </c>
      <c r="O201" s="19">
        <v>0.0</v>
      </c>
      <c r="P201" s="19">
        <v>2.0</v>
      </c>
      <c r="Q201" s="19">
        <v>1.0</v>
      </c>
      <c r="R201" s="19">
        <v>1.0</v>
      </c>
      <c r="S201" s="19">
        <v>2.0</v>
      </c>
      <c r="T201" s="19">
        <v>2.0</v>
      </c>
      <c r="U201" s="19">
        <v>6.0</v>
      </c>
      <c r="V201" s="19">
        <v>2.0</v>
      </c>
      <c r="W201" s="19">
        <v>3.0</v>
      </c>
      <c r="X201" s="19">
        <v>1.0</v>
      </c>
      <c r="Y201" s="19">
        <v>4.0</v>
      </c>
      <c r="Z201" s="19">
        <v>0.0</v>
      </c>
      <c r="AA201" s="19">
        <v>6.0</v>
      </c>
      <c r="AB201" s="19">
        <v>2.0</v>
      </c>
      <c r="AC201" s="19">
        <v>6.0</v>
      </c>
      <c r="AD201" s="19">
        <v>5.0</v>
      </c>
      <c r="AE201" s="19">
        <v>4.0</v>
      </c>
      <c r="AF201" s="13">
        <f t="shared" ref="AF201:AF208" si="40">SUM(E201:AE201)</f>
        <v>86</v>
      </c>
      <c r="AG201" s="5"/>
      <c r="AH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2.0</v>
      </c>
      <c r="F202" s="19">
        <v>1.0</v>
      </c>
      <c r="G202" s="19">
        <v>6.0</v>
      </c>
      <c r="H202" s="19">
        <v>3.0</v>
      </c>
      <c r="I202" s="19">
        <v>0.0</v>
      </c>
      <c r="J202" s="19">
        <v>1.0</v>
      </c>
      <c r="K202" s="19">
        <v>20.0</v>
      </c>
      <c r="L202" s="19">
        <v>1.0</v>
      </c>
      <c r="M202" s="19">
        <v>2.0</v>
      </c>
      <c r="N202" s="19">
        <v>2.0</v>
      </c>
      <c r="O202" s="19">
        <v>2.0</v>
      </c>
      <c r="P202" s="19">
        <v>4.0</v>
      </c>
      <c r="Q202" s="19">
        <v>5.0</v>
      </c>
      <c r="R202" s="19">
        <v>4.0</v>
      </c>
      <c r="S202" s="19">
        <v>0.0</v>
      </c>
      <c r="T202" s="19">
        <v>1.0</v>
      </c>
      <c r="U202" s="19">
        <v>3.0</v>
      </c>
      <c r="V202" s="19">
        <v>6.0</v>
      </c>
      <c r="W202" s="19">
        <v>4.0</v>
      </c>
      <c r="X202" s="19">
        <v>2.0</v>
      </c>
      <c r="Y202" s="19">
        <v>1.0</v>
      </c>
      <c r="Z202" s="19">
        <v>0.0</v>
      </c>
      <c r="AA202" s="19">
        <v>3.0</v>
      </c>
      <c r="AB202" s="19">
        <v>0.0</v>
      </c>
      <c r="AC202" s="19">
        <v>6.0</v>
      </c>
      <c r="AD202" s="19">
        <v>4.0</v>
      </c>
      <c r="AE202" s="19">
        <v>6.0</v>
      </c>
      <c r="AF202" s="13">
        <f t="shared" si="40"/>
        <v>89</v>
      </c>
      <c r="AG202" s="5"/>
      <c r="AH202" s="5"/>
    </row>
    <row r="203" ht="12.75" customHeight="1">
      <c r="A203" s="18"/>
      <c r="B203" s="55">
        <v>2.0</v>
      </c>
      <c r="C203" s="50" t="s">
        <v>148</v>
      </c>
      <c r="D203" s="57"/>
      <c r="E203" s="19">
        <v>1.0</v>
      </c>
      <c r="F203" s="19">
        <v>2.0</v>
      </c>
      <c r="G203" s="19"/>
      <c r="H203" s="19">
        <v>1.0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1.0</v>
      </c>
      <c r="O203" s="19">
        <v>2.0</v>
      </c>
      <c r="P203" s="19">
        <v>0.0</v>
      </c>
      <c r="Q203" s="19">
        <v>1.0</v>
      </c>
      <c r="R203" s="19">
        <v>2.0</v>
      </c>
      <c r="S203" s="19">
        <v>1.0</v>
      </c>
      <c r="T203" s="19"/>
      <c r="U203" s="19">
        <v>1.0</v>
      </c>
      <c r="V203" s="19">
        <v>2.0</v>
      </c>
      <c r="W203" s="19">
        <v>3.0</v>
      </c>
      <c r="X203" s="19">
        <v>0.0</v>
      </c>
      <c r="Y203" s="19">
        <v>1.0</v>
      </c>
      <c r="Z203" s="19">
        <v>0.0</v>
      </c>
      <c r="AA203" s="19">
        <v>0.0</v>
      </c>
      <c r="AB203" s="19">
        <v>0.0</v>
      </c>
      <c r="AC203" s="19">
        <v>1.0</v>
      </c>
      <c r="AD203" s="19">
        <v>0.0</v>
      </c>
      <c r="AE203" s="19">
        <v>1.0</v>
      </c>
      <c r="AF203" s="13">
        <f t="shared" si="40"/>
        <v>20</v>
      </c>
      <c r="AG203" s="5"/>
      <c r="AH203" s="5"/>
    </row>
    <row r="204" ht="12.75" customHeight="1">
      <c r="A204" s="18"/>
      <c r="B204" s="55">
        <v>3.0</v>
      </c>
      <c r="C204" s="50" t="s">
        <v>149</v>
      </c>
      <c r="D204" s="57"/>
      <c r="E204" s="19"/>
      <c r="F204" s="19">
        <v>0.0</v>
      </c>
      <c r="G204" s="19">
        <v>1.0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1.0</v>
      </c>
      <c r="T204" s="19"/>
      <c r="U204" s="19">
        <v>0.0</v>
      </c>
      <c r="V204" s="19">
        <v>0.0</v>
      </c>
      <c r="W204" s="19">
        <v>1.0</v>
      </c>
      <c r="X204" s="19">
        <v>0.0</v>
      </c>
      <c r="Y204" s="19">
        <v>1.0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/>
      <c r="AF204" s="13">
        <f t="shared" si="40"/>
        <v>5</v>
      </c>
      <c r="AG204" s="5"/>
      <c r="AH204" s="5"/>
    </row>
    <row r="205" ht="12.75" customHeight="1">
      <c r="A205" s="18"/>
      <c r="B205" s="55">
        <v>4.0</v>
      </c>
      <c r="C205" s="50" t="s">
        <v>150</v>
      </c>
      <c r="D205" s="57"/>
      <c r="E205" s="19"/>
      <c r="F205" s="19">
        <v>1.0</v>
      </c>
      <c r="G205" s="19"/>
      <c r="H205" s="19">
        <v>1.0</v>
      </c>
      <c r="I205" s="19">
        <v>0.0</v>
      </c>
      <c r="J205" s="19">
        <v>1.0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4.0</v>
      </c>
      <c r="R205" s="19">
        <v>0.0</v>
      </c>
      <c r="S205" s="19">
        <v>0.0</v>
      </c>
      <c r="T205" s="19"/>
      <c r="U205" s="19">
        <v>0.0</v>
      </c>
      <c r="V205" s="19">
        <v>1.0</v>
      </c>
      <c r="W205" s="19">
        <v>1.0</v>
      </c>
      <c r="X205" s="19">
        <v>1.0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4.0</v>
      </c>
      <c r="AF205" s="13">
        <f t="shared" si="40"/>
        <v>15</v>
      </c>
      <c r="AG205" s="5"/>
      <c r="AH205" s="5"/>
    </row>
    <row r="206" ht="12.75" customHeight="1">
      <c r="A206" s="18"/>
      <c r="B206" s="55">
        <v>5.0</v>
      </c>
      <c r="C206" s="50" t="s">
        <v>151</v>
      </c>
      <c r="D206" s="57"/>
      <c r="E206" s="19"/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2.0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/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/>
      <c r="AF206" s="13">
        <f t="shared" si="40"/>
        <v>4</v>
      </c>
      <c r="AG206" s="5"/>
      <c r="AH206" s="5"/>
    </row>
    <row r="207" ht="12.75" customHeight="1">
      <c r="A207" s="18"/>
      <c r="B207" s="55">
        <v>6.0</v>
      </c>
      <c r="C207" s="50" t="s">
        <v>152</v>
      </c>
      <c r="D207" s="57"/>
      <c r="E207" s="19"/>
      <c r="F207" s="19">
        <v>0.0</v>
      </c>
      <c r="G207" s="19"/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3.0</v>
      </c>
      <c r="P207" s="19">
        <v>0.0</v>
      </c>
      <c r="Q207" s="19">
        <v>0.0</v>
      </c>
      <c r="R207" s="19">
        <v>0.0</v>
      </c>
      <c r="S207" s="19">
        <v>0.0</v>
      </c>
      <c r="T207" s="19"/>
      <c r="U207" s="19">
        <v>0.0</v>
      </c>
      <c r="V207" s="19">
        <v>1.0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1.0</v>
      </c>
      <c r="AD207" s="19">
        <v>1.0</v>
      </c>
      <c r="AE207" s="19"/>
      <c r="AF207" s="13">
        <f t="shared" si="40"/>
        <v>6</v>
      </c>
      <c r="AG207" s="1"/>
      <c r="AH207" s="1"/>
    </row>
    <row r="208" ht="12.75" customHeight="1">
      <c r="A208" s="18"/>
      <c r="B208" s="55">
        <v>7.0</v>
      </c>
      <c r="C208" s="50" t="s">
        <v>153</v>
      </c>
      <c r="D208" s="57"/>
      <c r="E208" s="19"/>
      <c r="F208" s="19">
        <v>0.0</v>
      </c>
      <c r="G208" s="19"/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/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1.0</v>
      </c>
      <c r="AE208" s="19">
        <v>1.0</v>
      </c>
      <c r="AF208" s="13">
        <f t="shared" si="40"/>
        <v>5</v>
      </c>
      <c r="AG208" s="52"/>
      <c r="AH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73"/>
      <c r="AG209" s="52"/>
      <c r="AH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73"/>
      <c r="AG210" s="52"/>
      <c r="AH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E211" si="41">SUM(E201:E208)</f>
        <v>4</v>
      </c>
      <c r="F211" s="13">
        <f t="shared" si="41"/>
        <v>5</v>
      </c>
      <c r="G211" s="13">
        <f t="shared" si="41"/>
        <v>13</v>
      </c>
      <c r="H211" s="13">
        <f t="shared" si="41"/>
        <v>6</v>
      </c>
      <c r="I211" s="13">
        <f t="shared" si="41"/>
        <v>3</v>
      </c>
      <c r="J211" s="13">
        <f t="shared" si="41"/>
        <v>9</v>
      </c>
      <c r="K211" s="13">
        <f t="shared" si="41"/>
        <v>42</v>
      </c>
      <c r="L211" s="13">
        <f t="shared" si="41"/>
        <v>1</v>
      </c>
      <c r="M211" s="13">
        <f t="shared" si="41"/>
        <v>3</v>
      </c>
      <c r="N211" s="13">
        <f t="shared" si="41"/>
        <v>7</v>
      </c>
      <c r="O211" s="13">
        <f t="shared" si="41"/>
        <v>7</v>
      </c>
      <c r="P211" s="13">
        <f t="shared" si="41"/>
        <v>6</v>
      </c>
      <c r="Q211" s="13">
        <f t="shared" si="41"/>
        <v>11</v>
      </c>
      <c r="R211" s="13">
        <f t="shared" si="41"/>
        <v>7</v>
      </c>
      <c r="S211" s="13">
        <f t="shared" si="41"/>
        <v>5</v>
      </c>
      <c r="T211" s="13">
        <f t="shared" si="41"/>
        <v>3</v>
      </c>
      <c r="U211" s="13">
        <f t="shared" si="41"/>
        <v>10</v>
      </c>
      <c r="V211" s="13">
        <f t="shared" si="41"/>
        <v>12</v>
      </c>
      <c r="W211" s="13">
        <f t="shared" si="41"/>
        <v>12</v>
      </c>
      <c r="X211" s="13">
        <f t="shared" si="41"/>
        <v>4</v>
      </c>
      <c r="Y211" s="13">
        <f t="shared" si="41"/>
        <v>8</v>
      </c>
      <c r="Z211" s="13">
        <f t="shared" si="41"/>
        <v>0</v>
      </c>
      <c r="AA211" s="13">
        <f t="shared" si="41"/>
        <v>9</v>
      </c>
      <c r="AB211" s="13">
        <f t="shared" si="41"/>
        <v>2</v>
      </c>
      <c r="AC211" s="13">
        <f t="shared" si="41"/>
        <v>14</v>
      </c>
      <c r="AD211" s="13">
        <f t="shared" si="41"/>
        <v>11</v>
      </c>
      <c r="AE211" s="13">
        <f t="shared" si="41"/>
        <v>16</v>
      </c>
      <c r="AF211" s="13">
        <f>SUM(E211:AE211)</f>
        <v>230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5"/>
      <c r="AH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1.0</v>
      </c>
      <c r="F213" s="19">
        <v>0.0</v>
      </c>
      <c r="G213" s="19"/>
      <c r="H213" s="19">
        <v>0.0</v>
      </c>
      <c r="I213" s="19">
        <v>1.0</v>
      </c>
      <c r="J213" s="19">
        <v>4.0</v>
      </c>
      <c r="K213" s="19">
        <v>0.0</v>
      </c>
      <c r="L213" s="19">
        <v>1.0</v>
      </c>
      <c r="M213" s="19">
        <v>2.0</v>
      </c>
      <c r="N213" s="19">
        <v>2.0</v>
      </c>
      <c r="O213" s="19">
        <v>3.0</v>
      </c>
      <c r="P213" s="19">
        <v>6.0</v>
      </c>
      <c r="Q213" s="19">
        <v>1.0</v>
      </c>
      <c r="R213" s="19">
        <v>4.0</v>
      </c>
      <c r="S213" s="19">
        <v>1.0</v>
      </c>
      <c r="T213" s="19"/>
      <c r="U213" s="19">
        <v>1.0</v>
      </c>
      <c r="V213" s="19">
        <v>1.0</v>
      </c>
      <c r="W213" s="19">
        <v>1.0</v>
      </c>
      <c r="X213" s="19">
        <v>1.0</v>
      </c>
      <c r="Y213" s="19">
        <v>0.0</v>
      </c>
      <c r="Z213" s="19">
        <v>0.0</v>
      </c>
      <c r="AA213" s="19">
        <v>0.0</v>
      </c>
      <c r="AB213" s="19">
        <v>1.0</v>
      </c>
      <c r="AC213" s="19">
        <v>0.0</v>
      </c>
      <c r="AD213" s="19">
        <v>3.0</v>
      </c>
      <c r="AE213" s="19">
        <v>3.0</v>
      </c>
      <c r="AF213" s="13">
        <f t="shared" ref="AF213:AF220" si="42">SUM(E213:AE213)</f>
        <v>37</v>
      </c>
      <c r="AG213" s="5"/>
      <c r="AH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/>
      <c r="F214" s="19">
        <v>1.0</v>
      </c>
      <c r="G214" s="19"/>
      <c r="H214" s="19">
        <v>1.0</v>
      </c>
      <c r="I214" s="19">
        <v>1.0</v>
      </c>
      <c r="J214" s="19">
        <v>0.0</v>
      </c>
      <c r="K214" s="19">
        <v>1.0</v>
      </c>
      <c r="L214" s="19">
        <v>0.0</v>
      </c>
      <c r="M214" s="19">
        <v>1.0</v>
      </c>
      <c r="N214" s="19">
        <v>1.0</v>
      </c>
      <c r="O214" s="19">
        <v>0.0</v>
      </c>
      <c r="P214" s="19">
        <v>2.0</v>
      </c>
      <c r="Q214" s="19">
        <v>0.0</v>
      </c>
      <c r="R214" s="19">
        <v>2.0</v>
      </c>
      <c r="S214" s="19">
        <v>1.0</v>
      </c>
      <c r="T214" s="19"/>
      <c r="U214" s="19">
        <v>0.0</v>
      </c>
      <c r="V214" s="19">
        <v>1.0</v>
      </c>
      <c r="W214" s="19">
        <v>1.0</v>
      </c>
      <c r="X214" s="19">
        <v>0.0</v>
      </c>
      <c r="Y214" s="19">
        <v>1.0</v>
      </c>
      <c r="Z214" s="19">
        <v>1.0</v>
      </c>
      <c r="AA214" s="19">
        <v>0.0</v>
      </c>
      <c r="AB214" s="19">
        <v>4.0</v>
      </c>
      <c r="AC214" s="19">
        <v>0.0</v>
      </c>
      <c r="AD214" s="19">
        <v>3.0</v>
      </c>
      <c r="AE214" s="19">
        <v>1.0</v>
      </c>
      <c r="AF214" s="13">
        <f t="shared" si="42"/>
        <v>23</v>
      </c>
      <c r="AG214" s="5"/>
      <c r="AH214" s="5"/>
    </row>
    <row r="215" ht="12.75" customHeight="1">
      <c r="A215" s="18"/>
      <c r="B215" s="55">
        <v>2.0</v>
      </c>
      <c r="C215" s="50" t="s">
        <v>157</v>
      </c>
      <c r="D215" s="56"/>
      <c r="E215" s="19"/>
      <c r="F215" s="19">
        <v>0.0</v>
      </c>
      <c r="G215" s="19">
        <v>8.0</v>
      </c>
      <c r="H215" s="19">
        <v>10.0</v>
      </c>
      <c r="I215" s="19">
        <v>14.0</v>
      </c>
      <c r="J215" s="19">
        <v>20.0</v>
      </c>
      <c r="K215" s="19">
        <v>16.0</v>
      </c>
      <c r="L215" s="19">
        <v>61.0</v>
      </c>
      <c r="M215" s="19">
        <v>41.0</v>
      </c>
      <c r="N215" s="19">
        <v>28.0</v>
      </c>
      <c r="O215" s="19">
        <v>20.0</v>
      </c>
      <c r="P215" s="19">
        <v>9.0</v>
      </c>
      <c r="Q215" s="19">
        <v>8.0</v>
      </c>
      <c r="R215" s="19">
        <v>23.0</v>
      </c>
      <c r="S215" s="19">
        <v>6.0</v>
      </c>
      <c r="T215" s="19"/>
      <c r="U215" s="19">
        <v>2.0</v>
      </c>
      <c r="V215" s="19">
        <v>7.0</v>
      </c>
      <c r="W215" s="19">
        <v>3.0</v>
      </c>
      <c r="X215" s="19">
        <v>10.0</v>
      </c>
      <c r="Y215" s="19">
        <v>13.0</v>
      </c>
      <c r="Z215" s="19">
        <v>16.0</v>
      </c>
      <c r="AA215" s="19">
        <v>2.0</v>
      </c>
      <c r="AB215" s="19">
        <v>13.0</v>
      </c>
      <c r="AC215" s="19">
        <v>26.0</v>
      </c>
      <c r="AD215" s="19">
        <v>82.0</v>
      </c>
      <c r="AE215" s="19">
        <v>41.0</v>
      </c>
      <c r="AF215" s="13">
        <f t="shared" si="42"/>
        <v>479</v>
      </c>
      <c r="AG215" s="5"/>
      <c r="AH215" s="5"/>
    </row>
    <row r="216" ht="12.75" customHeight="1">
      <c r="A216" s="18"/>
      <c r="B216" s="55">
        <v>3.0</v>
      </c>
      <c r="C216" s="61" t="s">
        <v>158</v>
      </c>
      <c r="E216" s="19"/>
      <c r="F216" s="19">
        <v>0.0</v>
      </c>
      <c r="G216" s="19"/>
      <c r="H216" s="19">
        <v>0.0</v>
      </c>
      <c r="I216" s="19">
        <v>1.0</v>
      </c>
      <c r="J216" s="19">
        <v>0.0</v>
      </c>
      <c r="K216" s="19">
        <v>0.0</v>
      </c>
      <c r="L216" s="19">
        <v>1.0</v>
      </c>
      <c r="M216" s="19"/>
      <c r="N216" s="19">
        <v>0.0</v>
      </c>
      <c r="O216" s="19">
        <v>0.0</v>
      </c>
      <c r="P216" s="19">
        <v>0.0</v>
      </c>
      <c r="Q216" s="19">
        <v>2.0</v>
      </c>
      <c r="R216" s="19">
        <v>0.0</v>
      </c>
      <c r="S216" s="19">
        <v>0.0</v>
      </c>
      <c r="T216" s="19"/>
      <c r="U216" s="19">
        <v>0.0</v>
      </c>
      <c r="V216" s="19">
        <v>1.0</v>
      </c>
      <c r="W216" s="19">
        <v>1.0</v>
      </c>
      <c r="X216" s="19">
        <v>1.0</v>
      </c>
      <c r="Y216" s="19">
        <v>0.0</v>
      </c>
      <c r="Z216" s="19">
        <v>1.0</v>
      </c>
      <c r="AA216" s="19">
        <v>0.0</v>
      </c>
      <c r="AB216" s="19">
        <v>1.0</v>
      </c>
      <c r="AC216" s="19">
        <v>1.0</v>
      </c>
      <c r="AD216" s="19">
        <v>0.0</v>
      </c>
      <c r="AE216" s="19"/>
      <c r="AF216" s="13">
        <f t="shared" si="42"/>
        <v>10</v>
      </c>
      <c r="AG216" s="5"/>
      <c r="AH216" s="5"/>
    </row>
    <row r="217" ht="12.75" customHeight="1">
      <c r="A217" s="18"/>
      <c r="B217" s="55">
        <v>4.0</v>
      </c>
      <c r="C217" s="50" t="s">
        <v>159</v>
      </c>
      <c r="D217" s="56"/>
      <c r="E217" s="19"/>
      <c r="F217" s="19">
        <v>1.0</v>
      </c>
      <c r="G217" s="19"/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/>
      <c r="N217" s="19">
        <v>0.0</v>
      </c>
      <c r="O217" s="19">
        <v>0.0</v>
      </c>
      <c r="P217" s="19">
        <v>0.0</v>
      </c>
      <c r="Q217" s="19">
        <v>3.0</v>
      </c>
      <c r="R217" s="19">
        <v>0.0</v>
      </c>
      <c r="S217" s="19">
        <v>0.0</v>
      </c>
      <c r="T217" s="19"/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/>
      <c r="AF217" s="13">
        <f t="shared" si="42"/>
        <v>4</v>
      </c>
      <c r="AG217" s="5"/>
      <c r="AH217" s="5"/>
    </row>
    <row r="218" ht="12.75" customHeight="1">
      <c r="A218" s="18"/>
      <c r="B218" s="55">
        <v>5.0</v>
      </c>
      <c r="C218" s="50" t="s">
        <v>160</v>
      </c>
      <c r="D218" s="56"/>
      <c r="E218" s="19"/>
      <c r="F218" s="19">
        <v>0.0</v>
      </c>
      <c r="G218" s="19"/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/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/>
      <c r="U218" s="19">
        <v>0.0</v>
      </c>
      <c r="V218" s="19">
        <v>1.0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1.0</v>
      </c>
      <c r="AB218" s="19">
        <v>0.0</v>
      </c>
      <c r="AC218" s="19">
        <v>0.0</v>
      </c>
      <c r="AD218" s="19">
        <v>2.0</v>
      </c>
      <c r="AE218" s="19"/>
      <c r="AF218" s="13">
        <f t="shared" si="42"/>
        <v>4</v>
      </c>
      <c r="AG218" s="1"/>
      <c r="AH218" s="1"/>
    </row>
    <row r="219" ht="12.75" customHeight="1">
      <c r="A219" s="18"/>
      <c r="B219" s="55">
        <v>6.0</v>
      </c>
      <c r="C219" s="50" t="s">
        <v>161</v>
      </c>
      <c r="D219" s="56"/>
      <c r="E219" s="19"/>
      <c r="F219" s="19">
        <v>0.0</v>
      </c>
      <c r="G219" s="19"/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/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/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2.0</v>
      </c>
      <c r="AA219" s="19">
        <v>0.0</v>
      </c>
      <c r="AB219" s="19">
        <v>0.0</v>
      </c>
      <c r="AC219" s="19">
        <v>0.0</v>
      </c>
      <c r="AD219" s="19">
        <v>0.0</v>
      </c>
      <c r="AE219" s="19"/>
      <c r="AF219" s="13">
        <f t="shared" si="42"/>
        <v>5</v>
      </c>
      <c r="AG219" s="52"/>
      <c r="AH219" s="52"/>
    </row>
    <row r="220" ht="12.75" customHeight="1">
      <c r="A220" s="18"/>
      <c r="B220" s="55">
        <v>7.0</v>
      </c>
      <c r="C220" s="50" t="s">
        <v>162</v>
      </c>
      <c r="D220" s="56"/>
      <c r="E220" s="19"/>
      <c r="F220" s="19">
        <v>0.0</v>
      </c>
      <c r="G220" s="19"/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/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/>
      <c r="AF220" s="13">
        <f t="shared" si="42"/>
        <v>2</v>
      </c>
      <c r="AG220" s="5"/>
      <c r="AH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73"/>
      <c r="AG221" s="5"/>
      <c r="AH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73"/>
      <c r="AG222" s="5"/>
      <c r="AH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E223" si="43">SUM(E213:E220)</f>
        <v>1</v>
      </c>
      <c r="F223" s="13">
        <f t="shared" si="43"/>
        <v>2</v>
      </c>
      <c r="G223" s="13">
        <f t="shared" si="43"/>
        <v>8</v>
      </c>
      <c r="H223" s="13">
        <f t="shared" si="43"/>
        <v>11</v>
      </c>
      <c r="I223" s="13">
        <f t="shared" si="43"/>
        <v>18</v>
      </c>
      <c r="J223" s="13">
        <f t="shared" si="43"/>
        <v>24</v>
      </c>
      <c r="K223" s="13">
        <f t="shared" si="43"/>
        <v>17</v>
      </c>
      <c r="L223" s="13">
        <f t="shared" si="43"/>
        <v>63</v>
      </c>
      <c r="M223" s="13">
        <f t="shared" si="43"/>
        <v>45</v>
      </c>
      <c r="N223" s="13">
        <f t="shared" si="43"/>
        <v>31</v>
      </c>
      <c r="O223" s="13">
        <f t="shared" si="43"/>
        <v>23</v>
      </c>
      <c r="P223" s="13">
        <f t="shared" si="43"/>
        <v>17</v>
      </c>
      <c r="Q223" s="13">
        <f t="shared" si="43"/>
        <v>14</v>
      </c>
      <c r="R223" s="13">
        <f t="shared" si="43"/>
        <v>30</v>
      </c>
      <c r="S223" s="13">
        <f t="shared" si="43"/>
        <v>9</v>
      </c>
      <c r="T223" s="13">
        <f t="shared" si="43"/>
        <v>0</v>
      </c>
      <c r="U223" s="13">
        <f t="shared" si="43"/>
        <v>3</v>
      </c>
      <c r="V223" s="13">
        <f t="shared" si="43"/>
        <v>11</v>
      </c>
      <c r="W223" s="13">
        <f t="shared" si="43"/>
        <v>6</v>
      </c>
      <c r="X223" s="13">
        <f t="shared" si="43"/>
        <v>13</v>
      </c>
      <c r="Y223" s="13">
        <f t="shared" si="43"/>
        <v>14</v>
      </c>
      <c r="Z223" s="13">
        <f t="shared" si="43"/>
        <v>20</v>
      </c>
      <c r="AA223" s="13">
        <f t="shared" si="43"/>
        <v>3</v>
      </c>
      <c r="AB223" s="13">
        <f t="shared" si="43"/>
        <v>19</v>
      </c>
      <c r="AC223" s="13">
        <f t="shared" si="43"/>
        <v>27</v>
      </c>
      <c r="AD223" s="13">
        <f t="shared" si="43"/>
        <v>90</v>
      </c>
      <c r="AE223" s="13">
        <f t="shared" si="43"/>
        <v>45</v>
      </c>
      <c r="AF223" s="13">
        <f>SUM(E223:AE223)</f>
        <v>564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5"/>
      <c r="AH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/>
      <c r="F225" s="19">
        <v>0.0</v>
      </c>
      <c r="G225" s="19"/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/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1.0</v>
      </c>
      <c r="AA225" s="19">
        <v>0.0</v>
      </c>
      <c r="AB225" s="19">
        <v>1.0</v>
      </c>
      <c r="AC225" s="19">
        <v>1.0</v>
      </c>
      <c r="AD225" s="19">
        <v>0.0</v>
      </c>
      <c r="AE225" s="19"/>
      <c r="AF225" s="13">
        <f t="shared" ref="AF225:AF232" si="44">SUM(E225:AE225)</f>
        <v>5</v>
      </c>
      <c r="AG225" s="5"/>
      <c r="AH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/>
      <c r="F226" s="19">
        <v>1.0</v>
      </c>
      <c r="G226" s="19"/>
      <c r="H226" s="19">
        <v>0.0</v>
      </c>
      <c r="I226" s="19">
        <v>0.0</v>
      </c>
      <c r="J226" s="19">
        <v>2.0</v>
      </c>
      <c r="K226" s="19">
        <v>0.0</v>
      </c>
      <c r="L226" s="19">
        <v>0.0</v>
      </c>
      <c r="M226" s="19"/>
      <c r="N226" s="19">
        <v>0.0</v>
      </c>
      <c r="O226" s="19">
        <v>1.0</v>
      </c>
      <c r="P226" s="19">
        <v>0.0</v>
      </c>
      <c r="Q226" s="19">
        <v>1.0</v>
      </c>
      <c r="R226" s="19">
        <v>0.0</v>
      </c>
      <c r="S226" s="19">
        <v>0.0</v>
      </c>
      <c r="T226" s="19">
        <v>2.0</v>
      </c>
      <c r="U226" s="19">
        <v>0.0</v>
      </c>
      <c r="V226" s="19">
        <v>3.0</v>
      </c>
      <c r="W226" s="19">
        <v>3.0</v>
      </c>
      <c r="X226" s="19">
        <v>3.0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2.0</v>
      </c>
      <c r="AD226" s="19">
        <v>6.0</v>
      </c>
      <c r="AE226" s="19"/>
      <c r="AF226" s="13">
        <f t="shared" si="44"/>
        <v>24</v>
      </c>
      <c r="AG226" s="5"/>
      <c r="AH226" s="5"/>
    </row>
    <row r="227" ht="12.75" customHeight="1">
      <c r="A227" s="18"/>
      <c r="B227" s="55">
        <v>2.0</v>
      </c>
      <c r="C227" s="50" t="s">
        <v>166</v>
      </c>
      <c r="D227" s="57"/>
      <c r="E227" s="19"/>
      <c r="F227" s="19">
        <v>0.0</v>
      </c>
      <c r="G227" s="19"/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/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/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/>
      <c r="AF227" s="13">
        <f t="shared" si="44"/>
        <v>0</v>
      </c>
      <c r="AG227" s="5"/>
      <c r="AH227" s="5"/>
    </row>
    <row r="228" ht="12.75" customHeight="1">
      <c r="A228" s="18"/>
      <c r="B228" s="55">
        <v>3.0</v>
      </c>
      <c r="C228" s="50" t="s">
        <v>167</v>
      </c>
      <c r="D228" s="57"/>
      <c r="E228" s="19"/>
      <c r="F228" s="19">
        <v>0.0</v>
      </c>
      <c r="G228" s="19"/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/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/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/>
      <c r="AF228" s="13">
        <f t="shared" si="44"/>
        <v>0</v>
      </c>
      <c r="AG228" s="5"/>
      <c r="AH228" s="5"/>
    </row>
    <row r="229" ht="12.75" customHeight="1">
      <c r="A229" s="18"/>
      <c r="B229" s="55">
        <v>4.0</v>
      </c>
      <c r="C229" s="50" t="s">
        <v>168</v>
      </c>
      <c r="D229" s="57"/>
      <c r="E229" s="19"/>
      <c r="F229" s="19">
        <v>0.0</v>
      </c>
      <c r="G229" s="19"/>
      <c r="H229" s="19">
        <v>0.0</v>
      </c>
      <c r="I229" s="19">
        <v>1.0</v>
      </c>
      <c r="J229" s="19">
        <v>0.0</v>
      </c>
      <c r="K229" s="19">
        <v>0.0</v>
      </c>
      <c r="L229" s="19">
        <v>0.0</v>
      </c>
      <c r="M229" s="19"/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/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/>
      <c r="AF229" s="13">
        <f t="shared" si="44"/>
        <v>1</v>
      </c>
      <c r="AG229" s="1"/>
      <c r="AH229" s="1"/>
    </row>
    <row r="230" ht="12.75" customHeight="1">
      <c r="A230" s="18"/>
      <c r="B230" s="55">
        <v>5.0</v>
      </c>
      <c r="C230" s="50" t="s">
        <v>169</v>
      </c>
      <c r="D230" s="57"/>
      <c r="E230" s="19"/>
      <c r="F230" s="19">
        <v>0.0</v>
      </c>
      <c r="G230" s="19"/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/>
      <c r="N230" s="19">
        <v>0.0</v>
      </c>
      <c r="O230" s="19">
        <v>0.0</v>
      </c>
      <c r="P230" s="19">
        <v>0.0</v>
      </c>
      <c r="Q230" s="19">
        <v>1.0</v>
      </c>
      <c r="R230" s="19">
        <v>0.0</v>
      </c>
      <c r="S230" s="19">
        <v>0.0</v>
      </c>
      <c r="T230" s="19"/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/>
      <c r="AF230" s="13">
        <f t="shared" si="44"/>
        <v>1</v>
      </c>
      <c r="AG230" s="52"/>
      <c r="AH230" s="52"/>
    </row>
    <row r="231" ht="12.75" customHeight="1">
      <c r="A231" s="18"/>
      <c r="B231" s="55">
        <v>6.0</v>
      </c>
      <c r="C231" s="50" t="s">
        <v>170</v>
      </c>
      <c r="D231" s="57"/>
      <c r="E231" s="19"/>
      <c r="F231" s="19">
        <v>0.0</v>
      </c>
      <c r="G231" s="19"/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/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/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/>
      <c r="AF231" s="13">
        <f t="shared" si="44"/>
        <v>0</v>
      </c>
      <c r="AG231" s="5"/>
      <c r="AH231" s="5"/>
    </row>
    <row r="232" ht="12.75" customHeight="1">
      <c r="A232" s="18"/>
      <c r="B232" s="55">
        <v>7.0</v>
      </c>
      <c r="C232" s="50" t="s">
        <v>171</v>
      </c>
      <c r="D232" s="57"/>
      <c r="E232" s="19"/>
      <c r="F232" s="19">
        <v>0.0</v>
      </c>
      <c r="G232" s="19"/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/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/>
      <c r="U232" s="19">
        <v>1.0</v>
      </c>
      <c r="V232" s="19">
        <v>0.0</v>
      </c>
      <c r="W232" s="19">
        <v>0.0</v>
      </c>
      <c r="X232" s="19">
        <v>1.0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/>
      <c r="AF232" s="13">
        <f t="shared" si="44"/>
        <v>2</v>
      </c>
      <c r="AG232" s="5"/>
      <c r="AH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73"/>
      <c r="AG233" s="5"/>
      <c r="AH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73"/>
      <c r="AG234" s="5"/>
      <c r="AH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E235" si="45">SUM(E225:E232)</f>
        <v>0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0</v>
      </c>
      <c r="T235" s="13">
        <f t="shared" si="45"/>
        <v>3</v>
      </c>
      <c r="U235" s="13">
        <f t="shared" si="45"/>
        <v>1</v>
      </c>
      <c r="V235" s="13">
        <f t="shared" si="45"/>
        <v>3</v>
      </c>
      <c r="W235" s="13">
        <f t="shared" si="45"/>
        <v>3</v>
      </c>
      <c r="X235" s="13">
        <f t="shared" si="45"/>
        <v>5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1</v>
      </c>
      <c r="AC235" s="13">
        <f t="shared" si="45"/>
        <v>3</v>
      </c>
      <c r="AD235" s="13">
        <f t="shared" si="45"/>
        <v>6</v>
      </c>
      <c r="AE235" s="13">
        <f t="shared" si="45"/>
        <v>0</v>
      </c>
      <c r="AF235" s="13">
        <f>SUM(E235:AE235)</f>
        <v>33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5"/>
      <c r="AH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/>
      <c r="F237" s="19">
        <v>1.0</v>
      </c>
      <c r="G237" s="19">
        <v>0.0</v>
      </c>
      <c r="H237" s="19">
        <v>4.0</v>
      </c>
      <c r="I237" s="19">
        <v>0.0</v>
      </c>
      <c r="J237" s="19">
        <v>0.0</v>
      </c>
      <c r="K237" s="19">
        <v>1.0</v>
      </c>
      <c r="L237" s="19">
        <v>0.0</v>
      </c>
      <c r="M237" s="19"/>
      <c r="N237" s="19">
        <v>2.0</v>
      </c>
      <c r="O237" s="19">
        <v>0.0</v>
      </c>
      <c r="P237" s="19">
        <v>0.0</v>
      </c>
      <c r="Q237" s="19">
        <v>0.0</v>
      </c>
      <c r="R237" s="19">
        <v>2.0</v>
      </c>
      <c r="S237" s="19">
        <v>0.0</v>
      </c>
      <c r="T237" s="19"/>
      <c r="U237" s="19">
        <v>1.0</v>
      </c>
      <c r="V237" s="19">
        <v>3.0</v>
      </c>
      <c r="W237" s="19">
        <v>0.0</v>
      </c>
      <c r="X237" s="19">
        <v>1.0</v>
      </c>
      <c r="Y237" s="19">
        <v>2.0</v>
      </c>
      <c r="Z237" s="19">
        <v>1.0</v>
      </c>
      <c r="AA237" s="19">
        <v>0.0</v>
      </c>
      <c r="AB237" s="19">
        <v>0.0</v>
      </c>
      <c r="AC237" s="19">
        <v>0.0</v>
      </c>
      <c r="AD237" s="19">
        <v>2.0</v>
      </c>
      <c r="AE237" s="19">
        <v>1.0</v>
      </c>
      <c r="AF237" s="13">
        <f t="shared" ref="AF237:AF244" si="46">SUM(E237:AE237)</f>
        <v>21</v>
      </c>
      <c r="AG237" s="5"/>
      <c r="AH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/>
      <c r="F238" s="19">
        <v>0.0</v>
      </c>
      <c r="G238" s="19">
        <v>1.0</v>
      </c>
      <c r="H238" s="19">
        <v>1.0</v>
      </c>
      <c r="I238" s="19">
        <v>0.0</v>
      </c>
      <c r="J238" s="19">
        <v>0.0</v>
      </c>
      <c r="K238" s="19">
        <v>1.0</v>
      </c>
      <c r="L238" s="19">
        <v>0.0</v>
      </c>
      <c r="M238" s="19"/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/>
      <c r="U238" s="19">
        <v>0.0</v>
      </c>
      <c r="V238" s="19">
        <v>1.0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9">
        <v>0.0</v>
      </c>
      <c r="AC238" s="19">
        <v>1.0</v>
      </c>
      <c r="AD238" s="19">
        <v>0.0</v>
      </c>
      <c r="AE238" s="19">
        <v>1.0</v>
      </c>
      <c r="AF238" s="13">
        <f t="shared" si="46"/>
        <v>7</v>
      </c>
      <c r="AG238" s="5"/>
      <c r="AH238" s="5"/>
    </row>
    <row r="239" ht="12.75" customHeight="1">
      <c r="A239" s="18"/>
      <c r="B239" s="55">
        <v>2.0</v>
      </c>
      <c r="C239" s="50" t="s">
        <v>175</v>
      </c>
      <c r="D239" s="57"/>
      <c r="E239" s="19"/>
      <c r="F239" s="19">
        <v>0.0</v>
      </c>
      <c r="G239" s="19"/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/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0.0</v>
      </c>
      <c r="T239" s="19"/>
      <c r="U239" s="19">
        <v>0.0</v>
      </c>
      <c r="V239" s="19">
        <v>3.0</v>
      </c>
      <c r="W239" s="19">
        <v>1.0</v>
      </c>
      <c r="X239" s="19">
        <v>0.0</v>
      </c>
      <c r="Y239" s="19">
        <v>0.0</v>
      </c>
      <c r="Z239" s="19"/>
      <c r="AA239" s="19">
        <v>0.0</v>
      </c>
      <c r="AB239" s="19">
        <v>0.0</v>
      </c>
      <c r="AC239" s="19">
        <v>7.0</v>
      </c>
      <c r="AD239" s="19">
        <v>12.0</v>
      </c>
      <c r="AE239" s="19"/>
      <c r="AF239" s="13">
        <f t="shared" si="46"/>
        <v>24</v>
      </c>
      <c r="AG239" s="5"/>
      <c r="AH239" s="5"/>
    </row>
    <row r="240" ht="12.75" customHeight="1">
      <c r="A240" s="18"/>
      <c r="B240" s="55">
        <v>3.0</v>
      </c>
      <c r="C240" s="50" t="s">
        <v>176</v>
      </c>
      <c r="D240" s="57"/>
      <c r="E240" s="19"/>
      <c r="F240" s="19">
        <v>0.0</v>
      </c>
      <c r="G240" s="19">
        <v>1.0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/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/>
      <c r="U240" s="19">
        <v>0.0</v>
      </c>
      <c r="V240" s="19">
        <v>0.0</v>
      </c>
      <c r="W240" s="19">
        <v>2.0</v>
      </c>
      <c r="X240" s="19">
        <v>0.0</v>
      </c>
      <c r="Y240" s="19">
        <v>1.0</v>
      </c>
      <c r="Z240" s="19"/>
      <c r="AA240" s="19">
        <v>0.0</v>
      </c>
      <c r="AB240" s="19">
        <v>0.0</v>
      </c>
      <c r="AC240" s="19">
        <v>0.0</v>
      </c>
      <c r="AD240" s="19">
        <v>0.0</v>
      </c>
      <c r="AE240" s="19"/>
      <c r="AF240" s="13">
        <f t="shared" si="46"/>
        <v>5</v>
      </c>
      <c r="AG240" s="1"/>
      <c r="AH240" s="1"/>
    </row>
    <row r="241" ht="12.75" customHeight="1">
      <c r="A241" s="18"/>
      <c r="B241" s="55">
        <v>4.0</v>
      </c>
      <c r="C241" s="50" t="s">
        <v>177</v>
      </c>
      <c r="D241" s="57"/>
      <c r="E241" s="19"/>
      <c r="F241" s="19">
        <v>0.0</v>
      </c>
      <c r="G241" s="19"/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/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/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/>
      <c r="AA241" s="19">
        <v>0.0</v>
      </c>
      <c r="AB241" s="19">
        <v>0.0</v>
      </c>
      <c r="AC241" s="19">
        <v>0.0</v>
      </c>
      <c r="AD241" s="19">
        <v>0.0</v>
      </c>
      <c r="AE241" s="19"/>
      <c r="AF241" s="13">
        <f t="shared" si="46"/>
        <v>1</v>
      </c>
    </row>
    <row r="242" ht="12.75" customHeight="1">
      <c r="A242" s="18"/>
      <c r="B242" s="55">
        <v>5.0</v>
      </c>
      <c r="C242" s="50" t="s">
        <v>178</v>
      </c>
      <c r="D242" s="57"/>
      <c r="E242" s="19"/>
      <c r="F242" s="19">
        <v>0.0</v>
      </c>
      <c r="G242" s="19"/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/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1.0</v>
      </c>
      <c r="T242" s="19"/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/>
      <c r="AA242" s="19">
        <v>0.0</v>
      </c>
      <c r="AB242" s="19">
        <v>0.0</v>
      </c>
      <c r="AC242" s="19">
        <v>0.0</v>
      </c>
      <c r="AD242" s="19">
        <v>0.0</v>
      </c>
      <c r="AE242" s="19"/>
      <c r="AF242" s="13">
        <f t="shared" si="46"/>
        <v>1</v>
      </c>
    </row>
    <row r="243" ht="12.75" customHeight="1">
      <c r="A243" s="18"/>
      <c r="B243" s="55">
        <v>6.0</v>
      </c>
      <c r="C243" s="50" t="s">
        <v>179</v>
      </c>
      <c r="D243" s="57"/>
      <c r="E243" s="19"/>
      <c r="F243" s="19">
        <v>0.0</v>
      </c>
      <c r="G243" s="19"/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/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/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/>
      <c r="AA243" s="19">
        <v>0.0</v>
      </c>
      <c r="AB243" s="19">
        <v>0.0</v>
      </c>
      <c r="AC243" s="19">
        <v>0.0</v>
      </c>
      <c r="AD243" s="19">
        <v>0.0</v>
      </c>
      <c r="AE243" s="19"/>
      <c r="AF243" s="13">
        <f t="shared" si="46"/>
        <v>0</v>
      </c>
    </row>
    <row r="244" ht="12.75" customHeight="1">
      <c r="A244" s="18"/>
      <c r="B244" s="55">
        <v>7.0</v>
      </c>
      <c r="C244" s="50" t="s">
        <v>180</v>
      </c>
      <c r="D244" s="57"/>
      <c r="E244" s="19"/>
      <c r="F244" s="19">
        <v>1.0</v>
      </c>
      <c r="G244" s="19"/>
      <c r="H244" s="19">
        <v>0.0</v>
      </c>
      <c r="I244" s="19">
        <v>3.0</v>
      </c>
      <c r="J244" s="19">
        <v>2.0</v>
      </c>
      <c r="K244" s="19">
        <v>0.0</v>
      </c>
      <c r="L244" s="19">
        <v>2.0</v>
      </c>
      <c r="M244" s="19"/>
      <c r="N244" s="19">
        <v>4.0</v>
      </c>
      <c r="O244" s="19">
        <v>1.0</v>
      </c>
      <c r="P244" s="19">
        <v>0.0</v>
      </c>
      <c r="Q244" s="19">
        <v>0.0</v>
      </c>
      <c r="R244" s="19">
        <v>3.0</v>
      </c>
      <c r="S244" s="19">
        <v>0.0</v>
      </c>
      <c r="T244" s="19">
        <v>1.0</v>
      </c>
      <c r="U244" s="19">
        <v>1.0</v>
      </c>
      <c r="V244" s="19">
        <v>3.0</v>
      </c>
      <c r="W244" s="19">
        <v>1.0</v>
      </c>
      <c r="X244" s="19">
        <v>0.0</v>
      </c>
      <c r="Y244" s="19">
        <v>0.0</v>
      </c>
      <c r="Z244" s="19">
        <v>1.0</v>
      </c>
      <c r="AA244" s="19">
        <v>1.0</v>
      </c>
      <c r="AB244" s="19">
        <v>1.0</v>
      </c>
      <c r="AC244" s="19">
        <v>0.0</v>
      </c>
      <c r="AD244" s="19">
        <v>7.0</v>
      </c>
      <c r="AE244" s="19">
        <v>3.0</v>
      </c>
      <c r="AF244" s="13">
        <f t="shared" si="46"/>
        <v>35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E247" si="47">SUM(E237:E244)</f>
        <v>0</v>
      </c>
      <c r="F247" s="13">
        <f t="shared" si="47"/>
        <v>2</v>
      </c>
      <c r="G247" s="13">
        <f t="shared" si="47"/>
        <v>2</v>
      </c>
      <c r="H247" s="13">
        <f t="shared" si="47"/>
        <v>6</v>
      </c>
      <c r="I247" s="13">
        <f t="shared" si="47"/>
        <v>3</v>
      </c>
      <c r="J247" s="13">
        <f t="shared" si="47"/>
        <v>2</v>
      </c>
      <c r="K247" s="13">
        <f t="shared" si="47"/>
        <v>2</v>
      </c>
      <c r="L247" s="13">
        <f t="shared" si="47"/>
        <v>2</v>
      </c>
      <c r="M247" s="13">
        <f t="shared" si="47"/>
        <v>0</v>
      </c>
      <c r="N247" s="13">
        <f t="shared" si="47"/>
        <v>6</v>
      </c>
      <c r="O247" s="13">
        <f t="shared" si="47"/>
        <v>2</v>
      </c>
      <c r="P247" s="13">
        <f t="shared" si="47"/>
        <v>0</v>
      </c>
      <c r="Q247" s="13">
        <f t="shared" si="47"/>
        <v>0</v>
      </c>
      <c r="R247" s="13">
        <f t="shared" si="47"/>
        <v>5</v>
      </c>
      <c r="S247" s="13">
        <f t="shared" si="47"/>
        <v>1</v>
      </c>
      <c r="T247" s="13">
        <f t="shared" si="47"/>
        <v>1</v>
      </c>
      <c r="U247" s="13">
        <f t="shared" si="47"/>
        <v>3</v>
      </c>
      <c r="V247" s="13">
        <f t="shared" si="47"/>
        <v>10</v>
      </c>
      <c r="W247" s="13">
        <f t="shared" si="47"/>
        <v>4</v>
      </c>
      <c r="X247" s="13">
        <f t="shared" si="47"/>
        <v>1</v>
      </c>
      <c r="Y247" s="13">
        <f t="shared" si="47"/>
        <v>3</v>
      </c>
      <c r="Z247" s="13">
        <f t="shared" si="47"/>
        <v>3</v>
      </c>
      <c r="AA247" s="13">
        <f t="shared" si="47"/>
        <v>1</v>
      </c>
      <c r="AB247" s="13">
        <f t="shared" si="47"/>
        <v>1</v>
      </c>
      <c r="AC247" s="13">
        <f t="shared" si="47"/>
        <v>8</v>
      </c>
      <c r="AD247" s="13">
        <f t="shared" si="47"/>
        <v>21</v>
      </c>
      <c r="AE247" s="13">
        <f t="shared" si="47"/>
        <v>5</v>
      </c>
      <c r="AF247" s="13">
        <f>SUM(E247:AE247)</f>
        <v>94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/>
      <c r="F249" s="19">
        <v>0.0</v>
      </c>
      <c r="G249" s="19"/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/>
      <c r="U249" s="19">
        <v>1.0</v>
      </c>
      <c r="V249" s="19">
        <v>0.0</v>
      </c>
      <c r="W249" s="19">
        <v>0.0</v>
      </c>
      <c r="X249" s="19">
        <v>1.0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0.0</v>
      </c>
      <c r="AD249" s="19">
        <v>1.0</v>
      </c>
      <c r="AE249" s="19">
        <v>1.0</v>
      </c>
      <c r="AF249" s="13">
        <f t="shared" ref="AF249:AF255" si="48">SUM(E249:AE249)</f>
        <v>6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/>
      <c r="F250" s="19">
        <v>0.0</v>
      </c>
      <c r="G250" s="19"/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/>
      <c r="U250" s="19">
        <v>1.0</v>
      </c>
      <c r="V250" s="19">
        <v>0.0</v>
      </c>
      <c r="W250" s="19">
        <v>0.0</v>
      </c>
      <c r="X250" s="19">
        <v>0.0</v>
      </c>
      <c r="Y250" s="19">
        <v>0.0</v>
      </c>
      <c r="Z250" s="19">
        <v>1.0</v>
      </c>
      <c r="AA250" s="19">
        <v>0.0</v>
      </c>
      <c r="AB250" s="19">
        <v>0.0</v>
      </c>
      <c r="AC250" s="19">
        <v>0.0</v>
      </c>
      <c r="AD250" s="19">
        <v>0.0</v>
      </c>
      <c r="AE250" s="19"/>
      <c r="AF250" s="13">
        <f t="shared" si="48"/>
        <v>3</v>
      </c>
    </row>
    <row r="251" ht="12.75" customHeight="1">
      <c r="A251" s="18"/>
      <c r="B251" s="55">
        <v>2.0</v>
      </c>
      <c r="C251" s="59" t="s">
        <v>184</v>
      </c>
      <c r="D251" s="57"/>
      <c r="E251" s="19"/>
      <c r="F251" s="19">
        <v>0.0</v>
      </c>
      <c r="G251" s="19"/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3.0</v>
      </c>
      <c r="T251" s="19"/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1.0</v>
      </c>
      <c r="AB251" s="19">
        <v>0.0</v>
      </c>
      <c r="AC251" s="19">
        <v>0.0</v>
      </c>
      <c r="AD251" s="19">
        <v>0.0</v>
      </c>
      <c r="AE251" s="19"/>
      <c r="AF251" s="13">
        <f t="shared" si="48"/>
        <v>4</v>
      </c>
    </row>
    <row r="252" ht="12.75" customHeight="1">
      <c r="A252" s="18"/>
      <c r="B252" s="55">
        <v>3.0</v>
      </c>
      <c r="C252" s="59" t="s">
        <v>185</v>
      </c>
      <c r="D252" s="57"/>
      <c r="E252" s="19"/>
      <c r="F252" s="19">
        <v>0.0</v>
      </c>
      <c r="G252" s="19"/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/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/>
      <c r="AF252" s="13">
        <f t="shared" si="48"/>
        <v>0</v>
      </c>
    </row>
    <row r="253" ht="12.75" customHeight="1">
      <c r="A253" s="18"/>
      <c r="B253" s="55">
        <v>4.0</v>
      </c>
      <c r="C253" s="59" t="s">
        <v>186</v>
      </c>
      <c r="D253" s="57"/>
      <c r="E253" s="19"/>
      <c r="F253" s="19">
        <v>0.0</v>
      </c>
      <c r="G253" s="19"/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/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/>
      <c r="AF253" s="13">
        <f t="shared" si="48"/>
        <v>0</v>
      </c>
    </row>
    <row r="254" ht="12.75" customHeight="1">
      <c r="A254" s="18"/>
      <c r="B254" s="55">
        <v>5.0</v>
      </c>
      <c r="C254" s="59" t="s">
        <v>187</v>
      </c>
      <c r="D254" s="57"/>
      <c r="E254" s="19"/>
      <c r="F254" s="19">
        <v>0.0</v>
      </c>
      <c r="G254" s="19"/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1.0</v>
      </c>
      <c r="R254" s="19">
        <v>0.0</v>
      </c>
      <c r="S254" s="19">
        <v>0.0</v>
      </c>
      <c r="T254" s="19"/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/>
      <c r="AF254" s="13">
        <f t="shared" si="48"/>
        <v>1</v>
      </c>
    </row>
    <row r="255" ht="12.75" customHeight="1">
      <c r="A255" s="18"/>
      <c r="B255" s="55">
        <v>6.0</v>
      </c>
      <c r="C255" s="59" t="s">
        <v>188</v>
      </c>
      <c r="D255" s="57"/>
      <c r="E255" s="19"/>
      <c r="F255" s="19">
        <v>0.0</v>
      </c>
      <c r="G255" s="19"/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/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/>
      <c r="AF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E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4</v>
      </c>
      <c r="T259" s="13">
        <f t="shared" si="49"/>
        <v>0</v>
      </c>
      <c r="U259" s="13">
        <f t="shared" si="49"/>
        <v>2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2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1</v>
      </c>
      <c r="AE259" s="13">
        <f t="shared" si="49"/>
        <v>1</v>
      </c>
      <c r="AF259" s="13">
        <f>SUM(E259:AE259)</f>
        <v>14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AE262" si="50">E55+E67+E79+E91+E103+E115+E127+E139+E151+E163+E175+E187+E199+E211+E223+E235+E247+E259</f>
        <v>156</v>
      </c>
      <c r="F262" s="19">
        <f t="shared" si="50"/>
        <v>183</v>
      </c>
      <c r="G262" s="19">
        <f t="shared" si="50"/>
        <v>131</v>
      </c>
      <c r="H262" s="19">
        <f t="shared" si="50"/>
        <v>157</v>
      </c>
      <c r="I262" s="19">
        <f t="shared" si="50"/>
        <v>184</v>
      </c>
      <c r="J262" s="19">
        <f t="shared" si="50"/>
        <v>176</v>
      </c>
      <c r="K262" s="19">
        <f t="shared" si="50"/>
        <v>186</v>
      </c>
      <c r="L262" s="19">
        <f t="shared" si="50"/>
        <v>131</v>
      </c>
      <c r="M262" s="19">
        <f t="shared" si="50"/>
        <v>123</v>
      </c>
      <c r="N262" s="19">
        <f t="shared" si="50"/>
        <v>164</v>
      </c>
      <c r="O262" s="19">
        <f t="shared" si="50"/>
        <v>191</v>
      </c>
      <c r="P262" s="19">
        <f t="shared" si="50"/>
        <v>188</v>
      </c>
      <c r="Q262" s="19">
        <f t="shared" si="50"/>
        <v>186</v>
      </c>
      <c r="R262" s="19">
        <f t="shared" si="50"/>
        <v>208</v>
      </c>
      <c r="S262" s="19">
        <f t="shared" si="50"/>
        <v>162</v>
      </c>
      <c r="T262" s="19">
        <f t="shared" si="50"/>
        <v>143</v>
      </c>
      <c r="U262" s="19">
        <f t="shared" si="50"/>
        <v>173</v>
      </c>
      <c r="V262" s="19">
        <f t="shared" si="50"/>
        <v>217</v>
      </c>
      <c r="W262" s="19">
        <f t="shared" si="50"/>
        <v>221</v>
      </c>
      <c r="X262" s="19">
        <f t="shared" si="50"/>
        <v>172</v>
      </c>
      <c r="Y262" s="19">
        <f t="shared" si="50"/>
        <v>194</v>
      </c>
      <c r="Z262" s="19">
        <f t="shared" si="50"/>
        <v>197</v>
      </c>
      <c r="AA262" s="19">
        <f t="shared" si="50"/>
        <v>172</v>
      </c>
      <c r="AB262" s="19">
        <f t="shared" si="50"/>
        <v>190</v>
      </c>
      <c r="AC262" s="19">
        <f t="shared" si="50"/>
        <v>200</v>
      </c>
      <c r="AD262" s="19">
        <f t="shared" si="50"/>
        <v>233</v>
      </c>
      <c r="AE262" s="19">
        <f t="shared" si="50"/>
        <v>216</v>
      </c>
      <c r="AF262" s="13">
        <f t="shared" ref="AF262:AF264" si="51">SUM(E262:AE262)</f>
        <v>4854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29.0</v>
      </c>
      <c r="F263" s="19">
        <v>20.0</v>
      </c>
      <c r="G263" s="19">
        <v>25.0</v>
      </c>
      <c r="H263" s="19">
        <v>18.0</v>
      </c>
      <c r="I263" s="19">
        <v>25.0</v>
      </c>
      <c r="J263" s="19">
        <v>23.0</v>
      </c>
      <c r="K263" s="19">
        <v>26.0</v>
      </c>
      <c r="L263" s="19">
        <v>3.0</v>
      </c>
      <c r="M263" s="19">
        <v>4.0</v>
      </c>
      <c r="N263" s="19">
        <v>17.0</v>
      </c>
      <c r="O263" s="19">
        <v>26.0</v>
      </c>
      <c r="P263" s="19">
        <v>32.0</v>
      </c>
      <c r="Q263" s="19">
        <v>28.0</v>
      </c>
      <c r="R263" s="19">
        <v>14.0</v>
      </c>
      <c r="S263" s="19">
        <v>54.0</v>
      </c>
      <c r="T263" s="19">
        <v>15.0</v>
      </c>
      <c r="U263" s="19">
        <v>27.0</v>
      </c>
      <c r="V263" s="19">
        <v>22.0</v>
      </c>
      <c r="W263" s="19">
        <v>28.0</v>
      </c>
      <c r="X263" s="19">
        <v>34.0</v>
      </c>
      <c r="Y263" s="19">
        <v>23.0</v>
      </c>
      <c r="Z263" s="19">
        <v>18.0</v>
      </c>
      <c r="AA263" s="19">
        <v>19.0</v>
      </c>
      <c r="AB263" s="19">
        <v>29.0</v>
      </c>
      <c r="AC263" s="19">
        <v>29.0</v>
      </c>
      <c r="AD263" s="19">
        <v>26.0</v>
      </c>
      <c r="AE263" s="19">
        <v>23.0</v>
      </c>
      <c r="AF263" s="13">
        <f t="shared" si="51"/>
        <v>637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AE264" si="52">SUM(E262:E263)</f>
        <v>185</v>
      </c>
      <c r="F264" s="13">
        <f t="shared" si="52"/>
        <v>203</v>
      </c>
      <c r="G264" s="13">
        <f t="shared" si="52"/>
        <v>156</v>
      </c>
      <c r="H264" s="13">
        <f t="shared" si="52"/>
        <v>175</v>
      </c>
      <c r="I264" s="13">
        <f t="shared" si="52"/>
        <v>209</v>
      </c>
      <c r="J264" s="13">
        <f t="shared" si="52"/>
        <v>199</v>
      </c>
      <c r="K264" s="13">
        <f t="shared" si="52"/>
        <v>212</v>
      </c>
      <c r="L264" s="13">
        <f t="shared" si="52"/>
        <v>134</v>
      </c>
      <c r="M264" s="13">
        <f t="shared" si="52"/>
        <v>127</v>
      </c>
      <c r="N264" s="13">
        <f t="shared" si="52"/>
        <v>181</v>
      </c>
      <c r="O264" s="13">
        <f t="shared" si="52"/>
        <v>217</v>
      </c>
      <c r="P264" s="13">
        <f t="shared" si="52"/>
        <v>220</v>
      </c>
      <c r="Q264" s="13">
        <f t="shared" si="52"/>
        <v>214</v>
      </c>
      <c r="R264" s="13">
        <f t="shared" si="52"/>
        <v>222</v>
      </c>
      <c r="S264" s="13">
        <f t="shared" si="52"/>
        <v>216</v>
      </c>
      <c r="T264" s="13">
        <f t="shared" si="52"/>
        <v>158</v>
      </c>
      <c r="U264" s="13">
        <f t="shared" si="52"/>
        <v>200</v>
      </c>
      <c r="V264" s="13">
        <f t="shared" si="52"/>
        <v>239</v>
      </c>
      <c r="W264" s="13">
        <f t="shared" si="52"/>
        <v>249</v>
      </c>
      <c r="X264" s="13">
        <f t="shared" si="52"/>
        <v>206</v>
      </c>
      <c r="Y264" s="13">
        <f t="shared" si="52"/>
        <v>217</v>
      </c>
      <c r="Z264" s="13">
        <f t="shared" si="52"/>
        <v>215</v>
      </c>
      <c r="AA264" s="13">
        <f t="shared" si="52"/>
        <v>191</v>
      </c>
      <c r="AB264" s="13">
        <f t="shared" si="52"/>
        <v>219</v>
      </c>
      <c r="AC264" s="13">
        <f t="shared" si="52"/>
        <v>229</v>
      </c>
      <c r="AD264" s="13">
        <f t="shared" si="52"/>
        <v>259</v>
      </c>
      <c r="AE264" s="13">
        <f t="shared" si="52"/>
        <v>239</v>
      </c>
      <c r="AF264" s="13">
        <f t="shared" si="51"/>
        <v>5491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E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9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138.0</v>
      </c>
      <c r="F14" s="19">
        <v>141.0</v>
      </c>
      <c r="G14" s="19">
        <v>136.0</v>
      </c>
      <c r="H14" s="19">
        <v>140.0</v>
      </c>
      <c r="I14" s="19">
        <v>129.0</v>
      </c>
      <c r="J14" s="19">
        <v>138.0</v>
      </c>
      <c r="K14" s="19">
        <v>139.0</v>
      </c>
      <c r="L14" s="19">
        <v>139.0</v>
      </c>
      <c r="M14" s="19">
        <v>137.0</v>
      </c>
      <c r="N14" s="19">
        <v>138.0</v>
      </c>
      <c r="O14" s="19">
        <v>132.0</v>
      </c>
      <c r="P14" s="19">
        <v>140.0</v>
      </c>
      <c r="Q14" s="19">
        <v>134.0</v>
      </c>
      <c r="R14" s="19">
        <v>141.0</v>
      </c>
      <c r="S14" s="19">
        <v>131.0</v>
      </c>
      <c r="T14" s="19">
        <v>125.0</v>
      </c>
      <c r="U14" s="19">
        <v>136.0</v>
      </c>
      <c r="V14" s="19">
        <v>136.0</v>
      </c>
      <c r="W14" s="19">
        <v>141.0</v>
      </c>
      <c r="X14" s="13">
        <f t="shared" ref="X14:X16" si="1">SUM(E14:W14)</f>
        <v>2591</v>
      </c>
    </row>
    <row r="15" ht="12.75" customHeight="1">
      <c r="A15" s="18"/>
      <c r="B15" s="26"/>
      <c r="C15" s="27"/>
      <c r="D15" s="19" t="s">
        <v>12</v>
      </c>
      <c r="E15" s="19">
        <v>128.0</v>
      </c>
      <c r="F15" s="19">
        <v>135.0</v>
      </c>
      <c r="G15" s="19">
        <v>145.0</v>
      </c>
      <c r="H15" s="19">
        <v>126.0</v>
      </c>
      <c r="I15" s="19">
        <v>124.0</v>
      </c>
      <c r="J15" s="19">
        <v>136.0</v>
      </c>
      <c r="K15" s="19">
        <v>142.0</v>
      </c>
      <c r="L15" s="19">
        <v>143.0</v>
      </c>
      <c r="M15" s="19">
        <v>147.0</v>
      </c>
      <c r="N15" s="19">
        <v>137.0</v>
      </c>
      <c r="O15" s="19">
        <v>143.0</v>
      </c>
      <c r="P15" s="19">
        <v>150.0</v>
      </c>
      <c r="Q15" s="19">
        <v>149.0</v>
      </c>
      <c r="R15" s="19">
        <v>145.0</v>
      </c>
      <c r="S15" s="19">
        <v>150.0</v>
      </c>
      <c r="T15" s="19">
        <v>137.0</v>
      </c>
      <c r="U15" s="19">
        <v>141.0</v>
      </c>
      <c r="V15" s="19">
        <v>144.0</v>
      </c>
      <c r="W15" s="19">
        <v>140.0</v>
      </c>
      <c r="X15" s="13">
        <f t="shared" si="1"/>
        <v>2662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266</v>
      </c>
      <c r="F16" s="13">
        <f t="shared" si="2"/>
        <v>276</v>
      </c>
      <c r="G16" s="13">
        <f t="shared" si="2"/>
        <v>281</v>
      </c>
      <c r="H16" s="13">
        <f t="shared" si="2"/>
        <v>266</v>
      </c>
      <c r="I16" s="13">
        <f t="shared" si="2"/>
        <v>253</v>
      </c>
      <c r="J16" s="13">
        <f t="shared" si="2"/>
        <v>274</v>
      </c>
      <c r="K16" s="13">
        <f t="shared" si="2"/>
        <v>281</v>
      </c>
      <c r="L16" s="13">
        <f t="shared" si="2"/>
        <v>282</v>
      </c>
      <c r="M16" s="13">
        <f t="shared" si="2"/>
        <v>284</v>
      </c>
      <c r="N16" s="13">
        <f t="shared" si="2"/>
        <v>275</v>
      </c>
      <c r="O16" s="13">
        <f t="shared" si="2"/>
        <v>275</v>
      </c>
      <c r="P16" s="13">
        <f t="shared" si="2"/>
        <v>290</v>
      </c>
      <c r="Q16" s="13">
        <f t="shared" si="2"/>
        <v>283</v>
      </c>
      <c r="R16" s="13">
        <f t="shared" si="2"/>
        <v>286</v>
      </c>
      <c r="S16" s="13">
        <f t="shared" si="2"/>
        <v>281</v>
      </c>
      <c r="T16" s="13">
        <f t="shared" si="2"/>
        <v>262</v>
      </c>
      <c r="U16" s="13">
        <f t="shared" si="2"/>
        <v>277</v>
      </c>
      <c r="V16" s="13">
        <f t="shared" si="2"/>
        <v>280</v>
      </c>
      <c r="W16" s="13">
        <f t="shared" si="2"/>
        <v>281</v>
      </c>
      <c r="X16" s="13">
        <f t="shared" si="1"/>
        <v>5253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73.0</v>
      </c>
      <c r="F19" s="19">
        <v>109.0</v>
      </c>
      <c r="G19" s="19">
        <v>112.0</v>
      </c>
      <c r="H19" s="19">
        <v>93.0</v>
      </c>
      <c r="I19" s="19">
        <v>95.0</v>
      </c>
      <c r="J19" s="19">
        <v>104.0</v>
      </c>
      <c r="K19" s="19">
        <v>96.0</v>
      </c>
      <c r="L19" s="19">
        <v>110.0</v>
      </c>
      <c r="M19" s="19">
        <v>98.0</v>
      </c>
      <c r="N19" s="19">
        <v>104.0</v>
      </c>
      <c r="O19" s="19">
        <v>102.0</v>
      </c>
      <c r="P19" s="19">
        <v>107.0</v>
      </c>
      <c r="Q19" s="19">
        <v>109.0</v>
      </c>
      <c r="R19" s="19">
        <v>97.0</v>
      </c>
      <c r="S19" s="19">
        <v>93.0</v>
      </c>
      <c r="T19" s="19">
        <v>98.0</v>
      </c>
      <c r="U19" s="19">
        <v>113.0</v>
      </c>
      <c r="V19" s="19">
        <v>104.0</v>
      </c>
      <c r="W19" s="19">
        <v>123.0</v>
      </c>
      <c r="X19" s="13">
        <f t="shared" ref="X19:X30" si="3">SUM(E19:W19)</f>
        <v>1940</v>
      </c>
    </row>
    <row r="20" ht="12.75" customHeight="1">
      <c r="A20" s="33"/>
      <c r="B20" s="27"/>
      <c r="C20" s="34"/>
      <c r="D20" s="19" t="s">
        <v>12</v>
      </c>
      <c r="E20" s="19">
        <v>90.0</v>
      </c>
      <c r="F20" s="19">
        <v>112.0</v>
      </c>
      <c r="G20" s="19">
        <v>118.0</v>
      </c>
      <c r="H20" s="19">
        <v>97.0</v>
      </c>
      <c r="I20" s="19">
        <v>88.0</v>
      </c>
      <c r="J20" s="19">
        <v>110.0</v>
      </c>
      <c r="K20" s="19">
        <v>115.0</v>
      </c>
      <c r="L20" s="19">
        <v>117.0</v>
      </c>
      <c r="M20" s="19">
        <v>127.0</v>
      </c>
      <c r="N20" s="19">
        <v>106.0</v>
      </c>
      <c r="O20" s="19">
        <v>119.0</v>
      </c>
      <c r="P20" s="19">
        <v>122.0</v>
      </c>
      <c r="Q20" s="19">
        <v>113.0</v>
      </c>
      <c r="R20" s="19">
        <v>122.0</v>
      </c>
      <c r="S20" s="19">
        <v>120.0</v>
      </c>
      <c r="T20" s="19">
        <v>108.0</v>
      </c>
      <c r="U20" s="19">
        <v>116.0</v>
      </c>
      <c r="V20" s="19">
        <v>119.0</v>
      </c>
      <c r="W20" s="19">
        <v>123.0</v>
      </c>
      <c r="X20" s="13">
        <f t="shared" si="3"/>
        <v>2142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163</v>
      </c>
      <c r="F21" s="13">
        <f t="shared" si="4"/>
        <v>221</v>
      </c>
      <c r="G21" s="13">
        <f t="shared" si="4"/>
        <v>230</v>
      </c>
      <c r="H21" s="13">
        <f t="shared" si="4"/>
        <v>190</v>
      </c>
      <c r="I21" s="13">
        <f t="shared" si="4"/>
        <v>183</v>
      </c>
      <c r="J21" s="13">
        <f t="shared" si="4"/>
        <v>214</v>
      </c>
      <c r="K21" s="13">
        <f t="shared" si="4"/>
        <v>211</v>
      </c>
      <c r="L21" s="13">
        <f t="shared" si="4"/>
        <v>227</v>
      </c>
      <c r="M21" s="13">
        <f t="shared" si="4"/>
        <v>225</v>
      </c>
      <c r="N21" s="13">
        <f t="shared" si="4"/>
        <v>210</v>
      </c>
      <c r="O21" s="13">
        <f t="shared" si="4"/>
        <v>221</v>
      </c>
      <c r="P21" s="13">
        <f t="shared" si="4"/>
        <v>229</v>
      </c>
      <c r="Q21" s="13">
        <f t="shared" si="4"/>
        <v>222</v>
      </c>
      <c r="R21" s="13">
        <f t="shared" si="4"/>
        <v>219</v>
      </c>
      <c r="S21" s="13">
        <f t="shared" si="4"/>
        <v>213</v>
      </c>
      <c r="T21" s="13">
        <f t="shared" si="4"/>
        <v>206</v>
      </c>
      <c r="U21" s="13">
        <f t="shared" si="4"/>
        <v>229</v>
      </c>
      <c r="V21" s="13">
        <f t="shared" si="4"/>
        <v>223</v>
      </c>
      <c r="W21" s="13">
        <f t="shared" si="4"/>
        <v>246</v>
      </c>
      <c r="X21" s="13">
        <f t="shared" si="3"/>
        <v>4082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2.0</v>
      </c>
      <c r="H25" s="19">
        <v>3.0</v>
      </c>
      <c r="I25" s="19">
        <v>1.0</v>
      </c>
      <c r="J25" s="19">
        <v>0.0</v>
      </c>
      <c r="K25" s="19">
        <v>0.0</v>
      </c>
      <c r="L25" s="19">
        <v>3.0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2.0</v>
      </c>
      <c r="T25" s="19">
        <v>0.0</v>
      </c>
      <c r="U25" s="19">
        <v>2.0</v>
      </c>
      <c r="V25" s="19">
        <v>1.0</v>
      </c>
      <c r="W25" s="19">
        <v>0.0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1.0</v>
      </c>
      <c r="H26" s="19">
        <v>3.0</v>
      </c>
      <c r="I26" s="19">
        <v>3.0</v>
      </c>
      <c r="J26" s="19">
        <v>1.0</v>
      </c>
      <c r="K26" s="19">
        <v>0.0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0.0</v>
      </c>
      <c r="U26" s="19">
        <v>0.0</v>
      </c>
      <c r="V26" s="19">
        <v>0.0</v>
      </c>
      <c r="W26" s="19">
        <v>1.0</v>
      </c>
      <c r="X26" s="13">
        <f t="shared" si="3"/>
        <v>17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3</v>
      </c>
      <c r="H27" s="13">
        <f t="shared" si="6"/>
        <v>6</v>
      </c>
      <c r="I27" s="13">
        <f t="shared" si="6"/>
        <v>4</v>
      </c>
      <c r="J27" s="13">
        <f t="shared" si="6"/>
        <v>1</v>
      </c>
      <c r="K27" s="13">
        <f t="shared" si="6"/>
        <v>0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5</v>
      </c>
      <c r="S27" s="13">
        <f t="shared" si="6"/>
        <v>4</v>
      </c>
      <c r="T27" s="13">
        <f t="shared" si="6"/>
        <v>0</v>
      </c>
      <c r="U27" s="13">
        <f t="shared" si="6"/>
        <v>2</v>
      </c>
      <c r="V27" s="13">
        <f t="shared" si="6"/>
        <v>1</v>
      </c>
      <c r="W27" s="13">
        <f t="shared" si="6"/>
        <v>1</v>
      </c>
      <c r="X27" s="13">
        <f t="shared" si="3"/>
        <v>33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73</v>
      </c>
      <c r="F28" s="13">
        <f t="shared" si="7"/>
        <v>109</v>
      </c>
      <c r="G28" s="13">
        <f t="shared" si="7"/>
        <v>114</v>
      </c>
      <c r="H28" s="13">
        <f t="shared" si="7"/>
        <v>96</v>
      </c>
      <c r="I28" s="13">
        <f t="shared" si="7"/>
        <v>96</v>
      </c>
      <c r="J28" s="13">
        <f t="shared" si="7"/>
        <v>104</v>
      </c>
      <c r="K28" s="13">
        <f t="shared" si="7"/>
        <v>96</v>
      </c>
      <c r="L28" s="13">
        <f t="shared" si="7"/>
        <v>113</v>
      </c>
      <c r="M28" s="13">
        <f t="shared" si="7"/>
        <v>98</v>
      </c>
      <c r="N28" s="13">
        <f t="shared" si="7"/>
        <v>104</v>
      </c>
      <c r="O28" s="13">
        <f t="shared" si="7"/>
        <v>102</v>
      </c>
      <c r="P28" s="13">
        <f t="shared" si="7"/>
        <v>107</v>
      </c>
      <c r="Q28" s="13">
        <f t="shared" si="7"/>
        <v>109</v>
      </c>
      <c r="R28" s="13">
        <f t="shared" si="7"/>
        <v>99</v>
      </c>
      <c r="S28" s="13">
        <f t="shared" si="7"/>
        <v>95</v>
      </c>
      <c r="T28" s="13">
        <f t="shared" si="7"/>
        <v>98</v>
      </c>
      <c r="U28" s="13">
        <f t="shared" si="7"/>
        <v>115</v>
      </c>
      <c r="V28" s="13">
        <f t="shared" si="7"/>
        <v>105</v>
      </c>
      <c r="W28" s="13">
        <f t="shared" si="7"/>
        <v>123</v>
      </c>
      <c r="X28" s="13">
        <f t="shared" si="3"/>
        <v>1956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91</v>
      </c>
      <c r="F29" s="13">
        <f t="shared" si="8"/>
        <v>112</v>
      </c>
      <c r="G29" s="13">
        <f t="shared" si="8"/>
        <v>119</v>
      </c>
      <c r="H29" s="13">
        <f t="shared" si="8"/>
        <v>100</v>
      </c>
      <c r="I29" s="13">
        <f t="shared" si="8"/>
        <v>91</v>
      </c>
      <c r="J29" s="13">
        <f t="shared" si="8"/>
        <v>111</v>
      </c>
      <c r="K29" s="13">
        <f t="shared" si="8"/>
        <v>115</v>
      </c>
      <c r="L29" s="13">
        <f t="shared" si="8"/>
        <v>118</v>
      </c>
      <c r="M29" s="13">
        <f t="shared" si="8"/>
        <v>127</v>
      </c>
      <c r="N29" s="13">
        <f t="shared" si="8"/>
        <v>106</v>
      </c>
      <c r="O29" s="13">
        <f t="shared" si="8"/>
        <v>120</v>
      </c>
      <c r="P29" s="13">
        <f t="shared" si="8"/>
        <v>122</v>
      </c>
      <c r="Q29" s="13">
        <f t="shared" si="8"/>
        <v>113</v>
      </c>
      <c r="R29" s="13">
        <f t="shared" si="8"/>
        <v>125</v>
      </c>
      <c r="S29" s="13">
        <f t="shared" si="8"/>
        <v>122</v>
      </c>
      <c r="T29" s="13">
        <f t="shared" si="8"/>
        <v>108</v>
      </c>
      <c r="U29" s="13">
        <f t="shared" si="8"/>
        <v>116</v>
      </c>
      <c r="V29" s="13">
        <f t="shared" si="8"/>
        <v>119</v>
      </c>
      <c r="W29" s="13">
        <f t="shared" si="8"/>
        <v>124</v>
      </c>
      <c r="X29" s="13">
        <f t="shared" si="3"/>
        <v>2159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164</v>
      </c>
      <c r="F30" s="13">
        <f t="shared" si="9"/>
        <v>221</v>
      </c>
      <c r="G30" s="13">
        <f t="shared" si="9"/>
        <v>233</v>
      </c>
      <c r="H30" s="13">
        <f t="shared" si="9"/>
        <v>196</v>
      </c>
      <c r="I30" s="13">
        <f t="shared" si="9"/>
        <v>187</v>
      </c>
      <c r="J30" s="13">
        <f t="shared" si="9"/>
        <v>215</v>
      </c>
      <c r="K30" s="13">
        <f t="shared" si="9"/>
        <v>211</v>
      </c>
      <c r="L30" s="13">
        <f t="shared" si="9"/>
        <v>231</v>
      </c>
      <c r="M30" s="13">
        <f t="shared" si="9"/>
        <v>225</v>
      </c>
      <c r="N30" s="13">
        <f t="shared" si="9"/>
        <v>210</v>
      </c>
      <c r="O30" s="13">
        <f t="shared" si="9"/>
        <v>222</v>
      </c>
      <c r="P30" s="13">
        <f t="shared" si="9"/>
        <v>229</v>
      </c>
      <c r="Q30" s="13">
        <f t="shared" si="9"/>
        <v>222</v>
      </c>
      <c r="R30" s="13">
        <f t="shared" si="9"/>
        <v>224</v>
      </c>
      <c r="S30" s="13">
        <f t="shared" si="9"/>
        <v>217</v>
      </c>
      <c r="T30" s="13">
        <f t="shared" si="9"/>
        <v>206</v>
      </c>
      <c r="U30" s="13">
        <f t="shared" si="9"/>
        <v>231</v>
      </c>
      <c r="V30" s="13">
        <f t="shared" si="9"/>
        <v>224</v>
      </c>
      <c r="W30" s="13">
        <f t="shared" si="9"/>
        <v>247</v>
      </c>
      <c r="X30" s="13">
        <f t="shared" si="3"/>
        <v>4115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8"/>
    </row>
    <row r="33" ht="12.75" customHeight="1">
      <c r="A33" s="19">
        <v>1.0</v>
      </c>
      <c r="B33" s="20" t="s">
        <v>26</v>
      </c>
      <c r="C33" s="15"/>
      <c r="D33" s="16"/>
      <c r="E33" s="19">
        <v>282.0</v>
      </c>
      <c r="F33" s="19">
        <v>294.0</v>
      </c>
      <c r="G33" s="19">
        <v>277.0</v>
      </c>
      <c r="H33" s="19">
        <v>272.0</v>
      </c>
      <c r="I33" s="19">
        <v>259.0</v>
      </c>
      <c r="J33" s="19">
        <v>279.0</v>
      </c>
      <c r="K33" s="19">
        <v>287.0</v>
      </c>
      <c r="L33" s="19">
        <v>298.0</v>
      </c>
      <c r="M33" s="19">
        <v>270.0</v>
      </c>
      <c r="N33" s="19">
        <v>261.0</v>
      </c>
      <c r="O33" s="19">
        <v>271.0</v>
      </c>
      <c r="P33" s="19">
        <v>257.0</v>
      </c>
      <c r="Q33" s="19">
        <v>279.0</v>
      </c>
      <c r="R33" s="19">
        <v>287.0</v>
      </c>
      <c r="S33" s="19">
        <v>305.0</v>
      </c>
      <c r="T33" s="19">
        <v>269.0</v>
      </c>
      <c r="U33" s="19">
        <v>283.0</v>
      </c>
      <c r="V33" s="19">
        <v>286.0</v>
      </c>
      <c r="W33" s="19">
        <v>297.0</v>
      </c>
      <c r="X33" s="13">
        <f t="shared" ref="X33:X36" si="10">SUM(E33:W33)</f>
        <v>5313</v>
      </c>
    </row>
    <row r="34" ht="12.75" customHeight="1">
      <c r="A34" s="19">
        <v>2.0</v>
      </c>
      <c r="B34" s="20" t="s">
        <v>27</v>
      </c>
      <c r="C34" s="15"/>
      <c r="D34" s="16"/>
      <c r="E34" s="13">
        <v>164.0</v>
      </c>
      <c r="F34" s="13">
        <v>221.0</v>
      </c>
      <c r="G34" s="13">
        <v>233.0</v>
      </c>
      <c r="H34" s="13">
        <v>196.0</v>
      </c>
      <c r="I34" s="13">
        <v>187.0</v>
      </c>
      <c r="J34" s="13">
        <v>215.0</v>
      </c>
      <c r="K34" s="13">
        <v>211.0</v>
      </c>
      <c r="L34" s="13">
        <v>231.0</v>
      </c>
      <c r="M34" s="13">
        <v>225.0</v>
      </c>
      <c r="N34" s="13">
        <v>210.0</v>
      </c>
      <c r="O34" s="13">
        <v>222.0</v>
      </c>
      <c r="P34" s="13">
        <v>229.0</v>
      </c>
      <c r="Q34" s="13">
        <v>222.0</v>
      </c>
      <c r="R34" s="13">
        <v>224.0</v>
      </c>
      <c r="S34" s="13">
        <v>217.0</v>
      </c>
      <c r="T34" s="13">
        <v>206.0</v>
      </c>
      <c r="U34" s="13">
        <v>231.0</v>
      </c>
      <c r="V34" s="13">
        <v>224.0</v>
      </c>
      <c r="W34" s="13">
        <v>247.0</v>
      </c>
      <c r="X34" s="13">
        <f t="shared" si="10"/>
        <v>4115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1.0</v>
      </c>
      <c r="X35" s="13">
        <f t="shared" si="10"/>
        <v>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118</v>
      </c>
      <c r="F36" s="13">
        <f t="shared" si="11"/>
        <v>73</v>
      </c>
      <c r="G36" s="13">
        <f t="shared" si="11"/>
        <v>44</v>
      </c>
      <c r="H36" s="13">
        <f t="shared" si="11"/>
        <v>75</v>
      </c>
      <c r="I36" s="13">
        <f t="shared" si="11"/>
        <v>72</v>
      </c>
      <c r="J36" s="13">
        <f t="shared" si="11"/>
        <v>63</v>
      </c>
      <c r="K36" s="13">
        <f t="shared" si="11"/>
        <v>76</v>
      </c>
      <c r="L36" s="13">
        <f t="shared" si="11"/>
        <v>67</v>
      </c>
      <c r="M36" s="13">
        <f t="shared" si="11"/>
        <v>44</v>
      </c>
      <c r="N36" s="13">
        <f t="shared" si="11"/>
        <v>51</v>
      </c>
      <c r="O36" s="13">
        <f t="shared" si="11"/>
        <v>49</v>
      </c>
      <c r="P36" s="13">
        <f t="shared" si="11"/>
        <v>28</v>
      </c>
      <c r="Q36" s="13">
        <f t="shared" si="11"/>
        <v>56</v>
      </c>
      <c r="R36" s="13">
        <f t="shared" si="11"/>
        <v>63</v>
      </c>
      <c r="S36" s="13">
        <f t="shared" si="11"/>
        <v>88</v>
      </c>
      <c r="T36" s="13">
        <f t="shared" si="11"/>
        <v>63</v>
      </c>
      <c r="U36" s="13">
        <f t="shared" si="11"/>
        <v>52</v>
      </c>
      <c r="V36" s="13">
        <f t="shared" si="11"/>
        <v>61</v>
      </c>
      <c r="W36" s="13">
        <f t="shared" si="11"/>
        <v>49</v>
      </c>
      <c r="X36" s="13">
        <f t="shared" si="10"/>
        <v>1192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2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15.0</v>
      </c>
      <c r="F45" s="19">
        <v>9.0</v>
      </c>
      <c r="G45" s="19">
        <v>10.0</v>
      </c>
      <c r="H45" s="19">
        <v>8.0</v>
      </c>
      <c r="I45" s="19">
        <v>10.0</v>
      </c>
      <c r="J45" s="19">
        <v>10.0</v>
      </c>
      <c r="K45" s="19">
        <v>7.0</v>
      </c>
      <c r="L45" s="19">
        <v>3.0</v>
      </c>
      <c r="M45" s="19">
        <v>3.0</v>
      </c>
      <c r="N45" s="19">
        <v>5.0</v>
      </c>
      <c r="O45" s="19">
        <v>10.0</v>
      </c>
      <c r="P45" s="19">
        <v>5.0</v>
      </c>
      <c r="Q45" s="19">
        <v>11.0</v>
      </c>
      <c r="R45" s="19">
        <v>10.0</v>
      </c>
      <c r="S45" s="19">
        <v>24.0</v>
      </c>
      <c r="T45" s="19">
        <v>6.0</v>
      </c>
      <c r="U45" s="19">
        <v>8.0</v>
      </c>
      <c r="V45" s="19">
        <v>10.0</v>
      </c>
      <c r="W45" s="19"/>
      <c r="X45" s="13">
        <f t="shared" ref="X45:X52" si="14">SUM(E45:W45)</f>
        <v>164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5.0</v>
      </c>
      <c r="F46" s="19">
        <v>10.0</v>
      </c>
      <c r="G46" s="19">
        <v>14.0</v>
      </c>
      <c r="H46" s="19">
        <v>19.0</v>
      </c>
      <c r="I46" s="19">
        <v>9.0</v>
      </c>
      <c r="J46" s="19">
        <v>19.0</v>
      </c>
      <c r="K46" s="19">
        <v>12.0</v>
      </c>
      <c r="L46" s="19">
        <v>19.0</v>
      </c>
      <c r="M46" s="19">
        <v>4.0</v>
      </c>
      <c r="N46" s="19">
        <v>1.0</v>
      </c>
      <c r="O46" s="19">
        <v>5.0</v>
      </c>
      <c r="P46" s="19">
        <v>8.0</v>
      </c>
      <c r="Q46" s="19">
        <v>42.0</v>
      </c>
      <c r="R46" s="19">
        <v>28.0</v>
      </c>
      <c r="S46" s="19">
        <v>22.0</v>
      </c>
      <c r="T46" s="19">
        <v>30.0</v>
      </c>
      <c r="U46" s="19">
        <v>32.0</v>
      </c>
      <c r="V46" s="19">
        <v>25.0</v>
      </c>
      <c r="W46" s="19">
        <v>6.0</v>
      </c>
      <c r="X46" s="13">
        <f t="shared" si="14"/>
        <v>310</v>
      </c>
    </row>
    <row r="47" ht="12.75" customHeight="1">
      <c r="A47" s="18"/>
      <c r="B47" s="55">
        <v>2.0</v>
      </c>
      <c r="C47" s="50" t="s">
        <v>40</v>
      </c>
      <c r="D47" s="16"/>
      <c r="E47" s="19">
        <v>2.0</v>
      </c>
      <c r="F47" s="19">
        <v>7.0</v>
      </c>
      <c r="G47" s="19">
        <v>5.0</v>
      </c>
      <c r="H47" s="19">
        <v>4.0</v>
      </c>
      <c r="I47" s="19">
        <v>5.0</v>
      </c>
      <c r="J47" s="19">
        <v>6.0</v>
      </c>
      <c r="K47" s="19">
        <v>8.0</v>
      </c>
      <c r="L47" s="19">
        <v>6.0</v>
      </c>
      <c r="M47" s="19">
        <v>1.0</v>
      </c>
      <c r="N47" s="19">
        <v>2.0</v>
      </c>
      <c r="O47" s="19">
        <v>7.0</v>
      </c>
      <c r="P47" s="19">
        <v>4.0</v>
      </c>
      <c r="Q47" s="19">
        <v>11.0</v>
      </c>
      <c r="R47" s="19">
        <v>10.0</v>
      </c>
      <c r="S47" s="19">
        <v>1.0</v>
      </c>
      <c r="T47" s="19">
        <v>13.0</v>
      </c>
      <c r="U47" s="19">
        <v>7.0</v>
      </c>
      <c r="V47" s="19">
        <v>27.0</v>
      </c>
      <c r="W47" s="19">
        <v>1.0</v>
      </c>
      <c r="X47" s="13">
        <f t="shared" si="14"/>
        <v>127</v>
      </c>
    </row>
    <row r="48" ht="12.75" customHeight="1">
      <c r="A48" s="18"/>
      <c r="B48" s="55">
        <v>3.0</v>
      </c>
      <c r="C48" s="50" t="s">
        <v>41</v>
      </c>
      <c r="D48" s="16"/>
      <c r="E48" s="19">
        <v>0.0</v>
      </c>
      <c r="F48" s="19">
        <v>3.0</v>
      </c>
      <c r="G48" s="19">
        <v>1.0</v>
      </c>
      <c r="H48" s="19"/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2.0</v>
      </c>
      <c r="P48" s="19">
        <v>2.0</v>
      </c>
      <c r="Q48" s="19">
        <v>1.0</v>
      </c>
      <c r="R48" s="19">
        <v>3.0</v>
      </c>
      <c r="S48" s="19">
        <v>2.0</v>
      </c>
      <c r="T48" s="19">
        <v>1.0</v>
      </c>
      <c r="U48" s="19">
        <v>1.0</v>
      </c>
      <c r="V48" s="19">
        <v>1.0</v>
      </c>
      <c r="W48" s="19"/>
      <c r="X48" s="13">
        <f t="shared" si="14"/>
        <v>18</v>
      </c>
    </row>
    <row r="49" ht="12.75" customHeight="1">
      <c r="A49" s="18"/>
      <c r="B49" s="55">
        <v>4.0</v>
      </c>
      <c r="C49" s="50" t="s">
        <v>42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2.0</v>
      </c>
      <c r="J49" s="19">
        <v>1.0</v>
      </c>
      <c r="K49" s="19">
        <v>0.0</v>
      </c>
      <c r="L49" s="19">
        <v>1.0</v>
      </c>
      <c r="M49" s="19">
        <v>0.0</v>
      </c>
      <c r="N49" s="19">
        <v>0.0</v>
      </c>
      <c r="O49" s="19">
        <v>0.0</v>
      </c>
      <c r="P49" s="19">
        <v>1.0</v>
      </c>
      <c r="Q49" s="19">
        <v>0.0</v>
      </c>
      <c r="R49" s="19">
        <v>1.0</v>
      </c>
      <c r="S49" s="19">
        <v>1.0</v>
      </c>
      <c r="T49" s="19">
        <v>1.0</v>
      </c>
      <c r="U49" s="19"/>
      <c r="V49" s="19">
        <v>2.0</v>
      </c>
      <c r="W49" s="19">
        <v>1.0</v>
      </c>
      <c r="X49" s="13">
        <f t="shared" si="14"/>
        <v>12</v>
      </c>
    </row>
    <row r="50" ht="12.75" customHeight="1">
      <c r="A50" s="18"/>
      <c r="B50" s="55">
        <v>5.0</v>
      </c>
      <c r="C50" s="50" t="s">
        <v>43</v>
      </c>
      <c r="D50" s="16"/>
      <c r="E50" s="19">
        <v>0.0</v>
      </c>
      <c r="F50" s="19">
        <v>2.0</v>
      </c>
      <c r="G50" s="19">
        <v>2.0</v>
      </c>
      <c r="H50" s="19"/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/>
      <c r="W50" s="19"/>
      <c r="X50" s="13">
        <f t="shared" si="14"/>
        <v>7</v>
      </c>
    </row>
    <row r="51" ht="12.75" customHeight="1">
      <c r="A51" s="18"/>
      <c r="B51" s="55">
        <v>6.0</v>
      </c>
      <c r="C51" s="50" t="s">
        <v>44</v>
      </c>
      <c r="D51" s="16"/>
      <c r="E51" s="19">
        <v>0.0</v>
      </c>
      <c r="F51" s="19"/>
      <c r="G51" s="19">
        <v>2.0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/>
      <c r="V51" s="19">
        <v>1.0</v>
      </c>
      <c r="W51" s="19"/>
      <c r="X51" s="13">
        <f t="shared" si="14"/>
        <v>6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/>
      <c r="G52" s="19">
        <v>0.0</v>
      </c>
      <c r="H52" s="19"/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3.0</v>
      </c>
      <c r="U52" s="19"/>
      <c r="V52" s="19"/>
      <c r="W52" s="19"/>
      <c r="X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W55" si="15">SUM(E45:E52)</f>
        <v>22</v>
      </c>
      <c r="F55" s="13">
        <f t="shared" si="15"/>
        <v>31</v>
      </c>
      <c r="G55" s="13">
        <f t="shared" si="15"/>
        <v>34</v>
      </c>
      <c r="H55" s="13">
        <f t="shared" si="15"/>
        <v>33</v>
      </c>
      <c r="I55" s="13">
        <f t="shared" si="15"/>
        <v>27</v>
      </c>
      <c r="J55" s="13">
        <f t="shared" si="15"/>
        <v>36</v>
      </c>
      <c r="K55" s="13">
        <f t="shared" si="15"/>
        <v>27</v>
      </c>
      <c r="L55" s="13">
        <f t="shared" si="15"/>
        <v>31</v>
      </c>
      <c r="M55" s="13">
        <f t="shared" si="15"/>
        <v>8</v>
      </c>
      <c r="N55" s="13">
        <f t="shared" si="15"/>
        <v>9</v>
      </c>
      <c r="O55" s="13">
        <f t="shared" si="15"/>
        <v>24</v>
      </c>
      <c r="P55" s="13">
        <f t="shared" si="15"/>
        <v>20</v>
      </c>
      <c r="Q55" s="13">
        <f t="shared" si="15"/>
        <v>65</v>
      </c>
      <c r="R55" s="13">
        <f t="shared" si="15"/>
        <v>52</v>
      </c>
      <c r="S55" s="13">
        <f t="shared" si="15"/>
        <v>50</v>
      </c>
      <c r="T55" s="13">
        <f t="shared" si="15"/>
        <v>55</v>
      </c>
      <c r="U55" s="13">
        <f t="shared" si="15"/>
        <v>49</v>
      </c>
      <c r="V55" s="13">
        <f t="shared" si="15"/>
        <v>66</v>
      </c>
      <c r="W55" s="13">
        <f t="shared" si="15"/>
        <v>8</v>
      </c>
      <c r="X55" s="13">
        <f>SUM(E55:W55)</f>
        <v>647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7.0</v>
      </c>
      <c r="F57" s="19">
        <v>9.0</v>
      </c>
      <c r="G57" s="19">
        <v>19.0</v>
      </c>
      <c r="H57" s="19">
        <v>6.0</v>
      </c>
      <c r="I57" s="19">
        <v>13.0</v>
      </c>
      <c r="J57" s="19">
        <v>6.0</v>
      </c>
      <c r="K57" s="19">
        <v>11.0</v>
      </c>
      <c r="L57" s="19">
        <v>10.0</v>
      </c>
      <c r="M57" s="19">
        <v>3.0</v>
      </c>
      <c r="N57" s="19">
        <v>8.0</v>
      </c>
      <c r="O57" s="19">
        <v>10.0</v>
      </c>
      <c r="P57" s="19">
        <v>17.0</v>
      </c>
      <c r="Q57" s="19">
        <v>5.0</v>
      </c>
      <c r="R57" s="19">
        <v>9.0</v>
      </c>
      <c r="S57" s="19">
        <v>14.0</v>
      </c>
      <c r="T57" s="19">
        <v>5.0</v>
      </c>
      <c r="U57" s="19">
        <v>9.0</v>
      </c>
      <c r="V57" s="19">
        <v>1.0</v>
      </c>
      <c r="W57" s="19">
        <v>6.0</v>
      </c>
      <c r="X57" s="13">
        <f t="shared" ref="X57:X64" si="16">SUM(E57:W57)</f>
        <v>168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2.0</v>
      </c>
      <c r="F58" s="19">
        <v>12.0</v>
      </c>
      <c r="G58" s="19">
        <v>22.0</v>
      </c>
      <c r="H58" s="19">
        <v>6.0</v>
      </c>
      <c r="I58" s="19">
        <v>8.0</v>
      </c>
      <c r="J58" s="19">
        <v>8.0</v>
      </c>
      <c r="K58" s="19">
        <v>17.0</v>
      </c>
      <c r="L58" s="19">
        <v>20.0</v>
      </c>
      <c r="M58" s="19">
        <v>0.0</v>
      </c>
      <c r="N58" s="19">
        <v>6.0</v>
      </c>
      <c r="O58" s="19">
        <v>15.0</v>
      </c>
      <c r="P58" s="19">
        <v>7.0</v>
      </c>
      <c r="Q58" s="19">
        <v>11.0</v>
      </c>
      <c r="R58" s="19">
        <v>3.0</v>
      </c>
      <c r="S58" s="19">
        <v>18.0</v>
      </c>
      <c r="T58" s="19">
        <v>5.0</v>
      </c>
      <c r="U58" s="19">
        <v>4.0</v>
      </c>
      <c r="V58" s="19">
        <v>3.0</v>
      </c>
      <c r="W58" s="19">
        <v>9.0</v>
      </c>
      <c r="X58" s="13">
        <f t="shared" si="16"/>
        <v>176</v>
      </c>
    </row>
    <row r="59" ht="12.75" customHeight="1">
      <c r="A59" s="18"/>
      <c r="B59" s="55">
        <v>2.0</v>
      </c>
      <c r="C59" s="50" t="s">
        <v>49</v>
      </c>
      <c r="D59" s="56"/>
      <c r="E59" s="19">
        <v>6.0</v>
      </c>
      <c r="F59" s="19">
        <v>19.0</v>
      </c>
      <c r="G59" s="19">
        <v>17.0</v>
      </c>
      <c r="H59" s="19">
        <v>22.0</v>
      </c>
      <c r="I59" s="19">
        <v>9.0</v>
      </c>
      <c r="J59" s="19">
        <v>23.0</v>
      </c>
      <c r="K59" s="19">
        <v>23.0</v>
      </c>
      <c r="L59" s="19">
        <v>25.0</v>
      </c>
      <c r="M59" s="19">
        <v>9.0</v>
      </c>
      <c r="N59" s="19">
        <v>27.0</v>
      </c>
      <c r="O59" s="19">
        <v>10.0</v>
      </c>
      <c r="P59" s="19">
        <v>10.0</v>
      </c>
      <c r="Q59" s="19">
        <v>14.0</v>
      </c>
      <c r="R59" s="19">
        <v>14.0</v>
      </c>
      <c r="S59" s="19">
        <v>18.0</v>
      </c>
      <c r="T59" s="19">
        <v>14.0</v>
      </c>
      <c r="U59" s="19">
        <v>12.0</v>
      </c>
      <c r="V59" s="19">
        <v>19.0</v>
      </c>
      <c r="W59" s="19">
        <v>18.0</v>
      </c>
      <c r="X59" s="13">
        <f t="shared" si="16"/>
        <v>309</v>
      </c>
    </row>
    <row r="60" ht="12.75" customHeight="1">
      <c r="A60" s="18"/>
      <c r="B60" s="55">
        <v>3.0</v>
      </c>
      <c r="C60" s="50" t="s">
        <v>50</v>
      </c>
      <c r="D60" s="56"/>
      <c r="E60" s="19">
        <v>0.0</v>
      </c>
      <c r="F60" s="19">
        <v>0.0</v>
      </c>
      <c r="G60" s="19">
        <v>2.0</v>
      </c>
      <c r="H60" s="19">
        <v>1.0</v>
      </c>
      <c r="I60" s="19">
        <v>1.0</v>
      </c>
      <c r="J60" s="19">
        <v>0.0</v>
      </c>
      <c r="K60" s="19">
        <v>2.0</v>
      </c>
      <c r="L60" s="19">
        <v>0.0</v>
      </c>
      <c r="M60" s="19">
        <v>0.0</v>
      </c>
      <c r="N60" s="19">
        <v>1.0</v>
      </c>
      <c r="O60" s="19">
        <v>0.0</v>
      </c>
      <c r="P60" s="19">
        <v>2.0</v>
      </c>
      <c r="Q60" s="19">
        <v>0.0</v>
      </c>
      <c r="R60" s="19">
        <v>2.0</v>
      </c>
      <c r="S60" s="19">
        <v>3.0</v>
      </c>
      <c r="T60" s="19"/>
      <c r="U60" s="19">
        <v>1.0</v>
      </c>
      <c r="V60" s="19"/>
      <c r="W60" s="19"/>
      <c r="X60" s="13">
        <f t="shared" si="16"/>
        <v>15</v>
      </c>
    </row>
    <row r="61" ht="12.75" customHeight="1">
      <c r="A61" s="18"/>
      <c r="B61" s="55">
        <v>4.0</v>
      </c>
      <c r="C61" s="50" t="s">
        <v>51</v>
      </c>
      <c r="D61" s="56"/>
      <c r="E61" s="19">
        <v>0.0</v>
      </c>
      <c r="F61" s="19">
        <v>2.0</v>
      </c>
      <c r="G61" s="19">
        <v>2.0</v>
      </c>
      <c r="H61" s="19">
        <v>3.0</v>
      </c>
      <c r="I61" s="19">
        <v>1.0</v>
      </c>
      <c r="J61" s="19">
        <v>0.0</v>
      </c>
      <c r="K61" s="19">
        <v>1.0</v>
      </c>
      <c r="L61" s="19">
        <v>1.0</v>
      </c>
      <c r="M61" s="19">
        <v>0.0</v>
      </c>
      <c r="N61" s="19">
        <v>3.0</v>
      </c>
      <c r="O61" s="19">
        <v>1.0</v>
      </c>
      <c r="P61" s="19">
        <v>1.0</v>
      </c>
      <c r="Q61" s="19">
        <v>2.0</v>
      </c>
      <c r="R61" s="19">
        <v>0.0</v>
      </c>
      <c r="S61" s="19">
        <v>0.0</v>
      </c>
      <c r="T61" s="19"/>
      <c r="U61" s="19">
        <v>1.0</v>
      </c>
      <c r="V61" s="19">
        <v>1.0</v>
      </c>
      <c r="W61" s="19"/>
      <c r="X61" s="13">
        <f t="shared" si="16"/>
        <v>19</v>
      </c>
    </row>
    <row r="62" ht="12.75" customHeight="1">
      <c r="A62" s="18"/>
      <c r="B62" s="55">
        <v>5.0</v>
      </c>
      <c r="C62" s="50" t="s">
        <v>52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1.0</v>
      </c>
      <c r="S62" s="19">
        <v>1.0</v>
      </c>
      <c r="T62" s="19"/>
      <c r="U62" s="19"/>
      <c r="V62" s="19"/>
      <c r="W62" s="19"/>
      <c r="X62" s="13">
        <f t="shared" si="16"/>
        <v>5</v>
      </c>
    </row>
    <row r="63" ht="12.75" customHeight="1">
      <c r="A63" s="18"/>
      <c r="B63" s="55">
        <v>6.0</v>
      </c>
      <c r="C63" s="50" t="s">
        <v>53</v>
      </c>
      <c r="D63" s="57"/>
      <c r="E63" s="19">
        <v>0.0</v>
      </c>
      <c r="F63" s="19">
        <v>0.0</v>
      </c>
      <c r="G63" s="19">
        <v>0.0</v>
      </c>
      <c r="H63" s="19">
        <v>1.0</v>
      </c>
      <c r="I63" s="19">
        <v>1.0</v>
      </c>
      <c r="J63" s="19">
        <v>0.0</v>
      </c>
      <c r="K63" s="19">
        <v>2.0</v>
      </c>
      <c r="L63" s="19">
        <v>0.0</v>
      </c>
      <c r="M63" s="19">
        <v>0.0</v>
      </c>
      <c r="N63" s="19">
        <v>4.0</v>
      </c>
      <c r="O63" s="19">
        <v>0.0</v>
      </c>
      <c r="P63" s="19">
        <v>4.0</v>
      </c>
      <c r="Q63" s="19">
        <v>0.0</v>
      </c>
      <c r="R63" s="19">
        <v>1.0</v>
      </c>
      <c r="S63" s="19">
        <v>0.0</v>
      </c>
      <c r="T63" s="19">
        <v>1.0</v>
      </c>
      <c r="U63" s="19">
        <v>1.0</v>
      </c>
      <c r="V63" s="19"/>
      <c r="W63" s="19"/>
      <c r="X63" s="13">
        <f t="shared" si="16"/>
        <v>15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0.0</v>
      </c>
      <c r="G64" s="19">
        <v>0.0</v>
      </c>
      <c r="H64" s="19"/>
      <c r="I64" s="19">
        <v>0.0</v>
      </c>
      <c r="J64" s="19">
        <v>0.0</v>
      </c>
      <c r="K64" s="19">
        <v>1.0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/>
      <c r="U64" s="19"/>
      <c r="V64" s="19"/>
      <c r="W64" s="19"/>
      <c r="X64" s="13">
        <f t="shared" si="16"/>
        <v>3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W67" si="17">SUM(E57:E64)</f>
        <v>15</v>
      </c>
      <c r="F67" s="13">
        <f t="shared" si="17"/>
        <v>42</v>
      </c>
      <c r="G67" s="13">
        <f t="shared" si="17"/>
        <v>62</v>
      </c>
      <c r="H67" s="13">
        <f t="shared" si="17"/>
        <v>40</v>
      </c>
      <c r="I67" s="13">
        <f t="shared" si="17"/>
        <v>33</v>
      </c>
      <c r="J67" s="13">
        <f t="shared" si="17"/>
        <v>37</v>
      </c>
      <c r="K67" s="13">
        <f t="shared" si="17"/>
        <v>58</v>
      </c>
      <c r="L67" s="13">
        <f t="shared" si="17"/>
        <v>57</v>
      </c>
      <c r="M67" s="13">
        <f t="shared" si="17"/>
        <v>12</v>
      </c>
      <c r="N67" s="13">
        <f t="shared" si="17"/>
        <v>49</v>
      </c>
      <c r="O67" s="13">
        <f t="shared" si="17"/>
        <v>37</v>
      </c>
      <c r="P67" s="13">
        <f t="shared" si="17"/>
        <v>41</v>
      </c>
      <c r="Q67" s="13">
        <f t="shared" si="17"/>
        <v>32</v>
      </c>
      <c r="R67" s="13">
        <f t="shared" si="17"/>
        <v>30</v>
      </c>
      <c r="S67" s="13">
        <f t="shared" si="17"/>
        <v>55</v>
      </c>
      <c r="T67" s="13">
        <f t="shared" si="17"/>
        <v>25</v>
      </c>
      <c r="U67" s="13">
        <f t="shared" si="17"/>
        <v>28</v>
      </c>
      <c r="V67" s="13">
        <f t="shared" si="17"/>
        <v>24</v>
      </c>
      <c r="W67" s="13">
        <f t="shared" si="17"/>
        <v>33</v>
      </c>
      <c r="X67" s="13">
        <f>SUM(E67:W67)</f>
        <v>710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10.0</v>
      </c>
      <c r="F69" s="19">
        <v>9.0</v>
      </c>
      <c r="G69" s="19">
        <v>12.0</v>
      </c>
      <c r="H69" s="19">
        <v>3.0</v>
      </c>
      <c r="I69" s="19">
        <v>7.0</v>
      </c>
      <c r="J69" s="19">
        <v>16.0</v>
      </c>
      <c r="K69" s="19">
        <v>10.0</v>
      </c>
      <c r="L69" s="19">
        <v>12.0</v>
      </c>
      <c r="M69" s="19">
        <v>27.0</v>
      </c>
      <c r="N69" s="19">
        <v>20.0</v>
      </c>
      <c r="O69" s="19">
        <v>14.0</v>
      </c>
      <c r="P69" s="19">
        <v>13.0</v>
      </c>
      <c r="Q69" s="19">
        <v>15.0</v>
      </c>
      <c r="R69" s="19">
        <v>17.0</v>
      </c>
      <c r="S69" s="19">
        <v>10.0</v>
      </c>
      <c r="T69" s="19">
        <v>7.0</v>
      </c>
      <c r="U69" s="19">
        <v>7.0</v>
      </c>
      <c r="V69" s="19">
        <v>2.0</v>
      </c>
      <c r="W69" s="19">
        <v>6.0</v>
      </c>
      <c r="X69" s="13">
        <f t="shared" ref="X69:X76" si="18">SUM(E69:W69)</f>
        <v>217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7.0</v>
      </c>
      <c r="F70" s="19">
        <v>7.0</v>
      </c>
      <c r="G70" s="19">
        <v>18.0</v>
      </c>
      <c r="H70" s="19">
        <v>8.0</v>
      </c>
      <c r="I70" s="19">
        <v>10.0</v>
      </c>
      <c r="J70" s="19">
        <v>15.0</v>
      </c>
      <c r="K70" s="19">
        <v>16.0</v>
      </c>
      <c r="L70" s="19">
        <v>11.0</v>
      </c>
      <c r="M70" s="19">
        <v>14.0</v>
      </c>
      <c r="N70" s="19">
        <v>23.0</v>
      </c>
      <c r="O70" s="19">
        <v>10.0</v>
      </c>
      <c r="P70" s="19">
        <v>19.0</v>
      </c>
      <c r="Q70" s="19">
        <v>13.0</v>
      </c>
      <c r="R70" s="19">
        <v>9.0</v>
      </c>
      <c r="S70" s="19">
        <v>11.0</v>
      </c>
      <c r="T70" s="19">
        <v>11.0</v>
      </c>
      <c r="U70" s="19">
        <v>13.0</v>
      </c>
      <c r="V70" s="19">
        <v>13.0</v>
      </c>
      <c r="W70" s="19">
        <v>4.0</v>
      </c>
      <c r="X70" s="13">
        <f t="shared" si="18"/>
        <v>232</v>
      </c>
    </row>
    <row r="71" ht="12.75" customHeight="1">
      <c r="A71" s="18"/>
      <c r="B71" s="55">
        <v>2.0</v>
      </c>
      <c r="C71" s="50" t="s">
        <v>57</v>
      </c>
      <c r="D71" s="57"/>
      <c r="E71" s="19">
        <v>5.0</v>
      </c>
      <c r="F71" s="19"/>
      <c r="G71" s="19">
        <v>1.0</v>
      </c>
      <c r="H71" s="19">
        <v>3.0</v>
      </c>
      <c r="I71" s="19">
        <v>2.0</v>
      </c>
      <c r="J71" s="19">
        <v>3.0</v>
      </c>
      <c r="K71" s="19">
        <v>0.0</v>
      </c>
      <c r="L71" s="19">
        <v>0.0</v>
      </c>
      <c r="M71" s="19">
        <v>2.0</v>
      </c>
      <c r="N71" s="19">
        <v>0.0</v>
      </c>
      <c r="O71" s="19">
        <v>1.0</v>
      </c>
      <c r="P71" s="19">
        <v>6.0</v>
      </c>
      <c r="Q71" s="19">
        <v>3.0</v>
      </c>
      <c r="R71" s="19">
        <v>1.0</v>
      </c>
      <c r="S71" s="19">
        <v>2.0</v>
      </c>
      <c r="T71" s="19">
        <v>3.0</v>
      </c>
      <c r="U71" s="19">
        <v>2.0</v>
      </c>
      <c r="V71" s="19"/>
      <c r="W71" s="19">
        <v>10.0</v>
      </c>
      <c r="X71" s="13">
        <f t="shared" si="18"/>
        <v>44</v>
      </c>
    </row>
    <row r="72" ht="12.75" customHeight="1">
      <c r="A72" s="18"/>
      <c r="B72" s="55">
        <v>3.0</v>
      </c>
      <c r="C72" s="50" t="s">
        <v>58</v>
      </c>
      <c r="D72" s="57"/>
      <c r="E72" s="19">
        <v>31.0</v>
      </c>
      <c r="F72" s="19">
        <v>21.0</v>
      </c>
      <c r="G72" s="19">
        <v>2.0</v>
      </c>
      <c r="H72" s="19">
        <v>2.0</v>
      </c>
      <c r="I72" s="19">
        <v>0.0</v>
      </c>
      <c r="J72" s="19">
        <v>14.0</v>
      </c>
      <c r="K72" s="19">
        <v>8.0</v>
      </c>
      <c r="L72" s="19">
        <v>14.0</v>
      </c>
      <c r="M72" s="19">
        <v>34.0</v>
      </c>
      <c r="N72" s="19">
        <v>27.0</v>
      </c>
      <c r="O72" s="19">
        <v>36.0</v>
      </c>
      <c r="P72" s="19">
        <v>21.0</v>
      </c>
      <c r="Q72" s="19">
        <v>2.0</v>
      </c>
      <c r="R72" s="19">
        <v>2.0</v>
      </c>
      <c r="S72" s="19">
        <v>0.0</v>
      </c>
      <c r="T72" s="19">
        <v>3.0</v>
      </c>
      <c r="U72" s="19">
        <v>11.0</v>
      </c>
      <c r="V72" s="19">
        <v>16.0</v>
      </c>
      <c r="W72" s="19">
        <v>69.0</v>
      </c>
      <c r="X72" s="13">
        <f t="shared" si="18"/>
        <v>313</v>
      </c>
    </row>
    <row r="73" ht="12.75" customHeight="1">
      <c r="A73" s="18"/>
      <c r="B73" s="55">
        <v>4.0</v>
      </c>
      <c r="C73" s="50" t="s">
        <v>59</v>
      </c>
      <c r="D73" s="57"/>
      <c r="E73" s="19">
        <v>0.0</v>
      </c>
      <c r="F73" s="19"/>
      <c r="G73" s="19">
        <v>0.0</v>
      </c>
      <c r="H73" s="19"/>
      <c r="I73" s="19">
        <v>0.0</v>
      </c>
      <c r="J73" s="19">
        <v>1.0</v>
      </c>
      <c r="K73" s="19">
        <v>1.0</v>
      </c>
      <c r="L73" s="19">
        <v>1.0</v>
      </c>
      <c r="M73" s="19">
        <v>1.0</v>
      </c>
      <c r="N73" s="19">
        <v>2.0</v>
      </c>
      <c r="O73" s="19">
        <v>3.0</v>
      </c>
      <c r="P73" s="19">
        <v>0.0</v>
      </c>
      <c r="Q73" s="19">
        <v>0.0</v>
      </c>
      <c r="R73" s="19">
        <v>0.0</v>
      </c>
      <c r="S73" s="19">
        <v>2.0</v>
      </c>
      <c r="T73" s="19">
        <v>0.0</v>
      </c>
      <c r="U73" s="19">
        <v>1.0</v>
      </c>
      <c r="V73" s="19"/>
      <c r="W73" s="19">
        <v>1.0</v>
      </c>
      <c r="X73" s="13">
        <f t="shared" si="18"/>
        <v>13</v>
      </c>
    </row>
    <row r="74" ht="12.75" customHeight="1">
      <c r="A74" s="18"/>
      <c r="B74" s="55">
        <v>5.0</v>
      </c>
      <c r="C74" s="50" t="s">
        <v>60</v>
      </c>
      <c r="D74" s="57"/>
      <c r="E74" s="19">
        <v>1.0</v>
      </c>
      <c r="F74" s="19">
        <v>2.0</v>
      </c>
      <c r="G74" s="19">
        <v>5.0</v>
      </c>
      <c r="H74" s="19">
        <v>4.0</v>
      </c>
      <c r="I74" s="19">
        <v>1.0</v>
      </c>
      <c r="J74" s="19">
        <v>4.0</v>
      </c>
      <c r="K74" s="19">
        <v>5.0</v>
      </c>
      <c r="L74" s="19">
        <v>5.0</v>
      </c>
      <c r="M74" s="19">
        <v>6.0</v>
      </c>
      <c r="N74" s="19">
        <v>4.0</v>
      </c>
      <c r="O74" s="19">
        <v>8.0</v>
      </c>
      <c r="P74" s="19">
        <v>6.0</v>
      </c>
      <c r="Q74" s="19">
        <v>6.0</v>
      </c>
      <c r="R74" s="19">
        <v>1.0</v>
      </c>
      <c r="S74" s="19">
        <v>0.0</v>
      </c>
      <c r="T74" s="19">
        <v>5.0</v>
      </c>
      <c r="U74" s="19">
        <v>4.0</v>
      </c>
      <c r="V74" s="19">
        <v>3.0</v>
      </c>
      <c r="W74" s="19"/>
      <c r="X74" s="13">
        <f t="shared" si="18"/>
        <v>70</v>
      </c>
    </row>
    <row r="75" ht="12.75" customHeight="1">
      <c r="A75" s="18"/>
      <c r="B75" s="55">
        <v>6.0</v>
      </c>
      <c r="C75" s="50" t="s">
        <v>61</v>
      </c>
      <c r="D75" s="57"/>
      <c r="E75" s="19">
        <v>0.0</v>
      </c>
      <c r="F75" s="19">
        <v>1.0</v>
      </c>
      <c r="G75" s="19">
        <v>3.0</v>
      </c>
      <c r="H75" s="19">
        <v>3.0</v>
      </c>
      <c r="I75" s="19">
        <v>0.0</v>
      </c>
      <c r="J75" s="19">
        <v>2.0</v>
      </c>
      <c r="K75" s="19">
        <v>2.0</v>
      </c>
      <c r="L75" s="19">
        <v>1.0</v>
      </c>
      <c r="M75" s="19">
        <v>2.0</v>
      </c>
      <c r="N75" s="19">
        <v>3.0</v>
      </c>
      <c r="O75" s="19">
        <v>2.0</v>
      </c>
      <c r="P75" s="19">
        <v>2.0</v>
      </c>
      <c r="Q75" s="19">
        <v>0.0</v>
      </c>
      <c r="R75" s="19">
        <v>3.0</v>
      </c>
      <c r="S75" s="19">
        <v>0.0</v>
      </c>
      <c r="T75" s="19">
        <v>0.0</v>
      </c>
      <c r="U75" s="19">
        <v>1.0</v>
      </c>
      <c r="V75" s="19"/>
      <c r="W75" s="19"/>
      <c r="X75" s="13">
        <f t="shared" si="18"/>
        <v>25</v>
      </c>
    </row>
    <row r="76" ht="12.75" customHeight="1">
      <c r="A76" s="18"/>
      <c r="B76" s="55">
        <v>7.0</v>
      </c>
      <c r="C76" s="50" t="s">
        <v>62</v>
      </c>
      <c r="D76" s="57"/>
      <c r="E76" s="19">
        <v>1.0</v>
      </c>
      <c r="F76" s="19"/>
      <c r="G76" s="19">
        <v>0.0</v>
      </c>
      <c r="H76" s="19">
        <v>1.0</v>
      </c>
      <c r="I76" s="19">
        <v>1.0</v>
      </c>
      <c r="J76" s="19">
        <v>5.0</v>
      </c>
      <c r="K76" s="19">
        <v>9.0</v>
      </c>
      <c r="L76" s="19">
        <v>8.0</v>
      </c>
      <c r="M76" s="19">
        <v>17.0</v>
      </c>
      <c r="N76" s="19">
        <v>0.0</v>
      </c>
      <c r="O76" s="19">
        <v>2.0</v>
      </c>
      <c r="P76" s="19">
        <v>1.0</v>
      </c>
      <c r="Q76" s="19">
        <v>1.0</v>
      </c>
      <c r="R76" s="19">
        <v>4.0</v>
      </c>
      <c r="S76" s="19">
        <v>1.0</v>
      </c>
      <c r="T76" s="19">
        <v>2.0</v>
      </c>
      <c r="U76" s="19"/>
      <c r="V76" s="19"/>
      <c r="W76" s="19">
        <v>3.0</v>
      </c>
      <c r="X76" s="13">
        <f t="shared" si="18"/>
        <v>56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W79" si="19">SUM(E69:E76)</f>
        <v>55</v>
      </c>
      <c r="F79" s="13">
        <f t="shared" si="19"/>
        <v>40</v>
      </c>
      <c r="G79" s="13">
        <f t="shared" si="19"/>
        <v>41</v>
      </c>
      <c r="H79" s="13">
        <f t="shared" si="19"/>
        <v>24</v>
      </c>
      <c r="I79" s="13">
        <f t="shared" si="19"/>
        <v>21</v>
      </c>
      <c r="J79" s="13">
        <f t="shared" si="19"/>
        <v>60</v>
      </c>
      <c r="K79" s="13">
        <f t="shared" si="19"/>
        <v>51</v>
      </c>
      <c r="L79" s="13">
        <f t="shared" si="19"/>
        <v>52</v>
      </c>
      <c r="M79" s="13">
        <f t="shared" si="19"/>
        <v>103</v>
      </c>
      <c r="N79" s="13">
        <f t="shared" si="19"/>
        <v>79</v>
      </c>
      <c r="O79" s="13">
        <f t="shared" si="19"/>
        <v>76</v>
      </c>
      <c r="P79" s="13">
        <f t="shared" si="19"/>
        <v>68</v>
      </c>
      <c r="Q79" s="13">
        <f t="shared" si="19"/>
        <v>40</v>
      </c>
      <c r="R79" s="13">
        <f t="shared" si="19"/>
        <v>37</v>
      </c>
      <c r="S79" s="13">
        <f t="shared" si="19"/>
        <v>26</v>
      </c>
      <c r="T79" s="13">
        <f t="shared" si="19"/>
        <v>31</v>
      </c>
      <c r="U79" s="13">
        <f t="shared" si="19"/>
        <v>39</v>
      </c>
      <c r="V79" s="13">
        <f t="shared" si="19"/>
        <v>34</v>
      </c>
      <c r="W79" s="13">
        <f t="shared" si="19"/>
        <v>93</v>
      </c>
      <c r="X79" s="13">
        <f>SUM(E79:W79)</f>
        <v>970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3.0</v>
      </c>
      <c r="F81" s="19">
        <v>0.0</v>
      </c>
      <c r="G81" s="19">
        <v>0.0</v>
      </c>
      <c r="H81" s="19">
        <v>2.0</v>
      </c>
      <c r="I81" s="19">
        <v>1.0</v>
      </c>
      <c r="J81" s="19">
        <v>14.0</v>
      </c>
      <c r="K81" s="19">
        <v>2.0</v>
      </c>
      <c r="L81" s="19">
        <v>6.0</v>
      </c>
      <c r="M81" s="19">
        <v>5.0</v>
      </c>
      <c r="N81" s="19">
        <v>2.0</v>
      </c>
      <c r="O81" s="19">
        <v>3.0</v>
      </c>
      <c r="P81" s="19">
        <v>11.0</v>
      </c>
      <c r="Q81" s="19">
        <v>2.0</v>
      </c>
      <c r="R81" s="19">
        <v>4.0</v>
      </c>
      <c r="S81" s="19">
        <v>1.0</v>
      </c>
      <c r="T81" s="19">
        <v>5.0</v>
      </c>
      <c r="U81" s="19"/>
      <c r="V81" s="19">
        <v>0.0</v>
      </c>
      <c r="W81" s="19">
        <v>1.0</v>
      </c>
      <c r="X81" s="13">
        <f t="shared" ref="X81:X88" si="20">SUM(E81:W81)</f>
        <v>62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19.0</v>
      </c>
      <c r="F82" s="19">
        <v>24.0</v>
      </c>
      <c r="G82" s="19">
        <v>9.0</v>
      </c>
      <c r="H82" s="19">
        <v>15.0</v>
      </c>
      <c r="I82" s="19">
        <v>18.0</v>
      </c>
      <c r="J82" s="19">
        <v>10.0</v>
      </c>
      <c r="K82" s="19">
        <v>3.0</v>
      </c>
      <c r="L82" s="19">
        <v>5.0</v>
      </c>
      <c r="M82" s="19">
        <v>7.0</v>
      </c>
      <c r="N82" s="19">
        <v>3.0</v>
      </c>
      <c r="O82" s="19">
        <v>5.0</v>
      </c>
      <c r="P82" s="19">
        <v>18.0</v>
      </c>
      <c r="Q82" s="19">
        <v>2.0</v>
      </c>
      <c r="R82" s="19">
        <v>0.0</v>
      </c>
      <c r="S82" s="19">
        <v>1.0</v>
      </c>
      <c r="T82" s="19">
        <v>3.0</v>
      </c>
      <c r="U82" s="19">
        <v>3.0</v>
      </c>
      <c r="V82" s="19">
        <v>2.0</v>
      </c>
      <c r="W82" s="19">
        <v>9.0</v>
      </c>
      <c r="X82" s="13">
        <f t="shared" si="20"/>
        <v>156</v>
      </c>
    </row>
    <row r="83" ht="12.75" customHeight="1">
      <c r="A83" s="18"/>
      <c r="B83" s="55">
        <v>2.0</v>
      </c>
      <c r="C83" s="50" t="s">
        <v>65</v>
      </c>
      <c r="D83" s="57"/>
      <c r="E83" s="19">
        <v>2.0</v>
      </c>
      <c r="F83" s="19">
        <v>2.0</v>
      </c>
      <c r="G83" s="19">
        <v>5.0</v>
      </c>
      <c r="H83" s="19"/>
      <c r="I83" s="19">
        <v>1.0</v>
      </c>
      <c r="J83" s="19">
        <v>4.0</v>
      </c>
      <c r="K83" s="19">
        <v>2.0</v>
      </c>
      <c r="L83" s="19">
        <v>1.0</v>
      </c>
      <c r="M83" s="19">
        <v>2.0</v>
      </c>
      <c r="N83" s="19">
        <v>3.0</v>
      </c>
      <c r="O83" s="19">
        <v>5.0</v>
      </c>
      <c r="P83" s="19">
        <v>3.0</v>
      </c>
      <c r="Q83" s="19">
        <v>2.0</v>
      </c>
      <c r="R83" s="19">
        <v>0.0</v>
      </c>
      <c r="S83" s="19">
        <v>2.0</v>
      </c>
      <c r="T83" s="19">
        <v>2.0</v>
      </c>
      <c r="U83" s="19">
        <v>2.0</v>
      </c>
      <c r="V83" s="19"/>
      <c r="W83" s="19"/>
      <c r="X83" s="13">
        <f t="shared" si="20"/>
        <v>38</v>
      </c>
    </row>
    <row r="84" ht="12.75" customHeight="1">
      <c r="A84" s="18"/>
      <c r="B84" s="55">
        <v>3.0</v>
      </c>
      <c r="C84" s="50" t="s">
        <v>66</v>
      </c>
      <c r="D84" s="57"/>
      <c r="E84" s="19">
        <v>1.0</v>
      </c>
      <c r="F84" s="19"/>
      <c r="G84" s="19">
        <v>0.0</v>
      </c>
      <c r="H84" s="19">
        <v>1.0</v>
      </c>
      <c r="I84" s="19">
        <v>0.0</v>
      </c>
      <c r="J84" s="19">
        <v>3.0</v>
      </c>
      <c r="K84" s="19">
        <v>0.0</v>
      </c>
      <c r="L84" s="19">
        <v>1.0</v>
      </c>
      <c r="M84" s="19">
        <v>1.0</v>
      </c>
      <c r="N84" s="19">
        <v>1.0</v>
      </c>
      <c r="O84" s="19">
        <v>0.0</v>
      </c>
      <c r="P84" s="19"/>
      <c r="Q84" s="19">
        <v>0.0</v>
      </c>
      <c r="R84" s="19">
        <v>0.0</v>
      </c>
      <c r="S84" s="19">
        <v>0.0</v>
      </c>
      <c r="T84" s="19"/>
      <c r="U84" s="19"/>
      <c r="V84" s="19">
        <v>1.0</v>
      </c>
      <c r="W84" s="19"/>
      <c r="X84" s="13">
        <f t="shared" si="20"/>
        <v>9</v>
      </c>
    </row>
    <row r="85" ht="12.75" customHeight="1">
      <c r="A85" s="18"/>
      <c r="B85" s="55">
        <v>4.0</v>
      </c>
      <c r="C85" s="50" t="s">
        <v>67</v>
      </c>
      <c r="D85" s="57"/>
      <c r="E85" s="19">
        <v>2.0</v>
      </c>
      <c r="F85" s="19">
        <v>1.0</v>
      </c>
      <c r="G85" s="19">
        <v>0.0</v>
      </c>
      <c r="H85" s="19">
        <v>1.0</v>
      </c>
      <c r="I85" s="19">
        <v>1.0</v>
      </c>
      <c r="J85" s="19">
        <v>18.0</v>
      </c>
      <c r="K85" s="19">
        <v>2.0</v>
      </c>
      <c r="L85" s="19">
        <v>1.0</v>
      </c>
      <c r="M85" s="19">
        <v>0.0</v>
      </c>
      <c r="N85" s="19">
        <v>1.0</v>
      </c>
      <c r="O85" s="19">
        <v>1.0</v>
      </c>
      <c r="P85" s="19"/>
      <c r="Q85" s="19">
        <v>1.0</v>
      </c>
      <c r="R85" s="19">
        <v>0.0</v>
      </c>
      <c r="S85" s="19">
        <v>0.0</v>
      </c>
      <c r="T85" s="19">
        <v>1.0</v>
      </c>
      <c r="U85" s="19"/>
      <c r="V85" s="19"/>
      <c r="W85" s="19"/>
      <c r="X85" s="13">
        <f t="shared" si="20"/>
        <v>30</v>
      </c>
    </row>
    <row r="86" ht="12.75" customHeight="1">
      <c r="A86" s="18"/>
      <c r="B86" s="55">
        <v>5.0</v>
      </c>
      <c r="C86" s="50" t="s">
        <v>68</v>
      </c>
      <c r="D86" s="57"/>
      <c r="E86" s="19">
        <v>0.0</v>
      </c>
      <c r="F86" s="19"/>
      <c r="G86" s="19">
        <v>2.0</v>
      </c>
      <c r="H86" s="19"/>
      <c r="I86" s="19">
        <v>0.0</v>
      </c>
      <c r="J86" s="19">
        <v>0.0</v>
      </c>
      <c r="K86" s="19">
        <v>1.0</v>
      </c>
      <c r="L86" s="19">
        <v>2.0</v>
      </c>
      <c r="M86" s="19">
        <v>1.0</v>
      </c>
      <c r="N86" s="19">
        <v>2.0</v>
      </c>
      <c r="O86" s="19">
        <v>1.0</v>
      </c>
      <c r="P86" s="19"/>
      <c r="Q86" s="19">
        <v>6.0</v>
      </c>
      <c r="R86" s="19">
        <v>17.0</v>
      </c>
      <c r="S86" s="19">
        <v>10.0</v>
      </c>
      <c r="T86" s="19">
        <v>37.0</v>
      </c>
      <c r="U86" s="19">
        <v>17.0</v>
      </c>
      <c r="V86" s="19">
        <v>4.0</v>
      </c>
      <c r="W86" s="19"/>
      <c r="X86" s="13">
        <f t="shared" si="20"/>
        <v>100</v>
      </c>
    </row>
    <row r="87" ht="12.75" customHeight="1">
      <c r="A87" s="18"/>
      <c r="B87" s="55">
        <v>6.0</v>
      </c>
      <c r="C87" s="50" t="s">
        <v>69</v>
      </c>
      <c r="D87" s="57"/>
      <c r="E87" s="19">
        <v>1.0</v>
      </c>
      <c r="F87" s="19"/>
      <c r="G87" s="19">
        <v>0.0</v>
      </c>
      <c r="H87" s="19"/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/>
      <c r="Q87" s="19">
        <v>0.0</v>
      </c>
      <c r="R87" s="19">
        <v>0.0</v>
      </c>
      <c r="S87" s="19">
        <v>0.0</v>
      </c>
      <c r="T87" s="19"/>
      <c r="U87" s="19">
        <v>1.0</v>
      </c>
      <c r="V87" s="19"/>
      <c r="W87" s="19"/>
      <c r="X87" s="13">
        <f t="shared" si="20"/>
        <v>3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/>
      <c r="G88" s="19">
        <v>0.0</v>
      </c>
      <c r="H88" s="19"/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2.0</v>
      </c>
      <c r="Q88" s="19">
        <v>0.0</v>
      </c>
      <c r="R88" s="19">
        <v>0.0</v>
      </c>
      <c r="S88" s="19">
        <v>0.0</v>
      </c>
      <c r="T88" s="19"/>
      <c r="U88" s="19"/>
      <c r="V88" s="19"/>
      <c r="W88" s="19"/>
      <c r="X88" s="13">
        <f t="shared" si="20"/>
        <v>3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W91" si="21">SUM(E81:E88)</f>
        <v>28</v>
      </c>
      <c r="F91" s="13">
        <f t="shared" si="21"/>
        <v>27</v>
      </c>
      <c r="G91" s="13">
        <f t="shared" si="21"/>
        <v>16</v>
      </c>
      <c r="H91" s="13">
        <f t="shared" si="21"/>
        <v>19</v>
      </c>
      <c r="I91" s="13">
        <f t="shared" si="21"/>
        <v>21</v>
      </c>
      <c r="J91" s="13">
        <f t="shared" si="21"/>
        <v>49</v>
      </c>
      <c r="K91" s="13">
        <f t="shared" si="21"/>
        <v>12</v>
      </c>
      <c r="L91" s="13">
        <f t="shared" si="21"/>
        <v>16</v>
      </c>
      <c r="M91" s="13">
        <f t="shared" si="21"/>
        <v>16</v>
      </c>
      <c r="N91" s="13">
        <f t="shared" si="21"/>
        <v>12</v>
      </c>
      <c r="O91" s="13">
        <f t="shared" si="21"/>
        <v>15</v>
      </c>
      <c r="P91" s="13">
        <f t="shared" si="21"/>
        <v>34</v>
      </c>
      <c r="Q91" s="13">
        <f t="shared" si="21"/>
        <v>13</v>
      </c>
      <c r="R91" s="13">
        <f t="shared" si="21"/>
        <v>21</v>
      </c>
      <c r="S91" s="13">
        <f t="shared" si="21"/>
        <v>14</v>
      </c>
      <c r="T91" s="13">
        <f t="shared" si="21"/>
        <v>48</v>
      </c>
      <c r="U91" s="13">
        <f t="shared" si="21"/>
        <v>23</v>
      </c>
      <c r="V91" s="13">
        <f t="shared" si="21"/>
        <v>7</v>
      </c>
      <c r="W91" s="13">
        <f t="shared" si="21"/>
        <v>10</v>
      </c>
      <c r="X91" s="13">
        <f>SUM(E91:W91)</f>
        <v>401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1.0</v>
      </c>
      <c r="G93" s="19">
        <v>3.0</v>
      </c>
      <c r="H93" s="19">
        <v>2.0</v>
      </c>
      <c r="I93" s="19">
        <v>1.0</v>
      </c>
      <c r="J93" s="19">
        <v>0.0</v>
      </c>
      <c r="K93" s="19">
        <v>3.0</v>
      </c>
      <c r="L93" s="19">
        <v>1.0</v>
      </c>
      <c r="M93" s="19">
        <v>1.0</v>
      </c>
      <c r="N93" s="19">
        <v>1.0</v>
      </c>
      <c r="O93" s="19">
        <v>0.0</v>
      </c>
      <c r="P93" s="19">
        <v>0.0</v>
      </c>
      <c r="Q93" s="19">
        <v>3.0</v>
      </c>
      <c r="R93" s="19">
        <v>2.0</v>
      </c>
      <c r="S93" s="19">
        <v>1.0</v>
      </c>
      <c r="T93" s="19">
        <v>0.0</v>
      </c>
      <c r="U93" s="19"/>
      <c r="V93" s="19">
        <v>0.0</v>
      </c>
      <c r="W93" s="19">
        <v>2.0</v>
      </c>
      <c r="X93" s="13">
        <f t="shared" ref="X93:X100" si="22">SUM(E93:W93)</f>
        <v>21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0.0</v>
      </c>
      <c r="F94" s="19">
        <v>2.0</v>
      </c>
      <c r="G94" s="19">
        <v>1.0</v>
      </c>
      <c r="H94" s="19"/>
      <c r="I94" s="19">
        <v>0.0</v>
      </c>
      <c r="J94" s="19">
        <v>2.0</v>
      </c>
      <c r="K94" s="19">
        <v>2.0</v>
      </c>
      <c r="L94" s="19"/>
      <c r="M94" s="19">
        <v>0.0</v>
      </c>
      <c r="N94" s="19">
        <v>2.0</v>
      </c>
      <c r="O94" s="19">
        <v>0.0</v>
      </c>
      <c r="P94" s="19">
        <v>1.0</v>
      </c>
      <c r="Q94" s="19">
        <v>1.0</v>
      </c>
      <c r="R94" s="19">
        <v>2.0</v>
      </c>
      <c r="S94" s="19">
        <v>1.0</v>
      </c>
      <c r="T94" s="19">
        <v>1.0</v>
      </c>
      <c r="U94" s="19"/>
      <c r="V94" s="19">
        <v>1.0</v>
      </c>
      <c r="W94" s="19">
        <v>1.0</v>
      </c>
      <c r="X94" s="13">
        <f t="shared" si="22"/>
        <v>17</v>
      </c>
    </row>
    <row r="95" ht="12.75" customHeight="1">
      <c r="A95" s="18"/>
      <c r="B95" s="55">
        <v>2.0</v>
      </c>
      <c r="C95" s="50" t="s">
        <v>74</v>
      </c>
      <c r="D95" s="57"/>
      <c r="E95" s="19">
        <v>0.0</v>
      </c>
      <c r="F95" s="19">
        <v>0.0</v>
      </c>
      <c r="G95" s="19">
        <v>3.0</v>
      </c>
      <c r="H95" s="19"/>
      <c r="I95" s="19">
        <v>0.0</v>
      </c>
      <c r="J95" s="19">
        <v>0.0</v>
      </c>
      <c r="K95" s="19">
        <v>0.0</v>
      </c>
      <c r="L95" s="19">
        <v>2.0</v>
      </c>
      <c r="M95" s="19">
        <v>0.0</v>
      </c>
      <c r="N95" s="19">
        <v>0.0</v>
      </c>
      <c r="O95" s="19">
        <v>0.0</v>
      </c>
      <c r="P95" s="19">
        <v>1.0</v>
      </c>
      <c r="Q95" s="19">
        <v>8.0</v>
      </c>
      <c r="R95" s="19">
        <v>17.0</v>
      </c>
      <c r="S95" s="19">
        <v>11.0</v>
      </c>
      <c r="T95" s="19">
        <v>3.0</v>
      </c>
      <c r="U95" s="19"/>
      <c r="V95" s="19"/>
      <c r="W95" s="19"/>
      <c r="X95" s="13">
        <f t="shared" si="22"/>
        <v>45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/>
      <c r="G96" s="19">
        <v>1.0</v>
      </c>
      <c r="H96" s="19"/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/>
      <c r="U96" s="19"/>
      <c r="V96" s="19"/>
      <c r="W96" s="19"/>
      <c r="X96" s="13">
        <f t="shared" si="22"/>
        <v>3</v>
      </c>
    </row>
    <row r="97" ht="12.75" customHeight="1">
      <c r="A97" s="18"/>
      <c r="B97" s="55">
        <v>4.0</v>
      </c>
      <c r="C97" s="50" t="s">
        <v>76</v>
      </c>
      <c r="D97" s="57"/>
      <c r="E97" s="19">
        <v>0.0</v>
      </c>
      <c r="F97" s="19">
        <v>1.0</v>
      </c>
      <c r="G97" s="19">
        <v>0.0</v>
      </c>
      <c r="H97" s="19"/>
      <c r="I97" s="19">
        <v>2.0</v>
      </c>
      <c r="J97" s="19">
        <v>0.0</v>
      </c>
      <c r="K97" s="19">
        <v>6.0</v>
      </c>
      <c r="L97" s="19">
        <v>1.0</v>
      </c>
      <c r="M97" s="19">
        <v>0.0</v>
      </c>
      <c r="N97" s="19">
        <v>2.0</v>
      </c>
      <c r="O97" s="19">
        <v>2.0</v>
      </c>
      <c r="P97" s="19">
        <v>0.0</v>
      </c>
      <c r="Q97" s="19">
        <v>9.0</v>
      </c>
      <c r="R97" s="19">
        <v>0.0</v>
      </c>
      <c r="S97" s="19">
        <v>2.0</v>
      </c>
      <c r="T97" s="19">
        <v>3.0</v>
      </c>
      <c r="U97" s="19">
        <v>2.0</v>
      </c>
      <c r="V97" s="19">
        <v>3.0</v>
      </c>
      <c r="W97" s="19">
        <v>1.0</v>
      </c>
      <c r="X97" s="13">
        <f t="shared" si="22"/>
        <v>34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1.0</v>
      </c>
      <c r="G98" s="19">
        <v>0.0</v>
      </c>
      <c r="H98" s="19"/>
      <c r="I98" s="19">
        <v>0.0</v>
      </c>
      <c r="J98" s="19">
        <v>0.0</v>
      </c>
      <c r="K98" s="19">
        <v>0.0</v>
      </c>
      <c r="L98" s="19"/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2.0</v>
      </c>
      <c r="U98" s="19"/>
      <c r="V98" s="19"/>
      <c r="W98" s="19">
        <v>1.0</v>
      </c>
      <c r="X98" s="13">
        <f t="shared" si="22"/>
        <v>4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/>
      <c r="G99" s="19">
        <v>0.0</v>
      </c>
      <c r="H99" s="19"/>
      <c r="I99" s="19">
        <v>0.0</v>
      </c>
      <c r="J99" s="19">
        <v>0.0</v>
      </c>
      <c r="K99" s="19">
        <v>0.0</v>
      </c>
      <c r="L99" s="19"/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/>
      <c r="U99" s="19"/>
      <c r="V99" s="19"/>
      <c r="W99" s="19"/>
      <c r="X99" s="13">
        <f t="shared" si="22"/>
        <v>0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0.0</v>
      </c>
      <c r="F100" s="19"/>
      <c r="G100" s="19">
        <v>0.0</v>
      </c>
      <c r="H100" s="19"/>
      <c r="I100" s="19">
        <v>0.0</v>
      </c>
      <c r="J100" s="19">
        <v>0.0</v>
      </c>
      <c r="K100" s="19">
        <v>0.0</v>
      </c>
      <c r="L100" s="19"/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/>
      <c r="U100" s="19"/>
      <c r="V100" s="19"/>
      <c r="W100" s="19"/>
      <c r="X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W103" si="23">SUM(E93:E100)</f>
        <v>0</v>
      </c>
      <c r="F103" s="13">
        <f t="shared" si="23"/>
        <v>5</v>
      </c>
      <c r="G103" s="13">
        <f t="shared" si="23"/>
        <v>8</v>
      </c>
      <c r="H103" s="13">
        <f t="shared" si="23"/>
        <v>2</v>
      </c>
      <c r="I103" s="13">
        <f t="shared" si="23"/>
        <v>3</v>
      </c>
      <c r="J103" s="13">
        <f t="shared" si="23"/>
        <v>2</v>
      </c>
      <c r="K103" s="13">
        <f t="shared" si="23"/>
        <v>11</v>
      </c>
      <c r="L103" s="13">
        <f t="shared" si="23"/>
        <v>5</v>
      </c>
      <c r="M103" s="13">
        <f t="shared" si="23"/>
        <v>1</v>
      </c>
      <c r="N103" s="13">
        <f t="shared" si="23"/>
        <v>5</v>
      </c>
      <c r="O103" s="13">
        <f t="shared" si="23"/>
        <v>2</v>
      </c>
      <c r="P103" s="13">
        <f t="shared" si="23"/>
        <v>2</v>
      </c>
      <c r="Q103" s="13">
        <f t="shared" si="23"/>
        <v>21</v>
      </c>
      <c r="R103" s="13">
        <f t="shared" si="23"/>
        <v>21</v>
      </c>
      <c r="S103" s="13">
        <f t="shared" si="23"/>
        <v>16</v>
      </c>
      <c r="T103" s="13">
        <f t="shared" si="23"/>
        <v>9</v>
      </c>
      <c r="U103" s="13">
        <f t="shared" si="23"/>
        <v>2</v>
      </c>
      <c r="V103" s="13">
        <f t="shared" si="23"/>
        <v>4</v>
      </c>
      <c r="W103" s="13">
        <f t="shared" si="23"/>
        <v>5</v>
      </c>
      <c r="X103" s="13">
        <f>SUM(E103:W103)</f>
        <v>124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/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/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/>
      <c r="U105" s="19"/>
      <c r="V105" s="19"/>
      <c r="W105" s="19"/>
      <c r="X105" s="13">
        <f t="shared" ref="X105:X112" si="24">SUM(E105:W105)</f>
        <v>2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/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/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/>
      <c r="U106" s="19"/>
      <c r="V106" s="19"/>
      <c r="W106" s="19">
        <v>1.0</v>
      </c>
      <c r="X106" s="13">
        <f t="shared" si="24"/>
        <v>3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0.0</v>
      </c>
      <c r="F107" s="19"/>
      <c r="G107" s="19">
        <v>0.0</v>
      </c>
      <c r="H107" s="19"/>
      <c r="I107" s="19">
        <v>0.0</v>
      </c>
      <c r="J107" s="19">
        <v>0.0</v>
      </c>
      <c r="K107" s="19">
        <v>0.0</v>
      </c>
      <c r="L107" s="19"/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/>
      <c r="U107" s="19">
        <v>1.0</v>
      </c>
      <c r="V107" s="19"/>
      <c r="W107" s="19"/>
      <c r="X107" s="13">
        <f t="shared" si="24"/>
        <v>1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/>
      <c r="G108" s="19">
        <v>0.0</v>
      </c>
      <c r="H108" s="19"/>
      <c r="I108" s="19">
        <v>0.0</v>
      </c>
      <c r="J108" s="19">
        <v>0.0</v>
      </c>
      <c r="K108" s="19">
        <v>0.0</v>
      </c>
      <c r="L108" s="19"/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9"/>
      <c r="U108" s="19">
        <v>1.0</v>
      </c>
      <c r="V108" s="19"/>
      <c r="W108" s="19"/>
      <c r="X108" s="13">
        <f t="shared" si="24"/>
        <v>2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/>
      <c r="G109" s="19">
        <v>0.0</v>
      </c>
      <c r="H109" s="19"/>
      <c r="I109" s="19">
        <v>0.0</v>
      </c>
      <c r="J109" s="19">
        <v>0.0</v>
      </c>
      <c r="K109" s="19">
        <v>0.0</v>
      </c>
      <c r="L109" s="19"/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/>
      <c r="U109" s="19"/>
      <c r="V109" s="19"/>
      <c r="W109" s="19"/>
      <c r="X109" s="13">
        <f t="shared" si="24"/>
        <v>0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/>
      <c r="G110" s="19">
        <v>0.0</v>
      </c>
      <c r="H110" s="19"/>
      <c r="I110" s="19">
        <v>0.0</v>
      </c>
      <c r="J110" s="19">
        <v>0.0</v>
      </c>
      <c r="K110" s="19">
        <v>0.0</v>
      </c>
      <c r="L110" s="19"/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/>
      <c r="U110" s="19"/>
      <c r="V110" s="19"/>
      <c r="W110" s="19"/>
      <c r="X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/>
      <c r="G111" s="19">
        <v>0.0</v>
      </c>
      <c r="H111" s="19"/>
      <c r="I111" s="19">
        <v>0.0</v>
      </c>
      <c r="J111" s="19">
        <v>0.0</v>
      </c>
      <c r="K111" s="19">
        <v>0.0</v>
      </c>
      <c r="L111" s="19"/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/>
      <c r="U111" s="19"/>
      <c r="V111" s="19"/>
      <c r="W111" s="19"/>
      <c r="X111" s="13">
        <f t="shared" si="24"/>
        <v>0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/>
      <c r="G112" s="19">
        <v>0.0</v>
      </c>
      <c r="H112" s="19"/>
      <c r="I112" s="19">
        <v>0.0</v>
      </c>
      <c r="J112" s="19">
        <v>0.0</v>
      </c>
      <c r="K112" s="19">
        <v>0.0</v>
      </c>
      <c r="L112" s="19"/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9"/>
      <c r="W112" s="19"/>
      <c r="X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W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1</v>
      </c>
      <c r="X115" s="13">
        <f>SUM(E115:W115)</f>
        <v>8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2.0</v>
      </c>
      <c r="G117" s="19">
        <v>0.0</v>
      </c>
      <c r="H117" s="19">
        <v>1.0</v>
      </c>
      <c r="I117" s="19">
        <v>1.0</v>
      </c>
      <c r="J117" s="19">
        <v>0.0</v>
      </c>
      <c r="K117" s="19">
        <v>1.0</v>
      </c>
      <c r="L117" s="19">
        <v>1.0</v>
      </c>
      <c r="M117" s="19">
        <v>1.0</v>
      </c>
      <c r="N117" s="19">
        <v>1.0</v>
      </c>
      <c r="O117" s="19">
        <v>1.0</v>
      </c>
      <c r="P117" s="19">
        <v>2.0</v>
      </c>
      <c r="Q117" s="19">
        <v>0.0</v>
      </c>
      <c r="R117" s="19">
        <v>0.0</v>
      </c>
      <c r="S117" s="19">
        <v>0.0</v>
      </c>
      <c r="T117" s="19"/>
      <c r="U117" s="19"/>
      <c r="V117" s="19"/>
      <c r="W117" s="19">
        <v>1.0</v>
      </c>
      <c r="X117" s="13">
        <f t="shared" ref="X117:X120" si="26">SUM(E117:W117)</f>
        <v>12</v>
      </c>
      <c r="Y117" s="5"/>
      <c r="Z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/>
      <c r="G118" s="19">
        <v>0.0</v>
      </c>
      <c r="H118" s="19"/>
      <c r="I118" s="19">
        <v>0.0</v>
      </c>
      <c r="J118" s="19">
        <v>0.0</v>
      </c>
      <c r="K118" s="19">
        <v>0.0</v>
      </c>
      <c r="L118" s="19"/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1.0</v>
      </c>
      <c r="U118" s="19"/>
      <c r="V118" s="19"/>
      <c r="W118" s="19"/>
      <c r="X118" s="13">
        <f t="shared" si="26"/>
        <v>1</v>
      </c>
      <c r="Y118" s="5"/>
      <c r="Z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/>
      <c r="G119" s="19">
        <v>0.0</v>
      </c>
      <c r="H119" s="19">
        <v>2.0</v>
      </c>
      <c r="I119" s="19">
        <v>0.0</v>
      </c>
      <c r="J119" s="19">
        <v>0.0</v>
      </c>
      <c r="K119" s="19">
        <v>0.0</v>
      </c>
      <c r="L119" s="19"/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/>
      <c r="U119" s="19"/>
      <c r="V119" s="19"/>
      <c r="W119" s="19"/>
      <c r="X119" s="13">
        <f t="shared" si="26"/>
        <v>2</v>
      </c>
      <c r="Y119" s="5"/>
      <c r="Z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/>
      <c r="G120" s="19">
        <v>0.0</v>
      </c>
      <c r="H120" s="19"/>
      <c r="I120" s="19">
        <v>0.0</v>
      </c>
      <c r="J120" s="19">
        <v>0.0</v>
      </c>
      <c r="K120" s="19">
        <v>0.0</v>
      </c>
      <c r="L120" s="19"/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/>
      <c r="U120" s="19"/>
      <c r="V120" s="19"/>
      <c r="W120" s="19">
        <v>1.0</v>
      </c>
      <c r="X120" s="13">
        <f t="shared" si="26"/>
        <v>2</v>
      </c>
      <c r="Y120" s="5"/>
      <c r="Z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73"/>
      <c r="Y121" s="5"/>
      <c r="Z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73"/>
      <c r="Y122" s="5"/>
      <c r="Z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73"/>
      <c r="Y123" s="5"/>
      <c r="Z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73"/>
      <c r="Y124" s="5"/>
      <c r="Z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73"/>
      <c r="Y125" s="5"/>
      <c r="Z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73"/>
      <c r="Y126" s="5"/>
      <c r="Z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W127" si="27">SUM(E117:E120)</f>
        <v>0</v>
      </c>
      <c r="F127" s="58">
        <f t="shared" si="27"/>
        <v>2</v>
      </c>
      <c r="G127" s="58">
        <f t="shared" si="27"/>
        <v>0</v>
      </c>
      <c r="H127" s="58">
        <f t="shared" si="27"/>
        <v>3</v>
      </c>
      <c r="I127" s="58">
        <f t="shared" si="27"/>
        <v>1</v>
      </c>
      <c r="J127" s="58">
        <f t="shared" si="27"/>
        <v>0</v>
      </c>
      <c r="K127" s="58">
        <f t="shared" si="27"/>
        <v>1</v>
      </c>
      <c r="L127" s="58">
        <f t="shared" si="27"/>
        <v>1</v>
      </c>
      <c r="M127" s="58">
        <f t="shared" si="27"/>
        <v>1</v>
      </c>
      <c r="N127" s="58">
        <f t="shared" si="27"/>
        <v>1</v>
      </c>
      <c r="O127" s="58">
        <f t="shared" si="27"/>
        <v>1</v>
      </c>
      <c r="P127" s="58">
        <f t="shared" si="27"/>
        <v>3</v>
      </c>
      <c r="Q127" s="58">
        <f t="shared" si="27"/>
        <v>0</v>
      </c>
      <c r="R127" s="58">
        <f t="shared" si="27"/>
        <v>0</v>
      </c>
      <c r="S127" s="58">
        <f t="shared" si="27"/>
        <v>0</v>
      </c>
      <c r="T127" s="58">
        <f t="shared" si="27"/>
        <v>1</v>
      </c>
      <c r="U127" s="58">
        <f t="shared" si="27"/>
        <v>0</v>
      </c>
      <c r="V127" s="58">
        <f t="shared" si="27"/>
        <v>0</v>
      </c>
      <c r="W127" s="58">
        <f t="shared" si="27"/>
        <v>2</v>
      </c>
      <c r="X127" s="13">
        <f>SUM(E127:W127)</f>
        <v>17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5"/>
      <c r="Z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2.0</v>
      </c>
      <c r="F129" s="19">
        <v>1.0</v>
      </c>
      <c r="G129" s="19">
        <v>1.0</v>
      </c>
      <c r="H129" s="19">
        <v>0.0</v>
      </c>
      <c r="I129" s="19">
        <v>1.0</v>
      </c>
      <c r="J129" s="19">
        <v>1.0</v>
      </c>
      <c r="K129" s="19">
        <v>3.0</v>
      </c>
      <c r="L129" s="19">
        <v>3.0</v>
      </c>
      <c r="M129" s="19">
        <v>0.0</v>
      </c>
      <c r="N129" s="19">
        <v>0.0</v>
      </c>
      <c r="O129" s="19">
        <v>2.0</v>
      </c>
      <c r="P129" s="19">
        <v>2.0</v>
      </c>
      <c r="Q129" s="19">
        <v>0.0</v>
      </c>
      <c r="R129" s="19">
        <v>0.0</v>
      </c>
      <c r="S129" s="19">
        <v>1.0</v>
      </c>
      <c r="T129" s="19">
        <v>1.0</v>
      </c>
      <c r="U129" s="19"/>
      <c r="V129" s="19">
        <v>1.0</v>
      </c>
      <c r="W129" s="19">
        <v>2.0</v>
      </c>
      <c r="X129" s="13">
        <f t="shared" ref="X129:X136" si="28">SUM(E129:W129)</f>
        <v>21</v>
      </c>
      <c r="Y129" s="5"/>
      <c r="Z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3.0</v>
      </c>
      <c r="F130" s="19">
        <v>1.0</v>
      </c>
      <c r="G130" s="19">
        <v>1.0</v>
      </c>
      <c r="H130" s="19"/>
      <c r="I130" s="19">
        <v>1.0</v>
      </c>
      <c r="J130" s="19">
        <v>2.0</v>
      </c>
      <c r="K130" s="19">
        <v>2.0</v>
      </c>
      <c r="L130" s="19">
        <v>1.0</v>
      </c>
      <c r="M130" s="19">
        <v>1.0</v>
      </c>
      <c r="N130" s="19">
        <v>0.0</v>
      </c>
      <c r="O130" s="19">
        <v>1.0</v>
      </c>
      <c r="P130" s="19">
        <v>2.0</v>
      </c>
      <c r="Q130" s="19">
        <v>0.0</v>
      </c>
      <c r="R130" s="19">
        <v>0.0</v>
      </c>
      <c r="S130" s="19">
        <v>0.0</v>
      </c>
      <c r="T130" s="19"/>
      <c r="U130" s="19"/>
      <c r="V130" s="19">
        <v>0.0</v>
      </c>
      <c r="W130" s="19"/>
      <c r="X130" s="13">
        <f t="shared" si="28"/>
        <v>15</v>
      </c>
      <c r="Y130" s="1"/>
      <c r="Z130" s="1"/>
    </row>
    <row r="131" ht="12.75" customHeight="1">
      <c r="A131" s="18"/>
      <c r="B131" s="55">
        <v>2.0</v>
      </c>
      <c r="C131" s="50" t="s">
        <v>97</v>
      </c>
      <c r="D131" s="56"/>
      <c r="E131" s="19">
        <v>0.0</v>
      </c>
      <c r="F131" s="19"/>
      <c r="G131" s="19">
        <v>1.0</v>
      </c>
      <c r="H131" s="19">
        <v>2.0</v>
      </c>
      <c r="I131" s="19">
        <v>0.0</v>
      </c>
      <c r="J131" s="19">
        <v>1.0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2.0</v>
      </c>
      <c r="Q131" s="19">
        <v>0.0</v>
      </c>
      <c r="R131" s="19">
        <v>0.0</v>
      </c>
      <c r="S131" s="19">
        <v>0.0</v>
      </c>
      <c r="T131" s="19"/>
      <c r="U131" s="19"/>
      <c r="V131" s="19"/>
      <c r="W131" s="19"/>
      <c r="X131" s="13">
        <f t="shared" si="28"/>
        <v>7</v>
      </c>
      <c r="Y131" s="52"/>
      <c r="Z131" s="52"/>
    </row>
    <row r="132" ht="12.75" customHeight="1">
      <c r="A132" s="18"/>
      <c r="B132" s="55">
        <v>3.0</v>
      </c>
      <c r="C132" s="50" t="s">
        <v>98</v>
      </c>
      <c r="D132" s="56"/>
      <c r="E132" s="19">
        <v>1.0</v>
      </c>
      <c r="F132" s="19"/>
      <c r="G132" s="19">
        <v>0.0</v>
      </c>
      <c r="H132" s="19"/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/>
      <c r="U132" s="19"/>
      <c r="V132" s="19"/>
      <c r="W132" s="19"/>
      <c r="X132" s="13">
        <f t="shared" si="28"/>
        <v>3</v>
      </c>
      <c r="Y132" s="5"/>
      <c r="Z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/>
      <c r="G133" s="19">
        <v>0.0</v>
      </c>
      <c r="H133" s="19"/>
      <c r="I133" s="19">
        <v>0.0</v>
      </c>
      <c r="J133" s="19">
        <v>0.0</v>
      </c>
      <c r="K133" s="19">
        <v>0.0</v>
      </c>
      <c r="L133" s="19"/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/>
      <c r="U133" s="19"/>
      <c r="V133" s="19"/>
      <c r="W133" s="19"/>
      <c r="X133" s="13">
        <f t="shared" si="28"/>
        <v>1</v>
      </c>
      <c r="Y133" s="5"/>
      <c r="Z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2.0</v>
      </c>
      <c r="G134" s="19">
        <v>0.0</v>
      </c>
      <c r="H134" s="19"/>
      <c r="I134" s="19">
        <v>0.0</v>
      </c>
      <c r="J134" s="19">
        <v>0.0</v>
      </c>
      <c r="K134" s="19">
        <v>0.0</v>
      </c>
      <c r="L134" s="19"/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/>
      <c r="U134" s="19"/>
      <c r="V134" s="19"/>
      <c r="W134" s="19"/>
      <c r="X134" s="13">
        <f t="shared" si="28"/>
        <v>2</v>
      </c>
      <c r="Y134" s="5"/>
      <c r="Z134" s="5"/>
    </row>
    <row r="135" ht="12.75" customHeight="1">
      <c r="A135" s="18"/>
      <c r="B135" s="55">
        <v>6.0</v>
      </c>
      <c r="C135" s="50" t="s">
        <v>101</v>
      </c>
      <c r="D135" s="57"/>
      <c r="E135" s="19">
        <v>5.0</v>
      </c>
      <c r="F135" s="19"/>
      <c r="G135" s="19">
        <v>0.0</v>
      </c>
      <c r="H135" s="19"/>
      <c r="I135" s="19">
        <v>0.0</v>
      </c>
      <c r="J135" s="19">
        <v>0.0</v>
      </c>
      <c r="K135" s="19">
        <v>1.0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/>
      <c r="U135" s="19"/>
      <c r="V135" s="19"/>
      <c r="W135" s="19"/>
      <c r="X135" s="13">
        <f t="shared" si="28"/>
        <v>7</v>
      </c>
      <c r="Y135" s="5"/>
      <c r="Z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/>
      <c r="G136" s="19">
        <v>0.0</v>
      </c>
      <c r="H136" s="19"/>
      <c r="I136" s="19">
        <v>0.0</v>
      </c>
      <c r="J136" s="19">
        <v>0.0</v>
      </c>
      <c r="K136" s="19">
        <v>0.0</v>
      </c>
      <c r="L136" s="19"/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/>
      <c r="U136" s="19"/>
      <c r="V136" s="19"/>
      <c r="W136" s="19"/>
      <c r="X136" s="13">
        <f t="shared" si="28"/>
        <v>0</v>
      </c>
      <c r="Y136" s="5"/>
      <c r="Z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73"/>
      <c r="Y137" s="5"/>
      <c r="Z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73"/>
      <c r="Y138" s="5"/>
      <c r="Z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W139" si="29">SUM(E129:E136)</f>
        <v>11</v>
      </c>
      <c r="F139" s="13">
        <f t="shared" si="29"/>
        <v>4</v>
      </c>
      <c r="G139" s="13">
        <f t="shared" si="29"/>
        <v>3</v>
      </c>
      <c r="H139" s="13">
        <f t="shared" si="29"/>
        <v>2</v>
      </c>
      <c r="I139" s="13">
        <f t="shared" si="29"/>
        <v>2</v>
      </c>
      <c r="J139" s="13">
        <f t="shared" si="29"/>
        <v>4</v>
      </c>
      <c r="K139" s="13">
        <f t="shared" si="29"/>
        <v>6</v>
      </c>
      <c r="L139" s="13">
        <f t="shared" si="29"/>
        <v>7</v>
      </c>
      <c r="M139" s="13">
        <f t="shared" si="29"/>
        <v>1</v>
      </c>
      <c r="N139" s="13">
        <f t="shared" si="29"/>
        <v>0</v>
      </c>
      <c r="O139" s="13">
        <f t="shared" si="29"/>
        <v>4</v>
      </c>
      <c r="P139" s="13">
        <f t="shared" si="29"/>
        <v>6</v>
      </c>
      <c r="Q139" s="13">
        <f t="shared" si="29"/>
        <v>0</v>
      </c>
      <c r="R139" s="13">
        <f t="shared" si="29"/>
        <v>1</v>
      </c>
      <c r="S139" s="13">
        <f t="shared" si="29"/>
        <v>1</v>
      </c>
      <c r="T139" s="13">
        <f t="shared" si="29"/>
        <v>1</v>
      </c>
      <c r="U139" s="13">
        <f t="shared" si="29"/>
        <v>0</v>
      </c>
      <c r="V139" s="13">
        <f t="shared" si="29"/>
        <v>1</v>
      </c>
      <c r="W139" s="13">
        <f t="shared" si="29"/>
        <v>2</v>
      </c>
      <c r="X139" s="13">
        <f>SUM(E139:W139)</f>
        <v>56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5"/>
      <c r="Z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/>
      <c r="I141" s="19">
        <v>0.0</v>
      </c>
      <c r="J141" s="19">
        <v>1.0</v>
      </c>
      <c r="K141" s="19">
        <v>0.0</v>
      </c>
      <c r="L141" s="19"/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/>
      <c r="V141" s="19"/>
      <c r="W141" s="19"/>
      <c r="X141" s="13">
        <f t="shared" ref="X141:X148" si="30">SUM(E141:W141)</f>
        <v>1</v>
      </c>
      <c r="Y141" s="1"/>
      <c r="Z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/>
      <c r="G142" s="19">
        <v>0.0</v>
      </c>
      <c r="H142" s="19"/>
      <c r="I142" s="19">
        <v>0.0</v>
      </c>
      <c r="J142" s="19">
        <v>0.0</v>
      </c>
      <c r="K142" s="19">
        <v>0.0</v>
      </c>
      <c r="L142" s="19"/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/>
      <c r="V142" s="19"/>
      <c r="W142" s="19"/>
      <c r="X142" s="13">
        <f t="shared" si="30"/>
        <v>0</v>
      </c>
      <c r="Y142" s="52"/>
      <c r="Z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/>
      <c r="G143" s="19">
        <v>0.0</v>
      </c>
      <c r="H143" s="19"/>
      <c r="I143" s="19">
        <v>0.0</v>
      </c>
      <c r="J143" s="19">
        <v>0.0</v>
      </c>
      <c r="K143" s="19">
        <v>0.0</v>
      </c>
      <c r="L143" s="19"/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/>
      <c r="V143" s="19"/>
      <c r="W143" s="19"/>
      <c r="X143" s="13">
        <f t="shared" si="30"/>
        <v>0</v>
      </c>
      <c r="Y143" s="5"/>
      <c r="Z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/>
      <c r="G144" s="19">
        <v>0.0</v>
      </c>
      <c r="H144" s="19"/>
      <c r="I144" s="19">
        <v>0.0</v>
      </c>
      <c r="J144" s="19">
        <v>0.0</v>
      </c>
      <c r="K144" s="19">
        <v>0.0</v>
      </c>
      <c r="L144" s="19"/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/>
      <c r="V144" s="19"/>
      <c r="W144" s="19"/>
      <c r="X144" s="13">
        <f t="shared" si="30"/>
        <v>0</v>
      </c>
      <c r="Y144" s="5"/>
      <c r="Z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/>
      <c r="G145" s="19">
        <v>0.0</v>
      </c>
      <c r="H145" s="19"/>
      <c r="I145" s="19">
        <v>0.0</v>
      </c>
      <c r="J145" s="19">
        <v>0.0</v>
      </c>
      <c r="K145" s="19">
        <v>0.0</v>
      </c>
      <c r="L145" s="19"/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/>
      <c r="V145" s="19"/>
      <c r="W145" s="19"/>
      <c r="X145" s="13">
        <f t="shared" si="30"/>
        <v>0</v>
      </c>
      <c r="Y145" s="5"/>
      <c r="Z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/>
      <c r="G146" s="19">
        <v>0.0</v>
      </c>
      <c r="H146" s="19"/>
      <c r="I146" s="19">
        <v>0.0</v>
      </c>
      <c r="J146" s="19">
        <v>0.0</v>
      </c>
      <c r="K146" s="19">
        <v>0.0</v>
      </c>
      <c r="L146" s="19"/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/>
      <c r="V146" s="19">
        <v>1.0</v>
      </c>
      <c r="W146" s="19"/>
      <c r="X146" s="13">
        <f t="shared" si="30"/>
        <v>1</v>
      </c>
      <c r="Y146" s="5"/>
      <c r="Z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/>
      <c r="G147" s="19">
        <v>0.0</v>
      </c>
      <c r="H147" s="19"/>
      <c r="I147" s="19">
        <v>0.0</v>
      </c>
      <c r="J147" s="19">
        <v>0.0</v>
      </c>
      <c r="K147" s="19">
        <v>0.0</v>
      </c>
      <c r="L147" s="19"/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/>
      <c r="V147" s="19"/>
      <c r="W147" s="19"/>
      <c r="X147" s="13">
        <f t="shared" si="30"/>
        <v>0</v>
      </c>
      <c r="Y147" s="5"/>
      <c r="Z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/>
      <c r="G148" s="19">
        <v>0.0</v>
      </c>
      <c r="H148" s="19"/>
      <c r="I148" s="19">
        <v>0.0</v>
      </c>
      <c r="J148" s="19">
        <v>0.0</v>
      </c>
      <c r="K148" s="19">
        <v>0.0</v>
      </c>
      <c r="L148" s="19"/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/>
      <c r="V148" s="19"/>
      <c r="W148" s="19"/>
      <c r="X148" s="13">
        <f t="shared" si="30"/>
        <v>0</v>
      </c>
      <c r="Y148" s="5"/>
      <c r="Z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73"/>
      <c r="Y149" s="5"/>
      <c r="Z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73"/>
      <c r="Y150" s="5"/>
      <c r="Z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>SUM(E151:W151)</f>
        <v>2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13"/>
      <c r="Y152" s="52"/>
      <c r="Z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/>
      <c r="G153" s="19">
        <v>0.0</v>
      </c>
      <c r="H153" s="19"/>
      <c r="I153" s="19">
        <v>0.0</v>
      </c>
      <c r="J153" s="19">
        <v>0.0</v>
      </c>
      <c r="K153" s="19">
        <v>0.0</v>
      </c>
      <c r="L153" s="19"/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/>
      <c r="U153" s="19">
        <v>3.0</v>
      </c>
      <c r="V153" s="19">
        <v>2.0</v>
      </c>
      <c r="W153" s="19"/>
      <c r="X153" s="13">
        <f t="shared" ref="X153:X157" si="32">SUM(E153:W153)</f>
        <v>5</v>
      </c>
      <c r="Y153" s="5"/>
      <c r="Z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0.0</v>
      </c>
      <c r="F154" s="19">
        <v>1.0</v>
      </c>
      <c r="G154" s="19">
        <v>0.0</v>
      </c>
      <c r="H154" s="19"/>
      <c r="I154" s="19">
        <v>0.0</v>
      </c>
      <c r="J154" s="19">
        <v>0.0</v>
      </c>
      <c r="K154" s="19">
        <v>0.0</v>
      </c>
      <c r="L154" s="19"/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/>
      <c r="U154" s="19"/>
      <c r="V154" s="19"/>
      <c r="W154" s="19"/>
      <c r="X154" s="13">
        <f t="shared" si="32"/>
        <v>2</v>
      </c>
      <c r="Y154" s="5"/>
      <c r="Z154" s="5"/>
    </row>
    <row r="155" ht="12.75" customHeight="1">
      <c r="A155" s="18"/>
      <c r="B155" s="55">
        <v>2.0</v>
      </c>
      <c r="C155" s="59" t="s">
        <v>115</v>
      </c>
      <c r="D155" s="57"/>
      <c r="E155" s="19">
        <v>0.0</v>
      </c>
      <c r="F155" s="19"/>
      <c r="G155" s="19">
        <v>0.0</v>
      </c>
      <c r="H155" s="19"/>
      <c r="I155" s="19">
        <v>0.0</v>
      </c>
      <c r="J155" s="19">
        <v>0.0</v>
      </c>
      <c r="K155" s="19">
        <v>0.0</v>
      </c>
      <c r="L155" s="19"/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/>
      <c r="U155" s="19">
        <v>1.0</v>
      </c>
      <c r="V155" s="19"/>
      <c r="W155" s="19"/>
      <c r="X155" s="13">
        <f t="shared" si="32"/>
        <v>2</v>
      </c>
      <c r="Y155" s="5"/>
      <c r="Z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/>
      <c r="G156" s="19">
        <v>0.0</v>
      </c>
      <c r="H156" s="19"/>
      <c r="I156" s="19">
        <v>0.0</v>
      </c>
      <c r="J156" s="19">
        <v>0.0</v>
      </c>
      <c r="K156" s="19">
        <v>0.0</v>
      </c>
      <c r="L156" s="19"/>
      <c r="M156" s="19">
        <v>0.0</v>
      </c>
      <c r="N156" s="19">
        <v>0.0</v>
      </c>
      <c r="O156" s="19">
        <v>0.0</v>
      </c>
      <c r="P156" s="19">
        <v>1.0</v>
      </c>
      <c r="Q156" s="19">
        <v>1.0</v>
      </c>
      <c r="R156" s="19">
        <v>0.0</v>
      </c>
      <c r="S156" s="19">
        <v>0.0</v>
      </c>
      <c r="T156" s="19">
        <v>1.0</v>
      </c>
      <c r="U156" s="19"/>
      <c r="V156" s="19">
        <v>2.0</v>
      </c>
      <c r="W156" s="19">
        <v>1.0</v>
      </c>
      <c r="X156" s="13">
        <f t="shared" si="32"/>
        <v>6</v>
      </c>
      <c r="Y156" s="5"/>
      <c r="Z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/>
      <c r="G157" s="19">
        <v>0.0</v>
      </c>
      <c r="H157" s="19"/>
      <c r="I157" s="19">
        <v>0.0</v>
      </c>
      <c r="J157" s="19">
        <v>0.0</v>
      </c>
      <c r="K157" s="19">
        <v>0.0</v>
      </c>
      <c r="L157" s="19"/>
      <c r="M157" s="19">
        <v>0.0</v>
      </c>
      <c r="N157" s="19">
        <v>0.0</v>
      </c>
      <c r="O157" s="19">
        <v>0.0</v>
      </c>
      <c r="P157" s="19">
        <v>1.0</v>
      </c>
      <c r="Q157" s="19">
        <v>0.0</v>
      </c>
      <c r="R157" s="19">
        <v>0.0</v>
      </c>
      <c r="S157" s="19">
        <v>0.0</v>
      </c>
      <c r="T157" s="19">
        <v>1.0</v>
      </c>
      <c r="U157" s="19">
        <v>1.0</v>
      </c>
      <c r="V157" s="19"/>
      <c r="W157" s="19"/>
      <c r="X157" s="13">
        <f t="shared" si="32"/>
        <v>3</v>
      </c>
      <c r="Y157" s="5"/>
      <c r="Z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73"/>
      <c r="Y158" s="5"/>
      <c r="Z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73"/>
      <c r="Y159" s="5"/>
      <c r="Z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73"/>
      <c r="Y160" s="5"/>
      <c r="Z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73"/>
      <c r="Y161" s="5"/>
      <c r="Z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73"/>
      <c r="Y162" s="5"/>
      <c r="Z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W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2</v>
      </c>
      <c r="Q163" s="13">
        <f t="shared" si="33"/>
        <v>2</v>
      </c>
      <c r="R163" s="13">
        <f t="shared" si="33"/>
        <v>0</v>
      </c>
      <c r="S163" s="13">
        <f t="shared" si="33"/>
        <v>0</v>
      </c>
      <c r="T163" s="13">
        <f t="shared" si="33"/>
        <v>2</v>
      </c>
      <c r="U163" s="13">
        <f t="shared" si="33"/>
        <v>5</v>
      </c>
      <c r="V163" s="13">
        <f t="shared" si="33"/>
        <v>4</v>
      </c>
      <c r="W163" s="13">
        <f t="shared" si="33"/>
        <v>1</v>
      </c>
      <c r="X163" s="13">
        <f>SUM(E163:W163)</f>
        <v>18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5"/>
      <c r="Z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1.0</v>
      </c>
      <c r="H165" s="19"/>
      <c r="I165" s="19">
        <v>0.0</v>
      </c>
      <c r="J165" s="19">
        <v>0.0</v>
      </c>
      <c r="K165" s="19">
        <v>1.0</v>
      </c>
      <c r="L165" s="19"/>
      <c r="M165" s="19">
        <v>0.0</v>
      </c>
      <c r="N165" s="19"/>
      <c r="O165" s="19">
        <v>0.0</v>
      </c>
      <c r="P165" s="19">
        <v>1.0</v>
      </c>
      <c r="Q165" s="19">
        <v>0.0</v>
      </c>
      <c r="R165" s="19">
        <v>1.0</v>
      </c>
      <c r="S165" s="19">
        <v>0.0</v>
      </c>
      <c r="T165" s="19">
        <v>0.0</v>
      </c>
      <c r="U165" s="19"/>
      <c r="V165" s="19"/>
      <c r="W165" s="19">
        <v>1.0</v>
      </c>
      <c r="X165" s="13">
        <f t="shared" ref="X165:X172" si="34">SUM(E165:W165)</f>
        <v>5</v>
      </c>
      <c r="Y165" s="1"/>
      <c r="Z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0.0</v>
      </c>
      <c r="F166" s="19"/>
      <c r="G166" s="19">
        <v>0.0</v>
      </c>
      <c r="H166" s="19"/>
      <c r="I166" s="19">
        <v>0.0</v>
      </c>
      <c r="J166" s="19">
        <v>0.0</v>
      </c>
      <c r="K166" s="19">
        <v>0.0</v>
      </c>
      <c r="L166" s="19"/>
      <c r="M166" s="19">
        <v>0.0</v>
      </c>
      <c r="N166" s="19">
        <v>1.0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/>
      <c r="V166" s="19"/>
      <c r="W166" s="19"/>
      <c r="X166" s="13">
        <f t="shared" si="34"/>
        <v>1</v>
      </c>
      <c r="Y166" s="52"/>
      <c r="Z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1.0</v>
      </c>
      <c r="G167" s="19">
        <v>0.0</v>
      </c>
      <c r="H167" s="19"/>
      <c r="I167" s="19">
        <v>0.0</v>
      </c>
      <c r="J167" s="19">
        <v>0.0</v>
      </c>
      <c r="K167" s="19">
        <v>0.0</v>
      </c>
      <c r="L167" s="19"/>
      <c r="M167" s="19">
        <v>0.0</v>
      </c>
      <c r="N167" s="19"/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/>
      <c r="V167" s="19"/>
      <c r="W167" s="19"/>
      <c r="X167" s="13">
        <f t="shared" si="34"/>
        <v>1</v>
      </c>
      <c r="Y167" s="5"/>
      <c r="Z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/>
      <c r="G168" s="19">
        <v>0.0</v>
      </c>
      <c r="H168" s="19"/>
      <c r="I168" s="19">
        <v>0.0</v>
      </c>
      <c r="J168" s="19">
        <v>0.0</v>
      </c>
      <c r="K168" s="19">
        <v>0.0</v>
      </c>
      <c r="L168" s="19"/>
      <c r="M168" s="19">
        <v>0.0</v>
      </c>
      <c r="N168" s="19"/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/>
      <c r="V168" s="19"/>
      <c r="W168" s="19"/>
      <c r="X168" s="13">
        <f t="shared" si="34"/>
        <v>0</v>
      </c>
      <c r="Y168" s="5"/>
      <c r="Z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/>
      <c r="G169" s="19">
        <v>0.0</v>
      </c>
      <c r="H169" s="19"/>
      <c r="I169" s="19">
        <v>0.0</v>
      </c>
      <c r="J169" s="19">
        <v>0.0</v>
      </c>
      <c r="K169" s="19">
        <v>0.0</v>
      </c>
      <c r="L169" s="19"/>
      <c r="M169" s="19">
        <v>0.0</v>
      </c>
      <c r="N169" s="19"/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/>
      <c r="V169" s="19"/>
      <c r="W169" s="19"/>
      <c r="X169" s="13">
        <f t="shared" si="34"/>
        <v>0</v>
      </c>
      <c r="Y169" s="5"/>
      <c r="Z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/>
      <c r="G170" s="19">
        <v>0.0</v>
      </c>
      <c r="H170" s="19"/>
      <c r="I170" s="19">
        <v>0.0</v>
      </c>
      <c r="J170" s="19">
        <v>0.0</v>
      </c>
      <c r="K170" s="19">
        <v>0.0</v>
      </c>
      <c r="L170" s="19"/>
      <c r="M170" s="19">
        <v>0.0</v>
      </c>
      <c r="N170" s="19"/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/>
      <c r="V170" s="19"/>
      <c r="W170" s="19"/>
      <c r="X170" s="13">
        <f t="shared" si="34"/>
        <v>0</v>
      </c>
      <c r="Y170" s="5"/>
      <c r="Z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/>
      <c r="G171" s="19">
        <v>0.0</v>
      </c>
      <c r="H171" s="19"/>
      <c r="I171" s="19">
        <v>0.0</v>
      </c>
      <c r="J171" s="19">
        <v>0.0</v>
      </c>
      <c r="K171" s="19">
        <v>0.0</v>
      </c>
      <c r="L171" s="19"/>
      <c r="M171" s="19">
        <v>0.0</v>
      </c>
      <c r="N171" s="19"/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/>
      <c r="V171" s="19"/>
      <c r="W171" s="19"/>
      <c r="X171" s="13">
        <f t="shared" si="34"/>
        <v>0</v>
      </c>
      <c r="Y171" s="5"/>
      <c r="Z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/>
      <c r="G172" s="19">
        <v>0.0</v>
      </c>
      <c r="H172" s="19"/>
      <c r="I172" s="19">
        <v>0.0</v>
      </c>
      <c r="J172" s="19">
        <v>0.0</v>
      </c>
      <c r="K172" s="19">
        <v>0.0</v>
      </c>
      <c r="L172" s="19"/>
      <c r="M172" s="19">
        <v>0.0</v>
      </c>
      <c r="N172" s="19"/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/>
      <c r="V172" s="19"/>
      <c r="W172" s="19"/>
      <c r="X172" s="13">
        <f t="shared" si="34"/>
        <v>0</v>
      </c>
      <c r="Y172" s="5"/>
      <c r="Z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73"/>
      <c r="Y173" s="5"/>
      <c r="Z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73"/>
      <c r="Y174" s="5"/>
      <c r="Z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W175" si="35">SUM(E165:E172)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>SUM(E175:W175)</f>
        <v>7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1"/>
      <c r="Z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4.0</v>
      </c>
      <c r="G177" s="19">
        <v>1.0</v>
      </c>
      <c r="H177" s="19">
        <v>1.0</v>
      </c>
      <c r="I177" s="19">
        <v>5.0</v>
      </c>
      <c r="J177" s="19">
        <v>0.0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2.0</v>
      </c>
      <c r="Q177" s="19">
        <v>0.0</v>
      </c>
      <c r="R177" s="19">
        <v>0.0</v>
      </c>
      <c r="S177" s="19">
        <v>0.0</v>
      </c>
      <c r="T177" s="19">
        <v>0.0</v>
      </c>
      <c r="U177" s="19"/>
      <c r="V177" s="19"/>
      <c r="W177" s="19">
        <v>2.0</v>
      </c>
      <c r="X177" s="13">
        <f t="shared" ref="X177:X184" si="36">SUM(E177:W177)</f>
        <v>16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0.0</v>
      </c>
      <c r="F178" s="19">
        <v>1.0</v>
      </c>
      <c r="G178" s="19">
        <v>1.0</v>
      </c>
      <c r="H178" s="19">
        <v>1.0</v>
      </c>
      <c r="I178" s="19">
        <v>0.0</v>
      </c>
      <c r="J178" s="19">
        <v>0.0</v>
      </c>
      <c r="K178" s="19">
        <v>0.0</v>
      </c>
      <c r="L178" s="19">
        <v>2.0</v>
      </c>
      <c r="M178" s="19">
        <v>3.0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1.0</v>
      </c>
      <c r="U178" s="19"/>
      <c r="V178" s="19"/>
      <c r="W178" s="19">
        <v>1.0</v>
      </c>
      <c r="X178" s="13">
        <f t="shared" si="36"/>
        <v>11</v>
      </c>
      <c r="Y178" s="5"/>
      <c r="Z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/>
      <c r="G179" s="19">
        <v>0.0</v>
      </c>
      <c r="H179" s="19"/>
      <c r="I179" s="19">
        <v>0.0</v>
      </c>
      <c r="J179" s="19">
        <v>0.0</v>
      </c>
      <c r="K179" s="19">
        <v>1.0</v>
      </c>
      <c r="L179" s="19">
        <v>1.0</v>
      </c>
      <c r="M179" s="19">
        <v>0.0</v>
      </c>
      <c r="N179" s="19">
        <v>0.0</v>
      </c>
      <c r="O179" s="19">
        <v>0.0</v>
      </c>
      <c r="P179" s="19"/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1.0</v>
      </c>
      <c r="W179" s="19"/>
      <c r="X179" s="13">
        <f t="shared" si="36"/>
        <v>4</v>
      </c>
      <c r="Y179" s="5"/>
      <c r="Z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/>
      <c r="G180" s="19">
        <v>0.0</v>
      </c>
      <c r="H180" s="19"/>
      <c r="I180" s="19">
        <v>0.0</v>
      </c>
      <c r="J180" s="19">
        <v>0.0</v>
      </c>
      <c r="K180" s="19">
        <v>0.0</v>
      </c>
      <c r="L180" s="19"/>
      <c r="M180" s="19">
        <v>0.0</v>
      </c>
      <c r="N180" s="19">
        <v>0.0</v>
      </c>
      <c r="O180" s="19">
        <v>0.0</v>
      </c>
      <c r="P180" s="19"/>
      <c r="Q180" s="19">
        <v>1.0</v>
      </c>
      <c r="R180" s="19">
        <v>0.0</v>
      </c>
      <c r="S180" s="19">
        <v>0.0</v>
      </c>
      <c r="T180" s="19">
        <v>0.0</v>
      </c>
      <c r="U180" s="19"/>
      <c r="V180" s="19"/>
      <c r="W180" s="19"/>
      <c r="X180" s="13">
        <f t="shared" si="36"/>
        <v>1</v>
      </c>
      <c r="Y180" s="5"/>
      <c r="Z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/>
      <c r="G181" s="19">
        <v>0.0</v>
      </c>
      <c r="H181" s="19"/>
      <c r="I181" s="19">
        <v>0.0</v>
      </c>
      <c r="J181" s="19">
        <v>0.0</v>
      </c>
      <c r="K181" s="19">
        <v>0.0</v>
      </c>
      <c r="L181" s="19"/>
      <c r="M181" s="19">
        <v>0.0</v>
      </c>
      <c r="N181" s="19">
        <v>0.0</v>
      </c>
      <c r="O181" s="19">
        <v>0.0</v>
      </c>
      <c r="P181" s="19"/>
      <c r="Q181" s="19">
        <v>0.0</v>
      </c>
      <c r="R181" s="19">
        <v>0.0</v>
      </c>
      <c r="S181" s="19">
        <v>0.0</v>
      </c>
      <c r="T181" s="19">
        <v>0.0</v>
      </c>
      <c r="U181" s="19"/>
      <c r="V181" s="19"/>
      <c r="W181" s="19"/>
      <c r="X181" s="13">
        <f t="shared" si="36"/>
        <v>0</v>
      </c>
      <c r="Y181" s="5"/>
      <c r="Z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/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/>
      <c r="M182" s="19">
        <v>0.0</v>
      </c>
      <c r="N182" s="19">
        <v>0.0</v>
      </c>
      <c r="O182" s="19">
        <v>0.0</v>
      </c>
      <c r="P182" s="19"/>
      <c r="Q182" s="19">
        <v>0.0</v>
      </c>
      <c r="R182" s="19">
        <v>0.0</v>
      </c>
      <c r="S182" s="19">
        <v>0.0</v>
      </c>
      <c r="T182" s="19">
        <v>1.0</v>
      </c>
      <c r="U182" s="19"/>
      <c r="V182" s="19"/>
      <c r="W182" s="19"/>
      <c r="X182" s="13">
        <f t="shared" si="36"/>
        <v>2</v>
      </c>
      <c r="Y182" s="5"/>
      <c r="Z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/>
      <c r="G183" s="19">
        <v>0.0</v>
      </c>
      <c r="H183" s="19"/>
      <c r="I183" s="19">
        <v>0.0</v>
      </c>
      <c r="J183" s="19">
        <v>0.0</v>
      </c>
      <c r="K183" s="19">
        <v>0.0</v>
      </c>
      <c r="L183" s="19"/>
      <c r="M183" s="19">
        <v>0.0</v>
      </c>
      <c r="N183" s="19">
        <v>0.0</v>
      </c>
      <c r="O183" s="19">
        <v>0.0</v>
      </c>
      <c r="P183" s="19"/>
      <c r="Q183" s="19">
        <v>0.0</v>
      </c>
      <c r="R183" s="19">
        <v>0.0</v>
      </c>
      <c r="S183" s="19">
        <v>0.0</v>
      </c>
      <c r="T183" s="19">
        <v>0.0</v>
      </c>
      <c r="U183" s="19"/>
      <c r="V183" s="19"/>
      <c r="W183" s="19"/>
      <c r="X183" s="13">
        <f t="shared" si="36"/>
        <v>0</v>
      </c>
      <c r="Y183" s="5"/>
      <c r="Z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15.0</v>
      </c>
      <c r="G184" s="19">
        <v>15.0</v>
      </c>
      <c r="H184" s="19">
        <v>7.0</v>
      </c>
      <c r="I184" s="19">
        <v>29.0</v>
      </c>
      <c r="J184" s="19">
        <v>0.0</v>
      </c>
      <c r="K184" s="19">
        <v>3.0</v>
      </c>
      <c r="L184" s="19">
        <v>6.0</v>
      </c>
      <c r="M184" s="19">
        <v>14.0</v>
      </c>
      <c r="N184" s="19">
        <v>2.0</v>
      </c>
      <c r="O184" s="19">
        <v>2.0</v>
      </c>
      <c r="P184" s="19"/>
      <c r="Q184" s="19">
        <v>0.0</v>
      </c>
      <c r="R184" s="19">
        <v>0.0</v>
      </c>
      <c r="S184" s="19">
        <v>1.0</v>
      </c>
      <c r="T184" s="19">
        <v>0.0</v>
      </c>
      <c r="U184" s="19"/>
      <c r="V184" s="19">
        <v>20.0</v>
      </c>
      <c r="W184" s="19">
        <v>17.0</v>
      </c>
      <c r="X184" s="13">
        <f t="shared" si="36"/>
        <v>131</v>
      </c>
      <c r="Y184" s="5"/>
      <c r="Z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73"/>
      <c r="Y185" s="5"/>
      <c r="Z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73"/>
      <c r="Y186" s="5"/>
      <c r="Z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W187" si="37">SUM(E177:E184)</f>
        <v>0</v>
      </c>
      <c r="F187" s="13">
        <f t="shared" si="37"/>
        <v>20</v>
      </c>
      <c r="G187" s="13">
        <f t="shared" si="37"/>
        <v>17</v>
      </c>
      <c r="H187" s="13">
        <f t="shared" si="37"/>
        <v>10</v>
      </c>
      <c r="I187" s="13">
        <f t="shared" si="37"/>
        <v>34</v>
      </c>
      <c r="J187" s="13">
        <f t="shared" si="37"/>
        <v>0</v>
      </c>
      <c r="K187" s="13">
        <f t="shared" si="37"/>
        <v>4</v>
      </c>
      <c r="L187" s="13">
        <f t="shared" si="37"/>
        <v>10</v>
      </c>
      <c r="M187" s="13">
        <f t="shared" si="37"/>
        <v>17</v>
      </c>
      <c r="N187" s="13">
        <f t="shared" si="37"/>
        <v>2</v>
      </c>
      <c r="O187" s="13">
        <f t="shared" si="37"/>
        <v>2</v>
      </c>
      <c r="P187" s="13">
        <f t="shared" si="37"/>
        <v>3</v>
      </c>
      <c r="Q187" s="13">
        <f t="shared" si="37"/>
        <v>1</v>
      </c>
      <c r="R187" s="13">
        <f t="shared" si="37"/>
        <v>0</v>
      </c>
      <c r="S187" s="13">
        <f t="shared" si="37"/>
        <v>1</v>
      </c>
      <c r="T187" s="13">
        <f t="shared" si="37"/>
        <v>2</v>
      </c>
      <c r="U187" s="13">
        <f t="shared" si="37"/>
        <v>1</v>
      </c>
      <c r="V187" s="13">
        <f t="shared" si="37"/>
        <v>21</v>
      </c>
      <c r="W187" s="13">
        <f t="shared" si="37"/>
        <v>20</v>
      </c>
      <c r="X187" s="13">
        <f>SUM(E187:W187)</f>
        <v>165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/>
      <c r="G189" s="19">
        <v>1.0</v>
      </c>
      <c r="H189" s="19"/>
      <c r="I189" s="19">
        <v>0.0</v>
      </c>
      <c r="J189" s="19"/>
      <c r="K189" s="19">
        <v>0.0</v>
      </c>
      <c r="L189" s="19"/>
      <c r="M189" s="19">
        <v>0.0</v>
      </c>
      <c r="N189" s="19">
        <v>0.0</v>
      </c>
      <c r="O189" s="19">
        <v>0.0</v>
      </c>
      <c r="P189" s="19"/>
      <c r="Q189" s="19">
        <v>0.0</v>
      </c>
      <c r="R189" s="19">
        <v>0.0</v>
      </c>
      <c r="S189" s="19">
        <v>0.0</v>
      </c>
      <c r="T189" s="19">
        <v>0.0</v>
      </c>
      <c r="U189" s="19"/>
      <c r="V189" s="19"/>
      <c r="W189" s="19"/>
      <c r="X189" s="13">
        <f t="shared" ref="X189:X196" si="38">SUM(E189:W189)</f>
        <v>1</v>
      </c>
      <c r="Y189" s="5"/>
      <c r="Z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/>
      <c r="G190" s="19">
        <v>0.0</v>
      </c>
      <c r="H190" s="19"/>
      <c r="I190" s="19">
        <v>0.0</v>
      </c>
      <c r="J190" s="19"/>
      <c r="K190" s="19">
        <v>0.0</v>
      </c>
      <c r="L190" s="19"/>
      <c r="M190" s="19">
        <v>0.0</v>
      </c>
      <c r="N190" s="19">
        <v>0.0</v>
      </c>
      <c r="O190" s="19">
        <v>0.0</v>
      </c>
      <c r="P190" s="19"/>
      <c r="Q190" s="19">
        <v>0.0</v>
      </c>
      <c r="R190" s="19">
        <v>0.0</v>
      </c>
      <c r="S190" s="19">
        <v>0.0</v>
      </c>
      <c r="T190" s="19">
        <v>0.0</v>
      </c>
      <c r="U190" s="19"/>
      <c r="V190" s="19"/>
      <c r="W190" s="19"/>
      <c r="X190" s="13">
        <f t="shared" si="38"/>
        <v>0</v>
      </c>
      <c r="Y190" s="5"/>
      <c r="Z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/>
      <c r="G191" s="19">
        <v>0.0</v>
      </c>
      <c r="H191" s="19"/>
      <c r="I191" s="19">
        <v>0.0</v>
      </c>
      <c r="J191" s="19"/>
      <c r="K191" s="19">
        <v>2.0</v>
      </c>
      <c r="L191" s="19"/>
      <c r="M191" s="19">
        <v>0.0</v>
      </c>
      <c r="N191" s="19">
        <v>0.0</v>
      </c>
      <c r="O191" s="19">
        <v>0.0</v>
      </c>
      <c r="P191" s="19"/>
      <c r="Q191" s="19">
        <v>0.0</v>
      </c>
      <c r="R191" s="19">
        <v>0.0</v>
      </c>
      <c r="S191" s="19">
        <v>0.0</v>
      </c>
      <c r="T191" s="19">
        <v>0.0</v>
      </c>
      <c r="U191" s="19"/>
      <c r="V191" s="19"/>
      <c r="W191" s="19"/>
      <c r="X191" s="13">
        <f t="shared" si="38"/>
        <v>2</v>
      </c>
      <c r="Y191" s="5"/>
      <c r="Z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/>
      <c r="G192" s="19">
        <v>0.0</v>
      </c>
      <c r="H192" s="19"/>
      <c r="I192" s="19">
        <v>0.0</v>
      </c>
      <c r="J192" s="19"/>
      <c r="K192" s="19">
        <v>0.0</v>
      </c>
      <c r="L192" s="19"/>
      <c r="M192" s="19">
        <v>0.0</v>
      </c>
      <c r="N192" s="19">
        <v>0.0</v>
      </c>
      <c r="O192" s="19">
        <v>0.0</v>
      </c>
      <c r="P192" s="19"/>
      <c r="Q192" s="19">
        <v>0.0</v>
      </c>
      <c r="R192" s="19">
        <v>0.0</v>
      </c>
      <c r="S192" s="19">
        <v>0.0</v>
      </c>
      <c r="T192" s="19">
        <v>0.0</v>
      </c>
      <c r="U192" s="19"/>
      <c r="V192" s="19"/>
      <c r="W192" s="19"/>
      <c r="X192" s="13">
        <f t="shared" si="38"/>
        <v>0</v>
      </c>
      <c r="Y192" s="5"/>
      <c r="Z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/>
      <c r="G193" s="19">
        <v>0.0</v>
      </c>
      <c r="H193" s="19"/>
      <c r="I193" s="19">
        <v>0.0</v>
      </c>
      <c r="J193" s="19"/>
      <c r="K193" s="19">
        <v>0.0</v>
      </c>
      <c r="L193" s="19"/>
      <c r="M193" s="19">
        <v>0.0</v>
      </c>
      <c r="N193" s="19">
        <v>0.0</v>
      </c>
      <c r="O193" s="19">
        <v>0.0</v>
      </c>
      <c r="P193" s="19"/>
      <c r="Q193" s="19">
        <v>0.0</v>
      </c>
      <c r="R193" s="19">
        <v>0.0</v>
      </c>
      <c r="S193" s="19">
        <v>0.0</v>
      </c>
      <c r="T193" s="19">
        <v>0.0</v>
      </c>
      <c r="U193" s="19"/>
      <c r="V193" s="19"/>
      <c r="W193" s="19"/>
      <c r="X193" s="13">
        <f t="shared" si="38"/>
        <v>0</v>
      </c>
      <c r="Y193" s="5"/>
      <c r="Z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/>
      <c r="G194" s="19">
        <v>0.0</v>
      </c>
      <c r="H194" s="19"/>
      <c r="I194" s="19">
        <v>0.0</v>
      </c>
      <c r="J194" s="19"/>
      <c r="K194" s="19">
        <v>0.0</v>
      </c>
      <c r="L194" s="19"/>
      <c r="M194" s="19">
        <v>0.0</v>
      </c>
      <c r="N194" s="19">
        <v>0.0</v>
      </c>
      <c r="O194" s="19">
        <v>0.0</v>
      </c>
      <c r="P194" s="19"/>
      <c r="Q194" s="19">
        <v>0.0</v>
      </c>
      <c r="R194" s="19">
        <v>0.0</v>
      </c>
      <c r="S194" s="19">
        <v>0.0</v>
      </c>
      <c r="T194" s="19">
        <v>0.0</v>
      </c>
      <c r="U194" s="19"/>
      <c r="V194" s="19"/>
      <c r="W194" s="19"/>
      <c r="X194" s="13">
        <f t="shared" si="38"/>
        <v>0</v>
      </c>
      <c r="Y194" s="5"/>
      <c r="Z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/>
      <c r="G195" s="19">
        <v>0.0</v>
      </c>
      <c r="H195" s="19"/>
      <c r="I195" s="19">
        <v>0.0</v>
      </c>
      <c r="J195" s="19"/>
      <c r="K195" s="19">
        <v>0.0</v>
      </c>
      <c r="L195" s="19"/>
      <c r="M195" s="19">
        <v>0.0</v>
      </c>
      <c r="N195" s="19">
        <v>0.0</v>
      </c>
      <c r="O195" s="19">
        <v>0.0</v>
      </c>
      <c r="P195" s="19"/>
      <c r="Q195" s="19">
        <v>0.0</v>
      </c>
      <c r="R195" s="19">
        <v>0.0</v>
      </c>
      <c r="S195" s="19">
        <v>0.0</v>
      </c>
      <c r="T195" s="19">
        <v>0.0</v>
      </c>
      <c r="U195" s="19"/>
      <c r="V195" s="19"/>
      <c r="W195" s="19"/>
      <c r="X195" s="13">
        <f t="shared" si="38"/>
        <v>0</v>
      </c>
      <c r="Y195" s="5"/>
      <c r="Z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/>
      <c r="G196" s="19">
        <v>0.0</v>
      </c>
      <c r="H196" s="19"/>
      <c r="I196" s="19">
        <v>0.0</v>
      </c>
      <c r="J196" s="19"/>
      <c r="K196" s="19">
        <v>0.0</v>
      </c>
      <c r="L196" s="19"/>
      <c r="M196" s="19">
        <v>0.0</v>
      </c>
      <c r="N196" s="19">
        <v>0.0</v>
      </c>
      <c r="O196" s="19">
        <v>0.0</v>
      </c>
      <c r="P196" s="19"/>
      <c r="Q196" s="19">
        <v>0.0</v>
      </c>
      <c r="R196" s="19">
        <v>0.0</v>
      </c>
      <c r="S196" s="19">
        <v>0.0</v>
      </c>
      <c r="T196" s="19">
        <v>0.0</v>
      </c>
      <c r="U196" s="19"/>
      <c r="V196" s="19"/>
      <c r="W196" s="19"/>
      <c r="X196" s="13">
        <f t="shared" si="38"/>
        <v>0</v>
      </c>
      <c r="Y196" s="1"/>
      <c r="Z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73"/>
      <c r="Y197" s="1"/>
      <c r="Z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73"/>
      <c r="Y198" s="1"/>
      <c r="Z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W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>SUM(E199:W199)</f>
        <v>3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5"/>
      <c r="Z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3.0</v>
      </c>
      <c r="F201" s="19">
        <v>1.0</v>
      </c>
      <c r="G201" s="19">
        <v>2.0</v>
      </c>
      <c r="H201" s="19">
        <v>2.0</v>
      </c>
      <c r="I201" s="19">
        <v>1.0</v>
      </c>
      <c r="J201" s="19">
        <v>1.0</v>
      </c>
      <c r="K201" s="19">
        <v>3.0</v>
      </c>
      <c r="L201" s="19">
        <v>5.0</v>
      </c>
      <c r="M201" s="19">
        <v>6.0</v>
      </c>
      <c r="N201" s="19">
        <v>0.0</v>
      </c>
      <c r="O201" s="19">
        <v>0.0</v>
      </c>
      <c r="P201" s="19">
        <v>4.0</v>
      </c>
      <c r="Q201" s="19">
        <v>0.0</v>
      </c>
      <c r="R201" s="19">
        <v>0.0</v>
      </c>
      <c r="S201" s="19">
        <v>2.0</v>
      </c>
      <c r="T201" s="19">
        <v>1.0</v>
      </c>
      <c r="U201" s="19"/>
      <c r="V201" s="19">
        <v>1.0</v>
      </c>
      <c r="W201" s="19">
        <v>1.0</v>
      </c>
      <c r="X201" s="13">
        <f t="shared" ref="X201:X208" si="40">SUM(E201:W201)</f>
        <v>33</v>
      </c>
      <c r="Y201" s="5"/>
      <c r="Z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9.0</v>
      </c>
      <c r="F202" s="19">
        <v>3.0</v>
      </c>
      <c r="G202" s="19">
        <v>1.0</v>
      </c>
      <c r="H202" s="19">
        <v>4.0</v>
      </c>
      <c r="I202" s="19">
        <v>2.0</v>
      </c>
      <c r="J202" s="19">
        <v>2.0</v>
      </c>
      <c r="K202" s="19">
        <v>3.0</v>
      </c>
      <c r="L202" s="19">
        <v>4.0</v>
      </c>
      <c r="M202" s="19">
        <v>6.0</v>
      </c>
      <c r="N202" s="19">
        <v>1.0</v>
      </c>
      <c r="O202" s="19">
        <v>10.0</v>
      </c>
      <c r="P202" s="19">
        <v>8.0</v>
      </c>
      <c r="Q202" s="19">
        <v>1.0</v>
      </c>
      <c r="R202" s="19">
        <v>1.0</v>
      </c>
      <c r="S202" s="19">
        <v>0.0</v>
      </c>
      <c r="T202" s="19">
        <v>1.0</v>
      </c>
      <c r="U202" s="19">
        <v>1.0</v>
      </c>
      <c r="V202" s="19">
        <v>8.0</v>
      </c>
      <c r="W202" s="19"/>
      <c r="X202" s="13">
        <f t="shared" si="40"/>
        <v>65</v>
      </c>
      <c r="Y202" s="5"/>
      <c r="Z202" s="5"/>
    </row>
    <row r="203" ht="12.75" customHeight="1">
      <c r="A203" s="18"/>
      <c r="B203" s="55">
        <v>2.0</v>
      </c>
      <c r="C203" s="50" t="s">
        <v>148</v>
      </c>
      <c r="D203" s="57"/>
      <c r="E203" s="19">
        <v>0.0</v>
      </c>
      <c r="F203" s="19"/>
      <c r="G203" s="19">
        <v>1.0</v>
      </c>
      <c r="H203" s="19">
        <v>1.0</v>
      </c>
      <c r="I203" s="19">
        <v>1.0</v>
      </c>
      <c r="J203" s="19"/>
      <c r="K203" s="19">
        <v>0.0</v>
      </c>
      <c r="L203" s="19"/>
      <c r="M203" s="19">
        <v>0.0</v>
      </c>
      <c r="N203" s="19">
        <v>1.0</v>
      </c>
      <c r="O203" s="19">
        <v>0.0</v>
      </c>
      <c r="P203" s="19">
        <v>2.0</v>
      </c>
      <c r="Q203" s="19">
        <v>2.0</v>
      </c>
      <c r="R203" s="19">
        <v>0.0</v>
      </c>
      <c r="S203" s="19">
        <v>1.0</v>
      </c>
      <c r="T203" s="19">
        <v>0.0</v>
      </c>
      <c r="U203" s="19"/>
      <c r="V203" s="19"/>
      <c r="W203" s="19"/>
      <c r="X203" s="13">
        <f t="shared" si="40"/>
        <v>9</v>
      </c>
      <c r="Y203" s="5"/>
      <c r="Z203" s="5"/>
    </row>
    <row r="204" ht="12.75" customHeight="1">
      <c r="A204" s="18"/>
      <c r="B204" s="55">
        <v>3.0</v>
      </c>
      <c r="C204" s="50" t="s">
        <v>149</v>
      </c>
      <c r="D204" s="57"/>
      <c r="E204" s="19">
        <v>0.0</v>
      </c>
      <c r="F204" s="19"/>
      <c r="G204" s="19">
        <v>0.0</v>
      </c>
      <c r="H204" s="19"/>
      <c r="I204" s="19">
        <v>0.0</v>
      </c>
      <c r="J204" s="19">
        <v>1.0</v>
      </c>
      <c r="K204" s="19">
        <v>0.0</v>
      </c>
      <c r="L204" s="19"/>
      <c r="M204" s="19">
        <v>0.0</v>
      </c>
      <c r="N204" s="19">
        <v>1.0</v>
      </c>
      <c r="O204" s="19">
        <v>0.0</v>
      </c>
      <c r="P204" s="19"/>
      <c r="Q204" s="19">
        <v>0.0</v>
      </c>
      <c r="R204" s="19">
        <v>0.0</v>
      </c>
      <c r="S204" s="19">
        <v>0.0</v>
      </c>
      <c r="T204" s="19">
        <v>1.0</v>
      </c>
      <c r="U204" s="19"/>
      <c r="V204" s="19"/>
      <c r="W204" s="19"/>
      <c r="X204" s="13">
        <f t="shared" si="40"/>
        <v>3</v>
      </c>
      <c r="Y204" s="5"/>
      <c r="Z204" s="5"/>
    </row>
    <row r="205" ht="12.75" customHeight="1">
      <c r="A205" s="18"/>
      <c r="B205" s="55">
        <v>4.0</v>
      </c>
      <c r="C205" s="50" t="s">
        <v>150</v>
      </c>
      <c r="D205" s="57"/>
      <c r="E205" s="19">
        <v>0.0</v>
      </c>
      <c r="F205" s="19"/>
      <c r="G205" s="19">
        <v>0.0</v>
      </c>
      <c r="H205" s="19"/>
      <c r="I205" s="19">
        <v>0.0</v>
      </c>
      <c r="J205" s="19"/>
      <c r="K205" s="19">
        <v>1.0</v>
      </c>
      <c r="L205" s="19"/>
      <c r="M205" s="19">
        <v>1.0</v>
      </c>
      <c r="N205" s="19">
        <v>1.0</v>
      </c>
      <c r="O205" s="19">
        <v>0.0</v>
      </c>
      <c r="P205" s="19"/>
      <c r="Q205" s="19">
        <v>0.0</v>
      </c>
      <c r="R205" s="19">
        <v>0.0</v>
      </c>
      <c r="S205" s="19">
        <v>1.0</v>
      </c>
      <c r="T205" s="19">
        <v>0.0</v>
      </c>
      <c r="U205" s="19"/>
      <c r="V205" s="19"/>
      <c r="W205" s="19"/>
      <c r="X205" s="13">
        <f t="shared" si="40"/>
        <v>4</v>
      </c>
      <c r="Y205" s="5"/>
      <c r="Z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/>
      <c r="G206" s="19">
        <v>0.0</v>
      </c>
      <c r="H206" s="19"/>
      <c r="I206" s="19">
        <v>0.0</v>
      </c>
      <c r="J206" s="19"/>
      <c r="K206" s="19">
        <v>0.0</v>
      </c>
      <c r="L206" s="19"/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1.0</v>
      </c>
      <c r="S206" s="19">
        <v>0.0</v>
      </c>
      <c r="T206" s="19">
        <v>0.0</v>
      </c>
      <c r="U206" s="19"/>
      <c r="V206" s="19">
        <v>1.0</v>
      </c>
      <c r="W206" s="19"/>
      <c r="X206" s="13">
        <f t="shared" si="40"/>
        <v>3</v>
      </c>
      <c r="Y206" s="5"/>
      <c r="Z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/>
      <c r="G207" s="19">
        <v>0.0</v>
      </c>
      <c r="H207" s="19"/>
      <c r="I207" s="19">
        <v>0.0</v>
      </c>
      <c r="J207" s="19"/>
      <c r="K207" s="19">
        <v>1.0</v>
      </c>
      <c r="L207" s="19"/>
      <c r="M207" s="19">
        <v>0.0</v>
      </c>
      <c r="N207" s="19">
        <v>0.0</v>
      </c>
      <c r="O207" s="19">
        <v>0.0</v>
      </c>
      <c r="P207" s="19"/>
      <c r="Q207" s="19">
        <v>0.0</v>
      </c>
      <c r="R207" s="19">
        <v>0.0</v>
      </c>
      <c r="S207" s="19">
        <v>0.0</v>
      </c>
      <c r="T207" s="19">
        <v>0.0</v>
      </c>
      <c r="U207" s="19"/>
      <c r="V207" s="19"/>
      <c r="W207" s="19"/>
      <c r="X207" s="13">
        <f t="shared" si="40"/>
        <v>1</v>
      </c>
      <c r="Y207" s="1"/>
      <c r="Z207" s="1"/>
    </row>
    <row r="208" ht="12.75" customHeight="1">
      <c r="A208" s="18"/>
      <c r="B208" s="55">
        <v>7.0</v>
      </c>
      <c r="C208" s="50" t="s">
        <v>153</v>
      </c>
      <c r="D208" s="57"/>
      <c r="E208" s="19">
        <v>0.0</v>
      </c>
      <c r="F208" s="19">
        <v>1.0</v>
      </c>
      <c r="G208" s="19">
        <v>0.0</v>
      </c>
      <c r="H208" s="19"/>
      <c r="I208" s="19">
        <v>0.0</v>
      </c>
      <c r="J208" s="19">
        <v>1.0</v>
      </c>
      <c r="K208" s="19">
        <v>0.0</v>
      </c>
      <c r="L208" s="19">
        <v>1.0</v>
      </c>
      <c r="M208" s="19">
        <v>1.0</v>
      </c>
      <c r="N208" s="19">
        <v>0.0</v>
      </c>
      <c r="O208" s="19">
        <v>0.0</v>
      </c>
      <c r="P208" s="19"/>
      <c r="Q208" s="19">
        <v>0.0</v>
      </c>
      <c r="R208" s="19">
        <v>0.0</v>
      </c>
      <c r="S208" s="19">
        <v>0.0</v>
      </c>
      <c r="T208" s="19">
        <v>0.0</v>
      </c>
      <c r="U208" s="19"/>
      <c r="V208" s="19"/>
      <c r="W208" s="19"/>
      <c r="X208" s="13">
        <f t="shared" si="40"/>
        <v>4</v>
      </c>
      <c r="Y208" s="52"/>
      <c r="Z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73"/>
      <c r="Y209" s="52"/>
      <c r="Z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73"/>
      <c r="Y210" s="52"/>
      <c r="Z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W211" si="41">SUM(E201:E208)</f>
        <v>12</v>
      </c>
      <c r="F211" s="13">
        <f t="shared" si="41"/>
        <v>5</v>
      </c>
      <c r="G211" s="13">
        <f t="shared" si="41"/>
        <v>4</v>
      </c>
      <c r="H211" s="13">
        <f t="shared" si="41"/>
        <v>7</v>
      </c>
      <c r="I211" s="13">
        <f t="shared" si="41"/>
        <v>4</v>
      </c>
      <c r="J211" s="13">
        <f t="shared" si="41"/>
        <v>5</v>
      </c>
      <c r="K211" s="13">
        <f t="shared" si="41"/>
        <v>8</v>
      </c>
      <c r="L211" s="13">
        <f t="shared" si="41"/>
        <v>10</v>
      </c>
      <c r="M211" s="13">
        <f t="shared" si="41"/>
        <v>14</v>
      </c>
      <c r="N211" s="13">
        <f t="shared" si="41"/>
        <v>4</v>
      </c>
      <c r="O211" s="13">
        <f t="shared" si="41"/>
        <v>10</v>
      </c>
      <c r="P211" s="13">
        <f t="shared" si="41"/>
        <v>15</v>
      </c>
      <c r="Q211" s="13">
        <f t="shared" si="41"/>
        <v>3</v>
      </c>
      <c r="R211" s="13">
        <f t="shared" si="41"/>
        <v>2</v>
      </c>
      <c r="S211" s="13">
        <f t="shared" si="41"/>
        <v>4</v>
      </c>
      <c r="T211" s="13">
        <f t="shared" si="41"/>
        <v>3</v>
      </c>
      <c r="U211" s="13">
        <f t="shared" si="41"/>
        <v>1</v>
      </c>
      <c r="V211" s="13">
        <f t="shared" si="41"/>
        <v>10</v>
      </c>
      <c r="W211" s="13">
        <f t="shared" si="41"/>
        <v>1</v>
      </c>
      <c r="X211" s="13">
        <f>SUM(E211:W211)</f>
        <v>122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5"/>
      <c r="Z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0.0</v>
      </c>
      <c r="F213" s="19">
        <v>2.0</v>
      </c>
      <c r="G213" s="19">
        <v>1.0</v>
      </c>
      <c r="H213" s="19"/>
      <c r="I213" s="19">
        <v>0.0</v>
      </c>
      <c r="J213" s="19">
        <v>0.0</v>
      </c>
      <c r="K213" s="19">
        <v>0.0</v>
      </c>
      <c r="L213" s="19">
        <v>1.0</v>
      </c>
      <c r="M213" s="19">
        <v>4.0</v>
      </c>
      <c r="N213" s="19">
        <v>0.0</v>
      </c>
      <c r="O213" s="19">
        <v>0.0</v>
      </c>
      <c r="P213" s="19">
        <v>0.0</v>
      </c>
      <c r="Q213" s="19">
        <v>5.0</v>
      </c>
      <c r="R213" s="19">
        <v>1.0</v>
      </c>
      <c r="S213" s="19">
        <v>2.0</v>
      </c>
      <c r="T213" s="19">
        <v>0.0</v>
      </c>
      <c r="U213" s="19">
        <v>2.0</v>
      </c>
      <c r="V213" s="19">
        <v>1.0</v>
      </c>
      <c r="W213" s="19">
        <v>0.0</v>
      </c>
      <c r="X213" s="13">
        <f t="shared" ref="X213:X220" si="42">SUM(E213:W213)</f>
        <v>19</v>
      </c>
      <c r="Y213" s="5"/>
      <c r="Z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1.0</v>
      </c>
      <c r="F214" s="19"/>
      <c r="G214" s="19">
        <v>0.0</v>
      </c>
      <c r="H214" s="19"/>
      <c r="I214" s="19">
        <v>0.0</v>
      </c>
      <c r="J214" s="19">
        <v>1.0</v>
      </c>
      <c r="K214" s="19">
        <v>0.0</v>
      </c>
      <c r="L214" s="19"/>
      <c r="M214" s="19">
        <v>2.0</v>
      </c>
      <c r="N214" s="19">
        <v>0.0</v>
      </c>
      <c r="O214" s="19">
        <v>0.0</v>
      </c>
      <c r="P214" s="19">
        <v>2.0</v>
      </c>
      <c r="Q214" s="19">
        <v>0.0</v>
      </c>
      <c r="R214" s="19">
        <v>0.0</v>
      </c>
      <c r="S214" s="19">
        <v>0.0</v>
      </c>
      <c r="T214" s="19">
        <v>0.0</v>
      </c>
      <c r="U214" s="19">
        <v>1.0</v>
      </c>
      <c r="V214" s="19"/>
      <c r="W214" s="19">
        <v>1.0</v>
      </c>
      <c r="X214" s="13">
        <f t="shared" si="42"/>
        <v>8</v>
      </c>
      <c r="Y214" s="5"/>
      <c r="Z214" s="5"/>
    </row>
    <row r="215" ht="12.75" customHeight="1">
      <c r="A215" s="18"/>
      <c r="B215" s="55">
        <v>2.0</v>
      </c>
      <c r="C215" s="50" t="s">
        <v>157</v>
      </c>
      <c r="D215" s="56"/>
      <c r="E215" s="19">
        <v>0.0</v>
      </c>
      <c r="F215" s="19"/>
      <c r="G215" s="19">
        <v>2.0</v>
      </c>
      <c r="H215" s="19">
        <v>2.0</v>
      </c>
      <c r="I215" s="19">
        <v>12.0</v>
      </c>
      <c r="J215" s="19">
        <v>4.0</v>
      </c>
      <c r="K215" s="19">
        <v>1.0</v>
      </c>
      <c r="L215" s="19">
        <v>2.0</v>
      </c>
      <c r="M215" s="19">
        <v>10.0</v>
      </c>
      <c r="N215" s="19">
        <v>4.0</v>
      </c>
      <c r="O215" s="19">
        <v>18.0</v>
      </c>
      <c r="P215" s="19">
        <v>2.0</v>
      </c>
      <c r="Q215" s="19">
        <v>21.0</v>
      </c>
      <c r="R215" s="19">
        <v>32.0</v>
      </c>
      <c r="S215" s="19">
        <v>22.0</v>
      </c>
      <c r="T215" s="19">
        <v>14.0</v>
      </c>
      <c r="U215" s="19">
        <v>31.0</v>
      </c>
      <c r="V215" s="19">
        <v>10.0</v>
      </c>
      <c r="W215" s="19">
        <v>52.0</v>
      </c>
      <c r="X215" s="13">
        <f t="shared" si="42"/>
        <v>239</v>
      </c>
      <c r="Y215" s="5"/>
      <c r="Z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/>
      <c r="G216" s="19">
        <v>0.0</v>
      </c>
      <c r="H216" s="19"/>
      <c r="I216" s="19">
        <v>0.0</v>
      </c>
      <c r="J216" s="19">
        <v>0.0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2.0</v>
      </c>
      <c r="T216" s="19">
        <v>0.0</v>
      </c>
      <c r="U216" s="19"/>
      <c r="V216" s="19"/>
      <c r="W216" s="19"/>
      <c r="X216" s="13">
        <f t="shared" si="42"/>
        <v>5</v>
      </c>
      <c r="Y216" s="5"/>
      <c r="Z216" s="5"/>
    </row>
    <row r="217" ht="12.75" customHeight="1">
      <c r="A217" s="18"/>
      <c r="B217" s="55">
        <v>4.0</v>
      </c>
      <c r="C217" s="50" t="s">
        <v>159</v>
      </c>
      <c r="D217" s="56"/>
      <c r="E217" s="19">
        <v>0.0</v>
      </c>
      <c r="F217" s="19"/>
      <c r="G217" s="19">
        <v>0.0</v>
      </c>
      <c r="H217" s="19"/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/>
      <c r="V217" s="19"/>
      <c r="W217" s="19"/>
      <c r="X217" s="13">
        <f t="shared" si="42"/>
        <v>1</v>
      </c>
      <c r="Y217" s="5"/>
      <c r="Z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/>
      <c r="G218" s="19">
        <v>0.0</v>
      </c>
      <c r="H218" s="19"/>
      <c r="I218" s="19">
        <v>0.0</v>
      </c>
      <c r="J218" s="19">
        <v>0.0</v>
      </c>
      <c r="K218" s="19">
        <v>0.0</v>
      </c>
      <c r="L218" s="19"/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/>
      <c r="V218" s="19"/>
      <c r="W218" s="19"/>
      <c r="X218" s="13">
        <f t="shared" si="42"/>
        <v>0</v>
      </c>
      <c r="Y218" s="1"/>
      <c r="Z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/>
      <c r="G219" s="19">
        <v>0.0</v>
      </c>
      <c r="H219" s="19"/>
      <c r="I219" s="19">
        <v>0.0</v>
      </c>
      <c r="J219" s="19">
        <v>0.0</v>
      </c>
      <c r="K219" s="19">
        <v>0.0</v>
      </c>
      <c r="L219" s="19"/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/>
      <c r="V219" s="19"/>
      <c r="W219" s="19"/>
      <c r="X219" s="13">
        <f t="shared" si="42"/>
        <v>0</v>
      </c>
      <c r="Y219" s="52"/>
      <c r="Z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/>
      <c r="G220" s="19">
        <v>0.0</v>
      </c>
      <c r="H220" s="19"/>
      <c r="I220" s="19">
        <v>0.0</v>
      </c>
      <c r="J220" s="19">
        <v>0.0</v>
      </c>
      <c r="K220" s="19">
        <v>0.0</v>
      </c>
      <c r="L220" s="19"/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/>
      <c r="V220" s="19"/>
      <c r="W220" s="19"/>
      <c r="X220" s="13">
        <f t="shared" si="42"/>
        <v>0</v>
      </c>
      <c r="Y220" s="5"/>
      <c r="Z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73"/>
      <c r="Y221" s="5"/>
      <c r="Z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73"/>
      <c r="Y222" s="5"/>
      <c r="Z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W223" si="43">SUM(E213:E220)</f>
        <v>1</v>
      </c>
      <c r="F223" s="13">
        <f t="shared" si="43"/>
        <v>2</v>
      </c>
      <c r="G223" s="13">
        <f t="shared" si="43"/>
        <v>3</v>
      </c>
      <c r="H223" s="13">
        <f t="shared" si="43"/>
        <v>2</v>
      </c>
      <c r="I223" s="13">
        <f t="shared" si="43"/>
        <v>12</v>
      </c>
      <c r="J223" s="13">
        <f t="shared" si="43"/>
        <v>5</v>
      </c>
      <c r="K223" s="13">
        <f t="shared" si="43"/>
        <v>1</v>
      </c>
      <c r="L223" s="13">
        <f t="shared" si="43"/>
        <v>5</v>
      </c>
      <c r="M223" s="13">
        <f t="shared" si="43"/>
        <v>17</v>
      </c>
      <c r="N223" s="13">
        <f t="shared" si="43"/>
        <v>4</v>
      </c>
      <c r="O223" s="13">
        <f t="shared" si="43"/>
        <v>18</v>
      </c>
      <c r="P223" s="13">
        <f t="shared" si="43"/>
        <v>5</v>
      </c>
      <c r="Q223" s="13">
        <f t="shared" si="43"/>
        <v>26</v>
      </c>
      <c r="R223" s="13">
        <f t="shared" si="43"/>
        <v>33</v>
      </c>
      <c r="S223" s="13">
        <f t="shared" si="43"/>
        <v>26</v>
      </c>
      <c r="T223" s="13">
        <f t="shared" si="43"/>
        <v>14</v>
      </c>
      <c r="U223" s="13">
        <f t="shared" si="43"/>
        <v>34</v>
      </c>
      <c r="V223" s="13">
        <f t="shared" si="43"/>
        <v>11</v>
      </c>
      <c r="W223" s="13">
        <f t="shared" si="43"/>
        <v>53</v>
      </c>
      <c r="X223" s="13">
        <f>SUM(E223:W223)</f>
        <v>272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5"/>
      <c r="Z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/>
      <c r="G225" s="19">
        <v>0.0</v>
      </c>
      <c r="H225" s="19"/>
      <c r="I225" s="19">
        <v>0.0</v>
      </c>
      <c r="J225" s="19">
        <v>0.0</v>
      </c>
      <c r="K225" s="19">
        <v>0.0</v>
      </c>
      <c r="L225" s="19"/>
      <c r="M225" s="19">
        <v>0.0</v>
      </c>
      <c r="N225" s="19">
        <v>1.0</v>
      </c>
      <c r="O225" s="19">
        <v>0.0</v>
      </c>
      <c r="P225" s="19"/>
      <c r="Q225" s="19">
        <v>0.0</v>
      </c>
      <c r="R225" s="19">
        <v>0.0</v>
      </c>
      <c r="S225" s="19">
        <v>0.0</v>
      </c>
      <c r="T225" s="19">
        <v>1.0</v>
      </c>
      <c r="U225" s="19"/>
      <c r="V225" s="19"/>
      <c r="W225" s="19"/>
      <c r="X225" s="13">
        <f t="shared" ref="X225:X232" si="44">SUM(E225:W225)</f>
        <v>2</v>
      </c>
      <c r="Y225" s="5"/>
      <c r="Z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0.0</v>
      </c>
      <c r="F226" s="19"/>
      <c r="G226" s="19">
        <v>0.0</v>
      </c>
      <c r="H226" s="19"/>
      <c r="I226" s="19">
        <v>0.0</v>
      </c>
      <c r="J226" s="19">
        <v>0.0</v>
      </c>
      <c r="K226" s="19">
        <v>0.0</v>
      </c>
      <c r="L226" s="19"/>
      <c r="M226" s="19">
        <v>0.0</v>
      </c>
      <c r="N226" s="19">
        <v>0.0</v>
      </c>
      <c r="O226" s="19">
        <v>0.0</v>
      </c>
      <c r="P226" s="19"/>
      <c r="Q226" s="19">
        <v>0.0</v>
      </c>
      <c r="R226" s="19">
        <v>0.0</v>
      </c>
      <c r="S226" s="19">
        <v>1.0</v>
      </c>
      <c r="T226" s="19"/>
      <c r="U226" s="19">
        <v>1.0</v>
      </c>
      <c r="V226" s="19"/>
      <c r="W226" s="19"/>
      <c r="X226" s="13">
        <f t="shared" si="44"/>
        <v>2</v>
      </c>
      <c r="Y226" s="5"/>
      <c r="Z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/>
      <c r="G227" s="19">
        <v>0.0</v>
      </c>
      <c r="H227" s="19"/>
      <c r="I227" s="19">
        <v>0.0</v>
      </c>
      <c r="J227" s="19">
        <v>0.0</v>
      </c>
      <c r="K227" s="19">
        <v>0.0</v>
      </c>
      <c r="L227" s="19"/>
      <c r="M227" s="19">
        <v>0.0</v>
      </c>
      <c r="N227" s="19">
        <v>0.0</v>
      </c>
      <c r="O227" s="19">
        <v>0.0</v>
      </c>
      <c r="P227" s="19"/>
      <c r="Q227" s="19">
        <v>0.0</v>
      </c>
      <c r="R227" s="19">
        <v>0.0</v>
      </c>
      <c r="S227" s="19">
        <v>0.0</v>
      </c>
      <c r="T227" s="19"/>
      <c r="U227" s="19"/>
      <c r="V227" s="19"/>
      <c r="W227" s="19"/>
      <c r="X227" s="13">
        <f t="shared" si="44"/>
        <v>0</v>
      </c>
      <c r="Y227" s="5"/>
      <c r="Z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/>
      <c r="G228" s="19">
        <v>0.0</v>
      </c>
      <c r="H228" s="19"/>
      <c r="I228" s="19">
        <v>0.0</v>
      </c>
      <c r="J228" s="19">
        <v>0.0</v>
      </c>
      <c r="K228" s="19">
        <v>0.0</v>
      </c>
      <c r="L228" s="19"/>
      <c r="M228" s="19">
        <v>0.0</v>
      </c>
      <c r="N228" s="19">
        <v>0.0</v>
      </c>
      <c r="O228" s="19">
        <v>0.0</v>
      </c>
      <c r="P228" s="19"/>
      <c r="Q228" s="19">
        <v>0.0</v>
      </c>
      <c r="R228" s="19">
        <v>0.0</v>
      </c>
      <c r="S228" s="19">
        <v>0.0</v>
      </c>
      <c r="T228" s="19"/>
      <c r="U228" s="19"/>
      <c r="V228" s="19"/>
      <c r="W228" s="19"/>
      <c r="X228" s="13">
        <f t="shared" si="44"/>
        <v>0</v>
      </c>
      <c r="Y228" s="5"/>
      <c r="Z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/>
      <c r="G229" s="19">
        <v>0.0</v>
      </c>
      <c r="H229" s="19"/>
      <c r="I229" s="19">
        <v>0.0</v>
      </c>
      <c r="J229" s="19">
        <v>0.0</v>
      </c>
      <c r="K229" s="19">
        <v>0.0</v>
      </c>
      <c r="L229" s="19"/>
      <c r="M229" s="19">
        <v>0.0</v>
      </c>
      <c r="N229" s="19">
        <v>0.0</v>
      </c>
      <c r="O229" s="19">
        <v>0.0</v>
      </c>
      <c r="P229" s="19"/>
      <c r="Q229" s="19">
        <v>0.0</v>
      </c>
      <c r="R229" s="19">
        <v>0.0</v>
      </c>
      <c r="S229" s="19">
        <v>0.0</v>
      </c>
      <c r="T229" s="19"/>
      <c r="U229" s="19"/>
      <c r="V229" s="19"/>
      <c r="W229" s="19"/>
      <c r="X229" s="13">
        <f t="shared" si="44"/>
        <v>0</v>
      </c>
      <c r="Y229" s="1"/>
      <c r="Z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/>
      <c r="G230" s="19">
        <v>0.0</v>
      </c>
      <c r="H230" s="19"/>
      <c r="I230" s="19">
        <v>0.0</v>
      </c>
      <c r="J230" s="19">
        <v>0.0</v>
      </c>
      <c r="K230" s="19">
        <v>0.0</v>
      </c>
      <c r="L230" s="19"/>
      <c r="M230" s="19">
        <v>0.0</v>
      </c>
      <c r="N230" s="19">
        <v>0.0</v>
      </c>
      <c r="O230" s="19">
        <v>0.0</v>
      </c>
      <c r="P230" s="19"/>
      <c r="Q230" s="19">
        <v>0.0</v>
      </c>
      <c r="R230" s="19">
        <v>0.0</v>
      </c>
      <c r="S230" s="19">
        <v>0.0</v>
      </c>
      <c r="T230" s="19"/>
      <c r="U230" s="19"/>
      <c r="V230" s="19"/>
      <c r="W230" s="19"/>
      <c r="X230" s="13">
        <f t="shared" si="44"/>
        <v>0</v>
      </c>
      <c r="Y230" s="52"/>
      <c r="Z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/>
      <c r="G231" s="19">
        <v>0.0</v>
      </c>
      <c r="H231" s="19"/>
      <c r="I231" s="19">
        <v>0.0</v>
      </c>
      <c r="J231" s="19">
        <v>0.0</v>
      </c>
      <c r="K231" s="19">
        <v>0.0</v>
      </c>
      <c r="L231" s="19"/>
      <c r="M231" s="19">
        <v>0.0</v>
      </c>
      <c r="N231" s="19">
        <v>0.0</v>
      </c>
      <c r="O231" s="19">
        <v>0.0</v>
      </c>
      <c r="P231" s="19"/>
      <c r="Q231" s="19">
        <v>0.0</v>
      </c>
      <c r="R231" s="19">
        <v>0.0</v>
      </c>
      <c r="S231" s="19">
        <v>0.0</v>
      </c>
      <c r="T231" s="19"/>
      <c r="U231" s="19"/>
      <c r="V231" s="19"/>
      <c r="W231" s="19"/>
      <c r="X231" s="13">
        <f t="shared" si="44"/>
        <v>0</v>
      </c>
      <c r="Y231" s="5"/>
      <c r="Z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/>
      <c r="G232" s="19">
        <v>0.0</v>
      </c>
      <c r="H232" s="19"/>
      <c r="I232" s="19">
        <v>0.0</v>
      </c>
      <c r="J232" s="19">
        <v>0.0</v>
      </c>
      <c r="K232" s="19">
        <v>1.0</v>
      </c>
      <c r="L232" s="19"/>
      <c r="M232" s="19">
        <v>0.0</v>
      </c>
      <c r="N232" s="19">
        <v>0.0</v>
      </c>
      <c r="O232" s="19">
        <v>0.0</v>
      </c>
      <c r="P232" s="19"/>
      <c r="Q232" s="19">
        <v>0.0</v>
      </c>
      <c r="R232" s="19">
        <v>0.0</v>
      </c>
      <c r="S232" s="19">
        <v>0.0</v>
      </c>
      <c r="T232" s="19"/>
      <c r="U232" s="19"/>
      <c r="V232" s="19">
        <v>1.0</v>
      </c>
      <c r="W232" s="19"/>
      <c r="X232" s="13">
        <f t="shared" si="44"/>
        <v>2</v>
      </c>
      <c r="Y232" s="5"/>
      <c r="Z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73"/>
      <c r="Y233" s="5"/>
      <c r="Z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73"/>
      <c r="Y234" s="5"/>
      <c r="Z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W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1</v>
      </c>
      <c r="U235" s="13">
        <f t="shared" si="45"/>
        <v>1</v>
      </c>
      <c r="V235" s="13">
        <f t="shared" si="45"/>
        <v>1</v>
      </c>
      <c r="W235" s="13">
        <f t="shared" si="45"/>
        <v>0</v>
      </c>
      <c r="X235" s="13">
        <f>SUM(E235:W235)</f>
        <v>6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5"/>
      <c r="Z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2.0</v>
      </c>
      <c r="G237" s="19">
        <v>2.0</v>
      </c>
      <c r="H237" s="19">
        <v>1.0</v>
      </c>
      <c r="I237" s="19">
        <v>5.0</v>
      </c>
      <c r="J237" s="19">
        <v>2.0</v>
      </c>
      <c r="K237" s="19">
        <v>0.0</v>
      </c>
      <c r="L237" s="19"/>
      <c r="M237" s="19">
        <v>1.0</v>
      </c>
      <c r="N237" s="19">
        <v>1.0</v>
      </c>
      <c r="O237" s="19">
        <v>0.0</v>
      </c>
      <c r="P237" s="19">
        <v>0.0</v>
      </c>
      <c r="Q237" s="19">
        <v>1.0</v>
      </c>
      <c r="R237" s="19">
        <v>0.0</v>
      </c>
      <c r="S237" s="19">
        <v>1.0</v>
      </c>
      <c r="T237" s="19">
        <v>1.0</v>
      </c>
      <c r="U237" s="19">
        <v>1.0</v>
      </c>
      <c r="V237" s="19"/>
      <c r="W237" s="19"/>
      <c r="X237" s="13">
        <f t="shared" ref="X237:X244" si="46">SUM(E237:W237)</f>
        <v>18</v>
      </c>
      <c r="Y237" s="5"/>
      <c r="Z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0.0</v>
      </c>
      <c r="F238" s="19">
        <v>3.0</v>
      </c>
      <c r="G238" s="19">
        <v>9.0</v>
      </c>
      <c r="H238" s="19">
        <v>1.0</v>
      </c>
      <c r="I238" s="19">
        <v>2.0</v>
      </c>
      <c r="J238" s="19">
        <v>0.0</v>
      </c>
      <c r="K238" s="19">
        <v>0.0</v>
      </c>
      <c r="L238" s="19"/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/>
      <c r="U238" s="19"/>
      <c r="V238" s="19"/>
      <c r="W238" s="19"/>
      <c r="X238" s="13">
        <f t="shared" si="46"/>
        <v>15</v>
      </c>
      <c r="Y238" s="5"/>
      <c r="Z238" s="5"/>
    </row>
    <row r="239" ht="12.75" customHeight="1">
      <c r="A239" s="18"/>
      <c r="B239" s="55">
        <v>2.0</v>
      </c>
      <c r="C239" s="50" t="s">
        <v>175</v>
      </c>
      <c r="D239" s="57"/>
      <c r="E239" s="19">
        <v>0.0</v>
      </c>
      <c r="F239" s="19"/>
      <c r="G239" s="19">
        <v>0.0</v>
      </c>
      <c r="H239" s="19">
        <v>3.0</v>
      </c>
      <c r="I239" s="19">
        <v>7.0</v>
      </c>
      <c r="J239" s="19">
        <v>3.0</v>
      </c>
      <c r="K239" s="19">
        <v>0.0</v>
      </c>
      <c r="L239" s="19"/>
      <c r="M239" s="19">
        <v>0.0</v>
      </c>
      <c r="N239" s="19">
        <v>0.0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9">
        <v>1.0</v>
      </c>
      <c r="U239" s="19">
        <v>1.0</v>
      </c>
      <c r="V239" s="19"/>
      <c r="W239" s="19"/>
      <c r="X239" s="13">
        <f t="shared" si="46"/>
        <v>16</v>
      </c>
      <c r="Y239" s="5"/>
      <c r="Z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/>
      <c r="G240" s="19">
        <v>1.0</v>
      </c>
      <c r="H240" s="19">
        <v>1.0</v>
      </c>
      <c r="I240" s="19">
        <v>1.0</v>
      </c>
      <c r="J240" s="19">
        <v>0.0</v>
      </c>
      <c r="K240" s="19">
        <v>0.0</v>
      </c>
      <c r="L240" s="19"/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2.0</v>
      </c>
      <c r="V240" s="19">
        <v>5.0</v>
      </c>
      <c r="W240" s="19">
        <v>1.0</v>
      </c>
      <c r="X240" s="13">
        <f t="shared" si="46"/>
        <v>13</v>
      </c>
      <c r="Y240" s="1"/>
      <c r="Z240" s="1"/>
    </row>
    <row r="241" ht="12.75" customHeight="1">
      <c r="A241" s="18"/>
      <c r="B241" s="55">
        <v>4.0</v>
      </c>
      <c r="C241" s="50" t="s">
        <v>177</v>
      </c>
      <c r="D241" s="57"/>
      <c r="E241" s="19">
        <v>0.0</v>
      </c>
      <c r="F241" s="19"/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/>
      <c r="M241" s="19">
        <v>0.0</v>
      </c>
      <c r="N241" s="19">
        <v>0.0</v>
      </c>
      <c r="O241" s="19">
        <v>0.0</v>
      </c>
      <c r="P241" s="19">
        <v>2.0</v>
      </c>
      <c r="Q241" s="19">
        <v>0.0</v>
      </c>
      <c r="R241" s="19">
        <v>0.0</v>
      </c>
      <c r="S241" s="19">
        <v>0.0</v>
      </c>
      <c r="T241" s="19"/>
      <c r="U241" s="19"/>
      <c r="V241" s="19">
        <v>1.0</v>
      </c>
      <c r="W241" s="19"/>
      <c r="X241" s="13">
        <f t="shared" si="46"/>
        <v>4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1.0</v>
      </c>
      <c r="F242" s="19"/>
      <c r="G242" s="19">
        <v>0.0</v>
      </c>
      <c r="H242" s="19"/>
      <c r="I242" s="19">
        <v>0.0</v>
      </c>
      <c r="J242" s="19">
        <v>0.0</v>
      </c>
      <c r="K242" s="19">
        <v>0.0</v>
      </c>
      <c r="L242" s="19"/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/>
      <c r="U242" s="19"/>
      <c r="V242" s="19"/>
      <c r="W242" s="19"/>
      <c r="X242" s="13">
        <f t="shared" si="46"/>
        <v>1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/>
      <c r="G243" s="19">
        <v>0.0</v>
      </c>
      <c r="H243" s="19"/>
      <c r="I243" s="19">
        <v>0.0</v>
      </c>
      <c r="J243" s="19">
        <v>0.0</v>
      </c>
      <c r="K243" s="19">
        <v>0.0</v>
      </c>
      <c r="L243" s="19"/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/>
      <c r="U243" s="19">
        <v>1.0</v>
      </c>
      <c r="V243" s="19"/>
      <c r="W243" s="19"/>
      <c r="X243" s="13">
        <f t="shared" si="46"/>
        <v>2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0.0</v>
      </c>
      <c r="F244" s="19"/>
      <c r="G244" s="19">
        <v>0.0</v>
      </c>
      <c r="H244" s="19">
        <v>2.0</v>
      </c>
      <c r="I244" s="19">
        <v>0.0</v>
      </c>
      <c r="J244" s="19">
        <v>0.0</v>
      </c>
      <c r="K244" s="19">
        <v>0.0</v>
      </c>
      <c r="L244" s="19"/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/>
      <c r="U244" s="19">
        <v>1.0</v>
      </c>
      <c r="V244" s="19">
        <v>2.0</v>
      </c>
      <c r="W244" s="19"/>
      <c r="X244" s="13">
        <f t="shared" si="46"/>
        <v>5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W247" si="47">SUM(E237:E244)</f>
        <v>1</v>
      </c>
      <c r="F247" s="13">
        <f t="shared" si="47"/>
        <v>5</v>
      </c>
      <c r="G247" s="13">
        <f t="shared" si="47"/>
        <v>12</v>
      </c>
      <c r="H247" s="13">
        <f t="shared" si="47"/>
        <v>9</v>
      </c>
      <c r="I247" s="13">
        <f t="shared" si="47"/>
        <v>15</v>
      </c>
      <c r="J247" s="13">
        <f t="shared" si="47"/>
        <v>5</v>
      </c>
      <c r="K247" s="13">
        <f t="shared" si="47"/>
        <v>0</v>
      </c>
      <c r="L247" s="13">
        <f t="shared" si="47"/>
        <v>0</v>
      </c>
      <c r="M247" s="13">
        <f t="shared" si="47"/>
        <v>2</v>
      </c>
      <c r="N247" s="13">
        <f t="shared" si="47"/>
        <v>1</v>
      </c>
      <c r="O247" s="13">
        <f t="shared" si="47"/>
        <v>0</v>
      </c>
      <c r="P247" s="13">
        <f t="shared" si="47"/>
        <v>3</v>
      </c>
      <c r="Q247" s="13">
        <f t="shared" si="47"/>
        <v>2</v>
      </c>
      <c r="R247" s="13">
        <f t="shared" si="47"/>
        <v>0</v>
      </c>
      <c r="S247" s="13">
        <f t="shared" si="47"/>
        <v>1</v>
      </c>
      <c r="T247" s="13">
        <f t="shared" si="47"/>
        <v>3</v>
      </c>
      <c r="U247" s="13">
        <f t="shared" si="47"/>
        <v>6</v>
      </c>
      <c r="V247" s="13">
        <f t="shared" si="47"/>
        <v>8</v>
      </c>
      <c r="W247" s="13">
        <f t="shared" si="47"/>
        <v>1</v>
      </c>
      <c r="X247" s="13">
        <f>SUM(E247:W247)</f>
        <v>74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/>
      <c r="G249" s="19">
        <v>0.0</v>
      </c>
      <c r="H249" s="19"/>
      <c r="I249" s="19">
        <v>0.0</v>
      </c>
      <c r="J249" s="19">
        <v>0.0</v>
      </c>
      <c r="K249" s="19">
        <v>0.0</v>
      </c>
      <c r="L249" s="19"/>
      <c r="M249" s="19">
        <v>0.0</v>
      </c>
      <c r="N249" s="19"/>
      <c r="O249" s="19">
        <v>0.0</v>
      </c>
      <c r="P249" s="19"/>
      <c r="Q249" s="19">
        <v>0.0</v>
      </c>
      <c r="R249" s="19">
        <v>0.0</v>
      </c>
      <c r="S249" s="19">
        <v>0.0</v>
      </c>
      <c r="T249" s="19">
        <v>0.0</v>
      </c>
      <c r="U249" s="19"/>
      <c r="V249" s="19"/>
      <c r="W249" s="19"/>
      <c r="X249" s="13">
        <f t="shared" ref="X249:X255" si="48">SUM(E249:W249)</f>
        <v>0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/>
      <c r="G250" s="19">
        <v>0.0</v>
      </c>
      <c r="H250" s="19"/>
      <c r="I250" s="19">
        <v>0.0</v>
      </c>
      <c r="J250" s="19">
        <v>0.0</v>
      </c>
      <c r="K250" s="19">
        <v>0.0</v>
      </c>
      <c r="L250" s="19"/>
      <c r="M250" s="19">
        <v>0.0</v>
      </c>
      <c r="N250" s="19"/>
      <c r="O250" s="19">
        <v>0.0</v>
      </c>
      <c r="P250" s="19">
        <v>1.0</v>
      </c>
      <c r="Q250" s="19">
        <v>0.0</v>
      </c>
      <c r="R250" s="19">
        <v>0.0</v>
      </c>
      <c r="S250" s="19">
        <v>0.0</v>
      </c>
      <c r="T250" s="19">
        <v>0.0</v>
      </c>
      <c r="U250" s="19"/>
      <c r="V250" s="19">
        <v>1.0</v>
      </c>
      <c r="W250" s="19"/>
      <c r="X250" s="13">
        <f t="shared" si="48"/>
        <v>2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0.0</v>
      </c>
      <c r="F251" s="19"/>
      <c r="G251" s="19">
        <v>0.0</v>
      </c>
      <c r="H251" s="19"/>
      <c r="I251" s="19">
        <v>0.0</v>
      </c>
      <c r="J251" s="19">
        <v>0.0</v>
      </c>
      <c r="K251" s="19">
        <v>0.0</v>
      </c>
      <c r="L251" s="19"/>
      <c r="M251" s="19">
        <v>0.0</v>
      </c>
      <c r="N251" s="19"/>
      <c r="O251" s="19">
        <v>0.0</v>
      </c>
      <c r="P251" s="19"/>
      <c r="Q251" s="19">
        <v>0.0</v>
      </c>
      <c r="R251" s="19">
        <v>0.0</v>
      </c>
      <c r="S251" s="19">
        <v>0.0</v>
      </c>
      <c r="T251" s="19">
        <v>0.0</v>
      </c>
      <c r="U251" s="19"/>
      <c r="V251" s="19"/>
      <c r="W251" s="19"/>
      <c r="X251" s="13">
        <f t="shared" si="48"/>
        <v>0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/>
      <c r="G252" s="19">
        <v>0.0</v>
      </c>
      <c r="H252" s="19"/>
      <c r="I252" s="19">
        <v>0.0</v>
      </c>
      <c r="J252" s="19">
        <v>0.0</v>
      </c>
      <c r="K252" s="19">
        <v>0.0</v>
      </c>
      <c r="L252" s="19"/>
      <c r="M252" s="19">
        <v>0.0</v>
      </c>
      <c r="N252" s="19"/>
      <c r="O252" s="19">
        <v>0.0</v>
      </c>
      <c r="P252" s="19"/>
      <c r="Q252" s="19">
        <v>0.0</v>
      </c>
      <c r="R252" s="19">
        <v>0.0</v>
      </c>
      <c r="S252" s="19">
        <v>0.0</v>
      </c>
      <c r="T252" s="19">
        <v>0.0</v>
      </c>
      <c r="U252" s="19"/>
      <c r="V252" s="19"/>
      <c r="W252" s="19"/>
      <c r="X252" s="13">
        <f t="shared" si="48"/>
        <v>0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/>
      <c r="G253" s="19">
        <v>0.0</v>
      </c>
      <c r="H253" s="19"/>
      <c r="I253" s="19">
        <v>0.0</v>
      </c>
      <c r="J253" s="19">
        <v>0.0</v>
      </c>
      <c r="K253" s="19">
        <v>0.0</v>
      </c>
      <c r="L253" s="19"/>
      <c r="M253" s="19">
        <v>0.0</v>
      </c>
      <c r="N253" s="19"/>
      <c r="O253" s="19">
        <v>0.0</v>
      </c>
      <c r="P253" s="19"/>
      <c r="Q253" s="19">
        <v>0.0</v>
      </c>
      <c r="R253" s="19">
        <v>0.0</v>
      </c>
      <c r="S253" s="19">
        <v>0.0</v>
      </c>
      <c r="T253" s="19">
        <v>0.0</v>
      </c>
      <c r="U253" s="19"/>
      <c r="V253" s="19"/>
      <c r="W253" s="19"/>
      <c r="X253" s="13">
        <f t="shared" si="48"/>
        <v>0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0.0</v>
      </c>
      <c r="F254" s="19"/>
      <c r="G254" s="19">
        <v>0.0</v>
      </c>
      <c r="H254" s="19"/>
      <c r="I254" s="19">
        <v>0.0</v>
      </c>
      <c r="J254" s="19">
        <v>0.0</v>
      </c>
      <c r="K254" s="19">
        <v>0.0</v>
      </c>
      <c r="L254" s="19"/>
      <c r="M254" s="19">
        <v>0.0</v>
      </c>
      <c r="N254" s="19"/>
      <c r="O254" s="19">
        <v>0.0</v>
      </c>
      <c r="P254" s="19"/>
      <c r="Q254" s="19">
        <v>0.0</v>
      </c>
      <c r="R254" s="19">
        <v>0.0</v>
      </c>
      <c r="S254" s="19">
        <v>1.0</v>
      </c>
      <c r="T254" s="19">
        <v>0.0</v>
      </c>
      <c r="U254" s="19"/>
      <c r="V254" s="19"/>
      <c r="W254" s="19"/>
      <c r="X254" s="13">
        <f t="shared" si="48"/>
        <v>1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/>
      <c r="G255" s="19">
        <v>0.0</v>
      </c>
      <c r="H255" s="19"/>
      <c r="I255" s="19">
        <v>0.0</v>
      </c>
      <c r="J255" s="19">
        <v>0.0</v>
      </c>
      <c r="K255" s="19">
        <v>0.0</v>
      </c>
      <c r="L255" s="19"/>
      <c r="M255" s="19">
        <v>0.0</v>
      </c>
      <c r="N255" s="19"/>
      <c r="O255" s="19">
        <v>0.0</v>
      </c>
      <c r="P255" s="19">
        <v>1.0</v>
      </c>
      <c r="Q255" s="19">
        <v>0.0</v>
      </c>
      <c r="R255" s="19">
        <v>0.0</v>
      </c>
      <c r="S255" s="19">
        <v>0.0</v>
      </c>
      <c r="T255" s="19">
        <v>0.0</v>
      </c>
      <c r="U255" s="19"/>
      <c r="V255" s="19"/>
      <c r="W255" s="19"/>
      <c r="X255" s="13">
        <f t="shared" si="48"/>
        <v>1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W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>SUM(E259:W259)</f>
        <v>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W262" si="50">E55+E67+E79+E91+E103+E115+E127+E139+E151+E163+E175+E187+E199+E211+E223+E235+E247+E259</f>
        <v>146</v>
      </c>
      <c r="F262" s="19">
        <f t="shared" si="50"/>
        <v>185</v>
      </c>
      <c r="G262" s="19">
        <f t="shared" si="50"/>
        <v>202</v>
      </c>
      <c r="H262" s="19">
        <f t="shared" si="50"/>
        <v>152</v>
      </c>
      <c r="I262" s="19">
        <f t="shared" si="50"/>
        <v>174</v>
      </c>
      <c r="J262" s="19">
        <f t="shared" si="50"/>
        <v>204</v>
      </c>
      <c r="K262" s="19">
        <f t="shared" si="50"/>
        <v>183</v>
      </c>
      <c r="L262" s="19">
        <f t="shared" si="50"/>
        <v>194</v>
      </c>
      <c r="M262" s="19">
        <f t="shared" si="50"/>
        <v>193</v>
      </c>
      <c r="N262" s="19">
        <f t="shared" si="50"/>
        <v>169</v>
      </c>
      <c r="O262" s="19">
        <f t="shared" si="50"/>
        <v>189</v>
      </c>
      <c r="P262" s="19">
        <f t="shared" si="50"/>
        <v>206</v>
      </c>
      <c r="Q262" s="19">
        <f t="shared" si="50"/>
        <v>205</v>
      </c>
      <c r="R262" s="19">
        <f t="shared" si="50"/>
        <v>198</v>
      </c>
      <c r="S262" s="19">
        <f t="shared" si="50"/>
        <v>196</v>
      </c>
      <c r="T262" s="19">
        <f t="shared" si="50"/>
        <v>195</v>
      </c>
      <c r="U262" s="19">
        <f t="shared" si="50"/>
        <v>191</v>
      </c>
      <c r="V262" s="19">
        <f t="shared" si="50"/>
        <v>193</v>
      </c>
      <c r="W262" s="19">
        <f t="shared" si="50"/>
        <v>231</v>
      </c>
      <c r="X262" s="13">
        <f t="shared" ref="X262:X264" si="51">SUM(E262:W262)</f>
        <v>3606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18.0</v>
      </c>
      <c r="F263" s="19">
        <v>36.0</v>
      </c>
      <c r="G263" s="19">
        <v>31.0</v>
      </c>
      <c r="H263" s="19">
        <v>44.0</v>
      </c>
      <c r="I263" s="19">
        <v>13.0</v>
      </c>
      <c r="J263" s="19">
        <v>11.0</v>
      </c>
      <c r="K263" s="19">
        <v>28.0</v>
      </c>
      <c r="L263" s="19">
        <v>37.0</v>
      </c>
      <c r="M263" s="19">
        <v>32.0</v>
      </c>
      <c r="N263" s="19">
        <v>41.0</v>
      </c>
      <c r="O263" s="19">
        <v>33.0</v>
      </c>
      <c r="P263" s="19">
        <v>23.0</v>
      </c>
      <c r="Q263" s="19">
        <v>17.0</v>
      </c>
      <c r="R263" s="19">
        <v>26.0</v>
      </c>
      <c r="S263" s="19">
        <v>21.0</v>
      </c>
      <c r="T263" s="19">
        <v>11.0</v>
      </c>
      <c r="U263" s="19">
        <v>40.0</v>
      </c>
      <c r="V263" s="19">
        <v>31.0</v>
      </c>
      <c r="W263" s="19">
        <v>16.0</v>
      </c>
      <c r="X263" s="13">
        <f t="shared" si="51"/>
        <v>509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W264" si="52">SUM(E262:E263)</f>
        <v>164</v>
      </c>
      <c r="F264" s="13">
        <f t="shared" si="52"/>
        <v>221</v>
      </c>
      <c r="G264" s="13">
        <f t="shared" si="52"/>
        <v>233</v>
      </c>
      <c r="H264" s="13">
        <f t="shared" si="52"/>
        <v>196</v>
      </c>
      <c r="I264" s="13">
        <f t="shared" si="52"/>
        <v>187</v>
      </c>
      <c r="J264" s="13">
        <f t="shared" si="52"/>
        <v>215</v>
      </c>
      <c r="K264" s="13">
        <f t="shared" si="52"/>
        <v>211</v>
      </c>
      <c r="L264" s="13">
        <f t="shared" si="52"/>
        <v>231</v>
      </c>
      <c r="M264" s="13">
        <f t="shared" si="52"/>
        <v>225</v>
      </c>
      <c r="N264" s="13">
        <f t="shared" si="52"/>
        <v>210</v>
      </c>
      <c r="O264" s="13">
        <f t="shared" si="52"/>
        <v>222</v>
      </c>
      <c r="P264" s="13">
        <f t="shared" si="52"/>
        <v>229</v>
      </c>
      <c r="Q264" s="13">
        <f t="shared" si="52"/>
        <v>222</v>
      </c>
      <c r="R264" s="13">
        <f t="shared" si="52"/>
        <v>224</v>
      </c>
      <c r="S264" s="13">
        <f t="shared" si="52"/>
        <v>217</v>
      </c>
      <c r="T264" s="13">
        <f t="shared" si="52"/>
        <v>206</v>
      </c>
      <c r="U264" s="13">
        <f t="shared" si="52"/>
        <v>231</v>
      </c>
      <c r="V264" s="13">
        <f t="shared" si="52"/>
        <v>224</v>
      </c>
      <c r="W264" s="13">
        <f t="shared" si="52"/>
        <v>247</v>
      </c>
      <c r="X264" s="13">
        <f t="shared" si="51"/>
        <v>4115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13" t="s">
        <v>217</v>
      </c>
      <c r="Y13" s="13" t="s">
        <v>218</v>
      </c>
      <c r="Z13" s="13" t="s">
        <v>219</v>
      </c>
      <c r="AA13" s="13" t="s">
        <v>220</v>
      </c>
      <c r="AB13" s="13" t="s">
        <v>221</v>
      </c>
      <c r="AC13" s="13" t="s">
        <v>222</v>
      </c>
      <c r="AD13" s="13" t="s">
        <v>223</v>
      </c>
      <c r="AE13" s="13" t="s">
        <v>224</v>
      </c>
      <c r="AF13" s="13" t="s">
        <v>225</v>
      </c>
      <c r="AG13" s="36"/>
    </row>
    <row r="14" ht="12.75" customHeight="1">
      <c r="A14" s="18"/>
      <c r="B14" s="22" t="s">
        <v>10</v>
      </c>
      <c r="C14" s="23"/>
      <c r="D14" s="19" t="s">
        <v>11</v>
      </c>
      <c r="E14" s="19">
        <v>133.0</v>
      </c>
      <c r="F14" s="19">
        <v>130.0</v>
      </c>
      <c r="G14" s="19">
        <v>141.0</v>
      </c>
      <c r="H14" s="19">
        <v>116.0</v>
      </c>
      <c r="I14" s="19">
        <v>135.0</v>
      </c>
      <c r="J14" s="19">
        <v>111.0</v>
      </c>
      <c r="K14" s="19">
        <v>134.0</v>
      </c>
      <c r="L14" s="19">
        <v>150.0</v>
      </c>
      <c r="M14" s="19">
        <v>151.0</v>
      </c>
      <c r="N14" s="19">
        <v>146.0</v>
      </c>
      <c r="O14" s="19">
        <v>125.0</v>
      </c>
      <c r="P14" s="19">
        <v>115.0</v>
      </c>
      <c r="Q14" s="19">
        <v>115.0</v>
      </c>
      <c r="R14" s="19">
        <v>143.0</v>
      </c>
      <c r="S14" s="19">
        <v>150.0</v>
      </c>
      <c r="T14" s="19">
        <v>151.0</v>
      </c>
      <c r="U14" s="19">
        <v>157.0</v>
      </c>
      <c r="V14" s="19">
        <v>140.0</v>
      </c>
      <c r="W14" s="19">
        <v>142.0</v>
      </c>
      <c r="X14" s="19">
        <v>149.0</v>
      </c>
      <c r="Y14" s="19">
        <v>148.0</v>
      </c>
      <c r="Z14" s="19">
        <v>151.0</v>
      </c>
      <c r="AA14" s="19">
        <v>149.0</v>
      </c>
      <c r="AB14" s="19">
        <v>131.0</v>
      </c>
      <c r="AC14" s="19">
        <v>127.0</v>
      </c>
      <c r="AD14" s="19">
        <v>148.0</v>
      </c>
      <c r="AE14" s="19">
        <v>151.0</v>
      </c>
      <c r="AF14" s="19">
        <v>135.0</v>
      </c>
      <c r="AG14" s="13">
        <f t="shared" ref="AG14:AG16" si="1">SUM(E14:AF14)</f>
        <v>3874</v>
      </c>
    </row>
    <row r="15" ht="12.75" customHeight="1">
      <c r="A15" s="18"/>
      <c r="B15" s="26"/>
      <c r="C15" s="27"/>
      <c r="D15" s="19" t="s">
        <v>12</v>
      </c>
      <c r="E15" s="19">
        <v>137.0</v>
      </c>
      <c r="F15" s="19">
        <v>129.0</v>
      </c>
      <c r="G15" s="19">
        <v>133.0</v>
      </c>
      <c r="H15" s="19">
        <v>122.0</v>
      </c>
      <c r="I15" s="19">
        <v>125.0</v>
      </c>
      <c r="J15" s="19">
        <v>103.0</v>
      </c>
      <c r="K15" s="19">
        <v>142.0</v>
      </c>
      <c r="L15" s="19">
        <v>148.0</v>
      </c>
      <c r="M15" s="19">
        <v>148.0</v>
      </c>
      <c r="N15" s="19">
        <v>149.0</v>
      </c>
      <c r="O15" s="19">
        <v>132.0</v>
      </c>
      <c r="P15" s="19">
        <v>106.0</v>
      </c>
      <c r="Q15" s="19">
        <v>115.0</v>
      </c>
      <c r="R15" s="19">
        <v>148.0</v>
      </c>
      <c r="S15" s="19">
        <v>139.0</v>
      </c>
      <c r="T15" s="19">
        <v>142.0</v>
      </c>
      <c r="U15" s="19">
        <v>136.0</v>
      </c>
      <c r="V15" s="19">
        <v>156.0</v>
      </c>
      <c r="W15" s="19">
        <v>152.0</v>
      </c>
      <c r="X15" s="19">
        <v>145.0</v>
      </c>
      <c r="Y15" s="19">
        <v>148.0</v>
      </c>
      <c r="Z15" s="19">
        <v>140.0</v>
      </c>
      <c r="AA15" s="19">
        <v>143.0</v>
      </c>
      <c r="AB15" s="19">
        <v>117.0</v>
      </c>
      <c r="AC15" s="19">
        <v>135.0</v>
      </c>
      <c r="AD15" s="19">
        <v>150.0</v>
      </c>
      <c r="AE15" s="19">
        <v>140.0</v>
      </c>
      <c r="AF15" s="19">
        <v>142.0</v>
      </c>
      <c r="AG15" s="13">
        <f t="shared" si="1"/>
        <v>3822</v>
      </c>
    </row>
    <row r="16" ht="12.75" customHeight="1">
      <c r="A16" s="25"/>
      <c r="B16" s="21"/>
      <c r="C16" s="28"/>
      <c r="D16" s="13" t="s">
        <v>13</v>
      </c>
      <c r="E16" s="13">
        <f t="shared" ref="E16:AF16" si="2">SUM(E14:E15)</f>
        <v>270</v>
      </c>
      <c r="F16" s="13">
        <f t="shared" si="2"/>
        <v>259</v>
      </c>
      <c r="G16" s="13">
        <f t="shared" si="2"/>
        <v>274</v>
      </c>
      <c r="H16" s="13">
        <f t="shared" si="2"/>
        <v>238</v>
      </c>
      <c r="I16" s="13">
        <f t="shared" si="2"/>
        <v>260</v>
      </c>
      <c r="J16" s="13">
        <f t="shared" si="2"/>
        <v>214</v>
      </c>
      <c r="K16" s="13">
        <f t="shared" si="2"/>
        <v>276</v>
      </c>
      <c r="L16" s="13">
        <f t="shared" si="2"/>
        <v>298</v>
      </c>
      <c r="M16" s="13">
        <f t="shared" si="2"/>
        <v>299</v>
      </c>
      <c r="N16" s="13">
        <f t="shared" si="2"/>
        <v>295</v>
      </c>
      <c r="O16" s="13">
        <f t="shared" si="2"/>
        <v>257</v>
      </c>
      <c r="P16" s="13">
        <f t="shared" si="2"/>
        <v>221</v>
      </c>
      <c r="Q16" s="13">
        <f t="shared" si="2"/>
        <v>230</v>
      </c>
      <c r="R16" s="13">
        <f t="shared" si="2"/>
        <v>291</v>
      </c>
      <c r="S16" s="13">
        <f t="shared" si="2"/>
        <v>289</v>
      </c>
      <c r="T16" s="13">
        <f t="shared" si="2"/>
        <v>293</v>
      </c>
      <c r="U16" s="13">
        <f t="shared" si="2"/>
        <v>293</v>
      </c>
      <c r="V16" s="13">
        <f t="shared" si="2"/>
        <v>296</v>
      </c>
      <c r="W16" s="13">
        <f t="shared" si="2"/>
        <v>294</v>
      </c>
      <c r="X16" s="13">
        <f t="shared" si="2"/>
        <v>294</v>
      </c>
      <c r="Y16" s="13">
        <f t="shared" si="2"/>
        <v>296</v>
      </c>
      <c r="Z16" s="13">
        <f t="shared" si="2"/>
        <v>291</v>
      </c>
      <c r="AA16" s="13">
        <f t="shared" si="2"/>
        <v>292</v>
      </c>
      <c r="AB16" s="13">
        <f t="shared" si="2"/>
        <v>248</v>
      </c>
      <c r="AC16" s="13">
        <f t="shared" si="2"/>
        <v>262</v>
      </c>
      <c r="AD16" s="13">
        <f t="shared" si="2"/>
        <v>298</v>
      </c>
      <c r="AE16" s="13">
        <f t="shared" si="2"/>
        <v>291</v>
      </c>
      <c r="AF16" s="13">
        <f t="shared" si="2"/>
        <v>277</v>
      </c>
      <c r="AG16" s="13">
        <f t="shared" si="1"/>
        <v>7696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100.0</v>
      </c>
      <c r="F19" s="19">
        <v>88.0</v>
      </c>
      <c r="G19" s="19">
        <v>101.0</v>
      </c>
      <c r="H19" s="19">
        <v>67.0</v>
      </c>
      <c r="I19" s="19">
        <v>99.0</v>
      </c>
      <c r="J19" s="19">
        <v>81.0</v>
      </c>
      <c r="K19" s="19">
        <v>101.0</v>
      </c>
      <c r="L19" s="19">
        <v>101.0</v>
      </c>
      <c r="M19" s="19">
        <v>113.0</v>
      </c>
      <c r="N19" s="19">
        <v>118.0</v>
      </c>
      <c r="O19" s="19">
        <v>90.0</v>
      </c>
      <c r="P19" s="19">
        <v>90.0</v>
      </c>
      <c r="Q19" s="19">
        <v>86.0</v>
      </c>
      <c r="R19" s="19">
        <v>111.0</v>
      </c>
      <c r="S19" s="19">
        <v>108.0</v>
      </c>
      <c r="T19" s="19">
        <v>113.0</v>
      </c>
      <c r="U19" s="19">
        <v>101.0</v>
      </c>
      <c r="V19" s="19">
        <v>113.0</v>
      </c>
      <c r="W19" s="19">
        <v>101.0</v>
      </c>
      <c r="X19" s="19">
        <v>116.0</v>
      </c>
      <c r="Y19" s="19">
        <v>119.0</v>
      </c>
      <c r="Z19" s="19">
        <v>115.0</v>
      </c>
      <c r="AA19" s="19">
        <v>112.0</v>
      </c>
      <c r="AB19" s="19">
        <v>99.0</v>
      </c>
      <c r="AC19" s="19">
        <v>94.0</v>
      </c>
      <c r="AD19" s="19">
        <v>102.0</v>
      </c>
      <c r="AE19" s="19">
        <v>112.0</v>
      </c>
      <c r="AF19" s="19">
        <v>104.0</v>
      </c>
      <c r="AG19" s="13">
        <f t="shared" ref="AG19:AG30" si="3">SUM(E19:AF19)</f>
        <v>2855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108.0</v>
      </c>
      <c r="G20" s="19">
        <v>96.0</v>
      </c>
      <c r="H20" s="19">
        <v>86.0</v>
      </c>
      <c r="I20" s="19">
        <v>102.0</v>
      </c>
      <c r="J20" s="19">
        <v>83.0</v>
      </c>
      <c r="K20" s="19">
        <v>109.0</v>
      </c>
      <c r="L20" s="19">
        <v>118.0</v>
      </c>
      <c r="M20" s="19">
        <v>129.0</v>
      </c>
      <c r="N20" s="19">
        <v>124.0</v>
      </c>
      <c r="O20" s="19">
        <v>108.0</v>
      </c>
      <c r="P20" s="19">
        <v>87.0</v>
      </c>
      <c r="Q20" s="19">
        <v>93.0</v>
      </c>
      <c r="R20" s="19">
        <v>119.0</v>
      </c>
      <c r="S20" s="19">
        <v>108.0</v>
      </c>
      <c r="T20" s="19">
        <v>111.0</v>
      </c>
      <c r="U20" s="19">
        <v>101.0</v>
      </c>
      <c r="V20" s="19">
        <v>126.0</v>
      </c>
      <c r="W20" s="19">
        <v>115.0</v>
      </c>
      <c r="X20" s="19">
        <v>116.0</v>
      </c>
      <c r="Y20" s="19">
        <v>127.0</v>
      </c>
      <c r="Z20" s="19">
        <v>108.0</v>
      </c>
      <c r="AA20" s="19">
        <v>111.0</v>
      </c>
      <c r="AB20" s="19">
        <v>99.0</v>
      </c>
      <c r="AC20" s="19">
        <v>107.0</v>
      </c>
      <c r="AD20" s="19">
        <v>115.0</v>
      </c>
      <c r="AE20" s="19">
        <v>118.0</v>
      </c>
      <c r="AF20" s="19">
        <v>111.0</v>
      </c>
      <c r="AG20" s="13">
        <f t="shared" si="3"/>
        <v>3039</v>
      </c>
    </row>
    <row r="21" ht="12.75" customHeight="1">
      <c r="A21" s="35"/>
      <c r="B21" s="28"/>
      <c r="C21" s="36"/>
      <c r="D21" s="13" t="s">
        <v>13</v>
      </c>
      <c r="E21" s="13">
        <f t="shared" ref="E21:AF21" si="4">SUM(E19:E20)</f>
        <v>204</v>
      </c>
      <c r="F21" s="13">
        <f t="shared" si="4"/>
        <v>196</v>
      </c>
      <c r="G21" s="13">
        <f t="shared" si="4"/>
        <v>197</v>
      </c>
      <c r="H21" s="13">
        <f t="shared" si="4"/>
        <v>153</v>
      </c>
      <c r="I21" s="13">
        <f t="shared" si="4"/>
        <v>201</v>
      </c>
      <c r="J21" s="13">
        <f t="shared" si="4"/>
        <v>164</v>
      </c>
      <c r="K21" s="13">
        <f t="shared" si="4"/>
        <v>210</v>
      </c>
      <c r="L21" s="13">
        <f t="shared" si="4"/>
        <v>219</v>
      </c>
      <c r="M21" s="13">
        <f t="shared" si="4"/>
        <v>242</v>
      </c>
      <c r="N21" s="13">
        <f t="shared" si="4"/>
        <v>242</v>
      </c>
      <c r="O21" s="13">
        <f t="shared" si="4"/>
        <v>198</v>
      </c>
      <c r="P21" s="13">
        <f t="shared" si="4"/>
        <v>177</v>
      </c>
      <c r="Q21" s="13">
        <f t="shared" si="4"/>
        <v>179</v>
      </c>
      <c r="R21" s="13">
        <f t="shared" si="4"/>
        <v>230</v>
      </c>
      <c r="S21" s="13">
        <f t="shared" si="4"/>
        <v>216</v>
      </c>
      <c r="T21" s="13">
        <f t="shared" si="4"/>
        <v>224</v>
      </c>
      <c r="U21" s="13">
        <f t="shared" si="4"/>
        <v>202</v>
      </c>
      <c r="V21" s="13">
        <f t="shared" si="4"/>
        <v>239</v>
      </c>
      <c r="W21" s="13">
        <f t="shared" si="4"/>
        <v>216</v>
      </c>
      <c r="X21" s="13">
        <f t="shared" si="4"/>
        <v>232</v>
      </c>
      <c r="Y21" s="13">
        <f t="shared" si="4"/>
        <v>246</v>
      </c>
      <c r="Z21" s="13">
        <f t="shared" si="4"/>
        <v>223</v>
      </c>
      <c r="AA21" s="13">
        <f t="shared" si="4"/>
        <v>223</v>
      </c>
      <c r="AB21" s="13">
        <f t="shared" si="4"/>
        <v>198</v>
      </c>
      <c r="AC21" s="13">
        <f t="shared" si="4"/>
        <v>201</v>
      </c>
      <c r="AD21" s="13">
        <f t="shared" si="4"/>
        <v>217</v>
      </c>
      <c r="AE21" s="13">
        <f t="shared" si="4"/>
        <v>230</v>
      </c>
      <c r="AF21" s="13">
        <f t="shared" si="4"/>
        <v>215</v>
      </c>
      <c r="AG21" s="13">
        <f t="shared" si="3"/>
        <v>5894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1.0</v>
      </c>
      <c r="G25" s="19">
        <v>0.0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4.0</v>
      </c>
      <c r="AD25" s="19">
        <v>1.0</v>
      </c>
      <c r="AE25" s="19">
        <v>2.0</v>
      </c>
      <c r="AF25" s="19">
        <v>3.0</v>
      </c>
      <c r="AG25" s="13">
        <f t="shared" si="3"/>
        <v>21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1.0</v>
      </c>
      <c r="K26" s="19">
        <v>2.0</v>
      </c>
      <c r="L26" s="19">
        <v>2.0</v>
      </c>
      <c r="M26" s="19">
        <v>1.0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1.0</v>
      </c>
      <c r="V26" s="19">
        <v>1.0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2.0</v>
      </c>
      <c r="AD26" s="19">
        <v>1.0</v>
      </c>
      <c r="AE26" s="19">
        <v>1.0</v>
      </c>
      <c r="AF26" s="19">
        <v>8.0</v>
      </c>
      <c r="AG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AF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1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2</v>
      </c>
      <c r="V27" s="13">
        <f t="shared" si="6"/>
        <v>2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6</v>
      </c>
      <c r="AD27" s="13">
        <f t="shared" si="6"/>
        <v>2</v>
      </c>
      <c r="AE27" s="13">
        <f t="shared" si="6"/>
        <v>3</v>
      </c>
      <c r="AF27" s="13">
        <f t="shared" si="6"/>
        <v>11</v>
      </c>
      <c r="AG27" s="13">
        <f t="shared" si="3"/>
        <v>44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F28" si="7">SUM(E19,E22,E25)</f>
        <v>101</v>
      </c>
      <c r="F28" s="13">
        <f t="shared" si="7"/>
        <v>89</v>
      </c>
      <c r="G28" s="13">
        <f t="shared" si="7"/>
        <v>101</v>
      </c>
      <c r="H28" s="13">
        <f t="shared" si="7"/>
        <v>69</v>
      </c>
      <c r="I28" s="13">
        <f t="shared" si="7"/>
        <v>99</v>
      </c>
      <c r="J28" s="13">
        <f t="shared" si="7"/>
        <v>81</v>
      </c>
      <c r="K28" s="13">
        <f t="shared" si="7"/>
        <v>103</v>
      </c>
      <c r="L28" s="13">
        <f t="shared" si="7"/>
        <v>101</v>
      </c>
      <c r="M28" s="13">
        <f t="shared" si="7"/>
        <v>114</v>
      </c>
      <c r="N28" s="13">
        <f t="shared" si="7"/>
        <v>120</v>
      </c>
      <c r="O28" s="13">
        <f t="shared" si="7"/>
        <v>90</v>
      </c>
      <c r="P28" s="13">
        <f t="shared" si="7"/>
        <v>90</v>
      </c>
      <c r="Q28" s="13">
        <f t="shared" si="7"/>
        <v>86</v>
      </c>
      <c r="R28" s="13">
        <f t="shared" si="7"/>
        <v>111</v>
      </c>
      <c r="S28" s="13">
        <f t="shared" si="7"/>
        <v>108</v>
      </c>
      <c r="T28" s="13">
        <f t="shared" si="7"/>
        <v>113</v>
      </c>
      <c r="U28" s="13">
        <f t="shared" si="7"/>
        <v>102</v>
      </c>
      <c r="V28" s="13">
        <f t="shared" si="7"/>
        <v>114</v>
      </c>
      <c r="W28" s="13">
        <f t="shared" si="7"/>
        <v>101</v>
      </c>
      <c r="X28" s="13">
        <f t="shared" si="7"/>
        <v>116</v>
      </c>
      <c r="Y28" s="13">
        <f t="shared" si="7"/>
        <v>119</v>
      </c>
      <c r="Z28" s="13">
        <f t="shared" si="7"/>
        <v>115</v>
      </c>
      <c r="AA28" s="13">
        <f t="shared" si="7"/>
        <v>112</v>
      </c>
      <c r="AB28" s="13">
        <f t="shared" si="7"/>
        <v>99</v>
      </c>
      <c r="AC28" s="13">
        <f t="shared" si="7"/>
        <v>98</v>
      </c>
      <c r="AD28" s="13">
        <f t="shared" si="7"/>
        <v>103</v>
      </c>
      <c r="AE28" s="13">
        <f t="shared" si="7"/>
        <v>114</v>
      </c>
      <c r="AF28" s="13">
        <f t="shared" si="7"/>
        <v>107</v>
      </c>
      <c r="AG28" s="13">
        <f t="shared" si="3"/>
        <v>2876</v>
      </c>
    </row>
    <row r="29" ht="12.75" customHeight="1">
      <c r="A29" s="35"/>
      <c r="B29" s="27"/>
      <c r="C29" s="34"/>
      <c r="D29" s="13" t="s">
        <v>12</v>
      </c>
      <c r="E29" s="13">
        <f t="shared" ref="E29:AF29" si="8">SUM(E20,E23,E26)</f>
        <v>104</v>
      </c>
      <c r="F29" s="13">
        <f t="shared" si="8"/>
        <v>108</v>
      </c>
      <c r="G29" s="13">
        <f t="shared" si="8"/>
        <v>96</v>
      </c>
      <c r="H29" s="13">
        <f t="shared" si="8"/>
        <v>86</v>
      </c>
      <c r="I29" s="13">
        <f t="shared" si="8"/>
        <v>103</v>
      </c>
      <c r="J29" s="13">
        <f t="shared" si="8"/>
        <v>84</v>
      </c>
      <c r="K29" s="13">
        <f t="shared" si="8"/>
        <v>111</v>
      </c>
      <c r="L29" s="13">
        <f t="shared" si="8"/>
        <v>120</v>
      </c>
      <c r="M29" s="13">
        <f t="shared" si="8"/>
        <v>130</v>
      </c>
      <c r="N29" s="13">
        <f t="shared" si="8"/>
        <v>124</v>
      </c>
      <c r="O29" s="13">
        <f t="shared" si="8"/>
        <v>108</v>
      </c>
      <c r="P29" s="13">
        <f t="shared" si="8"/>
        <v>87</v>
      </c>
      <c r="Q29" s="13">
        <f t="shared" si="8"/>
        <v>94</v>
      </c>
      <c r="R29" s="13">
        <f t="shared" si="8"/>
        <v>119</v>
      </c>
      <c r="S29" s="13">
        <f t="shared" si="8"/>
        <v>108</v>
      </c>
      <c r="T29" s="13">
        <f t="shared" si="8"/>
        <v>111</v>
      </c>
      <c r="U29" s="13">
        <f t="shared" si="8"/>
        <v>102</v>
      </c>
      <c r="V29" s="13">
        <f t="shared" si="8"/>
        <v>127</v>
      </c>
      <c r="W29" s="13">
        <f t="shared" si="8"/>
        <v>115</v>
      </c>
      <c r="X29" s="13">
        <f t="shared" si="8"/>
        <v>116</v>
      </c>
      <c r="Y29" s="13">
        <f t="shared" si="8"/>
        <v>128</v>
      </c>
      <c r="Z29" s="13">
        <f t="shared" si="8"/>
        <v>108</v>
      </c>
      <c r="AA29" s="13">
        <f t="shared" si="8"/>
        <v>111</v>
      </c>
      <c r="AB29" s="13">
        <f t="shared" si="8"/>
        <v>99</v>
      </c>
      <c r="AC29" s="13">
        <f t="shared" si="8"/>
        <v>109</v>
      </c>
      <c r="AD29" s="13">
        <f t="shared" si="8"/>
        <v>116</v>
      </c>
      <c r="AE29" s="13">
        <f t="shared" si="8"/>
        <v>119</v>
      </c>
      <c r="AF29" s="13">
        <f t="shared" si="8"/>
        <v>119</v>
      </c>
      <c r="AG29" s="13">
        <f t="shared" si="3"/>
        <v>3062</v>
      </c>
    </row>
    <row r="30" ht="12.75" customHeight="1">
      <c r="A30" s="35"/>
      <c r="B30" s="28"/>
      <c r="C30" s="36"/>
      <c r="D30" s="13" t="s">
        <v>13</v>
      </c>
      <c r="E30" s="13">
        <f t="shared" ref="E30:AF30" si="9">SUM(E28:E29)</f>
        <v>205</v>
      </c>
      <c r="F30" s="13">
        <f t="shared" si="9"/>
        <v>197</v>
      </c>
      <c r="G30" s="13">
        <f t="shared" si="9"/>
        <v>197</v>
      </c>
      <c r="H30" s="13">
        <f t="shared" si="9"/>
        <v>155</v>
      </c>
      <c r="I30" s="13">
        <f t="shared" si="9"/>
        <v>202</v>
      </c>
      <c r="J30" s="13">
        <f t="shared" si="9"/>
        <v>165</v>
      </c>
      <c r="K30" s="13">
        <f t="shared" si="9"/>
        <v>214</v>
      </c>
      <c r="L30" s="13">
        <f t="shared" si="9"/>
        <v>221</v>
      </c>
      <c r="M30" s="13">
        <f t="shared" si="9"/>
        <v>244</v>
      </c>
      <c r="N30" s="13">
        <f t="shared" si="9"/>
        <v>244</v>
      </c>
      <c r="O30" s="13">
        <f t="shared" si="9"/>
        <v>198</v>
      </c>
      <c r="P30" s="13">
        <f t="shared" si="9"/>
        <v>177</v>
      </c>
      <c r="Q30" s="13">
        <f t="shared" si="9"/>
        <v>180</v>
      </c>
      <c r="R30" s="13">
        <f t="shared" si="9"/>
        <v>230</v>
      </c>
      <c r="S30" s="13">
        <f t="shared" si="9"/>
        <v>216</v>
      </c>
      <c r="T30" s="13">
        <f t="shared" si="9"/>
        <v>224</v>
      </c>
      <c r="U30" s="13">
        <f t="shared" si="9"/>
        <v>204</v>
      </c>
      <c r="V30" s="13">
        <f t="shared" si="9"/>
        <v>241</v>
      </c>
      <c r="W30" s="13">
        <f t="shared" si="9"/>
        <v>216</v>
      </c>
      <c r="X30" s="13">
        <f t="shared" si="9"/>
        <v>232</v>
      </c>
      <c r="Y30" s="13">
        <f t="shared" si="9"/>
        <v>247</v>
      </c>
      <c r="Z30" s="13">
        <f t="shared" si="9"/>
        <v>223</v>
      </c>
      <c r="AA30" s="13">
        <f t="shared" si="9"/>
        <v>223</v>
      </c>
      <c r="AB30" s="13">
        <f t="shared" si="9"/>
        <v>198</v>
      </c>
      <c r="AC30" s="13">
        <f t="shared" si="9"/>
        <v>207</v>
      </c>
      <c r="AD30" s="13">
        <f t="shared" si="9"/>
        <v>219</v>
      </c>
      <c r="AE30" s="13">
        <f t="shared" si="9"/>
        <v>233</v>
      </c>
      <c r="AF30" s="13">
        <f t="shared" si="9"/>
        <v>226</v>
      </c>
      <c r="AG30" s="13">
        <f t="shared" si="3"/>
        <v>5938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68"/>
    </row>
    <row r="33" ht="12.75" customHeight="1">
      <c r="A33" s="19">
        <v>1.0</v>
      </c>
      <c r="B33" s="20" t="s">
        <v>26</v>
      </c>
      <c r="C33" s="15"/>
      <c r="D33" s="16"/>
      <c r="E33" s="19">
        <v>277.0</v>
      </c>
      <c r="F33" s="19">
        <v>266.0</v>
      </c>
      <c r="G33" s="19">
        <v>265.0</v>
      </c>
      <c r="H33" s="19">
        <v>243.0</v>
      </c>
      <c r="I33" s="19">
        <v>256.0</v>
      </c>
      <c r="J33" s="19">
        <v>219.0</v>
      </c>
      <c r="K33" s="19">
        <v>262.0</v>
      </c>
      <c r="L33" s="19">
        <v>304.0</v>
      </c>
      <c r="M33" s="19">
        <v>305.0</v>
      </c>
      <c r="N33" s="19">
        <v>301.0</v>
      </c>
      <c r="O33" s="19">
        <v>253.0</v>
      </c>
      <c r="P33" s="19">
        <v>226.0</v>
      </c>
      <c r="Q33" s="19">
        <v>235.0</v>
      </c>
      <c r="R33" s="19">
        <v>297.0</v>
      </c>
      <c r="S33" s="19">
        <v>295.0</v>
      </c>
      <c r="T33" s="19">
        <v>299.0</v>
      </c>
      <c r="U33" s="19">
        <v>299.0</v>
      </c>
      <c r="V33" s="19">
        <v>302.0</v>
      </c>
      <c r="W33" s="19">
        <v>300.0</v>
      </c>
      <c r="X33" s="19">
        <v>300.0</v>
      </c>
      <c r="Y33" s="19">
        <v>302.0</v>
      </c>
      <c r="Z33" s="19">
        <v>297.0</v>
      </c>
      <c r="AA33" s="19">
        <v>288.0</v>
      </c>
      <c r="AB33" s="19">
        <v>253.0</v>
      </c>
      <c r="AC33" s="19">
        <v>268.0</v>
      </c>
      <c r="AD33" s="19">
        <v>304.0</v>
      </c>
      <c r="AE33" s="19">
        <v>297.0</v>
      </c>
      <c r="AF33" s="19">
        <v>283.0</v>
      </c>
      <c r="AG33" s="13">
        <f t="shared" ref="AG33:AG36" si="10">SUM(E33:AF33)</f>
        <v>7796</v>
      </c>
    </row>
    <row r="34" ht="12.75" customHeight="1">
      <c r="A34" s="19">
        <v>2.0</v>
      </c>
      <c r="B34" s="20" t="s">
        <v>27</v>
      </c>
      <c r="C34" s="15"/>
      <c r="D34" s="16"/>
      <c r="E34" s="13">
        <v>205.0</v>
      </c>
      <c r="F34" s="13">
        <v>197.0</v>
      </c>
      <c r="G34" s="13">
        <v>197.0</v>
      </c>
      <c r="H34" s="13">
        <v>155.0</v>
      </c>
      <c r="I34" s="13">
        <v>202.0</v>
      </c>
      <c r="J34" s="13">
        <v>165.0</v>
      </c>
      <c r="K34" s="13">
        <v>214.0</v>
      </c>
      <c r="L34" s="13">
        <v>221.0</v>
      </c>
      <c r="M34" s="13">
        <v>244.0</v>
      </c>
      <c r="N34" s="13">
        <v>244.0</v>
      </c>
      <c r="O34" s="13">
        <v>198.0</v>
      </c>
      <c r="P34" s="13">
        <v>177.0</v>
      </c>
      <c r="Q34" s="13">
        <v>180.0</v>
      </c>
      <c r="R34" s="13">
        <v>230.0</v>
      </c>
      <c r="S34" s="13">
        <v>216.0</v>
      </c>
      <c r="T34" s="13">
        <v>224.0</v>
      </c>
      <c r="U34" s="13">
        <v>204.0</v>
      </c>
      <c r="V34" s="13">
        <v>241.0</v>
      </c>
      <c r="W34" s="13">
        <v>216.0</v>
      </c>
      <c r="X34" s="13">
        <v>232.0</v>
      </c>
      <c r="Y34" s="13">
        <v>247.0</v>
      </c>
      <c r="Z34" s="13">
        <v>223.0</v>
      </c>
      <c r="AA34" s="13">
        <v>223.0</v>
      </c>
      <c r="AB34" s="13">
        <v>198.0</v>
      </c>
      <c r="AC34" s="13">
        <v>207.0</v>
      </c>
      <c r="AD34" s="13">
        <v>219.0</v>
      </c>
      <c r="AE34" s="13">
        <v>233.0</v>
      </c>
      <c r="AF34" s="13">
        <v>226.0</v>
      </c>
      <c r="AG34" s="13">
        <f t="shared" si="10"/>
        <v>5938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2.0</v>
      </c>
      <c r="AG35" s="13">
        <f t="shared" si="10"/>
        <v>8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F36" si="11">E33-(E34+E35)</f>
        <v>72</v>
      </c>
      <c r="F36" s="13">
        <f t="shared" si="11"/>
        <v>69</v>
      </c>
      <c r="G36" s="13">
        <f t="shared" si="11"/>
        <v>68</v>
      </c>
      <c r="H36" s="13">
        <f t="shared" si="11"/>
        <v>88</v>
      </c>
      <c r="I36" s="13">
        <f t="shared" si="11"/>
        <v>54</v>
      </c>
      <c r="J36" s="13">
        <f t="shared" si="11"/>
        <v>54</v>
      </c>
      <c r="K36" s="13">
        <f t="shared" si="11"/>
        <v>47</v>
      </c>
      <c r="L36" s="13">
        <f t="shared" si="11"/>
        <v>83</v>
      </c>
      <c r="M36" s="13">
        <f t="shared" si="11"/>
        <v>61</v>
      </c>
      <c r="N36" s="13">
        <f t="shared" si="11"/>
        <v>56</v>
      </c>
      <c r="O36" s="13">
        <f t="shared" si="11"/>
        <v>55</v>
      </c>
      <c r="P36" s="13">
        <f t="shared" si="11"/>
        <v>49</v>
      </c>
      <c r="Q36" s="13">
        <f t="shared" si="11"/>
        <v>53</v>
      </c>
      <c r="R36" s="13">
        <f t="shared" si="11"/>
        <v>67</v>
      </c>
      <c r="S36" s="13">
        <f t="shared" si="11"/>
        <v>79</v>
      </c>
      <c r="T36" s="13">
        <f t="shared" si="11"/>
        <v>75</v>
      </c>
      <c r="U36" s="13">
        <f t="shared" si="11"/>
        <v>94</v>
      </c>
      <c r="V36" s="13">
        <f t="shared" si="11"/>
        <v>61</v>
      </c>
      <c r="W36" s="13">
        <f t="shared" si="11"/>
        <v>84</v>
      </c>
      <c r="X36" s="13">
        <f t="shared" si="11"/>
        <v>68</v>
      </c>
      <c r="Y36" s="13">
        <f t="shared" si="11"/>
        <v>55</v>
      </c>
      <c r="Z36" s="13">
        <f t="shared" si="11"/>
        <v>74</v>
      </c>
      <c r="AA36" s="13">
        <f t="shared" si="11"/>
        <v>65</v>
      </c>
      <c r="AB36" s="13">
        <f t="shared" si="11"/>
        <v>55</v>
      </c>
      <c r="AC36" s="13">
        <f t="shared" si="11"/>
        <v>60</v>
      </c>
      <c r="AD36" s="13">
        <f t="shared" si="11"/>
        <v>85</v>
      </c>
      <c r="AE36" s="13">
        <f t="shared" si="11"/>
        <v>64</v>
      </c>
      <c r="AF36" s="13">
        <f t="shared" si="11"/>
        <v>55</v>
      </c>
      <c r="AG36" s="13">
        <f t="shared" si="10"/>
        <v>1850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1.0</v>
      </c>
      <c r="AF39" s="19">
        <v>1.0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1</v>
      </c>
      <c r="AF41" s="13">
        <f t="shared" si="13"/>
        <v>1</v>
      </c>
      <c r="AG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8.0</v>
      </c>
      <c r="F45" s="19">
        <v>17.0</v>
      </c>
      <c r="G45" s="19">
        <v>9.0</v>
      </c>
      <c r="H45" s="19">
        <v>4.0</v>
      </c>
      <c r="I45" s="19">
        <v>6.0</v>
      </c>
      <c r="J45" s="19">
        <v>1.0</v>
      </c>
      <c r="K45" s="19">
        <v>8.0</v>
      </c>
      <c r="L45" s="19">
        <v>8.0</v>
      </c>
      <c r="M45" s="19">
        <v>14.0</v>
      </c>
      <c r="N45" s="19">
        <v>16.0</v>
      </c>
      <c r="O45" s="19">
        <v>4.0</v>
      </c>
      <c r="P45" s="19">
        <v>12.0</v>
      </c>
      <c r="Q45" s="19">
        <v>12.0</v>
      </c>
      <c r="R45" s="19">
        <v>14.0</v>
      </c>
      <c r="S45" s="19">
        <v>11.0</v>
      </c>
      <c r="T45" s="19">
        <v>10.0</v>
      </c>
      <c r="U45" s="19">
        <v>5.0</v>
      </c>
      <c r="V45" s="19">
        <v>9.0</v>
      </c>
      <c r="W45" s="19">
        <v>2.0</v>
      </c>
      <c r="X45" s="19">
        <v>1.0</v>
      </c>
      <c r="Y45" s="19">
        <v>9.0</v>
      </c>
      <c r="Z45" s="19">
        <v>6.0</v>
      </c>
      <c r="AA45" s="19">
        <v>2.0</v>
      </c>
      <c r="AB45" s="19">
        <v>5.0</v>
      </c>
      <c r="AC45" s="19">
        <v>9.0</v>
      </c>
      <c r="AD45" s="19">
        <v>9.0</v>
      </c>
      <c r="AE45" s="19">
        <v>32.0</v>
      </c>
      <c r="AF45" s="19">
        <v>12.0</v>
      </c>
      <c r="AG45" s="13">
        <f t="shared" ref="AG45:AG52" si="14">SUM(E45:AF45)</f>
        <v>255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10.0</v>
      </c>
      <c r="F46" s="19">
        <v>20.0</v>
      </c>
      <c r="G46" s="19">
        <v>25.0</v>
      </c>
      <c r="H46" s="19">
        <v>13.0</v>
      </c>
      <c r="I46" s="19">
        <v>20.0</v>
      </c>
      <c r="J46" s="19">
        <v>25.0</v>
      </c>
      <c r="K46" s="19">
        <v>13.0</v>
      </c>
      <c r="L46" s="19">
        <v>20.0</v>
      </c>
      <c r="M46" s="19">
        <v>60.0</v>
      </c>
      <c r="N46" s="19">
        <v>39.0</v>
      </c>
      <c r="O46" s="19">
        <v>39.0</v>
      </c>
      <c r="P46" s="19">
        <v>27.0</v>
      </c>
      <c r="Q46" s="19">
        <v>43.0</v>
      </c>
      <c r="R46" s="19">
        <v>26.0</v>
      </c>
      <c r="S46" s="19">
        <v>12.0</v>
      </c>
      <c r="T46" s="19">
        <v>15.0</v>
      </c>
      <c r="U46" s="19">
        <v>13.0</v>
      </c>
      <c r="V46" s="19">
        <v>2.0</v>
      </c>
      <c r="W46" s="19">
        <v>10.0</v>
      </c>
      <c r="X46" s="19">
        <v>12.0</v>
      </c>
      <c r="Y46" s="19">
        <v>41.0</v>
      </c>
      <c r="Z46" s="19">
        <v>13.0</v>
      </c>
      <c r="AA46" s="19">
        <v>11.0</v>
      </c>
      <c r="AB46" s="19">
        <v>21.0</v>
      </c>
      <c r="AC46" s="19">
        <v>22.0</v>
      </c>
      <c r="AD46" s="19">
        <v>24.0</v>
      </c>
      <c r="AE46" s="19">
        <v>50.0</v>
      </c>
      <c r="AF46" s="19">
        <v>22.0</v>
      </c>
      <c r="AG46" s="13">
        <f t="shared" si="14"/>
        <v>648</v>
      </c>
    </row>
    <row r="47" ht="12.75" customHeight="1">
      <c r="A47" s="18"/>
      <c r="B47" s="55">
        <v>2.0</v>
      </c>
      <c r="C47" s="50" t="s">
        <v>40</v>
      </c>
      <c r="D47" s="16"/>
      <c r="E47" s="19">
        <v>0.0</v>
      </c>
      <c r="F47" s="19">
        <v>1.0</v>
      </c>
      <c r="G47" s="19">
        <v>3.0</v>
      </c>
      <c r="H47" s="19">
        <v>6.0</v>
      </c>
      <c r="I47" s="19">
        <v>11.0</v>
      </c>
      <c r="J47" s="19">
        <v>5.0</v>
      </c>
      <c r="K47" s="19">
        <v>1.0</v>
      </c>
      <c r="L47" s="19">
        <v>1.0</v>
      </c>
      <c r="M47" s="19">
        <v>5.0</v>
      </c>
      <c r="N47" s="19">
        <v>3.0</v>
      </c>
      <c r="O47" s="19">
        <v>5.0</v>
      </c>
      <c r="P47" s="19">
        <v>3.0</v>
      </c>
      <c r="Q47" s="19">
        <v>3.0</v>
      </c>
      <c r="R47" s="19">
        <v>1.0</v>
      </c>
      <c r="S47" s="19">
        <v>1.0</v>
      </c>
      <c r="T47" s="19">
        <v>3.0</v>
      </c>
      <c r="U47" s="19">
        <v>0.0</v>
      </c>
      <c r="V47" s="19">
        <v>1.0</v>
      </c>
      <c r="W47" s="19">
        <v>2.0</v>
      </c>
      <c r="X47" s="19">
        <v>0.0</v>
      </c>
      <c r="Y47" s="19">
        <v>0.0</v>
      </c>
      <c r="Z47" s="19">
        <v>1.0</v>
      </c>
      <c r="AA47" s="19">
        <v>0.0</v>
      </c>
      <c r="AB47" s="19">
        <v>2.0</v>
      </c>
      <c r="AC47" s="19">
        <v>1.0</v>
      </c>
      <c r="AD47" s="19">
        <v>1.0</v>
      </c>
      <c r="AE47" s="19">
        <v>27.0</v>
      </c>
      <c r="AF47" s="19">
        <v>6.0</v>
      </c>
      <c r="AG47" s="13">
        <f t="shared" si="14"/>
        <v>93</v>
      </c>
    </row>
    <row r="48" ht="12.75" customHeight="1">
      <c r="A48" s="18"/>
      <c r="B48" s="55">
        <v>3.0</v>
      </c>
      <c r="C48" s="50" t="s">
        <v>41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4.0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3.0</v>
      </c>
      <c r="P48" s="19">
        <v>2.0</v>
      </c>
      <c r="Q48" s="19">
        <v>0.0</v>
      </c>
      <c r="R48" s="19">
        <v>6.0</v>
      </c>
      <c r="S48" s="19">
        <v>0.0</v>
      </c>
      <c r="T48" s="19">
        <v>1.0</v>
      </c>
      <c r="U48" s="19">
        <v>0.0</v>
      </c>
      <c r="V48" s="19">
        <v>0.0</v>
      </c>
      <c r="W48" s="19">
        <v>0.0</v>
      </c>
      <c r="X48" s="19">
        <v>0.0</v>
      </c>
      <c r="Y48" s="19">
        <v>1.0</v>
      </c>
      <c r="Z48" s="19">
        <v>2.0</v>
      </c>
      <c r="AA48" s="19">
        <v>0.0</v>
      </c>
      <c r="AB48" s="19">
        <v>1.0</v>
      </c>
      <c r="AC48" s="19">
        <v>1.0</v>
      </c>
      <c r="AD48" s="19">
        <v>0.0</v>
      </c>
      <c r="AE48" s="19">
        <v>0.0</v>
      </c>
      <c r="AF48" s="19">
        <v>0.0</v>
      </c>
      <c r="AG48" s="13">
        <f t="shared" si="14"/>
        <v>23</v>
      </c>
    </row>
    <row r="49" ht="12.75" customHeight="1">
      <c r="A49" s="18"/>
      <c r="B49" s="55">
        <v>4.0</v>
      </c>
      <c r="C49" s="50" t="s">
        <v>42</v>
      </c>
      <c r="D49" s="16"/>
      <c r="E49" s="19">
        <v>0.0</v>
      </c>
      <c r="F49" s="19">
        <v>1.0</v>
      </c>
      <c r="G49" s="19">
        <v>2.0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9">
        <v>3.0</v>
      </c>
      <c r="Q49" s="19">
        <v>2.0</v>
      </c>
      <c r="R49" s="19">
        <v>1.0</v>
      </c>
      <c r="S49" s="19">
        <v>1.0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9">
        <v>1.0</v>
      </c>
      <c r="AB49" s="19">
        <v>1.0</v>
      </c>
      <c r="AC49" s="19">
        <v>1.0</v>
      </c>
      <c r="AD49" s="19">
        <v>0.0</v>
      </c>
      <c r="AE49" s="19">
        <v>1.0</v>
      </c>
      <c r="AF49" s="19">
        <v>0.0</v>
      </c>
      <c r="AG49" s="13">
        <f t="shared" si="14"/>
        <v>17</v>
      </c>
    </row>
    <row r="50" ht="12.75" customHeight="1">
      <c r="A50" s="18"/>
      <c r="B50" s="55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1.0</v>
      </c>
      <c r="M50" s="19">
        <v>1.0</v>
      </c>
      <c r="N50" s="19">
        <v>0.0</v>
      </c>
      <c r="O50" s="19">
        <v>0.0</v>
      </c>
      <c r="P50" s="19">
        <v>0.0</v>
      </c>
      <c r="Q50" s="19">
        <v>1.0</v>
      </c>
      <c r="R50" s="19">
        <v>1.0</v>
      </c>
      <c r="S50" s="19">
        <v>0.0</v>
      </c>
      <c r="T50" s="19">
        <v>0.0</v>
      </c>
      <c r="U50" s="19">
        <v>0.0</v>
      </c>
      <c r="V50" s="19">
        <v>1.0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3.0</v>
      </c>
      <c r="AF50" s="19">
        <v>0.0</v>
      </c>
      <c r="AG50" s="13">
        <f t="shared" si="14"/>
        <v>10</v>
      </c>
    </row>
    <row r="51" ht="12.75" customHeight="1">
      <c r="A51" s="18"/>
      <c r="B51" s="55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9">
        <v>0.0</v>
      </c>
      <c r="S51" s="19">
        <v>0.0</v>
      </c>
      <c r="T51" s="19">
        <v>1.0</v>
      </c>
      <c r="U51" s="19">
        <v>1.0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0.0</v>
      </c>
      <c r="AE51" s="19">
        <v>1.0</v>
      </c>
      <c r="AF51" s="19">
        <v>0.0</v>
      </c>
      <c r="AG51" s="13">
        <f t="shared" si="14"/>
        <v>6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1.0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3">
        <f t="shared" si="14"/>
        <v>4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F55" si="15">SUM(E45:E52)</f>
        <v>18</v>
      </c>
      <c r="F55" s="13">
        <f t="shared" si="15"/>
        <v>39</v>
      </c>
      <c r="G55" s="13">
        <f t="shared" si="15"/>
        <v>39</v>
      </c>
      <c r="H55" s="13">
        <f t="shared" si="15"/>
        <v>25</v>
      </c>
      <c r="I55" s="13">
        <f t="shared" si="15"/>
        <v>43</v>
      </c>
      <c r="J55" s="13">
        <f t="shared" si="15"/>
        <v>31</v>
      </c>
      <c r="K55" s="13">
        <f t="shared" si="15"/>
        <v>25</v>
      </c>
      <c r="L55" s="13">
        <f t="shared" si="15"/>
        <v>30</v>
      </c>
      <c r="M55" s="13">
        <f t="shared" si="15"/>
        <v>80</v>
      </c>
      <c r="N55" s="13">
        <f t="shared" si="15"/>
        <v>60</v>
      </c>
      <c r="O55" s="13">
        <f t="shared" si="15"/>
        <v>51</v>
      </c>
      <c r="P55" s="13">
        <f t="shared" si="15"/>
        <v>49</v>
      </c>
      <c r="Q55" s="13">
        <f t="shared" si="15"/>
        <v>61</v>
      </c>
      <c r="R55" s="13">
        <f t="shared" si="15"/>
        <v>49</v>
      </c>
      <c r="S55" s="13">
        <f t="shared" si="15"/>
        <v>25</v>
      </c>
      <c r="T55" s="13">
        <f t="shared" si="15"/>
        <v>30</v>
      </c>
      <c r="U55" s="13">
        <f t="shared" si="15"/>
        <v>19</v>
      </c>
      <c r="V55" s="13">
        <f t="shared" si="15"/>
        <v>13</v>
      </c>
      <c r="W55" s="13">
        <f t="shared" si="15"/>
        <v>14</v>
      </c>
      <c r="X55" s="13">
        <f t="shared" si="15"/>
        <v>14</v>
      </c>
      <c r="Y55" s="13">
        <f t="shared" si="15"/>
        <v>51</v>
      </c>
      <c r="Z55" s="13">
        <f t="shared" si="15"/>
        <v>23</v>
      </c>
      <c r="AA55" s="13">
        <f t="shared" si="15"/>
        <v>15</v>
      </c>
      <c r="AB55" s="13">
        <f t="shared" si="15"/>
        <v>30</v>
      </c>
      <c r="AC55" s="13">
        <f t="shared" si="15"/>
        <v>34</v>
      </c>
      <c r="AD55" s="13">
        <f t="shared" si="15"/>
        <v>34</v>
      </c>
      <c r="AE55" s="13">
        <f t="shared" si="15"/>
        <v>114</v>
      </c>
      <c r="AF55" s="13">
        <f t="shared" si="15"/>
        <v>40</v>
      </c>
      <c r="AG55" s="13">
        <f>SUM(E55:AF55)</f>
        <v>1056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19.0</v>
      </c>
      <c r="F57" s="19">
        <v>10.0</v>
      </c>
      <c r="G57" s="19">
        <v>10.0</v>
      </c>
      <c r="H57" s="19">
        <v>11.0</v>
      </c>
      <c r="I57" s="19">
        <v>2.0</v>
      </c>
      <c r="J57" s="19">
        <v>5.0</v>
      </c>
      <c r="K57" s="19">
        <v>6.0</v>
      </c>
      <c r="L57" s="19">
        <v>9.0</v>
      </c>
      <c r="M57" s="19">
        <v>9.0</v>
      </c>
      <c r="N57" s="19">
        <v>20.0</v>
      </c>
      <c r="O57" s="19">
        <v>3.0</v>
      </c>
      <c r="P57" s="19">
        <v>5.0</v>
      </c>
      <c r="Q57" s="19">
        <v>9.0</v>
      </c>
      <c r="R57" s="19">
        <v>6.0</v>
      </c>
      <c r="S57" s="19">
        <v>12.0</v>
      </c>
      <c r="T57" s="19">
        <v>3.0</v>
      </c>
      <c r="U57" s="19">
        <v>17.0</v>
      </c>
      <c r="V57" s="19">
        <v>9.0</v>
      </c>
      <c r="W57" s="19">
        <v>1.0</v>
      </c>
      <c r="X57" s="19">
        <v>2.0</v>
      </c>
      <c r="Y57" s="19">
        <v>5.0</v>
      </c>
      <c r="Z57" s="19">
        <v>4.0</v>
      </c>
      <c r="AA57" s="19">
        <v>6.0</v>
      </c>
      <c r="AB57" s="19">
        <v>2.0</v>
      </c>
      <c r="AC57" s="19">
        <v>8.0</v>
      </c>
      <c r="AD57" s="19">
        <v>5.0</v>
      </c>
      <c r="AE57" s="19">
        <v>9.0</v>
      </c>
      <c r="AF57" s="19">
        <v>7.0</v>
      </c>
      <c r="AG57" s="13">
        <f t="shared" ref="AG57:AG64" si="16">SUM(E57:AF57)</f>
        <v>214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6.0</v>
      </c>
      <c r="F58" s="19">
        <v>9.0</v>
      </c>
      <c r="G58" s="19">
        <v>9.0</v>
      </c>
      <c r="H58" s="19">
        <v>4.0</v>
      </c>
      <c r="I58" s="19">
        <v>2.0</v>
      </c>
      <c r="J58" s="19">
        <v>2.0</v>
      </c>
      <c r="K58" s="19">
        <v>15.0</v>
      </c>
      <c r="L58" s="19">
        <v>3.0</v>
      </c>
      <c r="M58" s="19">
        <v>6.0</v>
      </c>
      <c r="N58" s="19">
        <v>17.0</v>
      </c>
      <c r="O58" s="19">
        <v>15.0</v>
      </c>
      <c r="P58" s="19">
        <v>1.0</v>
      </c>
      <c r="Q58" s="19">
        <v>6.0</v>
      </c>
      <c r="R58" s="19">
        <v>19.0</v>
      </c>
      <c r="S58" s="19">
        <v>37.0</v>
      </c>
      <c r="T58" s="19">
        <v>17.0</v>
      </c>
      <c r="U58" s="19">
        <v>15.0</v>
      </c>
      <c r="V58" s="19">
        <v>10.0</v>
      </c>
      <c r="W58" s="19">
        <v>4.0</v>
      </c>
      <c r="X58" s="19">
        <v>2.0</v>
      </c>
      <c r="Y58" s="19">
        <v>2.0</v>
      </c>
      <c r="Z58" s="19">
        <v>6.0</v>
      </c>
      <c r="AA58" s="19">
        <v>41.0</v>
      </c>
      <c r="AB58" s="19">
        <v>9.0</v>
      </c>
      <c r="AC58" s="19">
        <v>24.0</v>
      </c>
      <c r="AD58" s="19">
        <v>0.0</v>
      </c>
      <c r="AE58" s="19">
        <v>8.0</v>
      </c>
      <c r="AF58" s="19">
        <v>8.0</v>
      </c>
      <c r="AG58" s="13">
        <f t="shared" si="16"/>
        <v>297</v>
      </c>
    </row>
    <row r="59" ht="12.75" customHeight="1">
      <c r="A59" s="18"/>
      <c r="B59" s="55">
        <v>2.0</v>
      </c>
      <c r="C59" s="50" t="s">
        <v>49</v>
      </c>
      <c r="D59" s="56"/>
      <c r="E59" s="19">
        <v>8.0</v>
      </c>
      <c r="F59" s="19">
        <v>5.0</v>
      </c>
      <c r="G59" s="19">
        <v>3.0</v>
      </c>
      <c r="H59" s="19">
        <v>17.0</v>
      </c>
      <c r="I59" s="19">
        <v>11.0</v>
      </c>
      <c r="J59" s="19">
        <v>12.0</v>
      </c>
      <c r="K59" s="19">
        <v>23.0</v>
      </c>
      <c r="L59" s="19">
        <v>31.0</v>
      </c>
      <c r="M59" s="19">
        <v>19.0</v>
      </c>
      <c r="N59" s="19">
        <v>41.0</v>
      </c>
      <c r="O59" s="19">
        <v>48.0</v>
      </c>
      <c r="P59" s="19">
        <v>5.0</v>
      </c>
      <c r="Q59" s="19">
        <v>27.0</v>
      </c>
      <c r="R59" s="19">
        <v>21.0</v>
      </c>
      <c r="S59" s="19">
        <v>13.0</v>
      </c>
      <c r="T59" s="19">
        <v>11.0</v>
      </c>
      <c r="U59" s="19">
        <v>19.0</v>
      </c>
      <c r="V59" s="19">
        <v>6.0</v>
      </c>
      <c r="W59" s="19">
        <v>9.0</v>
      </c>
      <c r="X59" s="19">
        <v>3.0</v>
      </c>
      <c r="Y59" s="19">
        <v>27.0</v>
      </c>
      <c r="Z59" s="19">
        <v>1.0</v>
      </c>
      <c r="AA59" s="19">
        <v>30.0</v>
      </c>
      <c r="AB59" s="19">
        <v>14.0</v>
      </c>
      <c r="AC59" s="19">
        <v>6.0</v>
      </c>
      <c r="AD59" s="19">
        <v>17.0</v>
      </c>
      <c r="AE59" s="19">
        <v>28.0</v>
      </c>
      <c r="AF59" s="19">
        <v>14.0</v>
      </c>
      <c r="AG59" s="13">
        <f t="shared" si="16"/>
        <v>469</v>
      </c>
    </row>
    <row r="60" ht="12.75" customHeight="1">
      <c r="A60" s="18"/>
      <c r="B60" s="55">
        <v>3.0</v>
      </c>
      <c r="C60" s="50" t="s">
        <v>50</v>
      </c>
      <c r="D60" s="56"/>
      <c r="E60" s="19">
        <v>0.0</v>
      </c>
      <c r="F60" s="19">
        <v>1.0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1.0</v>
      </c>
      <c r="M60" s="19">
        <v>1.0</v>
      </c>
      <c r="N60" s="19">
        <v>2.0</v>
      </c>
      <c r="O60" s="19">
        <v>2.0</v>
      </c>
      <c r="P60" s="19">
        <v>2.0</v>
      </c>
      <c r="Q60" s="19">
        <v>1.0</v>
      </c>
      <c r="R60" s="19">
        <v>1.0</v>
      </c>
      <c r="S60" s="19">
        <v>0.0</v>
      </c>
      <c r="T60" s="19">
        <v>1.0</v>
      </c>
      <c r="U60" s="19">
        <v>1.0</v>
      </c>
      <c r="V60" s="19">
        <v>1.0</v>
      </c>
      <c r="W60" s="19">
        <v>0.0</v>
      </c>
      <c r="X60" s="19">
        <v>0.0</v>
      </c>
      <c r="Y60" s="19">
        <v>0.0</v>
      </c>
      <c r="Z60" s="19">
        <v>1.0</v>
      </c>
      <c r="AA60" s="19">
        <v>1.0</v>
      </c>
      <c r="AB60" s="19">
        <v>0.0</v>
      </c>
      <c r="AC60" s="19">
        <v>1.0</v>
      </c>
      <c r="AD60" s="19">
        <v>0.0</v>
      </c>
      <c r="AE60" s="19">
        <v>1.0</v>
      </c>
      <c r="AF60" s="19">
        <v>2.0</v>
      </c>
      <c r="AG60" s="13">
        <f t="shared" si="16"/>
        <v>22</v>
      </c>
    </row>
    <row r="61" ht="12.75" customHeight="1">
      <c r="A61" s="18"/>
      <c r="B61" s="55">
        <v>4.0</v>
      </c>
      <c r="C61" s="50" t="s">
        <v>51</v>
      </c>
      <c r="D61" s="56"/>
      <c r="E61" s="19">
        <v>2.0</v>
      </c>
      <c r="F61" s="19">
        <v>2.0</v>
      </c>
      <c r="G61" s="19">
        <v>1.0</v>
      </c>
      <c r="H61" s="19">
        <v>3.0</v>
      </c>
      <c r="I61" s="19">
        <v>1.0</v>
      </c>
      <c r="J61" s="19">
        <v>2.0</v>
      </c>
      <c r="K61" s="19">
        <v>5.0</v>
      </c>
      <c r="L61" s="19">
        <v>1.0</v>
      </c>
      <c r="M61" s="19">
        <v>6.0</v>
      </c>
      <c r="N61" s="19">
        <v>6.0</v>
      </c>
      <c r="O61" s="19">
        <v>1.0</v>
      </c>
      <c r="P61" s="19">
        <v>2.0</v>
      </c>
      <c r="Q61" s="19">
        <v>2.0</v>
      </c>
      <c r="R61" s="19">
        <v>2.0</v>
      </c>
      <c r="S61" s="19">
        <v>2.0</v>
      </c>
      <c r="T61" s="19">
        <v>2.0</v>
      </c>
      <c r="U61" s="19">
        <v>0.0</v>
      </c>
      <c r="V61" s="19">
        <v>2.0</v>
      </c>
      <c r="W61" s="19">
        <v>0.0</v>
      </c>
      <c r="X61" s="19">
        <v>1.0</v>
      </c>
      <c r="Y61" s="19">
        <v>0.0</v>
      </c>
      <c r="Z61" s="19">
        <v>0.0</v>
      </c>
      <c r="AA61" s="19">
        <v>1.0</v>
      </c>
      <c r="AB61" s="19">
        <v>2.0</v>
      </c>
      <c r="AC61" s="19">
        <v>3.0</v>
      </c>
      <c r="AD61" s="19">
        <v>1.0</v>
      </c>
      <c r="AE61" s="19">
        <v>1.0</v>
      </c>
      <c r="AF61" s="19">
        <v>0.0</v>
      </c>
      <c r="AG61" s="13">
        <f t="shared" si="16"/>
        <v>51</v>
      </c>
    </row>
    <row r="62" ht="12.75" customHeight="1">
      <c r="A62" s="18"/>
      <c r="B62" s="55">
        <v>5.0</v>
      </c>
      <c r="C62" s="50" t="s">
        <v>52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2.0</v>
      </c>
      <c r="AD62" s="19">
        <v>0.0</v>
      </c>
      <c r="AE62" s="19">
        <v>0.0</v>
      </c>
      <c r="AF62" s="19">
        <v>0.0</v>
      </c>
      <c r="AG62" s="13">
        <f t="shared" si="16"/>
        <v>3</v>
      </c>
    </row>
    <row r="63" ht="12.75" customHeight="1">
      <c r="A63" s="18"/>
      <c r="B63" s="55">
        <v>6.0</v>
      </c>
      <c r="C63" s="50" t="s">
        <v>53</v>
      </c>
      <c r="D63" s="57"/>
      <c r="E63" s="19">
        <v>2.0</v>
      </c>
      <c r="F63" s="19">
        <v>4.0</v>
      </c>
      <c r="G63" s="19">
        <v>0.0</v>
      </c>
      <c r="H63" s="19">
        <v>1.0</v>
      </c>
      <c r="I63" s="19">
        <v>0.0</v>
      </c>
      <c r="J63" s="19">
        <v>0.0</v>
      </c>
      <c r="K63" s="19">
        <v>1.0</v>
      </c>
      <c r="L63" s="19">
        <v>0.0</v>
      </c>
      <c r="M63" s="19">
        <v>2.0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1.0</v>
      </c>
      <c r="Y63" s="19">
        <v>0.0</v>
      </c>
      <c r="Z63" s="19">
        <v>0.0</v>
      </c>
      <c r="AA63" s="19">
        <v>2.0</v>
      </c>
      <c r="AB63" s="19">
        <v>0.0</v>
      </c>
      <c r="AC63" s="19">
        <v>0.0</v>
      </c>
      <c r="AD63" s="19">
        <v>0.0</v>
      </c>
      <c r="AE63" s="19">
        <v>0.0</v>
      </c>
      <c r="AF63" s="19">
        <v>1.0</v>
      </c>
      <c r="AG63" s="13">
        <f t="shared" si="16"/>
        <v>14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2.0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1.0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1.0</v>
      </c>
      <c r="AF64" s="19">
        <v>0.0</v>
      </c>
      <c r="AG64" s="13">
        <f t="shared" si="16"/>
        <v>6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F67" si="17">SUM(E57:E64)</f>
        <v>37</v>
      </c>
      <c r="F67" s="13">
        <f t="shared" si="17"/>
        <v>31</v>
      </c>
      <c r="G67" s="13">
        <f t="shared" si="17"/>
        <v>24</v>
      </c>
      <c r="H67" s="13">
        <f t="shared" si="17"/>
        <v>37</v>
      </c>
      <c r="I67" s="13">
        <f t="shared" si="17"/>
        <v>17</v>
      </c>
      <c r="J67" s="13">
        <f t="shared" si="17"/>
        <v>23</v>
      </c>
      <c r="K67" s="13">
        <f t="shared" si="17"/>
        <v>50</v>
      </c>
      <c r="L67" s="13">
        <f t="shared" si="17"/>
        <v>45</v>
      </c>
      <c r="M67" s="13">
        <f t="shared" si="17"/>
        <v>43</v>
      </c>
      <c r="N67" s="13">
        <f t="shared" si="17"/>
        <v>86</v>
      </c>
      <c r="O67" s="13">
        <f t="shared" si="17"/>
        <v>70</v>
      </c>
      <c r="P67" s="13">
        <f t="shared" si="17"/>
        <v>15</v>
      </c>
      <c r="Q67" s="13">
        <f t="shared" si="17"/>
        <v>45</v>
      </c>
      <c r="R67" s="13">
        <f t="shared" si="17"/>
        <v>50</v>
      </c>
      <c r="S67" s="13">
        <f t="shared" si="17"/>
        <v>64</v>
      </c>
      <c r="T67" s="13">
        <f t="shared" si="17"/>
        <v>34</v>
      </c>
      <c r="U67" s="13">
        <f t="shared" si="17"/>
        <v>52</v>
      </c>
      <c r="V67" s="13">
        <f t="shared" si="17"/>
        <v>28</v>
      </c>
      <c r="W67" s="13">
        <f t="shared" si="17"/>
        <v>14</v>
      </c>
      <c r="X67" s="13">
        <f t="shared" si="17"/>
        <v>9</v>
      </c>
      <c r="Y67" s="13">
        <f t="shared" si="17"/>
        <v>35</v>
      </c>
      <c r="Z67" s="13">
        <f t="shared" si="17"/>
        <v>12</v>
      </c>
      <c r="AA67" s="13">
        <f t="shared" si="17"/>
        <v>81</v>
      </c>
      <c r="AB67" s="13">
        <f t="shared" si="17"/>
        <v>27</v>
      </c>
      <c r="AC67" s="13">
        <f t="shared" si="17"/>
        <v>44</v>
      </c>
      <c r="AD67" s="13">
        <f t="shared" si="17"/>
        <v>23</v>
      </c>
      <c r="AE67" s="13">
        <f t="shared" si="17"/>
        <v>48</v>
      </c>
      <c r="AF67" s="13">
        <f t="shared" si="17"/>
        <v>32</v>
      </c>
      <c r="AG67" s="13">
        <f>SUM(E67:AF67)</f>
        <v>1076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7.0</v>
      </c>
      <c r="F69" s="19">
        <v>12.0</v>
      </c>
      <c r="G69" s="19">
        <v>11.0</v>
      </c>
      <c r="H69" s="19">
        <v>4.0</v>
      </c>
      <c r="I69" s="19">
        <v>4.0</v>
      </c>
      <c r="J69" s="19">
        <v>7.0</v>
      </c>
      <c r="K69" s="19">
        <v>7.0</v>
      </c>
      <c r="L69" s="19">
        <v>7.0</v>
      </c>
      <c r="M69" s="19">
        <v>8.0</v>
      </c>
      <c r="N69" s="19">
        <v>14.0</v>
      </c>
      <c r="O69" s="19">
        <v>2.0</v>
      </c>
      <c r="P69" s="19">
        <v>13.0</v>
      </c>
      <c r="Q69" s="19">
        <v>5.0</v>
      </c>
      <c r="R69" s="19">
        <v>10.0</v>
      </c>
      <c r="S69" s="19">
        <v>7.0</v>
      </c>
      <c r="T69" s="19">
        <v>9.0</v>
      </c>
      <c r="U69" s="19">
        <v>9.0</v>
      </c>
      <c r="V69" s="19">
        <v>17.0</v>
      </c>
      <c r="W69" s="19">
        <v>10.0</v>
      </c>
      <c r="X69" s="19">
        <v>12.0</v>
      </c>
      <c r="Y69" s="19">
        <v>15.0</v>
      </c>
      <c r="Z69" s="19">
        <v>17.0</v>
      </c>
      <c r="AA69" s="19">
        <v>4.0</v>
      </c>
      <c r="AB69" s="19">
        <v>12.0</v>
      </c>
      <c r="AC69" s="19">
        <v>10.0</v>
      </c>
      <c r="AD69" s="19">
        <v>3.0</v>
      </c>
      <c r="AE69" s="19">
        <v>8.0</v>
      </c>
      <c r="AF69" s="19">
        <v>8.0</v>
      </c>
      <c r="AG69" s="13">
        <f t="shared" ref="AG69:AG76" si="18">SUM(E69:AF69)</f>
        <v>252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47.0</v>
      </c>
      <c r="F70" s="19">
        <v>7.0</v>
      </c>
      <c r="G70" s="19">
        <v>8.0</v>
      </c>
      <c r="H70" s="19">
        <v>2.0</v>
      </c>
      <c r="I70" s="19">
        <v>3.0</v>
      </c>
      <c r="J70" s="19">
        <v>49.0</v>
      </c>
      <c r="K70" s="19">
        <v>12.0</v>
      </c>
      <c r="L70" s="19">
        <v>4.0</v>
      </c>
      <c r="M70" s="19">
        <v>15.0</v>
      </c>
      <c r="N70" s="19">
        <v>5.0</v>
      </c>
      <c r="O70" s="19">
        <v>8.0</v>
      </c>
      <c r="P70" s="19">
        <v>49.0</v>
      </c>
      <c r="Q70" s="19">
        <v>7.0</v>
      </c>
      <c r="R70" s="19">
        <v>22.0</v>
      </c>
      <c r="S70" s="19">
        <v>38.0</v>
      </c>
      <c r="T70" s="19">
        <v>31.0</v>
      </c>
      <c r="U70" s="19">
        <v>19.0</v>
      </c>
      <c r="V70" s="19">
        <v>58.0</v>
      </c>
      <c r="W70" s="19">
        <v>70.0</v>
      </c>
      <c r="X70" s="19">
        <v>129.0</v>
      </c>
      <c r="Y70" s="19">
        <v>60.0</v>
      </c>
      <c r="Z70" s="19">
        <v>50.0</v>
      </c>
      <c r="AA70" s="19">
        <v>14.0</v>
      </c>
      <c r="AB70" s="19">
        <v>41.0</v>
      </c>
      <c r="AC70" s="19">
        <v>10.0</v>
      </c>
      <c r="AD70" s="19">
        <v>7.0</v>
      </c>
      <c r="AE70" s="19">
        <v>19.0</v>
      </c>
      <c r="AF70" s="19">
        <v>46.0</v>
      </c>
      <c r="AG70" s="13">
        <f t="shared" si="18"/>
        <v>830</v>
      </c>
    </row>
    <row r="71" ht="12.75" customHeight="1">
      <c r="A71" s="18"/>
      <c r="B71" s="55">
        <v>2.0</v>
      </c>
      <c r="C71" s="50" t="s">
        <v>57</v>
      </c>
      <c r="D71" s="57"/>
      <c r="E71" s="19">
        <v>2.0</v>
      </c>
      <c r="F71" s="19">
        <v>2.0</v>
      </c>
      <c r="G71" s="19">
        <v>1.0</v>
      </c>
      <c r="H71" s="19">
        <v>0.0</v>
      </c>
      <c r="I71" s="19">
        <v>3.0</v>
      </c>
      <c r="J71" s="19">
        <v>5.0</v>
      </c>
      <c r="K71" s="19">
        <v>3.0</v>
      </c>
      <c r="L71" s="19">
        <v>2.0</v>
      </c>
      <c r="M71" s="19">
        <v>3.0</v>
      </c>
      <c r="N71" s="19">
        <v>0.0</v>
      </c>
      <c r="O71" s="19">
        <v>3.0</v>
      </c>
      <c r="P71" s="19">
        <v>1.0</v>
      </c>
      <c r="Q71" s="19">
        <v>2.0</v>
      </c>
      <c r="R71" s="19">
        <v>1.0</v>
      </c>
      <c r="S71" s="19">
        <v>5.0</v>
      </c>
      <c r="T71" s="19">
        <v>5.0</v>
      </c>
      <c r="U71" s="19">
        <v>0.0</v>
      </c>
      <c r="V71" s="19">
        <v>1.0</v>
      </c>
      <c r="W71" s="19">
        <v>0.0</v>
      </c>
      <c r="X71" s="19">
        <v>3.0</v>
      </c>
      <c r="Y71" s="19">
        <v>0.0</v>
      </c>
      <c r="Z71" s="19">
        <v>2.0</v>
      </c>
      <c r="AA71" s="19">
        <v>1.0</v>
      </c>
      <c r="AB71" s="19">
        <v>3.0</v>
      </c>
      <c r="AC71" s="19">
        <v>2.0</v>
      </c>
      <c r="AD71" s="19">
        <v>1.0</v>
      </c>
      <c r="AE71" s="19">
        <v>1.0</v>
      </c>
      <c r="AF71" s="19">
        <v>3.0</v>
      </c>
      <c r="AG71" s="13">
        <f t="shared" si="18"/>
        <v>55</v>
      </c>
    </row>
    <row r="72" ht="12.75" customHeight="1">
      <c r="A72" s="18"/>
      <c r="B72" s="55">
        <v>3.0</v>
      </c>
      <c r="C72" s="50" t="s">
        <v>58</v>
      </c>
      <c r="D72" s="57"/>
      <c r="E72" s="19">
        <v>2.0</v>
      </c>
      <c r="F72" s="19">
        <v>2.0</v>
      </c>
      <c r="G72" s="19">
        <v>2.0</v>
      </c>
      <c r="H72" s="19">
        <v>0.0</v>
      </c>
      <c r="I72" s="19">
        <v>1.0</v>
      </c>
      <c r="J72" s="19">
        <v>0.0</v>
      </c>
      <c r="K72" s="19">
        <v>2.0</v>
      </c>
      <c r="L72" s="19">
        <v>2.0</v>
      </c>
      <c r="M72" s="19">
        <v>1.0</v>
      </c>
      <c r="N72" s="19">
        <v>3.0</v>
      </c>
      <c r="O72" s="19">
        <v>3.0</v>
      </c>
      <c r="P72" s="19">
        <v>1.0</v>
      </c>
      <c r="Q72" s="19">
        <v>2.0</v>
      </c>
      <c r="R72" s="19">
        <v>2.0</v>
      </c>
      <c r="S72" s="19">
        <v>4.0</v>
      </c>
      <c r="T72" s="19">
        <v>16.0</v>
      </c>
      <c r="U72" s="19">
        <v>13.0</v>
      </c>
      <c r="V72" s="19">
        <v>28.0</v>
      </c>
      <c r="W72" s="19">
        <v>46.0</v>
      </c>
      <c r="X72" s="19">
        <v>31.0</v>
      </c>
      <c r="Y72" s="19">
        <v>13.0</v>
      </c>
      <c r="Z72" s="19">
        <v>64.0</v>
      </c>
      <c r="AA72" s="19">
        <v>37.0</v>
      </c>
      <c r="AB72" s="19">
        <v>32.0</v>
      </c>
      <c r="AC72" s="19">
        <v>16.0</v>
      </c>
      <c r="AD72" s="19">
        <v>0.0</v>
      </c>
      <c r="AE72" s="19">
        <v>1.0</v>
      </c>
      <c r="AF72" s="19">
        <v>1.0</v>
      </c>
      <c r="AG72" s="13">
        <f t="shared" si="18"/>
        <v>325</v>
      </c>
    </row>
    <row r="73" ht="12.75" customHeight="1">
      <c r="A73" s="18"/>
      <c r="B73" s="55">
        <v>4.0</v>
      </c>
      <c r="C73" s="50" t="s">
        <v>59</v>
      </c>
      <c r="D73" s="57"/>
      <c r="E73" s="19">
        <v>2.0</v>
      </c>
      <c r="F73" s="19">
        <v>1.0</v>
      </c>
      <c r="G73" s="19">
        <v>4.0</v>
      </c>
      <c r="H73" s="19">
        <v>1.0</v>
      </c>
      <c r="I73" s="19">
        <v>0.0</v>
      </c>
      <c r="J73" s="19">
        <v>2.0</v>
      </c>
      <c r="K73" s="19">
        <v>1.0</v>
      </c>
      <c r="L73" s="19">
        <v>5.0</v>
      </c>
      <c r="M73" s="19">
        <v>9.0</v>
      </c>
      <c r="N73" s="19">
        <v>2.0</v>
      </c>
      <c r="O73" s="19">
        <v>1.0</v>
      </c>
      <c r="P73" s="19">
        <v>1.0</v>
      </c>
      <c r="Q73" s="19">
        <v>2.0</v>
      </c>
      <c r="R73" s="19">
        <v>0.0</v>
      </c>
      <c r="S73" s="19">
        <v>2.0</v>
      </c>
      <c r="T73" s="19">
        <v>2.0</v>
      </c>
      <c r="U73" s="19">
        <v>3.0</v>
      </c>
      <c r="V73" s="19">
        <v>2.0</v>
      </c>
      <c r="W73" s="19">
        <v>1.0</v>
      </c>
      <c r="X73" s="19">
        <v>2.0</v>
      </c>
      <c r="Y73" s="19">
        <v>7.0</v>
      </c>
      <c r="Z73" s="19">
        <v>1.0</v>
      </c>
      <c r="AA73" s="19">
        <v>0.0</v>
      </c>
      <c r="AB73" s="19">
        <v>2.0</v>
      </c>
      <c r="AC73" s="19">
        <v>2.0</v>
      </c>
      <c r="AD73" s="19">
        <v>2.0</v>
      </c>
      <c r="AE73" s="19">
        <v>1.0</v>
      </c>
      <c r="AF73" s="19">
        <v>1.0</v>
      </c>
      <c r="AG73" s="13">
        <f t="shared" si="18"/>
        <v>59</v>
      </c>
    </row>
    <row r="74" ht="12.75" customHeight="1">
      <c r="A74" s="18"/>
      <c r="B74" s="55">
        <v>5.0</v>
      </c>
      <c r="C74" s="50" t="s">
        <v>60</v>
      </c>
      <c r="D74" s="57"/>
      <c r="E74" s="19">
        <v>0.0</v>
      </c>
      <c r="F74" s="19">
        <v>4.0</v>
      </c>
      <c r="G74" s="19">
        <v>4.0</v>
      </c>
      <c r="H74" s="19">
        <v>2.0</v>
      </c>
      <c r="I74" s="19">
        <v>2.0</v>
      </c>
      <c r="J74" s="19">
        <v>0.0</v>
      </c>
      <c r="K74" s="19">
        <v>1.0</v>
      </c>
      <c r="L74" s="19">
        <v>0.0</v>
      </c>
      <c r="M74" s="19">
        <v>2.0</v>
      </c>
      <c r="N74" s="19">
        <v>3.0</v>
      </c>
      <c r="O74" s="19">
        <v>2.0</v>
      </c>
      <c r="P74" s="19">
        <v>1.0</v>
      </c>
      <c r="Q74" s="19">
        <v>2.0</v>
      </c>
      <c r="R74" s="19">
        <v>2.0</v>
      </c>
      <c r="S74" s="19">
        <v>6.0</v>
      </c>
      <c r="T74" s="19">
        <v>6.0</v>
      </c>
      <c r="U74" s="19">
        <v>4.0</v>
      </c>
      <c r="V74" s="19">
        <v>0.0</v>
      </c>
      <c r="W74" s="19">
        <v>7.0</v>
      </c>
      <c r="X74" s="19">
        <v>5.0</v>
      </c>
      <c r="Y74" s="19">
        <v>8.0</v>
      </c>
      <c r="Z74" s="19">
        <v>3.0</v>
      </c>
      <c r="AA74" s="19">
        <v>2.0</v>
      </c>
      <c r="AB74" s="19">
        <v>5.0</v>
      </c>
      <c r="AC74" s="19">
        <v>8.0</v>
      </c>
      <c r="AD74" s="19">
        <v>6.0</v>
      </c>
      <c r="AE74" s="19">
        <v>3.0</v>
      </c>
      <c r="AF74" s="19">
        <v>1.0</v>
      </c>
      <c r="AG74" s="13">
        <f t="shared" si="18"/>
        <v>89</v>
      </c>
    </row>
    <row r="75" ht="12.75" customHeight="1">
      <c r="A75" s="18"/>
      <c r="B75" s="55">
        <v>6.0</v>
      </c>
      <c r="C75" s="50" t="s">
        <v>61</v>
      </c>
      <c r="D75" s="57"/>
      <c r="E75" s="19">
        <v>1.0</v>
      </c>
      <c r="F75" s="19">
        <v>1.0</v>
      </c>
      <c r="G75" s="19">
        <v>1.0</v>
      </c>
      <c r="H75" s="19">
        <v>0.0</v>
      </c>
      <c r="I75" s="19">
        <v>1.0</v>
      </c>
      <c r="J75" s="19">
        <v>2.0</v>
      </c>
      <c r="K75" s="19">
        <v>1.0</v>
      </c>
      <c r="L75" s="19">
        <v>1.0</v>
      </c>
      <c r="M75" s="19">
        <v>4.0</v>
      </c>
      <c r="N75" s="19">
        <v>1.0</v>
      </c>
      <c r="O75" s="19">
        <v>3.0</v>
      </c>
      <c r="P75" s="19">
        <v>0.0</v>
      </c>
      <c r="Q75" s="19">
        <v>2.0</v>
      </c>
      <c r="R75" s="19">
        <v>1.0</v>
      </c>
      <c r="S75" s="19">
        <v>0.0</v>
      </c>
      <c r="T75" s="19">
        <v>0.0</v>
      </c>
      <c r="U75" s="19">
        <v>1.0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3.0</v>
      </c>
      <c r="AC75" s="19">
        <v>4.0</v>
      </c>
      <c r="AD75" s="19">
        <v>3.0</v>
      </c>
      <c r="AE75" s="19">
        <v>1.0</v>
      </c>
      <c r="AF75" s="19">
        <v>0.0</v>
      </c>
      <c r="AG75" s="13">
        <f t="shared" si="18"/>
        <v>31</v>
      </c>
    </row>
    <row r="76" ht="12.75" customHeight="1">
      <c r="A76" s="18"/>
      <c r="B76" s="55">
        <v>7.0</v>
      </c>
      <c r="C76" s="50" t="s">
        <v>62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2.0</v>
      </c>
      <c r="L76" s="19">
        <v>0.0</v>
      </c>
      <c r="M76" s="19">
        <v>0.0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0.0</v>
      </c>
      <c r="T76" s="19">
        <v>1.0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1.0</v>
      </c>
      <c r="AD76" s="19">
        <v>1.0</v>
      </c>
      <c r="AE76" s="19">
        <v>0.0</v>
      </c>
      <c r="AF76" s="19">
        <v>0.0</v>
      </c>
      <c r="AG76" s="13">
        <f t="shared" si="18"/>
        <v>6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F79" si="19">SUM(E69:E76)</f>
        <v>61</v>
      </c>
      <c r="F79" s="13">
        <f t="shared" si="19"/>
        <v>29</v>
      </c>
      <c r="G79" s="13">
        <f t="shared" si="19"/>
        <v>31</v>
      </c>
      <c r="H79" s="13">
        <f t="shared" si="19"/>
        <v>9</v>
      </c>
      <c r="I79" s="13">
        <f t="shared" si="19"/>
        <v>14</v>
      </c>
      <c r="J79" s="13">
        <f t="shared" si="19"/>
        <v>65</v>
      </c>
      <c r="K79" s="13">
        <f t="shared" si="19"/>
        <v>29</v>
      </c>
      <c r="L79" s="13">
        <f t="shared" si="19"/>
        <v>21</v>
      </c>
      <c r="M79" s="13">
        <f t="shared" si="19"/>
        <v>42</v>
      </c>
      <c r="N79" s="13">
        <f t="shared" si="19"/>
        <v>28</v>
      </c>
      <c r="O79" s="13">
        <f t="shared" si="19"/>
        <v>23</v>
      </c>
      <c r="P79" s="13">
        <f t="shared" si="19"/>
        <v>66</v>
      </c>
      <c r="Q79" s="13">
        <f t="shared" si="19"/>
        <v>22</v>
      </c>
      <c r="R79" s="13">
        <f t="shared" si="19"/>
        <v>38</v>
      </c>
      <c r="S79" s="13">
        <f t="shared" si="19"/>
        <v>62</v>
      </c>
      <c r="T79" s="13">
        <f t="shared" si="19"/>
        <v>70</v>
      </c>
      <c r="U79" s="13">
        <f t="shared" si="19"/>
        <v>49</v>
      </c>
      <c r="V79" s="13">
        <f t="shared" si="19"/>
        <v>106</v>
      </c>
      <c r="W79" s="13">
        <f t="shared" si="19"/>
        <v>134</v>
      </c>
      <c r="X79" s="13">
        <f t="shared" si="19"/>
        <v>182</v>
      </c>
      <c r="Y79" s="13">
        <f t="shared" si="19"/>
        <v>103</v>
      </c>
      <c r="Z79" s="13">
        <f t="shared" si="19"/>
        <v>137</v>
      </c>
      <c r="AA79" s="13">
        <f t="shared" si="19"/>
        <v>58</v>
      </c>
      <c r="AB79" s="13">
        <f t="shared" si="19"/>
        <v>98</v>
      </c>
      <c r="AC79" s="13">
        <f t="shared" si="19"/>
        <v>53</v>
      </c>
      <c r="AD79" s="13">
        <f t="shared" si="19"/>
        <v>23</v>
      </c>
      <c r="AE79" s="13">
        <f t="shared" si="19"/>
        <v>34</v>
      </c>
      <c r="AF79" s="13">
        <f t="shared" si="19"/>
        <v>60</v>
      </c>
      <c r="AG79" s="13">
        <f>SUM(E79:AF79)</f>
        <v>1647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4.0</v>
      </c>
      <c r="F81" s="19">
        <v>9.0</v>
      </c>
      <c r="G81" s="19">
        <v>5.0</v>
      </c>
      <c r="H81" s="19">
        <v>6.0</v>
      </c>
      <c r="I81" s="19">
        <v>4.0</v>
      </c>
      <c r="J81" s="19">
        <v>5.0</v>
      </c>
      <c r="K81" s="19">
        <v>0.0</v>
      </c>
      <c r="L81" s="19">
        <v>6.0</v>
      </c>
      <c r="M81" s="19">
        <v>2.0</v>
      </c>
      <c r="N81" s="19">
        <v>1.0</v>
      </c>
      <c r="O81" s="19">
        <v>4.0</v>
      </c>
      <c r="P81" s="19">
        <v>1.0</v>
      </c>
      <c r="Q81" s="19">
        <v>1.0</v>
      </c>
      <c r="R81" s="19">
        <v>1.0</v>
      </c>
      <c r="S81" s="19">
        <v>1.0</v>
      </c>
      <c r="T81" s="19">
        <v>3.0</v>
      </c>
      <c r="U81" s="19">
        <v>6.0</v>
      </c>
      <c r="V81" s="19">
        <v>15.0</v>
      </c>
      <c r="W81" s="19">
        <v>2.0</v>
      </c>
      <c r="X81" s="19">
        <v>0.0</v>
      </c>
      <c r="Y81" s="19">
        <v>0.0</v>
      </c>
      <c r="Z81" s="19">
        <v>1.0</v>
      </c>
      <c r="AA81" s="19">
        <v>2.0</v>
      </c>
      <c r="AB81" s="19">
        <v>0.0</v>
      </c>
      <c r="AC81" s="19">
        <v>8.0</v>
      </c>
      <c r="AD81" s="19">
        <v>7.0</v>
      </c>
      <c r="AE81" s="19">
        <v>3.0</v>
      </c>
      <c r="AF81" s="19">
        <v>9.0</v>
      </c>
      <c r="AG81" s="13">
        <f t="shared" ref="AG81:AG88" si="20">SUM(E81:AF81)</f>
        <v>106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1.0</v>
      </c>
      <c r="F82" s="19">
        <v>4.0</v>
      </c>
      <c r="G82" s="19">
        <v>5.0</v>
      </c>
      <c r="H82" s="19">
        <v>19.0</v>
      </c>
      <c r="I82" s="19">
        <v>1.0</v>
      </c>
      <c r="J82" s="19">
        <v>5.0</v>
      </c>
      <c r="K82" s="19">
        <v>1.0</v>
      </c>
      <c r="L82" s="19">
        <v>8.0</v>
      </c>
      <c r="M82" s="19">
        <v>3.0</v>
      </c>
      <c r="N82" s="19">
        <v>1.0</v>
      </c>
      <c r="O82" s="19">
        <v>11.0</v>
      </c>
      <c r="P82" s="19">
        <v>2.0</v>
      </c>
      <c r="Q82" s="19">
        <v>1.0</v>
      </c>
      <c r="R82" s="19">
        <v>1.0</v>
      </c>
      <c r="S82" s="19">
        <v>1.0</v>
      </c>
      <c r="T82" s="19">
        <v>2.0</v>
      </c>
      <c r="U82" s="19">
        <v>7.0</v>
      </c>
      <c r="V82" s="19">
        <v>8.0</v>
      </c>
      <c r="W82" s="19">
        <v>7.0</v>
      </c>
      <c r="X82" s="19">
        <v>1.0</v>
      </c>
      <c r="Y82" s="19">
        <v>4.0</v>
      </c>
      <c r="Z82" s="19">
        <v>4.0</v>
      </c>
      <c r="AA82" s="19">
        <v>11.0</v>
      </c>
      <c r="AB82" s="19">
        <v>2.0</v>
      </c>
      <c r="AC82" s="19">
        <v>11.0</v>
      </c>
      <c r="AD82" s="19">
        <v>82.0</v>
      </c>
      <c r="AE82" s="19">
        <v>2.0</v>
      </c>
      <c r="AF82" s="19">
        <v>10.0</v>
      </c>
      <c r="AG82" s="13">
        <f t="shared" si="20"/>
        <v>215</v>
      </c>
    </row>
    <row r="83" ht="12.75" customHeight="1">
      <c r="A83" s="18"/>
      <c r="B83" s="55">
        <v>2.0</v>
      </c>
      <c r="C83" s="50" t="s">
        <v>65</v>
      </c>
      <c r="D83" s="57"/>
      <c r="E83" s="19">
        <v>6.0</v>
      </c>
      <c r="F83" s="19">
        <v>4.0</v>
      </c>
      <c r="G83" s="19">
        <v>3.0</v>
      </c>
      <c r="H83" s="19">
        <v>4.0</v>
      </c>
      <c r="I83" s="19">
        <v>2.0</v>
      </c>
      <c r="J83" s="19">
        <v>4.0</v>
      </c>
      <c r="K83" s="19">
        <v>5.0</v>
      </c>
      <c r="L83" s="19">
        <v>3.0</v>
      </c>
      <c r="M83" s="19">
        <v>8.0</v>
      </c>
      <c r="N83" s="19">
        <v>4.0</v>
      </c>
      <c r="O83" s="19">
        <v>3.0</v>
      </c>
      <c r="P83" s="19">
        <v>4.0</v>
      </c>
      <c r="Q83" s="19">
        <v>0.0</v>
      </c>
      <c r="R83" s="19">
        <v>2.0</v>
      </c>
      <c r="S83" s="19">
        <v>0.0</v>
      </c>
      <c r="T83" s="19">
        <v>1.0</v>
      </c>
      <c r="U83" s="19">
        <v>4.0</v>
      </c>
      <c r="V83" s="19">
        <v>7.0</v>
      </c>
      <c r="W83" s="19">
        <v>3.0</v>
      </c>
      <c r="X83" s="19">
        <v>2.0</v>
      </c>
      <c r="Y83" s="19">
        <v>6.0</v>
      </c>
      <c r="Z83" s="19">
        <v>5.0</v>
      </c>
      <c r="AA83" s="19">
        <v>10.0</v>
      </c>
      <c r="AB83" s="19">
        <v>3.0</v>
      </c>
      <c r="AC83" s="19">
        <v>8.0</v>
      </c>
      <c r="AD83" s="19">
        <v>0.0</v>
      </c>
      <c r="AE83" s="19">
        <v>5.0</v>
      </c>
      <c r="AF83" s="19">
        <v>23.0</v>
      </c>
      <c r="AG83" s="13">
        <f t="shared" si="20"/>
        <v>129</v>
      </c>
    </row>
    <row r="84" ht="12.75" customHeight="1">
      <c r="A84" s="18"/>
      <c r="B84" s="55">
        <v>3.0</v>
      </c>
      <c r="C84" s="50" t="s">
        <v>66</v>
      </c>
      <c r="D84" s="57"/>
      <c r="E84" s="19">
        <v>1.0</v>
      </c>
      <c r="F84" s="19">
        <v>0.0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1.0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5.0</v>
      </c>
      <c r="W84" s="19">
        <v>0.0</v>
      </c>
      <c r="X84" s="19">
        <v>0.0</v>
      </c>
      <c r="Y84" s="19">
        <v>2.0</v>
      </c>
      <c r="Z84" s="19">
        <v>0.0</v>
      </c>
      <c r="AA84" s="19">
        <v>1.0</v>
      </c>
      <c r="AB84" s="19">
        <v>0.0</v>
      </c>
      <c r="AC84" s="19">
        <v>1.0</v>
      </c>
      <c r="AD84" s="19">
        <v>0.0</v>
      </c>
      <c r="AE84" s="19">
        <v>0.0</v>
      </c>
      <c r="AF84" s="19">
        <v>0.0</v>
      </c>
      <c r="AG84" s="13">
        <f t="shared" si="20"/>
        <v>14</v>
      </c>
    </row>
    <row r="85" ht="12.75" customHeight="1">
      <c r="A85" s="18"/>
      <c r="B85" s="55">
        <v>4.0</v>
      </c>
      <c r="C85" s="50" t="s">
        <v>67</v>
      </c>
      <c r="D85" s="57"/>
      <c r="E85" s="19">
        <v>0.0</v>
      </c>
      <c r="F85" s="19">
        <v>3.0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1.0</v>
      </c>
      <c r="P85" s="19">
        <v>0.0</v>
      </c>
      <c r="Q85" s="19">
        <v>0.0</v>
      </c>
      <c r="R85" s="19">
        <v>2.0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1.0</v>
      </c>
      <c r="AC85" s="19">
        <v>0.0</v>
      </c>
      <c r="AD85" s="19">
        <v>1.0</v>
      </c>
      <c r="AE85" s="19">
        <v>1.0</v>
      </c>
      <c r="AF85" s="19">
        <v>2.0</v>
      </c>
      <c r="AG85" s="13">
        <f t="shared" si="20"/>
        <v>13</v>
      </c>
    </row>
    <row r="86" ht="12.75" customHeight="1">
      <c r="A86" s="18"/>
      <c r="B86" s="55">
        <v>5.0</v>
      </c>
      <c r="C86" s="50" t="s">
        <v>68</v>
      </c>
      <c r="D86" s="57"/>
      <c r="E86" s="19">
        <v>0.0</v>
      </c>
      <c r="F86" s="19">
        <v>1.0</v>
      </c>
      <c r="G86" s="19">
        <v>2.0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1.0</v>
      </c>
      <c r="P86" s="19">
        <v>0.0</v>
      </c>
      <c r="Q86" s="19">
        <v>1.0</v>
      </c>
      <c r="R86" s="19">
        <v>0.0</v>
      </c>
      <c r="S86" s="19">
        <v>0.0</v>
      </c>
      <c r="T86" s="19">
        <v>3.0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1.0</v>
      </c>
      <c r="AB86" s="19">
        <v>0.0</v>
      </c>
      <c r="AC86" s="19">
        <v>1.0</v>
      </c>
      <c r="AD86" s="19">
        <v>0.0</v>
      </c>
      <c r="AE86" s="19">
        <v>0.0</v>
      </c>
      <c r="AF86" s="19">
        <v>0.0</v>
      </c>
      <c r="AG86" s="13">
        <f t="shared" si="20"/>
        <v>11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1.0</v>
      </c>
      <c r="AB87" s="19">
        <v>0.0</v>
      </c>
      <c r="AC87" s="19">
        <v>0.0</v>
      </c>
      <c r="AD87" s="19">
        <v>1.0</v>
      </c>
      <c r="AE87" s="19">
        <v>0.0</v>
      </c>
      <c r="AF87" s="19">
        <v>0.0</v>
      </c>
      <c r="AG87" s="13">
        <f t="shared" si="20"/>
        <v>4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3">
        <f t="shared" si="20"/>
        <v>0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F91" si="21">SUM(E81:E88)</f>
        <v>12</v>
      </c>
      <c r="F91" s="13">
        <f t="shared" si="21"/>
        <v>21</v>
      </c>
      <c r="G91" s="13">
        <f t="shared" si="21"/>
        <v>17</v>
      </c>
      <c r="H91" s="13">
        <f t="shared" si="21"/>
        <v>30</v>
      </c>
      <c r="I91" s="13">
        <f t="shared" si="21"/>
        <v>7</v>
      </c>
      <c r="J91" s="13">
        <f t="shared" si="21"/>
        <v>14</v>
      </c>
      <c r="K91" s="13">
        <f t="shared" si="21"/>
        <v>6</v>
      </c>
      <c r="L91" s="13">
        <f t="shared" si="21"/>
        <v>18</v>
      </c>
      <c r="M91" s="13">
        <f t="shared" si="21"/>
        <v>14</v>
      </c>
      <c r="N91" s="13">
        <f t="shared" si="21"/>
        <v>9</v>
      </c>
      <c r="O91" s="13">
        <f t="shared" si="21"/>
        <v>20</v>
      </c>
      <c r="P91" s="13">
        <f t="shared" si="21"/>
        <v>8</v>
      </c>
      <c r="Q91" s="13">
        <f t="shared" si="21"/>
        <v>3</v>
      </c>
      <c r="R91" s="13">
        <f t="shared" si="21"/>
        <v>6</v>
      </c>
      <c r="S91" s="13">
        <f t="shared" si="21"/>
        <v>2</v>
      </c>
      <c r="T91" s="13">
        <f t="shared" si="21"/>
        <v>9</v>
      </c>
      <c r="U91" s="13">
        <f t="shared" si="21"/>
        <v>17</v>
      </c>
      <c r="V91" s="13">
        <f t="shared" si="21"/>
        <v>35</v>
      </c>
      <c r="W91" s="13">
        <f t="shared" si="21"/>
        <v>12</v>
      </c>
      <c r="X91" s="13">
        <f t="shared" si="21"/>
        <v>3</v>
      </c>
      <c r="Y91" s="13">
        <f t="shared" si="21"/>
        <v>12</v>
      </c>
      <c r="Z91" s="13">
        <f t="shared" si="21"/>
        <v>10</v>
      </c>
      <c r="AA91" s="13">
        <f t="shared" si="21"/>
        <v>26</v>
      </c>
      <c r="AB91" s="13">
        <f t="shared" si="21"/>
        <v>6</v>
      </c>
      <c r="AC91" s="13">
        <f t="shared" si="21"/>
        <v>29</v>
      </c>
      <c r="AD91" s="13">
        <f t="shared" si="21"/>
        <v>91</v>
      </c>
      <c r="AE91" s="13">
        <f t="shared" si="21"/>
        <v>11</v>
      </c>
      <c r="AF91" s="13">
        <f t="shared" si="21"/>
        <v>44</v>
      </c>
      <c r="AG91" s="13">
        <f>SUM(E91:AF91)</f>
        <v>492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1.0</v>
      </c>
      <c r="G93" s="19">
        <v>1.0</v>
      </c>
      <c r="H93" s="19">
        <v>1.0</v>
      </c>
      <c r="I93" s="19">
        <v>0.0</v>
      </c>
      <c r="J93" s="19">
        <v>0.0</v>
      </c>
      <c r="K93" s="19">
        <v>1.0</v>
      </c>
      <c r="L93" s="19">
        <v>1.0</v>
      </c>
      <c r="M93" s="19">
        <v>2.0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1.0</v>
      </c>
      <c r="T93" s="19">
        <v>2.0</v>
      </c>
      <c r="U93" s="19">
        <v>1.0</v>
      </c>
      <c r="V93" s="19">
        <v>1.0</v>
      </c>
      <c r="W93" s="19">
        <v>0.0</v>
      </c>
      <c r="X93" s="19">
        <v>1.0</v>
      </c>
      <c r="Y93" s="19">
        <v>0.0</v>
      </c>
      <c r="Z93" s="19">
        <v>0.0</v>
      </c>
      <c r="AA93" s="19">
        <v>0.0</v>
      </c>
      <c r="AB93" s="19">
        <v>1.0</v>
      </c>
      <c r="AC93" s="19">
        <v>0.0</v>
      </c>
      <c r="AD93" s="19">
        <v>1.0</v>
      </c>
      <c r="AE93" s="19">
        <v>0.0</v>
      </c>
      <c r="AF93" s="19">
        <v>0.0</v>
      </c>
      <c r="AG93" s="13">
        <f t="shared" ref="AG93:AG100" si="22">SUM(E93:AF93)</f>
        <v>15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1.0</v>
      </c>
      <c r="F94" s="19">
        <v>0.0</v>
      </c>
      <c r="G94" s="19">
        <v>2.0</v>
      </c>
      <c r="H94" s="19">
        <v>0.0</v>
      </c>
      <c r="I94" s="19">
        <v>2.0</v>
      </c>
      <c r="J94" s="19">
        <v>0.0</v>
      </c>
      <c r="K94" s="19">
        <v>1.0</v>
      </c>
      <c r="L94" s="19">
        <v>1.0</v>
      </c>
      <c r="M94" s="19">
        <v>0.0</v>
      </c>
      <c r="N94" s="19">
        <v>0.0</v>
      </c>
      <c r="O94" s="19">
        <v>0.0</v>
      </c>
      <c r="P94" s="19">
        <v>2.0</v>
      </c>
      <c r="Q94" s="19">
        <v>0.0</v>
      </c>
      <c r="R94" s="19">
        <v>0.0</v>
      </c>
      <c r="S94" s="19">
        <v>1.0</v>
      </c>
      <c r="T94" s="19">
        <v>0.0</v>
      </c>
      <c r="U94" s="19">
        <v>1.0</v>
      </c>
      <c r="V94" s="19">
        <v>2.0</v>
      </c>
      <c r="W94" s="19">
        <v>0.0</v>
      </c>
      <c r="X94" s="19">
        <v>0.0</v>
      </c>
      <c r="Y94" s="19">
        <v>0.0</v>
      </c>
      <c r="Z94" s="19">
        <v>0.0</v>
      </c>
      <c r="AA94" s="19">
        <v>3.0</v>
      </c>
      <c r="AB94" s="19">
        <v>0.0</v>
      </c>
      <c r="AC94" s="19">
        <v>0.0</v>
      </c>
      <c r="AD94" s="19">
        <v>0.0</v>
      </c>
      <c r="AE94" s="19">
        <v>0.0</v>
      </c>
      <c r="AF94" s="19">
        <v>0.0</v>
      </c>
      <c r="AG94" s="13">
        <f t="shared" si="22"/>
        <v>16</v>
      </c>
    </row>
    <row r="95" ht="12.75" customHeight="1">
      <c r="A95" s="18"/>
      <c r="B95" s="55">
        <v>2.0</v>
      </c>
      <c r="C95" s="50" t="s">
        <v>74</v>
      </c>
      <c r="D95" s="57"/>
      <c r="E95" s="19">
        <v>0.0</v>
      </c>
      <c r="F95" s="19">
        <v>1.0</v>
      </c>
      <c r="G95" s="19">
        <v>1.0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1.0</v>
      </c>
      <c r="AB95" s="19">
        <v>0.0</v>
      </c>
      <c r="AC95" s="19">
        <v>1.0</v>
      </c>
      <c r="AD95" s="19">
        <v>0.0</v>
      </c>
      <c r="AE95" s="19">
        <v>0.0</v>
      </c>
      <c r="AF95" s="19">
        <v>0.0</v>
      </c>
      <c r="AG95" s="13">
        <f t="shared" si="22"/>
        <v>5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1.0</v>
      </c>
      <c r="AG96" s="13">
        <f t="shared" si="22"/>
        <v>3</v>
      </c>
    </row>
    <row r="97" ht="12.75" customHeight="1">
      <c r="A97" s="18"/>
      <c r="B97" s="55">
        <v>4.0</v>
      </c>
      <c r="C97" s="50" t="s">
        <v>76</v>
      </c>
      <c r="D97" s="57"/>
      <c r="E97" s="19">
        <v>0.0</v>
      </c>
      <c r="F97" s="19">
        <v>15.0</v>
      </c>
      <c r="G97" s="19">
        <v>2.0</v>
      </c>
      <c r="H97" s="19">
        <v>4.0</v>
      </c>
      <c r="I97" s="19">
        <v>2.0</v>
      </c>
      <c r="J97" s="19">
        <v>0.0</v>
      </c>
      <c r="K97" s="19">
        <v>3.0</v>
      </c>
      <c r="L97" s="19">
        <v>1.0</v>
      </c>
      <c r="M97" s="19">
        <v>6.0</v>
      </c>
      <c r="N97" s="19">
        <v>0.0</v>
      </c>
      <c r="O97" s="19">
        <v>0.0</v>
      </c>
      <c r="P97" s="19">
        <v>0.0</v>
      </c>
      <c r="Q97" s="19">
        <v>2.0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1.0</v>
      </c>
      <c r="AG97" s="13">
        <f t="shared" si="22"/>
        <v>37</v>
      </c>
    </row>
    <row r="98" ht="12.75" customHeight="1">
      <c r="A98" s="18"/>
      <c r="B98" s="55">
        <v>5.0</v>
      </c>
      <c r="C98" s="50" t="s">
        <v>77</v>
      </c>
      <c r="D98" s="57"/>
      <c r="E98" s="19">
        <v>5.0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3">
        <f t="shared" si="22"/>
        <v>5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3">
        <f t="shared" si="22"/>
        <v>1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F103" si="23">SUM(E93:E100)</f>
        <v>6</v>
      </c>
      <c r="F103" s="13">
        <f t="shared" si="23"/>
        <v>17</v>
      </c>
      <c r="G103" s="13">
        <f t="shared" si="23"/>
        <v>6</v>
      </c>
      <c r="H103" s="13">
        <f t="shared" si="23"/>
        <v>7</v>
      </c>
      <c r="I103" s="13">
        <f t="shared" si="23"/>
        <v>4</v>
      </c>
      <c r="J103" s="13">
        <f t="shared" si="23"/>
        <v>0</v>
      </c>
      <c r="K103" s="13">
        <f t="shared" si="23"/>
        <v>5</v>
      </c>
      <c r="L103" s="13">
        <f t="shared" si="23"/>
        <v>3</v>
      </c>
      <c r="M103" s="13">
        <f t="shared" si="23"/>
        <v>9</v>
      </c>
      <c r="N103" s="13">
        <f t="shared" si="23"/>
        <v>0</v>
      </c>
      <c r="O103" s="13">
        <f t="shared" si="23"/>
        <v>0</v>
      </c>
      <c r="P103" s="13">
        <f t="shared" si="23"/>
        <v>3</v>
      </c>
      <c r="Q103" s="13">
        <f t="shared" si="23"/>
        <v>2</v>
      </c>
      <c r="R103" s="13">
        <f t="shared" si="23"/>
        <v>1</v>
      </c>
      <c r="S103" s="13">
        <f t="shared" si="23"/>
        <v>2</v>
      </c>
      <c r="T103" s="13">
        <f t="shared" si="23"/>
        <v>2</v>
      </c>
      <c r="U103" s="13">
        <f t="shared" si="23"/>
        <v>2</v>
      </c>
      <c r="V103" s="13">
        <f t="shared" si="23"/>
        <v>3</v>
      </c>
      <c r="W103" s="13">
        <f t="shared" si="23"/>
        <v>0</v>
      </c>
      <c r="X103" s="13">
        <f t="shared" si="23"/>
        <v>1</v>
      </c>
      <c r="Y103" s="13">
        <f t="shared" si="23"/>
        <v>0</v>
      </c>
      <c r="Z103" s="13">
        <f t="shared" si="23"/>
        <v>0</v>
      </c>
      <c r="AA103" s="13">
        <f t="shared" si="23"/>
        <v>4</v>
      </c>
      <c r="AB103" s="13">
        <f t="shared" si="23"/>
        <v>1</v>
      </c>
      <c r="AC103" s="13">
        <f t="shared" si="23"/>
        <v>1</v>
      </c>
      <c r="AD103" s="13">
        <f t="shared" si="23"/>
        <v>1</v>
      </c>
      <c r="AE103" s="13">
        <f t="shared" si="23"/>
        <v>0</v>
      </c>
      <c r="AF103" s="13">
        <f t="shared" si="23"/>
        <v>2</v>
      </c>
      <c r="AG103" s="13">
        <f>SUM(E103:AF103)</f>
        <v>82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6.0</v>
      </c>
      <c r="L105" s="19">
        <v>0.0</v>
      </c>
      <c r="M105" s="19">
        <v>0.0</v>
      </c>
      <c r="N105" s="19">
        <v>2.0</v>
      </c>
      <c r="O105" s="19">
        <v>2.0</v>
      </c>
      <c r="P105" s="19">
        <v>4.0</v>
      </c>
      <c r="Q105" s="19">
        <v>1.0</v>
      </c>
      <c r="R105" s="19">
        <v>1.0</v>
      </c>
      <c r="S105" s="19">
        <v>0.0</v>
      </c>
      <c r="T105" s="19">
        <v>1.0</v>
      </c>
      <c r="U105" s="19">
        <v>0.0</v>
      </c>
      <c r="V105" s="19">
        <v>2.0</v>
      </c>
      <c r="W105" s="19">
        <v>0.0</v>
      </c>
      <c r="X105" s="19">
        <v>2.0</v>
      </c>
      <c r="Y105" s="19">
        <v>0.0</v>
      </c>
      <c r="Z105" s="19">
        <v>1.0</v>
      </c>
      <c r="AA105" s="19">
        <v>1.0</v>
      </c>
      <c r="AB105" s="19">
        <v>1.0</v>
      </c>
      <c r="AC105" s="19">
        <v>1.0</v>
      </c>
      <c r="AD105" s="19">
        <v>3.0</v>
      </c>
      <c r="AE105" s="19">
        <v>0.0</v>
      </c>
      <c r="AF105" s="19">
        <v>1.0</v>
      </c>
      <c r="AG105" s="13">
        <f t="shared" ref="AG105:AG112" si="24">SUM(E105:AF105)</f>
        <v>30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2.0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3.0</v>
      </c>
      <c r="R106" s="19">
        <v>0.0</v>
      </c>
      <c r="S106" s="19">
        <v>0.0</v>
      </c>
      <c r="T106" s="19">
        <v>1.0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3">
        <f t="shared" si="24"/>
        <v>7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3">
        <f t="shared" si="24"/>
        <v>3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9">
        <v>1.0</v>
      </c>
      <c r="AD108" s="19">
        <v>0.0</v>
      </c>
      <c r="AE108" s="19">
        <v>0.0</v>
      </c>
      <c r="AF108" s="19">
        <v>0.0</v>
      </c>
      <c r="AG108" s="13">
        <f t="shared" si="24"/>
        <v>3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3">
        <f t="shared" si="24"/>
        <v>0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1.0</v>
      </c>
      <c r="AC111" s="19">
        <v>0.0</v>
      </c>
      <c r="AD111" s="19">
        <v>0.0</v>
      </c>
      <c r="AE111" s="19">
        <v>0.0</v>
      </c>
      <c r="AF111" s="19">
        <v>0.0</v>
      </c>
      <c r="AG111" s="13">
        <f t="shared" si="24"/>
        <v>1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F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8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 t="shared" si="25"/>
        <v>4</v>
      </c>
      <c r="Q115" s="13">
        <f t="shared" si="25"/>
        <v>5</v>
      </c>
      <c r="R115" s="13">
        <f t="shared" si="25"/>
        <v>1</v>
      </c>
      <c r="S115" s="13">
        <f t="shared" si="25"/>
        <v>0</v>
      </c>
      <c r="T115" s="13">
        <f t="shared" si="25"/>
        <v>3</v>
      </c>
      <c r="U115" s="13">
        <f t="shared" si="25"/>
        <v>1</v>
      </c>
      <c r="V115" s="13">
        <f t="shared" si="25"/>
        <v>3</v>
      </c>
      <c r="W115" s="13">
        <f t="shared" si="25"/>
        <v>0</v>
      </c>
      <c r="X115" s="13">
        <f t="shared" si="25"/>
        <v>2</v>
      </c>
      <c r="Y115" s="13">
        <f t="shared" si="25"/>
        <v>0</v>
      </c>
      <c r="Z115" s="13">
        <f t="shared" si="25"/>
        <v>1</v>
      </c>
      <c r="AA115" s="13">
        <f t="shared" si="25"/>
        <v>2</v>
      </c>
      <c r="AB115" s="13">
        <f t="shared" si="25"/>
        <v>3</v>
      </c>
      <c r="AC115" s="13">
        <f t="shared" si="25"/>
        <v>2</v>
      </c>
      <c r="AD115" s="13">
        <f t="shared" si="25"/>
        <v>3</v>
      </c>
      <c r="AE115" s="13">
        <f t="shared" si="25"/>
        <v>0</v>
      </c>
      <c r="AF115" s="13">
        <f t="shared" si="25"/>
        <v>1</v>
      </c>
      <c r="AG115" s="13">
        <f>SUM(E115:AF115)</f>
        <v>44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1.0</v>
      </c>
      <c r="G117" s="19">
        <v>2.0</v>
      </c>
      <c r="H117" s="19">
        <v>0.0</v>
      </c>
      <c r="I117" s="19">
        <v>0.0</v>
      </c>
      <c r="J117" s="19">
        <v>0.0</v>
      </c>
      <c r="K117" s="19">
        <v>3.0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1.0</v>
      </c>
      <c r="U117" s="19">
        <v>1.0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1.0</v>
      </c>
      <c r="AD117" s="19">
        <v>2.0</v>
      </c>
      <c r="AE117" s="19">
        <v>0.0</v>
      </c>
      <c r="AF117" s="19">
        <v>1.0</v>
      </c>
      <c r="AG117" s="13">
        <f t="shared" ref="AG117:AG120" si="26">SUM(E117:AF117)</f>
        <v>14</v>
      </c>
      <c r="AH117" s="5"/>
      <c r="AI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1.0</v>
      </c>
      <c r="AD118" s="19">
        <v>0.0</v>
      </c>
      <c r="AE118" s="19">
        <v>1.0</v>
      </c>
      <c r="AF118" s="19">
        <v>0.0</v>
      </c>
      <c r="AG118" s="13">
        <f t="shared" si="26"/>
        <v>4</v>
      </c>
      <c r="AH118" s="5"/>
      <c r="AI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1.0</v>
      </c>
      <c r="AC119" s="19">
        <v>0.0</v>
      </c>
      <c r="AD119" s="19">
        <v>1.0</v>
      </c>
      <c r="AE119" s="19">
        <v>0.0</v>
      </c>
      <c r="AF119" s="19">
        <v>0.0</v>
      </c>
      <c r="AG119" s="13">
        <f t="shared" si="26"/>
        <v>3</v>
      </c>
      <c r="AH119" s="5"/>
      <c r="AI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3">
        <f t="shared" si="26"/>
        <v>3</v>
      </c>
      <c r="AH120" s="5"/>
      <c r="AI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73"/>
      <c r="AH121" s="5"/>
      <c r="AI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73"/>
      <c r="AH122" s="5"/>
      <c r="AI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73"/>
      <c r="AH123" s="5"/>
      <c r="AI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73"/>
      <c r="AH124" s="5"/>
      <c r="AI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73"/>
      <c r="AH125" s="5"/>
      <c r="AI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73"/>
      <c r="AH126" s="5"/>
      <c r="AI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AF127" si="27">SUM(E117:E120)</f>
        <v>1</v>
      </c>
      <c r="F127" s="58">
        <f t="shared" si="27"/>
        <v>1</v>
      </c>
      <c r="G127" s="58">
        <f t="shared" si="27"/>
        <v>3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4</v>
      </c>
      <c r="L127" s="58">
        <f t="shared" si="27"/>
        <v>1</v>
      </c>
      <c r="M127" s="58">
        <f t="shared" si="27"/>
        <v>1</v>
      </c>
      <c r="N127" s="58">
        <f t="shared" si="27"/>
        <v>1</v>
      </c>
      <c r="O127" s="58">
        <f t="shared" si="27"/>
        <v>1</v>
      </c>
      <c r="P127" s="58">
        <f t="shared" si="27"/>
        <v>0</v>
      </c>
      <c r="Q127" s="58">
        <f t="shared" si="27"/>
        <v>0</v>
      </c>
      <c r="R127" s="58">
        <f t="shared" si="27"/>
        <v>0</v>
      </c>
      <c r="S127" s="58">
        <f t="shared" si="27"/>
        <v>0</v>
      </c>
      <c r="T127" s="58">
        <f t="shared" si="27"/>
        <v>1</v>
      </c>
      <c r="U127" s="58">
        <f t="shared" si="27"/>
        <v>1</v>
      </c>
      <c r="V127" s="58">
        <f t="shared" si="27"/>
        <v>0</v>
      </c>
      <c r="W127" s="58">
        <f t="shared" si="27"/>
        <v>0</v>
      </c>
      <c r="X127" s="58">
        <f t="shared" si="27"/>
        <v>0</v>
      </c>
      <c r="Y127" s="58">
        <f t="shared" si="27"/>
        <v>0</v>
      </c>
      <c r="Z127" s="58">
        <f t="shared" si="27"/>
        <v>0</v>
      </c>
      <c r="AA127" s="58">
        <f t="shared" si="27"/>
        <v>1</v>
      </c>
      <c r="AB127" s="58">
        <f t="shared" si="27"/>
        <v>1</v>
      </c>
      <c r="AC127" s="58">
        <f t="shared" si="27"/>
        <v>2</v>
      </c>
      <c r="AD127" s="58">
        <f t="shared" si="27"/>
        <v>3</v>
      </c>
      <c r="AE127" s="58">
        <f t="shared" si="27"/>
        <v>1</v>
      </c>
      <c r="AF127" s="58">
        <f t="shared" si="27"/>
        <v>1</v>
      </c>
      <c r="AG127" s="13">
        <f>SUM(E127:AF127)</f>
        <v>24</v>
      </c>
      <c r="AH127" s="5"/>
      <c r="AI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5"/>
      <c r="AI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2.0</v>
      </c>
      <c r="G129" s="19">
        <v>1.0</v>
      </c>
      <c r="H129" s="19">
        <v>1.0</v>
      </c>
      <c r="I129" s="19">
        <v>0.0</v>
      </c>
      <c r="J129" s="19">
        <v>1.0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2.0</v>
      </c>
      <c r="Q129" s="19">
        <v>0.0</v>
      </c>
      <c r="R129" s="19">
        <v>0.0</v>
      </c>
      <c r="S129" s="19">
        <v>2.0</v>
      </c>
      <c r="T129" s="19">
        <v>1.0</v>
      </c>
      <c r="U129" s="19">
        <v>0.0</v>
      </c>
      <c r="V129" s="19">
        <v>1.0</v>
      </c>
      <c r="W129" s="19">
        <v>0.0</v>
      </c>
      <c r="X129" s="19">
        <v>0.0</v>
      </c>
      <c r="Y129" s="19">
        <v>0.0</v>
      </c>
      <c r="Z129" s="19">
        <v>2.0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1.0</v>
      </c>
      <c r="AF129" s="19">
        <v>2.0</v>
      </c>
      <c r="AG129" s="13">
        <f t="shared" ref="AG129:AG136" si="28">SUM(E129:AF129)</f>
        <v>18</v>
      </c>
      <c r="AH129" s="5"/>
      <c r="AI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0.0</v>
      </c>
      <c r="F130" s="19">
        <v>4.0</v>
      </c>
      <c r="G130" s="19">
        <v>3.0</v>
      </c>
      <c r="H130" s="19">
        <v>1.0</v>
      </c>
      <c r="I130" s="19">
        <v>1.0</v>
      </c>
      <c r="J130" s="19">
        <v>6.0</v>
      </c>
      <c r="K130" s="19">
        <v>1.0</v>
      </c>
      <c r="L130" s="19">
        <v>4.0</v>
      </c>
      <c r="M130" s="19">
        <v>0.0</v>
      </c>
      <c r="N130" s="19">
        <v>2.0</v>
      </c>
      <c r="O130" s="19">
        <v>1.0</v>
      </c>
      <c r="P130" s="19">
        <v>10.0</v>
      </c>
      <c r="Q130" s="19">
        <v>1.0</v>
      </c>
      <c r="R130" s="19">
        <v>2.0</v>
      </c>
      <c r="S130" s="19">
        <v>0.0</v>
      </c>
      <c r="T130" s="19">
        <v>0.0</v>
      </c>
      <c r="U130" s="19">
        <v>0.0</v>
      </c>
      <c r="V130" s="19">
        <v>4.0</v>
      </c>
      <c r="W130" s="19">
        <v>0.0</v>
      </c>
      <c r="X130" s="19">
        <v>3.0</v>
      </c>
      <c r="Y130" s="19">
        <v>2.0</v>
      </c>
      <c r="Z130" s="19">
        <v>3.0</v>
      </c>
      <c r="AA130" s="19">
        <v>0.0</v>
      </c>
      <c r="AB130" s="19">
        <v>1.0</v>
      </c>
      <c r="AC130" s="19">
        <v>0.0</v>
      </c>
      <c r="AD130" s="19">
        <v>0.0</v>
      </c>
      <c r="AE130" s="19">
        <v>1.0</v>
      </c>
      <c r="AF130" s="19">
        <v>0.0</v>
      </c>
      <c r="AG130" s="13">
        <f t="shared" si="28"/>
        <v>50</v>
      </c>
      <c r="AH130" s="1"/>
      <c r="AI130" s="1"/>
    </row>
    <row r="131" ht="12.75" customHeight="1">
      <c r="A131" s="18"/>
      <c r="B131" s="55">
        <v>2.0</v>
      </c>
      <c r="C131" s="50" t="s">
        <v>97</v>
      </c>
      <c r="D131" s="56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2.0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2.0</v>
      </c>
      <c r="S131" s="19">
        <v>3.0</v>
      </c>
      <c r="T131" s="19">
        <v>1.0</v>
      </c>
      <c r="U131" s="19">
        <v>0.0</v>
      </c>
      <c r="V131" s="19">
        <v>4.0</v>
      </c>
      <c r="W131" s="19">
        <v>0.0</v>
      </c>
      <c r="X131" s="19">
        <v>0.0</v>
      </c>
      <c r="Y131" s="19">
        <v>0.0</v>
      </c>
      <c r="Z131" s="19">
        <v>1.0</v>
      </c>
      <c r="AA131" s="19">
        <v>0.0</v>
      </c>
      <c r="AB131" s="19">
        <v>0.0</v>
      </c>
      <c r="AC131" s="19">
        <v>2.0</v>
      </c>
      <c r="AD131" s="19">
        <v>0.0</v>
      </c>
      <c r="AE131" s="19">
        <v>0.0</v>
      </c>
      <c r="AF131" s="19">
        <v>1.0</v>
      </c>
      <c r="AG131" s="13">
        <f t="shared" si="28"/>
        <v>18</v>
      </c>
      <c r="AH131" s="52"/>
      <c r="AI131" s="52"/>
    </row>
    <row r="132" ht="12.75" customHeight="1">
      <c r="A132" s="18"/>
      <c r="B132" s="55">
        <v>3.0</v>
      </c>
      <c r="C132" s="50" t="s">
        <v>98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1.0</v>
      </c>
      <c r="M132" s="19">
        <v>1.0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3">
        <f t="shared" si="28"/>
        <v>5</v>
      </c>
      <c r="AH132" s="5"/>
      <c r="AI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3">
        <f t="shared" si="28"/>
        <v>1</v>
      </c>
      <c r="AH133" s="5"/>
      <c r="AI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1.0</v>
      </c>
      <c r="U134" s="19">
        <v>0.0</v>
      </c>
      <c r="V134" s="19">
        <v>7.0</v>
      </c>
      <c r="W134" s="19">
        <v>0.0</v>
      </c>
      <c r="X134" s="19">
        <v>0.0</v>
      </c>
      <c r="Y134" s="19">
        <v>10.0</v>
      </c>
      <c r="Z134" s="19">
        <v>0.0</v>
      </c>
      <c r="AA134" s="19">
        <v>6.0</v>
      </c>
      <c r="AB134" s="19">
        <v>5.0</v>
      </c>
      <c r="AC134" s="19">
        <v>3.0</v>
      </c>
      <c r="AD134" s="19">
        <v>0.0</v>
      </c>
      <c r="AE134" s="19">
        <v>0.0</v>
      </c>
      <c r="AF134" s="19">
        <v>0.0</v>
      </c>
      <c r="AG134" s="13">
        <f t="shared" si="28"/>
        <v>33</v>
      </c>
      <c r="AH134" s="5"/>
      <c r="AI134" s="5"/>
    </row>
    <row r="135" ht="12.75" customHeight="1">
      <c r="A135" s="18"/>
      <c r="B135" s="55">
        <v>6.0</v>
      </c>
      <c r="C135" s="50" t="s">
        <v>101</v>
      </c>
      <c r="D135" s="57"/>
      <c r="E135" s="19">
        <v>3.0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1.0</v>
      </c>
      <c r="AD135" s="19">
        <v>0.0</v>
      </c>
      <c r="AE135" s="19">
        <v>0.0</v>
      </c>
      <c r="AF135" s="19">
        <v>0.0</v>
      </c>
      <c r="AG135" s="13">
        <f t="shared" si="28"/>
        <v>4</v>
      </c>
      <c r="AH135" s="5"/>
      <c r="AI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3">
        <f t="shared" si="28"/>
        <v>0</v>
      </c>
      <c r="AH136" s="5"/>
      <c r="AI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73"/>
      <c r="AH137" s="5"/>
      <c r="AI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73"/>
      <c r="AH138" s="5"/>
      <c r="AI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F139" si="29">SUM(E129:E136)</f>
        <v>5</v>
      </c>
      <c r="F139" s="13">
        <f t="shared" si="29"/>
        <v>7</v>
      </c>
      <c r="G139" s="13">
        <f t="shared" si="29"/>
        <v>5</v>
      </c>
      <c r="H139" s="13">
        <f t="shared" si="29"/>
        <v>2</v>
      </c>
      <c r="I139" s="13">
        <f t="shared" si="29"/>
        <v>1</v>
      </c>
      <c r="J139" s="13">
        <f t="shared" si="29"/>
        <v>10</v>
      </c>
      <c r="K139" s="13">
        <f t="shared" si="29"/>
        <v>2</v>
      </c>
      <c r="L139" s="13">
        <f t="shared" si="29"/>
        <v>5</v>
      </c>
      <c r="M139" s="13">
        <f t="shared" si="29"/>
        <v>2</v>
      </c>
      <c r="N139" s="13">
        <f t="shared" si="29"/>
        <v>2</v>
      </c>
      <c r="O139" s="13">
        <f t="shared" si="29"/>
        <v>1</v>
      </c>
      <c r="P139" s="13">
        <f t="shared" si="29"/>
        <v>13</v>
      </c>
      <c r="Q139" s="13">
        <f t="shared" si="29"/>
        <v>1</v>
      </c>
      <c r="R139" s="13">
        <f t="shared" si="29"/>
        <v>4</v>
      </c>
      <c r="S139" s="13">
        <f t="shared" si="29"/>
        <v>5</v>
      </c>
      <c r="T139" s="13">
        <f t="shared" si="29"/>
        <v>3</v>
      </c>
      <c r="U139" s="13">
        <f t="shared" si="29"/>
        <v>0</v>
      </c>
      <c r="V139" s="13">
        <f t="shared" si="29"/>
        <v>17</v>
      </c>
      <c r="W139" s="13">
        <f t="shared" si="29"/>
        <v>0</v>
      </c>
      <c r="X139" s="13">
        <f t="shared" si="29"/>
        <v>3</v>
      </c>
      <c r="Y139" s="13">
        <f t="shared" si="29"/>
        <v>12</v>
      </c>
      <c r="Z139" s="13">
        <f t="shared" si="29"/>
        <v>6</v>
      </c>
      <c r="AA139" s="13">
        <f t="shared" si="29"/>
        <v>6</v>
      </c>
      <c r="AB139" s="13">
        <f t="shared" si="29"/>
        <v>6</v>
      </c>
      <c r="AC139" s="13">
        <f t="shared" si="29"/>
        <v>6</v>
      </c>
      <c r="AD139" s="13">
        <f t="shared" si="29"/>
        <v>0</v>
      </c>
      <c r="AE139" s="13">
        <f t="shared" si="29"/>
        <v>2</v>
      </c>
      <c r="AF139" s="13">
        <f t="shared" si="29"/>
        <v>3</v>
      </c>
      <c r="AG139" s="13">
        <f>SUM(E139:AF139)</f>
        <v>129</v>
      </c>
      <c r="AH139" s="5"/>
      <c r="AI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5"/>
      <c r="AI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2.0</v>
      </c>
      <c r="L141" s="19">
        <v>0.0</v>
      </c>
      <c r="M141" s="19">
        <v>0.0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1.0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3">
        <f t="shared" ref="AG141:AG148" si="30">SUM(E141:AF141)</f>
        <v>4</v>
      </c>
      <c r="AH141" s="1"/>
      <c r="AI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1.0</v>
      </c>
      <c r="AF142" s="19">
        <v>0.0</v>
      </c>
      <c r="AG142" s="13">
        <f t="shared" si="30"/>
        <v>1</v>
      </c>
      <c r="AH142" s="52"/>
      <c r="AI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3">
        <f t="shared" si="30"/>
        <v>0</v>
      </c>
      <c r="AH143" s="5"/>
      <c r="AI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3">
        <f t="shared" si="30"/>
        <v>0</v>
      </c>
      <c r="AH144" s="5"/>
      <c r="AI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3">
        <f t="shared" si="30"/>
        <v>0</v>
      </c>
      <c r="AH145" s="5"/>
      <c r="AI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1.0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3">
        <f t="shared" si="30"/>
        <v>1</v>
      </c>
      <c r="AH146" s="5"/>
      <c r="AI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3">
        <f t="shared" si="30"/>
        <v>0</v>
      </c>
      <c r="AH147" s="5"/>
      <c r="AI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3">
        <f t="shared" si="30"/>
        <v>0</v>
      </c>
      <c r="AH148" s="5"/>
      <c r="AI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73"/>
      <c r="AH149" s="5"/>
      <c r="AI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73"/>
      <c r="AH150" s="5"/>
      <c r="AI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F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2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0</v>
      </c>
      <c r="AG151" s="13">
        <f>SUM(E151:AF151)</f>
        <v>6</v>
      </c>
      <c r="AH151" s="1"/>
      <c r="AI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13"/>
      <c r="AH152" s="52"/>
      <c r="AI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3">
        <f t="shared" ref="AG153:AG157" si="32">SUM(E153:AF153)</f>
        <v>2</v>
      </c>
      <c r="AH153" s="5"/>
      <c r="AI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2.0</v>
      </c>
      <c r="F154" s="19">
        <v>1.0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1.0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3">
        <f t="shared" si="32"/>
        <v>5</v>
      </c>
      <c r="AH154" s="5"/>
      <c r="AI154" s="5"/>
    </row>
    <row r="155" ht="12.75" customHeight="1">
      <c r="A155" s="18"/>
      <c r="B155" s="55">
        <v>2.0</v>
      </c>
      <c r="C155" s="59" t="s">
        <v>115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3">
        <f t="shared" si="32"/>
        <v>1</v>
      </c>
      <c r="AH155" s="5"/>
      <c r="AI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3">
        <f t="shared" si="32"/>
        <v>0</v>
      </c>
      <c r="AH156" s="5"/>
      <c r="AI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3">
        <f t="shared" si="32"/>
        <v>0</v>
      </c>
      <c r="AH157" s="5"/>
      <c r="AI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73"/>
      <c r="AH158" s="5"/>
      <c r="AI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73"/>
      <c r="AH159" s="5"/>
      <c r="AI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73"/>
      <c r="AH160" s="5"/>
      <c r="AI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73"/>
      <c r="AH161" s="5"/>
      <c r="AI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73"/>
      <c r="AH162" s="5"/>
      <c r="AI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AF163" si="33">SUM(E153:E157)</f>
        <v>2</v>
      </c>
      <c r="F163" s="13">
        <f t="shared" si="33"/>
        <v>2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>SUM(E163:AF163)</f>
        <v>8</v>
      </c>
      <c r="AH163" s="5"/>
      <c r="AI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5"/>
      <c r="AI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1.0</v>
      </c>
      <c r="O165" s="19">
        <v>0.0</v>
      </c>
      <c r="P165" s="19">
        <v>1.0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3">
        <f t="shared" ref="AG165:AG172" si="34">SUM(E165:AF165)</f>
        <v>6</v>
      </c>
      <c r="AH165" s="1"/>
      <c r="AI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3">
        <f t="shared" si="34"/>
        <v>1</v>
      </c>
      <c r="AH166" s="52"/>
      <c r="AI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3">
        <f t="shared" si="34"/>
        <v>1</v>
      </c>
      <c r="AH167" s="5"/>
      <c r="AI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2.0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3">
        <f t="shared" si="34"/>
        <v>4</v>
      </c>
      <c r="AH168" s="5"/>
      <c r="AI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1.0</v>
      </c>
      <c r="AG169" s="13">
        <f t="shared" si="34"/>
        <v>1</v>
      </c>
      <c r="AH169" s="5"/>
      <c r="AI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3">
        <f t="shared" si="34"/>
        <v>0</v>
      </c>
      <c r="AH170" s="5"/>
      <c r="AI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3">
        <f t="shared" si="34"/>
        <v>0</v>
      </c>
      <c r="AH171" s="5"/>
      <c r="AI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3">
        <f t="shared" si="34"/>
        <v>0</v>
      </c>
      <c r="AH172" s="5"/>
      <c r="AI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73"/>
      <c r="AH173" s="5"/>
      <c r="AI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73"/>
      <c r="AH174" s="5"/>
      <c r="AI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F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3</v>
      </c>
      <c r="L175" s="13">
        <f t="shared" si="35"/>
        <v>1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  <c r="AG175" s="13">
        <f>SUM(E175:AF175)</f>
        <v>13</v>
      </c>
      <c r="AH175" s="5"/>
      <c r="AI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1"/>
      <c r="AI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2.0</v>
      </c>
      <c r="S177" s="19">
        <v>1.0</v>
      </c>
      <c r="T177" s="19">
        <v>0.0</v>
      </c>
      <c r="U177" s="19">
        <v>0.0</v>
      </c>
      <c r="V177" s="19">
        <v>0.0</v>
      </c>
      <c r="W177" s="19">
        <v>2.0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1.0</v>
      </c>
      <c r="AF177" s="19">
        <v>0.0</v>
      </c>
      <c r="AG177" s="13">
        <f t="shared" ref="AG177:AG184" si="36">SUM(E177:AF177)</f>
        <v>8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0.0</v>
      </c>
      <c r="F178" s="19">
        <v>1.0</v>
      </c>
      <c r="G178" s="19">
        <v>1.0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3">
        <f t="shared" si="36"/>
        <v>4</v>
      </c>
      <c r="AH178" s="5"/>
      <c r="AI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3">
        <f t="shared" si="36"/>
        <v>4</v>
      </c>
      <c r="AH179" s="5"/>
      <c r="AI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3">
        <f t="shared" si="36"/>
        <v>0</v>
      </c>
      <c r="AH180" s="5"/>
      <c r="AI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3">
        <f t="shared" si="36"/>
        <v>2</v>
      </c>
      <c r="AH181" s="5"/>
      <c r="AI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1.0</v>
      </c>
      <c r="V182" s="19">
        <v>1.0</v>
      </c>
      <c r="W182" s="19">
        <v>1.0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3">
        <f t="shared" si="36"/>
        <v>3</v>
      </c>
      <c r="AH182" s="5"/>
      <c r="AI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3">
        <f t="shared" si="36"/>
        <v>2</v>
      </c>
      <c r="AH183" s="5"/>
      <c r="AI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3">
        <f t="shared" si="36"/>
        <v>0</v>
      </c>
      <c r="AH184" s="5"/>
      <c r="AI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73"/>
      <c r="AH185" s="5"/>
      <c r="AI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73"/>
      <c r="AH186" s="5"/>
      <c r="AI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F187" si="37">SUM(E177:E184)</f>
        <v>0</v>
      </c>
      <c r="F187" s="13">
        <f t="shared" si="37"/>
        <v>1</v>
      </c>
      <c r="G187" s="13">
        <f t="shared" si="37"/>
        <v>1</v>
      </c>
      <c r="H187" s="13">
        <f t="shared" si="37"/>
        <v>1</v>
      </c>
      <c r="I187" s="13">
        <f t="shared" si="37"/>
        <v>0</v>
      </c>
      <c r="J187" s="13">
        <f t="shared" si="37"/>
        <v>0</v>
      </c>
      <c r="K187" s="13">
        <f t="shared" si="37"/>
        <v>1</v>
      </c>
      <c r="L187" s="13">
        <f t="shared" si="37"/>
        <v>2</v>
      </c>
      <c r="M187" s="13">
        <f t="shared" si="37"/>
        <v>0</v>
      </c>
      <c r="N187" s="13">
        <f t="shared" si="37"/>
        <v>0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2</v>
      </c>
      <c r="S187" s="13">
        <f t="shared" si="37"/>
        <v>1</v>
      </c>
      <c r="T187" s="13">
        <f t="shared" si="37"/>
        <v>0</v>
      </c>
      <c r="U187" s="13">
        <f t="shared" si="37"/>
        <v>2</v>
      </c>
      <c r="V187" s="13">
        <f t="shared" si="37"/>
        <v>2</v>
      </c>
      <c r="W187" s="13">
        <f t="shared" si="37"/>
        <v>4</v>
      </c>
      <c r="X187" s="13">
        <f t="shared" si="37"/>
        <v>0</v>
      </c>
      <c r="Y187" s="13">
        <f t="shared" si="37"/>
        <v>1</v>
      </c>
      <c r="Z187" s="13">
        <f t="shared" si="37"/>
        <v>0</v>
      </c>
      <c r="AA187" s="13">
        <f t="shared" si="37"/>
        <v>1</v>
      </c>
      <c r="AB187" s="13">
        <f t="shared" si="37"/>
        <v>0</v>
      </c>
      <c r="AC187" s="13">
        <f t="shared" si="37"/>
        <v>0</v>
      </c>
      <c r="AD187" s="13">
        <f t="shared" si="37"/>
        <v>1</v>
      </c>
      <c r="AE187" s="13">
        <f t="shared" si="37"/>
        <v>1</v>
      </c>
      <c r="AF187" s="13">
        <f t="shared" si="37"/>
        <v>0</v>
      </c>
      <c r="AG187" s="13">
        <f>SUM(E187:AF187)</f>
        <v>23</v>
      </c>
      <c r="AH187" s="1"/>
      <c r="AI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1.0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3">
        <f t="shared" ref="AG189:AG196" si="38">SUM(E189:AF189)</f>
        <v>1</v>
      </c>
      <c r="AH189" s="5"/>
      <c r="AI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3">
        <f t="shared" si="38"/>
        <v>2</v>
      </c>
      <c r="AH190" s="5"/>
      <c r="AI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1.0</v>
      </c>
      <c r="AD191" s="19">
        <v>0.0</v>
      </c>
      <c r="AE191" s="19">
        <v>0.0</v>
      </c>
      <c r="AF191" s="19">
        <v>0.0</v>
      </c>
      <c r="AG191" s="13">
        <f t="shared" si="38"/>
        <v>1</v>
      </c>
      <c r="AH191" s="5"/>
      <c r="AI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3">
        <f t="shared" si="38"/>
        <v>0</v>
      </c>
      <c r="AH192" s="5"/>
      <c r="AI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1.0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3">
        <f t="shared" si="38"/>
        <v>1</v>
      </c>
      <c r="AH193" s="5"/>
      <c r="AI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1.0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3">
        <f t="shared" si="38"/>
        <v>1</v>
      </c>
      <c r="AH194" s="5"/>
      <c r="AI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3">
        <f t="shared" si="38"/>
        <v>0</v>
      </c>
      <c r="AH195" s="5"/>
      <c r="AI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3">
        <f t="shared" si="38"/>
        <v>0</v>
      </c>
      <c r="AH196" s="1"/>
      <c r="AI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73"/>
      <c r="AH197" s="1"/>
      <c r="AI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73"/>
      <c r="AH198" s="1"/>
      <c r="AI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F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>SUM(E199:AF199)</f>
        <v>6</v>
      </c>
      <c r="AH199" s="52"/>
      <c r="AI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5"/>
      <c r="AI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10.0</v>
      </c>
      <c r="F201" s="19">
        <v>3.0</v>
      </c>
      <c r="G201" s="19">
        <v>4.0</v>
      </c>
      <c r="H201" s="19">
        <v>2.0</v>
      </c>
      <c r="I201" s="19">
        <v>9.0</v>
      </c>
      <c r="J201" s="19">
        <v>2.0</v>
      </c>
      <c r="K201" s="19">
        <v>6.0</v>
      </c>
      <c r="L201" s="19">
        <v>3.0</v>
      </c>
      <c r="M201" s="19">
        <v>2.0</v>
      </c>
      <c r="N201" s="19">
        <v>1.0</v>
      </c>
      <c r="O201" s="19">
        <v>3.0</v>
      </c>
      <c r="P201" s="19">
        <v>2.0</v>
      </c>
      <c r="Q201" s="19">
        <v>1.0</v>
      </c>
      <c r="R201" s="19">
        <v>3.0</v>
      </c>
      <c r="S201" s="19">
        <v>0.0</v>
      </c>
      <c r="T201" s="19">
        <v>0.0</v>
      </c>
      <c r="U201" s="19">
        <v>8.0</v>
      </c>
      <c r="V201" s="19">
        <v>1.0</v>
      </c>
      <c r="W201" s="19">
        <v>1.0</v>
      </c>
      <c r="X201" s="19">
        <v>0.0</v>
      </c>
      <c r="Y201" s="19">
        <v>0.0</v>
      </c>
      <c r="Z201" s="19">
        <v>2.0</v>
      </c>
      <c r="AA201" s="19">
        <v>2.0</v>
      </c>
      <c r="AB201" s="19">
        <v>2.0</v>
      </c>
      <c r="AC201" s="19">
        <v>1.0</v>
      </c>
      <c r="AD201" s="19">
        <v>2.0</v>
      </c>
      <c r="AE201" s="19">
        <v>1.0</v>
      </c>
      <c r="AF201" s="19">
        <v>0.0</v>
      </c>
      <c r="AG201" s="13">
        <f t="shared" ref="AG201:AG208" si="40">SUM(E201:AF201)</f>
        <v>71</v>
      </c>
      <c r="AH201" s="5"/>
      <c r="AI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7.0</v>
      </c>
      <c r="F202" s="19">
        <v>5.0</v>
      </c>
      <c r="G202" s="19">
        <v>9.0</v>
      </c>
      <c r="H202" s="19">
        <v>7.0</v>
      </c>
      <c r="I202" s="19">
        <v>20.0</v>
      </c>
      <c r="J202" s="19">
        <v>0.0</v>
      </c>
      <c r="K202" s="19">
        <v>4.0</v>
      </c>
      <c r="L202" s="19">
        <v>5.0</v>
      </c>
      <c r="M202" s="19">
        <v>2.0</v>
      </c>
      <c r="N202" s="19">
        <v>2.0</v>
      </c>
      <c r="O202" s="19">
        <v>1.0</v>
      </c>
      <c r="P202" s="19">
        <v>2.0</v>
      </c>
      <c r="Q202" s="19">
        <v>2.0</v>
      </c>
      <c r="R202" s="19">
        <v>1.0</v>
      </c>
      <c r="S202" s="19">
        <v>2.0</v>
      </c>
      <c r="T202" s="19">
        <v>6.0</v>
      </c>
      <c r="U202" s="19">
        <v>5.0</v>
      </c>
      <c r="V202" s="19">
        <v>2.0</v>
      </c>
      <c r="W202" s="19">
        <v>0.0</v>
      </c>
      <c r="X202" s="19">
        <v>2.0</v>
      </c>
      <c r="Y202" s="19">
        <v>2.0</v>
      </c>
      <c r="Z202" s="19">
        <v>1.0</v>
      </c>
      <c r="AA202" s="19">
        <v>4.0</v>
      </c>
      <c r="AB202" s="19">
        <v>2.0</v>
      </c>
      <c r="AC202" s="19">
        <v>3.0</v>
      </c>
      <c r="AD202" s="19">
        <v>4.0</v>
      </c>
      <c r="AE202" s="19">
        <v>0.0</v>
      </c>
      <c r="AF202" s="19">
        <v>0.0</v>
      </c>
      <c r="AG202" s="13">
        <f t="shared" si="40"/>
        <v>100</v>
      </c>
      <c r="AH202" s="5"/>
      <c r="AI202" s="5"/>
    </row>
    <row r="203" ht="12.75" customHeight="1">
      <c r="A203" s="18"/>
      <c r="B203" s="55">
        <v>2.0</v>
      </c>
      <c r="C203" s="50" t="s">
        <v>148</v>
      </c>
      <c r="D203" s="57"/>
      <c r="E203" s="19">
        <v>1.0</v>
      </c>
      <c r="F203" s="19">
        <v>0.0</v>
      </c>
      <c r="G203" s="19">
        <v>3.0</v>
      </c>
      <c r="H203" s="19">
        <v>0.0</v>
      </c>
      <c r="I203" s="19">
        <v>3.0</v>
      </c>
      <c r="J203" s="19">
        <v>2.0</v>
      </c>
      <c r="K203" s="19">
        <v>2.0</v>
      </c>
      <c r="L203" s="19">
        <v>1.0</v>
      </c>
      <c r="M203" s="19">
        <v>1.0</v>
      </c>
      <c r="N203" s="19">
        <v>0.0</v>
      </c>
      <c r="O203" s="19">
        <v>1.0</v>
      </c>
      <c r="P203" s="19">
        <v>0.0</v>
      </c>
      <c r="Q203" s="19">
        <v>2.0</v>
      </c>
      <c r="R203" s="19">
        <v>0.0</v>
      </c>
      <c r="S203" s="19">
        <v>0.0</v>
      </c>
      <c r="T203" s="19">
        <v>0.0</v>
      </c>
      <c r="U203" s="19">
        <v>1.0</v>
      </c>
      <c r="V203" s="19">
        <v>1.0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1.0</v>
      </c>
      <c r="AB203" s="19">
        <v>0.0</v>
      </c>
      <c r="AC203" s="19">
        <v>2.0</v>
      </c>
      <c r="AD203" s="19">
        <v>1.0</v>
      </c>
      <c r="AE203" s="19">
        <v>0.0</v>
      </c>
      <c r="AF203" s="19">
        <v>0.0</v>
      </c>
      <c r="AG203" s="13">
        <f t="shared" si="40"/>
        <v>22</v>
      </c>
      <c r="AH203" s="5"/>
      <c r="AI203" s="5"/>
    </row>
    <row r="204" ht="12.75" customHeight="1">
      <c r="A204" s="18"/>
      <c r="B204" s="55">
        <v>3.0</v>
      </c>
      <c r="C204" s="50" t="s">
        <v>149</v>
      </c>
      <c r="D204" s="57"/>
      <c r="E204" s="19">
        <v>2.0</v>
      </c>
      <c r="F204" s="19">
        <v>1.0</v>
      </c>
      <c r="G204" s="19">
        <v>2.0</v>
      </c>
      <c r="H204" s="19">
        <v>0.0</v>
      </c>
      <c r="I204" s="19">
        <v>3.0</v>
      </c>
      <c r="J204" s="19">
        <v>0.0</v>
      </c>
      <c r="K204" s="19">
        <v>2.0</v>
      </c>
      <c r="L204" s="19">
        <v>0.0</v>
      </c>
      <c r="M204" s="19">
        <v>0.0</v>
      </c>
      <c r="N204" s="19">
        <v>0.0</v>
      </c>
      <c r="O204" s="19">
        <v>1.0</v>
      </c>
      <c r="P204" s="19">
        <v>0.0</v>
      </c>
      <c r="Q204" s="19">
        <v>1.0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3">
        <f t="shared" si="40"/>
        <v>13</v>
      </c>
      <c r="AH204" s="5"/>
      <c r="AI204" s="5"/>
    </row>
    <row r="205" ht="12.75" customHeight="1">
      <c r="A205" s="18"/>
      <c r="B205" s="55">
        <v>4.0</v>
      </c>
      <c r="C205" s="50" t="s">
        <v>150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8.0</v>
      </c>
      <c r="J205" s="19">
        <v>0.0</v>
      </c>
      <c r="K205" s="19">
        <v>15.0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3.0</v>
      </c>
      <c r="U205" s="19">
        <v>0.0</v>
      </c>
      <c r="V205" s="19">
        <v>0.0</v>
      </c>
      <c r="W205" s="19">
        <v>0.0</v>
      </c>
      <c r="X205" s="19">
        <v>1.0</v>
      </c>
      <c r="Y205" s="19">
        <v>0.0</v>
      </c>
      <c r="Z205" s="19">
        <v>0.0</v>
      </c>
      <c r="AA205" s="19">
        <v>1.0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3">
        <f t="shared" si="40"/>
        <v>31</v>
      </c>
      <c r="AH205" s="5"/>
      <c r="AI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0.0</v>
      </c>
      <c r="G206" s="19">
        <v>1.0</v>
      </c>
      <c r="H206" s="19">
        <v>0.0</v>
      </c>
      <c r="I206" s="19">
        <v>1.0</v>
      </c>
      <c r="J206" s="19">
        <v>0.0</v>
      </c>
      <c r="K206" s="19">
        <v>1.0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1.0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3">
        <f t="shared" si="40"/>
        <v>5</v>
      </c>
      <c r="AH206" s="5"/>
      <c r="AI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3">
        <f t="shared" si="40"/>
        <v>1</v>
      </c>
      <c r="AH207" s="1"/>
      <c r="AI207" s="1"/>
    </row>
    <row r="208" ht="12.75" customHeight="1">
      <c r="A208" s="18"/>
      <c r="B208" s="55">
        <v>7.0</v>
      </c>
      <c r="C208" s="50" t="s">
        <v>153</v>
      </c>
      <c r="D208" s="57"/>
      <c r="E208" s="19">
        <v>1.0</v>
      </c>
      <c r="F208" s="19">
        <v>0.0</v>
      </c>
      <c r="G208" s="19">
        <v>0.0</v>
      </c>
      <c r="H208" s="19">
        <v>0.0</v>
      </c>
      <c r="I208" s="19">
        <v>1.0</v>
      </c>
      <c r="J208" s="19">
        <v>1.0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1.0</v>
      </c>
      <c r="Y208" s="19">
        <v>1.0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1.0</v>
      </c>
      <c r="AE208" s="19">
        <v>0.0</v>
      </c>
      <c r="AF208" s="19">
        <v>0.0</v>
      </c>
      <c r="AG208" s="13">
        <f t="shared" si="40"/>
        <v>8</v>
      </c>
      <c r="AH208" s="52"/>
      <c r="AI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73"/>
      <c r="AH209" s="52"/>
      <c r="AI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73"/>
      <c r="AH210" s="52"/>
      <c r="AI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F211" si="41">SUM(E201:E208)</f>
        <v>21</v>
      </c>
      <c r="F211" s="13">
        <f t="shared" si="41"/>
        <v>10</v>
      </c>
      <c r="G211" s="13">
        <f t="shared" si="41"/>
        <v>19</v>
      </c>
      <c r="H211" s="13">
        <f t="shared" si="41"/>
        <v>10</v>
      </c>
      <c r="I211" s="13">
        <f t="shared" si="41"/>
        <v>45</v>
      </c>
      <c r="J211" s="13">
        <f t="shared" si="41"/>
        <v>5</v>
      </c>
      <c r="K211" s="13">
        <f t="shared" si="41"/>
        <v>31</v>
      </c>
      <c r="L211" s="13">
        <f t="shared" si="41"/>
        <v>10</v>
      </c>
      <c r="M211" s="13">
        <f t="shared" si="41"/>
        <v>6</v>
      </c>
      <c r="N211" s="13">
        <f t="shared" si="41"/>
        <v>3</v>
      </c>
      <c r="O211" s="13">
        <f t="shared" si="41"/>
        <v>6</v>
      </c>
      <c r="P211" s="13">
        <f t="shared" si="41"/>
        <v>4</v>
      </c>
      <c r="Q211" s="13">
        <f t="shared" si="41"/>
        <v>6</v>
      </c>
      <c r="R211" s="13">
        <f t="shared" si="41"/>
        <v>6</v>
      </c>
      <c r="S211" s="13">
        <f t="shared" si="41"/>
        <v>2</v>
      </c>
      <c r="T211" s="13">
        <f t="shared" si="41"/>
        <v>9</v>
      </c>
      <c r="U211" s="13">
        <f t="shared" si="41"/>
        <v>14</v>
      </c>
      <c r="V211" s="13">
        <f t="shared" si="41"/>
        <v>5</v>
      </c>
      <c r="W211" s="13">
        <f t="shared" si="41"/>
        <v>1</v>
      </c>
      <c r="X211" s="13">
        <f t="shared" si="41"/>
        <v>4</v>
      </c>
      <c r="Y211" s="13">
        <f t="shared" si="41"/>
        <v>3</v>
      </c>
      <c r="Z211" s="13">
        <f t="shared" si="41"/>
        <v>3</v>
      </c>
      <c r="AA211" s="13">
        <f t="shared" si="41"/>
        <v>9</v>
      </c>
      <c r="AB211" s="13">
        <f t="shared" si="41"/>
        <v>4</v>
      </c>
      <c r="AC211" s="13">
        <f t="shared" si="41"/>
        <v>6</v>
      </c>
      <c r="AD211" s="13">
        <f t="shared" si="41"/>
        <v>8</v>
      </c>
      <c r="AE211" s="13">
        <f t="shared" si="41"/>
        <v>1</v>
      </c>
      <c r="AF211" s="13">
        <f t="shared" si="41"/>
        <v>0</v>
      </c>
      <c r="AG211" s="13">
        <f>SUM(E211:AF211)</f>
        <v>251</v>
      </c>
      <c r="AH211" s="5"/>
      <c r="AI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5"/>
      <c r="AI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0.0</v>
      </c>
      <c r="F213" s="19">
        <v>1.0</v>
      </c>
      <c r="G213" s="19">
        <v>1.0</v>
      </c>
      <c r="H213" s="19">
        <v>0.0</v>
      </c>
      <c r="I213" s="19">
        <v>1.0</v>
      </c>
      <c r="J213" s="19">
        <v>3.0</v>
      </c>
      <c r="K213" s="19">
        <v>3.0</v>
      </c>
      <c r="L213" s="19">
        <v>2.0</v>
      </c>
      <c r="M213" s="19">
        <v>0.0</v>
      </c>
      <c r="N213" s="19">
        <v>1.0</v>
      </c>
      <c r="O213" s="19">
        <v>0.0</v>
      </c>
      <c r="P213" s="19">
        <v>0.0</v>
      </c>
      <c r="Q213" s="19">
        <v>0.0</v>
      </c>
      <c r="R213" s="19">
        <v>1.0</v>
      </c>
      <c r="S213" s="19">
        <v>1.0</v>
      </c>
      <c r="T213" s="19">
        <v>2.0</v>
      </c>
      <c r="U213" s="19">
        <v>4.0</v>
      </c>
      <c r="V213" s="19">
        <v>2.0</v>
      </c>
      <c r="W213" s="19">
        <v>2.0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1.0</v>
      </c>
      <c r="AC213" s="19">
        <v>2.0</v>
      </c>
      <c r="AD213" s="19">
        <v>3.0</v>
      </c>
      <c r="AE213" s="19">
        <v>0.0</v>
      </c>
      <c r="AF213" s="19">
        <v>4.0</v>
      </c>
      <c r="AG213" s="13">
        <f t="shared" ref="AG213:AG220" si="42">SUM(E213:AF213)</f>
        <v>34</v>
      </c>
      <c r="AH213" s="5"/>
      <c r="AI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5.0</v>
      </c>
      <c r="F214" s="19">
        <v>2.0</v>
      </c>
      <c r="G214" s="19">
        <v>2.0</v>
      </c>
      <c r="H214" s="19">
        <v>0.0</v>
      </c>
      <c r="I214" s="19">
        <v>0.0</v>
      </c>
      <c r="J214" s="19">
        <v>0.0</v>
      </c>
      <c r="K214" s="19">
        <v>1.0</v>
      </c>
      <c r="L214" s="19">
        <v>1.0</v>
      </c>
      <c r="M214" s="19">
        <v>3.0</v>
      </c>
      <c r="N214" s="19">
        <v>0.0</v>
      </c>
      <c r="O214" s="19">
        <v>0.0</v>
      </c>
      <c r="P214" s="19">
        <v>0.0</v>
      </c>
      <c r="Q214" s="19">
        <v>0.0</v>
      </c>
      <c r="R214" s="19">
        <v>1.0</v>
      </c>
      <c r="S214" s="19">
        <v>0.0</v>
      </c>
      <c r="T214" s="19">
        <v>0.0</v>
      </c>
      <c r="U214" s="19">
        <v>0.0</v>
      </c>
      <c r="V214" s="19">
        <v>0.0</v>
      </c>
      <c r="W214" s="19">
        <v>1.0</v>
      </c>
      <c r="X214" s="19">
        <v>1.0</v>
      </c>
      <c r="Y214" s="19">
        <v>1.0</v>
      </c>
      <c r="Z214" s="19">
        <v>0.0</v>
      </c>
      <c r="AA214" s="19">
        <v>1.0</v>
      </c>
      <c r="AB214" s="19">
        <v>1.0</v>
      </c>
      <c r="AC214" s="19">
        <v>0.0</v>
      </c>
      <c r="AD214" s="19">
        <v>0.0</v>
      </c>
      <c r="AE214" s="19">
        <v>0.0</v>
      </c>
      <c r="AF214" s="19">
        <v>1.0</v>
      </c>
      <c r="AG214" s="13">
        <f t="shared" si="42"/>
        <v>21</v>
      </c>
      <c r="AH214" s="5"/>
      <c r="AI214" s="5"/>
    </row>
    <row r="215" ht="12.75" customHeight="1">
      <c r="A215" s="18"/>
      <c r="B215" s="55">
        <v>2.0</v>
      </c>
      <c r="C215" s="50" t="s">
        <v>157</v>
      </c>
      <c r="D215" s="56"/>
      <c r="E215" s="19">
        <v>4.0</v>
      </c>
      <c r="F215" s="19">
        <v>11.0</v>
      </c>
      <c r="G215" s="19">
        <v>0.0</v>
      </c>
      <c r="H215" s="19">
        <v>0.0</v>
      </c>
      <c r="I215" s="19">
        <v>31.0</v>
      </c>
      <c r="J215" s="19">
        <v>0.0</v>
      </c>
      <c r="K215" s="19">
        <v>16.0</v>
      </c>
      <c r="L215" s="19">
        <v>32.0</v>
      </c>
      <c r="M215" s="19">
        <v>16.0</v>
      </c>
      <c r="N215" s="19">
        <v>13.0</v>
      </c>
      <c r="O215" s="19">
        <v>1.0</v>
      </c>
      <c r="P215" s="19">
        <v>1.0</v>
      </c>
      <c r="Q215" s="19">
        <v>2.0</v>
      </c>
      <c r="R215" s="19">
        <v>19.0</v>
      </c>
      <c r="S215" s="19">
        <v>25.0</v>
      </c>
      <c r="T215" s="19">
        <v>25.0</v>
      </c>
      <c r="U215" s="19">
        <v>20.0</v>
      </c>
      <c r="V215" s="19">
        <v>3.0</v>
      </c>
      <c r="W215" s="19">
        <v>15.0</v>
      </c>
      <c r="X215" s="19">
        <v>4.0</v>
      </c>
      <c r="Y215" s="19">
        <v>0.0</v>
      </c>
      <c r="Z215" s="19">
        <v>1.0</v>
      </c>
      <c r="AA215" s="19">
        <v>1.0</v>
      </c>
      <c r="AB215" s="19">
        <v>1.0</v>
      </c>
      <c r="AC215" s="19">
        <v>1.0</v>
      </c>
      <c r="AD215" s="19">
        <v>8.0</v>
      </c>
      <c r="AE215" s="19">
        <v>2.0</v>
      </c>
      <c r="AF215" s="19">
        <v>4.0</v>
      </c>
      <c r="AG215" s="13">
        <f t="shared" si="42"/>
        <v>256</v>
      </c>
      <c r="AH215" s="5"/>
      <c r="AI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3">
        <f t="shared" si="42"/>
        <v>2</v>
      </c>
      <c r="AH216" s="5"/>
      <c r="AI216" s="5"/>
    </row>
    <row r="217" ht="12.75" customHeight="1">
      <c r="A217" s="18"/>
      <c r="B217" s="55">
        <v>4.0</v>
      </c>
      <c r="C217" s="50" t="s">
        <v>159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1.0</v>
      </c>
      <c r="AA217" s="19">
        <v>0.0</v>
      </c>
      <c r="AB217" s="19">
        <v>0.0</v>
      </c>
      <c r="AC217" s="19">
        <v>1.0</v>
      </c>
      <c r="AD217" s="19">
        <v>0.0</v>
      </c>
      <c r="AE217" s="19">
        <v>0.0</v>
      </c>
      <c r="AF217" s="19">
        <v>0.0</v>
      </c>
      <c r="AG217" s="13">
        <f t="shared" si="42"/>
        <v>4</v>
      </c>
      <c r="AH217" s="5"/>
      <c r="AI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0.0</v>
      </c>
      <c r="AF218" s="19">
        <v>0.0</v>
      </c>
      <c r="AG218" s="13">
        <f t="shared" si="42"/>
        <v>1</v>
      </c>
      <c r="AH218" s="1"/>
      <c r="AI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2.0</v>
      </c>
      <c r="X219" s="19">
        <v>1.0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1.0</v>
      </c>
      <c r="AD219" s="19">
        <v>0.0</v>
      </c>
      <c r="AE219" s="19">
        <v>0.0</v>
      </c>
      <c r="AF219" s="19">
        <v>0.0</v>
      </c>
      <c r="AG219" s="13">
        <f t="shared" si="42"/>
        <v>5</v>
      </c>
      <c r="AH219" s="52"/>
      <c r="AI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3">
        <f t="shared" si="42"/>
        <v>1</v>
      </c>
      <c r="AH220" s="5"/>
      <c r="AI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73"/>
      <c r="AH221" s="5"/>
      <c r="AI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73"/>
      <c r="AH222" s="5"/>
      <c r="AI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F223" si="43">SUM(E213:E220)</f>
        <v>9</v>
      </c>
      <c r="F223" s="13">
        <f t="shared" si="43"/>
        <v>14</v>
      </c>
      <c r="G223" s="13">
        <f t="shared" si="43"/>
        <v>3</v>
      </c>
      <c r="H223" s="13">
        <f t="shared" si="43"/>
        <v>0</v>
      </c>
      <c r="I223" s="13">
        <f t="shared" si="43"/>
        <v>33</v>
      </c>
      <c r="J223" s="13">
        <f t="shared" si="43"/>
        <v>3</v>
      </c>
      <c r="K223" s="13">
        <f t="shared" si="43"/>
        <v>21</v>
      </c>
      <c r="L223" s="13">
        <f t="shared" si="43"/>
        <v>35</v>
      </c>
      <c r="M223" s="13">
        <f t="shared" si="43"/>
        <v>19</v>
      </c>
      <c r="N223" s="13">
        <f t="shared" si="43"/>
        <v>14</v>
      </c>
      <c r="O223" s="13">
        <f t="shared" si="43"/>
        <v>1</v>
      </c>
      <c r="P223" s="13">
        <f t="shared" si="43"/>
        <v>2</v>
      </c>
      <c r="Q223" s="13">
        <f t="shared" si="43"/>
        <v>2</v>
      </c>
      <c r="R223" s="13">
        <f t="shared" si="43"/>
        <v>21</v>
      </c>
      <c r="S223" s="13">
        <f t="shared" si="43"/>
        <v>26</v>
      </c>
      <c r="T223" s="13">
        <f t="shared" si="43"/>
        <v>27</v>
      </c>
      <c r="U223" s="13">
        <f t="shared" si="43"/>
        <v>25</v>
      </c>
      <c r="V223" s="13">
        <f t="shared" si="43"/>
        <v>7</v>
      </c>
      <c r="W223" s="13">
        <f t="shared" si="43"/>
        <v>20</v>
      </c>
      <c r="X223" s="13">
        <f t="shared" si="43"/>
        <v>6</v>
      </c>
      <c r="Y223" s="13">
        <f t="shared" si="43"/>
        <v>1</v>
      </c>
      <c r="Z223" s="13">
        <f t="shared" si="43"/>
        <v>2</v>
      </c>
      <c r="AA223" s="13">
        <f t="shared" si="43"/>
        <v>2</v>
      </c>
      <c r="AB223" s="13">
        <f t="shared" si="43"/>
        <v>3</v>
      </c>
      <c r="AC223" s="13">
        <f t="shared" si="43"/>
        <v>5</v>
      </c>
      <c r="AD223" s="13">
        <f t="shared" si="43"/>
        <v>12</v>
      </c>
      <c r="AE223" s="13">
        <f t="shared" si="43"/>
        <v>2</v>
      </c>
      <c r="AF223" s="13">
        <f t="shared" si="43"/>
        <v>9</v>
      </c>
      <c r="AG223" s="13">
        <f>SUM(E223:AF223)</f>
        <v>324</v>
      </c>
      <c r="AH223" s="5"/>
      <c r="AI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5"/>
      <c r="AI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9">
        <v>1.0</v>
      </c>
      <c r="U225" s="19">
        <v>0.0</v>
      </c>
      <c r="V225" s="19">
        <v>1.0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3">
        <f t="shared" ref="AG225:AG232" si="44">SUM(E225:AF225)</f>
        <v>3</v>
      </c>
      <c r="AH225" s="5"/>
      <c r="AI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1.0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1.0</v>
      </c>
      <c r="AG226" s="13">
        <f t="shared" si="44"/>
        <v>2</v>
      </c>
      <c r="AH226" s="5"/>
      <c r="AI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1.0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1.0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3">
        <f t="shared" si="44"/>
        <v>3</v>
      </c>
      <c r="AH227" s="5"/>
      <c r="AI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3">
        <f t="shared" si="44"/>
        <v>0</v>
      </c>
      <c r="AH228" s="5"/>
      <c r="AI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3">
        <f t="shared" si="44"/>
        <v>0</v>
      </c>
      <c r="AH229" s="1"/>
      <c r="AI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1.0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3">
        <f t="shared" si="44"/>
        <v>1</v>
      </c>
      <c r="AH230" s="52"/>
      <c r="AI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3">
        <f t="shared" si="44"/>
        <v>0</v>
      </c>
      <c r="AH231" s="5"/>
      <c r="AI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3">
        <f t="shared" si="44"/>
        <v>1</v>
      </c>
      <c r="AH232" s="5"/>
      <c r="AI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73"/>
      <c r="AH233" s="5"/>
      <c r="AI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73"/>
      <c r="AH234" s="5"/>
      <c r="AI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F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2</v>
      </c>
      <c r="U235" s="13">
        <f t="shared" si="45"/>
        <v>0</v>
      </c>
      <c r="V235" s="13">
        <f t="shared" si="45"/>
        <v>2</v>
      </c>
      <c r="W235" s="13">
        <f t="shared" si="45"/>
        <v>0</v>
      </c>
      <c r="X235" s="13">
        <f t="shared" si="45"/>
        <v>0</v>
      </c>
      <c r="Y235" s="13">
        <f t="shared" si="45"/>
        <v>1</v>
      </c>
      <c r="Z235" s="13">
        <f t="shared" si="45"/>
        <v>0</v>
      </c>
      <c r="AA235" s="13">
        <f t="shared" si="45"/>
        <v>1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>SUM(E235:AF235)</f>
        <v>10</v>
      </c>
      <c r="AH235" s="5"/>
      <c r="AI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5"/>
      <c r="AI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3.0</v>
      </c>
      <c r="F237" s="19">
        <v>0.0</v>
      </c>
      <c r="G237" s="19">
        <v>0.0</v>
      </c>
      <c r="H237" s="19">
        <v>4.0</v>
      </c>
      <c r="I237" s="19">
        <v>0.0</v>
      </c>
      <c r="J237" s="19">
        <v>1.0</v>
      </c>
      <c r="K237" s="19">
        <v>0.0</v>
      </c>
      <c r="L237" s="19">
        <v>1.0</v>
      </c>
      <c r="M237" s="19">
        <v>0.0</v>
      </c>
      <c r="N237" s="19">
        <v>0.0</v>
      </c>
      <c r="O237" s="19">
        <v>1.0</v>
      </c>
      <c r="P237" s="19">
        <v>2.0</v>
      </c>
      <c r="Q237" s="19">
        <v>0.0</v>
      </c>
      <c r="R237" s="19">
        <v>3.0</v>
      </c>
      <c r="S237" s="19">
        <v>2.0</v>
      </c>
      <c r="T237" s="19">
        <v>0.0</v>
      </c>
      <c r="U237" s="19">
        <v>2.0</v>
      </c>
      <c r="V237" s="19">
        <v>0.0</v>
      </c>
      <c r="W237" s="19">
        <v>0.0</v>
      </c>
      <c r="X237" s="19">
        <v>0.0</v>
      </c>
      <c r="Y237" s="19">
        <v>0.0</v>
      </c>
      <c r="Z237" s="19">
        <v>1.0</v>
      </c>
      <c r="AA237" s="19">
        <v>1.0</v>
      </c>
      <c r="AB237" s="19">
        <v>0.0</v>
      </c>
      <c r="AC237" s="19">
        <v>0.0</v>
      </c>
      <c r="AD237" s="19">
        <v>0.0</v>
      </c>
      <c r="AE237" s="19">
        <v>0.0</v>
      </c>
      <c r="AF237" s="19">
        <v>0.0</v>
      </c>
      <c r="AG237" s="13">
        <f t="shared" ref="AG237:AG244" si="46">SUM(E237:AF237)</f>
        <v>21</v>
      </c>
      <c r="AH237" s="5"/>
      <c r="AI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12.0</v>
      </c>
      <c r="S238" s="19">
        <v>1.0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0.0</v>
      </c>
      <c r="AA238" s="19">
        <v>1.0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1.0</v>
      </c>
      <c r="AG238" s="13">
        <f t="shared" si="46"/>
        <v>17</v>
      </c>
      <c r="AH238" s="5"/>
      <c r="AI238" s="5"/>
    </row>
    <row r="239" ht="12.75" customHeight="1">
      <c r="A239" s="18"/>
      <c r="B239" s="55">
        <v>2.0</v>
      </c>
      <c r="C239" s="50" t="s">
        <v>175</v>
      </c>
      <c r="D239" s="57"/>
      <c r="E239" s="19">
        <v>2.0</v>
      </c>
      <c r="F239" s="19">
        <v>0.0</v>
      </c>
      <c r="G239" s="19">
        <v>0.0</v>
      </c>
      <c r="H239" s="19">
        <v>1.0</v>
      </c>
      <c r="I239" s="19">
        <v>2.0</v>
      </c>
      <c r="J239" s="19">
        <v>0.0</v>
      </c>
      <c r="K239" s="19">
        <v>1.0</v>
      </c>
      <c r="L239" s="19">
        <v>6.0</v>
      </c>
      <c r="M239" s="19">
        <v>0.0</v>
      </c>
      <c r="N239" s="19">
        <v>0.0</v>
      </c>
      <c r="O239" s="19">
        <v>0.0</v>
      </c>
      <c r="P239" s="19">
        <v>1.0</v>
      </c>
      <c r="Q239" s="19">
        <v>1.0</v>
      </c>
      <c r="R239" s="19">
        <v>2.0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1.0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3">
        <f t="shared" si="46"/>
        <v>17</v>
      </c>
      <c r="AH239" s="5"/>
      <c r="AI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2.0</v>
      </c>
      <c r="G240" s="19">
        <v>0.0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2.0</v>
      </c>
      <c r="AA240" s="19">
        <v>0.0</v>
      </c>
      <c r="AB240" s="19">
        <v>1.0</v>
      </c>
      <c r="AC240" s="19">
        <v>0.0</v>
      </c>
      <c r="AD240" s="19">
        <v>0.0</v>
      </c>
      <c r="AE240" s="19">
        <v>0.0</v>
      </c>
      <c r="AF240" s="19">
        <v>0.0</v>
      </c>
      <c r="AG240" s="13">
        <f t="shared" si="46"/>
        <v>8</v>
      </c>
      <c r="AH240" s="1"/>
      <c r="AI240" s="1"/>
    </row>
    <row r="241" ht="12.75" customHeight="1">
      <c r="A241" s="18"/>
      <c r="B241" s="55">
        <v>4.0</v>
      </c>
      <c r="C241" s="50" t="s">
        <v>177</v>
      </c>
      <c r="D241" s="57"/>
      <c r="E241" s="19">
        <v>1.0</v>
      </c>
      <c r="F241" s="19">
        <v>1.0</v>
      </c>
      <c r="G241" s="19">
        <v>0.0</v>
      </c>
      <c r="H241" s="19">
        <v>1.0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1.0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3">
        <f t="shared" si="46"/>
        <v>6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3">
        <f t="shared" si="46"/>
        <v>0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3">
        <f t="shared" si="46"/>
        <v>0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0.0</v>
      </c>
      <c r="F244" s="19">
        <v>1.0</v>
      </c>
      <c r="G244" s="19">
        <v>2.0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9">
        <v>0.0</v>
      </c>
      <c r="N244" s="19">
        <v>1.0</v>
      </c>
      <c r="O244" s="19">
        <v>0.0</v>
      </c>
      <c r="P244" s="19">
        <v>2.0</v>
      </c>
      <c r="Q244" s="19">
        <v>1.0</v>
      </c>
      <c r="R244" s="19">
        <v>4.0</v>
      </c>
      <c r="S244" s="19">
        <v>1.0</v>
      </c>
      <c r="T244" s="19">
        <v>0.0</v>
      </c>
      <c r="U244" s="19">
        <v>2.0</v>
      </c>
      <c r="V244" s="19">
        <v>0.0</v>
      </c>
      <c r="W244" s="19">
        <v>0.0</v>
      </c>
      <c r="X244" s="19">
        <v>0.0</v>
      </c>
      <c r="Y244" s="19">
        <v>5.0</v>
      </c>
      <c r="Z244" s="19">
        <v>5.0</v>
      </c>
      <c r="AA244" s="19">
        <v>1.0</v>
      </c>
      <c r="AB244" s="19">
        <v>1.0</v>
      </c>
      <c r="AC244" s="19">
        <v>0.0</v>
      </c>
      <c r="AD244" s="19">
        <v>0.0</v>
      </c>
      <c r="AE244" s="19">
        <v>1.0</v>
      </c>
      <c r="AF244" s="19">
        <v>1.0</v>
      </c>
      <c r="AG244" s="13">
        <f t="shared" si="46"/>
        <v>29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F247" si="47">SUM(E237:E244)</f>
        <v>7</v>
      </c>
      <c r="F247" s="13">
        <f t="shared" si="47"/>
        <v>4</v>
      </c>
      <c r="G247" s="13">
        <f t="shared" si="47"/>
        <v>2</v>
      </c>
      <c r="H247" s="13">
        <f t="shared" si="47"/>
        <v>6</v>
      </c>
      <c r="I247" s="13">
        <f t="shared" si="47"/>
        <v>2</v>
      </c>
      <c r="J247" s="13">
        <f t="shared" si="47"/>
        <v>4</v>
      </c>
      <c r="K247" s="13">
        <f t="shared" si="47"/>
        <v>1</v>
      </c>
      <c r="L247" s="13">
        <f t="shared" si="47"/>
        <v>7</v>
      </c>
      <c r="M247" s="13">
        <f t="shared" si="47"/>
        <v>0</v>
      </c>
      <c r="N247" s="13">
        <f t="shared" si="47"/>
        <v>1</v>
      </c>
      <c r="O247" s="13">
        <f t="shared" si="47"/>
        <v>1</v>
      </c>
      <c r="P247" s="13">
        <f t="shared" si="47"/>
        <v>5</v>
      </c>
      <c r="Q247" s="13">
        <f t="shared" si="47"/>
        <v>3</v>
      </c>
      <c r="R247" s="13">
        <f t="shared" si="47"/>
        <v>22</v>
      </c>
      <c r="S247" s="13">
        <f t="shared" si="47"/>
        <v>4</v>
      </c>
      <c r="T247" s="13">
        <f t="shared" si="47"/>
        <v>1</v>
      </c>
      <c r="U247" s="13">
        <f t="shared" si="47"/>
        <v>4</v>
      </c>
      <c r="V247" s="13">
        <f t="shared" si="47"/>
        <v>0</v>
      </c>
      <c r="W247" s="13">
        <f t="shared" si="47"/>
        <v>1</v>
      </c>
      <c r="X247" s="13">
        <f t="shared" si="47"/>
        <v>0</v>
      </c>
      <c r="Y247" s="13">
        <f t="shared" si="47"/>
        <v>6</v>
      </c>
      <c r="Z247" s="13">
        <f t="shared" si="47"/>
        <v>9</v>
      </c>
      <c r="AA247" s="13">
        <f t="shared" si="47"/>
        <v>3</v>
      </c>
      <c r="AB247" s="13">
        <f t="shared" si="47"/>
        <v>2</v>
      </c>
      <c r="AC247" s="13">
        <f t="shared" si="47"/>
        <v>0</v>
      </c>
      <c r="AD247" s="13">
        <f t="shared" si="47"/>
        <v>0</v>
      </c>
      <c r="AE247" s="13">
        <f t="shared" si="47"/>
        <v>1</v>
      </c>
      <c r="AF247" s="13">
        <f t="shared" si="47"/>
        <v>2</v>
      </c>
      <c r="AG247" s="13">
        <f>SUM(E247:AF247)</f>
        <v>98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3">
        <f t="shared" ref="AG249:AG255" si="48">SUM(E249:AF249)</f>
        <v>1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3">
        <f t="shared" si="48"/>
        <v>0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5.0</v>
      </c>
      <c r="F251" s="19">
        <v>2.0</v>
      </c>
      <c r="G251" s="19">
        <v>0.0</v>
      </c>
      <c r="H251" s="19">
        <v>0.0</v>
      </c>
      <c r="I251" s="19">
        <v>3.0</v>
      </c>
      <c r="J251" s="19">
        <v>2.0</v>
      </c>
      <c r="K251" s="19">
        <v>2.0</v>
      </c>
      <c r="L251" s="19">
        <v>0.0</v>
      </c>
      <c r="M251" s="19">
        <v>0.0</v>
      </c>
      <c r="N251" s="19">
        <v>0.0</v>
      </c>
      <c r="O251" s="19">
        <v>2.0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2.0</v>
      </c>
      <c r="AD251" s="19">
        <v>0.0</v>
      </c>
      <c r="AE251" s="19">
        <v>0.0</v>
      </c>
      <c r="AF251" s="19">
        <v>2.0</v>
      </c>
      <c r="AG251" s="13">
        <f t="shared" si="48"/>
        <v>21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1.0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3">
        <f t="shared" si="48"/>
        <v>1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1.0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3">
        <f t="shared" si="48"/>
        <v>1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1.0</v>
      </c>
      <c r="AF254" s="19">
        <v>0.0</v>
      </c>
      <c r="AG254" s="13">
        <f t="shared" si="48"/>
        <v>1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F259" si="49">SUM(E249:E255)</f>
        <v>5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3</v>
      </c>
      <c r="J259" s="13">
        <f t="shared" si="49"/>
        <v>2</v>
      </c>
      <c r="K259" s="13">
        <f t="shared" si="49"/>
        <v>3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2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2</v>
      </c>
      <c r="AD259" s="13">
        <f t="shared" si="49"/>
        <v>0</v>
      </c>
      <c r="AE259" s="13">
        <f t="shared" si="49"/>
        <v>1</v>
      </c>
      <c r="AF259" s="13">
        <f t="shared" si="49"/>
        <v>2</v>
      </c>
      <c r="AG259" s="13">
        <f>SUM(E259:AF259)</f>
        <v>25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AF262" si="50">E55+E67+E79+E91+E103+E115+E127+E139+E151+E163+E175+E187+E199+E211+E223+E235+E247+E259</f>
        <v>185</v>
      </c>
      <c r="F262" s="19">
        <f t="shared" si="50"/>
        <v>178</v>
      </c>
      <c r="G262" s="19">
        <f t="shared" si="50"/>
        <v>152</v>
      </c>
      <c r="H262" s="19">
        <f t="shared" si="50"/>
        <v>131</v>
      </c>
      <c r="I262" s="19">
        <f t="shared" si="50"/>
        <v>169</v>
      </c>
      <c r="J262" s="19">
        <f t="shared" si="50"/>
        <v>157</v>
      </c>
      <c r="K262" s="19">
        <f t="shared" si="50"/>
        <v>191</v>
      </c>
      <c r="L262" s="19">
        <f t="shared" si="50"/>
        <v>180</v>
      </c>
      <c r="M262" s="19">
        <f t="shared" si="50"/>
        <v>216</v>
      </c>
      <c r="N262" s="19">
        <f t="shared" si="50"/>
        <v>209</v>
      </c>
      <c r="O262" s="19">
        <f t="shared" si="50"/>
        <v>181</v>
      </c>
      <c r="P262" s="19">
        <f t="shared" si="50"/>
        <v>171</v>
      </c>
      <c r="Q262" s="19">
        <f t="shared" si="50"/>
        <v>151</v>
      </c>
      <c r="R262" s="19">
        <f t="shared" si="50"/>
        <v>203</v>
      </c>
      <c r="S262" s="19">
        <f t="shared" si="50"/>
        <v>194</v>
      </c>
      <c r="T262" s="19">
        <f t="shared" si="50"/>
        <v>192</v>
      </c>
      <c r="U262" s="19">
        <f t="shared" si="50"/>
        <v>186</v>
      </c>
      <c r="V262" s="19">
        <f t="shared" si="50"/>
        <v>221</v>
      </c>
      <c r="W262" s="19">
        <f t="shared" si="50"/>
        <v>201</v>
      </c>
      <c r="X262" s="19">
        <f t="shared" si="50"/>
        <v>224</v>
      </c>
      <c r="Y262" s="19">
        <f t="shared" si="50"/>
        <v>227</v>
      </c>
      <c r="Z262" s="19">
        <f t="shared" si="50"/>
        <v>204</v>
      </c>
      <c r="AA262" s="19">
        <f t="shared" si="50"/>
        <v>211</v>
      </c>
      <c r="AB262" s="19">
        <f t="shared" si="50"/>
        <v>181</v>
      </c>
      <c r="AC262" s="19">
        <f t="shared" si="50"/>
        <v>185</v>
      </c>
      <c r="AD262" s="19">
        <f t="shared" si="50"/>
        <v>199</v>
      </c>
      <c r="AE262" s="19">
        <f t="shared" si="50"/>
        <v>217</v>
      </c>
      <c r="AF262" s="19">
        <f t="shared" si="50"/>
        <v>198</v>
      </c>
      <c r="AG262" s="13">
        <f t="shared" ref="AG262:AG264" si="51">SUM(E262:AF262)</f>
        <v>5314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20.0</v>
      </c>
      <c r="F263" s="19">
        <v>19.0</v>
      </c>
      <c r="G263" s="19">
        <v>45.0</v>
      </c>
      <c r="H263" s="19">
        <v>24.0</v>
      </c>
      <c r="I263" s="19">
        <v>33.0</v>
      </c>
      <c r="J263" s="19">
        <v>8.0</v>
      </c>
      <c r="K263" s="19">
        <v>23.0</v>
      </c>
      <c r="L263" s="19">
        <v>41.0</v>
      </c>
      <c r="M263" s="19">
        <v>28.0</v>
      </c>
      <c r="N263" s="19">
        <v>35.0</v>
      </c>
      <c r="O263" s="19">
        <v>17.0</v>
      </c>
      <c r="P263" s="19">
        <v>6.0</v>
      </c>
      <c r="Q263" s="19">
        <v>29.0</v>
      </c>
      <c r="R263" s="19">
        <v>27.0</v>
      </c>
      <c r="S263" s="19">
        <v>22.0</v>
      </c>
      <c r="T263" s="19">
        <v>32.0</v>
      </c>
      <c r="U263" s="19">
        <v>18.0</v>
      </c>
      <c r="V263" s="19">
        <v>20.0</v>
      </c>
      <c r="W263" s="19">
        <v>15.0</v>
      </c>
      <c r="X263" s="19">
        <v>8.0</v>
      </c>
      <c r="Y263" s="19">
        <v>20.0</v>
      </c>
      <c r="Z263" s="19">
        <v>19.0</v>
      </c>
      <c r="AA263" s="19">
        <v>12.0</v>
      </c>
      <c r="AB263" s="19">
        <v>17.0</v>
      </c>
      <c r="AC263" s="19">
        <v>22.0</v>
      </c>
      <c r="AD263" s="19">
        <v>20.0</v>
      </c>
      <c r="AE263" s="19">
        <v>16.0</v>
      </c>
      <c r="AF263" s="19">
        <v>28.0</v>
      </c>
      <c r="AG263" s="13">
        <f t="shared" si="51"/>
        <v>624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AF264" si="52">SUM(E262:E263)</f>
        <v>205</v>
      </c>
      <c r="F264" s="13">
        <f t="shared" si="52"/>
        <v>197</v>
      </c>
      <c r="G264" s="13">
        <f t="shared" si="52"/>
        <v>197</v>
      </c>
      <c r="H264" s="13">
        <f t="shared" si="52"/>
        <v>155</v>
      </c>
      <c r="I264" s="13">
        <f t="shared" si="52"/>
        <v>202</v>
      </c>
      <c r="J264" s="13">
        <f t="shared" si="52"/>
        <v>165</v>
      </c>
      <c r="K264" s="13">
        <f t="shared" si="52"/>
        <v>214</v>
      </c>
      <c r="L264" s="13">
        <f t="shared" si="52"/>
        <v>221</v>
      </c>
      <c r="M264" s="13">
        <f t="shared" si="52"/>
        <v>244</v>
      </c>
      <c r="N264" s="13">
        <f t="shared" si="52"/>
        <v>244</v>
      </c>
      <c r="O264" s="13">
        <f t="shared" si="52"/>
        <v>198</v>
      </c>
      <c r="P264" s="13">
        <f t="shared" si="52"/>
        <v>177</v>
      </c>
      <c r="Q264" s="13">
        <f t="shared" si="52"/>
        <v>180</v>
      </c>
      <c r="R264" s="13">
        <f t="shared" si="52"/>
        <v>230</v>
      </c>
      <c r="S264" s="13">
        <f t="shared" si="52"/>
        <v>216</v>
      </c>
      <c r="T264" s="13">
        <f t="shared" si="52"/>
        <v>224</v>
      </c>
      <c r="U264" s="13">
        <f t="shared" si="52"/>
        <v>204</v>
      </c>
      <c r="V264" s="13">
        <f t="shared" si="52"/>
        <v>241</v>
      </c>
      <c r="W264" s="13">
        <f t="shared" si="52"/>
        <v>216</v>
      </c>
      <c r="X264" s="13">
        <f t="shared" si="52"/>
        <v>232</v>
      </c>
      <c r="Y264" s="13">
        <f t="shared" si="52"/>
        <v>247</v>
      </c>
      <c r="Z264" s="13">
        <f t="shared" si="52"/>
        <v>223</v>
      </c>
      <c r="AA264" s="13">
        <f t="shared" si="52"/>
        <v>223</v>
      </c>
      <c r="AB264" s="13">
        <f t="shared" si="52"/>
        <v>198</v>
      </c>
      <c r="AC264" s="13">
        <f t="shared" si="52"/>
        <v>207</v>
      </c>
      <c r="AD264" s="13">
        <f t="shared" si="52"/>
        <v>219</v>
      </c>
      <c r="AE264" s="13">
        <f t="shared" si="52"/>
        <v>233</v>
      </c>
      <c r="AF264" s="13">
        <f t="shared" si="52"/>
        <v>226</v>
      </c>
      <c r="AG264" s="13">
        <f t="shared" si="51"/>
        <v>5938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F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54">
    <cfRule type="containsBlanks" dxfId="1" priority="10">
      <formula>LEN(TRIM(E45))=0</formula>
    </cfRule>
  </conditionalFormatting>
  <conditionalFormatting sqref="E57:AF66">
    <cfRule type="containsBlanks" dxfId="1" priority="11">
      <formula>LEN(TRIM(E57))=0</formula>
    </cfRule>
  </conditionalFormatting>
  <conditionalFormatting sqref="E69:AF78">
    <cfRule type="containsBlanks" dxfId="1" priority="12">
      <formula>LEN(TRIM(E69))=0</formula>
    </cfRule>
  </conditionalFormatting>
  <conditionalFormatting sqref="E81:AF90">
    <cfRule type="containsBlanks" dxfId="1" priority="13">
      <formula>LEN(TRIM(E81))=0</formula>
    </cfRule>
  </conditionalFormatting>
  <conditionalFormatting sqref="E93:AF102">
    <cfRule type="containsBlanks" dxfId="1" priority="14">
      <formula>LEN(TRIM(E93))=0</formula>
    </cfRule>
  </conditionalFormatting>
  <conditionalFormatting sqref="E105:AF114">
    <cfRule type="containsBlanks" dxfId="1" priority="15">
      <formula>LEN(TRIM(E105))=0</formula>
    </cfRule>
  </conditionalFormatting>
  <conditionalFormatting sqref="E117:AF126">
    <cfRule type="containsBlanks" dxfId="1" priority="16">
      <formula>LEN(TRIM(E117))=0</formula>
    </cfRule>
  </conditionalFormatting>
  <conditionalFormatting sqref="E129:AF138">
    <cfRule type="containsBlanks" dxfId="1" priority="17">
      <formula>LEN(TRIM(E129))=0</formula>
    </cfRule>
  </conditionalFormatting>
  <conditionalFormatting sqref="E141:AF150">
    <cfRule type="containsBlanks" dxfId="1" priority="18">
      <formula>LEN(TRIM(E141))=0</formula>
    </cfRule>
  </conditionalFormatting>
  <conditionalFormatting sqref="E153:AF162">
    <cfRule type="containsBlanks" dxfId="1" priority="19">
      <formula>LEN(TRIM(E153))=0</formula>
    </cfRule>
  </conditionalFormatting>
  <conditionalFormatting sqref="E165:AF174">
    <cfRule type="containsBlanks" dxfId="1" priority="20">
      <formula>LEN(TRIM(E165))=0</formula>
    </cfRule>
  </conditionalFormatting>
  <conditionalFormatting sqref="E177:AF186">
    <cfRule type="containsBlanks" dxfId="1" priority="21">
      <formula>LEN(TRIM(E177))=0</formula>
    </cfRule>
  </conditionalFormatting>
  <conditionalFormatting sqref="E189:AF198">
    <cfRule type="containsBlanks" dxfId="1" priority="22">
      <formula>LEN(TRIM(E189))=0</formula>
    </cfRule>
  </conditionalFormatting>
  <conditionalFormatting sqref="E201:AF210">
    <cfRule type="containsBlanks" dxfId="1" priority="23">
      <formula>LEN(TRIM(E201))=0</formula>
    </cfRule>
  </conditionalFormatting>
  <conditionalFormatting sqref="E213:AF222">
    <cfRule type="containsBlanks" dxfId="1" priority="24">
      <formula>LEN(TRIM(E213))=0</formula>
    </cfRule>
  </conditionalFormatting>
  <conditionalFormatting sqref="E225:AF234">
    <cfRule type="containsBlanks" dxfId="1" priority="25">
      <formula>LEN(TRIM(E225))=0</formula>
    </cfRule>
  </conditionalFormatting>
  <conditionalFormatting sqref="E237:AF246">
    <cfRule type="containsBlanks" dxfId="1" priority="26">
      <formula>LEN(TRIM(E237))=0</formula>
    </cfRule>
  </conditionalFormatting>
  <conditionalFormatting sqref="E249:AF259">
    <cfRule type="containsBlanks" dxfId="1" priority="27">
      <formula>LEN(TRIM(E249))=0</formula>
    </cfRule>
  </conditionalFormatting>
  <conditionalFormatting sqref="E262:AF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1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3">
        <f t="shared" ref="S14:S16" si="1">SUM(E14:R14)</f>
        <v>0</v>
      </c>
    </row>
    <row r="15" ht="12.75" customHeight="1">
      <c r="A15" s="18"/>
      <c r="B15" s="26"/>
      <c r="C15" s="27"/>
      <c r="D15" s="19" t="s">
        <v>12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3">
        <f t="shared" si="1"/>
        <v>0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1"/>
        <v>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3">
        <f t="shared" ref="S19:S30" si="3">SUM(E19:R19)</f>
        <v>0</v>
      </c>
    </row>
    <row r="20" ht="12.75" customHeight="1">
      <c r="A20" s="33"/>
      <c r="B20" s="27"/>
      <c r="C20" s="34"/>
      <c r="D20" s="19" t="s">
        <v>12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3">
        <f t="shared" si="3"/>
        <v>0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3"/>
        <v>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3">
        <f t="shared" si="3"/>
        <v>0</v>
      </c>
    </row>
    <row r="26" ht="12.75" customHeight="1">
      <c r="A26" s="33"/>
      <c r="B26" s="27"/>
      <c r="C26" s="34"/>
      <c r="D26" s="19" t="s">
        <v>12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3">
        <f t="shared" si="3"/>
        <v>0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3"/>
        <v>0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3"/>
        <v>0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3"/>
        <v>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8"/>
    </row>
    <row r="33" ht="12.75" customHeight="1">
      <c r="A33" s="19">
        <v>1.0</v>
      </c>
      <c r="B33" s="20" t="s">
        <v>26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3">
        <f t="shared" ref="S33:S36" si="10">SUM(E33:R33)</f>
        <v>0</v>
      </c>
    </row>
    <row r="34" ht="12.75" customHeight="1">
      <c r="A34" s="19">
        <v>2.0</v>
      </c>
      <c r="B34" s="20" t="s">
        <v>27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>
        <f t="shared" si="10"/>
        <v>0</v>
      </c>
    </row>
    <row r="35" ht="12.75" customHeight="1">
      <c r="A35" s="19">
        <v>3.0</v>
      </c>
      <c r="B35" s="20" t="s">
        <v>28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3">
        <f t="shared" si="10"/>
        <v>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8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3">
        <f t="shared" ref="S39:S41" si="12">SUM(E39:R39)</f>
        <v>0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1.0</v>
      </c>
      <c r="F45" s="19">
        <v>8.0</v>
      </c>
      <c r="G45" s="19">
        <v>5.0</v>
      </c>
      <c r="H45" s="19">
        <v>4.0</v>
      </c>
      <c r="I45" s="19">
        <v>4.0</v>
      </c>
      <c r="J45" s="19">
        <v>5.0</v>
      </c>
      <c r="K45" s="19">
        <v>11.0</v>
      </c>
      <c r="L45" s="19">
        <v>11.0</v>
      </c>
      <c r="M45" s="19">
        <v>9.0</v>
      </c>
      <c r="N45" s="19">
        <v>1.0</v>
      </c>
      <c r="O45" s="19">
        <v>10.0</v>
      </c>
      <c r="P45" s="19">
        <v>6.0</v>
      </c>
      <c r="Q45" s="19">
        <v>10.0</v>
      </c>
      <c r="R45" s="19">
        <v>10.0</v>
      </c>
      <c r="S45" s="13">
        <f t="shared" ref="S45:S52" si="14">SUM(E45:R45)</f>
        <v>95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4.0</v>
      </c>
      <c r="F46" s="19">
        <v>8.0</v>
      </c>
      <c r="G46" s="19">
        <v>6.0</v>
      </c>
      <c r="H46" s="19">
        <v>13.0</v>
      </c>
      <c r="I46" s="19">
        <v>10.0</v>
      </c>
      <c r="J46" s="19">
        <v>7.0</v>
      </c>
      <c r="K46" s="19">
        <v>6.0</v>
      </c>
      <c r="L46" s="19">
        <v>17.0</v>
      </c>
      <c r="M46" s="19">
        <v>28.0</v>
      </c>
      <c r="N46" s="19">
        <v>7.0</v>
      </c>
      <c r="O46" s="19">
        <v>16.0</v>
      </c>
      <c r="P46" s="19">
        <v>2.0</v>
      </c>
      <c r="Q46" s="19">
        <v>11.0</v>
      </c>
      <c r="R46" s="19">
        <v>21.0</v>
      </c>
      <c r="S46" s="13">
        <f t="shared" si="14"/>
        <v>156</v>
      </c>
    </row>
    <row r="47" ht="12.75" customHeight="1">
      <c r="A47" s="18"/>
      <c r="B47" s="55">
        <v>2.0</v>
      </c>
      <c r="C47" s="50" t="s">
        <v>40</v>
      </c>
      <c r="D47" s="16"/>
      <c r="E47" s="19">
        <v>4.0</v>
      </c>
      <c r="F47" s="19">
        <v>0.0</v>
      </c>
      <c r="G47" s="19">
        <v>3.0</v>
      </c>
      <c r="H47" s="19">
        <v>3.0</v>
      </c>
      <c r="I47" s="19">
        <v>5.0</v>
      </c>
      <c r="J47" s="19">
        <v>4.0</v>
      </c>
      <c r="K47" s="19">
        <v>1.0</v>
      </c>
      <c r="L47" s="19">
        <v>4.0</v>
      </c>
      <c r="M47" s="19">
        <v>9.0</v>
      </c>
      <c r="N47" s="19">
        <v>2.0</v>
      </c>
      <c r="O47" s="19">
        <v>3.0</v>
      </c>
      <c r="P47" s="19">
        <v>2.0</v>
      </c>
      <c r="Q47" s="19">
        <v>0.0</v>
      </c>
      <c r="R47" s="19">
        <v>2.0</v>
      </c>
      <c r="S47" s="13">
        <f t="shared" si="14"/>
        <v>42</v>
      </c>
    </row>
    <row r="48" ht="12.75" customHeight="1">
      <c r="A48" s="18"/>
      <c r="B48" s="55">
        <v>3.0</v>
      </c>
      <c r="C48" s="50" t="s">
        <v>41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1.0</v>
      </c>
      <c r="J48" s="19">
        <v>0.0</v>
      </c>
      <c r="K48" s="19">
        <v>0.0</v>
      </c>
      <c r="L48" s="19">
        <v>0.0</v>
      </c>
      <c r="M48" s="19">
        <v>3.0</v>
      </c>
      <c r="N48" s="19">
        <v>0.0</v>
      </c>
      <c r="O48" s="19">
        <v>1.0</v>
      </c>
      <c r="P48" s="19">
        <v>0.0</v>
      </c>
      <c r="Q48" s="19">
        <v>0.0</v>
      </c>
      <c r="R48" s="19">
        <v>1.0</v>
      </c>
      <c r="S48" s="13">
        <f t="shared" si="14"/>
        <v>7</v>
      </c>
    </row>
    <row r="49" ht="12.75" customHeight="1">
      <c r="A49" s="18"/>
      <c r="B49" s="55">
        <v>4.0</v>
      </c>
      <c r="C49" s="50" t="s">
        <v>42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3">
        <f t="shared" si="14"/>
        <v>2</v>
      </c>
    </row>
    <row r="50" ht="12.75" customHeight="1">
      <c r="A50" s="18"/>
      <c r="B50" s="55">
        <v>5.0</v>
      </c>
      <c r="C50" s="50" t="s">
        <v>43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1.0</v>
      </c>
      <c r="Q50" s="19">
        <v>0.0</v>
      </c>
      <c r="R50" s="19">
        <v>2.0</v>
      </c>
      <c r="S50" s="13">
        <f t="shared" si="14"/>
        <v>6</v>
      </c>
    </row>
    <row r="51" ht="12.75" customHeight="1">
      <c r="A51" s="18"/>
      <c r="B51" s="55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2.0</v>
      </c>
      <c r="O51" s="19">
        <v>0.0</v>
      </c>
      <c r="P51" s="19">
        <v>0.0</v>
      </c>
      <c r="Q51" s="19">
        <v>0.0</v>
      </c>
      <c r="R51" s="19">
        <v>0.0</v>
      </c>
      <c r="S51" s="13">
        <f t="shared" si="14"/>
        <v>2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R55" si="15">SUM(E45:E52)</f>
        <v>10</v>
      </c>
      <c r="F55" s="13">
        <f t="shared" si="15"/>
        <v>16</v>
      </c>
      <c r="G55" s="13">
        <f t="shared" si="15"/>
        <v>16</v>
      </c>
      <c r="H55" s="13">
        <f t="shared" si="15"/>
        <v>20</v>
      </c>
      <c r="I55" s="13">
        <f t="shared" si="15"/>
        <v>21</v>
      </c>
      <c r="J55" s="13">
        <f t="shared" si="15"/>
        <v>16</v>
      </c>
      <c r="K55" s="13">
        <f t="shared" si="15"/>
        <v>20</v>
      </c>
      <c r="L55" s="13">
        <f t="shared" si="15"/>
        <v>32</v>
      </c>
      <c r="M55" s="13">
        <f t="shared" si="15"/>
        <v>51</v>
      </c>
      <c r="N55" s="13">
        <f t="shared" si="15"/>
        <v>12</v>
      </c>
      <c r="O55" s="13">
        <f t="shared" si="15"/>
        <v>30</v>
      </c>
      <c r="P55" s="13">
        <f t="shared" si="15"/>
        <v>11</v>
      </c>
      <c r="Q55" s="13">
        <f t="shared" si="15"/>
        <v>21</v>
      </c>
      <c r="R55" s="13">
        <f t="shared" si="15"/>
        <v>36</v>
      </c>
      <c r="S55" s="13">
        <f>SUM(E55:R55)</f>
        <v>312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4.0</v>
      </c>
      <c r="F57" s="19">
        <v>22.0</v>
      </c>
      <c r="G57" s="19">
        <v>20.0</v>
      </c>
      <c r="H57" s="19">
        <v>18.0</v>
      </c>
      <c r="I57" s="19">
        <v>8.0</v>
      </c>
      <c r="J57" s="19">
        <v>6.0</v>
      </c>
      <c r="K57" s="19">
        <v>4.0</v>
      </c>
      <c r="L57" s="19">
        <v>9.0</v>
      </c>
      <c r="M57" s="19">
        <v>10.0</v>
      </c>
      <c r="N57" s="19">
        <v>9.0</v>
      </c>
      <c r="O57" s="19">
        <v>10.0</v>
      </c>
      <c r="P57" s="19">
        <v>7.0</v>
      </c>
      <c r="Q57" s="19">
        <v>2.0</v>
      </c>
      <c r="R57" s="19">
        <v>8.0</v>
      </c>
      <c r="S57" s="13">
        <f t="shared" ref="S57:S64" si="16">SUM(E57:R57)</f>
        <v>137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35.0</v>
      </c>
      <c r="F58" s="19">
        <v>26.0</v>
      </c>
      <c r="G58" s="19">
        <v>15.0</v>
      </c>
      <c r="H58" s="19">
        <v>13.0</v>
      </c>
      <c r="I58" s="19">
        <v>7.0</v>
      </c>
      <c r="J58" s="19">
        <v>8.0</v>
      </c>
      <c r="K58" s="19">
        <v>3.0</v>
      </c>
      <c r="L58" s="19">
        <v>5.0</v>
      </c>
      <c r="M58" s="19">
        <v>14.0</v>
      </c>
      <c r="N58" s="19">
        <v>10.0</v>
      </c>
      <c r="O58" s="19">
        <v>11.0</v>
      </c>
      <c r="P58" s="19">
        <v>5.0</v>
      </c>
      <c r="Q58" s="19">
        <v>2.0</v>
      </c>
      <c r="R58" s="19">
        <v>15.0</v>
      </c>
      <c r="S58" s="13">
        <f t="shared" si="16"/>
        <v>169</v>
      </c>
    </row>
    <row r="59" ht="12.75" customHeight="1">
      <c r="A59" s="18"/>
      <c r="B59" s="55">
        <v>2.0</v>
      </c>
      <c r="C59" s="50" t="s">
        <v>49</v>
      </c>
      <c r="D59" s="56"/>
      <c r="E59" s="19">
        <v>2.0</v>
      </c>
      <c r="F59" s="19">
        <v>4.0</v>
      </c>
      <c r="G59" s="19">
        <v>6.0</v>
      </c>
      <c r="H59" s="19">
        <v>0.0</v>
      </c>
      <c r="I59" s="19">
        <v>1.0</v>
      </c>
      <c r="J59" s="19">
        <v>2.0</v>
      </c>
      <c r="K59" s="19">
        <v>2.0</v>
      </c>
      <c r="L59" s="19">
        <v>4.0</v>
      </c>
      <c r="M59" s="19">
        <v>3.0</v>
      </c>
      <c r="N59" s="19">
        <v>0.0</v>
      </c>
      <c r="O59" s="19">
        <v>0.0</v>
      </c>
      <c r="P59" s="19">
        <v>0.0</v>
      </c>
      <c r="Q59" s="19">
        <v>1.0</v>
      </c>
      <c r="R59" s="19">
        <v>0.0</v>
      </c>
      <c r="S59" s="13">
        <f t="shared" si="16"/>
        <v>25</v>
      </c>
    </row>
    <row r="60" ht="12.75" customHeight="1">
      <c r="A60" s="18"/>
      <c r="B60" s="55">
        <v>3.0</v>
      </c>
      <c r="C60" s="50" t="s">
        <v>50</v>
      </c>
      <c r="D60" s="56"/>
      <c r="E60" s="19">
        <v>2.0</v>
      </c>
      <c r="F60" s="19">
        <v>0.0</v>
      </c>
      <c r="G60" s="19">
        <v>0.0</v>
      </c>
      <c r="H60" s="19">
        <v>1.0</v>
      </c>
      <c r="I60" s="19">
        <v>0.0</v>
      </c>
      <c r="J60" s="19">
        <v>1.0</v>
      </c>
      <c r="K60" s="19">
        <v>0.0</v>
      </c>
      <c r="L60" s="19">
        <v>1.0</v>
      </c>
      <c r="M60" s="19">
        <v>1.0</v>
      </c>
      <c r="N60" s="19">
        <v>0.0</v>
      </c>
      <c r="O60" s="19">
        <v>0.0</v>
      </c>
      <c r="P60" s="19">
        <v>1.0</v>
      </c>
      <c r="Q60" s="19">
        <v>1.0</v>
      </c>
      <c r="R60" s="19">
        <v>1.0</v>
      </c>
      <c r="S60" s="13">
        <f t="shared" si="16"/>
        <v>9</v>
      </c>
    </row>
    <row r="61" ht="12.75" customHeight="1">
      <c r="A61" s="18"/>
      <c r="B61" s="55">
        <v>4.0</v>
      </c>
      <c r="C61" s="50" t="s">
        <v>51</v>
      </c>
      <c r="D61" s="56"/>
      <c r="E61" s="19">
        <v>1.0</v>
      </c>
      <c r="F61" s="19">
        <v>4.0</v>
      </c>
      <c r="G61" s="19">
        <v>3.0</v>
      </c>
      <c r="H61" s="19">
        <v>0.0</v>
      </c>
      <c r="I61" s="19">
        <v>0.0</v>
      </c>
      <c r="J61" s="19">
        <v>1.0</v>
      </c>
      <c r="K61" s="19">
        <v>0.0</v>
      </c>
      <c r="L61" s="19">
        <v>0.0</v>
      </c>
      <c r="M61" s="19">
        <v>1.0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3">
        <f t="shared" si="16"/>
        <v>10</v>
      </c>
    </row>
    <row r="62" ht="12.75" customHeight="1">
      <c r="A62" s="18"/>
      <c r="B62" s="55">
        <v>5.0</v>
      </c>
      <c r="C62" s="50" t="s">
        <v>52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3">
        <f t="shared" si="16"/>
        <v>1</v>
      </c>
    </row>
    <row r="63" ht="12.75" customHeight="1">
      <c r="A63" s="18"/>
      <c r="B63" s="55">
        <v>6.0</v>
      </c>
      <c r="C63" s="50" t="s">
        <v>53</v>
      </c>
      <c r="D63" s="57"/>
      <c r="E63" s="19">
        <v>0.0</v>
      </c>
      <c r="F63" s="19">
        <v>1.0</v>
      </c>
      <c r="G63" s="19">
        <v>0.0</v>
      </c>
      <c r="H63" s="19">
        <v>1.0</v>
      </c>
      <c r="I63" s="19">
        <v>1.0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1.0</v>
      </c>
      <c r="R63" s="19">
        <v>0.0</v>
      </c>
      <c r="S63" s="13">
        <f t="shared" si="16"/>
        <v>6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2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R67" si="17">SUM(E57:E64)</f>
        <v>44</v>
      </c>
      <c r="F67" s="13">
        <f t="shared" si="17"/>
        <v>57</v>
      </c>
      <c r="G67" s="13">
        <f t="shared" si="17"/>
        <v>44</v>
      </c>
      <c r="H67" s="13">
        <f t="shared" si="17"/>
        <v>34</v>
      </c>
      <c r="I67" s="13">
        <f t="shared" si="17"/>
        <v>17</v>
      </c>
      <c r="J67" s="13">
        <f t="shared" si="17"/>
        <v>19</v>
      </c>
      <c r="K67" s="13">
        <f t="shared" si="17"/>
        <v>9</v>
      </c>
      <c r="L67" s="13">
        <f t="shared" si="17"/>
        <v>19</v>
      </c>
      <c r="M67" s="13">
        <f t="shared" si="17"/>
        <v>30</v>
      </c>
      <c r="N67" s="13">
        <f t="shared" si="17"/>
        <v>19</v>
      </c>
      <c r="O67" s="13">
        <f t="shared" si="17"/>
        <v>22</v>
      </c>
      <c r="P67" s="13">
        <f t="shared" si="17"/>
        <v>14</v>
      </c>
      <c r="Q67" s="13">
        <f t="shared" si="17"/>
        <v>7</v>
      </c>
      <c r="R67" s="13">
        <f t="shared" si="17"/>
        <v>24</v>
      </c>
      <c r="S67" s="13">
        <f>SUM(E67:R67)</f>
        <v>359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4.0</v>
      </c>
      <c r="F69" s="19">
        <v>8.0</v>
      </c>
      <c r="G69" s="19">
        <v>13.0</v>
      </c>
      <c r="H69" s="19">
        <v>12.0</v>
      </c>
      <c r="I69" s="19">
        <v>14.0</v>
      </c>
      <c r="J69" s="19">
        <v>10.0</v>
      </c>
      <c r="K69" s="19">
        <v>10.0</v>
      </c>
      <c r="L69" s="19">
        <v>6.0</v>
      </c>
      <c r="M69" s="19">
        <v>13.0</v>
      </c>
      <c r="N69" s="19">
        <v>5.0</v>
      </c>
      <c r="O69" s="19">
        <v>7.0</v>
      </c>
      <c r="P69" s="19">
        <v>3.0</v>
      </c>
      <c r="Q69" s="19">
        <v>4.0</v>
      </c>
      <c r="R69" s="19">
        <v>14.0</v>
      </c>
      <c r="S69" s="13">
        <f t="shared" ref="S69:S76" si="18">SUM(E69:R69)</f>
        <v>123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4.0</v>
      </c>
      <c r="F70" s="19">
        <v>15.0</v>
      </c>
      <c r="G70" s="19">
        <v>9.0</v>
      </c>
      <c r="H70" s="19">
        <v>10.0</v>
      </c>
      <c r="I70" s="19">
        <v>11.0</v>
      </c>
      <c r="J70" s="19">
        <v>8.0</v>
      </c>
      <c r="K70" s="19">
        <v>140.0</v>
      </c>
      <c r="L70" s="19">
        <v>48.0</v>
      </c>
      <c r="M70" s="19">
        <v>21.0</v>
      </c>
      <c r="N70" s="19">
        <v>7.0</v>
      </c>
      <c r="O70" s="19">
        <v>21.0</v>
      </c>
      <c r="P70" s="19">
        <v>26.0</v>
      </c>
      <c r="Q70" s="19">
        <v>25.0</v>
      </c>
      <c r="R70" s="19">
        <v>41.0</v>
      </c>
      <c r="S70" s="13">
        <f t="shared" si="18"/>
        <v>386</v>
      </c>
    </row>
    <row r="71" ht="12.75" customHeight="1">
      <c r="A71" s="18"/>
      <c r="B71" s="55">
        <v>2.0</v>
      </c>
      <c r="C71" s="50" t="s">
        <v>57</v>
      </c>
      <c r="D71" s="57"/>
      <c r="E71" s="19">
        <v>2.0</v>
      </c>
      <c r="F71" s="19">
        <v>5.0</v>
      </c>
      <c r="G71" s="19">
        <v>1.0</v>
      </c>
      <c r="H71" s="19">
        <v>1.0</v>
      </c>
      <c r="I71" s="19">
        <v>1.0</v>
      </c>
      <c r="J71" s="19">
        <v>3.0</v>
      </c>
      <c r="K71" s="19">
        <v>4.0</v>
      </c>
      <c r="L71" s="19">
        <v>3.0</v>
      </c>
      <c r="M71" s="19">
        <v>1.0</v>
      </c>
      <c r="N71" s="19">
        <v>0.0</v>
      </c>
      <c r="O71" s="19">
        <v>2.0</v>
      </c>
      <c r="P71" s="19">
        <v>0.0</v>
      </c>
      <c r="Q71" s="19">
        <v>0.0</v>
      </c>
      <c r="R71" s="19">
        <v>4.0</v>
      </c>
      <c r="S71" s="13">
        <f t="shared" si="18"/>
        <v>27</v>
      </c>
    </row>
    <row r="72" ht="12.75" customHeight="1">
      <c r="A72" s="18"/>
      <c r="B72" s="55">
        <v>3.0</v>
      </c>
      <c r="C72" s="50" t="s">
        <v>58</v>
      </c>
      <c r="D72" s="57"/>
      <c r="E72" s="19">
        <v>10.0</v>
      </c>
      <c r="F72" s="19">
        <v>16.0</v>
      </c>
      <c r="G72" s="19">
        <v>23.0</v>
      </c>
      <c r="H72" s="19">
        <v>1.0</v>
      </c>
      <c r="I72" s="19">
        <v>22.0</v>
      </c>
      <c r="J72" s="19">
        <v>40.0</v>
      </c>
      <c r="K72" s="19">
        <v>0.0</v>
      </c>
      <c r="L72" s="19">
        <v>2.0</v>
      </c>
      <c r="M72" s="19">
        <v>3.0</v>
      </c>
      <c r="N72" s="19">
        <v>2.0</v>
      </c>
      <c r="O72" s="19">
        <v>0.0</v>
      </c>
      <c r="P72" s="19">
        <v>0.0</v>
      </c>
      <c r="Q72" s="19">
        <v>0.0</v>
      </c>
      <c r="R72" s="19">
        <v>3.0</v>
      </c>
      <c r="S72" s="13">
        <f t="shared" si="18"/>
        <v>122</v>
      </c>
    </row>
    <row r="73" ht="12.75" customHeight="1">
      <c r="A73" s="18"/>
      <c r="B73" s="55">
        <v>4.0</v>
      </c>
      <c r="C73" s="50" t="s">
        <v>59</v>
      </c>
      <c r="D73" s="57"/>
      <c r="E73" s="19">
        <v>0.0</v>
      </c>
      <c r="F73" s="19">
        <v>2.0</v>
      </c>
      <c r="G73" s="19">
        <v>1.0</v>
      </c>
      <c r="H73" s="19">
        <v>1.0</v>
      </c>
      <c r="I73" s="19">
        <v>0.0</v>
      </c>
      <c r="J73" s="19">
        <v>2.0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0.0</v>
      </c>
      <c r="R73" s="19">
        <v>3.0</v>
      </c>
      <c r="S73" s="13">
        <f t="shared" si="18"/>
        <v>11</v>
      </c>
    </row>
    <row r="74" ht="12.75" customHeight="1">
      <c r="A74" s="18"/>
      <c r="B74" s="55">
        <v>5.0</v>
      </c>
      <c r="C74" s="50" t="s">
        <v>60</v>
      </c>
      <c r="D74" s="57"/>
      <c r="E74" s="19">
        <v>1.0</v>
      </c>
      <c r="F74" s="19">
        <v>1.0</v>
      </c>
      <c r="G74" s="19">
        <v>3.0</v>
      </c>
      <c r="H74" s="19">
        <v>4.0</v>
      </c>
      <c r="I74" s="19">
        <v>4.0</v>
      </c>
      <c r="J74" s="19">
        <v>4.0</v>
      </c>
      <c r="K74" s="19">
        <v>0.0</v>
      </c>
      <c r="L74" s="19">
        <v>0.0</v>
      </c>
      <c r="M74" s="19">
        <v>2.0</v>
      </c>
      <c r="N74" s="19">
        <v>2.0</v>
      </c>
      <c r="O74" s="19">
        <v>1.0</v>
      </c>
      <c r="P74" s="19">
        <v>1.0</v>
      </c>
      <c r="Q74" s="19">
        <v>0.0</v>
      </c>
      <c r="R74" s="19">
        <v>0.0</v>
      </c>
      <c r="S74" s="13">
        <f t="shared" si="18"/>
        <v>23</v>
      </c>
    </row>
    <row r="75" ht="12.75" customHeight="1">
      <c r="A75" s="18"/>
      <c r="B75" s="55">
        <v>6.0</v>
      </c>
      <c r="C75" s="50" t="s">
        <v>61</v>
      </c>
      <c r="D75" s="57"/>
      <c r="E75" s="19">
        <v>1.0</v>
      </c>
      <c r="F75" s="19">
        <v>0.0</v>
      </c>
      <c r="G75" s="19">
        <v>1.0</v>
      </c>
      <c r="H75" s="19">
        <v>4.0</v>
      </c>
      <c r="I75" s="19">
        <v>2.0</v>
      </c>
      <c r="J75" s="19">
        <v>5.0</v>
      </c>
      <c r="K75" s="19">
        <v>0.0</v>
      </c>
      <c r="L75" s="19">
        <v>0.0</v>
      </c>
      <c r="M75" s="19">
        <v>5.0</v>
      </c>
      <c r="N75" s="19">
        <v>2.0</v>
      </c>
      <c r="O75" s="19">
        <v>0.0</v>
      </c>
      <c r="P75" s="19">
        <v>1.0</v>
      </c>
      <c r="Q75" s="19">
        <v>0.0</v>
      </c>
      <c r="R75" s="19">
        <v>1.0</v>
      </c>
      <c r="S75" s="13">
        <f t="shared" si="18"/>
        <v>22</v>
      </c>
    </row>
    <row r="76" ht="12.75" customHeight="1">
      <c r="A76" s="18"/>
      <c r="B76" s="55">
        <v>7.0</v>
      </c>
      <c r="C76" s="50" t="s">
        <v>62</v>
      </c>
      <c r="D76" s="57"/>
      <c r="E76" s="19">
        <v>3.0</v>
      </c>
      <c r="F76" s="19">
        <v>0.0</v>
      </c>
      <c r="G76" s="19">
        <v>1.0</v>
      </c>
      <c r="H76" s="19">
        <v>0.0</v>
      </c>
      <c r="I76" s="19">
        <v>1.0</v>
      </c>
      <c r="J76" s="19">
        <v>0.0</v>
      </c>
      <c r="K76" s="19">
        <v>0.0</v>
      </c>
      <c r="L76" s="19">
        <v>1.0</v>
      </c>
      <c r="M76" s="19">
        <v>1.0</v>
      </c>
      <c r="N76" s="19">
        <v>0.0</v>
      </c>
      <c r="O76" s="19">
        <v>1.0</v>
      </c>
      <c r="P76" s="19">
        <v>0.0</v>
      </c>
      <c r="Q76" s="19">
        <v>0.0</v>
      </c>
      <c r="R76" s="19">
        <v>1.0</v>
      </c>
      <c r="S76" s="13">
        <f t="shared" si="18"/>
        <v>9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R79" si="19">SUM(E69:E76)</f>
        <v>25</v>
      </c>
      <c r="F79" s="13">
        <f t="shared" si="19"/>
        <v>47</v>
      </c>
      <c r="G79" s="13">
        <f t="shared" si="19"/>
        <v>52</v>
      </c>
      <c r="H79" s="13">
        <f t="shared" si="19"/>
        <v>33</v>
      </c>
      <c r="I79" s="13">
        <f t="shared" si="19"/>
        <v>55</v>
      </c>
      <c r="J79" s="13">
        <f t="shared" si="19"/>
        <v>72</v>
      </c>
      <c r="K79" s="13">
        <f t="shared" si="19"/>
        <v>154</v>
      </c>
      <c r="L79" s="13">
        <f t="shared" si="19"/>
        <v>61</v>
      </c>
      <c r="M79" s="13">
        <f t="shared" si="19"/>
        <v>46</v>
      </c>
      <c r="N79" s="13">
        <f t="shared" si="19"/>
        <v>18</v>
      </c>
      <c r="O79" s="13">
        <f t="shared" si="19"/>
        <v>32</v>
      </c>
      <c r="P79" s="13">
        <f t="shared" si="19"/>
        <v>32</v>
      </c>
      <c r="Q79" s="13">
        <f t="shared" si="19"/>
        <v>29</v>
      </c>
      <c r="R79" s="13">
        <f t="shared" si="19"/>
        <v>67</v>
      </c>
      <c r="S79" s="13">
        <f>SUM(E79:R79)</f>
        <v>723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2.0</v>
      </c>
      <c r="F81" s="19">
        <v>2.0</v>
      </c>
      <c r="G81" s="19">
        <v>7.0</v>
      </c>
      <c r="H81" s="19">
        <v>6.0</v>
      </c>
      <c r="I81" s="19">
        <v>3.0</v>
      </c>
      <c r="J81" s="19">
        <v>5.0</v>
      </c>
      <c r="K81" s="19">
        <v>0.0</v>
      </c>
      <c r="L81" s="19">
        <v>1.0</v>
      </c>
      <c r="M81" s="19">
        <v>2.0</v>
      </c>
      <c r="N81" s="19">
        <v>1.0</v>
      </c>
      <c r="O81" s="19">
        <v>3.0</v>
      </c>
      <c r="P81" s="19">
        <v>6.0</v>
      </c>
      <c r="Q81" s="19">
        <v>5.0</v>
      </c>
      <c r="R81" s="19">
        <v>1.0</v>
      </c>
      <c r="S81" s="13">
        <f t="shared" ref="S81:S88" si="20">SUM(E81:R81)</f>
        <v>44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1.0</v>
      </c>
      <c r="F82" s="19">
        <v>9.0</v>
      </c>
      <c r="G82" s="19">
        <v>2.0</v>
      </c>
      <c r="H82" s="19">
        <v>3.0</v>
      </c>
      <c r="I82" s="19">
        <v>16.0</v>
      </c>
      <c r="J82" s="19">
        <v>8.0</v>
      </c>
      <c r="K82" s="19">
        <v>0.0</v>
      </c>
      <c r="L82" s="19">
        <v>2.0</v>
      </c>
      <c r="M82" s="19">
        <v>10.0</v>
      </c>
      <c r="N82" s="19">
        <v>20.0</v>
      </c>
      <c r="O82" s="19">
        <v>19.0</v>
      </c>
      <c r="P82" s="19">
        <v>43.0</v>
      </c>
      <c r="Q82" s="19">
        <v>47.0</v>
      </c>
      <c r="R82" s="19">
        <v>2.0</v>
      </c>
      <c r="S82" s="13">
        <f t="shared" si="20"/>
        <v>182</v>
      </c>
    </row>
    <row r="83" ht="12.75" customHeight="1">
      <c r="A83" s="18"/>
      <c r="B83" s="55">
        <v>2.0</v>
      </c>
      <c r="C83" s="50" t="s">
        <v>65</v>
      </c>
      <c r="D83" s="57"/>
      <c r="E83" s="19">
        <v>2.0</v>
      </c>
      <c r="F83" s="19">
        <v>3.0</v>
      </c>
      <c r="G83" s="19">
        <v>5.0</v>
      </c>
      <c r="H83" s="19">
        <v>2.0</v>
      </c>
      <c r="I83" s="19">
        <v>4.0</v>
      </c>
      <c r="J83" s="19">
        <v>0.0</v>
      </c>
      <c r="K83" s="19">
        <v>0.0</v>
      </c>
      <c r="L83" s="19">
        <v>1.0</v>
      </c>
      <c r="M83" s="19">
        <v>5.0</v>
      </c>
      <c r="N83" s="19">
        <v>6.0</v>
      </c>
      <c r="O83" s="19">
        <v>1.0</v>
      </c>
      <c r="P83" s="19">
        <v>3.0</v>
      </c>
      <c r="Q83" s="19">
        <v>2.0</v>
      </c>
      <c r="R83" s="19">
        <v>1.0</v>
      </c>
      <c r="S83" s="13">
        <f t="shared" si="20"/>
        <v>35</v>
      </c>
    </row>
    <row r="84" ht="12.75" customHeight="1">
      <c r="A84" s="18"/>
      <c r="B84" s="55">
        <v>3.0</v>
      </c>
      <c r="C84" s="50" t="s">
        <v>66</v>
      </c>
      <c r="D84" s="57"/>
      <c r="E84" s="19">
        <v>0.0</v>
      </c>
      <c r="F84" s="19">
        <v>0.0</v>
      </c>
      <c r="G84" s="19">
        <v>2.0</v>
      </c>
      <c r="H84" s="19">
        <v>1.0</v>
      </c>
      <c r="I84" s="19">
        <v>1.0</v>
      </c>
      <c r="J84" s="19">
        <v>4.0</v>
      </c>
      <c r="K84" s="19">
        <v>0.0</v>
      </c>
      <c r="L84" s="19">
        <v>1.0</v>
      </c>
      <c r="M84" s="19">
        <v>0.0</v>
      </c>
      <c r="N84" s="19">
        <v>1.0</v>
      </c>
      <c r="O84" s="19">
        <v>0.0</v>
      </c>
      <c r="P84" s="19">
        <v>1.0</v>
      </c>
      <c r="Q84" s="19">
        <v>0.0</v>
      </c>
      <c r="R84" s="19">
        <v>0.0</v>
      </c>
      <c r="S84" s="13">
        <f t="shared" si="20"/>
        <v>11</v>
      </c>
    </row>
    <row r="85" ht="12.75" customHeight="1">
      <c r="A85" s="18"/>
      <c r="B85" s="55">
        <v>4.0</v>
      </c>
      <c r="C85" s="50" t="s">
        <v>67</v>
      </c>
      <c r="D85" s="57"/>
      <c r="E85" s="19">
        <v>0.0</v>
      </c>
      <c r="F85" s="19">
        <v>1.0</v>
      </c>
      <c r="G85" s="19">
        <v>2.0</v>
      </c>
      <c r="H85" s="19">
        <v>1.0</v>
      </c>
      <c r="I85" s="19">
        <v>1.0</v>
      </c>
      <c r="J85" s="19">
        <v>0.0</v>
      </c>
      <c r="K85" s="19">
        <v>0.0</v>
      </c>
      <c r="L85" s="19">
        <v>4.0</v>
      </c>
      <c r="M85" s="19">
        <v>4.0</v>
      </c>
      <c r="N85" s="19">
        <v>1.0</v>
      </c>
      <c r="O85" s="19">
        <v>0.0</v>
      </c>
      <c r="P85" s="19">
        <v>1.0</v>
      </c>
      <c r="Q85" s="19">
        <v>1.0</v>
      </c>
      <c r="R85" s="19">
        <v>0.0</v>
      </c>
      <c r="S85" s="13">
        <f t="shared" si="20"/>
        <v>16</v>
      </c>
    </row>
    <row r="86" ht="12.75" customHeight="1">
      <c r="A86" s="18"/>
      <c r="B86" s="55">
        <v>5.0</v>
      </c>
      <c r="C86" s="50" t="s">
        <v>68</v>
      </c>
      <c r="D86" s="57"/>
      <c r="E86" s="19">
        <v>0.0</v>
      </c>
      <c r="F86" s="19">
        <v>1.0</v>
      </c>
      <c r="G86" s="19">
        <v>1.0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2.0</v>
      </c>
      <c r="P86" s="19">
        <v>0.0</v>
      </c>
      <c r="Q86" s="19">
        <v>4.0</v>
      </c>
      <c r="R86" s="19">
        <v>0.0</v>
      </c>
      <c r="S86" s="13">
        <f t="shared" si="20"/>
        <v>9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3">
        <f t="shared" si="20"/>
        <v>1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R91" si="21">SUM(E81:E88)</f>
        <v>5</v>
      </c>
      <c r="F91" s="13">
        <f t="shared" si="21"/>
        <v>16</v>
      </c>
      <c r="G91" s="13">
        <f t="shared" si="21"/>
        <v>19</v>
      </c>
      <c r="H91" s="13">
        <f t="shared" si="21"/>
        <v>14</v>
      </c>
      <c r="I91" s="13">
        <f t="shared" si="21"/>
        <v>25</v>
      </c>
      <c r="J91" s="13">
        <f t="shared" si="21"/>
        <v>17</v>
      </c>
      <c r="K91" s="13">
        <f t="shared" si="21"/>
        <v>0</v>
      </c>
      <c r="L91" s="13">
        <f t="shared" si="21"/>
        <v>9</v>
      </c>
      <c r="M91" s="13">
        <f t="shared" si="21"/>
        <v>21</v>
      </c>
      <c r="N91" s="13">
        <f t="shared" si="21"/>
        <v>29</v>
      </c>
      <c r="O91" s="13">
        <f t="shared" si="21"/>
        <v>25</v>
      </c>
      <c r="P91" s="13">
        <f t="shared" si="21"/>
        <v>54</v>
      </c>
      <c r="Q91" s="13">
        <f t="shared" si="21"/>
        <v>60</v>
      </c>
      <c r="R91" s="13">
        <f t="shared" si="21"/>
        <v>4</v>
      </c>
      <c r="S91" s="13">
        <f>SUM(E91:R91)</f>
        <v>298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0.0</v>
      </c>
      <c r="F93" s="19">
        <v>0.0</v>
      </c>
      <c r="G93" s="19">
        <v>2.0</v>
      </c>
      <c r="H93" s="19">
        <v>0.0</v>
      </c>
      <c r="I93" s="19">
        <v>1.0</v>
      </c>
      <c r="J93" s="19">
        <v>0.0</v>
      </c>
      <c r="K93" s="19">
        <v>0.0</v>
      </c>
      <c r="L93" s="19">
        <v>0.0</v>
      </c>
      <c r="M93" s="19">
        <v>1.0</v>
      </c>
      <c r="N93" s="19">
        <v>0.0</v>
      </c>
      <c r="O93" s="19">
        <v>0.0</v>
      </c>
      <c r="P93" s="19">
        <v>1.0</v>
      </c>
      <c r="Q93" s="19">
        <v>0.0</v>
      </c>
      <c r="R93" s="19">
        <v>0.0</v>
      </c>
      <c r="S93" s="13">
        <f t="shared" ref="S93:S100" si="22">SUM(E93:R93)</f>
        <v>5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0.0</v>
      </c>
      <c r="F94" s="19">
        <v>1.0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3">
        <f t="shared" si="22"/>
        <v>1</v>
      </c>
    </row>
    <row r="95" ht="12.75" customHeight="1">
      <c r="A95" s="18"/>
      <c r="B95" s="55">
        <v>2.0</v>
      </c>
      <c r="C95" s="50" t="s">
        <v>74</v>
      </c>
      <c r="D95" s="57"/>
      <c r="E95" s="19">
        <v>3.0</v>
      </c>
      <c r="F95" s="19">
        <v>0.0</v>
      </c>
      <c r="G95" s="19">
        <v>2.0</v>
      </c>
      <c r="H95" s="19">
        <v>1.0</v>
      </c>
      <c r="I95" s="19">
        <v>2.0</v>
      </c>
      <c r="J95" s="19">
        <v>7.0</v>
      </c>
      <c r="K95" s="19">
        <v>0.0</v>
      </c>
      <c r="L95" s="19">
        <v>4.0</v>
      </c>
      <c r="M95" s="19">
        <v>2.0</v>
      </c>
      <c r="N95" s="19">
        <v>3.0</v>
      </c>
      <c r="O95" s="19">
        <v>0.0</v>
      </c>
      <c r="P95" s="19">
        <v>2.0</v>
      </c>
      <c r="Q95" s="19">
        <v>0.0</v>
      </c>
      <c r="R95" s="19">
        <v>0.0</v>
      </c>
      <c r="S95" s="13">
        <f t="shared" si="22"/>
        <v>26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0</v>
      </c>
    </row>
    <row r="97" ht="12.75" customHeight="1">
      <c r="A97" s="18"/>
      <c r="B97" s="55">
        <v>4.0</v>
      </c>
      <c r="C97" s="50" t="s">
        <v>76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3">
        <f t="shared" si="22"/>
        <v>2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3">
        <f t="shared" si="22"/>
        <v>1</v>
      </c>
    </row>
    <row r="99" ht="12.75" customHeight="1">
      <c r="A99" s="18"/>
      <c r="B99" s="55">
        <v>6.0</v>
      </c>
      <c r="C99" s="50" t="s">
        <v>78</v>
      </c>
      <c r="D99" s="57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1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R103" si="23">SUM(E93:E100)</f>
        <v>4</v>
      </c>
      <c r="F103" s="13">
        <f t="shared" si="23"/>
        <v>1</v>
      </c>
      <c r="G103" s="13">
        <f t="shared" si="23"/>
        <v>4</v>
      </c>
      <c r="H103" s="13">
        <f t="shared" si="23"/>
        <v>1</v>
      </c>
      <c r="I103" s="13">
        <f t="shared" si="23"/>
        <v>3</v>
      </c>
      <c r="J103" s="13">
        <f t="shared" si="23"/>
        <v>7</v>
      </c>
      <c r="K103" s="13">
        <f t="shared" si="23"/>
        <v>0</v>
      </c>
      <c r="L103" s="13">
        <f t="shared" si="23"/>
        <v>4</v>
      </c>
      <c r="M103" s="13">
        <f t="shared" si="23"/>
        <v>4</v>
      </c>
      <c r="N103" s="13">
        <f t="shared" si="23"/>
        <v>3</v>
      </c>
      <c r="O103" s="13">
        <f t="shared" si="23"/>
        <v>1</v>
      </c>
      <c r="P103" s="13">
        <f t="shared" si="23"/>
        <v>3</v>
      </c>
      <c r="Q103" s="13">
        <f t="shared" si="23"/>
        <v>1</v>
      </c>
      <c r="R103" s="13">
        <f t="shared" si="23"/>
        <v>0</v>
      </c>
      <c r="S103" s="13">
        <f>SUM(E103:R103)</f>
        <v>36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2.0</v>
      </c>
      <c r="F105" s="19">
        <v>1.0</v>
      </c>
      <c r="G105" s="19">
        <v>1.0</v>
      </c>
      <c r="H105" s="19">
        <v>1.0</v>
      </c>
      <c r="I105" s="19">
        <v>6.0</v>
      </c>
      <c r="J105" s="19">
        <v>4.0</v>
      </c>
      <c r="K105" s="19">
        <v>0.0</v>
      </c>
      <c r="L105" s="19">
        <v>1.0</v>
      </c>
      <c r="M105" s="19">
        <v>1.0</v>
      </c>
      <c r="N105" s="19">
        <v>2.0</v>
      </c>
      <c r="O105" s="19">
        <v>1.0</v>
      </c>
      <c r="P105" s="19">
        <v>2.0</v>
      </c>
      <c r="Q105" s="19">
        <v>0.0</v>
      </c>
      <c r="R105" s="19">
        <v>4.0</v>
      </c>
      <c r="S105" s="13">
        <f t="shared" ref="S105:S112" si="24">SUM(E105:R105)</f>
        <v>26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1.0</v>
      </c>
      <c r="F106" s="19">
        <v>1.0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3">
        <f t="shared" si="24"/>
        <v>4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0.0</v>
      </c>
      <c r="F107" s="19">
        <v>0.0</v>
      </c>
      <c r="G107" s="19">
        <v>0.0</v>
      </c>
      <c r="H107" s="19">
        <v>2.0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4"/>
        <v>2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0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3">
        <f t="shared" si="24"/>
        <v>0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2.0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2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1.0</v>
      </c>
      <c r="J112" s="19">
        <v>0.0</v>
      </c>
      <c r="K112" s="19">
        <v>0.0</v>
      </c>
      <c r="L112" s="19">
        <v>0.0</v>
      </c>
      <c r="M112" s="19">
        <v>0.0</v>
      </c>
      <c r="N112" s="19">
        <v>1.0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2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R115" si="25">SUM(E105:E112)</f>
        <v>3</v>
      </c>
      <c r="F115" s="13">
        <f t="shared" si="25"/>
        <v>2</v>
      </c>
      <c r="G115" s="13">
        <f t="shared" si="25"/>
        <v>3</v>
      </c>
      <c r="H115" s="13">
        <f t="shared" si="25"/>
        <v>4</v>
      </c>
      <c r="I115" s="13">
        <f t="shared" si="25"/>
        <v>7</v>
      </c>
      <c r="J115" s="13">
        <f t="shared" si="25"/>
        <v>4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4</v>
      </c>
      <c r="O115" s="13">
        <f t="shared" si="25"/>
        <v>1</v>
      </c>
      <c r="P115" s="13">
        <f t="shared" si="25"/>
        <v>2</v>
      </c>
      <c r="Q115" s="13">
        <f t="shared" si="25"/>
        <v>0</v>
      </c>
      <c r="R115" s="13">
        <f t="shared" si="25"/>
        <v>4</v>
      </c>
      <c r="S115" s="13">
        <f>SUM(E115:R115)</f>
        <v>36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1.0</v>
      </c>
      <c r="H117" s="19">
        <v>2.0</v>
      </c>
      <c r="I117" s="19">
        <v>0.0</v>
      </c>
      <c r="J117" s="19">
        <v>0.0</v>
      </c>
      <c r="K117" s="19">
        <v>0.0</v>
      </c>
      <c r="L117" s="19">
        <v>0.0</v>
      </c>
      <c r="M117" s="19">
        <v>2.0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3">
        <f t="shared" ref="S117:S120" si="26">SUM(E117:R117)</f>
        <v>7</v>
      </c>
      <c r="T117" s="5"/>
      <c r="U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2.0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3">
        <f t="shared" si="26"/>
        <v>3</v>
      </c>
      <c r="T118" s="5"/>
      <c r="U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3">
        <f t="shared" si="26"/>
        <v>0</v>
      </c>
      <c r="T119" s="5"/>
      <c r="U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3">
        <f t="shared" si="26"/>
        <v>1</v>
      </c>
      <c r="T120" s="5"/>
      <c r="U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73"/>
      <c r="T121" s="5"/>
      <c r="U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73"/>
      <c r="T122" s="5"/>
      <c r="U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73"/>
      <c r="T123" s="5"/>
      <c r="U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73"/>
      <c r="T124" s="5"/>
      <c r="U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73"/>
      <c r="T125" s="5"/>
      <c r="U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73"/>
      <c r="T126" s="5"/>
      <c r="U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R127" si="27">SUM(E117:E120)</f>
        <v>1</v>
      </c>
      <c r="F127" s="58">
        <f t="shared" si="27"/>
        <v>0</v>
      </c>
      <c r="G127" s="58">
        <f t="shared" si="27"/>
        <v>1</v>
      </c>
      <c r="H127" s="58">
        <f t="shared" si="27"/>
        <v>4</v>
      </c>
      <c r="I127" s="58">
        <f t="shared" si="27"/>
        <v>1</v>
      </c>
      <c r="J127" s="58">
        <f t="shared" si="27"/>
        <v>1</v>
      </c>
      <c r="K127" s="58">
        <f t="shared" si="27"/>
        <v>0</v>
      </c>
      <c r="L127" s="58">
        <f t="shared" si="27"/>
        <v>0</v>
      </c>
      <c r="M127" s="58">
        <f t="shared" si="27"/>
        <v>2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0</v>
      </c>
      <c r="R127" s="58">
        <f t="shared" si="27"/>
        <v>1</v>
      </c>
      <c r="S127" s="13">
        <f>SUM(E127:R127)</f>
        <v>11</v>
      </c>
      <c r="T127" s="5"/>
      <c r="U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5"/>
      <c r="U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3.0</v>
      </c>
      <c r="G129" s="19">
        <v>0.0</v>
      </c>
      <c r="H129" s="19">
        <v>1.0</v>
      </c>
      <c r="I129" s="19">
        <v>1.0</v>
      </c>
      <c r="J129" s="19">
        <v>1.0</v>
      </c>
      <c r="K129" s="19">
        <v>0.0</v>
      </c>
      <c r="L129" s="19">
        <v>2.0</v>
      </c>
      <c r="M129" s="19">
        <v>0.0</v>
      </c>
      <c r="N129" s="19">
        <v>2.0</v>
      </c>
      <c r="O129" s="19">
        <v>0.0</v>
      </c>
      <c r="P129" s="19">
        <v>0.0</v>
      </c>
      <c r="Q129" s="19">
        <v>1.0</v>
      </c>
      <c r="R129" s="19">
        <v>3.0</v>
      </c>
      <c r="S129" s="13">
        <f t="shared" ref="S129:S136" si="28">SUM(E129:R129)</f>
        <v>14</v>
      </c>
      <c r="T129" s="5"/>
      <c r="U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1.0</v>
      </c>
      <c r="F130" s="19">
        <v>1.0</v>
      </c>
      <c r="G130" s="19">
        <v>0.0</v>
      </c>
      <c r="H130" s="19">
        <v>1.0</v>
      </c>
      <c r="I130" s="19">
        <v>0.0</v>
      </c>
      <c r="J130" s="19">
        <v>1.0</v>
      </c>
      <c r="K130" s="19">
        <v>0.0</v>
      </c>
      <c r="L130" s="19">
        <v>2.0</v>
      </c>
      <c r="M130" s="19">
        <v>7.0</v>
      </c>
      <c r="N130" s="19">
        <v>0.0</v>
      </c>
      <c r="O130" s="19">
        <v>5.0</v>
      </c>
      <c r="P130" s="19">
        <v>3.0</v>
      </c>
      <c r="Q130" s="19">
        <v>2.0</v>
      </c>
      <c r="R130" s="19">
        <v>3.0</v>
      </c>
      <c r="S130" s="13">
        <f t="shared" si="28"/>
        <v>26</v>
      </c>
      <c r="T130" s="1"/>
      <c r="U130" s="1"/>
    </row>
    <row r="131" ht="12.75" customHeight="1">
      <c r="A131" s="18"/>
      <c r="B131" s="55">
        <v>2.0</v>
      </c>
      <c r="C131" s="50" t="s">
        <v>97</v>
      </c>
      <c r="D131" s="56"/>
      <c r="E131" s="19">
        <v>4.0</v>
      </c>
      <c r="F131" s="19">
        <v>2.0</v>
      </c>
      <c r="G131" s="19">
        <v>0.0</v>
      </c>
      <c r="H131" s="19">
        <v>1.0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3">
        <f t="shared" si="28"/>
        <v>9</v>
      </c>
      <c r="T131" s="52"/>
      <c r="U131" s="52"/>
    </row>
    <row r="132" ht="12.75" customHeight="1">
      <c r="A132" s="18"/>
      <c r="B132" s="55">
        <v>3.0</v>
      </c>
      <c r="C132" s="50" t="s">
        <v>98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3">
        <f t="shared" si="28"/>
        <v>1</v>
      </c>
      <c r="T132" s="5"/>
      <c r="U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28"/>
        <v>0</v>
      </c>
      <c r="T133" s="5"/>
      <c r="U133" s="5"/>
    </row>
    <row r="134" ht="12.75" customHeight="1">
      <c r="A134" s="18"/>
      <c r="B134" s="55">
        <v>5.0</v>
      </c>
      <c r="C134" s="50" t="s">
        <v>100</v>
      </c>
      <c r="D134" s="56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1</v>
      </c>
      <c r="T134" s="5"/>
      <c r="U134" s="5"/>
    </row>
    <row r="135" ht="12.75" customHeight="1">
      <c r="A135" s="18"/>
      <c r="B135" s="55">
        <v>6.0</v>
      </c>
      <c r="C135" s="50" t="s">
        <v>101</v>
      </c>
      <c r="D135" s="57"/>
      <c r="E135" s="19">
        <v>0.0</v>
      </c>
      <c r="F135" s="19">
        <v>0.0</v>
      </c>
      <c r="G135" s="19">
        <v>1.0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1</v>
      </c>
      <c r="T135" s="5"/>
      <c r="U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  <c r="T136" s="5"/>
      <c r="U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73"/>
      <c r="T137" s="5"/>
      <c r="U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73"/>
      <c r="T138" s="5"/>
      <c r="U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R139" si="29">SUM(E129:E136)</f>
        <v>6</v>
      </c>
      <c r="F139" s="13">
        <f t="shared" si="29"/>
        <v>6</v>
      </c>
      <c r="G139" s="13">
        <f t="shared" si="29"/>
        <v>1</v>
      </c>
      <c r="H139" s="13">
        <f t="shared" si="29"/>
        <v>3</v>
      </c>
      <c r="I139" s="13">
        <f t="shared" si="29"/>
        <v>1</v>
      </c>
      <c r="J139" s="13">
        <f t="shared" si="29"/>
        <v>3</v>
      </c>
      <c r="K139" s="13">
        <f t="shared" si="29"/>
        <v>0</v>
      </c>
      <c r="L139" s="13">
        <f t="shared" si="29"/>
        <v>4</v>
      </c>
      <c r="M139" s="13">
        <f t="shared" si="29"/>
        <v>7</v>
      </c>
      <c r="N139" s="13">
        <f t="shared" si="29"/>
        <v>2</v>
      </c>
      <c r="O139" s="13">
        <f t="shared" si="29"/>
        <v>7</v>
      </c>
      <c r="P139" s="13">
        <f t="shared" si="29"/>
        <v>3</v>
      </c>
      <c r="Q139" s="13">
        <f t="shared" si="29"/>
        <v>3</v>
      </c>
      <c r="R139" s="13">
        <f t="shared" si="29"/>
        <v>6</v>
      </c>
      <c r="S139" s="13">
        <f>SUM(E139:R139)</f>
        <v>52</v>
      </c>
      <c r="T139" s="5"/>
      <c r="U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5"/>
      <c r="U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ref="S141:S148" si="30">SUM(E141:R141)</f>
        <v>0</v>
      </c>
      <c r="T141" s="1"/>
      <c r="U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0"/>
        <v>0</v>
      </c>
      <c r="T142" s="52"/>
      <c r="U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0</v>
      </c>
      <c r="T143" s="5"/>
      <c r="U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0"/>
        <v>0</v>
      </c>
      <c r="T144" s="5"/>
      <c r="U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0"/>
        <v>0</v>
      </c>
      <c r="T145" s="5"/>
      <c r="U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3">
        <f t="shared" si="30"/>
        <v>0</v>
      </c>
      <c r="T146" s="5"/>
      <c r="U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3">
        <f t="shared" si="30"/>
        <v>0</v>
      </c>
      <c r="T147" s="5"/>
      <c r="U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si="30"/>
        <v>0</v>
      </c>
      <c r="T148" s="5"/>
      <c r="U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73"/>
      <c r="T149" s="5"/>
      <c r="U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73"/>
      <c r="T150" s="5"/>
      <c r="U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R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>SUM(E151:R151)</f>
        <v>0</v>
      </c>
      <c r="T151" s="1"/>
      <c r="U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13"/>
      <c r="T152" s="52"/>
      <c r="U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1.0</v>
      </c>
      <c r="G153" s="19">
        <v>0.0</v>
      </c>
      <c r="H153" s="19">
        <v>1.0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ref="S153:S157" si="32">SUM(E153:R153)</f>
        <v>3</v>
      </c>
      <c r="T153" s="5"/>
      <c r="U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3.0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2"/>
        <v>4</v>
      </c>
      <c r="T154" s="5"/>
      <c r="U154" s="5"/>
    </row>
    <row r="155" ht="12.75" customHeight="1">
      <c r="A155" s="18"/>
      <c r="B155" s="55">
        <v>2.0</v>
      </c>
      <c r="C155" s="59" t="s">
        <v>115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2"/>
        <v>2</v>
      </c>
      <c r="T155" s="5"/>
      <c r="U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1.0</v>
      </c>
      <c r="H156" s="19">
        <v>1.0</v>
      </c>
      <c r="I156" s="19">
        <v>0.0</v>
      </c>
      <c r="J156" s="19">
        <v>0.0</v>
      </c>
      <c r="K156" s="19">
        <v>0.0</v>
      </c>
      <c r="L156" s="19">
        <v>0.0</v>
      </c>
      <c r="M156" s="19">
        <v>1.0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3">
        <f t="shared" si="32"/>
        <v>3</v>
      </c>
      <c r="T156" s="5"/>
      <c r="U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1.0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si="32"/>
        <v>1</v>
      </c>
      <c r="T157" s="5"/>
      <c r="U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73"/>
      <c r="T158" s="5"/>
      <c r="U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73"/>
      <c r="T159" s="5"/>
      <c r="U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73"/>
      <c r="T160" s="5"/>
      <c r="U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73"/>
      <c r="T161" s="5"/>
      <c r="U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73"/>
      <c r="T162" s="5"/>
      <c r="U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R163" si="33">SUM(E153:E157)</f>
        <v>1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4</v>
      </c>
      <c r="K163" s="13">
        <f t="shared" si="33"/>
        <v>0</v>
      </c>
      <c r="L163" s="13">
        <f t="shared" si="33"/>
        <v>1</v>
      </c>
      <c r="M163" s="13">
        <f t="shared" si="33"/>
        <v>2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>SUM(E163:R163)</f>
        <v>13</v>
      </c>
      <c r="T163" s="5"/>
      <c r="U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5"/>
      <c r="U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2.0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1.0</v>
      </c>
      <c r="R165" s="19">
        <v>0.0</v>
      </c>
      <c r="S165" s="13">
        <f t="shared" ref="S165:S172" si="34">SUM(E165:R165)</f>
        <v>5</v>
      </c>
      <c r="T165" s="1"/>
      <c r="U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3">
        <f t="shared" si="34"/>
        <v>0</v>
      </c>
      <c r="T166" s="52"/>
      <c r="U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2.0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3">
        <f t="shared" si="34"/>
        <v>2</v>
      </c>
      <c r="T167" s="5"/>
      <c r="U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3">
        <f t="shared" si="34"/>
        <v>0</v>
      </c>
      <c r="T168" s="5"/>
      <c r="U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3">
        <f t="shared" si="34"/>
        <v>0</v>
      </c>
      <c r="T169" s="5"/>
      <c r="U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3">
        <f t="shared" si="34"/>
        <v>0</v>
      </c>
      <c r="T170" s="5"/>
      <c r="U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3">
        <f t="shared" si="34"/>
        <v>0</v>
      </c>
      <c r="T171" s="5"/>
      <c r="U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3">
        <f t="shared" si="34"/>
        <v>0</v>
      </c>
      <c r="T172" s="5"/>
      <c r="U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73"/>
      <c r="T173" s="5"/>
      <c r="U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73"/>
      <c r="T174" s="5"/>
      <c r="U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R175" si="35">SUM(E165:E172)</f>
        <v>2</v>
      </c>
      <c r="F175" s="13">
        <f t="shared" si="35"/>
        <v>0</v>
      </c>
      <c r="G175" s="13">
        <f t="shared" si="35"/>
        <v>2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>SUM(E175:R175)</f>
        <v>7</v>
      </c>
      <c r="T175" s="5"/>
      <c r="U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1"/>
      <c r="U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3">
        <f t="shared" ref="S177:S184" si="36">SUM(E177:R177)</f>
        <v>2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3.0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3">
        <f t="shared" si="36"/>
        <v>4</v>
      </c>
      <c r="T178" s="5"/>
      <c r="U178" s="5"/>
    </row>
    <row r="179" ht="12.75" customHeight="1">
      <c r="A179" s="18"/>
      <c r="B179" s="55">
        <v>2.0</v>
      </c>
      <c r="C179" s="50" t="s">
        <v>130</v>
      </c>
      <c r="D179" s="57"/>
      <c r="E179" s="19">
        <v>1.0</v>
      </c>
      <c r="F179" s="19">
        <v>0.0</v>
      </c>
      <c r="G179" s="19">
        <v>1.0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1.0</v>
      </c>
      <c r="R179" s="19">
        <v>0.0</v>
      </c>
      <c r="S179" s="13">
        <f t="shared" si="36"/>
        <v>5</v>
      </c>
      <c r="T179" s="5"/>
      <c r="U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3">
        <f t="shared" si="36"/>
        <v>2</v>
      </c>
      <c r="T180" s="5"/>
      <c r="U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>
        <v>1.0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36"/>
        <v>2</v>
      </c>
      <c r="T181" s="5"/>
      <c r="U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6"/>
        <v>0</v>
      </c>
      <c r="T182" s="5"/>
      <c r="U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6"/>
        <v>0</v>
      </c>
      <c r="T183" s="5"/>
      <c r="U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6"/>
        <v>0</v>
      </c>
      <c r="T184" s="5"/>
      <c r="U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73"/>
      <c r="T185" s="5"/>
      <c r="U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73"/>
      <c r="T186" s="5"/>
      <c r="U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R187" si="37">SUM(E177:E184)</f>
        <v>1</v>
      </c>
      <c r="F187" s="13">
        <f t="shared" si="37"/>
        <v>1</v>
      </c>
      <c r="G187" s="13">
        <f t="shared" si="37"/>
        <v>1</v>
      </c>
      <c r="H187" s="13">
        <f t="shared" si="37"/>
        <v>3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1</v>
      </c>
      <c r="M187" s="13">
        <f t="shared" si="37"/>
        <v>3</v>
      </c>
      <c r="N187" s="13">
        <f t="shared" si="37"/>
        <v>1</v>
      </c>
      <c r="O187" s="13">
        <f t="shared" si="37"/>
        <v>0</v>
      </c>
      <c r="P187" s="13">
        <f t="shared" si="37"/>
        <v>1</v>
      </c>
      <c r="Q187" s="13">
        <f t="shared" si="37"/>
        <v>2</v>
      </c>
      <c r="R187" s="13">
        <f t="shared" si="37"/>
        <v>0</v>
      </c>
      <c r="S187" s="13">
        <f>SUM(E187:R187)</f>
        <v>15</v>
      </c>
      <c r="T187" s="1"/>
      <c r="U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ref="S189:S196" si="38">SUM(E189:R189)</f>
        <v>0</v>
      </c>
      <c r="T189" s="5"/>
      <c r="U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38"/>
        <v>1</v>
      </c>
      <c r="T190" s="5"/>
      <c r="U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8"/>
        <v>0</v>
      </c>
      <c r="T191" s="5"/>
      <c r="U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8"/>
        <v>0</v>
      </c>
      <c r="T192" s="5"/>
      <c r="U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8"/>
        <v>0</v>
      </c>
      <c r="T193" s="5"/>
      <c r="U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8"/>
        <v>0</v>
      </c>
      <c r="T194" s="5"/>
      <c r="U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8"/>
        <v>0</v>
      </c>
      <c r="T195" s="5"/>
      <c r="U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8"/>
        <v>0</v>
      </c>
      <c r="T196" s="1"/>
      <c r="U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73"/>
      <c r="T197" s="1"/>
      <c r="U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73"/>
      <c r="T198" s="1"/>
      <c r="U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R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>SUM(E199:R199)</f>
        <v>1</v>
      </c>
      <c r="T199" s="52"/>
      <c r="U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5"/>
      <c r="U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0.0</v>
      </c>
      <c r="F201" s="19">
        <v>0.0</v>
      </c>
      <c r="G201" s="19">
        <v>2.0</v>
      </c>
      <c r="H201" s="19">
        <v>8.0</v>
      </c>
      <c r="I201" s="19">
        <v>1.0</v>
      </c>
      <c r="J201" s="19">
        <v>2.0</v>
      </c>
      <c r="K201" s="19">
        <v>2.0</v>
      </c>
      <c r="L201" s="19">
        <v>4.0</v>
      </c>
      <c r="M201" s="19">
        <v>1.0</v>
      </c>
      <c r="N201" s="19">
        <v>8.0</v>
      </c>
      <c r="O201" s="19">
        <v>4.0</v>
      </c>
      <c r="P201" s="19">
        <v>1.0</v>
      </c>
      <c r="Q201" s="19">
        <v>2.0</v>
      </c>
      <c r="R201" s="19">
        <v>15.0</v>
      </c>
      <c r="S201" s="13">
        <f t="shared" ref="S201:S208" si="40">SUM(E201:R201)</f>
        <v>50</v>
      </c>
      <c r="T201" s="5"/>
      <c r="U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4.0</v>
      </c>
      <c r="F202" s="19">
        <v>2.0</v>
      </c>
      <c r="G202" s="19">
        <v>2.0</v>
      </c>
      <c r="H202" s="19">
        <v>6.0</v>
      </c>
      <c r="I202" s="19">
        <v>4.0</v>
      </c>
      <c r="J202" s="19">
        <v>1.0</v>
      </c>
      <c r="K202" s="19">
        <v>4.0</v>
      </c>
      <c r="L202" s="19">
        <v>5.0</v>
      </c>
      <c r="M202" s="19">
        <v>4.0</v>
      </c>
      <c r="N202" s="19">
        <v>10.0</v>
      </c>
      <c r="O202" s="19">
        <v>2.0</v>
      </c>
      <c r="P202" s="19">
        <v>1.0</v>
      </c>
      <c r="Q202" s="19">
        <v>4.0</v>
      </c>
      <c r="R202" s="19">
        <v>15.0</v>
      </c>
      <c r="S202" s="13">
        <f t="shared" si="40"/>
        <v>64</v>
      </c>
      <c r="T202" s="5"/>
      <c r="U202" s="5"/>
    </row>
    <row r="203" ht="12.75" customHeight="1">
      <c r="A203" s="18"/>
      <c r="B203" s="55">
        <v>2.0</v>
      </c>
      <c r="C203" s="50" t="s">
        <v>148</v>
      </c>
      <c r="D203" s="57"/>
      <c r="E203" s="19">
        <v>2.0</v>
      </c>
      <c r="F203" s="19">
        <v>0.0</v>
      </c>
      <c r="G203" s="19">
        <v>0.0</v>
      </c>
      <c r="H203" s="19">
        <v>4.0</v>
      </c>
      <c r="I203" s="19">
        <v>1.0</v>
      </c>
      <c r="J203" s="19">
        <v>4.0</v>
      </c>
      <c r="K203" s="19">
        <v>1.0</v>
      </c>
      <c r="L203" s="19">
        <v>1.0</v>
      </c>
      <c r="M203" s="19">
        <v>1.0</v>
      </c>
      <c r="N203" s="19">
        <v>0.0</v>
      </c>
      <c r="O203" s="19">
        <v>0.0</v>
      </c>
      <c r="P203" s="19">
        <v>1.0</v>
      </c>
      <c r="Q203" s="19">
        <v>0.0</v>
      </c>
      <c r="R203" s="19">
        <v>0.0</v>
      </c>
      <c r="S203" s="13">
        <f t="shared" si="40"/>
        <v>15</v>
      </c>
      <c r="T203" s="5"/>
      <c r="U203" s="5"/>
    </row>
    <row r="204" ht="12.75" customHeight="1">
      <c r="A204" s="18"/>
      <c r="B204" s="55">
        <v>3.0</v>
      </c>
      <c r="C204" s="50" t="s">
        <v>149</v>
      </c>
      <c r="D204" s="57"/>
      <c r="E204" s="19">
        <v>1.0</v>
      </c>
      <c r="F204" s="19">
        <v>1.0</v>
      </c>
      <c r="G204" s="19">
        <v>0.0</v>
      </c>
      <c r="H204" s="19">
        <v>4.0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3">
        <f t="shared" si="40"/>
        <v>7</v>
      </c>
      <c r="T204" s="5"/>
      <c r="U204" s="5"/>
    </row>
    <row r="205" ht="12.75" customHeight="1">
      <c r="A205" s="18"/>
      <c r="B205" s="55">
        <v>4.0</v>
      </c>
      <c r="C205" s="50" t="s">
        <v>150</v>
      </c>
      <c r="D205" s="57"/>
      <c r="E205" s="19">
        <v>2.0</v>
      </c>
      <c r="F205" s="19">
        <v>1.0</v>
      </c>
      <c r="G205" s="19">
        <v>2.0</v>
      </c>
      <c r="H205" s="19">
        <v>0.0</v>
      </c>
      <c r="I205" s="19">
        <v>0.0</v>
      </c>
      <c r="J205" s="19">
        <v>0.0</v>
      </c>
      <c r="K205" s="19">
        <v>5.0</v>
      </c>
      <c r="L205" s="19">
        <v>2.0</v>
      </c>
      <c r="M205" s="19">
        <v>0.0</v>
      </c>
      <c r="N205" s="19">
        <v>13.0</v>
      </c>
      <c r="O205" s="19">
        <v>10.0</v>
      </c>
      <c r="P205" s="19">
        <v>3.0</v>
      </c>
      <c r="Q205" s="19">
        <v>0.0</v>
      </c>
      <c r="R205" s="19">
        <v>1.0</v>
      </c>
      <c r="S205" s="13">
        <f t="shared" si="40"/>
        <v>39</v>
      </c>
      <c r="T205" s="5"/>
      <c r="U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0.0</v>
      </c>
      <c r="G206" s="19">
        <v>2.0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1.0</v>
      </c>
      <c r="O206" s="19">
        <v>0.0</v>
      </c>
      <c r="P206" s="19">
        <v>0.0</v>
      </c>
      <c r="Q206" s="19">
        <v>1.0</v>
      </c>
      <c r="R206" s="19">
        <v>1.0</v>
      </c>
      <c r="S206" s="13">
        <f t="shared" si="40"/>
        <v>6</v>
      </c>
      <c r="T206" s="5"/>
      <c r="U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0"/>
        <v>1</v>
      </c>
      <c r="T207" s="1"/>
      <c r="U207" s="1"/>
    </row>
    <row r="208" ht="12.75" customHeight="1">
      <c r="A208" s="18"/>
      <c r="B208" s="55">
        <v>7.0</v>
      </c>
      <c r="C208" s="50" t="s">
        <v>153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1.0</v>
      </c>
      <c r="S208" s="13">
        <f t="shared" si="40"/>
        <v>2</v>
      </c>
      <c r="T208" s="52"/>
      <c r="U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73"/>
      <c r="T209" s="52"/>
      <c r="U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73"/>
      <c r="T210" s="52"/>
      <c r="U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R211" si="41">SUM(E201:E208)</f>
        <v>9</v>
      </c>
      <c r="F211" s="13">
        <f t="shared" si="41"/>
        <v>4</v>
      </c>
      <c r="G211" s="13">
        <f t="shared" si="41"/>
        <v>8</v>
      </c>
      <c r="H211" s="13">
        <f t="shared" si="41"/>
        <v>22</v>
      </c>
      <c r="I211" s="13">
        <f t="shared" si="41"/>
        <v>6</v>
      </c>
      <c r="J211" s="13">
        <f t="shared" si="41"/>
        <v>7</v>
      </c>
      <c r="K211" s="13">
        <f t="shared" si="41"/>
        <v>12</v>
      </c>
      <c r="L211" s="13">
        <f t="shared" si="41"/>
        <v>13</v>
      </c>
      <c r="M211" s="13">
        <f t="shared" si="41"/>
        <v>6</v>
      </c>
      <c r="N211" s="13">
        <f t="shared" si="41"/>
        <v>34</v>
      </c>
      <c r="O211" s="13">
        <f t="shared" si="41"/>
        <v>16</v>
      </c>
      <c r="P211" s="13">
        <f t="shared" si="41"/>
        <v>6</v>
      </c>
      <c r="Q211" s="13">
        <f t="shared" si="41"/>
        <v>7</v>
      </c>
      <c r="R211" s="13">
        <f t="shared" si="41"/>
        <v>34</v>
      </c>
      <c r="S211" s="13">
        <f>SUM(E211:R211)</f>
        <v>184</v>
      </c>
      <c r="T211" s="5"/>
      <c r="U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5"/>
      <c r="U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1.0</v>
      </c>
      <c r="G213" s="19">
        <v>1.0</v>
      </c>
      <c r="H213" s="19">
        <v>1.0</v>
      </c>
      <c r="I213" s="19">
        <v>0.0</v>
      </c>
      <c r="J213" s="19">
        <v>2.0</v>
      </c>
      <c r="K213" s="19">
        <v>0.0</v>
      </c>
      <c r="L213" s="19">
        <v>0.0</v>
      </c>
      <c r="M213" s="19">
        <v>3.0</v>
      </c>
      <c r="N213" s="19">
        <v>0.0</v>
      </c>
      <c r="O213" s="19">
        <v>0.0</v>
      </c>
      <c r="P213" s="19">
        <v>1.0</v>
      </c>
      <c r="Q213" s="19">
        <v>1.0</v>
      </c>
      <c r="R213" s="19">
        <v>0.0</v>
      </c>
      <c r="S213" s="13">
        <f t="shared" ref="S213:S220" si="42">SUM(E213:R213)</f>
        <v>12</v>
      </c>
      <c r="T213" s="5"/>
      <c r="U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1.0</v>
      </c>
      <c r="F214" s="19">
        <v>0.0</v>
      </c>
      <c r="G214" s="19">
        <v>1.0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1.0</v>
      </c>
      <c r="Q214" s="19">
        <v>0.0</v>
      </c>
      <c r="R214" s="19">
        <v>0.0</v>
      </c>
      <c r="S214" s="13">
        <f t="shared" si="42"/>
        <v>4</v>
      </c>
      <c r="T214" s="5"/>
      <c r="U214" s="5"/>
    </row>
    <row r="215" ht="12.75" customHeight="1">
      <c r="A215" s="18"/>
      <c r="B215" s="55">
        <v>2.0</v>
      </c>
      <c r="C215" s="50" t="s">
        <v>157</v>
      </c>
      <c r="D215" s="56"/>
      <c r="E215" s="19">
        <v>10.0</v>
      </c>
      <c r="F215" s="19">
        <v>11.0</v>
      </c>
      <c r="G215" s="19">
        <v>21.0</v>
      </c>
      <c r="H215" s="19">
        <v>4.0</v>
      </c>
      <c r="I215" s="19">
        <v>4.0</v>
      </c>
      <c r="J215" s="19">
        <v>13.0</v>
      </c>
      <c r="K215" s="19">
        <v>1.0</v>
      </c>
      <c r="L215" s="19">
        <v>5.0</v>
      </c>
      <c r="M215" s="19">
        <v>8.0</v>
      </c>
      <c r="N215" s="19">
        <v>31.0</v>
      </c>
      <c r="O215" s="19">
        <v>2.0</v>
      </c>
      <c r="P215" s="19">
        <v>0.0</v>
      </c>
      <c r="Q215" s="19">
        <v>0.0</v>
      </c>
      <c r="R215" s="19">
        <v>2.0</v>
      </c>
      <c r="S215" s="13">
        <f t="shared" si="42"/>
        <v>112</v>
      </c>
      <c r="T215" s="5"/>
      <c r="U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1.0</v>
      </c>
      <c r="G216" s="19">
        <v>0.0</v>
      </c>
      <c r="H216" s="19">
        <v>0.0</v>
      </c>
      <c r="I216" s="19">
        <v>1.0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3">
        <f t="shared" si="42"/>
        <v>3</v>
      </c>
      <c r="T216" s="5"/>
      <c r="U216" s="5"/>
    </row>
    <row r="217" ht="12.75" customHeight="1">
      <c r="A217" s="18"/>
      <c r="B217" s="55">
        <v>4.0</v>
      </c>
      <c r="C217" s="50" t="s">
        <v>159</v>
      </c>
      <c r="D217" s="56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3">
        <f t="shared" si="42"/>
        <v>1</v>
      </c>
      <c r="T217" s="5"/>
      <c r="U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2"/>
        <v>0</v>
      </c>
      <c r="T218" s="1"/>
      <c r="U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3">
        <f t="shared" si="42"/>
        <v>1</v>
      </c>
      <c r="T219" s="52"/>
      <c r="U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3">
        <f t="shared" si="42"/>
        <v>1</v>
      </c>
      <c r="T220" s="5"/>
      <c r="U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73"/>
      <c r="T221" s="5"/>
      <c r="U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73"/>
      <c r="T222" s="5"/>
      <c r="U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R223" si="43">SUM(E213:E220)</f>
        <v>14</v>
      </c>
      <c r="F223" s="13">
        <f t="shared" si="43"/>
        <v>13</v>
      </c>
      <c r="G223" s="13">
        <f t="shared" si="43"/>
        <v>23</v>
      </c>
      <c r="H223" s="13">
        <f t="shared" si="43"/>
        <v>5</v>
      </c>
      <c r="I223" s="13">
        <f t="shared" si="43"/>
        <v>5</v>
      </c>
      <c r="J223" s="13">
        <f t="shared" si="43"/>
        <v>17</v>
      </c>
      <c r="K223" s="13">
        <f t="shared" si="43"/>
        <v>1</v>
      </c>
      <c r="L223" s="13">
        <f t="shared" si="43"/>
        <v>5</v>
      </c>
      <c r="M223" s="13">
        <f t="shared" si="43"/>
        <v>11</v>
      </c>
      <c r="N223" s="13">
        <f t="shared" si="43"/>
        <v>31</v>
      </c>
      <c r="O223" s="13">
        <f t="shared" si="43"/>
        <v>2</v>
      </c>
      <c r="P223" s="13">
        <f t="shared" si="43"/>
        <v>3</v>
      </c>
      <c r="Q223" s="13">
        <f t="shared" si="43"/>
        <v>1</v>
      </c>
      <c r="R223" s="13">
        <f t="shared" si="43"/>
        <v>3</v>
      </c>
      <c r="S223" s="13">
        <f>SUM(E223:R223)</f>
        <v>134</v>
      </c>
      <c r="T223" s="5"/>
      <c r="U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5"/>
      <c r="U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2.0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3">
        <f t="shared" ref="S225:S232" si="44">SUM(E225:R225)</f>
        <v>3</v>
      </c>
      <c r="T225" s="5"/>
      <c r="U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0.0</v>
      </c>
      <c r="F226" s="19">
        <v>1.0</v>
      </c>
      <c r="G226" s="19">
        <v>3.0</v>
      </c>
      <c r="H226" s="19">
        <v>2.0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3">
        <f t="shared" si="44"/>
        <v>6</v>
      </c>
      <c r="T226" s="5"/>
      <c r="U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4"/>
        <v>0</v>
      </c>
      <c r="T227" s="5"/>
      <c r="U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4"/>
        <v>0</v>
      </c>
      <c r="T228" s="5"/>
      <c r="U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4"/>
        <v>0</v>
      </c>
      <c r="T229" s="1"/>
      <c r="U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4"/>
        <v>0</v>
      </c>
      <c r="T230" s="52"/>
      <c r="U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4"/>
        <v>0</v>
      </c>
      <c r="T231" s="5"/>
      <c r="U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4"/>
        <v>0</v>
      </c>
      <c r="T232" s="5"/>
      <c r="U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73"/>
      <c r="T233" s="5"/>
      <c r="U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73"/>
      <c r="T234" s="5"/>
      <c r="U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R235" si="45">SUM(E225:E232)</f>
        <v>0</v>
      </c>
      <c r="F235" s="13">
        <f t="shared" si="45"/>
        <v>1</v>
      </c>
      <c r="G235" s="13">
        <f t="shared" si="45"/>
        <v>4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2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>SUM(E235:R235)</f>
        <v>9</v>
      </c>
      <c r="T235" s="5"/>
      <c r="U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5"/>
      <c r="U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3.0</v>
      </c>
      <c r="F237" s="19">
        <v>0.0</v>
      </c>
      <c r="G237" s="19">
        <v>2.0</v>
      </c>
      <c r="H237" s="19">
        <v>6.0</v>
      </c>
      <c r="I237" s="19">
        <v>1.0</v>
      </c>
      <c r="J237" s="19">
        <v>0.0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0.0</v>
      </c>
      <c r="Q237" s="19">
        <v>0.0</v>
      </c>
      <c r="R237" s="19">
        <v>0.0</v>
      </c>
      <c r="S237" s="13">
        <f t="shared" ref="S237:S244" si="46">SUM(E237:R237)</f>
        <v>14</v>
      </c>
      <c r="T237" s="5"/>
      <c r="U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0.0</v>
      </c>
      <c r="F238" s="19">
        <v>0.0</v>
      </c>
      <c r="G238" s="19">
        <v>0.0</v>
      </c>
      <c r="H238" s="19">
        <v>1.0</v>
      </c>
      <c r="I238" s="19">
        <v>1.0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1.0</v>
      </c>
      <c r="S238" s="13">
        <f t="shared" si="46"/>
        <v>4</v>
      </c>
      <c r="T238" s="5"/>
      <c r="U238" s="5"/>
    </row>
    <row r="239" ht="12.75" customHeight="1">
      <c r="A239" s="18"/>
      <c r="B239" s="55">
        <v>2.0</v>
      </c>
      <c r="C239" s="50" t="s">
        <v>175</v>
      </c>
      <c r="D239" s="57"/>
      <c r="E239" s="19">
        <v>4.0</v>
      </c>
      <c r="F239" s="19">
        <v>2.0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3.0</v>
      </c>
      <c r="N239" s="19">
        <v>0.0</v>
      </c>
      <c r="O239" s="19">
        <v>1.0</v>
      </c>
      <c r="P239" s="19">
        <v>0.0</v>
      </c>
      <c r="Q239" s="19">
        <v>0.0</v>
      </c>
      <c r="R239" s="19">
        <v>1.0</v>
      </c>
      <c r="S239" s="13">
        <f t="shared" si="46"/>
        <v>13</v>
      </c>
      <c r="T239" s="5"/>
      <c r="U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1.0</v>
      </c>
      <c r="G240" s="19">
        <v>0.0</v>
      </c>
      <c r="H240" s="19">
        <v>1.0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6"/>
        <v>3</v>
      </c>
      <c r="T240" s="1"/>
      <c r="U240" s="1"/>
    </row>
    <row r="241" ht="12.75" customHeight="1">
      <c r="A241" s="18"/>
      <c r="B241" s="55">
        <v>4.0</v>
      </c>
      <c r="C241" s="50" t="s">
        <v>177</v>
      </c>
      <c r="D241" s="57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6"/>
        <v>1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6"/>
        <v>1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6"/>
        <v>1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100.0</v>
      </c>
      <c r="F244" s="19">
        <v>28.0</v>
      </c>
      <c r="G244" s="19">
        <v>7.0</v>
      </c>
      <c r="H244" s="19">
        <v>29.0</v>
      </c>
      <c r="I244" s="19">
        <v>11.0</v>
      </c>
      <c r="J244" s="19">
        <v>0.0</v>
      </c>
      <c r="K244" s="19">
        <v>0.0</v>
      </c>
      <c r="L244" s="19">
        <v>2.0</v>
      </c>
      <c r="M244" s="19">
        <v>0.0</v>
      </c>
      <c r="N244" s="19">
        <v>4.0</v>
      </c>
      <c r="O244" s="19">
        <v>0.0</v>
      </c>
      <c r="P244" s="19">
        <v>6.0</v>
      </c>
      <c r="Q244" s="19">
        <v>13.0</v>
      </c>
      <c r="R244" s="19">
        <v>0.0</v>
      </c>
      <c r="S244" s="13">
        <f t="shared" si="46"/>
        <v>200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R247" si="47">SUM(E237:E244)</f>
        <v>108</v>
      </c>
      <c r="F247" s="13">
        <f t="shared" si="47"/>
        <v>32</v>
      </c>
      <c r="G247" s="13">
        <f t="shared" si="47"/>
        <v>9</v>
      </c>
      <c r="H247" s="13">
        <f t="shared" si="47"/>
        <v>39</v>
      </c>
      <c r="I247" s="13">
        <f t="shared" si="47"/>
        <v>13</v>
      </c>
      <c r="J247" s="13">
        <f t="shared" si="47"/>
        <v>1</v>
      </c>
      <c r="K247" s="13">
        <f t="shared" si="47"/>
        <v>0</v>
      </c>
      <c r="L247" s="13">
        <f t="shared" si="47"/>
        <v>3</v>
      </c>
      <c r="M247" s="13">
        <f t="shared" si="47"/>
        <v>5</v>
      </c>
      <c r="N247" s="13">
        <f t="shared" si="47"/>
        <v>5</v>
      </c>
      <c r="O247" s="13">
        <f t="shared" si="47"/>
        <v>1</v>
      </c>
      <c r="P247" s="13">
        <f t="shared" si="47"/>
        <v>6</v>
      </c>
      <c r="Q247" s="13">
        <f t="shared" si="47"/>
        <v>13</v>
      </c>
      <c r="R247" s="13">
        <f t="shared" si="47"/>
        <v>2</v>
      </c>
      <c r="S247" s="13">
        <f>SUM(E247:R247)</f>
        <v>237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5" si="48">SUM(E249:R249)</f>
        <v>2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8"/>
        <v>2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2.0</v>
      </c>
      <c r="S251" s="13">
        <f t="shared" si="48"/>
        <v>2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8"/>
        <v>1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3">
        <f t="shared" si="48"/>
        <v>0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8"/>
        <v>1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R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2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>SUM(E259:R259)</f>
        <v>8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R262" si="50">E55+E67+E79+E91+E103+E115+E127+E139+E151+E163+E175+E187+E199+E211+E223+E235+E247+E259</f>
        <v>233</v>
      </c>
      <c r="F262" s="19">
        <f t="shared" si="50"/>
        <v>197</v>
      </c>
      <c r="G262" s="19">
        <f t="shared" si="50"/>
        <v>188</v>
      </c>
      <c r="H262" s="19">
        <f t="shared" si="50"/>
        <v>187</v>
      </c>
      <c r="I262" s="19">
        <f t="shared" si="50"/>
        <v>159</v>
      </c>
      <c r="J262" s="19">
        <f t="shared" si="50"/>
        <v>169</v>
      </c>
      <c r="K262" s="19">
        <f t="shared" si="50"/>
        <v>196</v>
      </c>
      <c r="L262" s="19">
        <f t="shared" si="50"/>
        <v>154</v>
      </c>
      <c r="M262" s="19">
        <f t="shared" si="50"/>
        <v>192</v>
      </c>
      <c r="N262" s="19">
        <f t="shared" si="50"/>
        <v>160</v>
      </c>
      <c r="O262" s="19">
        <f t="shared" si="50"/>
        <v>137</v>
      </c>
      <c r="P262" s="19">
        <f t="shared" si="50"/>
        <v>135</v>
      </c>
      <c r="Q262" s="19">
        <f t="shared" si="50"/>
        <v>145</v>
      </c>
      <c r="R262" s="19">
        <f t="shared" si="50"/>
        <v>183</v>
      </c>
      <c r="S262" s="13">
        <f t="shared" ref="S262:S264" si="51">SUM(E262:R262)</f>
        <v>2435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19.0</v>
      </c>
      <c r="F263" s="19">
        <v>11.0</v>
      </c>
      <c r="G263" s="19">
        <v>27.0</v>
      </c>
      <c r="H263" s="19">
        <v>20.0</v>
      </c>
      <c r="I263" s="19">
        <v>25.0</v>
      </c>
      <c r="J263" s="19">
        <v>35.0</v>
      </c>
      <c r="K263" s="19">
        <v>15.0</v>
      </c>
      <c r="L263" s="19">
        <v>17.0</v>
      </c>
      <c r="M263" s="19">
        <v>30.0</v>
      </c>
      <c r="N263" s="19">
        <v>48.0</v>
      </c>
      <c r="O263" s="19">
        <v>34.0</v>
      </c>
      <c r="P263" s="19">
        <v>7.0</v>
      </c>
      <c r="Q263" s="19">
        <v>8.0</v>
      </c>
      <c r="R263" s="19">
        <v>16.0</v>
      </c>
      <c r="S263" s="13">
        <f t="shared" si="51"/>
        <v>312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R264" si="52">SUM(E262:E263)</f>
        <v>252</v>
      </c>
      <c r="F264" s="13">
        <f t="shared" si="52"/>
        <v>208</v>
      </c>
      <c r="G264" s="13">
        <f t="shared" si="52"/>
        <v>215</v>
      </c>
      <c r="H264" s="13">
        <f t="shared" si="52"/>
        <v>207</v>
      </c>
      <c r="I264" s="13">
        <f t="shared" si="52"/>
        <v>184</v>
      </c>
      <c r="J264" s="13">
        <f t="shared" si="52"/>
        <v>204</v>
      </c>
      <c r="K264" s="13">
        <f t="shared" si="52"/>
        <v>211</v>
      </c>
      <c r="L264" s="13">
        <f t="shared" si="52"/>
        <v>171</v>
      </c>
      <c r="M264" s="13">
        <f t="shared" si="52"/>
        <v>222</v>
      </c>
      <c r="N264" s="13">
        <f t="shared" si="52"/>
        <v>208</v>
      </c>
      <c r="O264" s="13">
        <f t="shared" si="52"/>
        <v>171</v>
      </c>
      <c r="P264" s="13">
        <f t="shared" si="52"/>
        <v>142</v>
      </c>
      <c r="Q264" s="13">
        <f t="shared" si="52"/>
        <v>153</v>
      </c>
      <c r="R264" s="13">
        <f t="shared" si="52"/>
        <v>199</v>
      </c>
      <c r="S264" s="13">
        <f t="shared" si="51"/>
        <v>2747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R34">
    <cfRule type="expression" dxfId="0" priority="1">
      <formula>E34&lt;&gt;E64</formula>
    </cfRule>
  </conditionalFormatting>
  <conditionalFormatting sqref="E14:R15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E30&lt;&gt;E47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9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5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36"/>
    </row>
    <row r="14" ht="12.75" customHeight="1">
      <c r="A14" s="18"/>
      <c r="B14" s="22" t="s">
        <v>10</v>
      </c>
      <c r="C14" s="23"/>
      <c r="D14" s="19" t="s">
        <v>11</v>
      </c>
      <c r="E14" s="19">
        <v>143.0</v>
      </c>
      <c r="F14" s="19">
        <v>141.0</v>
      </c>
      <c r="G14" s="19">
        <v>147.0</v>
      </c>
      <c r="H14" s="19">
        <v>147.0</v>
      </c>
      <c r="I14" s="19">
        <v>123.0</v>
      </c>
      <c r="J14" s="19">
        <v>113.0</v>
      </c>
      <c r="K14" s="19">
        <v>136.0</v>
      </c>
      <c r="L14" s="19">
        <v>122.0</v>
      </c>
      <c r="M14" s="19">
        <v>123.0</v>
      </c>
      <c r="N14" s="19">
        <v>129.0</v>
      </c>
      <c r="O14" s="19">
        <v>137.0</v>
      </c>
      <c r="P14" s="19">
        <v>145.0</v>
      </c>
      <c r="Q14" s="19">
        <v>131.0</v>
      </c>
      <c r="R14" s="19">
        <v>148.0</v>
      </c>
      <c r="S14" s="19">
        <v>133.0</v>
      </c>
      <c r="T14" s="19">
        <v>153.0</v>
      </c>
      <c r="U14" s="19">
        <v>111.0</v>
      </c>
      <c r="V14" s="19">
        <v>87.0</v>
      </c>
      <c r="W14" s="13">
        <f t="shared" ref="W14:W16" si="1">SUM(E14:V14)</f>
        <v>2369</v>
      </c>
    </row>
    <row r="15" ht="12.75" customHeight="1">
      <c r="A15" s="18"/>
      <c r="B15" s="26"/>
      <c r="C15" s="27"/>
      <c r="D15" s="19" t="s">
        <v>12</v>
      </c>
      <c r="E15" s="19">
        <v>149.0</v>
      </c>
      <c r="F15" s="19">
        <v>157.0</v>
      </c>
      <c r="G15" s="19">
        <v>145.0</v>
      </c>
      <c r="H15" s="19">
        <v>141.0</v>
      </c>
      <c r="I15" s="19">
        <v>133.0</v>
      </c>
      <c r="J15" s="19">
        <v>118.0</v>
      </c>
      <c r="K15" s="19">
        <v>126.0</v>
      </c>
      <c r="L15" s="19">
        <v>132.0</v>
      </c>
      <c r="M15" s="19">
        <v>128.0</v>
      </c>
      <c r="N15" s="19">
        <v>131.0</v>
      </c>
      <c r="O15" s="19">
        <v>148.0</v>
      </c>
      <c r="P15" s="19">
        <v>148.0</v>
      </c>
      <c r="Q15" s="19">
        <v>149.0</v>
      </c>
      <c r="R15" s="19">
        <v>134.0</v>
      </c>
      <c r="S15" s="19">
        <v>143.0</v>
      </c>
      <c r="T15" s="19">
        <v>128.0</v>
      </c>
      <c r="U15" s="19">
        <v>107.0</v>
      </c>
      <c r="V15" s="19">
        <v>79.0</v>
      </c>
      <c r="W15" s="13">
        <f t="shared" si="1"/>
        <v>2396</v>
      </c>
    </row>
    <row r="16" ht="12.75" customHeight="1">
      <c r="A16" s="25"/>
      <c r="B16" s="21"/>
      <c r="C16" s="28"/>
      <c r="D16" s="13" t="s">
        <v>13</v>
      </c>
      <c r="E16" s="13">
        <f t="shared" ref="E16:V16" si="2">SUM(E14:E15)</f>
        <v>292</v>
      </c>
      <c r="F16" s="13">
        <f t="shared" si="2"/>
        <v>298</v>
      </c>
      <c r="G16" s="13">
        <f t="shared" si="2"/>
        <v>292</v>
      </c>
      <c r="H16" s="13">
        <f t="shared" si="2"/>
        <v>288</v>
      </c>
      <c r="I16" s="13">
        <f t="shared" si="2"/>
        <v>256</v>
      </c>
      <c r="J16" s="13">
        <f t="shared" si="2"/>
        <v>231</v>
      </c>
      <c r="K16" s="13">
        <f t="shared" si="2"/>
        <v>262</v>
      </c>
      <c r="L16" s="13">
        <f t="shared" si="2"/>
        <v>254</v>
      </c>
      <c r="M16" s="13">
        <f t="shared" si="2"/>
        <v>251</v>
      </c>
      <c r="N16" s="13">
        <f t="shared" si="2"/>
        <v>260</v>
      </c>
      <c r="O16" s="13">
        <f t="shared" si="2"/>
        <v>285</v>
      </c>
      <c r="P16" s="13">
        <f t="shared" si="2"/>
        <v>293</v>
      </c>
      <c r="Q16" s="13">
        <f t="shared" si="2"/>
        <v>280</v>
      </c>
      <c r="R16" s="13">
        <f t="shared" si="2"/>
        <v>282</v>
      </c>
      <c r="S16" s="13">
        <f t="shared" si="2"/>
        <v>276</v>
      </c>
      <c r="T16" s="13">
        <f t="shared" si="2"/>
        <v>281</v>
      </c>
      <c r="U16" s="13">
        <f t="shared" si="2"/>
        <v>218</v>
      </c>
      <c r="V16" s="13">
        <f t="shared" si="2"/>
        <v>166</v>
      </c>
      <c r="W16" s="13">
        <f t="shared" si="1"/>
        <v>4765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118.0</v>
      </c>
      <c r="F19" s="19">
        <v>102.0</v>
      </c>
      <c r="G19" s="19">
        <v>113.0</v>
      </c>
      <c r="H19" s="19">
        <v>114.0</v>
      </c>
      <c r="I19" s="19">
        <v>85.0</v>
      </c>
      <c r="J19" s="19">
        <v>88.0</v>
      </c>
      <c r="K19" s="19">
        <v>106.0</v>
      </c>
      <c r="L19" s="19">
        <v>86.0</v>
      </c>
      <c r="M19" s="19">
        <v>82.0</v>
      </c>
      <c r="N19" s="19">
        <v>95.0</v>
      </c>
      <c r="O19" s="19">
        <v>95.0</v>
      </c>
      <c r="P19" s="19">
        <v>107.0</v>
      </c>
      <c r="Q19" s="19">
        <v>100.0</v>
      </c>
      <c r="R19" s="19">
        <v>108.0</v>
      </c>
      <c r="S19" s="19">
        <v>96.0</v>
      </c>
      <c r="T19" s="19">
        <v>108.0</v>
      </c>
      <c r="U19" s="19">
        <v>76.0</v>
      </c>
      <c r="V19" s="19">
        <v>68.0</v>
      </c>
      <c r="W19" s="13">
        <f t="shared" ref="W19:W30" si="3">SUM(E19:V19)</f>
        <v>1747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123.0</v>
      </c>
      <c r="G20" s="19">
        <v>110.0</v>
      </c>
      <c r="H20" s="19">
        <v>113.0</v>
      </c>
      <c r="I20" s="19">
        <v>101.0</v>
      </c>
      <c r="J20" s="19">
        <v>91.0</v>
      </c>
      <c r="K20" s="19">
        <v>102.0</v>
      </c>
      <c r="L20" s="19">
        <v>97.0</v>
      </c>
      <c r="M20" s="19">
        <v>100.0</v>
      </c>
      <c r="N20" s="19">
        <v>101.0</v>
      </c>
      <c r="O20" s="19">
        <v>115.0</v>
      </c>
      <c r="P20" s="19">
        <v>114.0</v>
      </c>
      <c r="Q20" s="19">
        <v>122.0</v>
      </c>
      <c r="R20" s="19">
        <v>102.0</v>
      </c>
      <c r="S20" s="19">
        <v>114.0</v>
      </c>
      <c r="T20" s="19">
        <v>118.0</v>
      </c>
      <c r="U20" s="19">
        <v>83.0</v>
      </c>
      <c r="V20" s="19">
        <v>66.0</v>
      </c>
      <c r="W20" s="13">
        <f t="shared" si="3"/>
        <v>1893</v>
      </c>
    </row>
    <row r="21" ht="12.75" customHeight="1">
      <c r="A21" s="35"/>
      <c r="B21" s="28"/>
      <c r="C21" s="36"/>
      <c r="D21" s="13" t="s">
        <v>13</v>
      </c>
      <c r="E21" s="13">
        <f t="shared" ref="E21:V21" si="4">SUM(E19:E20)</f>
        <v>239</v>
      </c>
      <c r="F21" s="13">
        <f t="shared" si="4"/>
        <v>225</v>
      </c>
      <c r="G21" s="13">
        <f t="shared" si="4"/>
        <v>223</v>
      </c>
      <c r="H21" s="13">
        <f t="shared" si="4"/>
        <v>227</v>
      </c>
      <c r="I21" s="13">
        <f t="shared" si="4"/>
        <v>186</v>
      </c>
      <c r="J21" s="13">
        <f t="shared" si="4"/>
        <v>179</v>
      </c>
      <c r="K21" s="13">
        <f t="shared" si="4"/>
        <v>208</v>
      </c>
      <c r="L21" s="13">
        <f t="shared" si="4"/>
        <v>183</v>
      </c>
      <c r="M21" s="13">
        <f t="shared" si="4"/>
        <v>182</v>
      </c>
      <c r="N21" s="13">
        <f t="shared" si="4"/>
        <v>196</v>
      </c>
      <c r="O21" s="13">
        <f t="shared" si="4"/>
        <v>210</v>
      </c>
      <c r="P21" s="13">
        <f t="shared" si="4"/>
        <v>221</v>
      </c>
      <c r="Q21" s="13">
        <f t="shared" si="4"/>
        <v>222</v>
      </c>
      <c r="R21" s="13">
        <f t="shared" si="4"/>
        <v>210</v>
      </c>
      <c r="S21" s="13">
        <f t="shared" si="4"/>
        <v>210</v>
      </c>
      <c r="T21" s="13">
        <f t="shared" si="4"/>
        <v>226</v>
      </c>
      <c r="U21" s="13">
        <f t="shared" si="4"/>
        <v>159</v>
      </c>
      <c r="V21" s="13">
        <f t="shared" si="4"/>
        <v>134</v>
      </c>
      <c r="W21" s="13">
        <f t="shared" si="3"/>
        <v>3640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1.0</v>
      </c>
      <c r="W25" s="13">
        <f t="shared" si="3"/>
        <v>3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1.0</v>
      </c>
      <c r="W26" s="13">
        <f t="shared" si="3"/>
        <v>1</v>
      </c>
    </row>
    <row r="27" ht="12.75" customHeight="1">
      <c r="A27" s="35"/>
      <c r="B27" s="28"/>
      <c r="C27" s="36"/>
      <c r="D27" s="13" t="s">
        <v>13</v>
      </c>
      <c r="E27" s="13">
        <f t="shared" ref="E27:V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2</v>
      </c>
      <c r="W27" s="13">
        <f t="shared" si="3"/>
        <v>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V28" si="7">SUM(E19,E22,E25)</f>
        <v>118</v>
      </c>
      <c r="F28" s="13">
        <f t="shared" si="7"/>
        <v>102</v>
      </c>
      <c r="G28" s="13">
        <f t="shared" si="7"/>
        <v>113</v>
      </c>
      <c r="H28" s="13">
        <f t="shared" si="7"/>
        <v>115</v>
      </c>
      <c r="I28" s="13">
        <f t="shared" si="7"/>
        <v>85</v>
      </c>
      <c r="J28" s="13">
        <f t="shared" si="7"/>
        <v>88</v>
      </c>
      <c r="K28" s="13">
        <f t="shared" si="7"/>
        <v>106</v>
      </c>
      <c r="L28" s="13">
        <f t="shared" si="7"/>
        <v>86</v>
      </c>
      <c r="M28" s="13">
        <f t="shared" si="7"/>
        <v>82</v>
      </c>
      <c r="N28" s="13">
        <f t="shared" si="7"/>
        <v>95</v>
      </c>
      <c r="O28" s="13">
        <f t="shared" si="7"/>
        <v>95</v>
      </c>
      <c r="P28" s="13">
        <f t="shared" si="7"/>
        <v>107</v>
      </c>
      <c r="Q28" s="13">
        <f t="shared" si="7"/>
        <v>100</v>
      </c>
      <c r="R28" s="13">
        <f t="shared" si="7"/>
        <v>108</v>
      </c>
      <c r="S28" s="13">
        <f t="shared" si="7"/>
        <v>96</v>
      </c>
      <c r="T28" s="13">
        <f t="shared" si="7"/>
        <v>109</v>
      </c>
      <c r="U28" s="13">
        <f t="shared" si="7"/>
        <v>76</v>
      </c>
      <c r="V28" s="13">
        <f t="shared" si="7"/>
        <v>69</v>
      </c>
      <c r="W28" s="13">
        <f t="shared" si="3"/>
        <v>1750</v>
      </c>
    </row>
    <row r="29" ht="12.75" customHeight="1">
      <c r="A29" s="35"/>
      <c r="B29" s="27"/>
      <c r="C29" s="34"/>
      <c r="D29" s="13" t="s">
        <v>12</v>
      </c>
      <c r="E29" s="13">
        <f t="shared" ref="E29:V29" si="8">SUM(E20,E23,E26)</f>
        <v>121</v>
      </c>
      <c r="F29" s="13">
        <f t="shared" si="8"/>
        <v>123</v>
      </c>
      <c r="G29" s="13">
        <f t="shared" si="8"/>
        <v>110</v>
      </c>
      <c r="H29" s="13">
        <f t="shared" si="8"/>
        <v>113</v>
      </c>
      <c r="I29" s="13">
        <f t="shared" si="8"/>
        <v>101</v>
      </c>
      <c r="J29" s="13">
        <f t="shared" si="8"/>
        <v>91</v>
      </c>
      <c r="K29" s="13">
        <f t="shared" si="8"/>
        <v>102</v>
      </c>
      <c r="L29" s="13">
        <f t="shared" si="8"/>
        <v>97</v>
      </c>
      <c r="M29" s="13">
        <f t="shared" si="8"/>
        <v>100</v>
      </c>
      <c r="N29" s="13">
        <f t="shared" si="8"/>
        <v>101</v>
      </c>
      <c r="O29" s="13">
        <f t="shared" si="8"/>
        <v>115</v>
      </c>
      <c r="P29" s="13">
        <f t="shared" si="8"/>
        <v>114</v>
      </c>
      <c r="Q29" s="13">
        <f t="shared" si="8"/>
        <v>122</v>
      </c>
      <c r="R29" s="13">
        <f t="shared" si="8"/>
        <v>102</v>
      </c>
      <c r="S29" s="13">
        <f t="shared" si="8"/>
        <v>114</v>
      </c>
      <c r="T29" s="13">
        <f t="shared" si="8"/>
        <v>118</v>
      </c>
      <c r="U29" s="13">
        <f t="shared" si="8"/>
        <v>83</v>
      </c>
      <c r="V29" s="13">
        <f t="shared" si="8"/>
        <v>67</v>
      </c>
      <c r="W29" s="13">
        <f t="shared" si="3"/>
        <v>1894</v>
      </c>
    </row>
    <row r="30" ht="12.75" customHeight="1">
      <c r="A30" s="35"/>
      <c r="B30" s="28"/>
      <c r="C30" s="36"/>
      <c r="D30" s="13" t="s">
        <v>13</v>
      </c>
      <c r="E30" s="13">
        <f t="shared" ref="E30:V30" si="9">SUM(E28:E29)</f>
        <v>239</v>
      </c>
      <c r="F30" s="13">
        <f t="shared" si="9"/>
        <v>225</v>
      </c>
      <c r="G30" s="13">
        <f t="shared" si="9"/>
        <v>223</v>
      </c>
      <c r="H30" s="13">
        <f t="shared" si="9"/>
        <v>228</v>
      </c>
      <c r="I30" s="13">
        <f t="shared" si="9"/>
        <v>186</v>
      </c>
      <c r="J30" s="13">
        <f t="shared" si="9"/>
        <v>179</v>
      </c>
      <c r="K30" s="13">
        <f t="shared" si="9"/>
        <v>208</v>
      </c>
      <c r="L30" s="13">
        <f t="shared" si="9"/>
        <v>183</v>
      </c>
      <c r="M30" s="13">
        <f t="shared" si="9"/>
        <v>182</v>
      </c>
      <c r="N30" s="13">
        <f t="shared" si="9"/>
        <v>196</v>
      </c>
      <c r="O30" s="13">
        <f t="shared" si="9"/>
        <v>210</v>
      </c>
      <c r="P30" s="13">
        <f t="shared" si="9"/>
        <v>221</v>
      </c>
      <c r="Q30" s="13">
        <f t="shared" si="9"/>
        <v>222</v>
      </c>
      <c r="R30" s="13">
        <f t="shared" si="9"/>
        <v>210</v>
      </c>
      <c r="S30" s="13">
        <f t="shared" si="9"/>
        <v>210</v>
      </c>
      <c r="T30" s="13">
        <f t="shared" si="9"/>
        <v>227</v>
      </c>
      <c r="U30" s="13">
        <f t="shared" si="9"/>
        <v>159</v>
      </c>
      <c r="V30" s="13">
        <f t="shared" si="9"/>
        <v>136</v>
      </c>
      <c r="W30" s="13">
        <f t="shared" si="3"/>
        <v>3644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68"/>
    </row>
    <row r="33" ht="12.75" customHeight="1">
      <c r="A33" s="19">
        <v>1.0</v>
      </c>
      <c r="B33" s="20" t="s">
        <v>26</v>
      </c>
      <c r="C33" s="15"/>
      <c r="D33" s="16"/>
      <c r="E33" s="19">
        <v>298.0</v>
      </c>
      <c r="F33" s="19">
        <v>304.0</v>
      </c>
      <c r="G33" s="19">
        <v>298.0</v>
      </c>
      <c r="H33" s="19">
        <v>296.0</v>
      </c>
      <c r="I33" s="19">
        <v>262.0</v>
      </c>
      <c r="J33" s="19">
        <v>231.0</v>
      </c>
      <c r="K33" s="19">
        <v>268.0</v>
      </c>
      <c r="L33" s="19">
        <v>250.0</v>
      </c>
      <c r="M33" s="19">
        <v>257.0</v>
      </c>
      <c r="N33" s="19">
        <v>268.0</v>
      </c>
      <c r="O33" s="19">
        <v>291.0</v>
      </c>
      <c r="P33" s="19">
        <v>290.0</v>
      </c>
      <c r="Q33" s="19">
        <v>286.0</v>
      </c>
      <c r="R33" s="19">
        <v>288.0</v>
      </c>
      <c r="S33" s="19">
        <v>282.0</v>
      </c>
      <c r="T33" s="19">
        <v>286.0</v>
      </c>
      <c r="U33" s="19">
        <v>236.0</v>
      </c>
      <c r="V33" s="19">
        <v>170.0</v>
      </c>
      <c r="W33" s="13">
        <f t="shared" ref="W33:W36" si="10">SUM(E33:V33)</f>
        <v>4861</v>
      </c>
    </row>
    <row r="34" ht="12.75" customHeight="1">
      <c r="A34" s="19">
        <v>2.0</v>
      </c>
      <c r="B34" s="20" t="s">
        <v>27</v>
      </c>
      <c r="C34" s="15"/>
      <c r="D34" s="16"/>
      <c r="E34" s="13">
        <v>239.0</v>
      </c>
      <c r="F34" s="13">
        <v>225.0</v>
      </c>
      <c r="G34" s="13">
        <v>223.0</v>
      </c>
      <c r="H34" s="13">
        <v>228.0</v>
      </c>
      <c r="I34" s="13">
        <v>186.0</v>
      </c>
      <c r="J34" s="13">
        <v>179.0</v>
      </c>
      <c r="K34" s="13">
        <v>208.0</v>
      </c>
      <c r="L34" s="13">
        <v>183.0</v>
      </c>
      <c r="M34" s="13">
        <v>182.0</v>
      </c>
      <c r="N34" s="13">
        <v>196.0</v>
      </c>
      <c r="O34" s="13">
        <v>210.0</v>
      </c>
      <c r="P34" s="13">
        <v>221.0</v>
      </c>
      <c r="Q34" s="13">
        <v>222.0</v>
      </c>
      <c r="R34" s="13">
        <v>210.0</v>
      </c>
      <c r="S34" s="13">
        <v>210.0</v>
      </c>
      <c r="T34" s="13">
        <v>227.0</v>
      </c>
      <c r="U34" s="13">
        <v>159.0</v>
      </c>
      <c r="V34" s="13">
        <v>136.0</v>
      </c>
      <c r="W34" s="13">
        <f t="shared" si="10"/>
        <v>3644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9">
        <v>0.0</v>
      </c>
      <c r="U35" s="19">
        <v>0.0</v>
      </c>
      <c r="V35" s="19">
        <v>0.0</v>
      </c>
      <c r="W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V36" si="11">E33-(E34+E35)</f>
        <v>59</v>
      </c>
      <c r="F36" s="13">
        <f t="shared" si="11"/>
        <v>79</v>
      </c>
      <c r="G36" s="13">
        <f t="shared" si="11"/>
        <v>75</v>
      </c>
      <c r="H36" s="13">
        <f t="shared" si="11"/>
        <v>68</v>
      </c>
      <c r="I36" s="13">
        <f t="shared" si="11"/>
        <v>76</v>
      </c>
      <c r="J36" s="13">
        <f t="shared" si="11"/>
        <v>52</v>
      </c>
      <c r="K36" s="13">
        <f t="shared" si="11"/>
        <v>60</v>
      </c>
      <c r="L36" s="13">
        <f t="shared" si="11"/>
        <v>67</v>
      </c>
      <c r="M36" s="13">
        <f t="shared" si="11"/>
        <v>72</v>
      </c>
      <c r="N36" s="13">
        <f t="shared" si="11"/>
        <v>72</v>
      </c>
      <c r="O36" s="13">
        <f t="shared" si="11"/>
        <v>81</v>
      </c>
      <c r="P36" s="13">
        <f t="shared" si="11"/>
        <v>69</v>
      </c>
      <c r="Q36" s="13">
        <f t="shared" si="11"/>
        <v>64</v>
      </c>
      <c r="R36" s="13">
        <f t="shared" si="11"/>
        <v>77</v>
      </c>
      <c r="S36" s="13">
        <f t="shared" si="11"/>
        <v>71</v>
      </c>
      <c r="T36" s="13">
        <f t="shared" si="11"/>
        <v>59</v>
      </c>
      <c r="U36" s="13">
        <f t="shared" si="11"/>
        <v>77</v>
      </c>
      <c r="V36" s="13">
        <f t="shared" si="11"/>
        <v>34</v>
      </c>
      <c r="W36" s="13">
        <f t="shared" si="10"/>
        <v>1212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3.0</v>
      </c>
      <c r="I39" s="19">
        <v>0.0</v>
      </c>
      <c r="J39" s="19">
        <v>0.0</v>
      </c>
      <c r="K39" s="19">
        <v>3.0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2.0</v>
      </c>
      <c r="S39" s="19">
        <v>0.0</v>
      </c>
      <c r="T39" s="19">
        <v>1.0</v>
      </c>
      <c r="U39" s="19">
        <v>0.0</v>
      </c>
      <c r="V39" s="19">
        <v>0.0</v>
      </c>
      <c r="W39" s="13">
        <f t="shared" ref="W39:W41" si="12">SUM(E39:V39)</f>
        <v>10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1.0</v>
      </c>
      <c r="I40" s="19">
        <v>1.0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1.0</v>
      </c>
      <c r="S40" s="19">
        <v>0.0</v>
      </c>
      <c r="T40" s="19">
        <v>1.0</v>
      </c>
      <c r="U40" s="19">
        <v>0.0</v>
      </c>
      <c r="V40" s="19">
        <v>0.0</v>
      </c>
      <c r="W40" s="13">
        <f t="shared" si="12"/>
        <v>6</v>
      </c>
    </row>
    <row r="41" ht="12.75" customHeight="1">
      <c r="A41" s="41"/>
      <c r="B41" s="44"/>
      <c r="C41" s="28"/>
      <c r="D41" s="13" t="s">
        <v>13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1</v>
      </c>
      <c r="J41" s="13">
        <f t="shared" si="13"/>
        <v>0</v>
      </c>
      <c r="K41" s="13">
        <f t="shared" si="13"/>
        <v>4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2"/>
        <v>16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4.0</v>
      </c>
      <c r="F45" s="19">
        <v>6.0</v>
      </c>
      <c r="G45" s="19">
        <v>5.0</v>
      </c>
      <c r="H45" s="19">
        <v>2.0</v>
      </c>
      <c r="I45" s="19">
        <v>11.0</v>
      </c>
      <c r="J45" s="19">
        <v>13.0</v>
      </c>
      <c r="K45" s="19">
        <v>15.0</v>
      </c>
      <c r="L45" s="19">
        <v>7.0</v>
      </c>
      <c r="M45" s="19">
        <v>10.0</v>
      </c>
      <c r="N45" s="19">
        <v>15.0</v>
      </c>
      <c r="O45" s="19">
        <v>2.0</v>
      </c>
      <c r="P45" s="19">
        <v>6.0</v>
      </c>
      <c r="Q45" s="19">
        <v>8.0</v>
      </c>
      <c r="R45" s="19">
        <v>6.0</v>
      </c>
      <c r="S45" s="19">
        <v>9.0</v>
      </c>
      <c r="T45" s="19">
        <v>5.0</v>
      </c>
      <c r="U45" s="19">
        <v>1.0</v>
      </c>
      <c r="V45" s="19">
        <v>0.0</v>
      </c>
      <c r="W45" s="13">
        <f t="shared" ref="W45:W52" si="14">SUM(E45:V45)</f>
        <v>125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14.0</v>
      </c>
      <c r="F46" s="19">
        <v>29.0</v>
      </c>
      <c r="G46" s="19">
        <v>1.0</v>
      </c>
      <c r="H46" s="19">
        <v>29.0</v>
      </c>
      <c r="I46" s="19">
        <v>33.0</v>
      </c>
      <c r="J46" s="19">
        <v>26.0</v>
      </c>
      <c r="K46" s="19">
        <v>39.0</v>
      </c>
      <c r="L46" s="19">
        <v>16.0</v>
      </c>
      <c r="M46" s="19">
        <v>14.0</v>
      </c>
      <c r="N46" s="19">
        <v>13.0</v>
      </c>
      <c r="O46" s="19">
        <v>9.0</v>
      </c>
      <c r="P46" s="19">
        <v>6.0</v>
      </c>
      <c r="Q46" s="19">
        <v>8.0</v>
      </c>
      <c r="R46" s="19">
        <v>10.0</v>
      </c>
      <c r="S46" s="19">
        <v>13.0</v>
      </c>
      <c r="T46" s="19">
        <v>2.0</v>
      </c>
      <c r="U46" s="19">
        <v>2.0</v>
      </c>
      <c r="V46" s="19">
        <v>0.0</v>
      </c>
      <c r="W46" s="13">
        <f t="shared" si="14"/>
        <v>264</v>
      </c>
    </row>
    <row r="47" ht="12.75" customHeight="1">
      <c r="A47" s="18"/>
      <c r="B47" s="55">
        <v>2.0</v>
      </c>
      <c r="C47" s="50" t="s">
        <v>40</v>
      </c>
      <c r="D47" s="16"/>
      <c r="E47" s="19">
        <v>4.0</v>
      </c>
      <c r="F47" s="19">
        <v>4.0</v>
      </c>
      <c r="G47" s="19">
        <v>7.0</v>
      </c>
      <c r="H47" s="19">
        <v>4.0</v>
      </c>
      <c r="I47" s="19">
        <v>9.0</v>
      </c>
      <c r="J47" s="19">
        <v>2.0</v>
      </c>
      <c r="K47" s="19">
        <v>3.0</v>
      </c>
      <c r="L47" s="19">
        <v>5.0</v>
      </c>
      <c r="M47" s="19">
        <v>4.0</v>
      </c>
      <c r="N47" s="19">
        <v>2.0</v>
      </c>
      <c r="O47" s="19">
        <v>2.0</v>
      </c>
      <c r="P47" s="19">
        <v>5.0</v>
      </c>
      <c r="Q47" s="19">
        <v>3.0</v>
      </c>
      <c r="R47" s="19">
        <v>2.0</v>
      </c>
      <c r="S47" s="19">
        <v>8.0</v>
      </c>
      <c r="T47" s="19">
        <v>3.0</v>
      </c>
      <c r="U47" s="19">
        <v>1.0</v>
      </c>
      <c r="V47" s="19">
        <v>0.0</v>
      </c>
      <c r="W47" s="13">
        <f t="shared" si="14"/>
        <v>68</v>
      </c>
    </row>
    <row r="48" ht="12.75" customHeight="1">
      <c r="A48" s="18"/>
      <c r="B48" s="55">
        <v>3.0</v>
      </c>
      <c r="C48" s="50" t="s">
        <v>41</v>
      </c>
      <c r="D48" s="16"/>
      <c r="E48" s="19">
        <v>1.0</v>
      </c>
      <c r="F48" s="19">
        <v>1.0</v>
      </c>
      <c r="G48" s="19">
        <v>0.0</v>
      </c>
      <c r="H48" s="19">
        <v>0.0</v>
      </c>
      <c r="I48" s="19">
        <v>1.0</v>
      </c>
      <c r="J48" s="19">
        <v>0.0</v>
      </c>
      <c r="K48" s="19">
        <v>1.0</v>
      </c>
      <c r="L48" s="19">
        <v>0.0</v>
      </c>
      <c r="M48" s="19">
        <v>0.0</v>
      </c>
      <c r="N48" s="19">
        <v>2.0</v>
      </c>
      <c r="O48" s="19">
        <v>0.0</v>
      </c>
      <c r="P48" s="19">
        <v>1.0</v>
      </c>
      <c r="Q48" s="19">
        <v>0.0</v>
      </c>
      <c r="R48" s="19">
        <v>0.0</v>
      </c>
      <c r="S48" s="19">
        <v>1.0</v>
      </c>
      <c r="T48" s="19">
        <v>1.0</v>
      </c>
      <c r="U48" s="19">
        <v>0.0</v>
      </c>
      <c r="V48" s="19">
        <v>1.0</v>
      </c>
      <c r="W48" s="13">
        <f t="shared" si="14"/>
        <v>10</v>
      </c>
    </row>
    <row r="49" ht="12.75" customHeight="1">
      <c r="A49" s="18"/>
      <c r="B49" s="55">
        <v>4.0</v>
      </c>
      <c r="C49" s="50" t="s">
        <v>42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0.0</v>
      </c>
      <c r="J49" s="19">
        <v>0.0</v>
      </c>
      <c r="K49" s="19">
        <v>1.0</v>
      </c>
      <c r="L49" s="19">
        <v>1.0</v>
      </c>
      <c r="M49" s="19">
        <v>0.0</v>
      </c>
      <c r="N49" s="19">
        <v>0.0</v>
      </c>
      <c r="O49" s="19">
        <v>2.0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3">
        <f t="shared" si="14"/>
        <v>7</v>
      </c>
    </row>
    <row r="50" ht="12.75" customHeight="1">
      <c r="A50" s="18"/>
      <c r="B50" s="55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3.0</v>
      </c>
      <c r="L50" s="19">
        <v>0.0</v>
      </c>
      <c r="M50" s="19">
        <v>0.0</v>
      </c>
      <c r="N50" s="19">
        <v>0.0</v>
      </c>
      <c r="O50" s="19">
        <v>1.0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3">
        <f t="shared" si="14"/>
        <v>6</v>
      </c>
    </row>
    <row r="51" ht="12.75" customHeight="1">
      <c r="A51" s="18"/>
      <c r="B51" s="55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3">
        <f t="shared" si="14"/>
        <v>1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V55" si="15">SUM(E45:E52)</f>
        <v>23</v>
      </c>
      <c r="F55" s="13">
        <f t="shared" si="15"/>
        <v>40</v>
      </c>
      <c r="G55" s="13">
        <f t="shared" si="15"/>
        <v>14</v>
      </c>
      <c r="H55" s="13">
        <f t="shared" si="15"/>
        <v>36</v>
      </c>
      <c r="I55" s="13">
        <f t="shared" si="15"/>
        <v>54</v>
      </c>
      <c r="J55" s="13">
        <f t="shared" si="15"/>
        <v>42</v>
      </c>
      <c r="K55" s="13">
        <f t="shared" si="15"/>
        <v>62</v>
      </c>
      <c r="L55" s="13">
        <f t="shared" si="15"/>
        <v>31</v>
      </c>
      <c r="M55" s="13">
        <f t="shared" si="15"/>
        <v>28</v>
      </c>
      <c r="N55" s="13">
        <f t="shared" si="15"/>
        <v>32</v>
      </c>
      <c r="O55" s="13">
        <f t="shared" si="15"/>
        <v>16</v>
      </c>
      <c r="P55" s="13">
        <f t="shared" si="15"/>
        <v>19</v>
      </c>
      <c r="Q55" s="13">
        <f t="shared" si="15"/>
        <v>19</v>
      </c>
      <c r="R55" s="13">
        <f t="shared" si="15"/>
        <v>18</v>
      </c>
      <c r="S55" s="13">
        <f t="shared" si="15"/>
        <v>31</v>
      </c>
      <c r="T55" s="13">
        <f t="shared" si="15"/>
        <v>12</v>
      </c>
      <c r="U55" s="13">
        <f t="shared" si="15"/>
        <v>5</v>
      </c>
      <c r="V55" s="13">
        <f t="shared" si="15"/>
        <v>1</v>
      </c>
      <c r="W55" s="13">
        <f>SUM(E55:V55)</f>
        <v>483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25.0</v>
      </c>
      <c r="F57" s="19">
        <v>22.0</v>
      </c>
      <c r="G57" s="19">
        <v>10.0</v>
      </c>
      <c r="H57" s="19">
        <v>6.0</v>
      </c>
      <c r="I57" s="19">
        <v>5.0</v>
      </c>
      <c r="J57" s="19">
        <v>2.0</v>
      </c>
      <c r="K57" s="19">
        <v>10.0</v>
      </c>
      <c r="L57" s="19">
        <v>9.0</v>
      </c>
      <c r="M57" s="19">
        <v>6.0</v>
      </c>
      <c r="N57" s="19">
        <v>8.0</v>
      </c>
      <c r="O57" s="19">
        <v>3.0</v>
      </c>
      <c r="P57" s="19">
        <v>6.0</v>
      </c>
      <c r="Q57" s="19">
        <v>6.0</v>
      </c>
      <c r="R57" s="19">
        <v>5.0</v>
      </c>
      <c r="S57" s="19">
        <v>12.0</v>
      </c>
      <c r="T57" s="19">
        <v>14.0</v>
      </c>
      <c r="U57" s="19">
        <v>3.0</v>
      </c>
      <c r="V57" s="19">
        <v>0.0</v>
      </c>
      <c r="W57" s="13">
        <f t="shared" ref="W57:W64" si="16">SUM(E57:V57)</f>
        <v>152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15.0</v>
      </c>
      <c r="F58" s="19">
        <v>10.0</v>
      </c>
      <c r="G58" s="19">
        <v>14.0</v>
      </c>
      <c r="H58" s="19">
        <v>7.0</v>
      </c>
      <c r="I58" s="19">
        <v>29.0</v>
      </c>
      <c r="J58" s="19">
        <v>21.0</v>
      </c>
      <c r="K58" s="19">
        <v>9.0</v>
      </c>
      <c r="L58" s="19">
        <v>24.0</v>
      </c>
      <c r="M58" s="19">
        <v>12.0</v>
      </c>
      <c r="N58" s="19">
        <v>33.0</v>
      </c>
      <c r="O58" s="19">
        <v>10.0</v>
      </c>
      <c r="P58" s="19">
        <v>19.0</v>
      </c>
      <c r="Q58" s="19">
        <v>19.0</v>
      </c>
      <c r="R58" s="19">
        <v>21.0</v>
      </c>
      <c r="S58" s="19">
        <v>19.0</v>
      </c>
      <c r="T58" s="19">
        <v>5.0</v>
      </c>
      <c r="U58" s="19">
        <v>7.0</v>
      </c>
      <c r="V58" s="19">
        <v>2.0</v>
      </c>
      <c r="W58" s="13">
        <f t="shared" si="16"/>
        <v>276</v>
      </c>
    </row>
    <row r="59" ht="12.75" customHeight="1">
      <c r="A59" s="18"/>
      <c r="B59" s="55">
        <v>2.0</v>
      </c>
      <c r="C59" s="50" t="s">
        <v>49</v>
      </c>
      <c r="D59" s="56"/>
      <c r="E59" s="19">
        <v>63.0</v>
      </c>
      <c r="F59" s="19">
        <v>23.0</v>
      </c>
      <c r="G59" s="19">
        <v>40.0</v>
      </c>
      <c r="H59" s="19">
        <v>17.0</v>
      </c>
      <c r="I59" s="19">
        <v>1.0</v>
      </c>
      <c r="J59" s="19">
        <v>2.0</v>
      </c>
      <c r="K59" s="19">
        <v>5.0</v>
      </c>
      <c r="L59" s="19">
        <v>8.0</v>
      </c>
      <c r="M59" s="19">
        <v>9.0</v>
      </c>
      <c r="N59" s="19">
        <v>0.0</v>
      </c>
      <c r="O59" s="19">
        <v>33.0</v>
      </c>
      <c r="P59" s="19">
        <v>26.0</v>
      </c>
      <c r="Q59" s="19">
        <v>19.0</v>
      </c>
      <c r="R59" s="19">
        <v>32.0</v>
      </c>
      <c r="S59" s="19">
        <v>19.0</v>
      </c>
      <c r="T59" s="19">
        <v>3.0</v>
      </c>
      <c r="U59" s="19">
        <v>1.0</v>
      </c>
      <c r="V59" s="19">
        <v>0.0</v>
      </c>
      <c r="W59" s="13">
        <f t="shared" si="16"/>
        <v>301</v>
      </c>
    </row>
    <row r="60" ht="12.75" customHeight="1">
      <c r="A60" s="18"/>
      <c r="B60" s="55">
        <v>3.0</v>
      </c>
      <c r="C60" s="50" t="s">
        <v>50</v>
      </c>
      <c r="D60" s="56"/>
      <c r="E60" s="19">
        <v>2.0</v>
      </c>
      <c r="F60" s="19">
        <v>3.0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1.0</v>
      </c>
      <c r="O60" s="19">
        <v>1.0</v>
      </c>
      <c r="P60" s="19">
        <v>0.0</v>
      </c>
      <c r="Q60" s="19">
        <v>0.0</v>
      </c>
      <c r="R60" s="19">
        <v>1.0</v>
      </c>
      <c r="S60" s="19">
        <v>0.0</v>
      </c>
      <c r="T60" s="19">
        <v>1.0</v>
      </c>
      <c r="U60" s="19">
        <v>0.0</v>
      </c>
      <c r="V60" s="19">
        <v>0.0</v>
      </c>
      <c r="W60" s="13">
        <f t="shared" si="16"/>
        <v>11</v>
      </c>
    </row>
    <row r="61" ht="12.75" customHeight="1">
      <c r="A61" s="18"/>
      <c r="B61" s="55">
        <v>4.0</v>
      </c>
      <c r="C61" s="50" t="s">
        <v>51</v>
      </c>
      <c r="D61" s="56"/>
      <c r="E61" s="19">
        <v>1.0</v>
      </c>
      <c r="F61" s="19">
        <v>1.0</v>
      </c>
      <c r="G61" s="19">
        <v>1.0</v>
      </c>
      <c r="H61" s="19">
        <v>2.0</v>
      </c>
      <c r="I61" s="19">
        <v>1.0</v>
      </c>
      <c r="J61" s="19">
        <v>0.0</v>
      </c>
      <c r="K61" s="19">
        <v>0.0</v>
      </c>
      <c r="L61" s="19">
        <v>1.0</v>
      </c>
      <c r="M61" s="19">
        <v>0.0</v>
      </c>
      <c r="N61" s="19">
        <v>0.0</v>
      </c>
      <c r="O61" s="19">
        <v>0.0</v>
      </c>
      <c r="P61" s="19">
        <v>1.0</v>
      </c>
      <c r="Q61" s="19">
        <v>0.0</v>
      </c>
      <c r="R61" s="19">
        <v>0.0</v>
      </c>
      <c r="S61" s="19">
        <v>2.0</v>
      </c>
      <c r="T61" s="19">
        <v>0.0</v>
      </c>
      <c r="U61" s="19">
        <v>2.0</v>
      </c>
      <c r="V61" s="19">
        <v>0.0</v>
      </c>
      <c r="W61" s="13">
        <f t="shared" si="16"/>
        <v>12</v>
      </c>
    </row>
    <row r="62" ht="12.75" customHeight="1">
      <c r="A62" s="18"/>
      <c r="B62" s="55">
        <v>5.0</v>
      </c>
      <c r="C62" s="50" t="s">
        <v>52</v>
      </c>
      <c r="D62" s="56"/>
      <c r="E62" s="19">
        <v>1.0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2.0</v>
      </c>
      <c r="S62" s="19">
        <v>1.0</v>
      </c>
      <c r="T62" s="19">
        <v>0.0</v>
      </c>
      <c r="U62" s="19">
        <v>0.0</v>
      </c>
      <c r="V62" s="19">
        <v>0.0</v>
      </c>
      <c r="W62" s="13">
        <f t="shared" si="16"/>
        <v>6</v>
      </c>
    </row>
    <row r="63" ht="12.75" customHeight="1">
      <c r="A63" s="18"/>
      <c r="B63" s="55">
        <v>6.0</v>
      </c>
      <c r="C63" s="50" t="s">
        <v>53</v>
      </c>
      <c r="D63" s="57"/>
      <c r="E63" s="19">
        <v>1.0</v>
      </c>
      <c r="F63" s="19">
        <v>1.0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9">
        <v>2.0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3">
        <f t="shared" si="16"/>
        <v>5</v>
      </c>
    </row>
    <row r="64" ht="12.75" customHeight="1">
      <c r="A64" s="18"/>
      <c r="B64" s="55">
        <v>7.0</v>
      </c>
      <c r="C64" s="50" t="s">
        <v>54</v>
      </c>
      <c r="D64" s="56"/>
      <c r="E64" s="19">
        <v>1.0</v>
      </c>
      <c r="F64" s="19">
        <v>0.0</v>
      </c>
      <c r="G64" s="19">
        <v>3.0</v>
      </c>
      <c r="H64" s="19">
        <v>1.0</v>
      </c>
      <c r="I64" s="19">
        <v>3.0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3">
        <f t="shared" si="16"/>
        <v>10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V67" si="17">SUM(E57:E64)</f>
        <v>109</v>
      </c>
      <c r="F67" s="13">
        <f t="shared" si="17"/>
        <v>61</v>
      </c>
      <c r="G67" s="13">
        <f t="shared" si="17"/>
        <v>69</v>
      </c>
      <c r="H67" s="13">
        <f t="shared" si="17"/>
        <v>33</v>
      </c>
      <c r="I67" s="13">
        <f t="shared" si="17"/>
        <v>41</v>
      </c>
      <c r="J67" s="13">
        <f t="shared" si="17"/>
        <v>25</v>
      </c>
      <c r="K67" s="13">
        <f t="shared" si="17"/>
        <v>24</v>
      </c>
      <c r="L67" s="13">
        <f t="shared" si="17"/>
        <v>42</v>
      </c>
      <c r="M67" s="13">
        <f t="shared" si="17"/>
        <v>27</v>
      </c>
      <c r="N67" s="13">
        <f t="shared" si="17"/>
        <v>46</v>
      </c>
      <c r="O67" s="13">
        <f t="shared" si="17"/>
        <v>47</v>
      </c>
      <c r="P67" s="13">
        <f t="shared" si="17"/>
        <v>52</v>
      </c>
      <c r="Q67" s="13">
        <f t="shared" si="17"/>
        <v>44</v>
      </c>
      <c r="R67" s="13">
        <f t="shared" si="17"/>
        <v>61</v>
      </c>
      <c r="S67" s="13">
        <f t="shared" si="17"/>
        <v>53</v>
      </c>
      <c r="T67" s="13">
        <f t="shared" si="17"/>
        <v>24</v>
      </c>
      <c r="U67" s="13">
        <f t="shared" si="17"/>
        <v>13</v>
      </c>
      <c r="V67" s="13">
        <f t="shared" si="17"/>
        <v>2</v>
      </c>
      <c r="W67" s="13">
        <f>SUM(E67:V67)</f>
        <v>773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5.0</v>
      </c>
      <c r="F69" s="19">
        <v>23.0</v>
      </c>
      <c r="G69" s="19">
        <v>8.0</v>
      </c>
      <c r="H69" s="19">
        <v>2.0</v>
      </c>
      <c r="I69" s="19">
        <v>3.0</v>
      </c>
      <c r="J69" s="19">
        <v>4.0</v>
      </c>
      <c r="K69" s="19">
        <v>4.0</v>
      </c>
      <c r="L69" s="19">
        <v>8.0</v>
      </c>
      <c r="M69" s="19">
        <v>12.0</v>
      </c>
      <c r="N69" s="19">
        <v>6.0</v>
      </c>
      <c r="O69" s="19">
        <v>7.0</v>
      </c>
      <c r="P69" s="19">
        <v>9.0</v>
      </c>
      <c r="Q69" s="19">
        <v>6.0</v>
      </c>
      <c r="R69" s="19">
        <v>3.0</v>
      </c>
      <c r="S69" s="19">
        <v>12.0</v>
      </c>
      <c r="T69" s="19">
        <v>13.0</v>
      </c>
      <c r="U69" s="19">
        <v>6.0</v>
      </c>
      <c r="V69" s="19">
        <v>0.0</v>
      </c>
      <c r="W69" s="13">
        <f t="shared" ref="W69:W76" si="18">SUM(E69:V69)</f>
        <v>131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6.0</v>
      </c>
      <c r="F70" s="19">
        <v>11.0</v>
      </c>
      <c r="G70" s="19">
        <v>4.0</v>
      </c>
      <c r="H70" s="19">
        <v>8.0</v>
      </c>
      <c r="I70" s="19">
        <v>10.0</v>
      </c>
      <c r="J70" s="19">
        <v>7.0</v>
      </c>
      <c r="K70" s="19">
        <v>6.0</v>
      </c>
      <c r="L70" s="19">
        <v>5.0</v>
      </c>
      <c r="M70" s="19">
        <v>13.0</v>
      </c>
      <c r="N70" s="19">
        <v>11.0</v>
      </c>
      <c r="O70" s="19">
        <v>9.0</v>
      </c>
      <c r="P70" s="19">
        <v>42.0</v>
      </c>
      <c r="Q70" s="19">
        <v>10.0</v>
      </c>
      <c r="R70" s="19">
        <v>8.0</v>
      </c>
      <c r="S70" s="19">
        <v>16.0</v>
      </c>
      <c r="T70" s="19">
        <v>11.0</v>
      </c>
      <c r="U70" s="19">
        <v>3.0</v>
      </c>
      <c r="V70" s="19">
        <v>129.0</v>
      </c>
      <c r="W70" s="13">
        <f t="shared" si="18"/>
        <v>309</v>
      </c>
    </row>
    <row r="71" ht="12.75" customHeight="1">
      <c r="A71" s="18"/>
      <c r="B71" s="55">
        <v>2.0</v>
      </c>
      <c r="C71" s="50" t="s">
        <v>57</v>
      </c>
      <c r="D71" s="57"/>
      <c r="E71" s="19">
        <v>4.0</v>
      </c>
      <c r="F71" s="19">
        <v>4.0</v>
      </c>
      <c r="G71" s="19">
        <v>2.0</v>
      </c>
      <c r="H71" s="19">
        <v>5.0</v>
      </c>
      <c r="I71" s="19">
        <v>2.0</v>
      </c>
      <c r="J71" s="19">
        <v>0.0</v>
      </c>
      <c r="K71" s="19">
        <v>1.0</v>
      </c>
      <c r="L71" s="19">
        <v>2.0</v>
      </c>
      <c r="M71" s="19">
        <v>2.0</v>
      </c>
      <c r="N71" s="19">
        <v>2.0</v>
      </c>
      <c r="O71" s="19">
        <v>0.0</v>
      </c>
      <c r="P71" s="19">
        <v>1.0</v>
      </c>
      <c r="Q71" s="19">
        <v>4.0</v>
      </c>
      <c r="R71" s="19">
        <v>1.0</v>
      </c>
      <c r="S71" s="19">
        <v>2.0</v>
      </c>
      <c r="T71" s="19">
        <v>1.0</v>
      </c>
      <c r="U71" s="19">
        <v>0.0</v>
      </c>
      <c r="V71" s="19">
        <v>0.0</v>
      </c>
      <c r="W71" s="13">
        <f t="shared" si="18"/>
        <v>33</v>
      </c>
    </row>
    <row r="72" ht="12.75" customHeight="1">
      <c r="A72" s="18"/>
      <c r="B72" s="55">
        <v>3.0</v>
      </c>
      <c r="C72" s="50" t="s">
        <v>58</v>
      </c>
      <c r="D72" s="57"/>
      <c r="E72" s="19">
        <v>0.0</v>
      </c>
      <c r="F72" s="19">
        <v>5.0</v>
      </c>
      <c r="G72" s="19">
        <v>2.0</v>
      </c>
      <c r="H72" s="19">
        <v>3.0</v>
      </c>
      <c r="I72" s="19">
        <v>4.0</v>
      </c>
      <c r="J72" s="19">
        <v>4.0</v>
      </c>
      <c r="K72" s="19">
        <v>1.0</v>
      </c>
      <c r="L72" s="19">
        <v>1.0</v>
      </c>
      <c r="M72" s="19">
        <v>2.0</v>
      </c>
      <c r="N72" s="19">
        <v>2.0</v>
      </c>
      <c r="O72" s="19">
        <v>2.0</v>
      </c>
      <c r="P72" s="19">
        <v>2.0</v>
      </c>
      <c r="Q72" s="19">
        <v>1.0</v>
      </c>
      <c r="R72" s="19">
        <v>1.0</v>
      </c>
      <c r="S72" s="19">
        <v>3.0</v>
      </c>
      <c r="T72" s="19">
        <v>1.0</v>
      </c>
      <c r="U72" s="19">
        <v>0.0</v>
      </c>
      <c r="V72" s="19">
        <v>0.0</v>
      </c>
      <c r="W72" s="13">
        <f t="shared" si="18"/>
        <v>34</v>
      </c>
    </row>
    <row r="73" ht="12.75" customHeight="1">
      <c r="A73" s="18"/>
      <c r="B73" s="55">
        <v>4.0</v>
      </c>
      <c r="C73" s="50" t="s">
        <v>59</v>
      </c>
      <c r="D73" s="57"/>
      <c r="E73" s="19">
        <v>1.0</v>
      </c>
      <c r="F73" s="19">
        <v>1.0</v>
      </c>
      <c r="G73" s="19">
        <v>0.0</v>
      </c>
      <c r="H73" s="19">
        <v>3.0</v>
      </c>
      <c r="I73" s="19">
        <v>1.0</v>
      </c>
      <c r="J73" s="19">
        <v>0.0</v>
      </c>
      <c r="K73" s="19">
        <v>3.0</v>
      </c>
      <c r="L73" s="19">
        <v>2.0</v>
      </c>
      <c r="M73" s="19">
        <v>1.0</v>
      </c>
      <c r="N73" s="19">
        <v>3.0</v>
      </c>
      <c r="O73" s="19">
        <v>3.0</v>
      </c>
      <c r="P73" s="19">
        <v>2.0</v>
      </c>
      <c r="Q73" s="19">
        <v>0.0</v>
      </c>
      <c r="R73" s="19">
        <v>0.0</v>
      </c>
      <c r="S73" s="19">
        <v>3.0</v>
      </c>
      <c r="T73" s="19">
        <v>1.0</v>
      </c>
      <c r="U73" s="19">
        <v>1.0</v>
      </c>
      <c r="V73" s="19">
        <v>0.0</v>
      </c>
      <c r="W73" s="13">
        <f t="shared" si="18"/>
        <v>25</v>
      </c>
    </row>
    <row r="74" ht="12.75" customHeight="1">
      <c r="A74" s="18"/>
      <c r="B74" s="55">
        <v>5.0</v>
      </c>
      <c r="C74" s="50" t="s">
        <v>60</v>
      </c>
      <c r="D74" s="57"/>
      <c r="E74" s="19">
        <v>0.0</v>
      </c>
      <c r="F74" s="19">
        <v>2.0</v>
      </c>
      <c r="G74" s="19">
        <v>6.0</v>
      </c>
      <c r="H74" s="19">
        <v>1.0</v>
      </c>
      <c r="I74" s="19">
        <v>0.0</v>
      </c>
      <c r="J74" s="19">
        <v>1.0</v>
      </c>
      <c r="K74" s="19">
        <v>4.0</v>
      </c>
      <c r="L74" s="19">
        <v>4.0</v>
      </c>
      <c r="M74" s="19">
        <v>1.0</v>
      </c>
      <c r="N74" s="19">
        <v>1.0</v>
      </c>
      <c r="O74" s="19">
        <v>2.0</v>
      </c>
      <c r="P74" s="19">
        <v>2.0</v>
      </c>
      <c r="Q74" s="19">
        <v>0.0</v>
      </c>
      <c r="R74" s="19">
        <v>0.0</v>
      </c>
      <c r="S74" s="19">
        <v>0.0</v>
      </c>
      <c r="T74" s="19">
        <v>0.0</v>
      </c>
      <c r="U74" s="19">
        <v>0.0</v>
      </c>
      <c r="V74" s="19">
        <v>0.0</v>
      </c>
      <c r="W74" s="13">
        <f t="shared" si="18"/>
        <v>24</v>
      </c>
    </row>
    <row r="75" ht="12.75" customHeight="1">
      <c r="A75" s="18"/>
      <c r="B75" s="55">
        <v>6.0</v>
      </c>
      <c r="C75" s="50" t="s">
        <v>61</v>
      </c>
      <c r="D75" s="57"/>
      <c r="E75" s="19">
        <v>0.0</v>
      </c>
      <c r="F75" s="19">
        <v>1.0</v>
      </c>
      <c r="G75" s="19">
        <v>0.0</v>
      </c>
      <c r="H75" s="19">
        <v>2.0</v>
      </c>
      <c r="I75" s="19">
        <v>0.0</v>
      </c>
      <c r="J75" s="19">
        <v>0.0</v>
      </c>
      <c r="K75" s="19">
        <v>0.0</v>
      </c>
      <c r="L75" s="19">
        <v>1.0</v>
      </c>
      <c r="M75" s="19">
        <v>1.0</v>
      </c>
      <c r="N75" s="19">
        <v>1.0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1.0</v>
      </c>
      <c r="U75" s="19">
        <v>1.0</v>
      </c>
      <c r="V75" s="19">
        <v>0.0</v>
      </c>
      <c r="W75" s="13">
        <f t="shared" si="18"/>
        <v>8</v>
      </c>
    </row>
    <row r="76" ht="12.75" customHeight="1">
      <c r="A76" s="18"/>
      <c r="B76" s="55">
        <v>7.0</v>
      </c>
      <c r="C76" s="50" t="s">
        <v>62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2.0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3">
        <f t="shared" si="18"/>
        <v>3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V79" si="19">SUM(E69:E76)</f>
        <v>16</v>
      </c>
      <c r="F79" s="13">
        <f t="shared" si="19"/>
        <v>47</v>
      </c>
      <c r="G79" s="13">
        <f t="shared" si="19"/>
        <v>22</v>
      </c>
      <c r="H79" s="13">
        <f t="shared" si="19"/>
        <v>24</v>
      </c>
      <c r="I79" s="13">
        <f t="shared" si="19"/>
        <v>20</v>
      </c>
      <c r="J79" s="13">
        <f t="shared" si="19"/>
        <v>16</v>
      </c>
      <c r="K79" s="13">
        <f t="shared" si="19"/>
        <v>19</v>
      </c>
      <c r="L79" s="13">
        <f t="shared" si="19"/>
        <v>23</v>
      </c>
      <c r="M79" s="13">
        <f t="shared" si="19"/>
        <v>33</v>
      </c>
      <c r="N79" s="13">
        <f t="shared" si="19"/>
        <v>28</v>
      </c>
      <c r="O79" s="13">
        <f t="shared" si="19"/>
        <v>23</v>
      </c>
      <c r="P79" s="13">
        <f t="shared" si="19"/>
        <v>58</v>
      </c>
      <c r="Q79" s="13">
        <f t="shared" si="19"/>
        <v>21</v>
      </c>
      <c r="R79" s="13">
        <f t="shared" si="19"/>
        <v>13</v>
      </c>
      <c r="S79" s="13">
        <f t="shared" si="19"/>
        <v>36</v>
      </c>
      <c r="T79" s="13">
        <f t="shared" si="19"/>
        <v>28</v>
      </c>
      <c r="U79" s="13">
        <f t="shared" si="19"/>
        <v>11</v>
      </c>
      <c r="V79" s="13">
        <f t="shared" si="19"/>
        <v>129</v>
      </c>
      <c r="W79" s="13">
        <f>SUM(E79:V79)</f>
        <v>567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5.0</v>
      </c>
      <c r="F81" s="19">
        <v>1.0</v>
      </c>
      <c r="G81" s="19">
        <v>3.0</v>
      </c>
      <c r="H81" s="19">
        <v>3.0</v>
      </c>
      <c r="I81" s="19">
        <v>4.0</v>
      </c>
      <c r="J81" s="19">
        <v>2.0</v>
      </c>
      <c r="K81" s="19">
        <v>4.0</v>
      </c>
      <c r="L81" s="19">
        <v>3.0</v>
      </c>
      <c r="M81" s="19">
        <v>5.0</v>
      </c>
      <c r="N81" s="19">
        <v>5.0</v>
      </c>
      <c r="O81" s="19">
        <v>8.0</v>
      </c>
      <c r="P81" s="19">
        <v>10.0</v>
      </c>
      <c r="Q81" s="19">
        <v>7.0</v>
      </c>
      <c r="R81" s="19">
        <v>3.0</v>
      </c>
      <c r="S81" s="19">
        <v>5.0</v>
      </c>
      <c r="T81" s="19">
        <v>7.0</v>
      </c>
      <c r="U81" s="19">
        <v>3.0</v>
      </c>
      <c r="V81" s="19">
        <v>0.0</v>
      </c>
      <c r="W81" s="13">
        <f t="shared" ref="W81:W88" si="20">SUM(E81:V81)</f>
        <v>78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4.0</v>
      </c>
      <c r="F82" s="19">
        <v>2.0</v>
      </c>
      <c r="G82" s="19">
        <v>32.0</v>
      </c>
      <c r="H82" s="19">
        <v>10.0</v>
      </c>
      <c r="I82" s="19">
        <v>3.0</v>
      </c>
      <c r="J82" s="19">
        <v>3.0</v>
      </c>
      <c r="K82" s="19">
        <v>6.0</v>
      </c>
      <c r="L82" s="19">
        <v>4.0</v>
      </c>
      <c r="M82" s="19">
        <v>4.0</v>
      </c>
      <c r="N82" s="19">
        <v>5.0</v>
      </c>
      <c r="O82" s="19">
        <v>5.0</v>
      </c>
      <c r="P82" s="19">
        <v>4.0</v>
      </c>
      <c r="Q82" s="19">
        <v>5.0</v>
      </c>
      <c r="R82" s="19">
        <v>6.0</v>
      </c>
      <c r="S82" s="19">
        <v>3.0</v>
      </c>
      <c r="T82" s="19">
        <v>37.0</v>
      </c>
      <c r="U82" s="19">
        <v>27.0</v>
      </c>
      <c r="V82" s="19">
        <v>1.0</v>
      </c>
      <c r="W82" s="13">
        <f t="shared" si="20"/>
        <v>161</v>
      </c>
    </row>
    <row r="83" ht="12.75" customHeight="1">
      <c r="A83" s="18"/>
      <c r="B83" s="55">
        <v>2.0</v>
      </c>
      <c r="C83" s="50" t="s">
        <v>65</v>
      </c>
      <c r="D83" s="57"/>
      <c r="E83" s="19">
        <v>12.0</v>
      </c>
      <c r="F83" s="19">
        <v>4.0</v>
      </c>
      <c r="G83" s="19">
        <v>2.0</v>
      </c>
      <c r="H83" s="19">
        <v>3.0</v>
      </c>
      <c r="I83" s="19">
        <v>2.0</v>
      </c>
      <c r="J83" s="19">
        <v>1.0</v>
      </c>
      <c r="K83" s="19">
        <v>1.0</v>
      </c>
      <c r="L83" s="19">
        <v>2.0</v>
      </c>
      <c r="M83" s="19">
        <v>5.0</v>
      </c>
      <c r="N83" s="19">
        <v>8.0</v>
      </c>
      <c r="O83" s="19">
        <v>5.0</v>
      </c>
      <c r="P83" s="19">
        <v>3.0</v>
      </c>
      <c r="Q83" s="19">
        <v>7.0</v>
      </c>
      <c r="R83" s="19">
        <v>4.0</v>
      </c>
      <c r="S83" s="19">
        <v>4.0</v>
      </c>
      <c r="T83" s="19">
        <v>2.0</v>
      </c>
      <c r="U83" s="19">
        <v>1.0</v>
      </c>
      <c r="V83" s="19">
        <v>0.0</v>
      </c>
      <c r="W83" s="13">
        <f t="shared" si="20"/>
        <v>66</v>
      </c>
    </row>
    <row r="84" ht="12.75" customHeight="1">
      <c r="A84" s="18"/>
      <c r="B84" s="55">
        <v>3.0</v>
      </c>
      <c r="C84" s="50" t="s">
        <v>66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2.0</v>
      </c>
      <c r="L84" s="19">
        <v>1.0</v>
      </c>
      <c r="M84" s="19">
        <v>0.0</v>
      </c>
      <c r="N84" s="19">
        <v>0.0</v>
      </c>
      <c r="O84" s="19">
        <v>1.0</v>
      </c>
      <c r="P84" s="19">
        <v>1.0</v>
      </c>
      <c r="Q84" s="19">
        <v>0.0</v>
      </c>
      <c r="R84" s="19">
        <v>1.0</v>
      </c>
      <c r="S84" s="19">
        <v>0.0</v>
      </c>
      <c r="T84" s="19">
        <v>5.0</v>
      </c>
      <c r="U84" s="19">
        <v>0.0</v>
      </c>
      <c r="V84" s="19">
        <v>1.0</v>
      </c>
      <c r="W84" s="13">
        <f t="shared" si="20"/>
        <v>13</v>
      </c>
    </row>
    <row r="85" ht="12.75" customHeight="1">
      <c r="A85" s="18"/>
      <c r="B85" s="55">
        <v>4.0</v>
      </c>
      <c r="C85" s="50" t="s">
        <v>67</v>
      </c>
      <c r="D85" s="57"/>
      <c r="E85" s="19">
        <v>1.0</v>
      </c>
      <c r="F85" s="19">
        <v>1.0</v>
      </c>
      <c r="G85" s="19">
        <v>0.0</v>
      </c>
      <c r="H85" s="19">
        <v>1.0</v>
      </c>
      <c r="I85" s="19">
        <v>1.0</v>
      </c>
      <c r="J85" s="19">
        <v>0.0</v>
      </c>
      <c r="K85" s="19">
        <v>0.0</v>
      </c>
      <c r="L85" s="19">
        <v>2.0</v>
      </c>
      <c r="M85" s="19">
        <v>1.0</v>
      </c>
      <c r="N85" s="19">
        <v>1.0</v>
      </c>
      <c r="O85" s="19">
        <v>17.0</v>
      </c>
      <c r="P85" s="19">
        <v>4.0</v>
      </c>
      <c r="Q85" s="19">
        <v>3.0</v>
      </c>
      <c r="R85" s="19">
        <v>2.0</v>
      </c>
      <c r="S85" s="19">
        <v>1.0</v>
      </c>
      <c r="T85" s="19">
        <v>4.0</v>
      </c>
      <c r="U85" s="19">
        <v>1.0</v>
      </c>
      <c r="V85" s="19">
        <v>0.0</v>
      </c>
      <c r="W85" s="13">
        <f t="shared" si="20"/>
        <v>40</v>
      </c>
    </row>
    <row r="86" ht="12.75" customHeight="1">
      <c r="A86" s="18"/>
      <c r="B86" s="55">
        <v>5.0</v>
      </c>
      <c r="C86" s="50" t="s">
        <v>68</v>
      </c>
      <c r="D86" s="57"/>
      <c r="E86" s="19">
        <v>0.0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4.0</v>
      </c>
      <c r="Q86" s="19">
        <v>1.0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3">
        <f t="shared" si="20"/>
        <v>6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3">
        <f t="shared" si="20"/>
        <v>1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3">
        <f t="shared" si="20"/>
        <v>0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V91" si="21">SUM(E81:E88)</f>
        <v>22</v>
      </c>
      <c r="F91" s="13">
        <f t="shared" si="21"/>
        <v>8</v>
      </c>
      <c r="G91" s="13">
        <f t="shared" si="21"/>
        <v>38</v>
      </c>
      <c r="H91" s="13">
        <f t="shared" si="21"/>
        <v>19</v>
      </c>
      <c r="I91" s="13">
        <f t="shared" si="21"/>
        <v>10</v>
      </c>
      <c r="J91" s="13">
        <f t="shared" si="21"/>
        <v>6</v>
      </c>
      <c r="K91" s="13">
        <f t="shared" si="21"/>
        <v>13</v>
      </c>
      <c r="L91" s="13">
        <f t="shared" si="21"/>
        <v>12</v>
      </c>
      <c r="M91" s="13">
        <f t="shared" si="21"/>
        <v>15</v>
      </c>
      <c r="N91" s="13">
        <f t="shared" si="21"/>
        <v>19</v>
      </c>
      <c r="O91" s="13">
        <f t="shared" si="21"/>
        <v>36</v>
      </c>
      <c r="P91" s="13">
        <f t="shared" si="21"/>
        <v>26</v>
      </c>
      <c r="Q91" s="13">
        <f t="shared" si="21"/>
        <v>23</v>
      </c>
      <c r="R91" s="13">
        <f t="shared" si="21"/>
        <v>16</v>
      </c>
      <c r="S91" s="13">
        <f t="shared" si="21"/>
        <v>13</v>
      </c>
      <c r="T91" s="13">
        <f t="shared" si="21"/>
        <v>55</v>
      </c>
      <c r="U91" s="13">
        <f t="shared" si="21"/>
        <v>32</v>
      </c>
      <c r="V91" s="13">
        <f t="shared" si="21"/>
        <v>2</v>
      </c>
      <c r="W91" s="13">
        <f>SUM(E91:V91)</f>
        <v>365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4.0</v>
      </c>
      <c r="G93" s="19">
        <v>1.0</v>
      </c>
      <c r="H93" s="19">
        <v>0.0</v>
      </c>
      <c r="I93" s="19">
        <v>3.0</v>
      </c>
      <c r="J93" s="19">
        <v>3.0</v>
      </c>
      <c r="K93" s="19">
        <v>2.0</v>
      </c>
      <c r="L93" s="19">
        <v>3.0</v>
      </c>
      <c r="M93" s="19">
        <v>4.0</v>
      </c>
      <c r="N93" s="19">
        <v>7.0</v>
      </c>
      <c r="O93" s="19">
        <v>0.0</v>
      </c>
      <c r="P93" s="19">
        <v>2.0</v>
      </c>
      <c r="Q93" s="19">
        <v>0.0</v>
      </c>
      <c r="R93" s="19">
        <v>0.0</v>
      </c>
      <c r="S93" s="19">
        <v>1.0</v>
      </c>
      <c r="T93" s="19">
        <v>3.0</v>
      </c>
      <c r="U93" s="19">
        <v>0.0</v>
      </c>
      <c r="V93" s="19">
        <v>0.0</v>
      </c>
      <c r="W93" s="13">
        <f t="shared" ref="W93:W100" si="22">SUM(E93:V93)</f>
        <v>34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0.0</v>
      </c>
      <c r="F94" s="19">
        <v>1.0</v>
      </c>
      <c r="G94" s="19">
        <v>1.0</v>
      </c>
      <c r="H94" s="19">
        <v>2.0</v>
      </c>
      <c r="I94" s="19">
        <v>4.0</v>
      </c>
      <c r="J94" s="19">
        <v>4.0</v>
      </c>
      <c r="K94" s="19">
        <v>4.0</v>
      </c>
      <c r="L94" s="19">
        <v>3.0</v>
      </c>
      <c r="M94" s="19">
        <v>7.0</v>
      </c>
      <c r="N94" s="19">
        <v>10.0</v>
      </c>
      <c r="O94" s="19">
        <v>1.0</v>
      </c>
      <c r="P94" s="19">
        <v>0.0</v>
      </c>
      <c r="Q94" s="19">
        <v>6.0</v>
      </c>
      <c r="R94" s="19">
        <v>0.0</v>
      </c>
      <c r="S94" s="19">
        <v>0.0</v>
      </c>
      <c r="T94" s="19">
        <v>0.0</v>
      </c>
      <c r="U94" s="19">
        <v>0.0</v>
      </c>
      <c r="V94" s="19">
        <v>0.0</v>
      </c>
      <c r="W94" s="13">
        <f t="shared" si="22"/>
        <v>43</v>
      </c>
    </row>
    <row r="95" ht="12.75" customHeight="1">
      <c r="A95" s="18"/>
      <c r="B95" s="55">
        <v>2.0</v>
      </c>
      <c r="C95" s="50" t="s">
        <v>74</v>
      </c>
      <c r="D95" s="57"/>
      <c r="E95" s="19">
        <v>0.0</v>
      </c>
      <c r="F95" s="19">
        <v>0.0</v>
      </c>
      <c r="G95" s="19">
        <v>1.0</v>
      </c>
      <c r="H95" s="19">
        <v>0.0</v>
      </c>
      <c r="I95" s="19">
        <v>4.0</v>
      </c>
      <c r="J95" s="19">
        <v>21.0</v>
      </c>
      <c r="K95" s="19">
        <v>7.0</v>
      </c>
      <c r="L95" s="19">
        <v>13.0</v>
      </c>
      <c r="M95" s="19">
        <v>17.0</v>
      </c>
      <c r="N95" s="19">
        <v>4.0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3">
        <f t="shared" si="22"/>
        <v>67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3">
        <f t="shared" si="22"/>
        <v>1</v>
      </c>
    </row>
    <row r="97" ht="12.75" customHeight="1">
      <c r="A97" s="18"/>
      <c r="B97" s="55">
        <v>4.0</v>
      </c>
      <c r="C97" s="50" t="s">
        <v>76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1.0</v>
      </c>
      <c r="J97" s="19">
        <v>3.0</v>
      </c>
      <c r="K97" s="19">
        <v>0.0</v>
      </c>
      <c r="L97" s="19">
        <v>0.0</v>
      </c>
      <c r="M97" s="19">
        <v>0.0</v>
      </c>
      <c r="N97" s="19">
        <v>0.0</v>
      </c>
      <c r="O97" s="19">
        <v>2.0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3">
        <f t="shared" si="22"/>
        <v>8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3.0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3">
        <f t="shared" si="22"/>
        <v>5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2.0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2"/>
        <v>3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2"/>
        <v>2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V103" si="23">SUM(E93:E100)</f>
        <v>3</v>
      </c>
      <c r="F103" s="13">
        <f t="shared" si="23"/>
        <v>5</v>
      </c>
      <c r="G103" s="13">
        <f t="shared" si="23"/>
        <v>3</v>
      </c>
      <c r="H103" s="13">
        <f t="shared" si="23"/>
        <v>2</v>
      </c>
      <c r="I103" s="13">
        <f t="shared" si="23"/>
        <v>12</v>
      </c>
      <c r="J103" s="13">
        <f t="shared" si="23"/>
        <v>32</v>
      </c>
      <c r="K103" s="13">
        <f t="shared" si="23"/>
        <v>15</v>
      </c>
      <c r="L103" s="13">
        <f t="shared" si="23"/>
        <v>24</v>
      </c>
      <c r="M103" s="13">
        <f t="shared" si="23"/>
        <v>28</v>
      </c>
      <c r="N103" s="13">
        <f t="shared" si="23"/>
        <v>22</v>
      </c>
      <c r="O103" s="13">
        <f t="shared" si="23"/>
        <v>3</v>
      </c>
      <c r="P103" s="13">
        <f t="shared" si="23"/>
        <v>3</v>
      </c>
      <c r="Q103" s="13">
        <f t="shared" si="23"/>
        <v>6</v>
      </c>
      <c r="R103" s="13">
        <f t="shared" si="23"/>
        <v>0</v>
      </c>
      <c r="S103" s="13">
        <f t="shared" si="23"/>
        <v>1</v>
      </c>
      <c r="T103" s="13">
        <f t="shared" si="23"/>
        <v>4</v>
      </c>
      <c r="U103" s="13">
        <f t="shared" si="23"/>
        <v>0</v>
      </c>
      <c r="V103" s="13">
        <f t="shared" si="23"/>
        <v>0</v>
      </c>
      <c r="W103" s="13">
        <f>SUM(E103:V103)</f>
        <v>163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3">
        <f t="shared" ref="W105:W112" si="24">SUM(E105:V105)</f>
        <v>4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3">
        <f t="shared" si="24"/>
        <v>3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3">
        <f t="shared" si="24"/>
        <v>0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4"/>
        <v>1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3">
        <f t="shared" si="24"/>
        <v>0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3">
        <f t="shared" si="24"/>
        <v>1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3">
        <f t="shared" si="24"/>
        <v>1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V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>SUM(E115:V115)</f>
        <v>10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1.0</v>
      </c>
      <c r="G117" s="19">
        <v>3.0</v>
      </c>
      <c r="H117" s="19">
        <v>3.0</v>
      </c>
      <c r="I117" s="19">
        <v>0.0</v>
      </c>
      <c r="J117" s="19">
        <v>1.0</v>
      </c>
      <c r="K117" s="19">
        <v>1.0</v>
      </c>
      <c r="L117" s="19">
        <v>0.0</v>
      </c>
      <c r="M117" s="19">
        <v>2.0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3">
        <f t="shared" ref="W117:W120" si="26">SUM(E117:V117)</f>
        <v>11</v>
      </c>
      <c r="X117" s="5"/>
      <c r="Y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2.0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3">
        <f t="shared" si="26"/>
        <v>3</v>
      </c>
      <c r="X118" s="5"/>
      <c r="Y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3">
        <f t="shared" si="26"/>
        <v>0</v>
      </c>
      <c r="X119" s="5"/>
      <c r="Y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3">
        <f t="shared" si="26"/>
        <v>0</v>
      </c>
      <c r="X120" s="5"/>
      <c r="Y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73"/>
      <c r="X121" s="5"/>
      <c r="Y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73"/>
      <c r="X122" s="5"/>
      <c r="Y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73"/>
      <c r="X123" s="5"/>
      <c r="Y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73"/>
      <c r="X124" s="5"/>
      <c r="Y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73"/>
      <c r="X125" s="5"/>
      <c r="Y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73"/>
      <c r="X126" s="5"/>
      <c r="Y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V127" si="27">SUM(E117:E120)</f>
        <v>0</v>
      </c>
      <c r="F127" s="58">
        <f t="shared" si="27"/>
        <v>1</v>
      </c>
      <c r="G127" s="58">
        <f t="shared" si="27"/>
        <v>3</v>
      </c>
      <c r="H127" s="58">
        <f t="shared" si="27"/>
        <v>5</v>
      </c>
      <c r="I127" s="58">
        <f t="shared" si="27"/>
        <v>0</v>
      </c>
      <c r="J127" s="58">
        <f t="shared" si="27"/>
        <v>1</v>
      </c>
      <c r="K127" s="58">
        <f t="shared" si="27"/>
        <v>1</v>
      </c>
      <c r="L127" s="58">
        <f t="shared" si="27"/>
        <v>0</v>
      </c>
      <c r="M127" s="58">
        <f t="shared" si="27"/>
        <v>2</v>
      </c>
      <c r="N127" s="58">
        <f t="shared" si="27"/>
        <v>0</v>
      </c>
      <c r="O127" s="58">
        <f t="shared" si="27"/>
        <v>1</v>
      </c>
      <c r="P127" s="58">
        <f t="shared" si="27"/>
        <v>0</v>
      </c>
      <c r="Q127" s="58">
        <f t="shared" si="27"/>
        <v>0</v>
      </c>
      <c r="R127" s="58">
        <f t="shared" si="27"/>
        <v>0</v>
      </c>
      <c r="S127" s="58">
        <f t="shared" si="27"/>
        <v>0</v>
      </c>
      <c r="T127" s="58">
        <f t="shared" si="27"/>
        <v>0</v>
      </c>
      <c r="U127" s="58">
        <f t="shared" si="27"/>
        <v>0</v>
      </c>
      <c r="V127" s="58">
        <f t="shared" si="27"/>
        <v>0</v>
      </c>
      <c r="W127" s="13">
        <f>SUM(E127:V127)</f>
        <v>14</v>
      </c>
      <c r="X127" s="5"/>
      <c r="Y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5"/>
      <c r="Y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1.0</v>
      </c>
      <c r="G129" s="19">
        <v>1.0</v>
      </c>
      <c r="H129" s="19">
        <v>5.0</v>
      </c>
      <c r="I129" s="19">
        <v>2.0</v>
      </c>
      <c r="J129" s="19">
        <v>0.0</v>
      </c>
      <c r="K129" s="19">
        <v>0.0</v>
      </c>
      <c r="L129" s="19">
        <v>2.0</v>
      </c>
      <c r="M129" s="19">
        <v>0.0</v>
      </c>
      <c r="N129" s="19">
        <v>1.0</v>
      </c>
      <c r="O129" s="19">
        <v>1.0</v>
      </c>
      <c r="P129" s="19">
        <v>0.0</v>
      </c>
      <c r="Q129" s="19">
        <v>2.0</v>
      </c>
      <c r="R129" s="19">
        <v>1.0</v>
      </c>
      <c r="S129" s="19">
        <v>0.0</v>
      </c>
      <c r="T129" s="19">
        <v>11.0</v>
      </c>
      <c r="U129" s="19">
        <v>4.0</v>
      </c>
      <c r="V129" s="19">
        <v>0.0</v>
      </c>
      <c r="W129" s="13">
        <f t="shared" ref="W129:W136" si="28">SUM(E129:V129)</f>
        <v>31</v>
      </c>
      <c r="X129" s="5"/>
      <c r="Y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3.0</v>
      </c>
      <c r="F130" s="19">
        <v>0.0</v>
      </c>
      <c r="G130" s="19">
        <v>1.0</v>
      </c>
      <c r="H130" s="19">
        <v>2.0</v>
      </c>
      <c r="I130" s="19">
        <v>3.0</v>
      </c>
      <c r="J130" s="19">
        <v>12.0</v>
      </c>
      <c r="K130" s="19">
        <v>4.0</v>
      </c>
      <c r="L130" s="19">
        <v>0.0</v>
      </c>
      <c r="M130" s="19">
        <v>1.0</v>
      </c>
      <c r="N130" s="19">
        <v>4.0</v>
      </c>
      <c r="O130" s="19">
        <v>1.0</v>
      </c>
      <c r="P130" s="19">
        <v>2.0</v>
      </c>
      <c r="Q130" s="19">
        <v>3.0</v>
      </c>
      <c r="R130" s="19">
        <v>2.0</v>
      </c>
      <c r="S130" s="19">
        <v>0.0</v>
      </c>
      <c r="T130" s="19">
        <v>17.0</v>
      </c>
      <c r="U130" s="19">
        <v>20.0</v>
      </c>
      <c r="V130" s="19">
        <v>0.0</v>
      </c>
      <c r="W130" s="13">
        <f t="shared" si="28"/>
        <v>75</v>
      </c>
      <c r="X130" s="1"/>
      <c r="Y130" s="1"/>
    </row>
    <row r="131" ht="12.75" customHeight="1">
      <c r="A131" s="18"/>
      <c r="B131" s="55">
        <v>2.0</v>
      </c>
      <c r="C131" s="50" t="s">
        <v>97</v>
      </c>
      <c r="D131" s="56"/>
      <c r="E131" s="19">
        <v>3.0</v>
      </c>
      <c r="F131" s="19">
        <v>0.0</v>
      </c>
      <c r="G131" s="19">
        <v>0.0</v>
      </c>
      <c r="H131" s="19">
        <v>2.0</v>
      </c>
      <c r="I131" s="19">
        <v>0.0</v>
      </c>
      <c r="J131" s="19">
        <v>2.0</v>
      </c>
      <c r="K131" s="19">
        <v>1.0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2.0</v>
      </c>
      <c r="U131" s="19">
        <v>1.0</v>
      </c>
      <c r="V131" s="19">
        <v>0.0</v>
      </c>
      <c r="W131" s="13">
        <f t="shared" si="28"/>
        <v>13</v>
      </c>
      <c r="X131" s="52"/>
      <c r="Y131" s="52"/>
    </row>
    <row r="132" ht="12.75" customHeight="1">
      <c r="A132" s="18"/>
      <c r="B132" s="55">
        <v>3.0</v>
      </c>
      <c r="C132" s="50" t="s">
        <v>98</v>
      </c>
      <c r="D132" s="56"/>
      <c r="E132" s="19">
        <v>0.0</v>
      </c>
      <c r="F132" s="19">
        <v>1.0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2.0</v>
      </c>
      <c r="S132" s="19">
        <v>0.0</v>
      </c>
      <c r="T132" s="19">
        <v>3.0</v>
      </c>
      <c r="U132" s="19">
        <v>0.0</v>
      </c>
      <c r="V132" s="19">
        <v>0.0</v>
      </c>
      <c r="W132" s="13">
        <f t="shared" si="28"/>
        <v>8</v>
      </c>
      <c r="X132" s="5"/>
      <c r="Y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3">
        <f t="shared" si="28"/>
        <v>3</v>
      </c>
      <c r="X133" s="5"/>
      <c r="Y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1.0</v>
      </c>
      <c r="V134" s="19">
        <v>0.0</v>
      </c>
      <c r="W134" s="13">
        <f t="shared" si="28"/>
        <v>3</v>
      </c>
      <c r="X134" s="5"/>
      <c r="Y134" s="5"/>
    </row>
    <row r="135" ht="12.75" customHeight="1">
      <c r="A135" s="18"/>
      <c r="B135" s="55">
        <v>6.0</v>
      </c>
      <c r="C135" s="50" t="s">
        <v>101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1.0</v>
      </c>
      <c r="V135" s="19">
        <v>0.0</v>
      </c>
      <c r="W135" s="13">
        <f t="shared" si="28"/>
        <v>1</v>
      </c>
      <c r="X135" s="5"/>
      <c r="Y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1.0</v>
      </c>
      <c r="V136" s="19">
        <v>0.0</v>
      </c>
      <c r="W136" s="13">
        <f t="shared" si="28"/>
        <v>1</v>
      </c>
      <c r="X136" s="5"/>
      <c r="Y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73"/>
      <c r="X137" s="5"/>
      <c r="Y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73"/>
      <c r="X138" s="5"/>
      <c r="Y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V139" si="29">SUM(E129:E136)</f>
        <v>6</v>
      </c>
      <c r="F139" s="13">
        <f t="shared" si="29"/>
        <v>2</v>
      </c>
      <c r="G139" s="13">
        <f t="shared" si="29"/>
        <v>3</v>
      </c>
      <c r="H139" s="13">
        <f t="shared" si="29"/>
        <v>10</v>
      </c>
      <c r="I139" s="13">
        <f t="shared" si="29"/>
        <v>5</v>
      </c>
      <c r="J139" s="13">
        <f t="shared" si="29"/>
        <v>15</v>
      </c>
      <c r="K139" s="13">
        <f t="shared" si="29"/>
        <v>5</v>
      </c>
      <c r="L139" s="13">
        <f t="shared" si="29"/>
        <v>3</v>
      </c>
      <c r="M139" s="13">
        <f t="shared" si="29"/>
        <v>2</v>
      </c>
      <c r="N139" s="13">
        <f t="shared" si="29"/>
        <v>5</v>
      </c>
      <c r="O139" s="13">
        <f t="shared" si="29"/>
        <v>3</v>
      </c>
      <c r="P139" s="13">
        <f t="shared" si="29"/>
        <v>3</v>
      </c>
      <c r="Q139" s="13">
        <f t="shared" si="29"/>
        <v>6</v>
      </c>
      <c r="R139" s="13">
        <f t="shared" si="29"/>
        <v>5</v>
      </c>
      <c r="S139" s="13">
        <f t="shared" si="29"/>
        <v>1</v>
      </c>
      <c r="T139" s="13">
        <f t="shared" si="29"/>
        <v>33</v>
      </c>
      <c r="U139" s="13">
        <f t="shared" si="29"/>
        <v>28</v>
      </c>
      <c r="V139" s="13">
        <f t="shared" si="29"/>
        <v>0</v>
      </c>
      <c r="W139" s="13">
        <f>SUM(E139:V139)</f>
        <v>135</v>
      </c>
      <c r="X139" s="5"/>
      <c r="Y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5"/>
      <c r="Y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1.0</v>
      </c>
      <c r="S141" s="19">
        <v>0.0</v>
      </c>
      <c r="T141" s="19">
        <v>0.0</v>
      </c>
      <c r="U141" s="19">
        <v>1.0</v>
      </c>
      <c r="V141" s="19">
        <v>0.0</v>
      </c>
      <c r="W141" s="13">
        <f t="shared" ref="W141:W148" si="30">SUM(E141:V141)</f>
        <v>3</v>
      </c>
      <c r="X141" s="1"/>
      <c r="Y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0"/>
        <v>0</v>
      </c>
      <c r="X142" s="52"/>
      <c r="Y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0"/>
        <v>0</v>
      </c>
      <c r="X143" s="5"/>
      <c r="Y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0"/>
        <v>0</v>
      </c>
      <c r="X144" s="5"/>
      <c r="Y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0"/>
        <v>0</v>
      </c>
      <c r="X145" s="5"/>
      <c r="Y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0"/>
        <v>0</v>
      </c>
      <c r="X146" s="5"/>
      <c r="Y146" s="5"/>
    </row>
    <row r="147" ht="12.75" customHeight="1">
      <c r="A147" s="18"/>
      <c r="B147" s="55">
        <v>6.0</v>
      </c>
      <c r="C147" s="50" t="s">
        <v>110</v>
      </c>
      <c r="D147" s="57"/>
      <c r="E147" s="19">
        <v>1.0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3">
        <f t="shared" si="30"/>
        <v>1</v>
      </c>
      <c r="X147" s="5"/>
      <c r="Y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0"/>
        <v>0</v>
      </c>
      <c r="X148" s="5"/>
      <c r="Y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73"/>
      <c r="X149" s="5"/>
      <c r="Y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73"/>
      <c r="X150" s="5"/>
      <c r="Y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V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>SUM(E151:V151)</f>
        <v>4</v>
      </c>
      <c r="X151" s="1"/>
      <c r="Y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13"/>
      <c r="X152" s="52"/>
      <c r="Y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3">
        <f t="shared" ref="W153:W157" si="32">SUM(E153:V153)</f>
        <v>1</v>
      </c>
      <c r="X153" s="5"/>
      <c r="Y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2.0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f t="shared" si="32"/>
        <v>2</v>
      </c>
      <c r="X154" s="5"/>
      <c r="Y154" s="5"/>
    </row>
    <row r="155" ht="12.75" customHeight="1">
      <c r="A155" s="18"/>
      <c r="B155" s="55">
        <v>2.0</v>
      </c>
      <c r="C155" s="59" t="s">
        <v>115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3">
        <f t="shared" si="32"/>
        <v>1</v>
      </c>
      <c r="X155" s="5"/>
      <c r="Y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0.0</v>
      </c>
      <c r="H156" s="19">
        <v>1.0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2"/>
        <v>1</v>
      </c>
      <c r="X156" s="5"/>
      <c r="Y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 t="shared" si="32"/>
        <v>0</v>
      </c>
      <c r="X157" s="5"/>
      <c r="Y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73"/>
      <c r="X158" s="5"/>
      <c r="Y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73"/>
      <c r="X159" s="5"/>
      <c r="Y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73"/>
      <c r="X160" s="5"/>
      <c r="Y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73"/>
      <c r="X161" s="5"/>
      <c r="Y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73"/>
      <c r="X162" s="5"/>
      <c r="Y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V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2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>SUM(E163:V163)</f>
        <v>5</v>
      </c>
      <c r="X163" s="5"/>
      <c r="Y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5"/>
      <c r="Y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1.0</v>
      </c>
      <c r="U165" s="19">
        <v>0.0</v>
      </c>
      <c r="V165" s="19">
        <v>0.0</v>
      </c>
      <c r="W165" s="13">
        <f t="shared" ref="W165:W172" si="34">SUM(E165:V165)</f>
        <v>5</v>
      </c>
      <c r="X165" s="1"/>
      <c r="Y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3">
        <f t="shared" si="34"/>
        <v>3</v>
      </c>
      <c r="X166" s="52"/>
      <c r="Y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3">
        <f t="shared" si="34"/>
        <v>0</v>
      </c>
      <c r="X167" s="5"/>
      <c r="Y167" s="5"/>
    </row>
    <row r="168" ht="12.75" customHeight="1">
      <c r="A168" s="18"/>
      <c r="B168" s="55">
        <v>3.0</v>
      </c>
      <c r="C168" s="50" t="s">
        <v>122</v>
      </c>
      <c r="D168" s="57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4"/>
        <v>2</v>
      </c>
      <c r="X168" s="5"/>
      <c r="Y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4"/>
        <v>0</v>
      </c>
      <c r="X169" s="5"/>
      <c r="Y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4"/>
        <v>0</v>
      </c>
      <c r="X170" s="5"/>
      <c r="Y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4"/>
        <v>0</v>
      </c>
      <c r="X171" s="5"/>
      <c r="Y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1.0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4"/>
        <v>1</v>
      </c>
      <c r="X172" s="5"/>
      <c r="Y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73"/>
      <c r="X173" s="5"/>
      <c r="Y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73"/>
      <c r="X174" s="5"/>
      <c r="Y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V175" si="35">SUM(E165:E172)</f>
        <v>2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>SUM(E175:V175)</f>
        <v>11</v>
      </c>
      <c r="X175" s="5"/>
      <c r="Y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1"/>
      <c r="Y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3.0</v>
      </c>
      <c r="P177" s="19">
        <v>0.0</v>
      </c>
      <c r="Q177" s="19">
        <v>0.0</v>
      </c>
      <c r="R177" s="19">
        <v>1.0</v>
      </c>
      <c r="S177" s="19">
        <v>1.0</v>
      </c>
      <c r="T177" s="19">
        <v>0.0</v>
      </c>
      <c r="U177" s="19">
        <v>0.0</v>
      </c>
      <c r="V177" s="19">
        <v>0.0</v>
      </c>
      <c r="W177" s="13">
        <f t="shared" ref="W177:W184" si="36">SUM(E177:V177)</f>
        <v>7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3">
        <f t="shared" si="36"/>
        <v>2</v>
      </c>
      <c r="X178" s="5"/>
      <c r="Y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3">
        <f t="shared" si="36"/>
        <v>1</v>
      </c>
      <c r="X179" s="5"/>
      <c r="Y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3">
        <f t="shared" si="36"/>
        <v>0</v>
      </c>
      <c r="X180" s="5"/>
      <c r="Y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36"/>
        <v>0</v>
      </c>
      <c r="X181" s="5"/>
      <c r="Y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3">
        <f t="shared" si="36"/>
        <v>0</v>
      </c>
      <c r="X182" s="5"/>
      <c r="Y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36"/>
        <v>0</v>
      </c>
      <c r="X183" s="5"/>
      <c r="Y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3">
        <f t="shared" si="36"/>
        <v>0</v>
      </c>
      <c r="X184" s="5"/>
      <c r="Y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73"/>
      <c r="X185" s="5"/>
      <c r="Y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73"/>
      <c r="X186" s="5"/>
      <c r="Y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V187" si="37">SUM(E177:E184)</f>
        <v>1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0</v>
      </c>
      <c r="O187" s="13">
        <f t="shared" si="37"/>
        <v>3</v>
      </c>
      <c r="P187" s="13">
        <f t="shared" si="37"/>
        <v>0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>SUM(E187:V187)</f>
        <v>10</v>
      </c>
      <c r="X187" s="1"/>
      <c r="Y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3">
        <f t="shared" ref="W189:W196" si="38">SUM(E189:V189)</f>
        <v>0</v>
      </c>
      <c r="X189" s="5"/>
      <c r="Y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3">
        <f t="shared" si="38"/>
        <v>2</v>
      </c>
      <c r="X190" s="5"/>
      <c r="Y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38"/>
        <v>0</v>
      </c>
      <c r="X191" s="5"/>
      <c r="Y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1.0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38"/>
        <v>1</v>
      </c>
      <c r="X192" s="5"/>
      <c r="Y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38"/>
        <v>0</v>
      </c>
      <c r="X193" s="5"/>
      <c r="Y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1.0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38"/>
        <v>1</v>
      </c>
      <c r="X194" s="5"/>
      <c r="Y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38"/>
        <v>0</v>
      </c>
      <c r="X195" s="5"/>
      <c r="Y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38"/>
        <v>0</v>
      </c>
      <c r="X196" s="1"/>
      <c r="Y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73"/>
      <c r="X197" s="1"/>
      <c r="Y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73"/>
      <c r="X198" s="1"/>
      <c r="Y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V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>SUM(E199:V199)</f>
        <v>4</v>
      </c>
      <c r="X199" s="52"/>
      <c r="Y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5"/>
      <c r="Y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4.0</v>
      </c>
      <c r="G201" s="19">
        <v>4.0</v>
      </c>
      <c r="H201" s="19">
        <v>2.0</v>
      </c>
      <c r="I201" s="19">
        <v>0.0</v>
      </c>
      <c r="J201" s="19">
        <v>0.0</v>
      </c>
      <c r="K201" s="19">
        <v>2.0</v>
      </c>
      <c r="L201" s="19">
        <v>3.0</v>
      </c>
      <c r="M201" s="19">
        <v>6.0</v>
      </c>
      <c r="N201" s="19">
        <v>3.0</v>
      </c>
      <c r="O201" s="19">
        <v>5.0</v>
      </c>
      <c r="P201" s="19">
        <v>4.0</v>
      </c>
      <c r="Q201" s="19">
        <v>10.0</v>
      </c>
      <c r="R201" s="19">
        <v>19.0</v>
      </c>
      <c r="S201" s="19">
        <v>9.0</v>
      </c>
      <c r="T201" s="19">
        <v>0.0</v>
      </c>
      <c r="U201" s="19">
        <v>0.0</v>
      </c>
      <c r="V201" s="19">
        <v>0.0</v>
      </c>
      <c r="W201" s="13">
        <f t="shared" ref="W201:W208" si="40">SUM(E201:V201)</f>
        <v>73</v>
      </c>
      <c r="X201" s="5"/>
      <c r="Y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8.0</v>
      </c>
      <c r="F202" s="19">
        <v>3.0</v>
      </c>
      <c r="G202" s="19">
        <v>10.0</v>
      </c>
      <c r="H202" s="19">
        <v>7.0</v>
      </c>
      <c r="I202" s="19">
        <v>1.0</v>
      </c>
      <c r="J202" s="19">
        <v>1.0</v>
      </c>
      <c r="K202" s="19">
        <v>2.0</v>
      </c>
      <c r="L202" s="19">
        <v>3.0</v>
      </c>
      <c r="M202" s="19">
        <v>3.0</v>
      </c>
      <c r="N202" s="19">
        <v>6.0</v>
      </c>
      <c r="O202" s="19">
        <v>5.0</v>
      </c>
      <c r="P202" s="19">
        <v>3.0</v>
      </c>
      <c r="Q202" s="19">
        <v>8.0</v>
      </c>
      <c r="R202" s="19">
        <v>19.0</v>
      </c>
      <c r="S202" s="19">
        <v>9.0</v>
      </c>
      <c r="T202" s="19">
        <v>1.0</v>
      </c>
      <c r="U202" s="19">
        <v>6.0</v>
      </c>
      <c r="V202" s="19">
        <v>1.0</v>
      </c>
      <c r="W202" s="13">
        <f t="shared" si="40"/>
        <v>96</v>
      </c>
      <c r="X202" s="5"/>
      <c r="Y202" s="5"/>
    </row>
    <row r="203" ht="12.75" customHeight="1">
      <c r="A203" s="18"/>
      <c r="B203" s="55">
        <v>2.0</v>
      </c>
      <c r="C203" s="50" t="s">
        <v>148</v>
      </c>
      <c r="D203" s="57"/>
      <c r="E203" s="19">
        <v>2.0</v>
      </c>
      <c r="F203" s="19">
        <v>0.0</v>
      </c>
      <c r="G203" s="19">
        <v>1.0</v>
      </c>
      <c r="H203" s="19">
        <v>2.0</v>
      </c>
      <c r="I203" s="19">
        <v>0.0</v>
      </c>
      <c r="J203" s="19">
        <v>2.0</v>
      </c>
      <c r="K203" s="19">
        <v>0.0</v>
      </c>
      <c r="L203" s="19">
        <v>1.0</v>
      </c>
      <c r="M203" s="19">
        <v>1.0</v>
      </c>
      <c r="N203" s="19">
        <v>0.0</v>
      </c>
      <c r="O203" s="19">
        <v>1.0</v>
      </c>
      <c r="P203" s="19">
        <v>3.0</v>
      </c>
      <c r="Q203" s="19">
        <v>5.0</v>
      </c>
      <c r="R203" s="19">
        <v>2.0</v>
      </c>
      <c r="S203" s="19">
        <v>0.0</v>
      </c>
      <c r="T203" s="19">
        <v>0.0</v>
      </c>
      <c r="U203" s="19">
        <v>2.0</v>
      </c>
      <c r="V203" s="19">
        <v>0.0</v>
      </c>
      <c r="W203" s="13">
        <f t="shared" si="40"/>
        <v>22</v>
      </c>
      <c r="X203" s="5"/>
      <c r="Y203" s="5"/>
    </row>
    <row r="204" ht="12.75" customHeight="1">
      <c r="A204" s="18"/>
      <c r="B204" s="55">
        <v>3.0</v>
      </c>
      <c r="C204" s="50" t="s">
        <v>149</v>
      </c>
      <c r="D204" s="57"/>
      <c r="E204" s="19">
        <v>1.0</v>
      </c>
      <c r="F204" s="19">
        <v>0.0</v>
      </c>
      <c r="G204" s="19">
        <v>2.0</v>
      </c>
      <c r="H204" s="19">
        <v>1.0</v>
      </c>
      <c r="I204" s="19">
        <v>1.0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8.0</v>
      </c>
      <c r="R204" s="19">
        <v>2.0</v>
      </c>
      <c r="S204" s="19">
        <v>1.0</v>
      </c>
      <c r="T204" s="19">
        <v>0.0</v>
      </c>
      <c r="U204" s="19">
        <v>1.0</v>
      </c>
      <c r="V204" s="19">
        <v>0.0</v>
      </c>
      <c r="W204" s="13">
        <f t="shared" si="40"/>
        <v>18</v>
      </c>
      <c r="X204" s="5"/>
      <c r="Y204" s="5"/>
    </row>
    <row r="205" ht="12.75" customHeight="1">
      <c r="A205" s="18"/>
      <c r="B205" s="55">
        <v>4.0</v>
      </c>
      <c r="C205" s="50" t="s">
        <v>150</v>
      </c>
      <c r="D205" s="57"/>
      <c r="E205" s="19">
        <v>1.0</v>
      </c>
      <c r="F205" s="19">
        <v>0.0</v>
      </c>
      <c r="G205" s="19">
        <v>1.0</v>
      </c>
      <c r="H205" s="19">
        <v>1.0</v>
      </c>
      <c r="I205" s="19">
        <v>6.0</v>
      </c>
      <c r="J205" s="19">
        <v>4.0</v>
      </c>
      <c r="K205" s="19">
        <v>0.0</v>
      </c>
      <c r="L205" s="19">
        <v>1.0</v>
      </c>
      <c r="M205" s="19">
        <v>1.0</v>
      </c>
      <c r="N205" s="19">
        <v>2.0</v>
      </c>
      <c r="O205" s="19">
        <v>1.0</v>
      </c>
      <c r="P205" s="19">
        <v>8.0</v>
      </c>
      <c r="Q205" s="19">
        <v>0.0</v>
      </c>
      <c r="R205" s="19">
        <v>12.0</v>
      </c>
      <c r="S205" s="19">
        <v>1.0</v>
      </c>
      <c r="T205" s="19">
        <v>11.0</v>
      </c>
      <c r="U205" s="19">
        <v>0.0</v>
      </c>
      <c r="V205" s="19">
        <v>0.0</v>
      </c>
      <c r="W205" s="13">
        <f t="shared" si="40"/>
        <v>50</v>
      </c>
      <c r="X205" s="5"/>
      <c r="Y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1.0</v>
      </c>
      <c r="V206" s="19">
        <v>0.0</v>
      </c>
      <c r="W206" s="13">
        <f t="shared" si="40"/>
        <v>3</v>
      </c>
      <c r="X206" s="5"/>
      <c r="Y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2.0</v>
      </c>
      <c r="P207" s="19">
        <v>4.0</v>
      </c>
      <c r="Q207" s="19">
        <v>0.0</v>
      </c>
      <c r="R207" s="19">
        <v>1.0</v>
      </c>
      <c r="S207" s="19">
        <v>0.0</v>
      </c>
      <c r="T207" s="19">
        <v>0.0</v>
      </c>
      <c r="U207" s="19">
        <v>0.0</v>
      </c>
      <c r="V207" s="19">
        <v>0.0</v>
      </c>
      <c r="W207" s="13">
        <f t="shared" si="40"/>
        <v>7</v>
      </c>
      <c r="X207" s="1"/>
      <c r="Y207" s="1"/>
    </row>
    <row r="208" ht="12.75" customHeight="1">
      <c r="A208" s="18"/>
      <c r="B208" s="55">
        <v>7.0</v>
      </c>
      <c r="C208" s="50" t="s">
        <v>153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0.0</v>
      </c>
      <c r="W208" s="13">
        <f t="shared" si="40"/>
        <v>2</v>
      </c>
      <c r="X208" s="52"/>
      <c r="Y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73"/>
      <c r="X209" s="52"/>
      <c r="Y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73"/>
      <c r="X210" s="52"/>
      <c r="Y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V211" si="41">SUM(E201:E208)</f>
        <v>14</v>
      </c>
      <c r="F211" s="13">
        <f t="shared" si="41"/>
        <v>7</v>
      </c>
      <c r="G211" s="13">
        <f t="shared" si="41"/>
        <v>18</v>
      </c>
      <c r="H211" s="13">
        <f t="shared" si="41"/>
        <v>13</v>
      </c>
      <c r="I211" s="13">
        <f t="shared" si="41"/>
        <v>9</v>
      </c>
      <c r="J211" s="13">
        <f t="shared" si="41"/>
        <v>7</v>
      </c>
      <c r="K211" s="13">
        <f t="shared" si="41"/>
        <v>4</v>
      </c>
      <c r="L211" s="13">
        <f t="shared" si="41"/>
        <v>10</v>
      </c>
      <c r="M211" s="13">
        <f t="shared" si="41"/>
        <v>12</v>
      </c>
      <c r="N211" s="13">
        <f t="shared" si="41"/>
        <v>11</v>
      </c>
      <c r="O211" s="13">
        <f t="shared" si="41"/>
        <v>14</v>
      </c>
      <c r="P211" s="13">
        <f t="shared" si="41"/>
        <v>22</v>
      </c>
      <c r="Q211" s="13">
        <f t="shared" si="41"/>
        <v>31</v>
      </c>
      <c r="R211" s="13">
        <f t="shared" si="41"/>
        <v>55</v>
      </c>
      <c r="S211" s="13">
        <f t="shared" si="41"/>
        <v>20</v>
      </c>
      <c r="T211" s="13">
        <f t="shared" si="41"/>
        <v>13</v>
      </c>
      <c r="U211" s="13">
        <f t="shared" si="41"/>
        <v>10</v>
      </c>
      <c r="V211" s="13">
        <f t="shared" si="41"/>
        <v>1</v>
      </c>
      <c r="W211" s="13">
        <f>SUM(E211:V211)</f>
        <v>271</v>
      </c>
      <c r="X211" s="5"/>
      <c r="Y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5"/>
      <c r="Y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2.0</v>
      </c>
      <c r="G213" s="19">
        <v>0.0</v>
      </c>
      <c r="H213" s="19">
        <v>0.0</v>
      </c>
      <c r="I213" s="19">
        <v>0.0</v>
      </c>
      <c r="J213" s="19">
        <v>0.0</v>
      </c>
      <c r="K213" s="19">
        <v>1.0</v>
      </c>
      <c r="L213" s="19">
        <v>0.0</v>
      </c>
      <c r="M213" s="19">
        <v>0.0</v>
      </c>
      <c r="N213" s="19">
        <v>0.0</v>
      </c>
      <c r="O213" s="19">
        <v>0.0</v>
      </c>
      <c r="P213" s="19">
        <v>1.0</v>
      </c>
      <c r="Q213" s="19">
        <v>0.0</v>
      </c>
      <c r="R213" s="19">
        <v>3.0</v>
      </c>
      <c r="S213" s="19">
        <v>1.0</v>
      </c>
      <c r="T213" s="19">
        <v>1.0</v>
      </c>
      <c r="U213" s="19">
        <v>0.0</v>
      </c>
      <c r="V213" s="19">
        <v>0.0</v>
      </c>
      <c r="W213" s="13">
        <f t="shared" ref="W213:W220" si="42">SUM(E213:V213)</f>
        <v>11</v>
      </c>
      <c r="X213" s="5"/>
      <c r="Y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2.0</v>
      </c>
      <c r="F214" s="19">
        <v>1.0</v>
      </c>
      <c r="G214" s="19">
        <v>0.0</v>
      </c>
      <c r="H214" s="19">
        <v>3.0</v>
      </c>
      <c r="I214" s="19">
        <v>0.0</v>
      </c>
      <c r="J214" s="19">
        <v>0.0</v>
      </c>
      <c r="K214" s="19">
        <v>1.0</v>
      </c>
      <c r="L214" s="19">
        <v>1.0</v>
      </c>
      <c r="M214" s="19">
        <v>1.0</v>
      </c>
      <c r="N214" s="19">
        <v>1.0</v>
      </c>
      <c r="O214" s="19">
        <v>1.0</v>
      </c>
      <c r="P214" s="19">
        <v>0.0</v>
      </c>
      <c r="Q214" s="19">
        <v>2.0</v>
      </c>
      <c r="R214" s="19">
        <v>0.0</v>
      </c>
      <c r="S214" s="19">
        <v>0.0</v>
      </c>
      <c r="T214" s="19">
        <v>1.0</v>
      </c>
      <c r="U214" s="19">
        <v>0.0</v>
      </c>
      <c r="V214" s="19">
        <v>0.0</v>
      </c>
      <c r="W214" s="13">
        <f t="shared" si="42"/>
        <v>14</v>
      </c>
      <c r="X214" s="5"/>
      <c r="Y214" s="5"/>
    </row>
    <row r="215" ht="12.75" customHeight="1">
      <c r="A215" s="18"/>
      <c r="B215" s="55">
        <v>2.0</v>
      </c>
      <c r="C215" s="50" t="s">
        <v>157</v>
      </c>
      <c r="D215" s="56"/>
      <c r="E215" s="19">
        <v>2.0</v>
      </c>
      <c r="F215" s="19">
        <v>12.0</v>
      </c>
      <c r="G215" s="19">
        <v>26.0</v>
      </c>
      <c r="H215" s="19">
        <v>42.0</v>
      </c>
      <c r="I215" s="19">
        <v>6.0</v>
      </c>
      <c r="J215" s="19">
        <v>4.0</v>
      </c>
      <c r="K215" s="19">
        <v>29.0</v>
      </c>
      <c r="L215" s="19">
        <v>11.0</v>
      </c>
      <c r="M215" s="19">
        <v>11.0</v>
      </c>
      <c r="N215" s="19">
        <v>10.0</v>
      </c>
      <c r="O215" s="19">
        <v>23.0</v>
      </c>
      <c r="P215" s="19">
        <v>2.0</v>
      </c>
      <c r="Q215" s="19">
        <v>0.0</v>
      </c>
      <c r="R215" s="19">
        <v>3.0</v>
      </c>
      <c r="S215" s="19">
        <v>4.0</v>
      </c>
      <c r="T215" s="19">
        <v>8.0</v>
      </c>
      <c r="U215" s="19">
        <v>4.0</v>
      </c>
      <c r="V215" s="19">
        <v>0.0</v>
      </c>
      <c r="W215" s="13">
        <f t="shared" si="42"/>
        <v>197</v>
      </c>
      <c r="X215" s="5"/>
      <c r="Y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3">
        <f t="shared" si="42"/>
        <v>1</v>
      </c>
      <c r="X216" s="5"/>
      <c r="Y216" s="5"/>
    </row>
    <row r="217" ht="12.75" customHeight="1">
      <c r="A217" s="18"/>
      <c r="B217" s="55">
        <v>4.0</v>
      </c>
      <c r="C217" s="50" t="s">
        <v>159</v>
      </c>
      <c r="D217" s="56"/>
      <c r="E217" s="19">
        <v>1.0</v>
      </c>
      <c r="F217" s="19">
        <v>0.0</v>
      </c>
      <c r="G217" s="19">
        <v>0.0</v>
      </c>
      <c r="H217" s="19">
        <v>3.0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3">
        <f t="shared" si="42"/>
        <v>5</v>
      </c>
      <c r="X217" s="5"/>
      <c r="Y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3">
        <f t="shared" si="42"/>
        <v>0</v>
      </c>
      <c r="X218" s="1"/>
      <c r="Y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2"/>
        <v>1</v>
      </c>
      <c r="X219" s="52"/>
      <c r="Y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3">
        <f t="shared" si="42"/>
        <v>1</v>
      </c>
      <c r="X220" s="5"/>
      <c r="Y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73"/>
      <c r="X221" s="5"/>
      <c r="Y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73"/>
      <c r="X222" s="5"/>
      <c r="Y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V223" si="43">SUM(E213:E220)</f>
        <v>7</v>
      </c>
      <c r="F223" s="13">
        <f t="shared" si="43"/>
        <v>15</v>
      </c>
      <c r="G223" s="13">
        <f t="shared" si="43"/>
        <v>26</v>
      </c>
      <c r="H223" s="13">
        <f t="shared" si="43"/>
        <v>49</v>
      </c>
      <c r="I223" s="13">
        <f t="shared" si="43"/>
        <v>6</v>
      </c>
      <c r="J223" s="13">
        <f t="shared" si="43"/>
        <v>4</v>
      </c>
      <c r="K223" s="13">
        <f t="shared" si="43"/>
        <v>31</v>
      </c>
      <c r="L223" s="13">
        <f t="shared" si="43"/>
        <v>12</v>
      </c>
      <c r="M223" s="13">
        <f t="shared" si="43"/>
        <v>12</v>
      </c>
      <c r="N223" s="13">
        <f t="shared" si="43"/>
        <v>11</v>
      </c>
      <c r="O223" s="13">
        <f t="shared" si="43"/>
        <v>26</v>
      </c>
      <c r="P223" s="13">
        <f t="shared" si="43"/>
        <v>4</v>
      </c>
      <c r="Q223" s="13">
        <f t="shared" si="43"/>
        <v>2</v>
      </c>
      <c r="R223" s="13">
        <f t="shared" si="43"/>
        <v>6</v>
      </c>
      <c r="S223" s="13">
        <f t="shared" si="43"/>
        <v>5</v>
      </c>
      <c r="T223" s="13">
        <f t="shared" si="43"/>
        <v>10</v>
      </c>
      <c r="U223" s="13">
        <f t="shared" si="43"/>
        <v>4</v>
      </c>
      <c r="V223" s="13">
        <f t="shared" si="43"/>
        <v>0</v>
      </c>
      <c r="W223" s="13">
        <f>SUM(E223:V223)</f>
        <v>230</v>
      </c>
      <c r="X223" s="5"/>
      <c r="Y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5"/>
      <c r="Y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3">
        <f t="shared" ref="W225:W232" si="44">SUM(E225:V225)</f>
        <v>2</v>
      </c>
      <c r="X225" s="5"/>
      <c r="Y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3">
        <f t="shared" si="44"/>
        <v>0</v>
      </c>
      <c r="X226" s="5"/>
      <c r="Y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3">
        <f t="shared" si="44"/>
        <v>0</v>
      </c>
      <c r="X227" s="5"/>
      <c r="Y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4"/>
        <v>0</v>
      </c>
      <c r="X228" s="5"/>
      <c r="Y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4"/>
        <v>0</v>
      </c>
      <c r="X229" s="1"/>
      <c r="Y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4"/>
        <v>0</v>
      </c>
      <c r="X230" s="52"/>
      <c r="Y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4"/>
        <v>0</v>
      </c>
      <c r="X231" s="5"/>
      <c r="Y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3">
        <f t="shared" si="44"/>
        <v>0</v>
      </c>
      <c r="X232" s="5"/>
      <c r="Y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73"/>
      <c r="X233" s="5"/>
      <c r="Y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73"/>
      <c r="X234" s="5"/>
      <c r="Y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V235" si="45">SUM(E225:E232)</f>
        <v>0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>SUM(E235:V235)</f>
        <v>2</v>
      </c>
      <c r="X235" s="5"/>
      <c r="Y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5"/>
      <c r="Y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1.0</v>
      </c>
      <c r="F237" s="19">
        <v>3.0</v>
      </c>
      <c r="G237" s="19">
        <v>1.0</v>
      </c>
      <c r="H237" s="19">
        <v>0.0</v>
      </c>
      <c r="I237" s="19">
        <v>1.0</v>
      </c>
      <c r="J237" s="19">
        <v>1.0</v>
      </c>
      <c r="K237" s="19">
        <v>3.0</v>
      </c>
      <c r="L237" s="19">
        <v>2.0</v>
      </c>
      <c r="M237" s="19">
        <v>1.0</v>
      </c>
      <c r="N237" s="19">
        <v>0.0</v>
      </c>
      <c r="O237" s="19">
        <v>0.0</v>
      </c>
      <c r="P237" s="19">
        <v>0.0</v>
      </c>
      <c r="Q237" s="19">
        <v>2.0</v>
      </c>
      <c r="R237" s="19">
        <v>1.0</v>
      </c>
      <c r="S237" s="19">
        <v>2.0</v>
      </c>
      <c r="T237" s="19">
        <v>0.0</v>
      </c>
      <c r="U237" s="19">
        <v>3.0</v>
      </c>
      <c r="V237" s="19">
        <v>0.0</v>
      </c>
      <c r="W237" s="13">
        <f t="shared" ref="W237:W244" si="46">SUM(E237:V237)</f>
        <v>21</v>
      </c>
      <c r="X237" s="5"/>
      <c r="Y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7.0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2.0</v>
      </c>
      <c r="R238" s="19">
        <v>1.0</v>
      </c>
      <c r="S238" s="19">
        <v>3.0</v>
      </c>
      <c r="T238" s="19">
        <v>1.0</v>
      </c>
      <c r="U238" s="19">
        <v>2.0</v>
      </c>
      <c r="V238" s="19">
        <v>0.0</v>
      </c>
      <c r="W238" s="13">
        <f t="shared" si="46"/>
        <v>16</v>
      </c>
      <c r="X238" s="5"/>
      <c r="Y238" s="5"/>
    </row>
    <row r="239" ht="12.75" customHeight="1">
      <c r="A239" s="18"/>
      <c r="B239" s="55">
        <v>2.0</v>
      </c>
      <c r="C239" s="50" t="s">
        <v>175</v>
      </c>
      <c r="D239" s="57"/>
      <c r="E239" s="19">
        <v>1.0</v>
      </c>
      <c r="F239" s="19">
        <v>1.0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2.0</v>
      </c>
      <c r="R239" s="19">
        <v>5.0</v>
      </c>
      <c r="S239" s="19">
        <v>1.0</v>
      </c>
      <c r="T239" s="19">
        <v>0.0</v>
      </c>
      <c r="U239" s="19">
        <v>1.0</v>
      </c>
      <c r="V239" s="19">
        <v>0.0</v>
      </c>
      <c r="W239" s="13">
        <f t="shared" si="46"/>
        <v>11</v>
      </c>
      <c r="X239" s="5"/>
      <c r="Y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1.0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1.0</v>
      </c>
      <c r="S240" s="19">
        <v>0.0</v>
      </c>
      <c r="T240" s="19">
        <v>0.0</v>
      </c>
      <c r="U240" s="19">
        <v>1.0</v>
      </c>
      <c r="V240" s="19">
        <v>0.0</v>
      </c>
      <c r="W240" s="13">
        <f t="shared" si="46"/>
        <v>4</v>
      </c>
      <c r="X240" s="1"/>
      <c r="Y240" s="1"/>
    </row>
    <row r="241" ht="12.75" customHeight="1">
      <c r="A241" s="18"/>
      <c r="B241" s="55">
        <v>4.0</v>
      </c>
      <c r="C241" s="50" t="s">
        <v>177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3.0</v>
      </c>
      <c r="S241" s="19">
        <v>1.0</v>
      </c>
      <c r="T241" s="19">
        <v>0.0</v>
      </c>
      <c r="U241" s="19">
        <v>0.0</v>
      </c>
      <c r="V241" s="19">
        <v>0.0</v>
      </c>
      <c r="W241" s="13">
        <f t="shared" si="46"/>
        <v>4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3">
        <f t="shared" si="46"/>
        <v>0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6"/>
        <v>1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4.0</v>
      </c>
      <c r="J244" s="19">
        <v>1.0</v>
      </c>
      <c r="K244" s="19">
        <v>0.0</v>
      </c>
      <c r="L244" s="19">
        <v>2.0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12.0</v>
      </c>
      <c r="U244" s="19">
        <v>31.0</v>
      </c>
      <c r="V244" s="19">
        <v>0.0</v>
      </c>
      <c r="W244" s="13">
        <f t="shared" si="46"/>
        <v>51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V247" si="47">SUM(E237:E244)</f>
        <v>2</v>
      </c>
      <c r="F247" s="13">
        <f t="shared" si="47"/>
        <v>5</v>
      </c>
      <c r="G247" s="13">
        <f t="shared" si="47"/>
        <v>1</v>
      </c>
      <c r="H247" s="13">
        <f t="shared" si="47"/>
        <v>0</v>
      </c>
      <c r="I247" s="13">
        <f t="shared" si="47"/>
        <v>5</v>
      </c>
      <c r="J247" s="13">
        <f t="shared" si="47"/>
        <v>2</v>
      </c>
      <c r="K247" s="13">
        <f t="shared" si="47"/>
        <v>10</v>
      </c>
      <c r="L247" s="13">
        <f t="shared" si="47"/>
        <v>4</v>
      </c>
      <c r="M247" s="13">
        <f t="shared" si="47"/>
        <v>1</v>
      </c>
      <c r="N247" s="13">
        <f t="shared" si="47"/>
        <v>0</v>
      </c>
      <c r="O247" s="13">
        <f t="shared" si="47"/>
        <v>2</v>
      </c>
      <c r="P247" s="13">
        <f t="shared" si="47"/>
        <v>0</v>
      </c>
      <c r="Q247" s="13">
        <f t="shared" si="47"/>
        <v>7</v>
      </c>
      <c r="R247" s="13">
        <f t="shared" si="47"/>
        <v>11</v>
      </c>
      <c r="S247" s="13">
        <f t="shared" si="47"/>
        <v>7</v>
      </c>
      <c r="T247" s="13">
        <f t="shared" si="47"/>
        <v>13</v>
      </c>
      <c r="U247" s="13">
        <f t="shared" si="47"/>
        <v>38</v>
      </c>
      <c r="V247" s="13">
        <f t="shared" si="47"/>
        <v>0</v>
      </c>
      <c r="W247" s="13">
        <f>SUM(E247:V247)</f>
        <v>108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2.0</v>
      </c>
      <c r="S249" s="19">
        <v>0.0</v>
      </c>
      <c r="T249" s="19">
        <v>0.0</v>
      </c>
      <c r="U249" s="19">
        <v>0.0</v>
      </c>
      <c r="V249" s="19">
        <v>0.0</v>
      </c>
      <c r="W249" s="13">
        <f t="shared" ref="W249:W255" si="48">SUM(E249:V249)</f>
        <v>3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3">
        <f t="shared" si="48"/>
        <v>0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3">
        <f t="shared" si="48"/>
        <v>1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48"/>
        <v>0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48"/>
        <v>0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3">
        <f t="shared" si="48"/>
        <v>0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V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>SUM(E259:V259)</f>
        <v>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V262" si="50">E55+E67+E79+E91+E103+E115+E127+E139+E151+E163+E175+E187+E199+E211+E223+E235+E247+E259</f>
        <v>207</v>
      </c>
      <c r="F262" s="19">
        <f t="shared" si="50"/>
        <v>194</v>
      </c>
      <c r="G262" s="19">
        <f t="shared" si="50"/>
        <v>198</v>
      </c>
      <c r="H262" s="19">
        <f t="shared" si="50"/>
        <v>193</v>
      </c>
      <c r="I262" s="19">
        <f t="shared" si="50"/>
        <v>164</v>
      </c>
      <c r="J262" s="19">
        <f t="shared" si="50"/>
        <v>153</v>
      </c>
      <c r="K262" s="19">
        <f t="shared" si="50"/>
        <v>187</v>
      </c>
      <c r="L262" s="19">
        <f t="shared" si="50"/>
        <v>163</v>
      </c>
      <c r="M262" s="19">
        <f t="shared" si="50"/>
        <v>165</v>
      </c>
      <c r="N262" s="19">
        <f t="shared" si="50"/>
        <v>175</v>
      </c>
      <c r="O262" s="19">
        <f t="shared" si="50"/>
        <v>176</v>
      </c>
      <c r="P262" s="19">
        <f t="shared" si="50"/>
        <v>191</v>
      </c>
      <c r="Q262" s="19">
        <f t="shared" si="50"/>
        <v>159</v>
      </c>
      <c r="R262" s="19">
        <f t="shared" si="50"/>
        <v>190</v>
      </c>
      <c r="S262" s="19">
        <f t="shared" si="50"/>
        <v>171</v>
      </c>
      <c r="T262" s="19">
        <f t="shared" si="50"/>
        <v>195</v>
      </c>
      <c r="U262" s="19">
        <f t="shared" si="50"/>
        <v>143</v>
      </c>
      <c r="V262" s="19">
        <f t="shared" si="50"/>
        <v>135</v>
      </c>
      <c r="W262" s="13">
        <f t="shared" ref="W262:W264" si="51">SUM(E262:V262)</f>
        <v>3159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32.0</v>
      </c>
      <c r="F263" s="19">
        <v>31.0</v>
      </c>
      <c r="G263" s="19">
        <v>25.0</v>
      </c>
      <c r="H263" s="19">
        <v>35.0</v>
      </c>
      <c r="I263" s="19">
        <v>22.0</v>
      </c>
      <c r="J263" s="19">
        <v>26.0</v>
      </c>
      <c r="K263" s="19">
        <v>21.0</v>
      </c>
      <c r="L263" s="19">
        <v>20.0</v>
      </c>
      <c r="M263" s="19">
        <v>17.0</v>
      </c>
      <c r="N263" s="19">
        <v>21.0</v>
      </c>
      <c r="O263" s="19">
        <v>34.0</v>
      </c>
      <c r="P263" s="19">
        <v>30.0</v>
      </c>
      <c r="Q263" s="19">
        <v>63.0</v>
      </c>
      <c r="R263" s="19">
        <v>20.0</v>
      </c>
      <c r="S263" s="19">
        <v>39.0</v>
      </c>
      <c r="T263" s="19">
        <v>32.0</v>
      </c>
      <c r="U263" s="19">
        <v>16.0</v>
      </c>
      <c r="V263" s="19">
        <v>1.0</v>
      </c>
      <c r="W263" s="13">
        <f t="shared" si="51"/>
        <v>485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V264" si="52">SUM(E262:E263)</f>
        <v>239</v>
      </c>
      <c r="F264" s="13">
        <f t="shared" si="52"/>
        <v>225</v>
      </c>
      <c r="G264" s="13">
        <f t="shared" si="52"/>
        <v>223</v>
      </c>
      <c r="H264" s="13">
        <f t="shared" si="52"/>
        <v>228</v>
      </c>
      <c r="I264" s="13">
        <f t="shared" si="52"/>
        <v>186</v>
      </c>
      <c r="J264" s="13">
        <f t="shared" si="52"/>
        <v>179</v>
      </c>
      <c r="K264" s="13">
        <f t="shared" si="52"/>
        <v>208</v>
      </c>
      <c r="L264" s="13">
        <f t="shared" si="52"/>
        <v>183</v>
      </c>
      <c r="M264" s="13">
        <f t="shared" si="52"/>
        <v>182</v>
      </c>
      <c r="N264" s="13">
        <f t="shared" si="52"/>
        <v>196</v>
      </c>
      <c r="O264" s="13">
        <f t="shared" si="52"/>
        <v>210</v>
      </c>
      <c r="P264" s="13">
        <f t="shared" si="52"/>
        <v>221</v>
      </c>
      <c r="Q264" s="13">
        <f t="shared" si="52"/>
        <v>222</v>
      </c>
      <c r="R264" s="13">
        <f t="shared" si="52"/>
        <v>210</v>
      </c>
      <c r="S264" s="13">
        <f t="shared" si="52"/>
        <v>210</v>
      </c>
      <c r="T264" s="13">
        <f t="shared" si="52"/>
        <v>227</v>
      </c>
      <c r="U264" s="13">
        <f t="shared" si="52"/>
        <v>159</v>
      </c>
      <c r="V264" s="13">
        <f t="shared" si="52"/>
        <v>136</v>
      </c>
      <c r="W264" s="13">
        <f t="shared" si="51"/>
        <v>3644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V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13" t="s">
        <v>217</v>
      </c>
      <c r="Y13" s="13" t="s">
        <v>218</v>
      </c>
      <c r="Z13" s="13" t="s">
        <v>219</v>
      </c>
      <c r="AA13" s="13" t="s">
        <v>220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109.0</v>
      </c>
      <c r="F14" s="19">
        <v>118.0</v>
      </c>
      <c r="G14" s="19">
        <v>129.0</v>
      </c>
      <c r="H14" s="19">
        <v>125.0</v>
      </c>
      <c r="I14" s="19">
        <v>117.0</v>
      </c>
      <c r="J14" s="19">
        <v>132.0</v>
      </c>
      <c r="K14" s="19">
        <v>139.0</v>
      </c>
      <c r="L14" s="19">
        <v>132.0</v>
      </c>
      <c r="M14" s="19">
        <v>137.0</v>
      </c>
      <c r="N14" s="19">
        <v>140.0</v>
      </c>
      <c r="O14" s="19">
        <v>139.0</v>
      </c>
      <c r="P14" s="19">
        <v>128.0</v>
      </c>
      <c r="Q14" s="19">
        <v>127.0</v>
      </c>
      <c r="R14" s="19">
        <v>131.0</v>
      </c>
      <c r="S14" s="19">
        <v>83.0</v>
      </c>
      <c r="T14" s="19">
        <v>133.0</v>
      </c>
      <c r="U14" s="19">
        <v>139.0</v>
      </c>
      <c r="V14" s="19">
        <v>149.0</v>
      </c>
      <c r="W14" s="19">
        <v>140.0</v>
      </c>
      <c r="X14" s="19">
        <v>152.0</v>
      </c>
      <c r="Y14" s="19">
        <v>150.0</v>
      </c>
      <c r="Z14" s="19">
        <v>150.0</v>
      </c>
      <c r="AA14" s="19">
        <v>147.0</v>
      </c>
      <c r="AB14" s="13">
        <f t="shared" ref="AB14:AB16" si="1">SUM(E14:AA14)</f>
        <v>3046</v>
      </c>
    </row>
    <row r="15" ht="12.75" customHeight="1">
      <c r="A15" s="18"/>
      <c r="B15" s="26"/>
      <c r="C15" s="27"/>
      <c r="D15" s="19" t="s">
        <v>12</v>
      </c>
      <c r="E15" s="19">
        <v>118.0</v>
      </c>
      <c r="F15" s="19">
        <v>140.0</v>
      </c>
      <c r="G15" s="19">
        <v>133.0</v>
      </c>
      <c r="H15" s="19">
        <v>136.0</v>
      </c>
      <c r="I15" s="19">
        <v>140.0</v>
      </c>
      <c r="J15" s="19">
        <v>123.0</v>
      </c>
      <c r="K15" s="19">
        <v>131.0</v>
      </c>
      <c r="L15" s="19">
        <v>146.0</v>
      </c>
      <c r="M15" s="19">
        <v>141.0</v>
      </c>
      <c r="N15" s="19">
        <v>148.0</v>
      </c>
      <c r="O15" s="19">
        <v>135.0</v>
      </c>
      <c r="P15" s="19">
        <v>134.0</v>
      </c>
      <c r="Q15" s="19">
        <v>123.0</v>
      </c>
      <c r="R15" s="19">
        <v>117.0</v>
      </c>
      <c r="S15" s="19">
        <v>94.0</v>
      </c>
      <c r="T15" s="19">
        <v>151.0</v>
      </c>
      <c r="U15" s="19">
        <v>147.0</v>
      </c>
      <c r="V15" s="19">
        <v>139.0</v>
      </c>
      <c r="W15" s="19">
        <v>151.0</v>
      </c>
      <c r="X15" s="19">
        <v>144.0</v>
      </c>
      <c r="Y15" s="19">
        <v>144.0</v>
      </c>
      <c r="Z15" s="19">
        <v>148.0</v>
      </c>
      <c r="AA15" s="19">
        <v>146.0</v>
      </c>
      <c r="AB15" s="13">
        <f t="shared" si="1"/>
        <v>3129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227</v>
      </c>
      <c r="F16" s="13">
        <f t="shared" si="2"/>
        <v>258</v>
      </c>
      <c r="G16" s="13">
        <f t="shared" si="2"/>
        <v>262</v>
      </c>
      <c r="H16" s="13">
        <f t="shared" si="2"/>
        <v>261</v>
      </c>
      <c r="I16" s="13">
        <f t="shared" si="2"/>
        <v>257</v>
      </c>
      <c r="J16" s="13">
        <f t="shared" si="2"/>
        <v>255</v>
      </c>
      <c r="K16" s="13">
        <f t="shared" si="2"/>
        <v>270</v>
      </c>
      <c r="L16" s="13">
        <f t="shared" si="2"/>
        <v>278</v>
      </c>
      <c r="M16" s="13">
        <f t="shared" si="2"/>
        <v>278</v>
      </c>
      <c r="N16" s="13">
        <f t="shared" si="2"/>
        <v>288</v>
      </c>
      <c r="O16" s="13">
        <f t="shared" si="2"/>
        <v>274</v>
      </c>
      <c r="P16" s="13">
        <f t="shared" si="2"/>
        <v>262</v>
      </c>
      <c r="Q16" s="13">
        <f t="shared" si="2"/>
        <v>250</v>
      </c>
      <c r="R16" s="13">
        <f t="shared" si="2"/>
        <v>248</v>
      </c>
      <c r="S16" s="13">
        <f t="shared" si="2"/>
        <v>177</v>
      </c>
      <c r="T16" s="13">
        <f t="shared" si="2"/>
        <v>284</v>
      </c>
      <c r="U16" s="13">
        <f t="shared" si="2"/>
        <v>286</v>
      </c>
      <c r="V16" s="13">
        <f t="shared" si="2"/>
        <v>288</v>
      </c>
      <c r="W16" s="13">
        <f t="shared" si="2"/>
        <v>291</v>
      </c>
      <c r="X16" s="13">
        <f t="shared" si="2"/>
        <v>296</v>
      </c>
      <c r="Y16" s="13">
        <f t="shared" si="2"/>
        <v>294</v>
      </c>
      <c r="Z16" s="13">
        <f t="shared" si="2"/>
        <v>298</v>
      </c>
      <c r="AA16" s="13">
        <f t="shared" si="2"/>
        <v>293</v>
      </c>
      <c r="AB16" s="13">
        <f t="shared" si="1"/>
        <v>6175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95.0</v>
      </c>
      <c r="F19" s="19">
        <v>107.0</v>
      </c>
      <c r="G19" s="19">
        <v>92.0</v>
      </c>
      <c r="H19" s="19">
        <v>103.0</v>
      </c>
      <c r="I19" s="19">
        <v>96.0</v>
      </c>
      <c r="J19" s="19">
        <v>93.0</v>
      </c>
      <c r="K19" s="19">
        <v>100.0</v>
      </c>
      <c r="L19" s="19">
        <v>98.0</v>
      </c>
      <c r="M19" s="19">
        <v>94.0</v>
      </c>
      <c r="N19" s="19">
        <v>108.0</v>
      </c>
      <c r="O19" s="19">
        <v>97.0</v>
      </c>
      <c r="P19" s="19">
        <v>74.0</v>
      </c>
      <c r="Q19" s="19">
        <v>92.0</v>
      </c>
      <c r="R19" s="19">
        <v>100.0</v>
      </c>
      <c r="S19" s="19">
        <v>66.0</v>
      </c>
      <c r="T19" s="19">
        <v>83.0</v>
      </c>
      <c r="U19" s="19">
        <v>94.0</v>
      </c>
      <c r="V19" s="19">
        <v>103.0</v>
      </c>
      <c r="W19" s="19">
        <v>103.0</v>
      </c>
      <c r="X19" s="19">
        <v>122.0</v>
      </c>
      <c r="Y19" s="19">
        <v>117.0</v>
      </c>
      <c r="Z19" s="19">
        <v>121.0</v>
      </c>
      <c r="AA19" s="19">
        <v>108.0</v>
      </c>
      <c r="AB19" s="13">
        <f t="shared" ref="AB19:AB30" si="3">SUM(E19:AA19)</f>
        <v>2266</v>
      </c>
    </row>
    <row r="20" ht="12.75" customHeight="1">
      <c r="A20" s="33"/>
      <c r="B20" s="27"/>
      <c r="C20" s="34"/>
      <c r="D20" s="19" t="s">
        <v>12</v>
      </c>
      <c r="E20" s="19">
        <v>96.0</v>
      </c>
      <c r="F20" s="19">
        <v>87.0</v>
      </c>
      <c r="G20" s="19">
        <v>105.0</v>
      </c>
      <c r="H20" s="19">
        <v>107.0</v>
      </c>
      <c r="I20" s="19">
        <v>119.0</v>
      </c>
      <c r="J20" s="19">
        <v>106.0</v>
      </c>
      <c r="K20" s="19">
        <v>105.0</v>
      </c>
      <c r="L20" s="19">
        <v>117.0</v>
      </c>
      <c r="M20" s="19">
        <v>107.0</v>
      </c>
      <c r="N20" s="19">
        <v>120.0</v>
      </c>
      <c r="O20" s="19">
        <v>101.0</v>
      </c>
      <c r="P20" s="19">
        <v>88.0</v>
      </c>
      <c r="Q20" s="19">
        <v>93.0</v>
      </c>
      <c r="R20" s="19">
        <v>100.0</v>
      </c>
      <c r="S20" s="19">
        <v>81.0</v>
      </c>
      <c r="T20" s="19">
        <v>117.0</v>
      </c>
      <c r="U20" s="19">
        <v>116.0</v>
      </c>
      <c r="V20" s="19">
        <v>115.0</v>
      </c>
      <c r="W20" s="19">
        <v>120.0</v>
      </c>
      <c r="X20" s="19">
        <v>106.0</v>
      </c>
      <c r="Y20" s="19">
        <v>119.0</v>
      </c>
      <c r="Z20" s="19">
        <v>106.0</v>
      </c>
      <c r="AA20" s="19">
        <v>109.0</v>
      </c>
      <c r="AB20" s="13">
        <f t="shared" si="3"/>
        <v>2440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191</v>
      </c>
      <c r="F21" s="13">
        <f t="shared" si="4"/>
        <v>194</v>
      </c>
      <c r="G21" s="13">
        <f t="shared" si="4"/>
        <v>197</v>
      </c>
      <c r="H21" s="13">
        <f t="shared" si="4"/>
        <v>210</v>
      </c>
      <c r="I21" s="13">
        <f t="shared" si="4"/>
        <v>215</v>
      </c>
      <c r="J21" s="13">
        <f t="shared" si="4"/>
        <v>199</v>
      </c>
      <c r="K21" s="13">
        <f t="shared" si="4"/>
        <v>205</v>
      </c>
      <c r="L21" s="13">
        <f t="shared" si="4"/>
        <v>215</v>
      </c>
      <c r="M21" s="13">
        <f t="shared" si="4"/>
        <v>201</v>
      </c>
      <c r="N21" s="13">
        <f t="shared" si="4"/>
        <v>228</v>
      </c>
      <c r="O21" s="13">
        <f t="shared" si="4"/>
        <v>198</v>
      </c>
      <c r="P21" s="13">
        <f t="shared" si="4"/>
        <v>162</v>
      </c>
      <c r="Q21" s="13">
        <f t="shared" si="4"/>
        <v>185</v>
      </c>
      <c r="R21" s="13">
        <f t="shared" si="4"/>
        <v>200</v>
      </c>
      <c r="S21" s="13">
        <f t="shared" si="4"/>
        <v>147</v>
      </c>
      <c r="T21" s="13">
        <f t="shared" si="4"/>
        <v>200</v>
      </c>
      <c r="U21" s="13">
        <f t="shared" si="4"/>
        <v>210</v>
      </c>
      <c r="V21" s="13">
        <f t="shared" si="4"/>
        <v>218</v>
      </c>
      <c r="W21" s="13">
        <f t="shared" si="4"/>
        <v>223</v>
      </c>
      <c r="X21" s="13">
        <f t="shared" si="4"/>
        <v>228</v>
      </c>
      <c r="Y21" s="13">
        <f t="shared" si="4"/>
        <v>236</v>
      </c>
      <c r="Z21" s="13">
        <f t="shared" si="4"/>
        <v>227</v>
      </c>
      <c r="AA21" s="13">
        <f t="shared" si="4"/>
        <v>217</v>
      </c>
      <c r="AB21" s="13">
        <f t="shared" si="3"/>
        <v>4706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3.0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2.0</v>
      </c>
      <c r="U25" s="19">
        <v>1.0</v>
      </c>
      <c r="V25" s="19">
        <v>1.0</v>
      </c>
      <c r="W25" s="19">
        <v>0.0</v>
      </c>
      <c r="X25" s="19">
        <v>0.0</v>
      </c>
      <c r="Y25" s="19">
        <v>2.0</v>
      </c>
      <c r="Z25" s="19">
        <v>1.0</v>
      </c>
      <c r="AA25" s="19">
        <v>0.0</v>
      </c>
      <c r="AB25" s="13">
        <f t="shared" si="3"/>
        <v>12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1.0</v>
      </c>
      <c r="M26" s="19">
        <v>1.0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1.0</v>
      </c>
      <c r="U26" s="19">
        <v>0.0</v>
      </c>
      <c r="V26" s="19">
        <v>1.0</v>
      </c>
      <c r="W26" s="19">
        <v>1.0</v>
      </c>
      <c r="X26" s="19">
        <v>0.0</v>
      </c>
      <c r="Y26" s="19">
        <v>0.0</v>
      </c>
      <c r="Z26" s="19">
        <v>1.0</v>
      </c>
      <c r="AA26" s="19">
        <v>0.0</v>
      </c>
      <c r="AB26" s="13">
        <f t="shared" si="3"/>
        <v>9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4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1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6"/>
        <v>0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3"/>
        <v>21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95</v>
      </c>
      <c r="F28" s="13">
        <f t="shared" si="7"/>
        <v>107</v>
      </c>
      <c r="G28" s="13">
        <f t="shared" si="7"/>
        <v>93</v>
      </c>
      <c r="H28" s="13">
        <f t="shared" si="7"/>
        <v>106</v>
      </c>
      <c r="I28" s="13">
        <f t="shared" si="7"/>
        <v>96</v>
      </c>
      <c r="J28" s="13">
        <f t="shared" si="7"/>
        <v>93</v>
      </c>
      <c r="K28" s="13">
        <f t="shared" si="7"/>
        <v>100</v>
      </c>
      <c r="L28" s="13">
        <f t="shared" si="7"/>
        <v>98</v>
      </c>
      <c r="M28" s="13">
        <f t="shared" si="7"/>
        <v>94</v>
      </c>
      <c r="N28" s="13">
        <f t="shared" si="7"/>
        <v>108</v>
      </c>
      <c r="O28" s="13">
        <f t="shared" si="7"/>
        <v>98</v>
      </c>
      <c r="P28" s="13">
        <f t="shared" si="7"/>
        <v>74</v>
      </c>
      <c r="Q28" s="13">
        <f t="shared" si="7"/>
        <v>92</v>
      </c>
      <c r="R28" s="13">
        <f t="shared" si="7"/>
        <v>100</v>
      </c>
      <c r="S28" s="13">
        <f t="shared" si="7"/>
        <v>67</v>
      </c>
      <c r="T28" s="13">
        <f t="shared" si="7"/>
        <v>85</v>
      </c>
      <c r="U28" s="13">
        <f t="shared" si="7"/>
        <v>95</v>
      </c>
      <c r="V28" s="13">
        <f t="shared" si="7"/>
        <v>104</v>
      </c>
      <c r="W28" s="13">
        <f t="shared" si="7"/>
        <v>103</v>
      </c>
      <c r="X28" s="13">
        <f t="shared" si="7"/>
        <v>122</v>
      </c>
      <c r="Y28" s="13">
        <f t="shared" si="7"/>
        <v>119</v>
      </c>
      <c r="Z28" s="13">
        <f t="shared" si="7"/>
        <v>122</v>
      </c>
      <c r="AA28" s="13">
        <f t="shared" si="7"/>
        <v>108</v>
      </c>
      <c r="AB28" s="13">
        <f t="shared" si="3"/>
        <v>2279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96</v>
      </c>
      <c r="F29" s="13">
        <f t="shared" si="8"/>
        <v>87</v>
      </c>
      <c r="G29" s="13">
        <f t="shared" si="8"/>
        <v>105</v>
      </c>
      <c r="H29" s="13">
        <f t="shared" si="8"/>
        <v>108</v>
      </c>
      <c r="I29" s="13">
        <f t="shared" si="8"/>
        <v>119</v>
      </c>
      <c r="J29" s="13">
        <f t="shared" si="8"/>
        <v>106</v>
      </c>
      <c r="K29" s="13">
        <f t="shared" si="8"/>
        <v>105</v>
      </c>
      <c r="L29" s="13">
        <f t="shared" si="8"/>
        <v>118</v>
      </c>
      <c r="M29" s="13">
        <f t="shared" si="8"/>
        <v>108</v>
      </c>
      <c r="N29" s="13">
        <f t="shared" si="8"/>
        <v>121</v>
      </c>
      <c r="O29" s="13">
        <f t="shared" si="8"/>
        <v>101</v>
      </c>
      <c r="P29" s="13">
        <f t="shared" si="8"/>
        <v>88</v>
      </c>
      <c r="Q29" s="13">
        <f t="shared" si="8"/>
        <v>93</v>
      </c>
      <c r="R29" s="13">
        <f t="shared" si="8"/>
        <v>100</v>
      </c>
      <c r="S29" s="13">
        <f t="shared" si="8"/>
        <v>82</v>
      </c>
      <c r="T29" s="13">
        <f t="shared" si="8"/>
        <v>118</v>
      </c>
      <c r="U29" s="13">
        <f t="shared" si="8"/>
        <v>116</v>
      </c>
      <c r="V29" s="13">
        <f t="shared" si="8"/>
        <v>116</v>
      </c>
      <c r="W29" s="13">
        <f t="shared" si="8"/>
        <v>121</v>
      </c>
      <c r="X29" s="13">
        <f t="shared" si="8"/>
        <v>106</v>
      </c>
      <c r="Y29" s="13">
        <f t="shared" si="8"/>
        <v>119</v>
      </c>
      <c r="Z29" s="13">
        <f t="shared" si="8"/>
        <v>107</v>
      </c>
      <c r="AA29" s="13">
        <f t="shared" si="8"/>
        <v>109</v>
      </c>
      <c r="AB29" s="13">
        <f t="shared" si="3"/>
        <v>2449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191</v>
      </c>
      <c r="F30" s="13">
        <f t="shared" si="9"/>
        <v>194</v>
      </c>
      <c r="G30" s="13">
        <f t="shared" si="9"/>
        <v>198</v>
      </c>
      <c r="H30" s="13">
        <f t="shared" si="9"/>
        <v>214</v>
      </c>
      <c r="I30" s="13">
        <f t="shared" si="9"/>
        <v>215</v>
      </c>
      <c r="J30" s="13">
        <f t="shared" si="9"/>
        <v>199</v>
      </c>
      <c r="K30" s="13">
        <f t="shared" si="9"/>
        <v>205</v>
      </c>
      <c r="L30" s="13">
        <f t="shared" si="9"/>
        <v>216</v>
      </c>
      <c r="M30" s="13">
        <f t="shared" si="9"/>
        <v>202</v>
      </c>
      <c r="N30" s="13">
        <f t="shared" si="9"/>
        <v>229</v>
      </c>
      <c r="O30" s="13">
        <f t="shared" si="9"/>
        <v>199</v>
      </c>
      <c r="P30" s="13">
        <f t="shared" si="9"/>
        <v>162</v>
      </c>
      <c r="Q30" s="13">
        <f t="shared" si="9"/>
        <v>185</v>
      </c>
      <c r="R30" s="13">
        <f t="shared" si="9"/>
        <v>200</v>
      </c>
      <c r="S30" s="13">
        <f t="shared" si="9"/>
        <v>149</v>
      </c>
      <c r="T30" s="13">
        <f t="shared" si="9"/>
        <v>203</v>
      </c>
      <c r="U30" s="13">
        <f t="shared" si="9"/>
        <v>211</v>
      </c>
      <c r="V30" s="13">
        <f t="shared" si="9"/>
        <v>220</v>
      </c>
      <c r="W30" s="13">
        <f t="shared" si="9"/>
        <v>224</v>
      </c>
      <c r="X30" s="13">
        <f t="shared" si="9"/>
        <v>228</v>
      </c>
      <c r="Y30" s="13">
        <f t="shared" si="9"/>
        <v>238</v>
      </c>
      <c r="Z30" s="13">
        <f t="shared" si="9"/>
        <v>229</v>
      </c>
      <c r="AA30" s="13">
        <f t="shared" si="9"/>
        <v>217</v>
      </c>
      <c r="AB30" s="13">
        <f t="shared" si="3"/>
        <v>4728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68"/>
    </row>
    <row r="33" ht="12.75" customHeight="1">
      <c r="A33" s="19">
        <v>1.0</v>
      </c>
      <c r="B33" s="20" t="s">
        <v>26</v>
      </c>
      <c r="C33" s="15"/>
      <c r="D33" s="16"/>
      <c r="E33" s="19">
        <v>222.0</v>
      </c>
      <c r="F33" s="19">
        <v>264.0</v>
      </c>
      <c r="G33" s="19">
        <v>270.0</v>
      </c>
      <c r="H33" s="19">
        <v>267.0</v>
      </c>
      <c r="I33" s="19">
        <v>263.0</v>
      </c>
      <c r="J33" s="19">
        <v>250.0</v>
      </c>
      <c r="K33" s="19">
        <v>276.0</v>
      </c>
      <c r="L33" s="19">
        <v>254.0</v>
      </c>
      <c r="M33" s="19">
        <v>284.0</v>
      </c>
      <c r="N33" s="19">
        <v>294.0</v>
      </c>
      <c r="O33" s="19">
        <v>280.0</v>
      </c>
      <c r="P33" s="19">
        <v>267.0</v>
      </c>
      <c r="Q33" s="19">
        <v>265.0</v>
      </c>
      <c r="R33" s="19">
        <v>243.0</v>
      </c>
      <c r="S33" s="19">
        <v>181.0</v>
      </c>
      <c r="T33" s="19">
        <v>290.0</v>
      </c>
      <c r="U33" s="19">
        <v>294.0</v>
      </c>
      <c r="V33" s="19">
        <v>285.0</v>
      </c>
      <c r="W33" s="19">
        <v>299.0</v>
      </c>
      <c r="X33" s="19">
        <v>293.0</v>
      </c>
      <c r="Y33" s="19">
        <v>301.0</v>
      </c>
      <c r="Z33" s="19">
        <v>273.0</v>
      </c>
      <c r="AA33" s="19">
        <v>299.0</v>
      </c>
      <c r="AB33" s="13">
        <f t="shared" ref="AB33:AB36" si="10">SUM(E33:AA33)</f>
        <v>6214</v>
      </c>
    </row>
    <row r="34" ht="12.75" customHeight="1">
      <c r="A34" s="19">
        <v>2.0</v>
      </c>
      <c r="B34" s="20" t="s">
        <v>27</v>
      </c>
      <c r="C34" s="15"/>
      <c r="D34" s="16"/>
      <c r="E34" s="13">
        <v>191.0</v>
      </c>
      <c r="F34" s="13">
        <v>194.0</v>
      </c>
      <c r="G34" s="13">
        <v>198.0</v>
      </c>
      <c r="H34" s="13">
        <v>214.0</v>
      </c>
      <c r="I34" s="13">
        <v>215.0</v>
      </c>
      <c r="J34" s="13">
        <v>199.0</v>
      </c>
      <c r="K34" s="13">
        <v>205.0</v>
      </c>
      <c r="L34" s="13">
        <v>216.0</v>
      </c>
      <c r="M34" s="13">
        <v>202.0</v>
      </c>
      <c r="N34" s="13">
        <v>229.0</v>
      </c>
      <c r="O34" s="13">
        <v>199.0</v>
      </c>
      <c r="P34" s="13">
        <v>162.0</v>
      </c>
      <c r="Q34" s="13">
        <v>185.0</v>
      </c>
      <c r="R34" s="13">
        <v>200.0</v>
      </c>
      <c r="S34" s="13">
        <v>149.0</v>
      </c>
      <c r="T34" s="13">
        <v>203.0</v>
      </c>
      <c r="U34" s="13">
        <v>211.0</v>
      </c>
      <c r="V34" s="13">
        <v>220.0</v>
      </c>
      <c r="W34" s="13">
        <v>224.0</v>
      </c>
      <c r="X34" s="13">
        <v>228.0</v>
      </c>
      <c r="Y34" s="13">
        <v>238.0</v>
      </c>
      <c r="Z34" s="13">
        <v>229.0</v>
      </c>
      <c r="AA34" s="13">
        <v>217.0</v>
      </c>
      <c r="AB34" s="13">
        <f t="shared" si="10"/>
        <v>4728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1.0</v>
      </c>
      <c r="J35" s="19">
        <v>2.0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3">
        <f t="shared" si="10"/>
        <v>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31</v>
      </c>
      <c r="F36" s="13">
        <f t="shared" si="11"/>
        <v>70</v>
      </c>
      <c r="G36" s="13">
        <f t="shared" si="11"/>
        <v>70</v>
      </c>
      <c r="H36" s="13">
        <f t="shared" si="11"/>
        <v>53</v>
      </c>
      <c r="I36" s="13">
        <f t="shared" si="11"/>
        <v>47</v>
      </c>
      <c r="J36" s="13">
        <f t="shared" si="11"/>
        <v>49</v>
      </c>
      <c r="K36" s="13">
        <f t="shared" si="11"/>
        <v>71</v>
      </c>
      <c r="L36" s="13">
        <f t="shared" si="11"/>
        <v>38</v>
      </c>
      <c r="M36" s="13">
        <f t="shared" si="11"/>
        <v>82</v>
      </c>
      <c r="N36" s="13">
        <f t="shared" si="11"/>
        <v>65</v>
      </c>
      <c r="O36" s="13">
        <f t="shared" si="11"/>
        <v>81</v>
      </c>
      <c r="P36" s="13">
        <f t="shared" si="11"/>
        <v>105</v>
      </c>
      <c r="Q36" s="13">
        <f t="shared" si="11"/>
        <v>80</v>
      </c>
      <c r="R36" s="13">
        <f t="shared" si="11"/>
        <v>43</v>
      </c>
      <c r="S36" s="13">
        <f t="shared" si="11"/>
        <v>32</v>
      </c>
      <c r="T36" s="13">
        <f t="shared" si="11"/>
        <v>87</v>
      </c>
      <c r="U36" s="13">
        <f t="shared" si="11"/>
        <v>83</v>
      </c>
      <c r="V36" s="13">
        <f t="shared" si="11"/>
        <v>65</v>
      </c>
      <c r="W36" s="13">
        <f t="shared" si="11"/>
        <v>75</v>
      </c>
      <c r="X36" s="13">
        <f t="shared" si="11"/>
        <v>65</v>
      </c>
      <c r="Y36" s="13">
        <f t="shared" si="11"/>
        <v>63</v>
      </c>
      <c r="Z36" s="13">
        <f t="shared" si="11"/>
        <v>44</v>
      </c>
      <c r="AA36" s="13">
        <f t="shared" si="11"/>
        <v>81</v>
      </c>
      <c r="AB36" s="13">
        <f t="shared" si="10"/>
        <v>1480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/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2">SUM(E39:AA39)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/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2.0</v>
      </c>
      <c r="F45" s="19">
        <v>10.0</v>
      </c>
      <c r="G45" s="19">
        <v>4.0</v>
      </c>
      <c r="H45" s="19">
        <v>14.0</v>
      </c>
      <c r="I45" s="19">
        <v>13.0</v>
      </c>
      <c r="J45" s="19">
        <v>9.0</v>
      </c>
      <c r="K45" s="19">
        <v>3.0</v>
      </c>
      <c r="L45" s="19">
        <v>17.0</v>
      </c>
      <c r="M45" s="19">
        <v>8.0</v>
      </c>
      <c r="N45" s="19">
        <v>1.0</v>
      </c>
      <c r="O45" s="19">
        <v>2.0</v>
      </c>
      <c r="P45" s="19">
        <v>5.0</v>
      </c>
      <c r="Q45" s="19">
        <v>13.0</v>
      </c>
      <c r="R45" s="19">
        <v>5.0</v>
      </c>
      <c r="S45" s="19">
        <v>5.0</v>
      </c>
      <c r="T45" s="19">
        <v>12.0</v>
      </c>
      <c r="U45" s="19">
        <v>10.0</v>
      </c>
      <c r="V45" s="19">
        <v>15.0</v>
      </c>
      <c r="W45" s="19">
        <v>9.0</v>
      </c>
      <c r="X45" s="19">
        <v>5.0</v>
      </c>
      <c r="Y45" s="19">
        <v>6.0</v>
      </c>
      <c r="Z45" s="19">
        <v>9.0</v>
      </c>
      <c r="AA45" s="19">
        <v>7.0</v>
      </c>
      <c r="AB45" s="13">
        <f t="shared" ref="AB45:AB52" si="14">SUM(E45:AA45)</f>
        <v>184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1.0</v>
      </c>
      <c r="F46" s="19">
        <v>21.0</v>
      </c>
      <c r="G46" s="19">
        <v>5.0</v>
      </c>
      <c r="H46" s="19">
        <v>21.0</v>
      </c>
      <c r="I46" s="19">
        <v>28.0</v>
      </c>
      <c r="J46" s="19">
        <v>8.0</v>
      </c>
      <c r="K46" s="19">
        <v>3.0</v>
      </c>
      <c r="L46" s="19">
        <v>9.0</v>
      </c>
      <c r="M46" s="19">
        <v>10.0</v>
      </c>
      <c r="N46" s="19">
        <v>8.0</v>
      </c>
      <c r="O46" s="19">
        <v>5.0</v>
      </c>
      <c r="P46" s="19">
        <v>11.0</v>
      </c>
      <c r="Q46" s="19">
        <v>13.0</v>
      </c>
      <c r="R46" s="19">
        <v>13.0</v>
      </c>
      <c r="S46" s="19">
        <v>5.0</v>
      </c>
      <c r="T46" s="19">
        <v>18.0</v>
      </c>
      <c r="U46" s="19">
        <v>22.0</v>
      </c>
      <c r="V46" s="19">
        <v>25.0</v>
      </c>
      <c r="W46" s="19">
        <v>16.0</v>
      </c>
      <c r="X46" s="19">
        <v>14.0</v>
      </c>
      <c r="Y46" s="19">
        <v>5.0</v>
      </c>
      <c r="Z46" s="19">
        <v>6.0</v>
      </c>
      <c r="AA46" s="19">
        <v>13.0</v>
      </c>
      <c r="AB46" s="13">
        <f t="shared" si="14"/>
        <v>280</v>
      </c>
    </row>
    <row r="47" ht="12.75" customHeight="1">
      <c r="A47" s="18"/>
      <c r="B47" s="55">
        <v>2.0</v>
      </c>
      <c r="C47" s="50" t="s">
        <v>40</v>
      </c>
      <c r="D47" s="16"/>
      <c r="E47" s="19">
        <v>0.0</v>
      </c>
      <c r="F47" s="19">
        <v>2.0</v>
      </c>
      <c r="G47" s="19">
        <v>4.0</v>
      </c>
      <c r="H47" s="19">
        <v>8.0</v>
      </c>
      <c r="I47" s="19">
        <v>5.0</v>
      </c>
      <c r="J47" s="19">
        <v>0.0</v>
      </c>
      <c r="K47" s="19">
        <v>2.0</v>
      </c>
      <c r="L47" s="19">
        <v>6.0</v>
      </c>
      <c r="M47" s="19">
        <v>5.0</v>
      </c>
      <c r="N47" s="19">
        <v>0.0</v>
      </c>
      <c r="O47" s="19">
        <v>3.0</v>
      </c>
      <c r="P47" s="19">
        <v>6.0</v>
      </c>
      <c r="Q47" s="19">
        <v>5.0</v>
      </c>
      <c r="R47" s="19">
        <v>5.0</v>
      </c>
      <c r="S47" s="19">
        <v>4.0</v>
      </c>
      <c r="T47" s="19">
        <v>1.0</v>
      </c>
      <c r="U47" s="19">
        <v>4.0</v>
      </c>
      <c r="V47" s="19">
        <v>2.0</v>
      </c>
      <c r="W47" s="19">
        <v>2.0</v>
      </c>
      <c r="X47" s="19">
        <v>1.0</v>
      </c>
      <c r="Y47" s="19">
        <v>1.0</v>
      </c>
      <c r="Z47" s="19">
        <v>0.0</v>
      </c>
      <c r="AA47" s="19">
        <v>2.0</v>
      </c>
      <c r="AB47" s="13">
        <f t="shared" si="14"/>
        <v>68</v>
      </c>
    </row>
    <row r="48" ht="12.75" customHeight="1">
      <c r="A48" s="18"/>
      <c r="B48" s="55">
        <v>3.0</v>
      </c>
      <c r="C48" s="50" t="s">
        <v>41</v>
      </c>
      <c r="D48" s="16"/>
      <c r="E48" s="19">
        <v>1.0</v>
      </c>
      <c r="F48" s="19">
        <v>0.0</v>
      </c>
      <c r="G48" s="19">
        <v>0.0</v>
      </c>
      <c r="H48" s="19">
        <v>2.0</v>
      </c>
      <c r="I48" s="19">
        <v>2.0</v>
      </c>
      <c r="J48" s="19">
        <v>0.0</v>
      </c>
      <c r="K48" s="19">
        <v>1.0</v>
      </c>
      <c r="L48" s="19">
        <v>0.0</v>
      </c>
      <c r="M48" s="19">
        <v>3.0</v>
      </c>
      <c r="N48" s="19">
        <v>0.0</v>
      </c>
      <c r="O48" s="19">
        <v>2.0</v>
      </c>
      <c r="P48" s="19">
        <v>1.0</v>
      </c>
      <c r="Q48" s="19">
        <v>1.0</v>
      </c>
      <c r="R48" s="19">
        <v>1.0</v>
      </c>
      <c r="S48" s="19">
        <v>0.0</v>
      </c>
      <c r="T48" s="19">
        <v>0.0</v>
      </c>
      <c r="U48" s="19">
        <v>1.0</v>
      </c>
      <c r="V48" s="19">
        <v>1.0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3">
        <f t="shared" si="14"/>
        <v>16</v>
      </c>
    </row>
    <row r="49" ht="12.75" customHeight="1">
      <c r="A49" s="18"/>
      <c r="B49" s="55">
        <v>4.0</v>
      </c>
      <c r="C49" s="50" t="s">
        <v>42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3.0</v>
      </c>
      <c r="J49" s="19">
        <v>1.0</v>
      </c>
      <c r="K49" s="19">
        <v>2.0</v>
      </c>
      <c r="L49" s="19">
        <v>1.0</v>
      </c>
      <c r="M49" s="19">
        <v>2.0</v>
      </c>
      <c r="N49" s="19">
        <v>3.0</v>
      </c>
      <c r="O49" s="19">
        <v>0.0</v>
      </c>
      <c r="P49" s="19">
        <v>1.0</v>
      </c>
      <c r="Q49" s="19">
        <v>1.0</v>
      </c>
      <c r="R49" s="19">
        <v>0.0</v>
      </c>
      <c r="S49" s="19">
        <v>0.0</v>
      </c>
      <c r="T49" s="19"/>
      <c r="U49" s="19">
        <v>0.0</v>
      </c>
      <c r="V49" s="19">
        <v>2.0</v>
      </c>
      <c r="W49" s="19">
        <v>1.0</v>
      </c>
      <c r="X49" s="19">
        <v>9.0</v>
      </c>
      <c r="Y49" s="19">
        <v>6.0</v>
      </c>
      <c r="Z49" s="19">
        <v>1.0</v>
      </c>
      <c r="AA49" s="19">
        <v>0.0</v>
      </c>
      <c r="AB49" s="13">
        <f t="shared" si="14"/>
        <v>35</v>
      </c>
    </row>
    <row r="50" ht="12.75" customHeight="1">
      <c r="A50" s="18"/>
      <c r="B50" s="55">
        <v>5.0</v>
      </c>
      <c r="C50" s="50" t="s">
        <v>43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1.0</v>
      </c>
      <c r="T50" s="19"/>
      <c r="U50" s="19">
        <v>1.0</v>
      </c>
      <c r="V50" s="19">
        <v>1.0</v>
      </c>
      <c r="W50" s="19">
        <v>0.0</v>
      </c>
      <c r="X50" s="19">
        <v>0.0</v>
      </c>
      <c r="Y50" s="19">
        <v>0.0</v>
      </c>
      <c r="Z50" s="19">
        <v>1.0</v>
      </c>
      <c r="AA50" s="19">
        <v>1.0</v>
      </c>
      <c r="AB50" s="13">
        <f t="shared" si="14"/>
        <v>8</v>
      </c>
    </row>
    <row r="51" ht="12.75" customHeight="1">
      <c r="A51" s="18"/>
      <c r="B51" s="55">
        <v>6.0</v>
      </c>
      <c r="C51" s="50" t="s">
        <v>44</v>
      </c>
      <c r="D51" s="16"/>
      <c r="E51" s="19">
        <v>0.0</v>
      </c>
      <c r="F51" s="19"/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/>
      <c r="U51" s="19"/>
      <c r="V51" s="19">
        <v>0.0</v>
      </c>
      <c r="W51" s="19">
        <v>0.0</v>
      </c>
      <c r="X51" s="19">
        <v>0.0</v>
      </c>
      <c r="Y51" s="19">
        <v>1.0</v>
      </c>
      <c r="Z51" s="19">
        <v>1.0</v>
      </c>
      <c r="AA51" s="19">
        <v>0.0</v>
      </c>
      <c r="AB51" s="13">
        <f t="shared" si="14"/>
        <v>4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/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/>
      <c r="U52" s="19"/>
      <c r="V52" s="19">
        <v>0.0</v>
      </c>
      <c r="W52" s="19">
        <v>0.0</v>
      </c>
      <c r="X52" s="19">
        <v>0.0</v>
      </c>
      <c r="Y52" s="19"/>
      <c r="Z52" s="19">
        <v>1.0</v>
      </c>
      <c r="AA52" s="19">
        <v>0.0</v>
      </c>
      <c r="AB52" s="13">
        <f t="shared" si="14"/>
        <v>1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AA55" si="15">SUM(E45:E52)</f>
        <v>6</v>
      </c>
      <c r="F55" s="13">
        <f t="shared" si="15"/>
        <v>34</v>
      </c>
      <c r="G55" s="13">
        <f t="shared" si="15"/>
        <v>13</v>
      </c>
      <c r="H55" s="13">
        <f t="shared" si="15"/>
        <v>46</v>
      </c>
      <c r="I55" s="13">
        <f t="shared" si="15"/>
        <v>51</v>
      </c>
      <c r="J55" s="13">
        <f t="shared" si="15"/>
        <v>18</v>
      </c>
      <c r="K55" s="13">
        <f t="shared" si="15"/>
        <v>11</v>
      </c>
      <c r="L55" s="13">
        <f t="shared" si="15"/>
        <v>33</v>
      </c>
      <c r="M55" s="13">
        <f t="shared" si="15"/>
        <v>29</v>
      </c>
      <c r="N55" s="13">
        <f t="shared" si="15"/>
        <v>12</v>
      </c>
      <c r="O55" s="13">
        <f t="shared" si="15"/>
        <v>13</v>
      </c>
      <c r="P55" s="13">
        <f t="shared" si="15"/>
        <v>24</v>
      </c>
      <c r="Q55" s="13">
        <f t="shared" si="15"/>
        <v>34</v>
      </c>
      <c r="R55" s="13">
        <f t="shared" si="15"/>
        <v>24</v>
      </c>
      <c r="S55" s="13">
        <f t="shared" si="15"/>
        <v>15</v>
      </c>
      <c r="T55" s="13">
        <f t="shared" si="15"/>
        <v>31</v>
      </c>
      <c r="U55" s="13">
        <f t="shared" si="15"/>
        <v>38</v>
      </c>
      <c r="V55" s="13">
        <f t="shared" si="15"/>
        <v>46</v>
      </c>
      <c r="W55" s="13">
        <f t="shared" si="15"/>
        <v>28</v>
      </c>
      <c r="X55" s="13">
        <f t="shared" si="15"/>
        <v>29</v>
      </c>
      <c r="Y55" s="13">
        <f t="shared" si="15"/>
        <v>19</v>
      </c>
      <c r="Z55" s="13">
        <f t="shared" si="15"/>
        <v>19</v>
      </c>
      <c r="AA55" s="13">
        <f t="shared" si="15"/>
        <v>23</v>
      </c>
      <c r="AB55" s="13">
        <f>SUM(E55:AA55)</f>
        <v>596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18.0</v>
      </c>
      <c r="F57" s="19">
        <v>10.0</v>
      </c>
      <c r="G57" s="19">
        <v>12.0</v>
      </c>
      <c r="H57" s="19">
        <v>14.0</v>
      </c>
      <c r="I57" s="19">
        <v>12.0</v>
      </c>
      <c r="J57" s="19">
        <v>14.0</v>
      </c>
      <c r="K57" s="19">
        <v>6.0</v>
      </c>
      <c r="L57" s="19">
        <v>12.0</v>
      </c>
      <c r="M57" s="19">
        <v>10.0</v>
      </c>
      <c r="N57" s="19">
        <v>6.0</v>
      </c>
      <c r="O57" s="19">
        <v>13.0</v>
      </c>
      <c r="P57" s="19">
        <v>10.0</v>
      </c>
      <c r="Q57" s="19">
        <v>8.0</v>
      </c>
      <c r="R57" s="19">
        <v>8.0</v>
      </c>
      <c r="S57" s="19">
        <v>18.0</v>
      </c>
      <c r="T57" s="19">
        <v>9.0</v>
      </c>
      <c r="U57" s="19">
        <v>9.0</v>
      </c>
      <c r="V57" s="19">
        <v>3.0</v>
      </c>
      <c r="W57" s="19">
        <v>10.0</v>
      </c>
      <c r="X57" s="19">
        <v>14.0</v>
      </c>
      <c r="Y57" s="19">
        <v>19.0</v>
      </c>
      <c r="Z57" s="19">
        <v>21.0</v>
      </c>
      <c r="AA57" s="19">
        <v>12.0</v>
      </c>
      <c r="AB57" s="13">
        <f t="shared" ref="AB57:AB64" si="16">SUM(E57:AA57)</f>
        <v>268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8.0</v>
      </c>
      <c r="F58" s="19">
        <v>2.0</v>
      </c>
      <c r="G58" s="19">
        <v>3.0</v>
      </c>
      <c r="H58" s="19">
        <v>9.0</v>
      </c>
      <c r="I58" s="19">
        <v>8.0</v>
      </c>
      <c r="J58" s="19">
        <v>4.0</v>
      </c>
      <c r="K58" s="19">
        <v>9.0</v>
      </c>
      <c r="L58" s="19">
        <v>13.0</v>
      </c>
      <c r="M58" s="19">
        <v>7.0</v>
      </c>
      <c r="N58" s="19">
        <v>12.0</v>
      </c>
      <c r="O58" s="19">
        <v>7.0</v>
      </c>
      <c r="P58" s="19">
        <v>7.0</v>
      </c>
      <c r="Q58" s="19">
        <v>6.0</v>
      </c>
      <c r="R58" s="19">
        <v>5.0</v>
      </c>
      <c r="S58" s="19">
        <v>5.0</v>
      </c>
      <c r="T58" s="19">
        <v>6.0</v>
      </c>
      <c r="U58" s="19">
        <v>5.0</v>
      </c>
      <c r="V58" s="19">
        <v>3.0</v>
      </c>
      <c r="W58" s="19">
        <v>0.0</v>
      </c>
      <c r="X58" s="19">
        <v>4.0</v>
      </c>
      <c r="Y58" s="19">
        <v>2.0</v>
      </c>
      <c r="Z58" s="19">
        <v>3.0</v>
      </c>
      <c r="AA58" s="19">
        <v>4.0</v>
      </c>
      <c r="AB58" s="13">
        <f t="shared" si="16"/>
        <v>132</v>
      </c>
    </row>
    <row r="59" ht="12.75" customHeight="1">
      <c r="A59" s="18"/>
      <c r="B59" s="55">
        <v>2.0</v>
      </c>
      <c r="C59" s="50" t="s">
        <v>49</v>
      </c>
      <c r="D59" s="56"/>
      <c r="E59" s="19">
        <v>5.0</v>
      </c>
      <c r="F59" s="19">
        <v>3.0</v>
      </c>
      <c r="G59" s="19">
        <v>3.0</v>
      </c>
      <c r="H59" s="19">
        <v>6.0</v>
      </c>
      <c r="I59" s="19">
        <v>5.0</v>
      </c>
      <c r="J59" s="19">
        <v>1.0</v>
      </c>
      <c r="K59" s="19">
        <v>3.0</v>
      </c>
      <c r="L59" s="19">
        <v>6.0</v>
      </c>
      <c r="M59" s="19">
        <v>11.0</v>
      </c>
      <c r="N59" s="19">
        <v>10.0</v>
      </c>
      <c r="O59" s="19">
        <v>7.0</v>
      </c>
      <c r="P59" s="19">
        <v>5.0</v>
      </c>
      <c r="Q59" s="19">
        <v>4.0</v>
      </c>
      <c r="R59" s="19">
        <v>6.0</v>
      </c>
      <c r="S59" s="19">
        <v>7.0</v>
      </c>
      <c r="T59" s="19">
        <v>2.0</v>
      </c>
      <c r="U59" s="19">
        <v>2.0</v>
      </c>
      <c r="V59" s="19">
        <v>1.0</v>
      </c>
      <c r="W59" s="19">
        <v>1.0</v>
      </c>
      <c r="X59" s="19">
        <v>4.0</v>
      </c>
      <c r="Y59" s="19">
        <v>4.0</v>
      </c>
      <c r="Z59" s="19">
        <v>2.0</v>
      </c>
      <c r="AA59" s="19">
        <v>1.0</v>
      </c>
      <c r="AB59" s="13">
        <f t="shared" si="16"/>
        <v>99</v>
      </c>
    </row>
    <row r="60" ht="12.75" customHeight="1">
      <c r="A60" s="18"/>
      <c r="B60" s="55">
        <v>3.0</v>
      </c>
      <c r="C60" s="50" t="s">
        <v>50</v>
      </c>
      <c r="D60" s="56"/>
      <c r="E60" s="19">
        <v>7.0</v>
      </c>
      <c r="F60" s="19">
        <v>0.0</v>
      </c>
      <c r="G60" s="19">
        <v>1.0</v>
      </c>
      <c r="H60" s="19">
        <v>3.0</v>
      </c>
      <c r="I60" s="19">
        <v>1.0</v>
      </c>
      <c r="J60" s="19">
        <v>0.0</v>
      </c>
      <c r="K60" s="19">
        <v>0.0</v>
      </c>
      <c r="L60" s="19">
        <v>9.0</v>
      </c>
      <c r="M60" s="19">
        <v>15.0</v>
      </c>
      <c r="N60" s="19">
        <v>1.0</v>
      </c>
      <c r="O60" s="19">
        <v>1.0</v>
      </c>
      <c r="P60" s="19">
        <v>1.0</v>
      </c>
      <c r="Q60" s="19">
        <v>1.0</v>
      </c>
      <c r="R60" s="19">
        <v>2.0</v>
      </c>
      <c r="S60" s="19">
        <v>2.0</v>
      </c>
      <c r="T60" s="19">
        <v>1.0</v>
      </c>
      <c r="U60" s="19"/>
      <c r="V60" s="19">
        <v>0.0</v>
      </c>
      <c r="W60" s="19">
        <v>2.0</v>
      </c>
      <c r="X60" s="19">
        <v>0.0</v>
      </c>
      <c r="Y60" s="19">
        <v>1.0</v>
      </c>
      <c r="Z60" s="19">
        <v>0.0</v>
      </c>
      <c r="AA60" s="19">
        <v>1.0</v>
      </c>
      <c r="AB60" s="13">
        <f t="shared" si="16"/>
        <v>49</v>
      </c>
    </row>
    <row r="61" ht="12.75" customHeight="1">
      <c r="A61" s="18"/>
      <c r="B61" s="55">
        <v>4.0</v>
      </c>
      <c r="C61" s="50" t="s">
        <v>51</v>
      </c>
      <c r="D61" s="56"/>
      <c r="E61" s="19">
        <v>0.0</v>
      </c>
      <c r="F61" s="19">
        <v>0.0</v>
      </c>
      <c r="G61" s="19">
        <v>0.0</v>
      </c>
      <c r="H61" s="19">
        <v>2.0</v>
      </c>
      <c r="I61" s="19">
        <v>1.0</v>
      </c>
      <c r="J61" s="19">
        <v>2.0</v>
      </c>
      <c r="K61" s="19">
        <v>1.0</v>
      </c>
      <c r="L61" s="19">
        <v>3.0</v>
      </c>
      <c r="M61" s="19">
        <v>0.0</v>
      </c>
      <c r="N61" s="19">
        <v>1.0</v>
      </c>
      <c r="O61" s="19">
        <v>0.0</v>
      </c>
      <c r="P61" s="19">
        <v>2.0</v>
      </c>
      <c r="Q61" s="19">
        <v>0.0</v>
      </c>
      <c r="R61" s="19">
        <v>1.0</v>
      </c>
      <c r="S61" s="19">
        <v>3.0</v>
      </c>
      <c r="T61" s="19">
        <v>2.0</v>
      </c>
      <c r="U61" s="19"/>
      <c r="V61" s="19">
        <v>0.0</v>
      </c>
      <c r="W61" s="19">
        <v>0.0</v>
      </c>
      <c r="X61" s="19">
        <v>1.0</v>
      </c>
      <c r="Y61" s="19">
        <v>3.0</v>
      </c>
      <c r="Z61" s="19">
        <v>0.0</v>
      </c>
      <c r="AA61" s="19">
        <v>0.0</v>
      </c>
      <c r="AB61" s="13">
        <f t="shared" si="16"/>
        <v>22</v>
      </c>
    </row>
    <row r="62" ht="12.75" customHeight="1">
      <c r="A62" s="18"/>
      <c r="B62" s="55">
        <v>5.0</v>
      </c>
      <c r="C62" s="50" t="s">
        <v>52</v>
      </c>
      <c r="D62" s="56"/>
      <c r="E62" s="19">
        <v>2.0</v>
      </c>
      <c r="F62" s="19">
        <v>0.0</v>
      </c>
      <c r="G62" s="19">
        <v>0.0</v>
      </c>
      <c r="H62" s="19">
        <v>1.0</v>
      </c>
      <c r="I62" s="19">
        <v>1.0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/>
      <c r="R62" s="19">
        <v>0.0</v>
      </c>
      <c r="S62" s="19">
        <v>0.0</v>
      </c>
      <c r="T62" s="19"/>
      <c r="U62" s="19"/>
      <c r="V62" s="19">
        <v>0.0</v>
      </c>
      <c r="W62" s="19">
        <v>0.0</v>
      </c>
      <c r="X62" s="19">
        <v>0.0</v>
      </c>
      <c r="Y62" s="19"/>
      <c r="Z62" s="19">
        <v>0.0</v>
      </c>
      <c r="AA62" s="19">
        <v>0.0</v>
      </c>
      <c r="AB62" s="13">
        <f t="shared" si="16"/>
        <v>5</v>
      </c>
    </row>
    <row r="63" ht="12.75" customHeight="1">
      <c r="A63" s="18"/>
      <c r="B63" s="55">
        <v>6.0</v>
      </c>
      <c r="C63" s="50" t="s">
        <v>53</v>
      </c>
      <c r="D63" s="57"/>
      <c r="E63" s="19">
        <v>1.0</v>
      </c>
      <c r="F63" s="19">
        <v>1.0</v>
      </c>
      <c r="G63" s="19">
        <v>0.0</v>
      </c>
      <c r="H63" s="19">
        <v>2.0</v>
      </c>
      <c r="I63" s="19">
        <v>0.0</v>
      </c>
      <c r="J63" s="19">
        <v>0.0</v>
      </c>
      <c r="K63" s="19">
        <v>0.0</v>
      </c>
      <c r="L63" s="19">
        <v>4.0</v>
      </c>
      <c r="M63" s="19">
        <v>2.0</v>
      </c>
      <c r="N63" s="19">
        <v>0.0</v>
      </c>
      <c r="O63" s="19">
        <v>1.0</v>
      </c>
      <c r="P63" s="19">
        <v>0.0</v>
      </c>
      <c r="Q63" s="19"/>
      <c r="R63" s="19">
        <v>0.0</v>
      </c>
      <c r="S63" s="19">
        <v>1.0</v>
      </c>
      <c r="T63" s="19"/>
      <c r="U63" s="19"/>
      <c r="V63" s="19">
        <v>0.0</v>
      </c>
      <c r="W63" s="19">
        <v>1.0</v>
      </c>
      <c r="X63" s="19">
        <v>1.0</v>
      </c>
      <c r="Y63" s="19"/>
      <c r="Z63" s="19">
        <v>1.0</v>
      </c>
      <c r="AA63" s="19">
        <v>0.0</v>
      </c>
      <c r="AB63" s="13">
        <f t="shared" si="16"/>
        <v>15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3.0</v>
      </c>
      <c r="M64" s="19">
        <v>0.0</v>
      </c>
      <c r="N64" s="19">
        <v>3.0</v>
      </c>
      <c r="O64" s="19">
        <v>0.0</v>
      </c>
      <c r="P64" s="19">
        <v>0.0</v>
      </c>
      <c r="Q64" s="19">
        <v>1.0</v>
      </c>
      <c r="R64" s="19">
        <v>0.0</v>
      </c>
      <c r="S64" s="19">
        <v>1.0</v>
      </c>
      <c r="T64" s="19"/>
      <c r="U64" s="19"/>
      <c r="V64" s="19">
        <v>0.0</v>
      </c>
      <c r="W64" s="19">
        <v>0.0</v>
      </c>
      <c r="X64" s="19">
        <v>0.0</v>
      </c>
      <c r="Y64" s="19"/>
      <c r="Z64" s="19">
        <v>1.0</v>
      </c>
      <c r="AA64" s="19">
        <v>1.0</v>
      </c>
      <c r="AB64" s="13">
        <f t="shared" si="16"/>
        <v>10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AA67" si="17">SUM(E57:E64)</f>
        <v>41</v>
      </c>
      <c r="F67" s="13">
        <f t="shared" si="17"/>
        <v>16</v>
      </c>
      <c r="G67" s="13">
        <f t="shared" si="17"/>
        <v>19</v>
      </c>
      <c r="H67" s="13">
        <f t="shared" si="17"/>
        <v>37</v>
      </c>
      <c r="I67" s="13">
        <f t="shared" si="17"/>
        <v>28</v>
      </c>
      <c r="J67" s="13">
        <f t="shared" si="17"/>
        <v>22</v>
      </c>
      <c r="K67" s="13">
        <f t="shared" si="17"/>
        <v>19</v>
      </c>
      <c r="L67" s="13">
        <f t="shared" si="17"/>
        <v>50</v>
      </c>
      <c r="M67" s="13">
        <f t="shared" si="17"/>
        <v>45</v>
      </c>
      <c r="N67" s="13">
        <f t="shared" si="17"/>
        <v>33</v>
      </c>
      <c r="O67" s="13">
        <f t="shared" si="17"/>
        <v>29</v>
      </c>
      <c r="P67" s="13">
        <f t="shared" si="17"/>
        <v>25</v>
      </c>
      <c r="Q67" s="13">
        <f t="shared" si="17"/>
        <v>20</v>
      </c>
      <c r="R67" s="13">
        <f t="shared" si="17"/>
        <v>22</v>
      </c>
      <c r="S67" s="13">
        <f t="shared" si="17"/>
        <v>37</v>
      </c>
      <c r="T67" s="13">
        <f t="shared" si="17"/>
        <v>20</v>
      </c>
      <c r="U67" s="13">
        <f t="shared" si="17"/>
        <v>16</v>
      </c>
      <c r="V67" s="13">
        <f t="shared" si="17"/>
        <v>7</v>
      </c>
      <c r="W67" s="13">
        <f t="shared" si="17"/>
        <v>14</v>
      </c>
      <c r="X67" s="13">
        <f t="shared" si="17"/>
        <v>24</v>
      </c>
      <c r="Y67" s="13">
        <f t="shared" si="17"/>
        <v>29</v>
      </c>
      <c r="Z67" s="13">
        <f t="shared" si="17"/>
        <v>28</v>
      </c>
      <c r="AA67" s="13">
        <f t="shared" si="17"/>
        <v>19</v>
      </c>
      <c r="AB67" s="13">
        <f>SUM(E67:AA67)</f>
        <v>600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4.0</v>
      </c>
      <c r="F69" s="19">
        <v>11.0</v>
      </c>
      <c r="G69" s="19">
        <v>26.0</v>
      </c>
      <c r="H69" s="19">
        <v>9.0</v>
      </c>
      <c r="I69" s="19">
        <v>18.0</v>
      </c>
      <c r="J69" s="19">
        <v>8.0</v>
      </c>
      <c r="K69" s="19">
        <v>13.0</v>
      </c>
      <c r="L69" s="19">
        <v>19.0</v>
      </c>
      <c r="M69" s="19">
        <v>8.0</v>
      </c>
      <c r="N69" s="19">
        <v>6.0</v>
      </c>
      <c r="O69" s="19">
        <v>4.0</v>
      </c>
      <c r="P69" s="19">
        <v>2.0</v>
      </c>
      <c r="Q69" s="19">
        <v>7.0</v>
      </c>
      <c r="R69" s="19">
        <v>3.0</v>
      </c>
      <c r="S69" s="19">
        <v>7.0</v>
      </c>
      <c r="T69" s="19">
        <v>25.0</v>
      </c>
      <c r="U69" s="19">
        <v>23.0</v>
      </c>
      <c r="V69" s="19">
        <v>12.0</v>
      </c>
      <c r="W69" s="19">
        <v>14.0</v>
      </c>
      <c r="X69" s="19">
        <v>12.0</v>
      </c>
      <c r="Y69" s="19">
        <v>15.0</v>
      </c>
      <c r="Z69" s="19">
        <v>12.0</v>
      </c>
      <c r="AA69" s="19">
        <v>8.0</v>
      </c>
      <c r="AB69" s="13">
        <f t="shared" ref="AB69:AB76" si="18">SUM(E69:AA69)</f>
        <v>266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6.0</v>
      </c>
      <c r="F70" s="19">
        <v>5.0</v>
      </c>
      <c r="G70" s="19">
        <v>16.0</v>
      </c>
      <c r="H70" s="19">
        <v>10.0</v>
      </c>
      <c r="I70" s="19">
        <v>8.0</v>
      </c>
      <c r="J70" s="19">
        <v>9.0</v>
      </c>
      <c r="K70" s="19">
        <v>8.0</v>
      </c>
      <c r="L70" s="19">
        <v>14.0</v>
      </c>
      <c r="M70" s="19">
        <v>11.0</v>
      </c>
      <c r="N70" s="19">
        <v>6.0</v>
      </c>
      <c r="O70" s="19">
        <v>7.0</v>
      </c>
      <c r="P70" s="19">
        <v>4.0</v>
      </c>
      <c r="Q70" s="19">
        <v>4.0</v>
      </c>
      <c r="R70" s="19">
        <v>2.0</v>
      </c>
      <c r="S70" s="19">
        <v>10.0</v>
      </c>
      <c r="T70" s="19">
        <v>26.0</v>
      </c>
      <c r="U70" s="19">
        <v>33.0</v>
      </c>
      <c r="V70" s="19">
        <v>1.0</v>
      </c>
      <c r="W70" s="19">
        <v>0.0</v>
      </c>
      <c r="X70" s="19">
        <v>6.0</v>
      </c>
      <c r="Y70" s="19">
        <v>7.0</v>
      </c>
      <c r="Z70" s="19">
        <v>2.0</v>
      </c>
      <c r="AA70" s="19">
        <v>3.0</v>
      </c>
      <c r="AB70" s="13">
        <f t="shared" si="18"/>
        <v>198</v>
      </c>
    </row>
    <row r="71" ht="12.75" customHeight="1">
      <c r="A71" s="18"/>
      <c r="B71" s="55">
        <v>2.0</v>
      </c>
      <c r="C71" s="50" t="s">
        <v>57</v>
      </c>
      <c r="D71" s="57"/>
      <c r="E71" s="19">
        <v>4.0</v>
      </c>
      <c r="F71" s="19">
        <v>1.0</v>
      </c>
      <c r="G71" s="19">
        <v>0.0</v>
      </c>
      <c r="H71" s="19">
        <v>3.0</v>
      </c>
      <c r="I71" s="19">
        <v>1.0</v>
      </c>
      <c r="J71" s="19">
        <v>3.0</v>
      </c>
      <c r="K71" s="19">
        <v>6.0</v>
      </c>
      <c r="L71" s="19">
        <v>6.0</v>
      </c>
      <c r="M71" s="19">
        <v>1.0</v>
      </c>
      <c r="N71" s="19">
        <v>4.0</v>
      </c>
      <c r="O71" s="19">
        <v>3.0</v>
      </c>
      <c r="P71" s="19">
        <v>4.0</v>
      </c>
      <c r="Q71" s="19">
        <v>4.0</v>
      </c>
      <c r="R71" s="19">
        <v>1.0</v>
      </c>
      <c r="S71" s="19">
        <v>2.0</v>
      </c>
      <c r="T71" s="19">
        <v>1.0</v>
      </c>
      <c r="U71" s="19">
        <v>1.0</v>
      </c>
      <c r="V71" s="19">
        <v>1.0</v>
      </c>
      <c r="W71" s="19">
        <v>4.0</v>
      </c>
      <c r="X71" s="19">
        <v>3.0</v>
      </c>
      <c r="Y71" s="19">
        <v>3.0</v>
      </c>
      <c r="Z71" s="19">
        <v>0.0</v>
      </c>
      <c r="AA71" s="19">
        <v>0.0</v>
      </c>
      <c r="AB71" s="13">
        <f t="shared" si="18"/>
        <v>56</v>
      </c>
    </row>
    <row r="72" ht="12.75" customHeight="1">
      <c r="A72" s="18"/>
      <c r="B72" s="55">
        <v>3.0</v>
      </c>
      <c r="C72" s="50" t="s">
        <v>58</v>
      </c>
      <c r="D72" s="57"/>
      <c r="E72" s="19">
        <v>1.0</v>
      </c>
      <c r="F72" s="19">
        <v>3.0</v>
      </c>
      <c r="G72" s="19">
        <v>3.0</v>
      </c>
      <c r="H72" s="19">
        <v>0.0</v>
      </c>
      <c r="I72" s="19">
        <v>2.0</v>
      </c>
      <c r="J72" s="19">
        <v>1.0</v>
      </c>
      <c r="K72" s="19">
        <v>5.0</v>
      </c>
      <c r="L72" s="19">
        <v>2.0</v>
      </c>
      <c r="M72" s="19">
        <v>2.0</v>
      </c>
      <c r="N72" s="19">
        <v>2.0</v>
      </c>
      <c r="O72" s="19">
        <v>0.0</v>
      </c>
      <c r="P72" s="19">
        <v>4.0</v>
      </c>
      <c r="Q72" s="19">
        <v>3.0</v>
      </c>
      <c r="R72" s="19">
        <v>0.0</v>
      </c>
      <c r="S72" s="19">
        <v>2.0</v>
      </c>
      <c r="T72" s="19"/>
      <c r="U72" s="19">
        <v>2.0</v>
      </c>
      <c r="V72" s="19">
        <v>46.0</v>
      </c>
      <c r="W72" s="19">
        <v>59.0</v>
      </c>
      <c r="X72" s="19">
        <v>30.0</v>
      </c>
      <c r="Y72" s="19">
        <v>4.0</v>
      </c>
      <c r="Z72" s="19">
        <v>3.0</v>
      </c>
      <c r="AA72" s="19">
        <v>7.0</v>
      </c>
      <c r="AB72" s="13">
        <f t="shared" si="18"/>
        <v>181</v>
      </c>
    </row>
    <row r="73" ht="12.75" customHeight="1">
      <c r="A73" s="18"/>
      <c r="B73" s="55">
        <v>4.0</v>
      </c>
      <c r="C73" s="50" t="s">
        <v>59</v>
      </c>
      <c r="D73" s="57"/>
      <c r="E73" s="19">
        <v>1.0</v>
      </c>
      <c r="F73" s="19">
        <v>4.0</v>
      </c>
      <c r="G73" s="19">
        <v>7.0</v>
      </c>
      <c r="H73" s="19">
        <v>7.0</v>
      </c>
      <c r="I73" s="19">
        <v>0.0</v>
      </c>
      <c r="J73" s="19">
        <v>3.0</v>
      </c>
      <c r="K73" s="19">
        <v>6.0</v>
      </c>
      <c r="L73" s="19">
        <v>0.0</v>
      </c>
      <c r="M73" s="19">
        <v>1.0</v>
      </c>
      <c r="N73" s="19">
        <v>0.0</v>
      </c>
      <c r="O73" s="19">
        <v>2.0</v>
      </c>
      <c r="P73" s="19">
        <v>0.0</v>
      </c>
      <c r="Q73" s="19">
        <v>0.0</v>
      </c>
      <c r="R73" s="19">
        <v>1.0</v>
      </c>
      <c r="S73" s="19">
        <v>1.0</v>
      </c>
      <c r="T73" s="19">
        <v>1.0</v>
      </c>
      <c r="U73" s="19">
        <v>1.0</v>
      </c>
      <c r="V73" s="19">
        <v>1.0</v>
      </c>
      <c r="W73" s="19">
        <v>4.0</v>
      </c>
      <c r="X73" s="19">
        <v>1.0</v>
      </c>
      <c r="Y73" s="19">
        <v>1.0</v>
      </c>
      <c r="Z73" s="19">
        <v>4.0</v>
      </c>
      <c r="AA73" s="19">
        <v>2.0</v>
      </c>
      <c r="AB73" s="13">
        <f t="shared" si="18"/>
        <v>48</v>
      </c>
    </row>
    <row r="74" ht="12.75" customHeight="1">
      <c r="A74" s="18"/>
      <c r="B74" s="55">
        <v>5.0</v>
      </c>
      <c r="C74" s="50" t="s">
        <v>60</v>
      </c>
      <c r="D74" s="57"/>
      <c r="E74" s="19">
        <v>2.0</v>
      </c>
      <c r="F74" s="19">
        <v>2.0</v>
      </c>
      <c r="G74" s="19">
        <v>1.0</v>
      </c>
      <c r="H74" s="19">
        <v>3.0</v>
      </c>
      <c r="I74" s="19">
        <v>1.0</v>
      </c>
      <c r="J74" s="19">
        <v>1.0</v>
      </c>
      <c r="K74" s="19">
        <v>1.0</v>
      </c>
      <c r="L74" s="19">
        <v>1.0</v>
      </c>
      <c r="M74" s="19">
        <v>1.0</v>
      </c>
      <c r="N74" s="19">
        <v>1.0</v>
      </c>
      <c r="O74" s="19">
        <v>3.0</v>
      </c>
      <c r="P74" s="19">
        <v>0.0</v>
      </c>
      <c r="Q74" s="19"/>
      <c r="R74" s="19">
        <v>0.0</v>
      </c>
      <c r="S74" s="19">
        <v>2.0</v>
      </c>
      <c r="T74" s="19"/>
      <c r="U74" s="19">
        <v>5.0</v>
      </c>
      <c r="V74" s="19">
        <v>2.0</v>
      </c>
      <c r="W74" s="19">
        <v>2.0</v>
      </c>
      <c r="X74" s="19">
        <v>2.0</v>
      </c>
      <c r="Y74" s="19">
        <v>2.0</v>
      </c>
      <c r="Z74" s="19">
        <v>3.0</v>
      </c>
      <c r="AA74" s="19">
        <v>1.0</v>
      </c>
      <c r="AB74" s="13">
        <f t="shared" si="18"/>
        <v>36</v>
      </c>
    </row>
    <row r="75" ht="12.75" customHeight="1">
      <c r="A75" s="18"/>
      <c r="B75" s="55">
        <v>6.0</v>
      </c>
      <c r="C75" s="50" t="s">
        <v>61</v>
      </c>
      <c r="D75" s="57"/>
      <c r="E75" s="19">
        <v>4.0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9">
        <v>5.0</v>
      </c>
      <c r="L75" s="19">
        <v>0.0</v>
      </c>
      <c r="M75" s="19">
        <v>3.0</v>
      </c>
      <c r="N75" s="19">
        <v>4.0</v>
      </c>
      <c r="O75" s="19">
        <v>1.0</v>
      </c>
      <c r="P75" s="19">
        <v>0.0</v>
      </c>
      <c r="Q75" s="19">
        <v>1.0</v>
      </c>
      <c r="R75" s="19">
        <v>0.0</v>
      </c>
      <c r="S75" s="19">
        <v>3.0</v>
      </c>
      <c r="T75" s="19"/>
      <c r="U75" s="19"/>
      <c r="V75" s="19">
        <v>2.0</v>
      </c>
      <c r="W75" s="19">
        <v>0.0</v>
      </c>
      <c r="X75" s="19">
        <v>1.0</v>
      </c>
      <c r="Y75" s="19">
        <v>4.0</v>
      </c>
      <c r="Z75" s="19">
        <v>0.0</v>
      </c>
      <c r="AA75" s="19">
        <v>1.0</v>
      </c>
      <c r="AB75" s="13">
        <f t="shared" si="18"/>
        <v>30</v>
      </c>
    </row>
    <row r="76" ht="12.75" customHeight="1">
      <c r="A76" s="18"/>
      <c r="B76" s="55">
        <v>7.0</v>
      </c>
      <c r="C76" s="50" t="s">
        <v>62</v>
      </c>
      <c r="D76" s="57"/>
      <c r="E76" s="19">
        <v>1.0</v>
      </c>
      <c r="F76" s="19">
        <v>1.0</v>
      </c>
      <c r="G76" s="19">
        <v>1.0</v>
      </c>
      <c r="H76" s="19">
        <v>0.0</v>
      </c>
      <c r="I76" s="19">
        <v>4.0</v>
      </c>
      <c r="J76" s="19">
        <v>2.0</v>
      </c>
      <c r="K76" s="19">
        <v>0.0</v>
      </c>
      <c r="L76" s="19">
        <v>0.0</v>
      </c>
      <c r="M76" s="19">
        <v>1.0</v>
      </c>
      <c r="N76" s="19">
        <v>2.0</v>
      </c>
      <c r="O76" s="19">
        <v>0.0</v>
      </c>
      <c r="P76" s="19">
        <v>2.0</v>
      </c>
      <c r="Q76" s="19">
        <v>1.0</v>
      </c>
      <c r="R76" s="19">
        <v>0.0</v>
      </c>
      <c r="S76" s="19">
        <v>1.0</v>
      </c>
      <c r="T76" s="19"/>
      <c r="U76" s="19"/>
      <c r="V76" s="19">
        <v>2.0</v>
      </c>
      <c r="W76" s="19">
        <v>0.0</v>
      </c>
      <c r="X76" s="19">
        <v>1.0</v>
      </c>
      <c r="Y76" s="19"/>
      <c r="Z76" s="19">
        <v>0.0</v>
      </c>
      <c r="AA76" s="19">
        <v>0.0</v>
      </c>
      <c r="AB76" s="13">
        <f t="shared" si="18"/>
        <v>19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AA79" si="19">SUM(E69:E76)</f>
        <v>23</v>
      </c>
      <c r="F79" s="13">
        <f t="shared" si="19"/>
        <v>27</v>
      </c>
      <c r="G79" s="13">
        <f t="shared" si="19"/>
        <v>54</v>
      </c>
      <c r="H79" s="13">
        <f t="shared" si="19"/>
        <v>33</v>
      </c>
      <c r="I79" s="13">
        <f t="shared" si="19"/>
        <v>34</v>
      </c>
      <c r="J79" s="13">
        <f t="shared" si="19"/>
        <v>27</v>
      </c>
      <c r="K79" s="13">
        <f t="shared" si="19"/>
        <v>44</v>
      </c>
      <c r="L79" s="13">
        <f t="shared" si="19"/>
        <v>42</v>
      </c>
      <c r="M79" s="13">
        <f t="shared" si="19"/>
        <v>28</v>
      </c>
      <c r="N79" s="13">
        <f t="shared" si="19"/>
        <v>25</v>
      </c>
      <c r="O79" s="13">
        <f t="shared" si="19"/>
        <v>20</v>
      </c>
      <c r="P79" s="13">
        <f t="shared" si="19"/>
        <v>16</v>
      </c>
      <c r="Q79" s="13">
        <f t="shared" si="19"/>
        <v>20</v>
      </c>
      <c r="R79" s="13">
        <f t="shared" si="19"/>
        <v>7</v>
      </c>
      <c r="S79" s="13">
        <f t="shared" si="19"/>
        <v>28</v>
      </c>
      <c r="T79" s="13">
        <f t="shared" si="19"/>
        <v>53</v>
      </c>
      <c r="U79" s="13">
        <f t="shared" si="19"/>
        <v>65</v>
      </c>
      <c r="V79" s="13">
        <f t="shared" si="19"/>
        <v>67</v>
      </c>
      <c r="W79" s="13">
        <f t="shared" si="19"/>
        <v>83</v>
      </c>
      <c r="X79" s="13">
        <f t="shared" si="19"/>
        <v>56</v>
      </c>
      <c r="Y79" s="13">
        <f t="shared" si="19"/>
        <v>36</v>
      </c>
      <c r="Z79" s="13">
        <f t="shared" si="19"/>
        <v>24</v>
      </c>
      <c r="AA79" s="13">
        <f t="shared" si="19"/>
        <v>22</v>
      </c>
      <c r="AB79" s="13">
        <f>SUM(E79:AA79)</f>
        <v>834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2.0</v>
      </c>
      <c r="F81" s="19">
        <v>4.0</v>
      </c>
      <c r="G81" s="19">
        <v>6.0</v>
      </c>
      <c r="H81" s="19">
        <v>4.0</v>
      </c>
      <c r="I81" s="19">
        <v>5.0</v>
      </c>
      <c r="J81" s="19">
        <v>6.0</v>
      </c>
      <c r="K81" s="19">
        <v>8.0</v>
      </c>
      <c r="L81" s="19">
        <v>0.0</v>
      </c>
      <c r="M81" s="19">
        <v>2.0</v>
      </c>
      <c r="N81" s="19">
        <v>2.0</v>
      </c>
      <c r="O81" s="19">
        <v>3.0</v>
      </c>
      <c r="P81" s="19">
        <v>2.0</v>
      </c>
      <c r="Q81" s="19">
        <v>5.0</v>
      </c>
      <c r="R81" s="19">
        <v>5.0</v>
      </c>
      <c r="S81" s="19">
        <v>7.0</v>
      </c>
      <c r="T81" s="19">
        <v>15.0</v>
      </c>
      <c r="U81" s="19">
        <v>7.0</v>
      </c>
      <c r="V81" s="19">
        <v>9.0</v>
      </c>
      <c r="W81" s="19">
        <v>4.0</v>
      </c>
      <c r="X81" s="19">
        <v>5.0</v>
      </c>
      <c r="Y81" s="19">
        <v>5.0</v>
      </c>
      <c r="Z81" s="19">
        <v>11.0</v>
      </c>
      <c r="AA81" s="19">
        <v>15.0</v>
      </c>
      <c r="AB81" s="13">
        <f t="shared" ref="AB81:AB88" si="20">SUM(E81:AA81)</f>
        <v>132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2.0</v>
      </c>
      <c r="F82" s="19">
        <v>3.0</v>
      </c>
      <c r="G82" s="19">
        <v>1.0</v>
      </c>
      <c r="H82" s="19">
        <v>1.0</v>
      </c>
      <c r="I82" s="19">
        <v>3.0</v>
      </c>
      <c r="J82" s="19">
        <v>5.0</v>
      </c>
      <c r="K82" s="19">
        <v>9.0</v>
      </c>
      <c r="L82" s="19">
        <v>6.0</v>
      </c>
      <c r="M82" s="19">
        <v>0.0</v>
      </c>
      <c r="N82" s="19">
        <v>0.0</v>
      </c>
      <c r="O82" s="19">
        <v>7.0</v>
      </c>
      <c r="P82" s="19">
        <v>1.0</v>
      </c>
      <c r="Q82" s="19">
        <v>1.0</v>
      </c>
      <c r="R82" s="19">
        <v>7.0</v>
      </c>
      <c r="S82" s="19">
        <v>14.0</v>
      </c>
      <c r="T82" s="19">
        <v>9.0</v>
      </c>
      <c r="U82" s="19">
        <v>8.0</v>
      </c>
      <c r="V82" s="19">
        <v>11.0</v>
      </c>
      <c r="W82" s="19">
        <v>7.0</v>
      </c>
      <c r="X82" s="19">
        <v>10.0</v>
      </c>
      <c r="Y82" s="19">
        <v>2.0</v>
      </c>
      <c r="Z82" s="19">
        <v>22.0</v>
      </c>
      <c r="AA82" s="19">
        <v>24.0</v>
      </c>
      <c r="AB82" s="13">
        <f t="shared" si="20"/>
        <v>153</v>
      </c>
    </row>
    <row r="83" ht="12.75" customHeight="1">
      <c r="A83" s="18"/>
      <c r="B83" s="55">
        <v>2.0</v>
      </c>
      <c r="C83" s="50" t="s">
        <v>65</v>
      </c>
      <c r="D83" s="57"/>
      <c r="E83" s="19">
        <v>29.0</v>
      </c>
      <c r="F83" s="19">
        <v>36.0</v>
      </c>
      <c r="G83" s="19">
        <v>28.0</v>
      </c>
      <c r="H83" s="19">
        <v>9.0</v>
      </c>
      <c r="I83" s="19">
        <v>12.0</v>
      </c>
      <c r="J83" s="19">
        <v>10.0</v>
      </c>
      <c r="K83" s="19">
        <v>11.0</v>
      </c>
      <c r="L83" s="19">
        <v>10.0</v>
      </c>
      <c r="M83" s="19">
        <v>2.0</v>
      </c>
      <c r="N83" s="19">
        <v>15.0</v>
      </c>
      <c r="O83" s="19">
        <v>5.0</v>
      </c>
      <c r="P83" s="19">
        <v>17.0</v>
      </c>
      <c r="Q83" s="19">
        <v>29.0</v>
      </c>
      <c r="R83" s="19">
        <v>79.0</v>
      </c>
      <c r="S83" s="19">
        <v>31.0</v>
      </c>
      <c r="T83" s="19">
        <v>17.0</v>
      </c>
      <c r="U83" s="19">
        <v>18.0</v>
      </c>
      <c r="V83" s="19">
        <v>37.0</v>
      </c>
      <c r="W83" s="19">
        <v>18.0</v>
      </c>
      <c r="X83" s="19">
        <v>45.0</v>
      </c>
      <c r="Y83" s="19">
        <v>41.0</v>
      </c>
      <c r="Z83" s="19">
        <v>49.0</v>
      </c>
      <c r="AA83" s="19">
        <v>57.0</v>
      </c>
      <c r="AB83" s="13">
        <f t="shared" si="20"/>
        <v>605</v>
      </c>
    </row>
    <row r="84" ht="12.75" customHeight="1">
      <c r="A84" s="18"/>
      <c r="B84" s="55">
        <v>3.0</v>
      </c>
      <c r="C84" s="50" t="s">
        <v>66</v>
      </c>
      <c r="D84" s="57"/>
      <c r="E84" s="19">
        <v>0.0</v>
      </c>
      <c r="F84" s="19">
        <v>2.0</v>
      </c>
      <c r="G84" s="19">
        <v>0.0</v>
      </c>
      <c r="H84" s="19">
        <v>0.0</v>
      </c>
      <c r="I84" s="19">
        <v>1.0</v>
      </c>
      <c r="J84" s="19">
        <v>2.0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0.0</v>
      </c>
      <c r="T84" s="19">
        <v>1.0</v>
      </c>
      <c r="U84" s="19"/>
      <c r="V84" s="19">
        <v>0.0</v>
      </c>
      <c r="W84" s="19">
        <v>0.0</v>
      </c>
      <c r="X84" s="19">
        <v>0.0</v>
      </c>
      <c r="Y84" s="19">
        <v>0.0</v>
      </c>
      <c r="Z84" s="19">
        <v>2.0</v>
      </c>
      <c r="AA84" s="19">
        <v>0.0</v>
      </c>
      <c r="AB84" s="13">
        <f t="shared" si="20"/>
        <v>10</v>
      </c>
    </row>
    <row r="85" ht="12.75" customHeight="1">
      <c r="A85" s="18"/>
      <c r="B85" s="55">
        <v>4.0</v>
      </c>
      <c r="C85" s="50" t="s">
        <v>67</v>
      </c>
      <c r="D85" s="57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1.0</v>
      </c>
      <c r="P85" s="19">
        <v>0.0</v>
      </c>
      <c r="Q85" s="19"/>
      <c r="R85" s="19">
        <v>0.0</v>
      </c>
      <c r="S85" s="19">
        <v>1.0</v>
      </c>
      <c r="T85" s="19">
        <v>2.0</v>
      </c>
      <c r="U85" s="19"/>
      <c r="V85" s="19">
        <v>0.0</v>
      </c>
      <c r="W85" s="19">
        <v>0.0</v>
      </c>
      <c r="X85" s="19">
        <v>2.0</v>
      </c>
      <c r="Y85" s="19">
        <v>2.0</v>
      </c>
      <c r="Z85" s="19">
        <v>0.0</v>
      </c>
      <c r="AA85" s="19">
        <v>1.0</v>
      </c>
      <c r="AB85" s="13">
        <f t="shared" si="20"/>
        <v>11</v>
      </c>
    </row>
    <row r="86" ht="12.75" customHeight="1">
      <c r="A86" s="18"/>
      <c r="B86" s="55">
        <v>5.0</v>
      </c>
      <c r="C86" s="50" t="s">
        <v>68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1.0</v>
      </c>
      <c r="M86" s="19">
        <v>0.0</v>
      </c>
      <c r="N86" s="19">
        <v>0.0</v>
      </c>
      <c r="O86" s="19">
        <v>0.0</v>
      </c>
      <c r="P86" s="19">
        <v>0.0</v>
      </c>
      <c r="Q86" s="19"/>
      <c r="R86" s="19">
        <v>0.0</v>
      </c>
      <c r="S86" s="19">
        <v>0.0</v>
      </c>
      <c r="T86" s="19">
        <v>3.0</v>
      </c>
      <c r="U86" s="19"/>
      <c r="V86" s="19">
        <v>1.0</v>
      </c>
      <c r="W86" s="19">
        <v>0.0</v>
      </c>
      <c r="X86" s="19">
        <v>0.0</v>
      </c>
      <c r="Y86" s="19"/>
      <c r="Z86" s="19">
        <v>0.0</v>
      </c>
      <c r="AA86" s="19">
        <v>0.0</v>
      </c>
      <c r="AB86" s="13">
        <f t="shared" si="20"/>
        <v>6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/>
      <c r="R87" s="19">
        <v>0.0</v>
      </c>
      <c r="S87" s="19">
        <v>0.0</v>
      </c>
      <c r="T87" s="19"/>
      <c r="U87" s="19"/>
      <c r="V87" s="19">
        <v>0.0</v>
      </c>
      <c r="W87" s="19">
        <v>0.0</v>
      </c>
      <c r="X87" s="19">
        <v>0.0</v>
      </c>
      <c r="Y87" s="19"/>
      <c r="Z87" s="19">
        <v>0.0</v>
      </c>
      <c r="AA87" s="19">
        <v>2.0</v>
      </c>
      <c r="AB87" s="13">
        <f t="shared" si="20"/>
        <v>4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/>
      <c r="R88" s="19">
        <v>0.0</v>
      </c>
      <c r="S88" s="19">
        <v>0.0</v>
      </c>
      <c r="T88" s="19"/>
      <c r="U88" s="19"/>
      <c r="V88" s="19">
        <v>0.0</v>
      </c>
      <c r="W88" s="19">
        <v>0.0</v>
      </c>
      <c r="X88" s="19">
        <v>0.0</v>
      </c>
      <c r="Y88" s="19">
        <v>1.0</v>
      </c>
      <c r="Z88" s="19">
        <v>1.0</v>
      </c>
      <c r="AA88" s="19">
        <v>0.0</v>
      </c>
      <c r="AB88" s="13">
        <f t="shared" si="20"/>
        <v>3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AA91" si="21">SUM(E81:E88)</f>
        <v>33</v>
      </c>
      <c r="F91" s="13">
        <f t="shared" si="21"/>
        <v>46</v>
      </c>
      <c r="G91" s="13">
        <f t="shared" si="21"/>
        <v>36</v>
      </c>
      <c r="H91" s="13">
        <f t="shared" si="21"/>
        <v>14</v>
      </c>
      <c r="I91" s="13">
        <f t="shared" si="21"/>
        <v>21</v>
      </c>
      <c r="J91" s="13">
        <f t="shared" si="21"/>
        <v>23</v>
      </c>
      <c r="K91" s="13">
        <f t="shared" si="21"/>
        <v>29</v>
      </c>
      <c r="L91" s="13">
        <f t="shared" si="21"/>
        <v>17</v>
      </c>
      <c r="M91" s="13">
        <f t="shared" si="21"/>
        <v>7</v>
      </c>
      <c r="N91" s="13">
        <f t="shared" si="21"/>
        <v>18</v>
      </c>
      <c r="O91" s="13">
        <f t="shared" si="21"/>
        <v>16</v>
      </c>
      <c r="P91" s="13">
        <f t="shared" si="21"/>
        <v>21</v>
      </c>
      <c r="Q91" s="13">
        <f t="shared" si="21"/>
        <v>35</v>
      </c>
      <c r="R91" s="13">
        <f t="shared" si="21"/>
        <v>91</v>
      </c>
      <c r="S91" s="13">
        <f t="shared" si="21"/>
        <v>53</v>
      </c>
      <c r="T91" s="13">
        <f t="shared" si="21"/>
        <v>47</v>
      </c>
      <c r="U91" s="13">
        <f t="shared" si="21"/>
        <v>33</v>
      </c>
      <c r="V91" s="13">
        <f t="shared" si="21"/>
        <v>58</v>
      </c>
      <c r="W91" s="13">
        <f t="shared" si="21"/>
        <v>29</v>
      </c>
      <c r="X91" s="13">
        <f t="shared" si="21"/>
        <v>62</v>
      </c>
      <c r="Y91" s="13">
        <f t="shared" si="21"/>
        <v>51</v>
      </c>
      <c r="Z91" s="13">
        <f t="shared" si="21"/>
        <v>85</v>
      </c>
      <c r="AA91" s="13">
        <f t="shared" si="21"/>
        <v>99</v>
      </c>
      <c r="AB91" s="13">
        <f>SUM(E91:AA91)</f>
        <v>924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2.0</v>
      </c>
      <c r="H93" s="19">
        <v>0.0</v>
      </c>
      <c r="I93" s="19">
        <v>2.0</v>
      </c>
      <c r="J93" s="19">
        <v>7.0</v>
      </c>
      <c r="K93" s="19">
        <v>4.0</v>
      </c>
      <c r="L93" s="19">
        <v>1.0</v>
      </c>
      <c r="M93" s="19">
        <v>3.0</v>
      </c>
      <c r="N93" s="19">
        <v>2.0</v>
      </c>
      <c r="O93" s="19">
        <v>4.0</v>
      </c>
      <c r="P93" s="19">
        <v>2.0</v>
      </c>
      <c r="Q93" s="19">
        <v>1.0</v>
      </c>
      <c r="R93" s="19">
        <v>5.0</v>
      </c>
      <c r="S93" s="19">
        <v>1.0</v>
      </c>
      <c r="T93" s="19">
        <v>1.0</v>
      </c>
      <c r="U93" s="19">
        <v>4.0</v>
      </c>
      <c r="V93" s="19">
        <v>1.0</v>
      </c>
      <c r="W93" s="19">
        <v>2.0</v>
      </c>
      <c r="X93" s="19">
        <v>0.0</v>
      </c>
      <c r="Y93" s="19">
        <v>5.0</v>
      </c>
      <c r="Z93" s="19">
        <v>1.0</v>
      </c>
      <c r="AA93" s="19">
        <v>2.0</v>
      </c>
      <c r="AB93" s="13">
        <f t="shared" ref="AB93:AB100" si="22">SUM(E93:AA93)</f>
        <v>51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1.0</v>
      </c>
      <c r="F94" s="19">
        <v>0.0</v>
      </c>
      <c r="G94" s="19">
        <v>0.0</v>
      </c>
      <c r="H94" s="19">
        <v>3.0</v>
      </c>
      <c r="I94" s="19">
        <v>1.0</v>
      </c>
      <c r="J94" s="19">
        <v>2.0</v>
      </c>
      <c r="K94" s="19">
        <v>0.0</v>
      </c>
      <c r="L94" s="19">
        <v>3.0</v>
      </c>
      <c r="M94" s="19">
        <v>1.0</v>
      </c>
      <c r="N94" s="19">
        <v>1.0</v>
      </c>
      <c r="O94" s="19">
        <v>3.0</v>
      </c>
      <c r="P94" s="19">
        <v>1.0</v>
      </c>
      <c r="Q94" s="19">
        <v>1.0</v>
      </c>
      <c r="R94" s="19">
        <v>5.0</v>
      </c>
      <c r="S94" s="19">
        <v>1.0</v>
      </c>
      <c r="T94" s="19">
        <v>1.0</v>
      </c>
      <c r="U94" s="19">
        <v>1.0</v>
      </c>
      <c r="V94" s="19">
        <v>1.0</v>
      </c>
      <c r="W94" s="19">
        <v>0.0</v>
      </c>
      <c r="X94" s="19">
        <v>0.0</v>
      </c>
      <c r="Y94" s="19">
        <v>4.0</v>
      </c>
      <c r="Z94" s="19">
        <v>4.0</v>
      </c>
      <c r="AA94" s="19">
        <v>3.0</v>
      </c>
      <c r="AB94" s="13">
        <f t="shared" si="22"/>
        <v>37</v>
      </c>
    </row>
    <row r="95" ht="12.75" customHeight="1">
      <c r="A95" s="18"/>
      <c r="B95" s="55">
        <v>2.0</v>
      </c>
      <c r="C95" s="50" t="s">
        <v>74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1.0</v>
      </c>
      <c r="J95" s="19">
        <v>0.0</v>
      </c>
      <c r="K95" s="19">
        <v>0.0</v>
      </c>
      <c r="L95" s="19">
        <v>1.0</v>
      </c>
      <c r="M95" s="19">
        <v>1.0</v>
      </c>
      <c r="N95" s="19">
        <v>0.0</v>
      </c>
      <c r="O95" s="19">
        <v>0.0</v>
      </c>
      <c r="P95" s="19">
        <v>1.0</v>
      </c>
      <c r="Q95" s="19">
        <v>1.0</v>
      </c>
      <c r="R95" s="19">
        <v>2.0</v>
      </c>
      <c r="S95" s="19">
        <v>1.0</v>
      </c>
      <c r="T95" s="19">
        <v>0.0</v>
      </c>
      <c r="U95" s="19"/>
      <c r="V95" s="19">
        <v>0.0</v>
      </c>
      <c r="W95" s="19">
        <v>1.0</v>
      </c>
      <c r="X95" s="19">
        <v>2.0</v>
      </c>
      <c r="Y95" s="19">
        <v>2.0</v>
      </c>
      <c r="Z95" s="19">
        <v>0.0</v>
      </c>
      <c r="AA95" s="19">
        <v>0.0</v>
      </c>
      <c r="AB95" s="13">
        <f t="shared" si="22"/>
        <v>14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2.0</v>
      </c>
      <c r="K96" s="19">
        <v>1.0</v>
      </c>
      <c r="L96" s="19">
        <v>2.0</v>
      </c>
      <c r="M96" s="19">
        <v>1.0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/>
      <c r="U96" s="19"/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3">
        <f t="shared" si="22"/>
        <v>7</v>
      </c>
    </row>
    <row r="97" ht="12.75" customHeight="1">
      <c r="A97" s="18"/>
      <c r="B97" s="55">
        <v>4.0</v>
      </c>
      <c r="C97" s="50" t="s">
        <v>76</v>
      </c>
      <c r="D97" s="57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2.0</v>
      </c>
      <c r="L97" s="19">
        <v>1.0</v>
      </c>
      <c r="M97" s="19">
        <v>2.0</v>
      </c>
      <c r="N97" s="19">
        <v>2.0</v>
      </c>
      <c r="O97" s="19">
        <v>7.0</v>
      </c>
      <c r="P97" s="19">
        <v>0.0</v>
      </c>
      <c r="Q97" s="19">
        <v>3.0</v>
      </c>
      <c r="R97" s="19">
        <v>0.0</v>
      </c>
      <c r="S97" s="19"/>
      <c r="T97" s="19">
        <v>1.0</v>
      </c>
      <c r="U97" s="19"/>
      <c r="V97" s="19">
        <v>0.0</v>
      </c>
      <c r="W97" s="19">
        <v>1.0</v>
      </c>
      <c r="X97" s="19">
        <v>1.0</v>
      </c>
      <c r="Y97" s="19">
        <v>2.0</v>
      </c>
      <c r="Z97" s="19">
        <v>0.0</v>
      </c>
      <c r="AA97" s="19">
        <v>0.0</v>
      </c>
      <c r="AB97" s="13">
        <f t="shared" si="22"/>
        <v>23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/>
      <c r="T98" s="19"/>
      <c r="U98" s="19"/>
      <c r="V98" s="19">
        <v>0.0</v>
      </c>
      <c r="W98" s="19">
        <v>0.0</v>
      </c>
      <c r="X98" s="19">
        <v>0.0</v>
      </c>
      <c r="Y98" s="19"/>
      <c r="Z98" s="19">
        <v>0.0</v>
      </c>
      <c r="AA98" s="19">
        <v>0.0</v>
      </c>
      <c r="AB98" s="13">
        <f t="shared" si="22"/>
        <v>1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1.0</v>
      </c>
      <c r="L99" s="19">
        <v>1.0</v>
      </c>
      <c r="M99" s="19">
        <v>0.0</v>
      </c>
      <c r="N99" s="19">
        <v>0.0</v>
      </c>
      <c r="O99" s="19">
        <v>1.0</v>
      </c>
      <c r="P99" s="19">
        <v>1.0</v>
      </c>
      <c r="Q99" s="19">
        <v>1.0</v>
      </c>
      <c r="R99" s="19">
        <v>1.0</v>
      </c>
      <c r="S99" s="19"/>
      <c r="T99" s="19"/>
      <c r="U99" s="19">
        <v>1.0</v>
      </c>
      <c r="V99" s="19">
        <v>1.0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3">
        <f t="shared" si="22"/>
        <v>10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1.0</v>
      </c>
      <c r="F100" s="19">
        <v>1.0</v>
      </c>
      <c r="G100" s="19">
        <v>0.0</v>
      </c>
      <c r="H100" s="19">
        <v>0.0</v>
      </c>
      <c r="I100" s="19">
        <v>0.0</v>
      </c>
      <c r="J100" s="19">
        <v>4.0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/>
      <c r="T100" s="19"/>
      <c r="U100" s="19"/>
      <c r="V100" s="19">
        <v>0.0</v>
      </c>
      <c r="W100" s="19">
        <v>0.0</v>
      </c>
      <c r="X100" s="19">
        <v>0.0</v>
      </c>
      <c r="Y100" s="19"/>
      <c r="Z100" s="19">
        <v>0.0</v>
      </c>
      <c r="AA100" s="19">
        <v>0.0</v>
      </c>
      <c r="AB100" s="13">
        <f t="shared" si="22"/>
        <v>7</v>
      </c>
    </row>
    <row r="101" ht="12.75" customHeight="1">
      <c r="A101" s="18"/>
      <c r="B101" s="70"/>
      <c r="C101" s="71"/>
      <c r="D101" s="74"/>
      <c r="E101" s="19">
        <v>3.0</v>
      </c>
      <c r="F101" s="19">
        <v>1.0</v>
      </c>
      <c r="G101" s="19">
        <v>3.0</v>
      </c>
      <c r="H101" s="19">
        <v>5.0</v>
      </c>
      <c r="I101" s="19">
        <v>4.0</v>
      </c>
      <c r="J101" s="19">
        <v>16.0</v>
      </c>
      <c r="K101" s="19">
        <v>9.0</v>
      </c>
      <c r="L101" s="19">
        <v>9.0</v>
      </c>
      <c r="M101" s="19">
        <v>8.0</v>
      </c>
      <c r="N101" s="19">
        <v>5.0</v>
      </c>
      <c r="O101" s="19">
        <v>15.0</v>
      </c>
      <c r="P101" s="19">
        <v>5.0</v>
      </c>
      <c r="Q101" s="19">
        <v>8.0</v>
      </c>
      <c r="R101" s="19">
        <v>13.0</v>
      </c>
      <c r="S101" s="19">
        <v>3.0</v>
      </c>
      <c r="T101" s="19"/>
      <c r="U101" s="19"/>
      <c r="V101" s="19"/>
      <c r="W101" s="19"/>
      <c r="X101" s="19"/>
      <c r="Y101" s="19"/>
      <c r="Z101" s="19"/>
      <c r="AA101" s="19"/>
      <c r="AB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AA103" si="23">SUM(E93:E100)</f>
        <v>3</v>
      </c>
      <c r="F103" s="13">
        <f t="shared" si="23"/>
        <v>1</v>
      </c>
      <c r="G103" s="13">
        <f t="shared" si="23"/>
        <v>3</v>
      </c>
      <c r="H103" s="13">
        <f t="shared" si="23"/>
        <v>5</v>
      </c>
      <c r="I103" s="13">
        <f t="shared" si="23"/>
        <v>4</v>
      </c>
      <c r="J103" s="13">
        <f t="shared" si="23"/>
        <v>16</v>
      </c>
      <c r="K103" s="13">
        <f t="shared" si="23"/>
        <v>9</v>
      </c>
      <c r="L103" s="13">
        <f t="shared" si="23"/>
        <v>9</v>
      </c>
      <c r="M103" s="13">
        <f t="shared" si="23"/>
        <v>8</v>
      </c>
      <c r="N103" s="13">
        <f t="shared" si="23"/>
        <v>5</v>
      </c>
      <c r="O103" s="13">
        <f t="shared" si="23"/>
        <v>15</v>
      </c>
      <c r="P103" s="13">
        <f t="shared" si="23"/>
        <v>5</v>
      </c>
      <c r="Q103" s="13">
        <f t="shared" si="23"/>
        <v>8</v>
      </c>
      <c r="R103" s="13">
        <f t="shared" si="23"/>
        <v>13</v>
      </c>
      <c r="S103" s="13">
        <f t="shared" si="23"/>
        <v>3</v>
      </c>
      <c r="T103" s="13">
        <f t="shared" si="23"/>
        <v>3</v>
      </c>
      <c r="U103" s="13">
        <f t="shared" si="23"/>
        <v>6</v>
      </c>
      <c r="V103" s="13">
        <f t="shared" si="23"/>
        <v>3</v>
      </c>
      <c r="W103" s="13">
        <f t="shared" si="23"/>
        <v>4</v>
      </c>
      <c r="X103" s="13">
        <f t="shared" si="23"/>
        <v>3</v>
      </c>
      <c r="Y103" s="13">
        <f t="shared" si="23"/>
        <v>14</v>
      </c>
      <c r="Z103" s="13">
        <f t="shared" si="23"/>
        <v>5</v>
      </c>
      <c r="AA103" s="13">
        <f t="shared" si="23"/>
        <v>5</v>
      </c>
      <c r="AB103" s="13">
        <f>SUM(E103:AA103)</f>
        <v>150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1.0</v>
      </c>
      <c r="F105" s="19">
        <v>0.0</v>
      </c>
      <c r="G105" s="19">
        <v>1.0</v>
      </c>
      <c r="H105" s="19">
        <v>1.0</v>
      </c>
      <c r="I105" s="19">
        <v>1.0</v>
      </c>
      <c r="J105" s="19">
        <v>3.0</v>
      </c>
      <c r="K105" s="19">
        <v>4.0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/>
      <c r="U105" s="19"/>
      <c r="V105" s="19">
        <v>0.0</v>
      </c>
      <c r="W105" s="19">
        <v>0.0</v>
      </c>
      <c r="X105" s="19">
        <v>0.0</v>
      </c>
      <c r="Y105" s="19"/>
      <c r="Z105" s="19">
        <v>2.0</v>
      </c>
      <c r="AA105" s="19">
        <v>2.0</v>
      </c>
      <c r="AB105" s="13">
        <f t="shared" ref="AB105:AB112" si="24">SUM(E105:AA105)</f>
        <v>16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1.0</v>
      </c>
      <c r="M106" s="19">
        <v>2.0</v>
      </c>
      <c r="N106" s="19">
        <v>0.0</v>
      </c>
      <c r="O106" s="19">
        <v>0.0</v>
      </c>
      <c r="P106" s="19">
        <v>0.0</v>
      </c>
      <c r="Q106" s="19"/>
      <c r="R106" s="19">
        <v>0.0</v>
      </c>
      <c r="S106" s="19">
        <v>0.0</v>
      </c>
      <c r="T106" s="19">
        <v>1.0</v>
      </c>
      <c r="U106" s="19"/>
      <c r="V106" s="19">
        <v>0.0</v>
      </c>
      <c r="W106" s="19">
        <v>0.0</v>
      </c>
      <c r="X106" s="19">
        <v>0.0</v>
      </c>
      <c r="Y106" s="19"/>
      <c r="Z106" s="19">
        <v>0.0</v>
      </c>
      <c r="AA106" s="19">
        <v>0.0</v>
      </c>
      <c r="AB106" s="13">
        <f t="shared" si="24"/>
        <v>5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2.0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/>
      <c r="R107" s="19">
        <v>0.0</v>
      </c>
      <c r="S107" s="19">
        <v>0.0</v>
      </c>
      <c r="T107" s="19"/>
      <c r="U107" s="19"/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3">
        <f t="shared" si="24"/>
        <v>4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/>
      <c r="N108" s="19">
        <v>0.0</v>
      </c>
      <c r="O108" s="19">
        <v>0.0</v>
      </c>
      <c r="P108" s="19">
        <v>0.0</v>
      </c>
      <c r="Q108" s="19"/>
      <c r="R108" s="19">
        <v>0.0</v>
      </c>
      <c r="S108" s="19">
        <v>0.0</v>
      </c>
      <c r="T108" s="19"/>
      <c r="U108" s="19"/>
      <c r="V108" s="19">
        <v>1.0</v>
      </c>
      <c r="W108" s="19">
        <v>0.0</v>
      </c>
      <c r="X108" s="19">
        <v>0.0</v>
      </c>
      <c r="Y108" s="19"/>
      <c r="Z108" s="19">
        <v>0.0</v>
      </c>
      <c r="AA108" s="19">
        <v>0.0</v>
      </c>
      <c r="AB108" s="13">
        <f t="shared" si="24"/>
        <v>1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1.0</v>
      </c>
      <c r="M109" s="19"/>
      <c r="N109" s="19">
        <v>0.0</v>
      </c>
      <c r="O109" s="19">
        <v>0.0</v>
      </c>
      <c r="P109" s="19">
        <v>0.0</v>
      </c>
      <c r="Q109" s="19"/>
      <c r="R109" s="19">
        <v>0.0</v>
      </c>
      <c r="S109" s="19">
        <v>0.0</v>
      </c>
      <c r="T109" s="19"/>
      <c r="U109" s="19"/>
      <c r="V109" s="19">
        <v>0.0</v>
      </c>
      <c r="W109" s="19">
        <v>0.0</v>
      </c>
      <c r="X109" s="19">
        <v>0.0</v>
      </c>
      <c r="Y109" s="19"/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/>
      <c r="N110" s="19">
        <v>0.0</v>
      </c>
      <c r="O110" s="19">
        <v>0.0</v>
      </c>
      <c r="P110" s="19">
        <v>0.0</v>
      </c>
      <c r="Q110" s="19"/>
      <c r="R110" s="19">
        <v>0.0</v>
      </c>
      <c r="S110" s="19">
        <v>0.0</v>
      </c>
      <c r="T110" s="19"/>
      <c r="U110" s="19"/>
      <c r="V110" s="19">
        <v>0.0</v>
      </c>
      <c r="W110" s="19">
        <v>0.0</v>
      </c>
      <c r="X110" s="19">
        <v>0.0</v>
      </c>
      <c r="Y110" s="19"/>
      <c r="Z110" s="19">
        <v>0.0</v>
      </c>
      <c r="AA110" s="19">
        <v>0.0</v>
      </c>
      <c r="AB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/>
      <c r="N111" s="19">
        <v>0.0</v>
      </c>
      <c r="O111" s="19">
        <v>0.0</v>
      </c>
      <c r="P111" s="19">
        <v>0.0</v>
      </c>
      <c r="Q111" s="19"/>
      <c r="R111" s="19">
        <v>0.0</v>
      </c>
      <c r="S111" s="19">
        <v>0.0</v>
      </c>
      <c r="T111" s="19"/>
      <c r="U111" s="19"/>
      <c r="V111" s="19">
        <v>0.0</v>
      </c>
      <c r="W111" s="19">
        <v>0.0</v>
      </c>
      <c r="X111" s="19">
        <v>0.0</v>
      </c>
      <c r="Y111" s="19"/>
      <c r="Z111" s="19">
        <v>0.0</v>
      </c>
      <c r="AA111" s="19">
        <v>0.0</v>
      </c>
      <c r="AB111" s="13">
        <f t="shared" si="24"/>
        <v>1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1.0</v>
      </c>
      <c r="L112" s="19">
        <v>0.0</v>
      </c>
      <c r="M112" s="19"/>
      <c r="N112" s="19">
        <v>0.0</v>
      </c>
      <c r="O112" s="19">
        <v>0.0</v>
      </c>
      <c r="P112" s="19">
        <v>0.0</v>
      </c>
      <c r="Q112" s="19"/>
      <c r="R112" s="19">
        <v>0.0</v>
      </c>
      <c r="S112" s="19">
        <v>0.0</v>
      </c>
      <c r="T112" s="19"/>
      <c r="U112" s="19"/>
      <c r="V112" s="19">
        <v>0.0</v>
      </c>
      <c r="W112" s="19">
        <v>0.0</v>
      </c>
      <c r="X112" s="19">
        <v>0.0</v>
      </c>
      <c r="Y112" s="19"/>
      <c r="Z112" s="19">
        <v>0.0</v>
      </c>
      <c r="AA112" s="19">
        <v>0.0</v>
      </c>
      <c r="AB112" s="13">
        <f t="shared" si="24"/>
        <v>1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AA115" si="25">SUM(E105:E112)</f>
        <v>2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4</v>
      </c>
      <c r="K115" s="13">
        <f t="shared" si="25"/>
        <v>7</v>
      </c>
      <c r="L115" s="13">
        <f t="shared" si="25"/>
        <v>3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2</v>
      </c>
      <c r="AA115" s="13">
        <f t="shared" si="25"/>
        <v>2</v>
      </c>
      <c r="AB115" s="13">
        <f>SUM(E115:AA115)</f>
        <v>29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1.0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1.0</v>
      </c>
      <c r="T117" s="19"/>
      <c r="U117" s="19">
        <v>1.0</v>
      </c>
      <c r="V117" s="19">
        <v>0.0</v>
      </c>
      <c r="W117" s="19">
        <v>0.0</v>
      </c>
      <c r="X117" s="19">
        <v>0.0</v>
      </c>
      <c r="Y117" s="19">
        <v>1.0</v>
      </c>
      <c r="Z117" s="19">
        <v>1.0</v>
      </c>
      <c r="AA117" s="19">
        <v>1.0</v>
      </c>
      <c r="AB117" s="13">
        <f t="shared" ref="AB117:AB120" si="26">SUM(E117:AA117)</f>
        <v>9</v>
      </c>
      <c r="AC117" s="5"/>
      <c r="AD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2.0</v>
      </c>
      <c r="K118" s="19">
        <v>0.0</v>
      </c>
      <c r="L118" s="19">
        <v>0.0</v>
      </c>
      <c r="M118" s="19"/>
      <c r="N118" s="19">
        <v>1.0</v>
      </c>
      <c r="O118" s="19">
        <v>0.0</v>
      </c>
      <c r="P118" s="19">
        <v>0.0</v>
      </c>
      <c r="Q118" s="19"/>
      <c r="R118" s="19">
        <v>1.0</v>
      </c>
      <c r="S118" s="19">
        <v>0.0</v>
      </c>
      <c r="T118" s="19"/>
      <c r="U118" s="19"/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3.0</v>
      </c>
      <c r="AB118" s="13">
        <f t="shared" si="26"/>
        <v>7</v>
      </c>
      <c r="AC118" s="5"/>
      <c r="AD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/>
      <c r="N119" s="19">
        <v>0.0</v>
      </c>
      <c r="O119" s="19">
        <v>0.0</v>
      </c>
      <c r="P119" s="19">
        <v>0.0</v>
      </c>
      <c r="Q119" s="19">
        <v>1.0</v>
      </c>
      <c r="R119" s="19">
        <v>0.0</v>
      </c>
      <c r="S119" s="19">
        <v>0.0</v>
      </c>
      <c r="T119" s="19"/>
      <c r="U119" s="19"/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0.0</v>
      </c>
      <c r="AB119" s="13">
        <f t="shared" si="26"/>
        <v>2</v>
      </c>
      <c r="AC119" s="5"/>
      <c r="AD119" s="5"/>
    </row>
    <row r="120" ht="12.75" customHeight="1">
      <c r="A120" s="18"/>
      <c r="B120" s="55">
        <v>3.0</v>
      </c>
      <c r="C120" s="50" t="s">
        <v>93</v>
      </c>
      <c r="D120" s="57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/>
      <c r="N120" s="19">
        <v>0.0</v>
      </c>
      <c r="O120" s="19">
        <v>0.0</v>
      </c>
      <c r="P120" s="19">
        <v>0.0</v>
      </c>
      <c r="Q120" s="19"/>
      <c r="R120" s="19">
        <v>0.0</v>
      </c>
      <c r="S120" s="19">
        <v>0.0</v>
      </c>
      <c r="T120" s="19"/>
      <c r="U120" s="19"/>
      <c r="V120" s="19">
        <v>0.0</v>
      </c>
      <c r="W120" s="19">
        <v>0.0</v>
      </c>
      <c r="X120" s="19">
        <v>0.0</v>
      </c>
      <c r="Y120" s="19"/>
      <c r="Z120" s="19">
        <v>0.0</v>
      </c>
      <c r="AA120" s="19">
        <v>0.0</v>
      </c>
      <c r="AB120" s="13">
        <f t="shared" si="26"/>
        <v>1</v>
      </c>
      <c r="AC120" s="5"/>
      <c r="AD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73"/>
      <c r="AC121" s="5"/>
      <c r="AD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73"/>
      <c r="AC122" s="5"/>
      <c r="AD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73"/>
      <c r="AC123" s="5"/>
      <c r="AD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73"/>
      <c r="AC124" s="5"/>
      <c r="AD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73"/>
      <c r="AC125" s="5"/>
      <c r="AD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73"/>
      <c r="AC126" s="5"/>
      <c r="AD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AA127" si="27">SUM(E117:E120)</f>
        <v>1</v>
      </c>
      <c r="F127" s="58">
        <f t="shared" si="27"/>
        <v>0</v>
      </c>
      <c r="G127" s="58">
        <f t="shared" si="27"/>
        <v>1</v>
      </c>
      <c r="H127" s="58">
        <f t="shared" si="27"/>
        <v>0</v>
      </c>
      <c r="I127" s="58">
        <f t="shared" si="27"/>
        <v>1</v>
      </c>
      <c r="J127" s="58">
        <f t="shared" si="27"/>
        <v>3</v>
      </c>
      <c r="K127" s="58">
        <f t="shared" si="27"/>
        <v>0</v>
      </c>
      <c r="L127" s="58">
        <f t="shared" si="27"/>
        <v>0</v>
      </c>
      <c r="M127" s="58">
        <f t="shared" si="27"/>
        <v>0</v>
      </c>
      <c r="N127" s="58">
        <f t="shared" si="27"/>
        <v>1</v>
      </c>
      <c r="O127" s="58">
        <f t="shared" si="27"/>
        <v>0</v>
      </c>
      <c r="P127" s="58">
        <f t="shared" si="27"/>
        <v>0</v>
      </c>
      <c r="Q127" s="58">
        <f t="shared" si="27"/>
        <v>2</v>
      </c>
      <c r="R127" s="58">
        <f t="shared" si="27"/>
        <v>1</v>
      </c>
      <c r="S127" s="58">
        <f t="shared" si="27"/>
        <v>1</v>
      </c>
      <c r="T127" s="58">
        <f t="shared" si="27"/>
        <v>0</v>
      </c>
      <c r="U127" s="58">
        <f t="shared" si="27"/>
        <v>1</v>
      </c>
      <c r="V127" s="58">
        <f t="shared" si="27"/>
        <v>0</v>
      </c>
      <c r="W127" s="58">
        <f t="shared" si="27"/>
        <v>0</v>
      </c>
      <c r="X127" s="58">
        <f t="shared" si="27"/>
        <v>0</v>
      </c>
      <c r="Y127" s="58">
        <f t="shared" si="27"/>
        <v>2</v>
      </c>
      <c r="Z127" s="58">
        <f t="shared" si="27"/>
        <v>1</v>
      </c>
      <c r="AA127" s="58">
        <f t="shared" si="27"/>
        <v>4</v>
      </c>
      <c r="AB127" s="13">
        <f>SUM(E127:AA127)</f>
        <v>19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5"/>
      <c r="AD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0.0</v>
      </c>
      <c r="F129" s="19">
        <v>0.0</v>
      </c>
      <c r="G129" s="19">
        <v>2.0</v>
      </c>
      <c r="H129" s="19">
        <v>2.0</v>
      </c>
      <c r="I129" s="19">
        <v>0.0</v>
      </c>
      <c r="J129" s="19">
        <v>0.0</v>
      </c>
      <c r="K129" s="19">
        <v>0.0</v>
      </c>
      <c r="L129" s="19">
        <v>0.0</v>
      </c>
      <c r="M129" s="19">
        <v>1.0</v>
      </c>
      <c r="N129" s="19">
        <v>2.0</v>
      </c>
      <c r="O129" s="19">
        <v>1.0</v>
      </c>
      <c r="P129" s="19">
        <v>0.0</v>
      </c>
      <c r="Q129" s="19">
        <v>0.0</v>
      </c>
      <c r="R129" s="19">
        <v>2.0</v>
      </c>
      <c r="S129" s="19">
        <v>1.0</v>
      </c>
      <c r="T129" s="19"/>
      <c r="U129" s="19">
        <v>2.0</v>
      </c>
      <c r="V129" s="19">
        <v>0.0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0.0</v>
      </c>
      <c r="AB129" s="13">
        <f t="shared" ref="AB129:AB136" si="28">SUM(E129:AA129)</f>
        <v>14</v>
      </c>
      <c r="AC129" s="5"/>
      <c r="AD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0.0</v>
      </c>
      <c r="F130" s="19">
        <v>0.0</v>
      </c>
      <c r="G130" s="19">
        <v>2.0</v>
      </c>
      <c r="H130" s="19">
        <v>0.0</v>
      </c>
      <c r="I130" s="19">
        <v>0.0</v>
      </c>
      <c r="J130" s="19">
        <v>1.0</v>
      </c>
      <c r="K130" s="19">
        <v>0.0</v>
      </c>
      <c r="L130" s="19">
        <v>0.0</v>
      </c>
      <c r="M130" s="19">
        <v>15.0</v>
      </c>
      <c r="N130" s="19">
        <v>61.0</v>
      </c>
      <c r="O130" s="19">
        <v>0.0</v>
      </c>
      <c r="P130" s="19">
        <v>4.0</v>
      </c>
      <c r="Q130" s="19">
        <v>2.0</v>
      </c>
      <c r="R130" s="19">
        <v>1.0</v>
      </c>
      <c r="S130" s="19">
        <v>0.0</v>
      </c>
      <c r="T130" s="19"/>
      <c r="U130" s="19">
        <v>2.0</v>
      </c>
      <c r="V130" s="19">
        <v>0.0</v>
      </c>
      <c r="W130" s="19">
        <v>1.0</v>
      </c>
      <c r="X130" s="19">
        <v>0.0</v>
      </c>
      <c r="Y130" s="19"/>
      <c r="Z130" s="19">
        <v>0.0</v>
      </c>
      <c r="AA130" s="19">
        <v>0.0</v>
      </c>
      <c r="AB130" s="13">
        <f t="shared" si="28"/>
        <v>89</v>
      </c>
      <c r="AC130" s="1"/>
      <c r="AD130" s="1"/>
    </row>
    <row r="131" ht="12.75" customHeight="1">
      <c r="A131" s="18"/>
      <c r="B131" s="55">
        <v>2.0</v>
      </c>
      <c r="C131" s="50" t="s">
        <v>97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/>
      <c r="R131" s="19">
        <v>0.0</v>
      </c>
      <c r="S131" s="19">
        <v>0.0</v>
      </c>
      <c r="T131" s="19">
        <v>1.0</v>
      </c>
      <c r="U131" s="19"/>
      <c r="V131" s="19">
        <v>0.0</v>
      </c>
      <c r="W131" s="19">
        <v>1.0</v>
      </c>
      <c r="X131" s="19">
        <v>0.0</v>
      </c>
      <c r="Y131" s="19"/>
      <c r="Z131" s="19">
        <v>1.0</v>
      </c>
      <c r="AA131" s="19">
        <v>0.0</v>
      </c>
      <c r="AB131" s="13">
        <f t="shared" si="28"/>
        <v>4</v>
      </c>
      <c r="AC131" s="52"/>
      <c r="AD131" s="52"/>
    </row>
    <row r="132" ht="12.75" customHeight="1">
      <c r="A132" s="18"/>
      <c r="B132" s="55">
        <v>3.0</v>
      </c>
      <c r="C132" s="50" t="s">
        <v>98</v>
      </c>
      <c r="D132" s="56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/>
      <c r="U132" s="19"/>
      <c r="V132" s="19">
        <v>0.0</v>
      </c>
      <c r="W132" s="19">
        <v>0.0</v>
      </c>
      <c r="X132" s="19">
        <v>0.0</v>
      </c>
      <c r="Y132" s="19"/>
      <c r="Z132" s="19">
        <v>0.0</v>
      </c>
      <c r="AA132" s="19">
        <v>0.0</v>
      </c>
      <c r="AB132" s="13">
        <f t="shared" si="28"/>
        <v>2</v>
      </c>
      <c r="AC132" s="5"/>
      <c r="AD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/>
      <c r="N133" s="19">
        <v>0.0</v>
      </c>
      <c r="O133" s="19">
        <v>0.0</v>
      </c>
      <c r="P133" s="19">
        <v>0.0</v>
      </c>
      <c r="Q133" s="19"/>
      <c r="R133" s="19">
        <v>0.0</v>
      </c>
      <c r="S133" s="19">
        <v>0.0</v>
      </c>
      <c r="T133" s="19"/>
      <c r="U133" s="19"/>
      <c r="V133" s="19">
        <v>0.0</v>
      </c>
      <c r="W133" s="19">
        <v>0.0</v>
      </c>
      <c r="X133" s="19">
        <v>0.0</v>
      </c>
      <c r="Y133" s="19"/>
      <c r="Z133" s="19">
        <v>0.0</v>
      </c>
      <c r="AA133" s="19">
        <v>0.0</v>
      </c>
      <c r="AB133" s="13">
        <f t="shared" si="28"/>
        <v>0</v>
      </c>
      <c r="AC133" s="5"/>
      <c r="AD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/>
      <c r="N134" s="19">
        <v>0.0</v>
      </c>
      <c r="O134" s="19">
        <v>0.0</v>
      </c>
      <c r="P134" s="19">
        <v>0.0</v>
      </c>
      <c r="Q134" s="19"/>
      <c r="R134" s="19">
        <v>0.0</v>
      </c>
      <c r="S134" s="19">
        <v>0.0</v>
      </c>
      <c r="T134" s="19"/>
      <c r="U134" s="19"/>
      <c r="V134" s="19">
        <v>0.0</v>
      </c>
      <c r="W134" s="19">
        <v>0.0</v>
      </c>
      <c r="X134" s="19">
        <v>0.0</v>
      </c>
      <c r="Y134" s="19"/>
      <c r="Z134" s="19">
        <v>0.0</v>
      </c>
      <c r="AA134" s="19">
        <v>0.0</v>
      </c>
      <c r="AB134" s="13">
        <f t="shared" si="28"/>
        <v>0</v>
      </c>
      <c r="AC134" s="5"/>
      <c r="AD134" s="5"/>
    </row>
    <row r="135" ht="12.75" customHeight="1">
      <c r="A135" s="18"/>
      <c r="B135" s="55">
        <v>6.0</v>
      </c>
      <c r="C135" s="50" t="s">
        <v>101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/>
      <c r="N135" s="19">
        <v>0.0</v>
      </c>
      <c r="O135" s="19">
        <v>0.0</v>
      </c>
      <c r="P135" s="19">
        <v>0.0</v>
      </c>
      <c r="Q135" s="19"/>
      <c r="R135" s="19">
        <v>0.0</v>
      </c>
      <c r="S135" s="19">
        <v>0.0</v>
      </c>
      <c r="T135" s="19"/>
      <c r="U135" s="19"/>
      <c r="V135" s="19">
        <v>0.0</v>
      </c>
      <c r="W135" s="19">
        <v>0.0</v>
      </c>
      <c r="X135" s="19">
        <v>0.0</v>
      </c>
      <c r="Y135" s="19"/>
      <c r="Z135" s="19">
        <v>0.0</v>
      </c>
      <c r="AA135" s="19">
        <v>0.0</v>
      </c>
      <c r="AB135" s="13">
        <f t="shared" si="28"/>
        <v>0</v>
      </c>
      <c r="AC135" s="5"/>
      <c r="AD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/>
      <c r="N136" s="19">
        <v>0.0</v>
      </c>
      <c r="O136" s="19">
        <v>0.0</v>
      </c>
      <c r="P136" s="19">
        <v>0.0</v>
      </c>
      <c r="Q136" s="19"/>
      <c r="R136" s="19">
        <v>0.0</v>
      </c>
      <c r="S136" s="19">
        <v>0.0</v>
      </c>
      <c r="T136" s="19"/>
      <c r="U136" s="19"/>
      <c r="V136" s="19">
        <v>0.0</v>
      </c>
      <c r="W136" s="19">
        <v>0.0</v>
      </c>
      <c r="X136" s="19">
        <v>0.0</v>
      </c>
      <c r="Y136" s="19"/>
      <c r="Z136" s="19">
        <v>0.0</v>
      </c>
      <c r="AA136" s="19">
        <v>0.0</v>
      </c>
      <c r="AB136" s="13">
        <f t="shared" si="28"/>
        <v>0</v>
      </c>
      <c r="AC136" s="5"/>
      <c r="AD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73"/>
      <c r="AC137" s="5"/>
      <c r="AD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73"/>
      <c r="AC138" s="5"/>
      <c r="AD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AA139" si="29">SUM(E129:E136)</f>
        <v>1</v>
      </c>
      <c r="F139" s="13">
        <f t="shared" si="29"/>
        <v>0</v>
      </c>
      <c r="G139" s="13">
        <f t="shared" si="29"/>
        <v>4</v>
      </c>
      <c r="H139" s="13">
        <f t="shared" si="29"/>
        <v>2</v>
      </c>
      <c r="I139" s="13">
        <f t="shared" si="29"/>
        <v>0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17</v>
      </c>
      <c r="N139" s="13">
        <f t="shared" si="29"/>
        <v>63</v>
      </c>
      <c r="O139" s="13">
        <f t="shared" si="29"/>
        <v>1</v>
      </c>
      <c r="P139" s="13">
        <f t="shared" si="29"/>
        <v>4</v>
      </c>
      <c r="Q139" s="13">
        <f t="shared" si="29"/>
        <v>3</v>
      </c>
      <c r="R139" s="13">
        <f t="shared" si="29"/>
        <v>3</v>
      </c>
      <c r="S139" s="13">
        <f t="shared" si="29"/>
        <v>1</v>
      </c>
      <c r="T139" s="13">
        <f t="shared" si="29"/>
        <v>1</v>
      </c>
      <c r="U139" s="13">
        <f t="shared" si="29"/>
        <v>4</v>
      </c>
      <c r="V139" s="13">
        <f t="shared" si="29"/>
        <v>0</v>
      </c>
      <c r="W139" s="13">
        <f t="shared" si="29"/>
        <v>2</v>
      </c>
      <c r="X139" s="13">
        <f t="shared" si="29"/>
        <v>0</v>
      </c>
      <c r="Y139" s="13">
        <f t="shared" si="29"/>
        <v>1</v>
      </c>
      <c r="Z139" s="13">
        <f t="shared" si="29"/>
        <v>1</v>
      </c>
      <c r="AA139" s="13">
        <f t="shared" si="29"/>
        <v>0</v>
      </c>
      <c r="AB139" s="13">
        <f>SUM(E139:AA139)</f>
        <v>109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5"/>
      <c r="AD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/>
      <c r="R141" s="19">
        <v>0.0</v>
      </c>
      <c r="S141" s="19">
        <v>0.0</v>
      </c>
      <c r="T141" s="19"/>
      <c r="U141" s="19"/>
      <c r="V141" s="19">
        <v>0.0</v>
      </c>
      <c r="W141" s="19">
        <v>1.0</v>
      </c>
      <c r="X141" s="19">
        <v>0.0</v>
      </c>
      <c r="Y141" s="19">
        <v>1.0</v>
      </c>
      <c r="Z141" s="19">
        <v>0.0</v>
      </c>
      <c r="AA141" s="19">
        <v>0.0</v>
      </c>
      <c r="AB141" s="13">
        <f t="shared" ref="AB141:AB148" si="30">SUM(E141:AA141)</f>
        <v>2</v>
      </c>
      <c r="AC141" s="1"/>
      <c r="AD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/>
      <c r="N142" s="19">
        <v>0.0</v>
      </c>
      <c r="O142" s="19">
        <v>0.0</v>
      </c>
      <c r="P142" s="19">
        <v>0.0</v>
      </c>
      <c r="Q142" s="19"/>
      <c r="R142" s="19">
        <v>0.0</v>
      </c>
      <c r="S142" s="19">
        <v>0.0</v>
      </c>
      <c r="T142" s="19"/>
      <c r="U142" s="19"/>
      <c r="V142" s="19">
        <v>0.0</v>
      </c>
      <c r="W142" s="19">
        <v>0.0</v>
      </c>
      <c r="X142" s="19">
        <v>0.0</v>
      </c>
      <c r="Y142" s="19"/>
      <c r="Z142" s="19">
        <v>0.0</v>
      </c>
      <c r="AA142" s="19">
        <v>0.0</v>
      </c>
      <c r="AB142" s="13">
        <f t="shared" si="30"/>
        <v>0</v>
      </c>
      <c r="AC142" s="52"/>
      <c r="AD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/>
      <c r="N143" s="19">
        <v>0.0</v>
      </c>
      <c r="O143" s="19">
        <v>0.0</v>
      </c>
      <c r="P143" s="19">
        <v>0.0</v>
      </c>
      <c r="Q143" s="19"/>
      <c r="R143" s="19">
        <v>0.0</v>
      </c>
      <c r="S143" s="19">
        <v>0.0</v>
      </c>
      <c r="T143" s="19"/>
      <c r="U143" s="19"/>
      <c r="V143" s="19">
        <v>0.0</v>
      </c>
      <c r="W143" s="19">
        <v>0.0</v>
      </c>
      <c r="X143" s="19">
        <v>0.0</v>
      </c>
      <c r="Y143" s="19"/>
      <c r="Z143" s="19">
        <v>0.0</v>
      </c>
      <c r="AA143" s="19">
        <v>0.0</v>
      </c>
      <c r="AB143" s="13">
        <f t="shared" si="30"/>
        <v>0</v>
      </c>
      <c r="AC143" s="5"/>
      <c r="AD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/>
      <c r="N144" s="19">
        <v>0.0</v>
      </c>
      <c r="O144" s="19">
        <v>0.0</v>
      </c>
      <c r="P144" s="19">
        <v>0.0</v>
      </c>
      <c r="Q144" s="19"/>
      <c r="R144" s="19">
        <v>0.0</v>
      </c>
      <c r="S144" s="19">
        <v>0.0</v>
      </c>
      <c r="T144" s="19"/>
      <c r="U144" s="19"/>
      <c r="V144" s="19">
        <v>0.0</v>
      </c>
      <c r="W144" s="19">
        <v>0.0</v>
      </c>
      <c r="X144" s="19">
        <v>0.0</v>
      </c>
      <c r="Y144" s="19"/>
      <c r="Z144" s="19">
        <v>0.0</v>
      </c>
      <c r="AA144" s="19">
        <v>0.0</v>
      </c>
      <c r="AB144" s="13">
        <f t="shared" si="30"/>
        <v>0</v>
      </c>
      <c r="AC144" s="5"/>
      <c r="AD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/>
      <c r="N145" s="19">
        <v>0.0</v>
      </c>
      <c r="O145" s="19">
        <v>0.0</v>
      </c>
      <c r="P145" s="19">
        <v>0.0</v>
      </c>
      <c r="Q145" s="19"/>
      <c r="R145" s="19">
        <v>0.0</v>
      </c>
      <c r="S145" s="19">
        <v>0.0</v>
      </c>
      <c r="T145" s="19"/>
      <c r="U145" s="19"/>
      <c r="V145" s="19">
        <v>0.0</v>
      </c>
      <c r="W145" s="19">
        <v>0.0</v>
      </c>
      <c r="X145" s="19">
        <v>0.0</v>
      </c>
      <c r="Y145" s="19"/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/>
      <c r="N146" s="19">
        <v>0.0</v>
      </c>
      <c r="O146" s="19">
        <v>0.0</v>
      </c>
      <c r="P146" s="19">
        <v>0.0</v>
      </c>
      <c r="Q146" s="19"/>
      <c r="R146" s="19">
        <v>0.0</v>
      </c>
      <c r="S146" s="19">
        <v>0.0</v>
      </c>
      <c r="T146" s="19"/>
      <c r="U146" s="19"/>
      <c r="V146" s="19">
        <v>0.0</v>
      </c>
      <c r="W146" s="19">
        <v>0.0</v>
      </c>
      <c r="X146" s="19">
        <v>0.0</v>
      </c>
      <c r="Y146" s="19"/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/>
      <c r="N147" s="19">
        <v>0.0</v>
      </c>
      <c r="O147" s="19">
        <v>0.0</v>
      </c>
      <c r="P147" s="19">
        <v>0.0</v>
      </c>
      <c r="Q147" s="19"/>
      <c r="R147" s="19">
        <v>0.0</v>
      </c>
      <c r="S147" s="19">
        <v>0.0</v>
      </c>
      <c r="T147" s="19"/>
      <c r="U147" s="19"/>
      <c r="V147" s="19">
        <v>0.0</v>
      </c>
      <c r="W147" s="19">
        <v>0.0</v>
      </c>
      <c r="X147" s="19">
        <v>0.0</v>
      </c>
      <c r="Y147" s="19"/>
      <c r="Z147" s="19">
        <v>0.0</v>
      </c>
      <c r="AA147" s="19">
        <v>0.0</v>
      </c>
      <c r="AB147" s="13">
        <f t="shared" si="30"/>
        <v>0</v>
      </c>
      <c r="AC147" s="5"/>
      <c r="AD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/>
      <c r="N148" s="19">
        <v>0.0</v>
      </c>
      <c r="O148" s="19">
        <v>0.0</v>
      </c>
      <c r="P148" s="19">
        <v>0.0</v>
      </c>
      <c r="Q148" s="19"/>
      <c r="R148" s="19">
        <v>0.0</v>
      </c>
      <c r="S148" s="19">
        <v>0.0</v>
      </c>
      <c r="T148" s="19"/>
      <c r="U148" s="19"/>
      <c r="V148" s="19">
        <v>0.0</v>
      </c>
      <c r="W148" s="19">
        <v>0.0</v>
      </c>
      <c r="X148" s="19">
        <v>0.0</v>
      </c>
      <c r="Y148" s="19"/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73"/>
      <c r="AC149" s="5"/>
      <c r="AD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73"/>
      <c r="AC150" s="5"/>
      <c r="AD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>SUM(E151:AA151)</f>
        <v>2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13"/>
      <c r="AC152" s="52"/>
      <c r="AD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0.0</v>
      </c>
      <c r="G153" s="19">
        <v>1.0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/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/>
      <c r="U153" s="19"/>
      <c r="V153" s="19">
        <v>0.0</v>
      </c>
      <c r="W153" s="19">
        <v>0.0</v>
      </c>
      <c r="X153" s="19">
        <v>0.0</v>
      </c>
      <c r="Y153" s="19"/>
      <c r="Z153" s="19">
        <v>0.0</v>
      </c>
      <c r="AA153" s="19">
        <v>0.0</v>
      </c>
      <c r="AB153" s="13">
        <f t="shared" ref="AB153:AB157" si="32">SUM(E153:AA153)</f>
        <v>3</v>
      </c>
      <c r="AC153" s="5"/>
      <c r="AD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1.0</v>
      </c>
      <c r="L154" s="19">
        <v>0.0</v>
      </c>
      <c r="M154" s="19"/>
      <c r="N154" s="19">
        <v>0.0</v>
      </c>
      <c r="O154" s="19">
        <v>0.0</v>
      </c>
      <c r="P154" s="19">
        <v>0.0</v>
      </c>
      <c r="Q154" s="19"/>
      <c r="R154" s="19">
        <v>0.0</v>
      </c>
      <c r="S154" s="19">
        <v>0.0</v>
      </c>
      <c r="T154" s="19"/>
      <c r="U154" s="19">
        <v>1.0</v>
      </c>
      <c r="V154" s="19">
        <v>0.0</v>
      </c>
      <c r="W154" s="19">
        <v>0.0</v>
      </c>
      <c r="X154" s="19">
        <v>0.0</v>
      </c>
      <c r="Y154" s="19"/>
      <c r="Z154" s="19">
        <v>0.0</v>
      </c>
      <c r="AA154" s="19">
        <v>0.0</v>
      </c>
      <c r="AB154" s="13">
        <f t="shared" si="32"/>
        <v>3</v>
      </c>
      <c r="AC154" s="5"/>
      <c r="AD154" s="5"/>
    </row>
    <row r="155" ht="12.75" customHeight="1">
      <c r="A155" s="18"/>
      <c r="B155" s="55">
        <v>2.0</v>
      </c>
      <c r="C155" s="59" t="s">
        <v>115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/>
      <c r="N155" s="19">
        <v>0.0</v>
      </c>
      <c r="O155" s="19">
        <v>0.0</v>
      </c>
      <c r="P155" s="19">
        <v>0.0</v>
      </c>
      <c r="Q155" s="19"/>
      <c r="R155" s="19">
        <v>0.0</v>
      </c>
      <c r="S155" s="19">
        <v>0.0</v>
      </c>
      <c r="T155" s="19"/>
      <c r="U155" s="19"/>
      <c r="V155" s="19">
        <v>0.0</v>
      </c>
      <c r="W155" s="19">
        <v>0.0</v>
      </c>
      <c r="X155" s="19">
        <v>0.0</v>
      </c>
      <c r="Y155" s="19"/>
      <c r="Z155" s="19">
        <v>0.0</v>
      </c>
      <c r="AA155" s="19">
        <v>0.0</v>
      </c>
      <c r="AB155" s="13">
        <f t="shared" si="32"/>
        <v>0</v>
      </c>
      <c r="AC155" s="5"/>
      <c r="AD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/>
      <c r="N156" s="19">
        <v>0.0</v>
      </c>
      <c r="O156" s="19">
        <v>0.0</v>
      </c>
      <c r="P156" s="19">
        <v>0.0</v>
      </c>
      <c r="Q156" s="19"/>
      <c r="R156" s="19">
        <v>0.0</v>
      </c>
      <c r="S156" s="19">
        <v>0.0</v>
      </c>
      <c r="T156" s="19"/>
      <c r="U156" s="19"/>
      <c r="V156" s="19">
        <v>0.0</v>
      </c>
      <c r="W156" s="19">
        <v>0.0</v>
      </c>
      <c r="X156" s="19">
        <v>0.0</v>
      </c>
      <c r="Y156" s="19"/>
      <c r="Z156" s="19">
        <v>0.0</v>
      </c>
      <c r="AA156" s="19">
        <v>0.0</v>
      </c>
      <c r="AB156" s="13">
        <f t="shared" si="32"/>
        <v>0</v>
      </c>
      <c r="AC156" s="5"/>
      <c r="AD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/>
      <c r="N157" s="19">
        <v>0.0</v>
      </c>
      <c r="O157" s="19">
        <v>0.0</v>
      </c>
      <c r="P157" s="19">
        <v>0.0</v>
      </c>
      <c r="Q157" s="19"/>
      <c r="R157" s="19">
        <v>0.0</v>
      </c>
      <c r="S157" s="19">
        <v>0.0</v>
      </c>
      <c r="T157" s="19"/>
      <c r="U157" s="19"/>
      <c r="V157" s="19">
        <v>0.0</v>
      </c>
      <c r="W157" s="19">
        <v>0.0</v>
      </c>
      <c r="X157" s="19">
        <v>0.0</v>
      </c>
      <c r="Y157" s="19"/>
      <c r="Z157" s="19">
        <v>0.0</v>
      </c>
      <c r="AA157" s="19">
        <v>1.0</v>
      </c>
      <c r="AB157" s="13">
        <f t="shared" si="32"/>
        <v>1</v>
      </c>
      <c r="AC157" s="5"/>
      <c r="AD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73"/>
      <c r="AC158" s="5"/>
      <c r="AD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73"/>
      <c r="AC159" s="5"/>
      <c r="AD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73"/>
      <c r="AC160" s="5"/>
      <c r="AD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73"/>
      <c r="AC161" s="5"/>
      <c r="AD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73"/>
      <c r="AC162" s="5"/>
      <c r="AD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AA163" si="33">SUM(E153:E157)</f>
        <v>0</v>
      </c>
      <c r="F163" s="13">
        <f t="shared" si="33"/>
        <v>0</v>
      </c>
      <c r="G163" s="13">
        <f t="shared" si="33"/>
        <v>1</v>
      </c>
      <c r="H163" s="13">
        <f t="shared" si="33"/>
        <v>2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>SUM(E163:AA163)</f>
        <v>7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5"/>
      <c r="AD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/>
      <c r="N165" s="19">
        <v>0.0</v>
      </c>
      <c r="O165" s="19">
        <v>0.0</v>
      </c>
      <c r="P165" s="19">
        <v>0.0</v>
      </c>
      <c r="Q165" s="19"/>
      <c r="R165" s="19">
        <v>0.0</v>
      </c>
      <c r="S165" s="19">
        <v>0.0</v>
      </c>
      <c r="T165" s="19">
        <v>2.0</v>
      </c>
      <c r="U165" s="19"/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2" si="34">SUM(E165:AA165)</f>
        <v>3</v>
      </c>
      <c r="AC165" s="1"/>
      <c r="AD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/>
      <c r="N166" s="19">
        <v>0.0</v>
      </c>
      <c r="O166" s="19">
        <v>0.0</v>
      </c>
      <c r="P166" s="19">
        <v>0.0</v>
      </c>
      <c r="Q166" s="19"/>
      <c r="R166" s="19">
        <v>0.0</v>
      </c>
      <c r="S166" s="19">
        <v>0.0</v>
      </c>
      <c r="T166" s="19"/>
      <c r="U166" s="19"/>
      <c r="V166" s="19">
        <v>0.0</v>
      </c>
      <c r="W166" s="19">
        <v>0.0</v>
      </c>
      <c r="X166" s="19">
        <v>1.0</v>
      </c>
      <c r="Y166" s="19"/>
      <c r="Z166" s="19">
        <v>0.0</v>
      </c>
      <c r="AA166" s="19">
        <v>0.0</v>
      </c>
      <c r="AB166" s="13">
        <f t="shared" si="34"/>
        <v>2</v>
      </c>
      <c r="AC166" s="52"/>
      <c r="AD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/>
      <c r="N167" s="19">
        <v>0.0</v>
      </c>
      <c r="O167" s="19">
        <v>0.0</v>
      </c>
      <c r="P167" s="19">
        <v>0.0</v>
      </c>
      <c r="Q167" s="19"/>
      <c r="R167" s="19">
        <v>0.0</v>
      </c>
      <c r="S167" s="19">
        <v>0.0</v>
      </c>
      <c r="T167" s="19"/>
      <c r="U167" s="19"/>
      <c r="V167" s="19">
        <v>0.0</v>
      </c>
      <c r="W167" s="19">
        <v>0.0</v>
      </c>
      <c r="X167" s="19">
        <v>0.0</v>
      </c>
      <c r="Y167" s="19"/>
      <c r="Z167" s="19">
        <v>0.0</v>
      </c>
      <c r="AA167" s="19">
        <v>0.0</v>
      </c>
      <c r="AB167" s="13">
        <f t="shared" si="34"/>
        <v>0</v>
      </c>
      <c r="AC167" s="5"/>
      <c r="AD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/>
      <c r="N168" s="19">
        <v>0.0</v>
      </c>
      <c r="O168" s="19">
        <v>0.0</v>
      </c>
      <c r="P168" s="19">
        <v>0.0</v>
      </c>
      <c r="Q168" s="19"/>
      <c r="R168" s="19">
        <v>0.0</v>
      </c>
      <c r="S168" s="19">
        <v>0.0</v>
      </c>
      <c r="T168" s="19"/>
      <c r="U168" s="19"/>
      <c r="V168" s="19">
        <v>0.0</v>
      </c>
      <c r="W168" s="19">
        <v>0.0</v>
      </c>
      <c r="X168" s="19">
        <v>0.0</v>
      </c>
      <c r="Y168" s="19"/>
      <c r="Z168" s="19">
        <v>0.0</v>
      </c>
      <c r="AA168" s="19">
        <v>0.0</v>
      </c>
      <c r="AB168" s="13">
        <f t="shared" si="34"/>
        <v>1</v>
      </c>
      <c r="AC168" s="5"/>
      <c r="AD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9"/>
      <c r="N169" s="19">
        <v>0.0</v>
      </c>
      <c r="O169" s="19">
        <v>0.0</v>
      </c>
      <c r="P169" s="19">
        <v>1.0</v>
      </c>
      <c r="Q169" s="19"/>
      <c r="R169" s="19">
        <v>0.0</v>
      </c>
      <c r="S169" s="19">
        <v>0.0</v>
      </c>
      <c r="T169" s="19"/>
      <c r="U169" s="19"/>
      <c r="V169" s="19">
        <v>0.0</v>
      </c>
      <c r="W169" s="19">
        <v>0.0</v>
      </c>
      <c r="X169" s="19">
        <v>0.0</v>
      </c>
      <c r="Y169" s="19"/>
      <c r="Z169" s="19">
        <v>0.0</v>
      </c>
      <c r="AA169" s="19">
        <v>0.0</v>
      </c>
      <c r="AB169" s="13">
        <f t="shared" si="34"/>
        <v>2</v>
      </c>
      <c r="AC169" s="5"/>
      <c r="AD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/>
      <c r="N170" s="19">
        <v>0.0</v>
      </c>
      <c r="O170" s="19">
        <v>1.0</v>
      </c>
      <c r="P170" s="19">
        <v>0.0</v>
      </c>
      <c r="Q170" s="19"/>
      <c r="R170" s="19">
        <v>0.0</v>
      </c>
      <c r="S170" s="19">
        <v>0.0</v>
      </c>
      <c r="T170" s="19"/>
      <c r="U170" s="19"/>
      <c r="V170" s="19">
        <v>0.0</v>
      </c>
      <c r="W170" s="19">
        <v>0.0</v>
      </c>
      <c r="X170" s="19">
        <v>0.0</v>
      </c>
      <c r="Y170" s="19"/>
      <c r="Z170" s="19">
        <v>0.0</v>
      </c>
      <c r="AA170" s="19">
        <v>0.0</v>
      </c>
      <c r="AB170" s="13">
        <f t="shared" si="34"/>
        <v>1</v>
      </c>
      <c r="AC170" s="5"/>
      <c r="AD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/>
      <c r="N171" s="19">
        <v>0.0</v>
      </c>
      <c r="O171" s="19">
        <v>0.0</v>
      </c>
      <c r="P171" s="19">
        <v>0.0</v>
      </c>
      <c r="Q171" s="19"/>
      <c r="R171" s="19">
        <v>0.0</v>
      </c>
      <c r="S171" s="19">
        <v>0.0</v>
      </c>
      <c r="T171" s="19"/>
      <c r="U171" s="19"/>
      <c r="V171" s="19">
        <v>0.0</v>
      </c>
      <c r="W171" s="19">
        <v>0.0</v>
      </c>
      <c r="X171" s="19">
        <v>0.0</v>
      </c>
      <c r="Y171" s="19"/>
      <c r="Z171" s="19">
        <v>0.0</v>
      </c>
      <c r="AA171" s="19">
        <v>0.0</v>
      </c>
      <c r="AB171" s="13">
        <f t="shared" si="34"/>
        <v>0</v>
      </c>
      <c r="AC171" s="5"/>
      <c r="AD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/>
      <c r="N172" s="19">
        <v>0.0</v>
      </c>
      <c r="O172" s="19">
        <v>0.0</v>
      </c>
      <c r="P172" s="19">
        <v>0.0</v>
      </c>
      <c r="Q172" s="19"/>
      <c r="R172" s="19">
        <v>0.0</v>
      </c>
      <c r="S172" s="19">
        <v>0.0</v>
      </c>
      <c r="T172" s="19"/>
      <c r="U172" s="19"/>
      <c r="V172" s="19">
        <v>0.0</v>
      </c>
      <c r="W172" s="19">
        <v>0.0</v>
      </c>
      <c r="X172" s="19">
        <v>0.0</v>
      </c>
      <c r="Y172" s="19"/>
      <c r="Z172" s="19">
        <v>0.0</v>
      </c>
      <c r="AA172" s="19">
        <v>0.0</v>
      </c>
      <c r="AB172" s="13">
        <f t="shared" si="34"/>
        <v>0</v>
      </c>
      <c r="AC172" s="5"/>
      <c r="AD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73"/>
      <c r="AC173" s="5"/>
      <c r="AD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73"/>
      <c r="AC174" s="5"/>
      <c r="AD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AA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3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>SUM(E175:AA175)</f>
        <v>9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1"/>
      <c r="AD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0.0</v>
      </c>
      <c r="L177" s="19">
        <v>0.0</v>
      </c>
      <c r="M177" s="19"/>
      <c r="N177" s="19">
        <v>0.0</v>
      </c>
      <c r="O177" s="19">
        <v>1.0</v>
      </c>
      <c r="P177" s="19">
        <v>0.0</v>
      </c>
      <c r="Q177" s="19">
        <v>1.0</v>
      </c>
      <c r="R177" s="19">
        <v>0.0</v>
      </c>
      <c r="S177" s="19">
        <v>0.0</v>
      </c>
      <c r="T177" s="19">
        <v>1.0</v>
      </c>
      <c r="U177" s="19"/>
      <c r="V177" s="19">
        <v>0.0</v>
      </c>
      <c r="W177" s="19">
        <v>0.0</v>
      </c>
      <c r="X177" s="19">
        <v>0.0</v>
      </c>
      <c r="Y177" s="19">
        <v>1.0</v>
      </c>
      <c r="Z177" s="19">
        <v>0.0</v>
      </c>
      <c r="AA177" s="19">
        <v>0.0</v>
      </c>
      <c r="AB177" s="13">
        <f t="shared" ref="AB177:AB184" si="36">SUM(E177:AA177)</f>
        <v>6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/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/>
      <c r="U178" s="19"/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36"/>
        <v>0</v>
      </c>
      <c r="AC178" s="5"/>
      <c r="AD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/>
      <c r="N179" s="19">
        <v>0.0</v>
      </c>
      <c r="O179" s="19">
        <v>1.0</v>
      </c>
      <c r="P179" s="19">
        <v>0.0</v>
      </c>
      <c r="Q179" s="19"/>
      <c r="R179" s="19">
        <v>0.0</v>
      </c>
      <c r="S179" s="19">
        <v>1.0</v>
      </c>
      <c r="T179" s="19"/>
      <c r="U179" s="19"/>
      <c r="V179" s="19">
        <v>0.0</v>
      </c>
      <c r="W179" s="19">
        <v>0.0</v>
      </c>
      <c r="X179" s="19">
        <v>0.0</v>
      </c>
      <c r="Y179" s="19"/>
      <c r="Z179" s="19">
        <v>0.0</v>
      </c>
      <c r="AA179" s="19">
        <v>1.0</v>
      </c>
      <c r="AB179" s="13">
        <f t="shared" si="36"/>
        <v>5</v>
      </c>
      <c r="AC179" s="5"/>
      <c r="AD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/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>
        <v>0.0</v>
      </c>
      <c r="T180" s="19"/>
      <c r="U180" s="19"/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3">
        <f t="shared" si="36"/>
        <v>3</v>
      </c>
      <c r="AC180" s="5"/>
      <c r="AD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/>
      <c r="N181" s="19">
        <v>0.0</v>
      </c>
      <c r="O181" s="19">
        <v>0.0</v>
      </c>
      <c r="P181" s="19">
        <v>0.0</v>
      </c>
      <c r="Q181" s="19"/>
      <c r="R181" s="19">
        <v>0.0</v>
      </c>
      <c r="S181" s="19">
        <v>0.0</v>
      </c>
      <c r="T181" s="19"/>
      <c r="U181" s="19"/>
      <c r="V181" s="19">
        <v>0.0</v>
      </c>
      <c r="W181" s="19">
        <v>0.0</v>
      </c>
      <c r="X181" s="19">
        <v>0.0</v>
      </c>
      <c r="Y181" s="19"/>
      <c r="Z181" s="19">
        <v>0.0</v>
      </c>
      <c r="AA181" s="19">
        <v>0.0</v>
      </c>
      <c r="AB181" s="13">
        <f t="shared" si="36"/>
        <v>1</v>
      </c>
      <c r="AC181" s="5"/>
      <c r="AD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/>
      <c r="N182" s="19">
        <v>0.0</v>
      </c>
      <c r="O182" s="19">
        <v>0.0</v>
      </c>
      <c r="P182" s="19">
        <v>0.0</v>
      </c>
      <c r="Q182" s="19"/>
      <c r="R182" s="19">
        <v>0.0</v>
      </c>
      <c r="S182" s="19">
        <v>0.0</v>
      </c>
      <c r="T182" s="19"/>
      <c r="U182" s="19"/>
      <c r="V182" s="19">
        <v>0.0</v>
      </c>
      <c r="W182" s="19">
        <v>0.0</v>
      </c>
      <c r="X182" s="19">
        <v>0.0</v>
      </c>
      <c r="Y182" s="19"/>
      <c r="Z182" s="19">
        <v>0.0</v>
      </c>
      <c r="AA182" s="19">
        <v>0.0</v>
      </c>
      <c r="AB182" s="13">
        <f t="shared" si="36"/>
        <v>0</v>
      </c>
      <c r="AC182" s="5"/>
      <c r="AD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/>
      <c r="N183" s="19">
        <v>0.0</v>
      </c>
      <c r="O183" s="19">
        <v>0.0</v>
      </c>
      <c r="P183" s="19">
        <v>0.0</v>
      </c>
      <c r="Q183" s="19"/>
      <c r="R183" s="19">
        <v>0.0</v>
      </c>
      <c r="S183" s="19">
        <v>0.0</v>
      </c>
      <c r="T183" s="19"/>
      <c r="U183" s="19"/>
      <c r="V183" s="19">
        <v>0.0</v>
      </c>
      <c r="W183" s="19">
        <v>0.0</v>
      </c>
      <c r="X183" s="19">
        <v>0.0</v>
      </c>
      <c r="Y183" s="19"/>
      <c r="Z183" s="19">
        <v>0.0</v>
      </c>
      <c r="AA183" s="19">
        <v>1.0</v>
      </c>
      <c r="AB183" s="13">
        <f t="shared" si="36"/>
        <v>2</v>
      </c>
      <c r="AC183" s="5"/>
      <c r="AD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/>
      <c r="N184" s="19">
        <v>0.0</v>
      </c>
      <c r="O184" s="19">
        <v>0.0</v>
      </c>
      <c r="P184" s="19">
        <v>0.0</v>
      </c>
      <c r="Q184" s="19"/>
      <c r="R184" s="19">
        <v>0.0</v>
      </c>
      <c r="S184" s="19">
        <v>0.0</v>
      </c>
      <c r="T184" s="19"/>
      <c r="U184" s="19"/>
      <c r="V184" s="19">
        <v>0.0</v>
      </c>
      <c r="W184" s="19">
        <v>0.0</v>
      </c>
      <c r="X184" s="19">
        <v>0.0</v>
      </c>
      <c r="Y184" s="19"/>
      <c r="Z184" s="19">
        <v>0.0</v>
      </c>
      <c r="AA184" s="19">
        <v>0.0</v>
      </c>
      <c r="AB184" s="13">
        <f t="shared" si="36"/>
        <v>0</v>
      </c>
      <c r="AC184" s="5"/>
      <c r="AD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73"/>
      <c r="AC185" s="5"/>
      <c r="AD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73"/>
      <c r="AC186" s="5"/>
      <c r="AD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AA187" si="37">SUM(E177:E184)</f>
        <v>1</v>
      </c>
      <c r="F187" s="13">
        <f t="shared" si="37"/>
        <v>0</v>
      </c>
      <c r="G187" s="13">
        <f t="shared" si="37"/>
        <v>1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2</v>
      </c>
      <c r="L187" s="13">
        <f t="shared" si="37"/>
        <v>1</v>
      </c>
      <c r="M187" s="13">
        <f t="shared" si="37"/>
        <v>0</v>
      </c>
      <c r="N187" s="13">
        <f t="shared" si="37"/>
        <v>0</v>
      </c>
      <c r="O187" s="13">
        <f t="shared" si="37"/>
        <v>2</v>
      </c>
      <c r="P187" s="13">
        <f t="shared" si="37"/>
        <v>0</v>
      </c>
      <c r="Q187" s="13">
        <f t="shared" si="37"/>
        <v>2</v>
      </c>
      <c r="R187" s="13">
        <f t="shared" si="37"/>
        <v>0</v>
      </c>
      <c r="S187" s="13">
        <f t="shared" si="37"/>
        <v>1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2</v>
      </c>
      <c r="Z187" s="13">
        <f t="shared" si="37"/>
        <v>0</v>
      </c>
      <c r="AA187" s="13">
        <f t="shared" si="37"/>
        <v>2</v>
      </c>
      <c r="AB187" s="13">
        <f>SUM(E187:AA187)</f>
        <v>17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/>
      <c r="N189" s="19">
        <v>0.0</v>
      </c>
      <c r="O189" s="19">
        <v>0.0</v>
      </c>
      <c r="P189" s="19">
        <v>1.0</v>
      </c>
      <c r="Q189" s="19"/>
      <c r="R189" s="19">
        <v>0.0</v>
      </c>
      <c r="S189" s="19">
        <v>0.0</v>
      </c>
      <c r="T189" s="19">
        <v>0.0</v>
      </c>
      <c r="U189" s="19"/>
      <c r="V189" s="19">
        <v>0.0</v>
      </c>
      <c r="W189" s="19">
        <v>0.0</v>
      </c>
      <c r="X189" s="19">
        <v>0.0</v>
      </c>
      <c r="Y189" s="19"/>
      <c r="Z189" s="19">
        <v>0.0</v>
      </c>
      <c r="AA189" s="19">
        <v>0.0</v>
      </c>
      <c r="AB189" s="13">
        <f t="shared" ref="AB189:AB196" si="38">SUM(E189:AA189)</f>
        <v>2</v>
      </c>
      <c r="AC189" s="5"/>
      <c r="AD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1.0</v>
      </c>
      <c r="K190" s="19">
        <v>0.0</v>
      </c>
      <c r="L190" s="19">
        <v>0.0</v>
      </c>
      <c r="M190" s="19"/>
      <c r="N190" s="19">
        <v>0.0</v>
      </c>
      <c r="O190" s="19">
        <v>0.0</v>
      </c>
      <c r="P190" s="19">
        <v>0.0</v>
      </c>
      <c r="Q190" s="19"/>
      <c r="R190" s="19">
        <v>0.0</v>
      </c>
      <c r="S190" s="19">
        <v>0.0</v>
      </c>
      <c r="T190" s="19"/>
      <c r="U190" s="19"/>
      <c r="V190" s="19">
        <v>0.0</v>
      </c>
      <c r="W190" s="19">
        <v>0.0</v>
      </c>
      <c r="X190" s="19">
        <v>0.0</v>
      </c>
      <c r="Y190" s="19"/>
      <c r="Z190" s="19">
        <v>0.0</v>
      </c>
      <c r="AA190" s="19">
        <v>0.0</v>
      </c>
      <c r="AB190" s="13">
        <f t="shared" si="38"/>
        <v>2</v>
      </c>
      <c r="AC190" s="5"/>
      <c r="AD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/>
      <c r="N191" s="19">
        <v>0.0</v>
      </c>
      <c r="O191" s="19">
        <v>0.0</v>
      </c>
      <c r="P191" s="19">
        <v>0.0</v>
      </c>
      <c r="Q191" s="19"/>
      <c r="R191" s="19">
        <v>0.0</v>
      </c>
      <c r="S191" s="19">
        <v>0.0</v>
      </c>
      <c r="T191" s="19">
        <v>1.0</v>
      </c>
      <c r="U191" s="19"/>
      <c r="V191" s="19">
        <v>0.0</v>
      </c>
      <c r="W191" s="19">
        <v>0.0</v>
      </c>
      <c r="X191" s="19">
        <v>0.0</v>
      </c>
      <c r="Y191" s="19">
        <v>1.0</v>
      </c>
      <c r="Z191" s="19">
        <v>0.0</v>
      </c>
      <c r="AA191" s="19">
        <v>0.0</v>
      </c>
      <c r="AB191" s="13">
        <f t="shared" si="38"/>
        <v>2</v>
      </c>
      <c r="AC191" s="5"/>
      <c r="AD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/>
      <c r="N192" s="19">
        <v>0.0</v>
      </c>
      <c r="O192" s="19">
        <v>0.0</v>
      </c>
      <c r="P192" s="19">
        <v>0.0</v>
      </c>
      <c r="Q192" s="19"/>
      <c r="R192" s="19">
        <v>0.0</v>
      </c>
      <c r="S192" s="19">
        <v>0.0</v>
      </c>
      <c r="T192" s="19"/>
      <c r="U192" s="19"/>
      <c r="V192" s="19">
        <v>0.0</v>
      </c>
      <c r="W192" s="19">
        <v>0.0</v>
      </c>
      <c r="X192" s="19">
        <v>0.0</v>
      </c>
      <c r="Y192" s="19">
        <v>1.0</v>
      </c>
      <c r="Z192" s="19">
        <v>0.0</v>
      </c>
      <c r="AA192" s="19">
        <v>0.0</v>
      </c>
      <c r="AB192" s="13">
        <f t="shared" si="38"/>
        <v>1</v>
      </c>
      <c r="AC192" s="5"/>
      <c r="AD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/>
      <c r="N193" s="19">
        <v>0.0</v>
      </c>
      <c r="O193" s="19">
        <v>0.0</v>
      </c>
      <c r="P193" s="19">
        <v>0.0</v>
      </c>
      <c r="Q193" s="19"/>
      <c r="R193" s="19">
        <v>0.0</v>
      </c>
      <c r="S193" s="19">
        <v>0.0</v>
      </c>
      <c r="T193" s="19"/>
      <c r="U193" s="19"/>
      <c r="V193" s="19">
        <v>0.0</v>
      </c>
      <c r="W193" s="19">
        <v>0.0</v>
      </c>
      <c r="X193" s="19">
        <v>0.0</v>
      </c>
      <c r="Y193" s="19"/>
      <c r="Z193" s="19">
        <v>0.0</v>
      </c>
      <c r="AA193" s="19">
        <v>0.0</v>
      </c>
      <c r="AB193" s="13">
        <f t="shared" si="38"/>
        <v>0</v>
      </c>
      <c r="AC193" s="5"/>
      <c r="AD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1.0</v>
      </c>
      <c r="M194" s="19"/>
      <c r="N194" s="19">
        <v>0.0</v>
      </c>
      <c r="O194" s="19">
        <v>0.0</v>
      </c>
      <c r="P194" s="19">
        <v>0.0</v>
      </c>
      <c r="Q194" s="19"/>
      <c r="R194" s="19">
        <v>0.0</v>
      </c>
      <c r="S194" s="19">
        <v>0.0</v>
      </c>
      <c r="T194" s="19"/>
      <c r="U194" s="19"/>
      <c r="V194" s="19">
        <v>0.0</v>
      </c>
      <c r="W194" s="19">
        <v>0.0</v>
      </c>
      <c r="X194" s="19">
        <v>0.0</v>
      </c>
      <c r="Y194" s="19"/>
      <c r="Z194" s="19">
        <v>0.0</v>
      </c>
      <c r="AA194" s="19">
        <v>0.0</v>
      </c>
      <c r="AB194" s="13">
        <f t="shared" si="38"/>
        <v>1</v>
      </c>
      <c r="AC194" s="5"/>
      <c r="AD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/>
      <c r="N195" s="19">
        <v>0.0</v>
      </c>
      <c r="O195" s="19">
        <v>0.0</v>
      </c>
      <c r="P195" s="19">
        <v>0.0</v>
      </c>
      <c r="Q195" s="19"/>
      <c r="R195" s="19">
        <v>0.0</v>
      </c>
      <c r="S195" s="19">
        <v>0.0</v>
      </c>
      <c r="T195" s="19"/>
      <c r="U195" s="19"/>
      <c r="V195" s="19">
        <v>0.0</v>
      </c>
      <c r="W195" s="19">
        <v>0.0</v>
      </c>
      <c r="X195" s="19">
        <v>0.0</v>
      </c>
      <c r="Y195" s="19"/>
      <c r="Z195" s="19">
        <v>0.0</v>
      </c>
      <c r="AA195" s="19">
        <v>0.0</v>
      </c>
      <c r="AB195" s="13">
        <f t="shared" si="38"/>
        <v>0</v>
      </c>
      <c r="AC195" s="5"/>
      <c r="AD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9"/>
      <c r="N196" s="19">
        <v>0.0</v>
      </c>
      <c r="O196" s="19">
        <v>0.0</v>
      </c>
      <c r="P196" s="19">
        <v>0.0</v>
      </c>
      <c r="Q196" s="19"/>
      <c r="R196" s="19">
        <v>0.0</v>
      </c>
      <c r="S196" s="19">
        <v>0.0</v>
      </c>
      <c r="T196" s="19"/>
      <c r="U196" s="19"/>
      <c r="V196" s="19">
        <v>0.0</v>
      </c>
      <c r="W196" s="19">
        <v>1.0</v>
      </c>
      <c r="X196" s="19">
        <v>0.0</v>
      </c>
      <c r="Y196" s="19"/>
      <c r="Z196" s="19">
        <v>0.0</v>
      </c>
      <c r="AA196" s="19">
        <v>0.0</v>
      </c>
      <c r="AB196" s="13">
        <f t="shared" si="38"/>
        <v>2</v>
      </c>
      <c r="AC196" s="1"/>
      <c r="AD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73"/>
      <c r="AC197" s="1"/>
      <c r="AD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73"/>
      <c r="AC198" s="1"/>
      <c r="AD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AA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2</v>
      </c>
      <c r="Z199" s="13">
        <f t="shared" si="39"/>
        <v>0</v>
      </c>
      <c r="AA199" s="13">
        <f t="shared" si="39"/>
        <v>0</v>
      </c>
      <c r="AB199" s="13">
        <f>SUM(E199:AA199)</f>
        <v>10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5"/>
      <c r="AD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0.0</v>
      </c>
      <c r="G201" s="19">
        <v>4.0</v>
      </c>
      <c r="H201" s="19">
        <v>3.0</v>
      </c>
      <c r="I201" s="19">
        <v>3.0</v>
      </c>
      <c r="J201" s="19">
        <v>3.0</v>
      </c>
      <c r="K201" s="19">
        <v>11.0</v>
      </c>
      <c r="L201" s="19">
        <v>1.0</v>
      </c>
      <c r="M201" s="19">
        <v>0.0</v>
      </c>
      <c r="N201" s="19">
        <v>1.0</v>
      </c>
      <c r="O201" s="19">
        <v>1.0</v>
      </c>
      <c r="P201" s="19">
        <v>6.0</v>
      </c>
      <c r="Q201" s="19">
        <v>7.0</v>
      </c>
      <c r="R201" s="19">
        <v>0.0</v>
      </c>
      <c r="S201" s="19">
        <v>1.0</v>
      </c>
      <c r="T201" s="19">
        <v>6.0</v>
      </c>
      <c r="U201" s="19">
        <v>1.0</v>
      </c>
      <c r="V201" s="19">
        <v>2.0</v>
      </c>
      <c r="W201" s="19">
        <v>2.0</v>
      </c>
      <c r="X201" s="19">
        <v>1.0</v>
      </c>
      <c r="Y201" s="19"/>
      <c r="Z201" s="19">
        <v>4.0</v>
      </c>
      <c r="AA201" s="19">
        <v>2.0</v>
      </c>
      <c r="AB201" s="13">
        <f t="shared" ref="AB201:AB208" si="40">SUM(E201:AA201)</f>
        <v>61</v>
      </c>
      <c r="AC201" s="5"/>
      <c r="AD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1.0</v>
      </c>
      <c r="F202" s="19">
        <v>0.0</v>
      </c>
      <c r="G202" s="19">
        <v>3.0</v>
      </c>
      <c r="H202" s="19">
        <v>1.0</v>
      </c>
      <c r="I202" s="19">
        <v>3.0</v>
      </c>
      <c r="J202" s="19">
        <v>10.0</v>
      </c>
      <c r="K202" s="19">
        <v>0.0</v>
      </c>
      <c r="L202" s="19">
        <v>4.0</v>
      </c>
      <c r="M202" s="19">
        <v>1.0</v>
      </c>
      <c r="N202" s="19">
        <v>1.0</v>
      </c>
      <c r="O202" s="19">
        <v>2.0</v>
      </c>
      <c r="P202" s="19">
        <v>8.0</v>
      </c>
      <c r="Q202" s="19">
        <v>7.0</v>
      </c>
      <c r="R202" s="19">
        <v>3.0</v>
      </c>
      <c r="S202" s="19">
        <v>2.0</v>
      </c>
      <c r="T202" s="19">
        <v>4.0</v>
      </c>
      <c r="U202" s="19">
        <v>1.0</v>
      </c>
      <c r="V202" s="19">
        <v>0.0</v>
      </c>
      <c r="W202" s="19">
        <v>1.0</v>
      </c>
      <c r="X202" s="19">
        <v>0.0</v>
      </c>
      <c r="Y202" s="19">
        <v>2.0</v>
      </c>
      <c r="Z202" s="19">
        <v>0.0</v>
      </c>
      <c r="AA202" s="19">
        <v>2.0</v>
      </c>
      <c r="AB202" s="13">
        <f t="shared" si="40"/>
        <v>56</v>
      </c>
      <c r="AC202" s="5"/>
      <c r="AD202" s="5"/>
    </row>
    <row r="203" ht="12.75" customHeight="1">
      <c r="A203" s="18"/>
      <c r="B203" s="55">
        <v>2.0</v>
      </c>
      <c r="C203" s="50" t="s">
        <v>148</v>
      </c>
      <c r="D203" s="57"/>
      <c r="E203" s="19">
        <v>2.0</v>
      </c>
      <c r="F203" s="19">
        <v>0.0</v>
      </c>
      <c r="G203" s="19">
        <v>0.0</v>
      </c>
      <c r="H203" s="19">
        <v>0.0</v>
      </c>
      <c r="I203" s="19">
        <v>0.0</v>
      </c>
      <c r="J203" s="19">
        <v>2.0</v>
      </c>
      <c r="K203" s="19">
        <v>1.0</v>
      </c>
      <c r="L203" s="19">
        <v>3.0</v>
      </c>
      <c r="M203" s="19">
        <v>0.0</v>
      </c>
      <c r="N203" s="19">
        <v>1.0</v>
      </c>
      <c r="O203" s="19">
        <v>1.0</v>
      </c>
      <c r="P203" s="19">
        <v>3.0</v>
      </c>
      <c r="Q203" s="19">
        <v>3.0</v>
      </c>
      <c r="R203" s="19">
        <v>1.0</v>
      </c>
      <c r="S203" s="19">
        <v>0.0</v>
      </c>
      <c r="T203" s="19"/>
      <c r="U203" s="19">
        <v>1.0</v>
      </c>
      <c r="V203" s="19">
        <v>0.0</v>
      </c>
      <c r="W203" s="19">
        <v>0.0</v>
      </c>
      <c r="X203" s="19">
        <v>0.0</v>
      </c>
      <c r="Y203" s="19">
        <v>2.0</v>
      </c>
      <c r="Z203" s="19">
        <v>1.0</v>
      </c>
      <c r="AA203" s="19">
        <v>0.0</v>
      </c>
      <c r="AB203" s="13">
        <f t="shared" si="40"/>
        <v>21</v>
      </c>
      <c r="AC203" s="5"/>
      <c r="AD203" s="5"/>
    </row>
    <row r="204" ht="12.75" customHeight="1">
      <c r="A204" s="18"/>
      <c r="B204" s="55">
        <v>3.0</v>
      </c>
      <c r="C204" s="50" t="s">
        <v>149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0.0</v>
      </c>
      <c r="P204" s="19">
        <v>0.0</v>
      </c>
      <c r="Q204" s="19">
        <v>1.0</v>
      </c>
      <c r="R204" s="19">
        <v>1.0</v>
      </c>
      <c r="S204" s="19">
        <v>0.0</v>
      </c>
      <c r="T204" s="19"/>
      <c r="U204" s="19"/>
      <c r="V204" s="19">
        <v>0.0</v>
      </c>
      <c r="W204" s="19">
        <v>1.0</v>
      </c>
      <c r="X204" s="19">
        <v>0.0</v>
      </c>
      <c r="Y204" s="19"/>
      <c r="Z204" s="19">
        <v>0.0</v>
      </c>
      <c r="AA204" s="19">
        <v>0.0</v>
      </c>
      <c r="AB204" s="13">
        <f t="shared" si="40"/>
        <v>4</v>
      </c>
      <c r="AC204" s="5"/>
      <c r="AD204" s="5"/>
    </row>
    <row r="205" ht="12.75" customHeight="1">
      <c r="A205" s="18"/>
      <c r="B205" s="55">
        <v>4.0</v>
      </c>
      <c r="C205" s="50" t="s">
        <v>150</v>
      </c>
      <c r="D205" s="57"/>
      <c r="E205" s="19">
        <v>4.0</v>
      </c>
      <c r="F205" s="19">
        <v>2.0</v>
      </c>
      <c r="G205" s="19">
        <v>30.0</v>
      </c>
      <c r="H205" s="19">
        <v>0.0</v>
      </c>
      <c r="I205" s="19">
        <v>4.0</v>
      </c>
      <c r="J205" s="19">
        <v>28.0</v>
      </c>
      <c r="K205" s="19">
        <v>12.0</v>
      </c>
      <c r="L205" s="19">
        <v>0.0</v>
      </c>
      <c r="M205" s="19">
        <v>0.0</v>
      </c>
      <c r="N205" s="19">
        <v>3.0</v>
      </c>
      <c r="O205" s="19">
        <v>0.0</v>
      </c>
      <c r="P205" s="19">
        <v>12.0</v>
      </c>
      <c r="Q205" s="19">
        <v>1.0</v>
      </c>
      <c r="R205" s="19">
        <v>0.0</v>
      </c>
      <c r="S205" s="19">
        <v>0.0</v>
      </c>
      <c r="T205" s="19"/>
      <c r="U205" s="19"/>
      <c r="V205" s="19">
        <v>0.0</v>
      </c>
      <c r="W205" s="19">
        <v>0.0</v>
      </c>
      <c r="X205" s="19">
        <v>0.0</v>
      </c>
      <c r="Y205" s="19"/>
      <c r="Z205" s="19">
        <v>0.0</v>
      </c>
      <c r="AA205" s="19">
        <v>0.0</v>
      </c>
      <c r="AB205" s="13">
        <f t="shared" si="40"/>
        <v>96</v>
      </c>
      <c r="AC205" s="5"/>
      <c r="AD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1.0</v>
      </c>
      <c r="K206" s="19">
        <v>0.0</v>
      </c>
      <c r="L206" s="19">
        <v>0.0</v>
      </c>
      <c r="M206" s="19"/>
      <c r="N206" s="19">
        <v>0.0</v>
      </c>
      <c r="O206" s="19">
        <v>0.0</v>
      </c>
      <c r="P206" s="19">
        <v>0.0</v>
      </c>
      <c r="Q206" s="19"/>
      <c r="R206" s="19">
        <v>0.0</v>
      </c>
      <c r="S206" s="19">
        <v>0.0</v>
      </c>
      <c r="T206" s="19"/>
      <c r="U206" s="19">
        <v>1.0</v>
      </c>
      <c r="V206" s="19">
        <v>0.0</v>
      </c>
      <c r="W206" s="19">
        <v>0.0</v>
      </c>
      <c r="X206" s="19">
        <v>0.0</v>
      </c>
      <c r="Y206" s="19"/>
      <c r="Z206" s="19">
        <v>0.0</v>
      </c>
      <c r="AA206" s="19">
        <v>0.0</v>
      </c>
      <c r="AB206" s="13">
        <f t="shared" si="40"/>
        <v>3</v>
      </c>
      <c r="AC206" s="5"/>
      <c r="AD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/>
      <c r="N207" s="19">
        <v>0.0</v>
      </c>
      <c r="O207" s="19">
        <v>0.0</v>
      </c>
      <c r="P207" s="19">
        <v>0.0</v>
      </c>
      <c r="Q207" s="19"/>
      <c r="R207" s="19">
        <v>0.0</v>
      </c>
      <c r="S207" s="19">
        <v>0.0</v>
      </c>
      <c r="T207" s="19"/>
      <c r="U207" s="19"/>
      <c r="V207" s="19">
        <v>0.0</v>
      </c>
      <c r="W207" s="19">
        <v>0.0</v>
      </c>
      <c r="X207" s="19">
        <v>0.0</v>
      </c>
      <c r="Y207" s="19">
        <v>1.0</v>
      </c>
      <c r="Z207" s="19">
        <v>0.0</v>
      </c>
      <c r="AA207" s="19">
        <v>0.0</v>
      </c>
      <c r="AB207" s="13">
        <f t="shared" si="40"/>
        <v>1</v>
      </c>
      <c r="AC207" s="1"/>
      <c r="AD207" s="1"/>
    </row>
    <row r="208" ht="12.75" customHeight="1">
      <c r="A208" s="18"/>
      <c r="B208" s="55">
        <v>7.0</v>
      </c>
      <c r="C208" s="50" t="s">
        <v>153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/>
      <c r="N208" s="19">
        <v>0.0</v>
      </c>
      <c r="O208" s="19">
        <v>0.0</v>
      </c>
      <c r="P208" s="19">
        <v>0.0</v>
      </c>
      <c r="Q208" s="19"/>
      <c r="R208" s="19">
        <v>1.0</v>
      </c>
      <c r="S208" s="19">
        <v>0.0</v>
      </c>
      <c r="T208" s="19"/>
      <c r="U208" s="19"/>
      <c r="V208" s="19">
        <v>0.0</v>
      </c>
      <c r="W208" s="19">
        <v>0.0</v>
      </c>
      <c r="X208" s="19">
        <v>0.0</v>
      </c>
      <c r="Y208" s="19"/>
      <c r="Z208" s="19">
        <v>0.0</v>
      </c>
      <c r="AA208" s="19">
        <v>0.0</v>
      </c>
      <c r="AB208" s="13">
        <f t="shared" si="40"/>
        <v>1</v>
      </c>
      <c r="AC208" s="52"/>
      <c r="AD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73"/>
      <c r="AC209" s="52"/>
      <c r="AD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3"/>
      <c r="AC210" s="52"/>
      <c r="AD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AA211" si="41">SUM(E201:E208)</f>
        <v>9</v>
      </c>
      <c r="F211" s="13">
        <f t="shared" si="41"/>
        <v>2</v>
      </c>
      <c r="G211" s="13">
        <f t="shared" si="41"/>
        <v>37</v>
      </c>
      <c r="H211" s="13">
        <f t="shared" si="41"/>
        <v>4</v>
      </c>
      <c r="I211" s="13">
        <f t="shared" si="41"/>
        <v>11</v>
      </c>
      <c r="J211" s="13">
        <f t="shared" si="41"/>
        <v>44</v>
      </c>
      <c r="K211" s="13">
        <f t="shared" si="41"/>
        <v>24</v>
      </c>
      <c r="L211" s="13">
        <f t="shared" si="41"/>
        <v>8</v>
      </c>
      <c r="M211" s="13">
        <f t="shared" si="41"/>
        <v>2</v>
      </c>
      <c r="N211" s="13">
        <f t="shared" si="41"/>
        <v>6</v>
      </c>
      <c r="O211" s="13">
        <f t="shared" si="41"/>
        <v>4</v>
      </c>
      <c r="P211" s="13">
        <f t="shared" si="41"/>
        <v>29</v>
      </c>
      <c r="Q211" s="13">
        <f t="shared" si="41"/>
        <v>19</v>
      </c>
      <c r="R211" s="13">
        <f t="shared" si="41"/>
        <v>6</v>
      </c>
      <c r="S211" s="13">
        <f t="shared" si="41"/>
        <v>3</v>
      </c>
      <c r="T211" s="13">
        <f t="shared" si="41"/>
        <v>10</v>
      </c>
      <c r="U211" s="13">
        <f t="shared" si="41"/>
        <v>4</v>
      </c>
      <c r="V211" s="13">
        <f t="shared" si="41"/>
        <v>2</v>
      </c>
      <c r="W211" s="13">
        <f t="shared" si="41"/>
        <v>4</v>
      </c>
      <c r="X211" s="13">
        <f t="shared" si="41"/>
        <v>1</v>
      </c>
      <c r="Y211" s="13">
        <f t="shared" si="41"/>
        <v>5</v>
      </c>
      <c r="Z211" s="13">
        <f t="shared" si="41"/>
        <v>5</v>
      </c>
      <c r="AA211" s="13">
        <f t="shared" si="41"/>
        <v>4</v>
      </c>
      <c r="AB211" s="13">
        <f>SUM(E211:AA211)</f>
        <v>243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5"/>
      <c r="AD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1.0</v>
      </c>
      <c r="F213" s="19">
        <v>10.0</v>
      </c>
      <c r="G213" s="19">
        <v>0.0</v>
      </c>
      <c r="H213" s="19">
        <v>0.0</v>
      </c>
      <c r="I213" s="19">
        <v>1.0</v>
      </c>
      <c r="J213" s="19">
        <v>1.0</v>
      </c>
      <c r="K213" s="19">
        <v>2.0</v>
      </c>
      <c r="L213" s="19">
        <v>0.0</v>
      </c>
      <c r="M213" s="19">
        <v>1.0</v>
      </c>
      <c r="N213" s="19">
        <v>3.0</v>
      </c>
      <c r="O213" s="19">
        <v>2.0</v>
      </c>
      <c r="P213" s="19">
        <v>5.0</v>
      </c>
      <c r="Q213" s="19">
        <v>0.0</v>
      </c>
      <c r="R213" s="19">
        <v>1.0</v>
      </c>
      <c r="S213" s="19">
        <v>0.0</v>
      </c>
      <c r="T213" s="19">
        <v>3.0</v>
      </c>
      <c r="U213" s="19"/>
      <c r="V213" s="19">
        <v>0.0</v>
      </c>
      <c r="W213" s="19">
        <v>5.0</v>
      </c>
      <c r="X213" s="19">
        <v>1.0</v>
      </c>
      <c r="Y213" s="19">
        <v>1.0</v>
      </c>
      <c r="Z213" s="19">
        <v>1.0</v>
      </c>
      <c r="AA213" s="19">
        <v>2.0</v>
      </c>
      <c r="AB213" s="13">
        <f t="shared" ref="AB213:AB220" si="42">SUM(E213:AA213)</f>
        <v>40</v>
      </c>
      <c r="AC213" s="5"/>
      <c r="AD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2.0</v>
      </c>
      <c r="F214" s="19">
        <v>0.0</v>
      </c>
      <c r="G214" s="19">
        <v>0.0</v>
      </c>
      <c r="H214" s="19">
        <v>0.0</v>
      </c>
      <c r="I214" s="19">
        <v>0.0</v>
      </c>
      <c r="J214" s="19">
        <v>3.0</v>
      </c>
      <c r="K214" s="19">
        <v>0.0</v>
      </c>
      <c r="L214" s="19">
        <v>0.0</v>
      </c>
      <c r="M214" s="19">
        <v>0.0</v>
      </c>
      <c r="N214" s="19">
        <v>1.0</v>
      </c>
      <c r="O214" s="19">
        <v>2.0</v>
      </c>
      <c r="P214" s="19">
        <v>0.0</v>
      </c>
      <c r="Q214" s="19">
        <v>0.0</v>
      </c>
      <c r="R214" s="19">
        <v>0.0</v>
      </c>
      <c r="S214" s="19">
        <v>0.0</v>
      </c>
      <c r="T214" s="19"/>
      <c r="U214" s="19">
        <v>1.0</v>
      </c>
      <c r="V214" s="19">
        <v>0.0</v>
      </c>
      <c r="W214" s="19">
        <v>0.0</v>
      </c>
      <c r="X214" s="19">
        <v>2.0</v>
      </c>
      <c r="Y214" s="19">
        <v>1.0</v>
      </c>
      <c r="Z214" s="19">
        <v>0.0</v>
      </c>
      <c r="AA214" s="19">
        <v>0.0</v>
      </c>
      <c r="AB214" s="13">
        <f t="shared" si="42"/>
        <v>12</v>
      </c>
      <c r="AC214" s="5"/>
      <c r="AD214" s="5"/>
    </row>
    <row r="215" ht="12.75" customHeight="1">
      <c r="A215" s="18"/>
      <c r="B215" s="55">
        <v>2.0</v>
      </c>
      <c r="C215" s="50" t="s">
        <v>157</v>
      </c>
      <c r="D215" s="56"/>
      <c r="E215" s="19">
        <v>9.0</v>
      </c>
      <c r="F215" s="19">
        <v>33.0</v>
      </c>
      <c r="G215" s="19">
        <v>5.0</v>
      </c>
      <c r="H215" s="19">
        <v>13.0</v>
      </c>
      <c r="I215" s="19">
        <v>10.0</v>
      </c>
      <c r="J215" s="19">
        <v>5.0</v>
      </c>
      <c r="K215" s="19">
        <v>22.0</v>
      </c>
      <c r="L215" s="19">
        <v>6.0</v>
      </c>
      <c r="M215" s="19">
        <v>30.0</v>
      </c>
      <c r="N215" s="19">
        <v>39.0</v>
      </c>
      <c r="O215" s="19">
        <v>58.0</v>
      </c>
      <c r="P215" s="19">
        <v>7.0</v>
      </c>
      <c r="Q215" s="19">
        <v>7.0</v>
      </c>
      <c r="R215" s="19">
        <v>11.0</v>
      </c>
      <c r="S215" s="19">
        <v>0.0</v>
      </c>
      <c r="T215" s="19">
        <v>4.0</v>
      </c>
      <c r="U215" s="19"/>
      <c r="V215" s="19">
        <v>10.0</v>
      </c>
      <c r="W215" s="19">
        <v>28.0</v>
      </c>
      <c r="X215" s="19">
        <v>24.0</v>
      </c>
      <c r="Y215" s="19">
        <v>33.0</v>
      </c>
      <c r="Z215" s="19">
        <v>33.0</v>
      </c>
      <c r="AA215" s="19">
        <v>17.0</v>
      </c>
      <c r="AB215" s="13">
        <f t="shared" si="42"/>
        <v>404</v>
      </c>
      <c r="AC215" s="5"/>
      <c r="AD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/>
      <c r="R216" s="19"/>
      <c r="S216" s="19">
        <v>0.0</v>
      </c>
      <c r="T216" s="19">
        <v>1.0</v>
      </c>
      <c r="U216" s="19"/>
      <c r="V216" s="19">
        <v>0.0</v>
      </c>
      <c r="W216" s="19">
        <v>0.0</v>
      </c>
      <c r="X216" s="19">
        <v>0.0</v>
      </c>
      <c r="Y216" s="19"/>
      <c r="Z216" s="19">
        <v>0.0</v>
      </c>
      <c r="AA216" s="19">
        <v>0.0</v>
      </c>
      <c r="AB216" s="13">
        <f t="shared" si="42"/>
        <v>2</v>
      </c>
      <c r="AC216" s="5"/>
      <c r="AD216" s="5"/>
    </row>
    <row r="217" ht="12.75" customHeight="1">
      <c r="A217" s="18"/>
      <c r="B217" s="55">
        <v>4.0</v>
      </c>
      <c r="C217" s="50" t="s">
        <v>159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/>
      <c r="N217" s="19">
        <v>0.0</v>
      </c>
      <c r="O217" s="19">
        <v>0.0</v>
      </c>
      <c r="P217" s="19">
        <v>0.0</v>
      </c>
      <c r="Q217" s="19"/>
      <c r="R217" s="19"/>
      <c r="S217" s="19">
        <v>0.0</v>
      </c>
      <c r="T217" s="19"/>
      <c r="U217" s="19">
        <v>4.0</v>
      </c>
      <c r="V217" s="19">
        <v>0.0</v>
      </c>
      <c r="W217" s="19">
        <v>0.0</v>
      </c>
      <c r="X217" s="19">
        <v>0.0</v>
      </c>
      <c r="Y217" s="19"/>
      <c r="Z217" s="19">
        <v>0.0</v>
      </c>
      <c r="AA217" s="19">
        <v>0.0</v>
      </c>
      <c r="AB217" s="13">
        <f t="shared" si="42"/>
        <v>4</v>
      </c>
      <c r="AC217" s="5"/>
      <c r="AD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/>
      <c r="N218" s="19">
        <v>0.0</v>
      </c>
      <c r="O218" s="19">
        <v>0.0</v>
      </c>
      <c r="P218" s="19">
        <v>0.0</v>
      </c>
      <c r="Q218" s="19"/>
      <c r="R218" s="19"/>
      <c r="S218" s="19">
        <v>0.0</v>
      </c>
      <c r="T218" s="19">
        <v>0.0</v>
      </c>
      <c r="U218" s="19"/>
      <c r="V218" s="19">
        <v>1.0</v>
      </c>
      <c r="W218" s="19">
        <v>0.0</v>
      </c>
      <c r="X218" s="19">
        <v>0.0</v>
      </c>
      <c r="Y218" s="19"/>
      <c r="Z218" s="19">
        <v>0.0</v>
      </c>
      <c r="AA218" s="19">
        <v>0.0</v>
      </c>
      <c r="AB218" s="13">
        <f t="shared" si="42"/>
        <v>1</v>
      </c>
      <c r="AC218" s="1"/>
      <c r="AD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/>
      <c r="N219" s="19">
        <v>0.0</v>
      </c>
      <c r="O219" s="19">
        <v>0.0</v>
      </c>
      <c r="P219" s="19">
        <v>1.0</v>
      </c>
      <c r="Q219" s="19"/>
      <c r="R219" s="19"/>
      <c r="S219" s="19">
        <v>0.0</v>
      </c>
      <c r="T219" s="19"/>
      <c r="U219" s="19"/>
      <c r="V219" s="19">
        <v>0.0</v>
      </c>
      <c r="W219" s="19">
        <v>0.0</v>
      </c>
      <c r="X219" s="19">
        <v>0.0</v>
      </c>
      <c r="Y219" s="19"/>
      <c r="Z219" s="19">
        <v>0.0</v>
      </c>
      <c r="AA219" s="19">
        <v>0.0</v>
      </c>
      <c r="AB219" s="13">
        <f t="shared" si="42"/>
        <v>1</v>
      </c>
      <c r="AC219" s="52"/>
      <c r="AD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/>
      <c r="N220" s="19">
        <v>0.0</v>
      </c>
      <c r="O220" s="19">
        <v>0.0</v>
      </c>
      <c r="P220" s="19">
        <v>0.0</v>
      </c>
      <c r="Q220" s="19"/>
      <c r="R220" s="19"/>
      <c r="S220" s="19">
        <v>0.0</v>
      </c>
      <c r="T220" s="19"/>
      <c r="U220" s="19"/>
      <c r="V220" s="19">
        <v>0.0</v>
      </c>
      <c r="W220" s="19">
        <v>0.0</v>
      </c>
      <c r="X220" s="19">
        <v>0.0</v>
      </c>
      <c r="Y220" s="19"/>
      <c r="Z220" s="19">
        <v>0.0</v>
      </c>
      <c r="AA220" s="19">
        <v>0.0</v>
      </c>
      <c r="AB220" s="13">
        <f t="shared" si="42"/>
        <v>1</v>
      </c>
      <c r="AC220" s="5"/>
      <c r="AD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73"/>
      <c r="AC221" s="5"/>
      <c r="AD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73"/>
      <c r="AC222" s="5"/>
      <c r="AD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AA223" si="43">SUM(E213:E220)</f>
        <v>12</v>
      </c>
      <c r="F223" s="13">
        <f t="shared" si="43"/>
        <v>43</v>
      </c>
      <c r="G223" s="13">
        <f t="shared" si="43"/>
        <v>5</v>
      </c>
      <c r="H223" s="13">
        <f t="shared" si="43"/>
        <v>14</v>
      </c>
      <c r="I223" s="13">
        <f t="shared" si="43"/>
        <v>11</v>
      </c>
      <c r="J223" s="13">
        <f t="shared" si="43"/>
        <v>9</v>
      </c>
      <c r="K223" s="13">
        <f t="shared" si="43"/>
        <v>24</v>
      </c>
      <c r="L223" s="13">
        <f t="shared" si="43"/>
        <v>6</v>
      </c>
      <c r="M223" s="13">
        <f t="shared" si="43"/>
        <v>31</v>
      </c>
      <c r="N223" s="13">
        <f t="shared" si="43"/>
        <v>44</v>
      </c>
      <c r="O223" s="13">
        <f t="shared" si="43"/>
        <v>62</v>
      </c>
      <c r="P223" s="13">
        <f t="shared" si="43"/>
        <v>13</v>
      </c>
      <c r="Q223" s="13">
        <f t="shared" si="43"/>
        <v>7</v>
      </c>
      <c r="R223" s="13">
        <f t="shared" si="43"/>
        <v>12</v>
      </c>
      <c r="S223" s="13">
        <f t="shared" si="43"/>
        <v>0</v>
      </c>
      <c r="T223" s="13">
        <f t="shared" si="43"/>
        <v>8</v>
      </c>
      <c r="U223" s="13">
        <f t="shared" si="43"/>
        <v>5</v>
      </c>
      <c r="V223" s="13">
        <f t="shared" si="43"/>
        <v>11</v>
      </c>
      <c r="W223" s="13">
        <f t="shared" si="43"/>
        <v>33</v>
      </c>
      <c r="X223" s="13">
        <f t="shared" si="43"/>
        <v>27</v>
      </c>
      <c r="Y223" s="13">
        <f t="shared" si="43"/>
        <v>35</v>
      </c>
      <c r="Z223" s="13">
        <f t="shared" si="43"/>
        <v>34</v>
      </c>
      <c r="AA223" s="13">
        <f t="shared" si="43"/>
        <v>19</v>
      </c>
      <c r="AB223" s="13">
        <f>SUM(E223:AA223)</f>
        <v>465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5"/>
      <c r="AD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1.0</v>
      </c>
      <c r="L225" s="19">
        <v>1.0</v>
      </c>
      <c r="M225" s="19">
        <v>0.0</v>
      </c>
      <c r="N225" s="19">
        <v>0.0</v>
      </c>
      <c r="O225" s="19">
        <v>0.0</v>
      </c>
      <c r="P225" s="19">
        <v>1.0</v>
      </c>
      <c r="Q225" s="19"/>
      <c r="R225" s="19">
        <v>1.0</v>
      </c>
      <c r="S225" s="19">
        <v>1.0</v>
      </c>
      <c r="T225" s="19">
        <v>0.0</v>
      </c>
      <c r="U225" s="19"/>
      <c r="V225" s="19">
        <v>0.0</v>
      </c>
      <c r="W225" s="19">
        <v>0.0</v>
      </c>
      <c r="X225" s="19">
        <v>0.0</v>
      </c>
      <c r="Y225" s="19"/>
      <c r="Z225" s="19">
        <v>0.0</v>
      </c>
      <c r="AA225" s="19">
        <v>0.0</v>
      </c>
      <c r="AB225" s="13">
        <f t="shared" ref="AB225:AB232" si="44">SUM(E225:AA225)</f>
        <v>6</v>
      </c>
      <c r="AC225" s="5"/>
      <c r="AD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2.0</v>
      </c>
      <c r="F226" s="19">
        <v>2.0</v>
      </c>
      <c r="G226" s="19">
        <v>5.0</v>
      </c>
      <c r="H226" s="19">
        <v>10.0</v>
      </c>
      <c r="I226" s="19">
        <v>19.0</v>
      </c>
      <c r="J226" s="19">
        <v>4.0</v>
      </c>
      <c r="K226" s="19">
        <v>7.0</v>
      </c>
      <c r="L226" s="19">
        <v>3.0</v>
      </c>
      <c r="M226" s="19"/>
      <c r="N226" s="19">
        <v>0.0</v>
      </c>
      <c r="O226" s="19">
        <v>0.0</v>
      </c>
      <c r="P226" s="19">
        <v>0.0</v>
      </c>
      <c r="Q226" s="19">
        <v>2.0</v>
      </c>
      <c r="R226" s="19"/>
      <c r="S226" s="19">
        <v>0.0</v>
      </c>
      <c r="T226" s="19"/>
      <c r="U226" s="19"/>
      <c r="V226" s="19">
        <v>0.0</v>
      </c>
      <c r="W226" s="19">
        <v>0.0</v>
      </c>
      <c r="X226" s="19">
        <v>0.0</v>
      </c>
      <c r="Y226" s="19"/>
      <c r="Z226" s="19">
        <v>0.0</v>
      </c>
      <c r="AA226" s="19">
        <v>0.0</v>
      </c>
      <c r="AB226" s="13">
        <f t="shared" si="44"/>
        <v>54</v>
      </c>
      <c r="AC226" s="5"/>
      <c r="AD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/>
      <c r="N227" s="19">
        <v>0.0</v>
      </c>
      <c r="O227" s="19">
        <v>0.0</v>
      </c>
      <c r="P227" s="19">
        <v>0.0</v>
      </c>
      <c r="Q227" s="19"/>
      <c r="R227" s="19"/>
      <c r="S227" s="19">
        <v>0.0</v>
      </c>
      <c r="T227" s="19"/>
      <c r="U227" s="19"/>
      <c r="V227" s="19">
        <v>0.0</v>
      </c>
      <c r="W227" s="19">
        <v>0.0</v>
      </c>
      <c r="X227" s="19">
        <v>0.0</v>
      </c>
      <c r="Y227" s="19"/>
      <c r="Z227" s="19">
        <v>0.0</v>
      </c>
      <c r="AA227" s="19">
        <v>0.0</v>
      </c>
      <c r="AB227" s="13">
        <f t="shared" si="44"/>
        <v>0</v>
      </c>
      <c r="AC227" s="5"/>
      <c r="AD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/>
      <c r="M228" s="19"/>
      <c r="N228" s="19">
        <v>0.0</v>
      </c>
      <c r="O228" s="19">
        <v>0.0</v>
      </c>
      <c r="P228" s="19">
        <v>0.0</v>
      </c>
      <c r="Q228" s="19"/>
      <c r="R228" s="19"/>
      <c r="S228" s="19">
        <v>0.0</v>
      </c>
      <c r="T228" s="19"/>
      <c r="U228" s="19"/>
      <c r="V228" s="19">
        <v>0.0</v>
      </c>
      <c r="W228" s="19">
        <v>0.0</v>
      </c>
      <c r="X228" s="19">
        <v>0.0</v>
      </c>
      <c r="Y228" s="19">
        <v>1.0</v>
      </c>
      <c r="Z228" s="19">
        <v>0.0</v>
      </c>
      <c r="AA228" s="19">
        <v>0.0</v>
      </c>
      <c r="AB228" s="13">
        <f t="shared" si="44"/>
        <v>1</v>
      </c>
      <c r="AC228" s="5"/>
      <c r="AD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/>
      <c r="M229" s="19"/>
      <c r="N229" s="19">
        <v>0.0</v>
      </c>
      <c r="O229" s="19">
        <v>0.0</v>
      </c>
      <c r="P229" s="19">
        <v>0.0</v>
      </c>
      <c r="Q229" s="19"/>
      <c r="R229" s="19"/>
      <c r="S229" s="19">
        <v>0.0</v>
      </c>
      <c r="T229" s="19"/>
      <c r="U229" s="19"/>
      <c r="V229" s="19">
        <v>0.0</v>
      </c>
      <c r="W229" s="19">
        <v>0.0</v>
      </c>
      <c r="X229" s="19">
        <v>0.0</v>
      </c>
      <c r="Y229" s="19"/>
      <c r="Z229" s="19">
        <v>0.0</v>
      </c>
      <c r="AA229" s="19">
        <v>0.0</v>
      </c>
      <c r="AB229" s="13">
        <f t="shared" si="44"/>
        <v>0</v>
      </c>
      <c r="AC229" s="1"/>
      <c r="AD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/>
      <c r="M230" s="19"/>
      <c r="N230" s="19">
        <v>0.0</v>
      </c>
      <c r="O230" s="19">
        <v>0.0</v>
      </c>
      <c r="P230" s="19">
        <v>0.0</v>
      </c>
      <c r="Q230" s="19"/>
      <c r="R230" s="19"/>
      <c r="S230" s="19">
        <v>0.0</v>
      </c>
      <c r="T230" s="19"/>
      <c r="U230" s="19"/>
      <c r="V230" s="19">
        <v>0.0</v>
      </c>
      <c r="W230" s="19">
        <v>0.0</v>
      </c>
      <c r="X230" s="19">
        <v>1.0</v>
      </c>
      <c r="Y230" s="19"/>
      <c r="Z230" s="19">
        <v>0.0</v>
      </c>
      <c r="AA230" s="19">
        <v>0.0</v>
      </c>
      <c r="AB230" s="13">
        <f t="shared" si="44"/>
        <v>1</v>
      </c>
      <c r="AC230" s="52"/>
      <c r="AD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1.0</v>
      </c>
      <c r="H231" s="19">
        <v>0.0</v>
      </c>
      <c r="I231" s="19">
        <v>0.0</v>
      </c>
      <c r="J231" s="19">
        <v>0.0</v>
      </c>
      <c r="K231" s="19">
        <v>0.0</v>
      </c>
      <c r="L231" s="19"/>
      <c r="M231" s="19"/>
      <c r="N231" s="19">
        <v>0.0</v>
      </c>
      <c r="O231" s="19">
        <v>0.0</v>
      </c>
      <c r="P231" s="19">
        <v>0.0</v>
      </c>
      <c r="Q231" s="19"/>
      <c r="R231" s="19"/>
      <c r="S231" s="19">
        <v>0.0</v>
      </c>
      <c r="T231" s="19"/>
      <c r="U231" s="19"/>
      <c r="V231" s="19">
        <v>0.0</v>
      </c>
      <c r="W231" s="19">
        <v>0.0</v>
      </c>
      <c r="X231" s="19">
        <v>0.0</v>
      </c>
      <c r="Y231" s="19"/>
      <c r="Z231" s="19">
        <v>0.0</v>
      </c>
      <c r="AA231" s="19">
        <v>0.0</v>
      </c>
      <c r="AB231" s="13">
        <f t="shared" si="44"/>
        <v>1</v>
      </c>
      <c r="AC231" s="5"/>
      <c r="AD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/>
      <c r="M232" s="19"/>
      <c r="N232" s="19">
        <v>0.0</v>
      </c>
      <c r="O232" s="19">
        <v>0.0</v>
      </c>
      <c r="P232" s="19">
        <v>0.0</v>
      </c>
      <c r="Q232" s="19"/>
      <c r="R232" s="19"/>
      <c r="S232" s="19">
        <v>0.0</v>
      </c>
      <c r="T232" s="19"/>
      <c r="U232" s="19"/>
      <c r="V232" s="19">
        <v>0.0</v>
      </c>
      <c r="W232" s="19">
        <v>0.0</v>
      </c>
      <c r="X232" s="19">
        <v>0.0</v>
      </c>
      <c r="Y232" s="19"/>
      <c r="Z232" s="19">
        <v>0.0</v>
      </c>
      <c r="AA232" s="19">
        <v>0.0</v>
      </c>
      <c r="AB232" s="13">
        <f t="shared" si="44"/>
        <v>0</v>
      </c>
      <c r="AC232" s="5"/>
      <c r="AD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73"/>
      <c r="AC233" s="5"/>
      <c r="AD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73"/>
      <c r="AC234" s="5"/>
      <c r="AD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AA235" si="45">SUM(E225:E232)</f>
        <v>2</v>
      </c>
      <c r="F235" s="13">
        <f t="shared" si="45"/>
        <v>2</v>
      </c>
      <c r="G235" s="13">
        <f t="shared" si="45"/>
        <v>6</v>
      </c>
      <c r="H235" s="13">
        <f t="shared" si="45"/>
        <v>11</v>
      </c>
      <c r="I235" s="13">
        <f t="shared" si="45"/>
        <v>19</v>
      </c>
      <c r="J235" s="13">
        <f t="shared" si="45"/>
        <v>4</v>
      </c>
      <c r="K235" s="13">
        <f t="shared" si="45"/>
        <v>8</v>
      </c>
      <c r="L235" s="13">
        <f t="shared" si="45"/>
        <v>4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2</v>
      </c>
      <c r="R235" s="13">
        <f t="shared" si="45"/>
        <v>1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>SUM(E235:AA235)</f>
        <v>63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5"/>
      <c r="AD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1.0</v>
      </c>
      <c r="K237" s="19">
        <v>0.0</v>
      </c>
      <c r="L237" s="19">
        <v>0.0</v>
      </c>
      <c r="M237" s="19"/>
      <c r="N237" s="19">
        <v>0.0</v>
      </c>
      <c r="O237" s="19">
        <v>0.0</v>
      </c>
      <c r="P237" s="19">
        <v>1.0</v>
      </c>
      <c r="Q237" s="19"/>
      <c r="R237" s="19">
        <v>1.0</v>
      </c>
      <c r="S237" s="19">
        <v>0.0</v>
      </c>
      <c r="T237" s="19">
        <v>0.0</v>
      </c>
      <c r="U237" s="19">
        <v>1.0</v>
      </c>
      <c r="V237" s="19">
        <v>2.0</v>
      </c>
      <c r="W237" s="19">
        <v>1.0</v>
      </c>
      <c r="X237" s="19">
        <v>0.0</v>
      </c>
      <c r="Y237" s="19"/>
      <c r="Z237" s="19">
        <v>0.0</v>
      </c>
      <c r="AA237" s="19">
        <v>2.0</v>
      </c>
      <c r="AB237" s="13">
        <f t="shared" ref="AB237:AB244" si="46">SUM(E237:AA237)</f>
        <v>9</v>
      </c>
      <c r="AC237" s="5"/>
      <c r="AD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0.0</v>
      </c>
      <c r="L238" s="19">
        <v>0.0</v>
      </c>
      <c r="M238" s="19"/>
      <c r="N238" s="19">
        <v>0.0</v>
      </c>
      <c r="O238" s="19">
        <v>0.0</v>
      </c>
      <c r="P238" s="19">
        <v>0.0</v>
      </c>
      <c r="Q238" s="19"/>
      <c r="R238" s="19"/>
      <c r="S238" s="19">
        <v>1.0</v>
      </c>
      <c r="T238" s="19">
        <v>0.0</v>
      </c>
      <c r="U238" s="19">
        <v>1.0</v>
      </c>
      <c r="V238" s="19">
        <v>0.0</v>
      </c>
      <c r="W238" s="19">
        <v>0.0</v>
      </c>
      <c r="X238" s="19">
        <v>0.0</v>
      </c>
      <c r="Y238" s="19"/>
      <c r="Z238" s="19">
        <v>1.0</v>
      </c>
      <c r="AA238" s="19">
        <v>0.0</v>
      </c>
      <c r="AB238" s="13">
        <f t="shared" si="46"/>
        <v>4</v>
      </c>
      <c r="AC238" s="5"/>
      <c r="AD238" s="5"/>
    </row>
    <row r="239" ht="12.75" customHeight="1">
      <c r="A239" s="18"/>
      <c r="B239" s="55">
        <v>2.0</v>
      </c>
      <c r="C239" s="50" t="s">
        <v>175</v>
      </c>
      <c r="D239" s="57"/>
      <c r="E239" s="19">
        <v>1.0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7.0</v>
      </c>
      <c r="L239" s="19">
        <v>0.0</v>
      </c>
      <c r="M239" s="19"/>
      <c r="N239" s="19">
        <v>0.0</v>
      </c>
      <c r="O239" s="19">
        <v>0.0</v>
      </c>
      <c r="P239" s="19">
        <v>2.0</v>
      </c>
      <c r="Q239" s="19">
        <v>2.0</v>
      </c>
      <c r="R239" s="19"/>
      <c r="S239" s="19">
        <v>0.0</v>
      </c>
      <c r="T239" s="19">
        <v>1.0</v>
      </c>
      <c r="U239" s="19">
        <v>1.0</v>
      </c>
      <c r="V239" s="19">
        <v>1.0</v>
      </c>
      <c r="W239" s="19">
        <v>3.0</v>
      </c>
      <c r="X239" s="19">
        <v>0.0</v>
      </c>
      <c r="Y239" s="19">
        <v>1.0</v>
      </c>
      <c r="Z239" s="19">
        <v>0.0</v>
      </c>
      <c r="AA239" s="19">
        <v>1.0</v>
      </c>
      <c r="AB239" s="13">
        <f t="shared" si="46"/>
        <v>20</v>
      </c>
      <c r="AC239" s="5"/>
      <c r="AD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/>
      <c r="N240" s="19">
        <v>0.0</v>
      </c>
      <c r="O240" s="19">
        <v>0.0</v>
      </c>
      <c r="P240" s="19">
        <v>0.0</v>
      </c>
      <c r="Q240" s="19"/>
      <c r="R240" s="19"/>
      <c r="S240" s="19">
        <v>0.0</v>
      </c>
      <c r="T240" s="19">
        <v>0.0</v>
      </c>
      <c r="U240" s="19">
        <v>1.0</v>
      </c>
      <c r="V240" s="19">
        <v>0.0</v>
      </c>
      <c r="W240" s="19">
        <v>0.0</v>
      </c>
      <c r="X240" s="19">
        <v>2.0</v>
      </c>
      <c r="Y240" s="19"/>
      <c r="Z240" s="19">
        <v>0.0</v>
      </c>
      <c r="AA240" s="19">
        <v>0.0</v>
      </c>
      <c r="AB240" s="13">
        <f t="shared" si="46"/>
        <v>3</v>
      </c>
      <c r="AC240" s="1"/>
      <c r="AD240" s="1"/>
    </row>
    <row r="241" ht="12.75" customHeight="1">
      <c r="A241" s="18"/>
      <c r="B241" s="55">
        <v>4.0</v>
      </c>
      <c r="C241" s="50" t="s">
        <v>177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/>
      <c r="N241" s="19">
        <v>0.0</v>
      </c>
      <c r="O241" s="19">
        <v>0.0</v>
      </c>
      <c r="P241" s="19">
        <v>0.0</v>
      </c>
      <c r="Q241" s="19"/>
      <c r="R241" s="19"/>
      <c r="S241" s="19">
        <v>0.0</v>
      </c>
      <c r="T241" s="19">
        <v>0.0</v>
      </c>
      <c r="U241" s="19"/>
      <c r="V241" s="19">
        <v>0.0</v>
      </c>
      <c r="W241" s="19">
        <v>1.0</v>
      </c>
      <c r="X241" s="19">
        <v>0.0</v>
      </c>
      <c r="Y241" s="19"/>
      <c r="Z241" s="19">
        <v>0.0</v>
      </c>
      <c r="AA241" s="19">
        <v>1.0</v>
      </c>
      <c r="AB241" s="13">
        <f t="shared" si="46"/>
        <v>2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>
        <v>0.0</v>
      </c>
      <c r="M242" s="19"/>
      <c r="N242" s="19">
        <v>0.0</v>
      </c>
      <c r="O242" s="19">
        <v>0.0</v>
      </c>
      <c r="P242" s="19">
        <v>0.0</v>
      </c>
      <c r="Q242" s="19"/>
      <c r="R242" s="19"/>
      <c r="S242" s="19">
        <v>0.0</v>
      </c>
      <c r="T242" s="19">
        <v>0.0</v>
      </c>
      <c r="U242" s="19"/>
      <c r="V242" s="19">
        <v>0.0</v>
      </c>
      <c r="W242" s="19">
        <v>0.0</v>
      </c>
      <c r="X242" s="19">
        <v>0.0</v>
      </c>
      <c r="Y242" s="19"/>
      <c r="Z242" s="19">
        <v>0.0</v>
      </c>
      <c r="AA242" s="19">
        <v>0.0</v>
      </c>
      <c r="AB242" s="13">
        <f t="shared" si="46"/>
        <v>2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/>
      <c r="N243" s="19">
        <v>0.0</v>
      </c>
      <c r="O243" s="19">
        <v>0.0</v>
      </c>
      <c r="P243" s="19">
        <v>0.0</v>
      </c>
      <c r="Q243" s="19"/>
      <c r="R243" s="19"/>
      <c r="S243" s="19">
        <v>0.0</v>
      </c>
      <c r="T243" s="19">
        <v>0.0</v>
      </c>
      <c r="U243" s="19"/>
      <c r="V243" s="19">
        <v>0.0</v>
      </c>
      <c r="W243" s="19">
        <v>0.0</v>
      </c>
      <c r="X243" s="19">
        <v>0.0</v>
      </c>
      <c r="Y243" s="19"/>
      <c r="Z243" s="19">
        <v>0.0</v>
      </c>
      <c r="AA243" s="19">
        <v>0.0</v>
      </c>
      <c r="AB243" s="13">
        <f t="shared" si="46"/>
        <v>1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/>
      <c r="N244" s="19">
        <v>0.0</v>
      </c>
      <c r="O244" s="19">
        <v>0.0</v>
      </c>
      <c r="P244" s="19">
        <v>0.0</v>
      </c>
      <c r="Q244" s="19"/>
      <c r="R244" s="19"/>
      <c r="S244" s="19">
        <v>0.0</v>
      </c>
      <c r="T244" s="19">
        <v>1.0</v>
      </c>
      <c r="U244" s="19"/>
      <c r="V244" s="19">
        <v>0.0</v>
      </c>
      <c r="W244" s="19">
        <v>0.0</v>
      </c>
      <c r="X244" s="19">
        <v>0.0</v>
      </c>
      <c r="Y244" s="19"/>
      <c r="Z244" s="19">
        <v>0.0</v>
      </c>
      <c r="AA244" s="19">
        <v>0.0</v>
      </c>
      <c r="AB244" s="13">
        <f t="shared" si="46"/>
        <v>1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AA247" si="47">SUM(E237:E244)</f>
        <v>2</v>
      </c>
      <c r="F247" s="13">
        <f t="shared" si="47"/>
        <v>0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4</v>
      </c>
      <c r="K247" s="13">
        <f t="shared" si="47"/>
        <v>7</v>
      </c>
      <c r="L247" s="13">
        <f t="shared" si="47"/>
        <v>0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3</v>
      </c>
      <c r="Q247" s="13">
        <f t="shared" si="47"/>
        <v>2</v>
      </c>
      <c r="R247" s="13">
        <f t="shared" si="47"/>
        <v>1</v>
      </c>
      <c r="S247" s="13">
        <f t="shared" si="47"/>
        <v>1</v>
      </c>
      <c r="T247" s="13">
        <f t="shared" si="47"/>
        <v>2</v>
      </c>
      <c r="U247" s="13">
        <f t="shared" si="47"/>
        <v>4</v>
      </c>
      <c r="V247" s="13">
        <f t="shared" si="47"/>
        <v>3</v>
      </c>
      <c r="W247" s="13">
        <f t="shared" si="47"/>
        <v>5</v>
      </c>
      <c r="X247" s="13">
        <f t="shared" si="47"/>
        <v>2</v>
      </c>
      <c r="Y247" s="13">
        <f t="shared" si="47"/>
        <v>1</v>
      </c>
      <c r="Z247" s="13">
        <f t="shared" si="47"/>
        <v>1</v>
      </c>
      <c r="AA247" s="13">
        <f t="shared" si="47"/>
        <v>4</v>
      </c>
      <c r="AB247" s="13">
        <f>SUM(E247:AA247)</f>
        <v>42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1.0</v>
      </c>
      <c r="F249" s="19">
        <v>0.0</v>
      </c>
      <c r="G249" s="19">
        <v>0.0</v>
      </c>
      <c r="H249" s="19">
        <v>1.0</v>
      </c>
      <c r="I249" s="19">
        <v>1.0</v>
      </c>
      <c r="J249" s="19">
        <v>0.0</v>
      </c>
      <c r="K249" s="19">
        <v>0.0</v>
      </c>
      <c r="L249" s="19">
        <v>0.0</v>
      </c>
      <c r="M249" s="19"/>
      <c r="N249" s="19">
        <v>0.0</v>
      </c>
      <c r="O249" s="19">
        <v>0.0</v>
      </c>
      <c r="P249" s="19">
        <v>0.0</v>
      </c>
      <c r="Q249" s="19">
        <v>1.0</v>
      </c>
      <c r="R249" s="19"/>
      <c r="S249" s="19">
        <v>0.0</v>
      </c>
      <c r="T249" s="19"/>
      <c r="U249" s="19"/>
      <c r="V249" s="19">
        <v>0.0</v>
      </c>
      <c r="W249" s="19">
        <v>0.0</v>
      </c>
      <c r="X249" s="19">
        <v>0.0</v>
      </c>
      <c r="Y249" s="19"/>
      <c r="Z249" s="19">
        <v>0.0</v>
      </c>
      <c r="AA249" s="19">
        <v>0.0</v>
      </c>
      <c r="AB249" s="13">
        <f t="shared" ref="AB249:AB255" si="48">SUM(E249:AA249)</f>
        <v>4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/>
      <c r="N250" s="19">
        <v>0.0</v>
      </c>
      <c r="O250" s="19">
        <v>0.0</v>
      </c>
      <c r="P250" s="19">
        <v>0.0</v>
      </c>
      <c r="Q250" s="19"/>
      <c r="R250" s="19"/>
      <c r="S250" s="19">
        <v>0.0</v>
      </c>
      <c r="T250" s="19"/>
      <c r="U250" s="19"/>
      <c r="V250" s="19">
        <v>0.0</v>
      </c>
      <c r="W250" s="19">
        <v>0.0</v>
      </c>
      <c r="X250" s="19">
        <v>0.0</v>
      </c>
      <c r="Y250" s="19">
        <v>1.0</v>
      </c>
      <c r="Z250" s="19">
        <v>0.0</v>
      </c>
      <c r="AA250" s="19">
        <v>0.0</v>
      </c>
      <c r="AB250" s="13">
        <f t="shared" si="48"/>
        <v>1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/>
      <c r="N251" s="19">
        <v>0.0</v>
      </c>
      <c r="O251" s="19">
        <v>0.0</v>
      </c>
      <c r="P251" s="19">
        <v>0.0</v>
      </c>
      <c r="Q251" s="19"/>
      <c r="R251" s="19"/>
      <c r="S251" s="19">
        <v>0.0</v>
      </c>
      <c r="T251" s="19"/>
      <c r="U251" s="19"/>
      <c r="V251" s="19">
        <v>0.0</v>
      </c>
      <c r="W251" s="19">
        <v>0.0</v>
      </c>
      <c r="X251" s="19">
        <v>0.0</v>
      </c>
      <c r="Y251" s="19"/>
      <c r="Z251" s="19">
        <v>0.0</v>
      </c>
      <c r="AA251" s="19">
        <v>0.0</v>
      </c>
      <c r="AB251" s="13">
        <f t="shared" si="48"/>
        <v>0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0.0</v>
      </c>
      <c r="H252" s="19">
        <v>2.0</v>
      </c>
      <c r="I252" s="19">
        <v>0.0</v>
      </c>
      <c r="J252" s="19">
        <v>0.0</v>
      </c>
      <c r="K252" s="19">
        <v>0.0</v>
      </c>
      <c r="L252" s="19">
        <v>0.0</v>
      </c>
      <c r="M252" s="19"/>
      <c r="N252" s="19">
        <v>0.0</v>
      </c>
      <c r="O252" s="19">
        <v>1.0</v>
      </c>
      <c r="P252" s="19">
        <v>0.0</v>
      </c>
      <c r="Q252" s="19"/>
      <c r="R252" s="19"/>
      <c r="S252" s="19">
        <v>0.0</v>
      </c>
      <c r="T252" s="19"/>
      <c r="U252" s="19"/>
      <c r="V252" s="19">
        <v>0.0</v>
      </c>
      <c r="W252" s="19">
        <v>0.0</v>
      </c>
      <c r="X252" s="19">
        <v>0.0</v>
      </c>
      <c r="Y252" s="19"/>
      <c r="Z252" s="19">
        <v>0.0</v>
      </c>
      <c r="AA252" s="19">
        <v>0.0</v>
      </c>
      <c r="AB252" s="13">
        <f t="shared" si="48"/>
        <v>3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/>
      <c r="N253" s="19">
        <v>0.0</v>
      </c>
      <c r="O253" s="19">
        <v>0.0</v>
      </c>
      <c r="P253" s="19">
        <v>0.0</v>
      </c>
      <c r="Q253" s="19"/>
      <c r="R253" s="19"/>
      <c r="S253" s="19">
        <v>0.0</v>
      </c>
      <c r="T253" s="19"/>
      <c r="U253" s="19"/>
      <c r="V253" s="19">
        <v>0.0</v>
      </c>
      <c r="W253" s="19">
        <v>1.0</v>
      </c>
      <c r="X253" s="19">
        <v>0.0</v>
      </c>
      <c r="Y253" s="19"/>
      <c r="Z253" s="19">
        <v>0.0</v>
      </c>
      <c r="AA253" s="19">
        <v>0.0</v>
      </c>
      <c r="AB253" s="13">
        <f t="shared" si="48"/>
        <v>1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/>
      <c r="N254" s="19">
        <v>0.0</v>
      </c>
      <c r="O254" s="19">
        <v>0.0</v>
      </c>
      <c r="P254" s="19">
        <v>0.0</v>
      </c>
      <c r="Q254" s="19"/>
      <c r="R254" s="19"/>
      <c r="S254" s="19">
        <v>0.0</v>
      </c>
      <c r="T254" s="19"/>
      <c r="U254" s="19"/>
      <c r="V254" s="19">
        <v>0.0</v>
      </c>
      <c r="W254" s="19">
        <v>1.0</v>
      </c>
      <c r="X254" s="19">
        <v>0.0</v>
      </c>
      <c r="Y254" s="19"/>
      <c r="Z254" s="19">
        <v>0.0</v>
      </c>
      <c r="AA254" s="19">
        <v>0.0</v>
      </c>
      <c r="AB254" s="13">
        <f t="shared" si="48"/>
        <v>2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/>
      <c r="N255" s="19">
        <v>0.0</v>
      </c>
      <c r="O255" s="19">
        <v>0.0</v>
      </c>
      <c r="P255" s="19">
        <v>0.0</v>
      </c>
      <c r="Q255" s="19"/>
      <c r="R255" s="19"/>
      <c r="S255" s="19">
        <v>0.0</v>
      </c>
      <c r="T255" s="19"/>
      <c r="U255" s="19"/>
      <c r="V255" s="19">
        <v>0.0</v>
      </c>
      <c r="W255" s="19">
        <v>0.0</v>
      </c>
      <c r="X255" s="19">
        <v>0.0</v>
      </c>
      <c r="Y255" s="19"/>
      <c r="Z255" s="19">
        <v>0.0</v>
      </c>
      <c r="AA255" s="19">
        <v>0.0</v>
      </c>
      <c r="AB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AA259" si="49">SUM(E249:E255)</f>
        <v>2</v>
      </c>
      <c r="F259" s="13">
        <f t="shared" si="49"/>
        <v>0</v>
      </c>
      <c r="G259" s="13">
        <f t="shared" si="49"/>
        <v>0</v>
      </c>
      <c r="H259" s="13">
        <f t="shared" si="49"/>
        <v>3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2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>SUM(E259:AA259)</f>
        <v>11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AA262" si="50">E55+E67+E79+E91+E103+E115+E127+E139+E151+E163+E175+E187+E199+E211+E223+E235+E247+E259</f>
        <v>138</v>
      </c>
      <c r="F262" s="19">
        <f t="shared" si="50"/>
        <v>171</v>
      </c>
      <c r="G262" s="19">
        <f t="shared" si="50"/>
        <v>181</v>
      </c>
      <c r="H262" s="19">
        <f t="shared" si="50"/>
        <v>174</v>
      </c>
      <c r="I262" s="19">
        <f t="shared" si="50"/>
        <v>183</v>
      </c>
      <c r="J262" s="19">
        <f t="shared" si="50"/>
        <v>177</v>
      </c>
      <c r="K262" s="19">
        <f t="shared" si="50"/>
        <v>188</v>
      </c>
      <c r="L262" s="19">
        <f t="shared" si="50"/>
        <v>176</v>
      </c>
      <c r="M262" s="19">
        <f t="shared" si="50"/>
        <v>169</v>
      </c>
      <c r="N262" s="19">
        <f t="shared" si="50"/>
        <v>208</v>
      </c>
      <c r="O262" s="19">
        <f t="shared" si="50"/>
        <v>164</v>
      </c>
      <c r="P262" s="19">
        <f t="shared" si="50"/>
        <v>143</v>
      </c>
      <c r="Q262" s="19">
        <f t="shared" si="50"/>
        <v>156</v>
      </c>
      <c r="R262" s="19">
        <f t="shared" si="50"/>
        <v>181</v>
      </c>
      <c r="S262" s="19">
        <f t="shared" si="50"/>
        <v>144</v>
      </c>
      <c r="T262" s="19">
        <f t="shared" si="50"/>
        <v>180</v>
      </c>
      <c r="U262" s="19">
        <f t="shared" si="50"/>
        <v>177</v>
      </c>
      <c r="V262" s="19">
        <f t="shared" si="50"/>
        <v>198</v>
      </c>
      <c r="W262" s="19">
        <f t="shared" si="50"/>
        <v>206</v>
      </c>
      <c r="X262" s="19">
        <f t="shared" si="50"/>
        <v>206</v>
      </c>
      <c r="Y262" s="19">
        <f t="shared" si="50"/>
        <v>201</v>
      </c>
      <c r="Z262" s="19">
        <f t="shared" si="50"/>
        <v>205</v>
      </c>
      <c r="AA262" s="19">
        <f t="shared" si="50"/>
        <v>204</v>
      </c>
      <c r="AB262" s="13">
        <f t="shared" ref="AB262:AB264" si="51">SUM(E262:AA262)</f>
        <v>4130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53.0</v>
      </c>
      <c r="F263" s="19">
        <v>23.0</v>
      </c>
      <c r="G263" s="19">
        <v>17.0</v>
      </c>
      <c r="H263" s="19">
        <v>40.0</v>
      </c>
      <c r="I263" s="19">
        <v>32.0</v>
      </c>
      <c r="J263" s="19">
        <v>22.0</v>
      </c>
      <c r="K263" s="19">
        <v>17.0</v>
      </c>
      <c r="L263" s="19">
        <v>40.0</v>
      </c>
      <c r="M263" s="19">
        <v>33.0</v>
      </c>
      <c r="N263" s="19">
        <v>21.0</v>
      </c>
      <c r="O263" s="19">
        <v>35.0</v>
      </c>
      <c r="P263" s="19">
        <v>19.0</v>
      </c>
      <c r="Q263" s="19">
        <v>29.0</v>
      </c>
      <c r="R263" s="19">
        <v>19.0</v>
      </c>
      <c r="S263" s="19">
        <v>5.0</v>
      </c>
      <c r="T263" s="19">
        <v>23.0</v>
      </c>
      <c r="U263" s="19">
        <v>34.0</v>
      </c>
      <c r="V263" s="19">
        <v>22.0</v>
      </c>
      <c r="W263" s="19">
        <v>18.0</v>
      </c>
      <c r="X263" s="19">
        <v>22.0</v>
      </c>
      <c r="Y263" s="19">
        <v>37.0</v>
      </c>
      <c r="Z263" s="19">
        <v>24.0</v>
      </c>
      <c r="AA263" s="19">
        <v>13.0</v>
      </c>
      <c r="AB263" s="13">
        <f t="shared" si="51"/>
        <v>598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AA264" si="52">SUM(E262:E263)</f>
        <v>191</v>
      </c>
      <c r="F264" s="13">
        <f t="shared" si="52"/>
        <v>194</v>
      </c>
      <c r="G264" s="13">
        <f t="shared" si="52"/>
        <v>198</v>
      </c>
      <c r="H264" s="13">
        <f t="shared" si="52"/>
        <v>214</v>
      </c>
      <c r="I264" s="13">
        <f t="shared" si="52"/>
        <v>215</v>
      </c>
      <c r="J264" s="13">
        <f t="shared" si="52"/>
        <v>199</v>
      </c>
      <c r="K264" s="13">
        <f t="shared" si="52"/>
        <v>205</v>
      </c>
      <c r="L264" s="13">
        <f t="shared" si="52"/>
        <v>216</v>
      </c>
      <c r="M264" s="13">
        <f t="shared" si="52"/>
        <v>202</v>
      </c>
      <c r="N264" s="13">
        <f t="shared" si="52"/>
        <v>229</v>
      </c>
      <c r="O264" s="13">
        <f t="shared" si="52"/>
        <v>199</v>
      </c>
      <c r="P264" s="13">
        <f t="shared" si="52"/>
        <v>162</v>
      </c>
      <c r="Q264" s="13">
        <f t="shared" si="52"/>
        <v>185</v>
      </c>
      <c r="R264" s="13">
        <f t="shared" si="52"/>
        <v>200</v>
      </c>
      <c r="S264" s="13">
        <f t="shared" si="52"/>
        <v>149</v>
      </c>
      <c r="T264" s="13">
        <f t="shared" si="52"/>
        <v>203</v>
      </c>
      <c r="U264" s="13">
        <f t="shared" si="52"/>
        <v>211</v>
      </c>
      <c r="V264" s="13">
        <f t="shared" si="52"/>
        <v>220</v>
      </c>
      <c r="W264" s="13">
        <f t="shared" si="52"/>
        <v>224</v>
      </c>
      <c r="X264" s="13">
        <f t="shared" si="52"/>
        <v>228</v>
      </c>
      <c r="Y264" s="13">
        <f t="shared" si="52"/>
        <v>238</v>
      </c>
      <c r="Z264" s="13">
        <f t="shared" si="52"/>
        <v>229</v>
      </c>
      <c r="AA264" s="13">
        <f t="shared" si="52"/>
        <v>217</v>
      </c>
      <c r="AB264" s="13">
        <f t="shared" si="51"/>
        <v>4728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A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141.0</v>
      </c>
      <c r="F14" s="19">
        <v>142.0</v>
      </c>
      <c r="G14" s="19">
        <v>143.0</v>
      </c>
      <c r="H14" s="19">
        <v>153.0</v>
      </c>
      <c r="I14" s="19">
        <v>149.0</v>
      </c>
      <c r="J14" s="19">
        <v>150.0</v>
      </c>
      <c r="K14" s="19">
        <v>144.0</v>
      </c>
      <c r="L14" s="19">
        <v>146.0</v>
      </c>
      <c r="M14" s="19">
        <v>145.0</v>
      </c>
      <c r="N14" s="19">
        <v>141.0</v>
      </c>
      <c r="O14" s="19">
        <v>79.0</v>
      </c>
      <c r="P14" s="19">
        <v>83.0</v>
      </c>
      <c r="Q14" s="19">
        <v>82.0</v>
      </c>
      <c r="R14" s="19">
        <v>83.0</v>
      </c>
      <c r="S14" s="19">
        <v>141.0</v>
      </c>
      <c r="T14" s="19">
        <v>129.0</v>
      </c>
      <c r="U14" s="19">
        <v>154.0</v>
      </c>
      <c r="V14" s="19">
        <v>101.0</v>
      </c>
      <c r="W14" s="19">
        <v>141.0</v>
      </c>
      <c r="X14" s="13">
        <f t="shared" ref="X14:X16" si="1">SUM(E14:W14)</f>
        <v>2447</v>
      </c>
    </row>
    <row r="15" ht="12.75" customHeight="1">
      <c r="A15" s="18"/>
      <c r="B15" s="26"/>
      <c r="C15" s="27"/>
      <c r="D15" s="19" t="s">
        <v>12</v>
      </c>
      <c r="E15" s="19">
        <v>141.0</v>
      </c>
      <c r="F15" s="19">
        <v>154.0</v>
      </c>
      <c r="G15" s="19">
        <v>147.0</v>
      </c>
      <c r="H15" s="19">
        <v>140.0</v>
      </c>
      <c r="I15" s="19">
        <v>142.0</v>
      </c>
      <c r="J15" s="19">
        <v>145.0</v>
      </c>
      <c r="K15" s="19">
        <v>148.0</v>
      </c>
      <c r="L15" s="19">
        <v>150.0</v>
      </c>
      <c r="M15" s="19">
        <v>149.0</v>
      </c>
      <c r="N15" s="19">
        <v>127.0</v>
      </c>
      <c r="O15" s="19">
        <v>84.0</v>
      </c>
      <c r="P15" s="19">
        <v>90.0</v>
      </c>
      <c r="Q15" s="19">
        <v>87.0</v>
      </c>
      <c r="R15" s="19">
        <v>89.0</v>
      </c>
      <c r="S15" s="19">
        <v>151.0</v>
      </c>
      <c r="T15" s="19">
        <v>157.0</v>
      </c>
      <c r="U15" s="19">
        <v>145.0</v>
      </c>
      <c r="V15" s="19">
        <v>112.0</v>
      </c>
      <c r="W15" s="19">
        <v>155.0</v>
      </c>
      <c r="X15" s="13">
        <f t="shared" si="1"/>
        <v>2513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282</v>
      </c>
      <c r="F16" s="13">
        <f t="shared" si="2"/>
        <v>296</v>
      </c>
      <c r="G16" s="13">
        <f t="shared" si="2"/>
        <v>290</v>
      </c>
      <c r="H16" s="13">
        <f t="shared" si="2"/>
        <v>293</v>
      </c>
      <c r="I16" s="13">
        <f t="shared" si="2"/>
        <v>291</v>
      </c>
      <c r="J16" s="13">
        <f t="shared" si="2"/>
        <v>295</v>
      </c>
      <c r="K16" s="13">
        <f t="shared" si="2"/>
        <v>292</v>
      </c>
      <c r="L16" s="13">
        <f t="shared" si="2"/>
        <v>296</v>
      </c>
      <c r="M16" s="13">
        <f t="shared" si="2"/>
        <v>294</v>
      </c>
      <c r="N16" s="13">
        <f t="shared" si="2"/>
        <v>268</v>
      </c>
      <c r="O16" s="13">
        <f t="shared" si="2"/>
        <v>163</v>
      </c>
      <c r="P16" s="13">
        <f t="shared" si="2"/>
        <v>173</v>
      </c>
      <c r="Q16" s="13">
        <f t="shared" si="2"/>
        <v>169</v>
      </c>
      <c r="R16" s="13">
        <f t="shared" si="2"/>
        <v>172</v>
      </c>
      <c r="S16" s="13">
        <f t="shared" si="2"/>
        <v>292</v>
      </c>
      <c r="T16" s="13">
        <f t="shared" si="2"/>
        <v>286</v>
      </c>
      <c r="U16" s="13">
        <f t="shared" si="2"/>
        <v>299</v>
      </c>
      <c r="V16" s="13">
        <f t="shared" si="2"/>
        <v>213</v>
      </c>
      <c r="W16" s="13">
        <f t="shared" si="2"/>
        <v>296</v>
      </c>
      <c r="X16" s="13">
        <f t="shared" si="1"/>
        <v>4960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104.0</v>
      </c>
      <c r="F19" s="19">
        <v>109.0</v>
      </c>
      <c r="G19" s="19">
        <v>106.0</v>
      </c>
      <c r="H19" s="19">
        <v>110.0</v>
      </c>
      <c r="I19" s="19">
        <v>113.0</v>
      </c>
      <c r="J19" s="19">
        <v>117.0</v>
      </c>
      <c r="K19" s="19">
        <v>95.0</v>
      </c>
      <c r="L19" s="19">
        <v>120.0</v>
      </c>
      <c r="M19" s="19">
        <v>117.0</v>
      </c>
      <c r="N19" s="19">
        <v>102.0</v>
      </c>
      <c r="O19" s="19">
        <v>63.0</v>
      </c>
      <c r="P19" s="19">
        <v>64.0</v>
      </c>
      <c r="Q19" s="19">
        <v>69.0</v>
      </c>
      <c r="R19" s="19">
        <v>70.0</v>
      </c>
      <c r="S19" s="19">
        <v>123.0</v>
      </c>
      <c r="T19" s="19">
        <v>98.0</v>
      </c>
      <c r="U19" s="19">
        <v>119.0</v>
      </c>
      <c r="V19" s="19">
        <v>78.0</v>
      </c>
      <c r="W19" s="19">
        <v>83.0</v>
      </c>
      <c r="X19" s="13">
        <f t="shared" ref="X19:X30" si="3">SUM(E19:W19)</f>
        <v>1860</v>
      </c>
    </row>
    <row r="20" ht="12.75" customHeight="1">
      <c r="A20" s="33"/>
      <c r="B20" s="27"/>
      <c r="C20" s="34"/>
      <c r="D20" s="19" t="s">
        <v>12</v>
      </c>
      <c r="E20" s="19">
        <v>115.0</v>
      </c>
      <c r="F20" s="19">
        <v>123.0</v>
      </c>
      <c r="G20" s="19">
        <v>123.0</v>
      </c>
      <c r="H20" s="19">
        <v>116.0</v>
      </c>
      <c r="I20" s="19">
        <v>120.0</v>
      </c>
      <c r="J20" s="19">
        <v>112.0</v>
      </c>
      <c r="K20" s="19">
        <v>110.0</v>
      </c>
      <c r="L20" s="19">
        <v>122.0</v>
      </c>
      <c r="M20" s="19">
        <v>116.0</v>
      </c>
      <c r="N20" s="19">
        <v>101.0</v>
      </c>
      <c r="O20" s="19">
        <v>72.0</v>
      </c>
      <c r="P20" s="19">
        <v>79.0</v>
      </c>
      <c r="Q20" s="19">
        <v>73.0</v>
      </c>
      <c r="R20" s="19">
        <v>80.0</v>
      </c>
      <c r="S20" s="19">
        <v>136.0</v>
      </c>
      <c r="T20" s="19">
        <v>128.0</v>
      </c>
      <c r="U20" s="19">
        <v>108.0</v>
      </c>
      <c r="V20" s="19">
        <v>89.0</v>
      </c>
      <c r="W20" s="19">
        <v>104.0</v>
      </c>
      <c r="X20" s="13">
        <f t="shared" si="3"/>
        <v>2027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219</v>
      </c>
      <c r="F21" s="13">
        <f t="shared" si="4"/>
        <v>232</v>
      </c>
      <c r="G21" s="13">
        <f t="shared" si="4"/>
        <v>229</v>
      </c>
      <c r="H21" s="13">
        <f t="shared" si="4"/>
        <v>226</v>
      </c>
      <c r="I21" s="13">
        <f t="shared" si="4"/>
        <v>233</v>
      </c>
      <c r="J21" s="13">
        <f t="shared" si="4"/>
        <v>229</v>
      </c>
      <c r="K21" s="13">
        <f t="shared" si="4"/>
        <v>205</v>
      </c>
      <c r="L21" s="13">
        <f t="shared" si="4"/>
        <v>242</v>
      </c>
      <c r="M21" s="13">
        <f t="shared" si="4"/>
        <v>233</v>
      </c>
      <c r="N21" s="13">
        <f t="shared" si="4"/>
        <v>203</v>
      </c>
      <c r="O21" s="13">
        <f t="shared" si="4"/>
        <v>135</v>
      </c>
      <c r="P21" s="13">
        <f t="shared" si="4"/>
        <v>143</v>
      </c>
      <c r="Q21" s="13">
        <f t="shared" si="4"/>
        <v>142</v>
      </c>
      <c r="R21" s="13">
        <f t="shared" si="4"/>
        <v>150</v>
      </c>
      <c r="S21" s="13">
        <f t="shared" si="4"/>
        <v>259</v>
      </c>
      <c r="T21" s="13">
        <f t="shared" si="4"/>
        <v>226</v>
      </c>
      <c r="U21" s="13">
        <f t="shared" si="4"/>
        <v>227</v>
      </c>
      <c r="V21" s="13">
        <f t="shared" si="4"/>
        <v>167</v>
      </c>
      <c r="W21" s="13">
        <f t="shared" si="4"/>
        <v>187</v>
      </c>
      <c r="X21" s="13">
        <f t="shared" si="3"/>
        <v>3887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0.0</v>
      </c>
      <c r="G25" s="19">
        <v>0.0</v>
      </c>
      <c r="H25" s="19">
        <v>3.0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2.0</v>
      </c>
      <c r="V25" s="19">
        <v>0.0</v>
      </c>
      <c r="W25" s="19">
        <v>0.0</v>
      </c>
      <c r="X25" s="13">
        <f t="shared" si="3"/>
        <v>11</v>
      </c>
    </row>
    <row r="26" ht="12.75" customHeight="1">
      <c r="A26" s="33"/>
      <c r="B26" s="27"/>
      <c r="C26" s="34"/>
      <c r="D26" s="19" t="s">
        <v>12</v>
      </c>
      <c r="E26" s="19">
        <v>3.0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5.0</v>
      </c>
      <c r="T26" s="19">
        <v>0.0</v>
      </c>
      <c r="U26" s="19">
        <v>0.0</v>
      </c>
      <c r="V26" s="19">
        <v>0.0</v>
      </c>
      <c r="W26" s="19">
        <v>0.0</v>
      </c>
      <c r="X26" s="13">
        <f t="shared" si="3"/>
        <v>10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5</v>
      </c>
      <c r="F27" s="13">
        <f t="shared" si="6"/>
        <v>0</v>
      </c>
      <c r="G27" s="13">
        <f t="shared" si="6"/>
        <v>0</v>
      </c>
      <c r="H27" s="13">
        <f t="shared" si="6"/>
        <v>4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7</v>
      </c>
      <c r="T27" s="13">
        <f t="shared" si="6"/>
        <v>0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3"/>
        <v>21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106</v>
      </c>
      <c r="F28" s="13">
        <f t="shared" si="7"/>
        <v>109</v>
      </c>
      <c r="G28" s="13">
        <f t="shared" si="7"/>
        <v>106</v>
      </c>
      <c r="H28" s="13">
        <f t="shared" si="7"/>
        <v>113</v>
      </c>
      <c r="I28" s="13">
        <f t="shared" si="7"/>
        <v>114</v>
      </c>
      <c r="J28" s="13">
        <f t="shared" si="7"/>
        <v>117</v>
      </c>
      <c r="K28" s="13">
        <f t="shared" si="7"/>
        <v>95</v>
      </c>
      <c r="L28" s="13">
        <f t="shared" si="7"/>
        <v>120</v>
      </c>
      <c r="M28" s="13">
        <f t="shared" si="7"/>
        <v>117</v>
      </c>
      <c r="N28" s="13">
        <f t="shared" si="7"/>
        <v>102</v>
      </c>
      <c r="O28" s="13">
        <f t="shared" si="7"/>
        <v>64</v>
      </c>
      <c r="P28" s="13">
        <f t="shared" si="7"/>
        <v>64</v>
      </c>
      <c r="Q28" s="13">
        <f t="shared" si="7"/>
        <v>69</v>
      </c>
      <c r="R28" s="13">
        <f t="shared" si="7"/>
        <v>70</v>
      </c>
      <c r="S28" s="13">
        <f t="shared" si="7"/>
        <v>125</v>
      </c>
      <c r="T28" s="13">
        <f t="shared" si="7"/>
        <v>98</v>
      </c>
      <c r="U28" s="13">
        <f t="shared" si="7"/>
        <v>122</v>
      </c>
      <c r="V28" s="13">
        <f t="shared" si="7"/>
        <v>78</v>
      </c>
      <c r="W28" s="13">
        <f t="shared" si="7"/>
        <v>83</v>
      </c>
      <c r="X28" s="13">
        <f t="shared" si="3"/>
        <v>1872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118</v>
      </c>
      <c r="F29" s="13">
        <f t="shared" si="8"/>
        <v>123</v>
      </c>
      <c r="G29" s="13">
        <f t="shared" si="8"/>
        <v>123</v>
      </c>
      <c r="H29" s="13">
        <f t="shared" si="8"/>
        <v>117</v>
      </c>
      <c r="I29" s="13">
        <f t="shared" si="8"/>
        <v>120</v>
      </c>
      <c r="J29" s="13">
        <f t="shared" si="8"/>
        <v>112</v>
      </c>
      <c r="K29" s="13">
        <f t="shared" si="8"/>
        <v>110</v>
      </c>
      <c r="L29" s="13">
        <f t="shared" si="8"/>
        <v>122</v>
      </c>
      <c r="M29" s="13">
        <f t="shared" si="8"/>
        <v>116</v>
      </c>
      <c r="N29" s="13">
        <f t="shared" si="8"/>
        <v>101</v>
      </c>
      <c r="O29" s="13">
        <f t="shared" si="8"/>
        <v>72</v>
      </c>
      <c r="P29" s="13">
        <f t="shared" si="8"/>
        <v>79</v>
      </c>
      <c r="Q29" s="13">
        <f t="shared" si="8"/>
        <v>74</v>
      </c>
      <c r="R29" s="13">
        <f t="shared" si="8"/>
        <v>80</v>
      </c>
      <c r="S29" s="13">
        <f t="shared" si="8"/>
        <v>141</v>
      </c>
      <c r="T29" s="13">
        <f t="shared" si="8"/>
        <v>128</v>
      </c>
      <c r="U29" s="13">
        <f t="shared" si="8"/>
        <v>109</v>
      </c>
      <c r="V29" s="13">
        <f t="shared" si="8"/>
        <v>89</v>
      </c>
      <c r="W29" s="13">
        <f t="shared" si="8"/>
        <v>104</v>
      </c>
      <c r="X29" s="13">
        <f t="shared" si="3"/>
        <v>2038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224</v>
      </c>
      <c r="F30" s="13">
        <f t="shared" si="9"/>
        <v>232</v>
      </c>
      <c r="G30" s="13">
        <f t="shared" si="9"/>
        <v>229</v>
      </c>
      <c r="H30" s="13">
        <f t="shared" si="9"/>
        <v>230</v>
      </c>
      <c r="I30" s="13">
        <f t="shared" si="9"/>
        <v>234</v>
      </c>
      <c r="J30" s="13">
        <f t="shared" si="9"/>
        <v>229</v>
      </c>
      <c r="K30" s="13">
        <f t="shared" si="9"/>
        <v>205</v>
      </c>
      <c r="L30" s="13">
        <f t="shared" si="9"/>
        <v>242</v>
      </c>
      <c r="M30" s="13">
        <f t="shared" si="9"/>
        <v>233</v>
      </c>
      <c r="N30" s="13">
        <f t="shared" si="9"/>
        <v>203</v>
      </c>
      <c r="O30" s="13">
        <f t="shared" si="9"/>
        <v>136</v>
      </c>
      <c r="P30" s="13">
        <f t="shared" si="9"/>
        <v>143</v>
      </c>
      <c r="Q30" s="13">
        <f t="shared" si="9"/>
        <v>143</v>
      </c>
      <c r="R30" s="13">
        <f t="shared" si="9"/>
        <v>150</v>
      </c>
      <c r="S30" s="13">
        <f t="shared" si="9"/>
        <v>266</v>
      </c>
      <c r="T30" s="13">
        <f t="shared" si="9"/>
        <v>226</v>
      </c>
      <c r="U30" s="13">
        <f t="shared" si="9"/>
        <v>231</v>
      </c>
      <c r="V30" s="13">
        <f t="shared" si="9"/>
        <v>167</v>
      </c>
      <c r="W30" s="13">
        <f t="shared" si="9"/>
        <v>187</v>
      </c>
      <c r="X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8"/>
    </row>
    <row r="33" ht="12.75" customHeight="1">
      <c r="A33" s="19">
        <v>1.0</v>
      </c>
      <c r="B33" s="20" t="s">
        <v>26</v>
      </c>
      <c r="C33" s="15"/>
      <c r="D33" s="16"/>
      <c r="E33" s="19">
        <v>288.0</v>
      </c>
      <c r="F33" s="19">
        <v>302.0</v>
      </c>
      <c r="G33" s="19">
        <v>286.0</v>
      </c>
      <c r="H33" s="19">
        <v>300.0</v>
      </c>
      <c r="I33" s="19">
        <v>286.0</v>
      </c>
      <c r="J33" s="19">
        <v>301.0</v>
      </c>
      <c r="K33" s="19">
        <v>288.0</v>
      </c>
      <c r="L33" s="19">
        <v>322.0</v>
      </c>
      <c r="M33" s="19">
        <v>270.0</v>
      </c>
      <c r="N33" s="19">
        <v>273.0</v>
      </c>
      <c r="O33" s="19">
        <v>161.0</v>
      </c>
      <c r="P33" s="19">
        <v>177.0</v>
      </c>
      <c r="Q33" s="19">
        <v>173.0</v>
      </c>
      <c r="R33" s="19">
        <v>176.0</v>
      </c>
      <c r="S33" s="19">
        <v>298.0</v>
      </c>
      <c r="T33" s="19">
        <v>285.0</v>
      </c>
      <c r="U33" s="19">
        <v>305.0</v>
      </c>
      <c r="V33" s="19">
        <v>218.0</v>
      </c>
      <c r="W33" s="19">
        <v>304.0</v>
      </c>
      <c r="X33" s="13">
        <f t="shared" ref="X33:X36" si="10">SUM(E33:W33)</f>
        <v>5013</v>
      </c>
    </row>
    <row r="34" ht="12.75" customHeight="1">
      <c r="A34" s="19">
        <v>2.0</v>
      </c>
      <c r="B34" s="20" t="s">
        <v>27</v>
      </c>
      <c r="C34" s="15"/>
      <c r="D34" s="16"/>
      <c r="E34" s="13">
        <v>224.0</v>
      </c>
      <c r="F34" s="13">
        <v>232.0</v>
      </c>
      <c r="G34" s="13">
        <v>229.0</v>
      </c>
      <c r="H34" s="13">
        <v>230.0</v>
      </c>
      <c r="I34" s="13">
        <v>234.0</v>
      </c>
      <c r="J34" s="13">
        <v>229.0</v>
      </c>
      <c r="K34" s="13">
        <v>205.0</v>
      </c>
      <c r="L34" s="13">
        <v>242.0</v>
      </c>
      <c r="M34" s="13">
        <v>233.0</v>
      </c>
      <c r="N34" s="13">
        <v>203.0</v>
      </c>
      <c r="O34" s="13">
        <v>136.0</v>
      </c>
      <c r="P34" s="13">
        <v>143.0</v>
      </c>
      <c r="Q34" s="13">
        <v>143.0</v>
      </c>
      <c r="R34" s="13">
        <v>150.0</v>
      </c>
      <c r="S34" s="13">
        <v>266.0</v>
      </c>
      <c r="T34" s="13">
        <v>226.0</v>
      </c>
      <c r="U34" s="13">
        <v>231.0</v>
      </c>
      <c r="V34" s="13">
        <v>167.0</v>
      </c>
      <c r="W34" s="13">
        <v>187.0</v>
      </c>
      <c r="X34" s="13">
        <f t="shared" si="10"/>
        <v>3910</v>
      </c>
    </row>
    <row r="35" ht="12.75" customHeight="1">
      <c r="A35" s="19">
        <v>3.0</v>
      </c>
      <c r="B35" s="20" t="s">
        <v>28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2.0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6.0</v>
      </c>
      <c r="X35" s="13">
        <f t="shared" si="10"/>
        <v>11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63</v>
      </c>
      <c r="F36" s="13">
        <f t="shared" si="11"/>
        <v>70</v>
      </c>
      <c r="G36" s="13">
        <f t="shared" si="11"/>
        <v>57</v>
      </c>
      <c r="H36" s="13">
        <f t="shared" si="11"/>
        <v>70</v>
      </c>
      <c r="I36" s="13">
        <f t="shared" si="11"/>
        <v>50</v>
      </c>
      <c r="J36" s="13">
        <f t="shared" si="11"/>
        <v>72</v>
      </c>
      <c r="K36" s="13">
        <f t="shared" si="11"/>
        <v>83</v>
      </c>
      <c r="L36" s="13">
        <f t="shared" si="11"/>
        <v>80</v>
      </c>
      <c r="M36" s="13">
        <f t="shared" si="11"/>
        <v>37</v>
      </c>
      <c r="N36" s="13">
        <f t="shared" si="11"/>
        <v>70</v>
      </c>
      <c r="O36" s="13">
        <f t="shared" si="11"/>
        <v>25</v>
      </c>
      <c r="P36" s="13">
        <f t="shared" si="11"/>
        <v>32</v>
      </c>
      <c r="Q36" s="13">
        <f t="shared" si="11"/>
        <v>30</v>
      </c>
      <c r="R36" s="13">
        <f t="shared" si="11"/>
        <v>26</v>
      </c>
      <c r="S36" s="13">
        <f t="shared" si="11"/>
        <v>32</v>
      </c>
      <c r="T36" s="13">
        <f t="shared" si="11"/>
        <v>59</v>
      </c>
      <c r="U36" s="13">
        <f t="shared" si="11"/>
        <v>74</v>
      </c>
      <c r="V36" s="13">
        <f t="shared" si="11"/>
        <v>51</v>
      </c>
      <c r="W36" s="13">
        <f t="shared" si="11"/>
        <v>111</v>
      </c>
      <c r="X36" s="13">
        <f t="shared" si="10"/>
        <v>1092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0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14.0</v>
      </c>
      <c r="F45" s="19">
        <v>4.0</v>
      </c>
      <c r="G45" s="19">
        <v>5.0</v>
      </c>
      <c r="H45" s="19">
        <v>6.0</v>
      </c>
      <c r="I45" s="19">
        <v>9.0</v>
      </c>
      <c r="J45" s="19">
        <v>8.0</v>
      </c>
      <c r="K45" s="19">
        <v>7.0</v>
      </c>
      <c r="L45" s="19">
        <v>10.0</v>
      </c>
      <c r="M45" s="19">
        <v>18.0</v>
      </c>
      <c r="N45" s="19">
        <v>16.0</v>
      </c>
      <c r="O45" s="19">
        <v>6.0</v>
      </c>
      <c r="P45" s="19">
        <v>0.0</v>
      </c>
      <c r="Q45" s="19">
        <v>4.0</v>
      </c>
      <c r="R45" s="19">
        <v>2.0</v>
      </c>
      <c r="S45" s="19">
        <v>10.0</v>
      </c>
      <c r="T45" s="19">
        <v>16.0</v>
      </c>
      <c r="U45" s="19">
        <v>8.0</v>
      </c>
      <c r="V45" s="19">
        <v>5.0</v>
      </c>
      <c r="W45" s="19">
        <v>9.0</v>
      </c>
      <c r="X45" s="13">
        <f t="shared" ref="X45:X52" si="14">SUM(E45:W45)</f>
        <v>157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51.0</v>
      </c>
      <c r="F46" s="19">
        <v>26.0</v>
      </c>
      <c r="G46" s="19">
        <v>17.0</v>
      </c>
      <c r="H46" s="19">
        <v>26.0</v>
      </c>
      <c r="I46" s="19">
        <v>28.0</v>
      </c>
      <c r="J46" s="19">
        <v>23.0</v>
      </c>
      <c r="K46" s="19">
        <v>13.0</v>
      </c>
      <c r="L46" s="19">
        <v>41.0</v>
      </c>
      <c r="M46" s="19">
        <v>36.0</v>
      </c>
      <c r="N46" s="19">
        <v>27.0</v>
      </c>
      <c r="O46" s="19">
        <v>17.0</v>
      </c>
      <c r="P46" s="19">
        <v>14.0</v>
      </c>
      <c r="Q46" s="19">
        <v>9.0</v>
      </c>
      <c r="R46" s="19">
        <v>5.0</v>
      </c>
      <c r="S46" s="19">
        <v>20.0</v>
      </c>
      <c r="T46" s="19">
        <v>23.0</v>
      </c>
      <c r="U46" s="19">
        <v>10.0</v>
      </c>
      <c r="V46" s="19">
        <v>5.0</v>
      </c>
      <c r="W46" s="19">
        <v>8.0</v>
      </c>
      <c r="X46" s="13">
        <f t="shared" si="14"/>
        <v>399</v>
      </c>
    </row>
    <row r="47" ht="12.75" customHeight="1">
      <c r="A47" s="18"/>
      <c r="B47" s="55">
        <v>2.0</v>
      </c>
      <c r="C47" s="50" t="s">
        <v>40</v>
      </c>
      <c r="D47" s="16"/>
      <c r="E47" s="19">
        <v>2.0</v>
      </c>
      <c r="F47" s="19">
        <v>4.0</v>
      </c>
      <c r="G47" s="19">
        <v>4.0</v>
      </c>
      <c r="H47" s="19">
        <v>7.0</v>
      </c>
      <c r="I47" s="19">
        <v>8.0</v>
      </c>
      <c r="J47" s="19">
        <v>2.0</v>
      </c>
      <c r="K47" s="19">
        <v>2.0</v>
      </c>
      <c r="L47" s="19">
        <v>6.0</v>
      </c>
      <c r="M47" s="19">
        <v>12.0</v>
      </c>
      <c r="N47" s="19">
        <v>1.0</v>
      </c>
      <c r="O47" s="19">
        <v>0.0</v>
      </c>
      <c r="P47" s="19">
        <v>0.0</v>
      </c>
      <c r="Q47" s="19">
        <v>2.0</v>
      </c>
      <c r="R47" s="19">
        <v>2.0</v>
      </c>
      <c r="S47" s="19">
        <v>2.0</v>
      </c>
      <c r="T47" s="19">
        <v>4.0</v>
      </c>
      <c r="U47" s="19">
        <v>0.0</v>
      </c>
      <c r="V47" s="19">
        <v>1.0</v>
      </c>
      <c r="W47" s="19">
        <v>3.0</v>
      </c>
      <c r="X47" s="13">
        <f t="shared" si="14"/>
        <v>62</v>
      </c>
    </row>
    <row r="48" ht="12.75" customHeight="1">
      <c r="A48" s="18"/>
      <c r="B48" s="55">
        <v>3.0</v>
      </c>
      <c r="C48" s="50" t="s">
        <v>41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1.0</v>
      </c>
      <c r="J48" s="19">
        <v>0.0</v>
      </c>
      <c r="K48" s="19">
        <v>1.0</v>
      </c>
      <c r="L48" s="19">
        <v>1.0</v>
      </c>
      <c r="M48" s="19">
        <v>0.0</v>
      </c>
      <c r="N48" s="19">
        <v>1.0</v>
      </c>
      <c r="O48" s="19">
        <v>1.0</v>
      </c>
      <c r="P48" s="19">
        <v>0.0</v>
      </c>
      <c r="Q48" s="19">
        <v>0.0</v>
      </c>
      <c r="R48" s="19">
        <v>0.0</v>
      </c>
      <c r="S48" s="19">
        <v>2.0</v>
      </c>
      <c r="T48" s="19">
        <v>3.0</v>
      </c>
      <c r="U48" s="19">
        <v>0.0</v>
      </c>
      <c r="V48" s="19">
        <v>1.0</v>
      </c>
      <c r="W48" s="19">
        <v>1.0</v>
      </c>
      <c r="X48" s="13">
        <f t="shared" si="14"/>
        <v>14</v>
      </c>
    </row>
    <row r="49" ht="12.75" customHeight="1">
      <c r="A49" s="18"/>
      <c r="B49" s="55">
        <v>4.0</v>
      </c>
      <c r="C49" s="50" t="s">
        <v>42</v>
      </c>
      <c r="D49" s="16"/>
      <c r="E49" s="19">
        <v>0.0</v>
      </c>
      <c r="F49" s="19">
        <v>3.0</v>
      </c>
      <c r="G49" s="19">
        <v>4.0</v>
      </c>
      <c r="H49" s="19">
        <v>2.0</v>
      </c>
      <c r="I49" s="19">
        <v>2.0</v>
      </c>
      <c r="J49" s="19">
        <v>1.0</v>
      </c>
      <c r="K49" s="19">
        <v>1.0</v>
      </c>
      <c r="L49" s="19">
        <v>1.0</v>
      </c>
      <c r="M49" s="19">
        <v>2.0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3.0</v>
      </c>
      <c r="T49" s="19">
        <v>2.0</v>
      </c>
      <c r="U49" s="19">
        <v>1.0</v>
      </c>
      <c r="V49" s="19">
        <v>0.0</v>
      </c>
      <c r="W49" s="19">
        <v>1.0</v>
      </c>
      <c r="X49" s="13">
        <f t="shared" si="14"/>
        <v>23</v>
      </c>
    </row>
    <row r="50" ht="12.75" customHeight="1">
      <c r="A50" s="18"/>
      <c r="B50" s="55">
        <v>5.0</v>
      </c>
      <c r="C50" s="50" t="s">
        <v>43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1.0</v>
      </c>
      <c r="J50" s="19">
        <v>1.0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3">
        <f t="shared" si="14"/>
        <v>7</v>
      </c>
    </row>
    <row r="51" ht="12.75" customHeight="1">
      <c r="A51" s="18"/>
      <c r="B51" s="55">
        <v>6.0</v>
      </c>
      <c r="C51" s="50" t="s">
        <v>44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1.0</v>
      </c>
      <c r="S51" s="19">
        <v>2.0</v>
      </c>
      <c r="T51" s="19">
        <v>3.0</v>
      </c>
      <c r="U51" s="19">
        <v>0.0</v>
      </c>
      <c r="V51" s="19">
        <v>1.0</v>
      </c>
      <c r="W51" s="19">
        <v>1.0</v>
      </c>
      <c r="X51" s="13">
        <f t="shared" si="14"/>
        <v>10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>
        <v>2.0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W55" si="15">SUM(E45:E52)</f>
        <v>70</v>
      </c>
      <c r="F55" s="13">
        <f t="shared" si="15"/>
        <v>39</v>
      </c>
      <c r="G55" s="13">
        <f t="shared" si="15"/>
        <v>32</v>
      </c>
      <c r="H55" s="13">
        <f t="shared" si="15"/>
        <v>42</v>
      </c>
      <c r="I55" s="13">
        <f t="shared" si="15"/>
        <v>49</v>
      </c>
      <c r="J55" s="13">
        <f t="shared" si="15"/>
        <v>35</v>
      </c>
      <c r="K55" s="13">
        <f t="shared" si="15"/>
        <v>25</v>
      </c>
      <c r="L55" s="13">
        <f t="shared" si="15"/>
        <v>59</v>
      </c>
      <c r="M55" s="13">
        <f t="shared" si="15"/>
        <v>68</v>
      </c>
      <c r="N55" s="13">
        <f t="shared" si="15"/>
        <v>46</v>
      </c>
      <c r="O55" s="13">
        <f t="shared" si="15"/>
        <v>24</v>
      </c>
      <c r="P55" s="13">
        <f t="shared" si="15"/>
        <v>15</v>
      </c>
      <c r="Q55" s="13">
        <f t="shared" si="15"/>
        <v>15</v>
      </c>
      <c r="R55" s="13">
        <f t="shared" si="15"/>
        <v>10</v>
      </c>
      <c r="S55" s="13">
        <f t="shared" si="15"/>
        <v>39</v>
      </c>
      <c r="T55" s="13">
        <f t="shared" si="15"/>
        <v>52</v>
      </c>
      <c r="U55" s="13">
        <f t="shared" si="15"/>
        <v>19</v>
      </c>
      <c r="V55" s="13">
        <f t="shared" si="15"/>
        <v>13</v>
      </c>
      <c r="W55" s="13">
        <f t="shared" si="15"/>
        <v>23</v>
      </c>
      <c r="X55" s="13">
        <f>SUM(E55:W55)</f>
        <v>675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6.0</v>
      </c>
      <c r="F57" s="19">
        <v>10.0</v>
      </c>
      <c r="G57" s="19">
        <v>12.0</v>
      </c>
      <c r="H57" s="19">
        <v>11.0</v>
      </c>
      <c r="I57" s="19">
        <v>8.0</v>
      </c>
      <c r="J57" s="19">
        <v>15.0</v>
      </c>
      <c r="K57" s="19">
        <v>14.0</v>
      </c>
      <c r="L57" s="19">
        <v>3.0</v>
      </c>
      <c r="M57" s="19">
        <v>15.0</v>
      </c>
      <c r="N57" s="19">
        <v>10.0</v>
      </c>
      <c r="O57" s="19">
        <v>2.0</v>
      </c>
      <c r="P57" s="19">
        <v>7.0</v>
      </c>
      <c r="Q57" s="19">
        <v>9.0</v>
      </c>
      <c r="R57" s="19">
        <v>6.0</v>
      </c>
      <c r="S57" s="19">
        <v>7.0</v>
      </c>
      <c r="T57" s="19">
        <v>14.0</v>
      </c>
      <c r="U57" s="19">
        <v>4.0</v>
      </c>
      <c r="V57" s="19">
        <v>9.0</v>
      </c>
      <c r="W57" s="19">
        <v>15.0</v>
      </c>
      <c r="X57" s="13">
        <f t="shared" ref="X57:X64" si="16">SUM(E57:W57)</f>
        <v>177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5.0</v>
      </c>
      <c r="F58" s="19">
        <v>7.0</v>
      </c>
      <c r="G58" s="19">
        <v>6.0</v>
      </c>
      <c r="H58" s="19">
        <v>7.0</v>
      </c>
      <c r="I58" s="19">
        <v>5.0</v>
      </c>
      <c r="J58" s="19">
        <v>6.0</v>
      </c>
      <c r="K58" s="19">
        <v>6.0</v>
      </c>
      <c r="L58" s="19">
        <v>8.0</v>
      </c>
      <c r="M58" s="19">
        <v>7.0</v>
      </c>
      <c r="N58" s="19">
        <v>3.0</v>
      </c>
      <c r="O58" s="19">
        <v>0.0</v>
      </c>
      <c r="P58" s="19">
        <v>2.0</v>
      </c>
      <c r="Q58" s="19">
        <v>11.0</v>
      </c>
      <c r="R58" s="19">
        <v>5.0</v>
      </c>
      <c r="S58" s="19">
        <v>6.0</v>
      </c>
      <c r="T58" s="19">
        <v>5.0</v>
      </c>
      <c r="U58" s="19">
        <v>0.0</v>
      </c>
      <c r="V58" s="19">
        <v>8.0</v>
      </c>
      <c r="W58" s="19">
        <v>22.0</v>
      </c>
      <c r="X58" s="13">
        <f t="shared" si="16"/>
        <v>119</v>
      </c>
    </row>
    <row r="59" ht="12.75" customHeight="1">
      <c r="A59" s="18"/>
      <c r="B59" s="55">
        <v>2.0</v>
      </c>
      <c r="C59" s="50" t="s">
        <v>49</v>
      </c>
      <c r="D59" s="56"/>
      <c r="E59" s="19">
        <v>13.0</v>
      </c>
      <c r="F59" s="19">
        <v>12.0</v>
      </c>
      <c r="G59" s="19">
        <v>12.0</v>
      </c>
      <c r="H59" s="19">
        <v>3.0</v>
      </c>
      <c r="I59" s="19">
        <v>3.0</v>
      </c>
      <c r="J59" s="19">
        <v>13.0</v>
      </c>
      <c r="K59" s="19">
        <v>19.0</v>
      </c>
      <c r="L59" s="19">
        <v>25.0</v>
      </c>
      <c r="M59" s="19">
        <v>6.0</v>
      </c>
      <c r="N59" s="19">
        <v>5.0</v>
      </c>
      <c r="O59" s="19">
        <v>6.0</v>
      </c>
      <c r="P59" s="19">
        <v>24.0</v>
      </c>
      <c r="Q59" s="19">
        <v>11.0</v>
      </c>
      <c r="R59" s="19">
        <v>35.0</v>
      </c>
      <c r="S59" s="19">
        <v>4.0</v>
      </c>
      <c r="T59" s="19">
        <v>6.0</v>
      </c>
      <c r="U59" s="19">
        <v>11.0</v>
      </c>
      <c r="V59" s="19">
        <v>7.0</v>
      </c>
      <c r="W59" s="19">
        <v>51.0</v>
      </c>
      <c r="X59" s="13">
        <f t="shared" si="16"/>
        <v>266</v>
      </c>
    </row>
    <row r="60" ht="12.75" customHeight="1">
      <c r="A60" s="18"/>
      <c r="B60" s="55">
        <v>3.0</v>
      </c>
      <c r="C60" s="50" t="s">
        <v>50</v>
      </c>
      <c r="D60" s="56"/>
      <c r="E60" s="19">
        <v>0.0</v>
      </c>
      <c r="F60" s="19">
        <v>1.0</v>
      </c>
      <c r="G60" s="19">
        <v>2.0</v>
      </c>
      <c r="H60" s="19">
        <v>2.0</v>
      </c>
      <c r="I60" s="19">
        <v>1.0</v>
      </c>
      <c r="J60" s="19">
        <v>2.0</v>
      </c>
      <c r="K60" s="19">
        <v>1.0</v>
      </c>
      <c r="L60" s="19">
        <v>0.0</v>
      </c>
      <c r="M60" s="19">
        <v>3.0</v>
      </c>
      <c r="N60" s="19">
        <v>2.0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2.0</v>
      </c>
      <c r="W60" s="19">
        <v>1.0</v>
      </c>
      <c r="X60" s="13">
        <f t="shared" si="16"/>
        <v>17</v>
      </c>
    </row>
    <row r="61" ht="12.75" customHeight="1">
      <c r="A61" s="18"/>
      <c r="B61" s="55">
        <v>4.0</v>
      </c>
      <c r="C61" s="50" t="s">
        <v>51</v>
      </c>
      <c r="D61" s="56"/>
      <c r="E61" s="19">
        <v>1.0</v>
      </c>
      <c r="F61" s="19">
        <v>4.0</v>
      </c>
      <c r="G61" s="19">
        <v>3.0</v>
      </c>
      <c r="H61" s="19">
        <v>3.0</v>
      </c>
      <c r="I61" s="19">
        <v>0.0</v>
      </c>
      <c r="J61" s="19">
        <v>1.0</v>
      </c>
      <c r="K61" s="19">
        <v>1.0</v>
      </c>
      <c r="L61" s="19">
        <v>0.0</v>
      </c>
      <c r="M61" s="19">
        <v>1.0</v>
      </c>
      <c r="N61" s="19">
        <v>2.0</v>
      </c>
      <c r="O61" s="19">
        <v>0.0</v>
      </c>
      <c r="P61" s="19">
        <v>0.0</v>
      </c>
      <c r="Q61" s="19">
        <v>0.0</v>
      </c>
      <c r="R61" s="19">
        <v>0.0</v>
      </c>
      <c r="S61" s="19">
        <v>1.0</v>
      </c>
      <c r="T61" s="19">
        <v>1.0</v>
      </c>
      <c r="U61" s="19">
        <v>2.0</v>
      </c>
      <c r="V61" s="19">
        <v>0.0</v>
      </c>
      <c r="W61" s="19">
        <v>2.0</v>
      </c>
      <c r="X61" s="13">
        <f t="shared" si="16"/>
        <v>22</v>
      </c>
    </row>
    <row r="62" ht="12.75" customHeight="1">
      <c r="A62" s="18"/>
      <c r="B62" s="55">
        <v>5.0</v>
      </c>
      <c r="C62" s="50" t="s">
        <v>52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3">
        <f t="shared" si="16"/>
        <v>0</v>
      </c>
    </row>
    <row r="63" ht="12.75" customHeight="1">
      <c r="A63" s="18"/>
      <c r="B63" s="55">
        <v>6.0</v>
      </c>
      <c r="C63" s="50" t="s">
        <v>53</v>
      </c>
      <c r="D63" s="57"/>
      <c r="E63" s="19">
        <v>0.0</v>
      </c>
      <c r="F63" s="19">
        <v>0.0</v>
      </c>
      <c r="G63" s="19">
        <v>2.0</v>
      </c>
      <c r="H63" s="19">
        <v>1.0</v>
      </c>
      <c r="I63" s="19">
        <v>2.0</v>
      </c>
      <c r="J63" s="19">
        <v>1.0</v>
      </c>
      <c r="K63" s="19">
        <v>1.0</v>
      </c>
      <c r="L63" s="19">
        <v>0.0</v>
      </c>
      <c r="M63" s="19">
        <v>1.0</v>
      </c>
      <c r="N63" s="19">
        <v>1.0</v>
      </c>
      <c r="O63" s="19">
        <v>0.0</v>
      </c>
      <c r="P63" s="19">
        <v>0.0</v>
      </c>
      <c r="Q63" s="19">
        <v>0.0</v>
      </c>
      <c r="R63" s="19">
        <v>0.0</v>
      </c>
      <c r="S63" s="19">
        <v>1.0</v>
      </c>
      <c r="T63" s="19">
        <v>1.0</v>
      </c>
      <c r="U63" s="19">
        <v>0.0</v>
      </c>
      <c r="V63" s="19">
        <v>3.0</v>
      </c>
      <c r="W63" s="19">
        <v>0.0</v>
      </c>
      <c r="X63" s="13">
        <f t="shared" si="16"/>
        <v>14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1.0</v>
      </c>
      <c r="G64" s="19">
        <v>0.0</v>
      </c>
      <c r="H64" s="19">
        <v>1.0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3">
        <f t="shared" si="16"/>
        <v>4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W67" si="17">SUM(E57:E64)</f>
        <v>25</v>
      </c>
      <c r="F67" s="13">
        <f t="shared" si="17"/>
        <v>35</v>
      </c>
      <c r="G67" s="13">
        <f t="shared" si="17"/>
        <v>37</v>
      </c>
      <c r="H67" s="13">
        <f t="shared" si="17"/>
        <v>28</v>
      </c>
      <c r="I67" s="13">
        <f t="shared" si="17"/>
        <v>20</v>
      </c>
      <c r="J67" s="13">
        <f t="shared" si="17"/>
        <v>38</v>
      </c>
      <c r="K67" s="13">
        <f t="shared" si="17"/>
        <v>42</v>
      </c>
      <c r="L67" s="13">
        <f t="shared" si="17"/>
        <v>36</v>
      </c>
      <c r="M67" s="13">
        <f t="shared" si="17"/>
        <v>33</v>
      </c>
      <c r="N67" s="13">
        <f t="shared" si="17"/>
        <v>23</v>
      </c>
      <c r="O67" s="13">
        <f t="shared" si="17"/>
        <v>8</v>
      </c>
      <c r="P67" s="13">
        <f t="shared" si="17"/>
        <v>33</v>
      </c>
      <c r="Q67" s="13">
        <f t="shared" si="17"/>
        <v>31</v>
      </c>
      <c r="R67" s="13">
        <f t="shared" si="17"/>
        <v>46</v>
      </c>
      <c r="S67" s="13">
        <f t="shared" si="17"/>
        <v>20</v>
      </c>
      <c r="T67" s="13">
        <f t="shared" si="17"/>
        <v>27</v>
      </c>
      <c r="U67" s="13">
        <f t="shared" si="17"/>
        <v>17</v>
      </c>
      <c r="V67" s="13">
        <f t="shared" si="17"/>
        <v>29</v>
      </c>
      <c r="W67" s="13">
        <f t="shared" si="17"/>
        <v>91</v>
      </c>
      <c r="X67" s="13">
        <f>SUM(E67:W67)</f>
        <v>619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6.0</v>
      </c>
      <c r="F69" s="19">
        <v>7.0</v>
      </c>
      <c r="G69" s="19">
        <v>7.0</v>
      </c>
      <c r="H69" s="19">
        <v>4.0</v>
      </c>
      <c r="I69" s="19">
        <v>8.0</v>
      </c>
      <c r="J69" s="19">
        <v>7.0</v>
      </c>
      <c r="K69" s="19">
        <v>11.0</v>
      </c>
      <c r="L69" s="19">
        <v>10.0</v>
      </c>
      <c r="M69" s="19">
        <v>9.0</v>
      </c>
      <c r="N69" s="19">
        <v>20.0</v>
      </c>
      <c r="O69" s="19">
        <v>5.0</v>
      </c>
      <c r="P69" s="19">
        <v>4.0</v>
      </c>
      <c r="Q69" s="19">
        <v>7.0</v>
      </c>
      <c r="R69" s="19">
        <v>0.0</v>
      </c>
      <c r="S69" s="19">
        <v>14.0</v>
      </c>
      <c r="T69" s="19">
        <v>21.0</v>
      </c>
      <c r="U69" s="19">
        <v>21.0</v>
      </c>
      <c r="V69" s="19">
        <v>7.0</v>
      </c>
      <c r="W69" s="19">
        <v>2.0</v>
      </c>
      <c r="X69" s="13">
        <f t="shared" ref="X69:X76" si="18">SUM(E69:W69)</f>
        <v>170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3.0</v>
      </c>
      <c r="F70" s="19">
        <v>8.0</v>
      </c>
      <c r="G70" s="19">
        <v>13.0</v>
      </c>
      <c r="H70" s="19">
        <v>12.0</v>
      </c>
      <c r="I70" s="19">
        <v>7.0</v>
      </c>
      <c r="J70" s="19">
        <v>7.0</v>
      </c>
      <c r="K70" s="19">
        <v>17.0</v>
      </c>
      <c r="L70" s="19">
        <v>33.0</v>
      </c>
      <c r="M70" s="19">
        <v>23.0</v>
      </c>
      <c r="N70" s="19">
        <v>12.0</v>
      </c>
      <c r="O70" s="19">
        <v>29.0</v>
      </c>
      <c r="P70" s="19">
        <v>30.0</v>
      </c>
      <c r="Q70" s="19">
        <v>26.0</v>
      </c>
      <c r="R70" s="19">
        <v>1.0</v>
      </c>
      <c r="S70" s="19">
        <v>37.0</v>
      </c>
      <c r="T70" s="19">
        <v>20.0</v>
      </c>
      <c r="U70" s="19">
        <v>29.0</v>
      </c>
      <c r="V70" s="19">
        <v>10.0</v>
      </c>
      <c r="W70" s="19">
        <v>7.0</v>
      </c>
      <c r="X70" s="13">
        <f t="shared" si="18"/>
        <v>324</v>
      </c>
    </row>
    <row r="71" ht="12.75" customHeight="1">
      <c r="A71" s="18"/>
      <c r="B71" s="55">
        <v>2.0</v>
      </c>
      <c r="C71" s="50" t="s">
        <v>57</v>
      </c>
      <c r="D71" s="57"/>
      <c r="E71" s="19">
        <v>1.0</v>
      </c>
      <c r="F71" s="19">
        <v>4.0</v>
      </c>
      <c r="G71" s="19">
        <v>5.0</v>
      </c>
      <c r="H71" s="19">
        <v>3.0</v>
      </c>
      <c r="I71" s="19">
        <v>3.0</v>
      </c>
      <c r="J71" s="19">
        <v>1.0</v>
      </c>
      <c r="K71" s="19">
        <v>3.0</v>
      </c>
      <c r="L71" s="19">
        <v>3.0</v>
      </c>
      <c r="M71" s="19">
        <v>2.0</v>
      </c>
      <c r="N71" s="19">
        <v>3.0</v>
      </c>
      <c r="O71" s="19">
        <v>0.0</v>
      </c>
      <c r="P71" s="19">
        <v>0.0</v>
      </c>
      <c r="Q71" s="19">
        <v>3.0</v>
      </c>
      <c r="R71" s="19">
        <v>0.0</v>
      </c>
      <c r="S71" s="19">
        <v>3.0</v>
      </c>
      <c r="T71" s="19">
        <v>3.0</v>
      </c>
      <c r="U71" s="19">
        <v>3.0</v>
      </c>
      <c r="V71" s="19">
        <v>2.0</v>
      </c>
      <c r="W71" s="19">
        <v>2.0</v>
      </c>
      <c r="X71" s="13">
        <f t="shared" si="18"/>
        <v>44</v>
      </c>
    </row>
    <row r="72" ht="12.75" customHeight="1">
      <c r="A72" s="18"/>
      <c r="B72" s="55">
        <v>3.0</v>
      </c>
      <c r="C72" s="50" t="s">
        <v>58</v>
      </c>
      <c r="D72" s="57"/>
      <c r="E72" s="19">
        <v>3.0</v>
      </c>
      <c r="F72" s="19">
        <v>2.0</v>
      </c>
      <c r="G72" s="19">
        <v>7.0</v>
      </c>
      <c r="H72" s="19">
        <v>6.0</v>
      </c>
      <c r="I72" s="19">
        <v>7.0</v>
      </c>
      <c r="J72" s="19">
        <v>2.0</v>
      </c>
      <c r="K72" s="19">
        <v>23.0</v>
      </c>
      <c r="L72" s="19">
        <v>2.0</v>
      </c>
      <c r="M72" s="19">
        <v>0.0</v>
      </c>
      <c r="N72" s="19">
        <v>1.0</v>
      </c>
      <c r="O72" s="19">
        <v>0.0</v>
      </c>
      <c r="P72" s="19">
        <v>0.0</v>
      </c>
      <c r="Q72" s="19">
        <v>1.0</v>
      </c>
      <c r="R72" s="19">
        <v>0.0</v>
      </c>
      <c r="S72" s="19">
        <v>5.0</v>
      </c>
      <c r="T72" s="19">
        <v>16.0</v>
      </c>
      <c r="U72" s="19">
        <v>39.0</v>
      </c>
      <c r="V72" s="19">
        <v>2.0</v>
      </c>
      <c r="W72" s="19">
        <v>2.0</v>
      </c>
      <c r="X72" s="13">
        <f t="shared" si="18"/>
        <v>118</v>
      </c>
    </row>
    <row r="73" ht="12.75" customHeight="1">
      <c r="A73" s="18"/>
      <c r="B73" s="55">
        <v>4.0</v>
      </c>
      <c r="C73" s="50" t="s">
        <v>59</v>
      </c>
      <c r="D73" s="57"/>
      <c r="E73" s="19">
        <v>0.0</v>
      </c>
      <c r="F73" s="19">
        <v>1.0</v>
      </c>
      <c r="G73" s="19">
        <v>3.0</v>
      </c>
      <c r="H73" s="19">
        <v>2.0</v>
      </c>
      <c r="I73" s="19">
        <v>2.0</v>
      </c>
      <c r="J73" s="19">
        <v>4.0</v>
      </c>
      <c r="K73" s="19">
        <v>3.0</v>
      </c>
      <c r="L73" s="19">
        <v>3.0</v>
      </c>
      <c r="M73" s="19">
        <v>1.0</v>
      </c>
      <c r="N73" s="19">
        <v>4.0</v>
      </c>
      <c r="O73" s="19">
        <v>0.0</v>
      </c>
      <c r="P73" s="19">
        <v>1.0</v>
      </c>
      <c r="Q73" s="19">
        <v>8.0</v>
      </c>
      <c r="R73" s="19">
        <v>2.0</v>
      </c>
      <c r="S73" s="19">
        <v>2.0</v>
      </c>
      <c r="T73" s="19">
        <v>6.0</v>
      </c>
      <c r="U73" s="19">
        <v>14.0</v>
      </c>
      <c r="V73" s="19">
        <v>1.0</v>
      </c>
      <c r="W73" s="19">
        <v>1.0</v>
      </c>
      <c r="X73" s="13">
        <f t="shared" si="18"/>
        <v>58</v>
      </c>
    </row>
    <row r="74" ht="12.75" customHeight="1">
      <c r="A74" s="18"/>
      <c r="B74" s="55">
        <v>5.0</v>
      </c>
      <c r="C74" s="50" t="s">
        <v>60</v>
      </c>
      <c r="D74" s="57"/>
      <c r="E74" s="19">
        <v>0.0</v>
      </c>
      <c r="F74" s="19">
        <v>1.0</v>
      </c>
      <c r="G74" s="19">
        <v>4.0</v>
      </c>
      <c r="H74" s="19">
        <v>3.0</v>
      </c>
      <c r="I74" s="19">
        <v>1.0</v>
      </c>
      <c r="J74" s="19">
        <v>2.0</v>
      </c>
      <c r="K74" s="19">
        <v>2.0</v>
      </c>
      <c r="L74" s="19">
        <v>0.0</v>
      </c>
      <c r="M74" s="19">
        <v>0.0</v>
      </c>
      <c r="N74" s="19">
        <v>0.0</v>
      </c>
      <c r="O74" s="19">
        <v>0.0</v>
      </c>
      <c r="P74" s="19">
        <v>0.0</v>
      </c>
      <c r="Q74" s="19">
        <v>1.0</v>
      </c>
      <c r="R74" s="19">
        <v>0.0</v>
      </c>
      <c r="S74" s="19">
        <v>1.0</v>
      </c>
      <c r="T74" s="19">
        <v>2.0</v>
      </c>
      <c r="U74" s="19">
        <v>1.0</v>
      </c>
      <c r="V74" s="19">
        <v>0.0</v>
      </c>
      <c r="W74" s="19">
        <v>0.0</v>
      </c>
      <c r="X74" s="13">
        <f t="shared" si="18"/>
        <v>18</v>
      </c>
    </row>
    <row r="75" ht="12.75" customHeight="1">
      <c r="A75" s="18"/>
      <c r="B75" s="55">
        <v>6.0</v>
      </c>
      <c r="C75" s="50" t="s">
        <v>61</v>
      </c>
      <c r="D75" s="57"/>
      <c r="E75" s="19">
        <v>2.0</v>
      </c>
      <c r="F75" s="19">
        <v>0.0</v>
      </c>
      <c r="G75" s="19">
        <v>2.0</v>
      </c>
      <c r="H75" s="19">
        <v>1.0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2.0</v>
      </c>
      <c r="T75" s="19">
        <v>0.0</v>
      </c>
      <c r="U75" s="19">
        <v>2.0</v>
      </c>
      <c r="V75" s="19">
        <v>0.0</v>
      </c>
      <c r="W75" s="19">
        <v>0.0</v>
      </c>
      <c r="X75" s="13">
        <f t="shared" si="18"/>
        <v>10</v>
      </c>
    </row>
    <row r="76" ht="12.75" customHeight="1">
      <c r="A76" s="18"/>
      <c r="B76" s="55">
        <v>7.0</v>
      </c>
      <c r="C76" s="50" t="s">
        <v>62</v>
      </c>
      <c r="D76" s="57"/>
      <c r="E76" s="19">
        <v>0.0</v>
      </c>
      <c r="F76" s="19">
        <v>0.0</v>
      </c>
      <c r="G76" s="19">
        <v>1.0</v>
      </c>
      <c r="H76" s="19">
        <v>2.0</v>
      </c>
      <c r="I76" s="19">
        <v>0.0</v>
      </c>
      <c r="J76" s="19">
        <v>2.0</v>
      </c>
      <c r="K76" s="19">
        <v>1.0</v>
      </c>
      <c r="L76" s="19">
        <v>0.0</v>
      </c>
      <c r="M76" s="19">
        <v>6.0</v>
      </c>
      <c r="N76" s="19">
        <v>5.0</v>
      </c>
      <c r="O76" s="19">
        <v>0.0</v>
      </c>
      <c r="P76" s="19">
        <v>0.0</v>
      </c>
      <c r="Q76" s="19">
        <v>1.0</v>
      </c>
      <c r="R76" s="19">
        <v>0.0</v>
      </c>
      <c r="S76" s="19">
        <v>9.0</v>
      </c>
      <c r="T76" s="19">
        <v>1.0</v>
      </c>
      <c r="U76" s="19">
        <v>0.0</v>
      </c>
      <c r="V76" s="19">
        <v>0.0</v>
      </c>
      <c r="W76" s="19">
        <v>0.0</v>
      </c>
      <c r="X76" s="13">
        <f t="shared" si="18"/>
        <v>28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W79" si="19">SUM(E69:E76)</f>
        <v>15</v>
      </c>
      <c r="F79" s="13">
        <f t="shared" si="19"/>
        <v>23</v>
      </c>
      <c r="G79" s="13">
        <f t="shared" si="19"/>
        <v>42</v>
      </c>
      <c r="H79" s="13">
        <f t="shared" si="19"/>
        <v>33</v>
      </c>
      <c r="I79" s="13">
        <f t="shared" si="19"/>
        <v>28</v>
      </c>
      <c r="J79" s="13">
        <f t="shared" si="19"/>
        <v>25</v>
      </c>
      <c r="K79" s="13">
        <f t="shared" si="19"/>
        <v>60</v>
      </c>
      <c r="L79" s="13">
        <f t="shared" si="19"/>
        <v>52</v>
      </c>
      <c r="M79" s="13">
        <f t="shared" si="19"/>
        <v>41</v>
      </c>
      <c r="N79" s="13">
        <f t="shared" si="19"/>
        <v>45</v>
      </c>
      <c r="O79" s="13">
        <f t="shared" si="19"/>
        <v>34</v>
      </c>
      <c r="P79" s="13">
        <f t="shared" si="19"/>
        <v>35</v>
      </c>
      <c r="Q79" s="13">
        <f t="shared" si="19"/>
        <v>47</v>
      </c>
      <c r="R79" s="13">
        <f t="shared" si="19"/>
        <v>3</v>
      </c>
      <c r="S79" s="13">
        <f t="shared" si="19"/>
        <v>73</v>
      </c>
      <c r="T79" s="13">
        <f t="shared" si="19"/>
        <v>69</v>
      </c>
      <c r="U79" s="13">
        <f t="shared" si="19"/>
        <v>109</v>
      </c>
      <c r="V79" s="13">
        <f t="shared" si="19"/>
        <v>22</v>
      </c>
      <c r="W79" s="13">
        <f t="shared" si="19"/>
        <v>14</v>
      </c>
      <c r="X79" s="13">
        <f>SUM(E79:W79)</f>
        <v>770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5.0</v>
      </c>
      <c r="F81" s="19">
        <v>3.0</v>
      </c>
      <c r="G81" s="19">
        <v>0.0</v>
      </c>
      <c r="H81" s="19">
        <v>1.0</v>
      </c>
      <c r="I81" s="19">
        <v>5.0</v>
      </c>
      <c r="J81" s="19">
        <v>8.0</v>
      </c>
      <c r="K81" s="19">
        <v>1.0</v>
      </c>
      <c r="L81" s="19">
        <v>2.0</v>
      </c>
      <c r="M81" s="19">
        <v>4.0</v>
      </c>
      <c r="N81" s="19">
        <v>3.0</v>
      </c>
      <c r="O81" s="19">
        <v>2.0</v>
      </c>
      <c r="P81" s="19">
        <v>2.0</v>
      </c>
      <c r="Q81" s="19">
        <v>3.0</v>
      </c>
      <c r="R81" s="19">
        <v>5.0</v>
      </c>
      <c r="S81" s="19">
        <v>0.0</v>
      </c>
      <c r="T81" s="19">
        <v>2.0</v>
      </c>
      <c r="U81" s="19">
        <v>7.0</v>
      </c>
      <c r="V81" s="19">
        <v>3.0</v>
      </c>
      <c r="W81" s="19">
        <v>2.0</v>
      </c>
      <c r="X81" s="13">
        <f t="shared" ref="X81:X88" si="20">SUM(E81:W81)</f>
        <v>58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44.0</v>
      </c>
      <c r="F82" s="19">
        <v>14.0</v>
      </c>
      <c r="G82" s="19">
        <v>13.0</v>
      </c>
      <c r="H82" s="19">
        <v>15.0</v>
      </c>
      <c r="I82" s="19">
        <v>20.0</v>
      </c>
      <c r="J82" s="19">
        <v>10.0</v>
      </c>
      <c r="K82" s="19">
        <v>5.0</v>
      </c>
      <c r="L82" s="19">
        <v>9.0</v>
      </c>
      <c r="M82" s="19">
        <v>11.0</v>
      </c>
      <c r="N82" s="19">
        <v>5.0</v>
      </c>
      <c r="O82" s="19">
        <v>12.0</v>
      </c>
      <c r="P82" s="19">
        <v>1.0</v>
      </c>
      <c r="Q82" s="19">
        <v>1.0</v>
      </c>
      <c r="R82" s="19">
        <v>0.0</v>
      </c>
      <c r="S82" s="19">
        <v>6.0</v>
      </c>
      <c r="T82" s="19">
        <v>17.0</v>
      </c>
      <c r="U82" s="19">
        <v>9.0</v>
      </c>
      <c r="V82" s="19">
        <v>24.0</v>
      </c>
      <c r="W82" s="19">
        <v>1.0</v>
      </c>
      <c r="X82" s="13">
        <f t="shared" si="20"/>
        <v>217</v>
      </c>
    </row>
    <row r="83" ht="12.75" customHeight="1">
      <c r="A83" s="18"/>
      <c r="B83" s="55">
        <v>2.0</v>
      </c>
      <c r="C83" s="50" t="s">
        <v>65</v>
      </c>
      <c r="D83" s="57"/>
      <c r="E83" s="19">
        <v>3.0</v>
      </c>
      <c r="F83" s="19">
        <v>2.0</v>
      </c>
      <c r="G83" s="19">
        <v>4.0</v>
      </c>
      <c r="H83" s="19">
        <v>3.0</v>
      </c>
      <c r="I83" s="19">
        <v>0.0</v>
      </c>
      <c r="J83" s="19">
        <v>3.0</v>
      </c>
      <c r="K83" s="19">
        <v>7.0</v>
      </c>
      <c r="L83" s="19">
        <v>3.0</v>
      </c>
      <c r="M83" s="19">
        <v>4.0</v>
      </c>
      <c r="N83" s="19">
        <v>11.0</v>
      </c>
      <c r="O83" s="19">
        <v>1.0</v>
      </c>
      <c r="P83" s="19">
        <v>1.0</v>
      </c>
      <c r="Q83" s="19">
        <v>2.0</v>
      </c>
      <c r="R83" s="19">
        <v>3.0</v>
      </c>
      <c r="S83" s="19">
        <v>1.0</v>
      </c>
      <c r="T83" s="19">
        <v>8.0</v>
      </c>
      <c r="U83" s="19">
        <v>3.0</v>
      </c>
      <c r="V83" s="19">
        <v>5.0</v>
      </c>
      <c r="W83" s="19">
        <v>3.0</v>
      </c>
      <c r="X83" s="13">
        <f t="shared" si="20"/>
        <v>67</v>
      </c>
    </row>
    <row r="84" ht="12.75" customHeight="1">
      <c r="A84" s="18"/>
      <c r="B84" s="55">
        <v>3.0</v>
      </c>
      <c r="C84" s="50" t="s">
        <v>66</v>
      </c>
      <c r="D84" s="57"/>
      <c r="E84" s="19">
        <v>0.0</v>
      </c>
      <c r="F84" s="19">
        <v>0.0</v>
      </c>
      <c r="G84" s="19">
        <v>0.0</v>
      </c>
      <c r="H84" s="19">
        <v>2.0</v>
      </c>
      <c r="I84" s="19">
        <v>0.0</v>
      </c>
      <c r="J84" s="19">
        <v>1.0</v>
      </c>
      <c r="K84" s="19">
        <v>0.0</v>
      </c>
      <c r="L84" s="19">
        <v>0.0</v>
      </c>
      <c r="M84" s="19">
        <v>1.0</v>
      </c>
      <c r="N84" s="19">
        <v>2.0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1.0</v>
      </c>
      <c r="W84" s="19">
        <v>0.0</v>
      </c>
      <c r="X84" s="13">
        <f t="shared" si="20"/>
        <v>7</v>
      </c>
    </row>
    <row r="85" ht="12.75" customHeight="1">
      <c r="A85" s="18"/>
      <c r="B85" s="55">
        <v>4.0</v>
      </c>
      <c r="C85" s="50" t="s">
        <v>67</v>
      </c>
      <c r="D85" s="57"/>
      <c r="E85" s="19">
        <v>0.0</v>
      </c>
      <c r="F85" s="19">
        <v>3.0</v>
      </c>
      <c r="G85" s="19">
        <v>1.0</v>
      </c>
      <c r="H85" s="19">
        <v>3.0</v>
      </c>
      <c r="I85" s="19">
        <v>0.0</v>
      </c>
      <c r="J85" s="19">
        <v>0.0</v>
      </c>
      <c r="K85" s="19">
        <v>1.0</v>
      </c>
      <c r="L85" s="19">
        <v>1.0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2.0</v>
      </c>
      <c r="V85" s="19">
        <v>1.0</v>
      </c>
      <c r="W85" s="19">
        <v>0.0</v>
      </c>
      <c r="X85" s="13">
        <f t="shared" si="20"/>
        <v>13</v>
      </c>
    </row>
    <row r="86" ht="12.75" customHeight="1">
      <c r="A86" s="18"/>
      <c r="B86" s="55">
        <v>5.0</v>
      </c>
      <c r="C86" s="50" t="s">
        <v>68</v>
      </c>
      <c r="D86" s="57"/>
      <c r="E86" s="19">
        <v>2.0</v>
      </c>
      <c r="F86" s="19">
        <v>0.0</v>
      </c>
      <c r="G86" s="19">
        <v>0.0</v>
      </c>
      <c r="H86" s="19">
        <v>1.0</v>
      </c>
      <c r="I86" s="19">
        <v>1.0</v>
      </c>
      <c r="J86" s="19">
        <v>1.0</v>
      </c>
      <c r="K86" s="19">
        <v>3.0</v>
      </c>
      <c r="L86" s="19">
        <v>2.0</v>
      </c>
      <c r="M86" s="19">
        <v>4.0</v>
      </c>
      <c r="N86" s="19">
        <v>3.0</v>
      </c>
      <c r="O86" s="19">
        <v>0.0</v>
      </c>
      <c r="P86" s="19">
        <v>0.0</v>
      </c>
      <c r="Q86" s="19">
        <v>0.0</v>
      </c>
      <c r="R86" s="19">
        <v>0.0</v>
      </c>
      <c r="S86" s="19">
        <v>3.0</v>
      </c>
      <c r="T86" s="19">
        <v>1.0</v>
      </c>
      <c r="U86" s="19">
        <v>1.0</v>
      </c>
      <c r="V86" s="19">
        <v>0.0</v>
      </c>
      <c r="W86" s="19">
        <v>1.0</v>
      </c>
      <c r="X86" s="13">
        <f t="shared" si="20"/>
        <v>23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3">
        <f t="shared" si="20"/>
        <v>2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3">
        <f t="shared" si="20"/>
        <v>1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W91" si="21">SUM(E81:E88)</f>
        <v>54</v>
      </c>
      <c r="F91" s="13">
        <f t="shared" si="21"/>
        <v>22</v>
      </c>
      <c r="G91" s="13">
        <f t="shared" si="21"/>
        <v>18</v>
      </c>
      <c r="H91" s="13">
        <f t="shared" si="21"/>
        <v>26</v>
      </c>
      <c r="I91" s="13">
        <f t="shared" si="21"/>
        <v>26</v>
      </c>
      <c r="J91" s="13">
        <f t="shared" si="21"/>
        <v>24</v>
      </c>
      <c r="K91" s="13">
        <f t="shared" si="21"/>
        <v>17</v>
      </c>
      <c r="L91" s="13">
        <f t="shared" si="21"/>
        <v>17</v>
      </c>
      <c r="M91" s="13">
        <f t="shared" si="21"/>
        <v>24</v>
      </c>
      <c r="N91" s="13">
        <f t="shared" si="21"/>
        <v>25</v>
      </c>
      <c r="O91" s="13">
        <f t="shared" si="21"/>
        <v>15</v>
      </c>
      <c r="P91" s="13">
        <f t="shared" si="21"/>
        <v>4</v>
      </c>
      <c r="Q91" s="13">
        <f t="shared" si="21"/>
        <v>6</v>
      </c>
      <c r="R91" s="13">
        <f t="shared" si="21"/>
        <v>8</v>
      </c>
      <c r="S91" s="13">
        <f t="shared" si="21"/>
        <v>11</v>
      </c>
      <c r="T91" s="13">
        <f t="shared" si="21"/>
        <v>28</v>
      </c>
      <c r="U91" s="13">
        <f t="shared" si="21"/>
        <v>22</v>
      </c>
      <c r="V91" s="13">
        <f t="shared" si="21"/>
        <v>34</v>
      </c>
      <c r="W91" s="13">
        <f t="shared" si="21"/>
        <v>7</v>
      </c>
      <c r="X91" s="13">
        <f>SUM(E91:W91)</f>
        <v>388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0.0</v>
      </c>
      <c r="H93" s="19">
        <v>1.0</v>
      </c>
      <c r="I93" s="19">
        <v>0.0</v>
      </c>
      <c r="J93" s="19">
        <v>2.0</v>
      </c>
      <c r="K93" s="19">
        <v>0.0</v>
      </c>
      <c r="L93" s="19">
        <v>0.0</v>
      </c>
      <c r="M93" s="19">
        <v>0.0</v>
      </c>
      <c r="N93" s="19">
        <v>1.0</v>
      </c>
      <c r="O93" s="19">
        <v>0.0</v>
      </c>
      <c r="P93" s="19">
        <v>0.0</v>
      </c>
      <c r="Q93" s="19">
        <v>0.0</v>
      </c>
      <c r="R93" s="19">
        <v>13.0</v>
      </c>
      <c r="S93" s="19">
        <v>0.0</v>
      </c>
      <c r="T93" s="19">
        <v>0.0</v>
      </c>
      <c r="U93" s="19">
        <v>0.0</v>
      </c>
      <c r="V93" s="19">
        <v>1.0</v>
      </c>
      <c r="W93" s="19">
        <v>3.0</v>
      </c>
      <c r="X93" s="13">
        <f t="shared" ref="X93:X100" si="22">SUM(E93:W93)</f>
        <v>22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5.0</v>
      </c>
      <c r="S94" s="19">
        <v>1.0</v>
      </c>
      <c r="T94" s="19">
        <v>1.0</v>
      </c>
      <c r="U94" s="19">
        <v>1.0</v>
      </c>
      <c r="V94" s="19">
        <v>2.0</v>
      </c>
      <c r="W94" s="19">
        <v>5.0</v>
      </c>
      <c r="X94" s="13">
        <f t="shared" si="22"/>
        <v>15</v>
      </c>
    </row>
    <row r="95" ht="12.75" customHeight="1">
      <c r="A95" s="18"/>
      <c r="B95" s="55">
        <v>2.0</v>
      </c>
      <c r="C95" s="50" t="s">
        <v>74</v>
      </c>
      <c r="D95" s="57"/>
      <c r="E95" s="19">
        <v>0.0</v>
      </c>
      <c r="F95" s="19">
        <v>0.0</v>
      </c>
      <c r="G95" s="19">
        <v>0.0</v>
      </c>
      <c r="H95" s="19">
        <v>3.0</v>
      </c>
      <c r="I95" s="19">
        <v>21.0</v>
      </c>
      <c r="J95" s="19">
        <v>9.0</v>
      </c>
      <c r="K95" s="19">
        <v>0.0</v>
      </c>
      <c r="L95" s="19">
        <v>4.0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15.0</v>
      </c>
      <c r="S95" s="19">
        <v>13.0</v>
      </c>
      <c r="T95" s="19">
        <v>0.0</v>
      </c>
      <c r="U95" s="19">
        <v>0.0</v>
      </c>
      <c r="V95" s="19">
        <v>0.0</v>
      </c>
      <c r="W95" s="19">
        <v>2.0</v>
      </c>
      <c r="X95" s="13">
        <f t="shared" si="22"/>
        <v>67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2.0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3">
        <f t="shared" si="22"/>
        <v>5</v>
      </c>
    </row>
    <row r="97" ht="12.75" customHeight="1">
      <c r="A97" s="18"/>
      <c r="B97" s="55">
        <v>4.0</v>
      </c>
      <c r="C97" s="50" t="s">
        <v>76</v>
      </c>
      <c r="D97" s="57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3">
        <f t="shared" si="22"/>
        <v>1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2"/>
        <v>1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0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2"/>
        <v>1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W103" si="23">SUM(E93:E100)</f>
        <v>1</v>
      </c>
      <c r="F103" s="13">
        <f t="shared" si="23"/>
        <v>0</v>
      </c>
      <c r="G103" s="13">
        <f t="shared" si="23"/>
        <v>1</v>
      </c>
      <c r="H103" s="13">
        <f t="shared" si="23"/>
        <v>7</v>
      </c>
      <c r="I103" s="13">
        <f t="shared" si="23"/>
        <v>22</v>
      </c>
      <c r="J103" s="13">
        <f t="shared" si="23"/>
        <v>11</v>
      </c>
      <c r="K103" s="13">
        <f t="shared" si="23"/>
        <v>0</v>
      </c>
      <c r="L103" s="13">
        <f t="shared" si="23"/>
        <v>4</v>
      </c>
      <c r="M103" s="13">
        <f t="shared" si="23"/>
        <v>0</v>
      </c>
      <c r="N103" s="13">
        <f t="shared" si="23"/>
        <v>1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35</v>
      </c>
      <c r="S103" s="13">
        <f t="shared" si="23"/>
        <v>15</v>
      </c>
      <c r="T103" s="13">
        <f t="shared" si="23"/>
        <v>1</v>
      </c>
      <c r="U103" s="13">
        <f t="shared" si="23"/>
        <v>1</v>
      </c>
      <c r="V103" s="13">
        <f t="shared" si="23"/>
        <v>3</v>
      </c>
      <c r="W103" s="13">
        <f t="shared" si="23"/>
        <v>10</v>
      </c>
      <c r="X103" s="13">
        <f>SUM(E103:W103)</f>
        <v>112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2.0</v>
      </c>
      <c r="F105" s="19">
        <v>1.0</v>
      </c>
      <c r="G105" s="19">
        <v>1.0</v>
      </c>
      <c r="H105" s="19">
        <v>1.0</v>
      </c>
      <c r="I105" s="19">
        <v>0.0</v>
      </c>
      <c r="J105" s="19">
        <v>2.0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2.0</v>
      </c>
      <c r="T105" s="19">
        <v>1.0</v>
      </c>
      <c r="U105" s="19">
        <v>3.0</v>
      </c>
      <c r="V105" s="19">
        <v>0.0</v>
      </c>
      <c r="W105" s="19">
        <v>1.0</v>
      </c>
      <c r="X105" s="13">
        <f t="shared" ref="X105:X112" si="24">SUM(E105:W105)</f>
        <v>16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1.0</v>
      </c>
      <c r="X106" s="13">
        <f t="shared" si="24"/>
        <v>2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3">
        <f t="shared" si="24"/>
        <v>2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3">
        <f t="shared" si="24"/>
        <v>0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1.0</v>
      </c>
      <c r="T109" s="19">
        <v>0.0</v>
      </c>
      <c r="U109" s="19">
        <v>0.0</v>
      </c>
      <c r="V109" s="19">
        <v>0.0</v>
      </c>
      <c r="W109" s="19">
        <v>0.0</v>
      </c>
      <c r="X109" s="13">
        <f t="shared" si="24"/>
        <v>1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1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W115" si="25">SUM(E105:E112)</f>
        <v>2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2</v>
      </c>
      <c r="K115" s="13">
        <f t="shared" si="25"/>
        <v>2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3</v>
      </c>
      <c r="T115" s="13">
        <f t="shared" si="25"/>
        <v>1</v>
      </c>
      <c r="U115" s="13">
        <f t="shared" si="25"/>
        <v>3</v>
      </c>
      <c r="V115" s="13">
        <f t="shared" si="25"/>
        <v>1</v>
      </c>
      <c r="W115" s="13">
        <f t="shared" si="25"/>
        <v>2</v>
      </c>
      <c r="X115" s="13">
        <f>SUM(E115:W115)</f>
        <v>22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1.0</v>
      </c>
      <c r="J117" s="19">
        <v>1.0</v>
      </c>
      <c r="K117" s="19">
        <v>1.0</v>
      </c>
      <c r="L117" s="19">
        <v>1.0</v>
      </c>
      <c r="M117" s="19">
        <v>1.0</v>
      </c>
      <c r="N117" s="19">
        <v>0.0</v>
      </c>
      <c r="O117" s="19">
        <v>0.0</v>
      </c>
      <c r="P117" s="19">
        <v>1.0</v>
      </c>
      <c r="Q117" s="19">
        <v>1.0</v>
      </c>
      <c r="R117" s="19">
        <v>0.0</v>
      </c>
      <c r="S117" s="19">
        <v>4.0</v>
      </c>
      <c r="T117" s="19">
        <v>0.0</v>
      </c>
      <c r="U117" s="19">
        <v>2.0</v>
      </c>
      <c r="V117" s="19">
        <v>1.0</v>
      </c>
      <c r="W117" s="19">
        <v>2.0</v>
      </c>
      <c r="X117" s="13">
        <f t="shared" ref="X117:X120" si="26">SUM(E117:W117)</f>
        <v>16</v>
      </c>
      <c r="Y117" s="5"/>
      <c r="Z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1.0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3">
        <f t="shared" si="26"/>
        <v>4</v>
      </c>
      <c r="Y118" s="5"/>
      <c r="Z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3">
        <f t="shared" si="26"/>
        <v>1</v>
      </c>
      <c r="Y119" s="5"/>
      <c r="Z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0</v>
      </c>
      <c r="Y120" s="5"/>
      <c r="Z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73"/>
      <c r="Y121" s="5"/>
      <c r="Z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73"/>
      <c r="Y122" s="5"/>
      <c r="Z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73"/>
      <c r="Y123" s="5"/>
      <c r="Z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73"/>
      <c r="Y124" s="5"/>
      <c r="Z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73"/>
      <c r="Y125" s="5"/>
      <c r="Z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73"/>
      <c r="Y126" s="5"/>
      <c r="Z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W127" si="27">SUM(E117:E120)</f>
        <v>0</v>
      </c>
      <c r="F127" s="58">
        <f t="shared" si="27"/>
        <v>0</v>
      </c>
      <c r="G127" s="58">
        <f t="shared" si="27"/>
        <v>0</v>
      </c>
      <c r="H127" s="58">
        <f t="shared" si="27"/>
        <v>0</v>
      </c>
      <c r="I127" s="58">
        <f t="shared" si="27"/>
        <v>1</v>
      </c>
      <c r="J127" s="58">
        <f t="shared" si="27"/>
        <v>1</v>
      </c>
      <c r="K127" s="58">
        <f t="shared" si="27"/>
        <v>2</v>
      </c>
      <c r="L127" s="58">
        <f t="shared" si="27"/>
        <v>1</v>
      </c>
      <c r="M127" s="58">
        <f t="shared" si="27"/>
        <v>2</v>
      </c>
      <c r="N127" s="58">
        <f t="shared" si="27"/>
        <v>0</v>
      </c>
      <c r="O127" s="58">
        <f t="shared" si="27"/>
        <v>0</v>
      </c>
      <c r="P127" s="58">
        <f t="shared" si="27"/>
        <v>2</v>
      </c>
      <c r="Q127" s="58">
        <f t="shared" si="27"/>
        <v>1</v>
      </c>
      <c r="R127" s="58">
        <f t="shared" si="27"/>
        <v>0</v>
      </c>
      <c r="S127" s="58">
        <f t="shared" si="27"/>
        <v>4</v>
      </c>
      <c r="T127" s="58">
        <f t="shared" si="27"/>
        <v>0</v>
      </c>
      <c r="U127" s="58">
        <f t="shared" si="27"/>
        <v>2</v>
      </c>
      <c r="V127" s="58">
        <f t="shared" si="27"/>
        <v>1</v>
      </c>
      <c r="W127" s="58">
        <f t="shared" si="27"/>
        <v>4</v>
      </c>
      <c r="X127" s="13">
        <f>SUM(E127:W127)</f>
        <v>21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5"/>
      <c r="Z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3.0</v>
      </c>
      <c r="F129" s="19">
        <v>1.0</v>
      </c>
      <c r="G129" s="19">
        <v>0.0</v>
      </c>
      <c r="H129" s="19">
        <v>1.0</v>
      </c>
      <c r="I129" s="19">
        <v>0.0</v>
      </c>
      <c r="J129" s="19">
        <v>4.0</v>
      </c>
      <c r="K129" s="19">
        <v>0.0</v>
      </c>
      <c r="L129" s="19">
        <v>0.0</v>
      </c>
      <c r="M129" s="19">
        <v>0.0</v>
      </c>
      <c r="N129" s="19">
        <v>1.0</v>
      </c>
      <c r="O129" s="19">
        <v>1.0</v>
      </c>
      <c r="P129" s="19">
        <v>1.0</v>
      </c>
      <c r="Q129" s="19">
        <v>0.0</v>
      </c>
      <c r="R129" s="19">
        <v>0.0</v>
      </c>
      <c r="S129" s="19">
        <v>1.0</v>
      </c>
      <c r="T129" s="19">
        <v>0.0</v>
      </c>
      <c r="U129" s="19">
        <v>0.0</v>
      </c>
      <c r="V129" s="19">
        <v>0.0</v>
      </c>
      <c r="W129" s="19">
        <v>2.0</v>
      </c>
      <c r="X129" s="13">
        <f t="shared" ref="X129:X136" si="28">SUM(E129:W129)</f>
        <v>15</v>
      </c>
      <c r="Y129" s="5"/>
      <c r="Z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0.0</v>
      </c>
      <c r="F130" s="19">
        <v>3.0</v>
      </c>
      <c r="G130" s="19">
        <v>2.0</v>
      </c>
      <c r="H130" s="19">
        <v>0.0</v>
      </c>
      <c r="I130" s="19">
        <v>1.0</v>
      </c>
      <c r="J130" s="19">
        <v>8.0</v>
      </c>
      <c r="K130" s="19">
        <v>1.0</v>
      </c>
      <c r="L130" s="19">
        <v>3.0</v>
      </c>
      <c r="M130" s="19">
        <v>0.0</v>
      </c>
      <c r="N130" s="19">
        <v>0.0</v>
      </c>
      <c r="O130" s="19">
        <v>1.0</v>
      </c>
      <c r="P130" s="19">
        <v>1.0</v>
      </c>
      <c r="Q130" s="19">
        <v>0.0</v>
      </c>
      <c r="R130" s="19">
        <v>0.0</v>
      </c>
      <c r="S130" s="19">
        <v>1.0</v>
      </c>
      <c r="T130" s="19">
        <v>0.0</v>
      </c>
      <c r="U130" s="19">
        <v>0.0</v>
      </c>
      <c r="V130" s="19">
        <v>0.0</v>
      </c>
      <c r="W130" s="19">
        <v>0.0</v>
      </c>
      <c r="X130" s="13">
        <f t="shared" si="28"/>
        <v>21</v>
      </c>
      <c r="Y130" s="1"/>
      <c r="Z130" s="1"/>
    </row>
    <row r="131" ht="12.75" customHeight="1">
      <c r="A131" s="18"/>
      <c r="B131" s="55">
        <v>2.0</v>
      </c>
      <c r="C131" s="50" t="s">
        <v>97</v>
      </c>
      <c r="D131" s="56"/>
      <c r="E131" s="19">
        <v>1.0</v>
      </c>
      <c r="F131" s="19">
        <v>2.0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2.0</v>
      </c>
      <c r="U131" s="19">
        <v>0.0</v>
      </c>
      <c r="V131" s="19">
        <v>1.0</v>
      </c>
      <c r="W131" s="19">
        <v>0.0</v>
      </c>
      <c r="X131" s="13">
        <f t="shared" si="28"/>
        <v>7</v>
      </c>
      <c r="Y131" s="52"/>
      <c r="Z131" s="52"/>
    </row>
    <row r="132" ht="12.75" customHeight="1">
      <c r="A132" s="18"/>
      <c r="B132" s="55">
        <v>3.0</v>
      </c>
      <c r="C132" s="50" t="s">
        <v>98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3">
        <f t="shared" si="28"/>
        <v>1</v>
      </c>
      <c r="Y132" s="5"/>
      <c r="Z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3">
        <f t="shared" si="28"/>
        <v>0</v>
      </c>
      <c r="Y133" s="5"/>
      <c r="Z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3">
        <f t="shared" si="28"/>
        <v>0</v>
      </c>
      <c r="Y134" s="5"/>
      <c r="Z134" s="5"/>
    </row>
    <row r="135" ht="12.75" customHeight="1">
      <c r="A135" s="18"/>
      <c r="B135" s="55">
        <v>6.0</v>
      </c>
      <c r="C135" s="50" t="s">
        <v>101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9">
        <v>0.0</v>
      </c>
      <c r="P135" s="19">
        <v>1.0</v>
      </c>
      <c r="Q135" s="19">
        <v>0.0</v>
      </c>
      <c r="R135" s="19">
        <v>0.0</v>
      </c>
      <c r="S135" s="19">
        <v>0.0</v>
      </c>
      <c r="T135" s="19">
        <v>0.0</v>
      </c>
      <c r="U135" s="19">
        <v>2.0</v>
      </c>
      <c r="V135" s="19">
        <v>0.0</v>
      </c>
      <c r="W135" s="19">
        <v>0.0</v>
      </c>
      <c r="X135" s="13">
        <f t="shared" si="28"/>
        <v>4</v>
      </c>
      <c r="Y135" s="5"/>
      <c r="Z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3">
        <f t="shared" si="28"/>
        <v>0</v>
      </c>
      <c r="Y136" s="5"/>
      <c r="Z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73"/>
      <c r="Y137" s="5"/>
      <c r="Z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73"/>
      <c r="Y138" s="5"/>
      <c r="Z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W139" si="29">SUM(E129:E136)</f>
        <v>4</v>
      </c>
      <c r="F139" s="13">
        <f t="shared" si="29"/>
        <v>6</v>
      </c>
      <c r="G139" s="13">
        <f t="shared" si="29"/>
        <v>3</v>
      </c>
      <c r="H139" s="13">
        <f t="shared" si="29"/>
        <v>1</v>
      </c>
      <c r="I139" s="13">
        <f t="shared" si="29"/>
        <v>1</v>
      </c>
      <c r="J139" s="13">
        <f t="shared" si="29"/>
        <v>12</v>
      </c>
      <c r="K139" s="13">
        <f t="shared" si="29"/>
        <v>1</v>
      </c>
      <c r="L139" s="13">
        <f t="shared" si="29"/>
        <v>5</v>
      </c>
      <c r="M139" s="13">
        <f t="shared" si="29"/>
        <v>0</v>
      </c>
      <c r="N139" s="13">
        <f t="shared" si="29"/>
        <v>1</v>
      </c>
      <c r="O139" s="13">
        <f t="shared" si="29"/>
        <v>2</v>
      </c>
      <c r="P139" s="13">
        <f t="shared" si="29"/>
        <v>3</v>
      </c>
      <c r="Q139" s="13">
        <f t="shared" si="29"/>
        <v>0</v>
      </c>
      <c r="R139" s="13">
        <f t="shared" si="29"/>
        <v>0</v>
      </c>
      <c r="S139" s="13">
        <f t="shared" si="29"/>
        <v>2</v>
      </c>
      <c r="T139" s="13">
        <f t="shared" si="29"/>
        <v>2</v>
      </c>
      <c r="U139" s="13">
        <f t="shared" si="29"/>
        <v>2</v>
      </c>
      <c r="V139" s="13">
        <f t="shared" si="29"/>
        <v>1</v>
      </c>
      <c r="W139" s="13">
        <f t="shared" si="29"/>
        <v>2</v>
      </c>
      <c r="X139" s="13">
        <f>SUM(E139:W139)</f>
        <v>48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5"/>
      <c r="Z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3">
        <f t="shared" ref="X141:X148" si="30">SUM(E141:W141)</f>
        <v>0</v>
      </c>
      <c r="Y141" s="1"/>
      <c r="Z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1.0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1.0</v>
      </c>
      <c r="X142" s="13">
        <f t="shared" si="30"/>
        <v>2</v>
      </c>
      <c r="Y142" s="52"/>
      <c r="Z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1.0</v>
      </c>
      <c r="X143" s="13">
        <f t="shared" si="30"/>
        <v>1</v>
      </c>
      <c r="Y143" s="5"/>
      <c r="Z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3">
        <f t="shared" si="30"/>
        <v>0</v>
      </c>
      <c r="Y144" s="5"/>
      <c r="Z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3">
        <f t="shared" si="30"/>
        <v>0</v>
      </c>
      <c r="Y145" s="5"/>
      <c r="Z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3">
        <f t="shared" si="30"/>
        <v>0</v>
      </c>
      <c r="Y146" s="5"/>
      <c r="Z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3">
        <f t="shared" si="30"/>
        <v>0</v>
      </c>
      <c r="Y147" s="5"/>
      <c r="Z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3">
        <f t="shared" si="30"/>
        <v>0</v>
      </c>
      <c r="Y148" s="5"/>
      <c r="Z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73"/>
      <c r="Y149" s="5"/>
      <c r="Z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73"/>
      <c r="Y150" s="5"/>
      <c r="Z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2</v>
      </c>
      <c r="X151" s="13">
        <f>SUM(E151:W151)</f>
        <v>3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13"/>
      <c r="Y152" s="52"/>
      <c r="Z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3">
        <f t="shared" ref="X153:X157" si="32">SUM(E153:W153)</f>
        <v>0</v>
      </c>
      <c r="Y153" s="5"/>
      <c r="Z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3">
        <f t="shared" si="32"/>
        <v>1</v>
      </c>
      <c r="Y154" s="5"/>
      <c r="Z154" s="5"/>
    </row>
    <row r="155" ht="12.75" customHeight="1">
      <c r="A155" s="18"/>
      <c r="B155" s="55">
        <v>2.0</v>
      </c>
      <c r="C155" s="59" t="s">
        <v>115</v>
      </c>
      <c r="D155" s="57"/>
      <c r="E155" s="19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2.0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3">
        <f t="shared" si="32"/>
        <v>3</v>
      </c>
      <c r="Y155" s="5"/>
      <c r="Z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3">
        <f t="shared" si="32"/>
        <v>0</v>
      </c>
      <c r="Y156" s="5"/>
      <c r="Z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3">
        <f t="shared" si="32"/>
        <v>1</v>
      </c>
      <c r="Y157" s="5"/>
      <c r="Z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73"/>
      <c r="Y158" s="5"/>
      <c r="Z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73"/>
      <c r="Y159" s="5"/>
      <c r="Z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73"/>
      <c r="Y160" s="5"/>
      <c r="Z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73"/>
      <c r="Y161" s="5"/>
      <c r="Z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73"/>
      <c r="Y162" s="5"/>
      <c r="Z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W163" si="33">SUM(E153:E157)</f>
        <v>1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2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>SUM(E163:W163)</f>
        <v>5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5"/>
      <c r="Z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1.0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3">
        <f t="shared" ref="X165:X172" si="34">SUM(E165:W165)</f>
        <v>5</v>
      </c>
      <c r="Y165" s="1"/>
      <c r="Z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0.0</v>
      </c>
      <c r="X166" s="13">
        <f t="shared" si="34"/>
        <v>3</v>
      </c>
      <c r="Y166" s="52"/>
      <c r="Z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3">
        <f t="shared" si="34"/>
        <v>1</v>
      </c>
      <c r="Y167" s="5"/>
      <c r="Z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3">
        <f t="shared" si="34"/>
        <v>0</v>
      </c>
      <c r="Y168" s="5"/>
      <c r="Z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3">
        <f t="shared" si="34"/>
        <v>1</v>
      </c>
      <c r="Y169" s="5"/>
      <c r="Z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1.0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3">
        <f t="shared" si="34"/>
        <v>1</v>
      </c>
      <c r="Y170" s="5"/>
      <c r="Z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3">
        <f t="shared" si="34"/>
        <v>0</v>
      </c>
      <c r="Y171" s="5"/>
      <c r="Z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3">
        <f t="shared" si="34"/>
        <v>0</v>
      </c>
      <c r="Y172" s="5"/>
      <c r="Z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73"/>
      <c r="Y173" s="5"/>
      <c r="Z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73"/>
      <c r="Y174" s="5"/>
      <c r="Z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W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2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3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1</v>
      </c>
      <c r="X175" s="13">
        <f>SUM(E175:W175)</f>
        <v>11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1"/>
      <c r="Z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3.0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2.0</v>
      </c>
      <c r="V177" s="19">
        <v>0.0</v>
      </c>
      <c r="W177" s="19">
        <v>0.0</v>
      </c>
      <c r="X177" s="13">
        <f t="shared" ref="X177:X184" si="36">SUM(E177:W177)</f>
        <v>5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1.0</v>
      </c>
      <c r="F178" s="19">
        <v>1.0</v>
      </c>
      <c r="G178" s="19">
        <v>0.0</v>
      </c>
      <c r="H178" s="19">
        <v>0.0</v>
      </c>
      <c r="I178" s="19">
        <v>0.0</v>
      </c>
      <c r="J178" s="19">
        <v>2.0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3">
        <f t="shared" si="36"/>
        <v>4</v>
      </c>
      <c r="Y178" s="5"/>
      <c r="Z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3">
        <f t="shared" si="36"/>
        <v>0</v>
      </c>
      <c r="Y179" s="5"/>
      <c r="Z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7.0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3">
        <f t="shared" si="36"/>
        <v>9</v>
      </c>
      <c r="Y180" s="5"/>
      <c r="Z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3">
        <f t="shared" si="36"/>
        <v>1</v>
      </c>
      <c r="Y181" s="5"/>
      <c r="Z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3">
        <f t="shared" si="36"/>
        <v>0</v>
      </c>
      <c r="Y182" s="5"/>
      <c r="Z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3">
        <f t="shared" si="36"/>
        <v>0</v>
      </c>
      <c r="Y183" s="5"/>
      <c r="Z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0</v>
      </c>
      <c r="Y184" s="5"/>
      <c r="Z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73"/>
      <c r="Y185" s="5"/>
      <c r="Z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73"/>
      <c r="Y186" s="5"/>
      <c r="Z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W187" si="37">SUM(E177:E184)</f>
        <v>1</v>
      </c>
      <c r="F187" s="13">
        <f t="shared" si="37"/>
        <v>9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5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2</v>
      </c>
      <c r="V187" s="13">
        <f t="shared" si="37"/>
        <v>0</v>
      </c>
      <c r="W187" s="13">
        <f t="shared" si="37"/>
        <v>0</v>
      </c>
      <c r="X187" s="13">
        <f>SUM(E187:W187)</f>
        <v>19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0.0</v>
      </c>
      <c r="F189" s="19">
        <v>0.0</v>
      </c>
      <c r="G189" s="19">
        <v>0.0</v>
      </c>
      <c r="H189" s="19">
        <v>2.0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3">
        <f t="shared" ref="X189:X196" si="38">SUM(E189:W189)</f>
        <v>2</v>
      </c>
      <c r="Y189" s="5"/>
      <c r="Z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3">
        <f t="shared" si="38"/>
        <v>0</v>
      </c>
      <c r="Y190" s="5"/>
      <c r="Z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1.0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3">
        <f t="shared" si="38"/>
        <v>1</v>
      </c>
      <c r="Y191" s="5"/>
      <c r="Z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3">
        <f t="shared" si="38"/>
        <v>0</v>
      </c>
      <c r="Y192" s="5"/>
      <c r="Z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38"/>
        <v>0</v>
      </c>
      <c r="Y193" s="5"/>
      <c r="Z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3">
        <f t="shared" si="38"/>
        <v>0</v>
      </c>
      <c r="Y194" s="5"/>
      <c r="Z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3">
        <f t="shared" si="38"/>
        <v>0</v>
      </c>
      <c r="Y195" s="5"/>
      <c r="Z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3">
        <f t="shared" si="38"/>
        <v>0</v>
      </c>
      <c r="Y196" s="1"/>
      <c r="Z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73"/>
      <c r="Y197" s="1"/>
      <c r="Z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73"/>
      <c r="Y198" s="1"/>
      <c r="Z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W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>SUM(E199:W199)</f>
        <v>3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5"/>
      <c r="Z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2.0</v>
      </c>
      <c r="F201" s="19">
        <v>3.0</v>
      </c>
      <c r="G201" s="19">
        <v>0.0</v>
      </c>
      <c r="H201" s="19">
        <v>6.0</v>
      </c>
      <c r="I201" s="19">
        <v>3.0</v>
      </c>
      <c r="J201" s="19">
        <v>4.0</v>
      </c>
      <c r="K201" s="19">
        <v>1.0</v>
      </c>
      <c r="L201" s="19">
        <v>1.0</v>
      </c>
      <c r="M201" s="19">
        <v>1.0</v>
      </c>
      <c r="N201" s="19">
        <v>3.0</v>
      </c>
      <c r="O201" s="19">
        <v>1.0</v>
      </c>
      <c r="P201" s="19">
        <v>0.0</v>
      </c>
      <c r="Q201" s="19">
        <v>2.0</v>
      </c>
      <c r="R201" s="19">
        <v>0.0</v>
      </c>
      <c r="S201" s="19">
        <v>9.0</v>
      </c>
      <c r="T201" s="19">
        <v>4.0</v>
      </c>
      <c r="U201" s="19">
        <v>1.0</v>
      </c>
      <c r="V201" s="19">
        <v>1.0</v>
      </c>
      <c r="W201" s="19">
        <v>1.0</v>
      </c>
      <c r="X201" s="13">
        <f t="shared" ref="X201:X208" si="40">SUM(E201:W201)</f>
        <v>43</v>
      </c>
      <c r="Y201" s="5"/>
      <c r="Z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1.0</v>
      </c>
      <c r="F202" s="19">
        <v>1.0</v>
      </c>
      <c r="G202" s="19">
        <v>3.0</v>
      </c>
      <c r="H202" s="19">
        <v>3.0</v>
      </c>
      <c r="I202" s="19">
        <v>4.0</v>
      </c>
      <c r="J202" s="19">
        <v>2.0</v>
      </c>
      <c r="K202" s="19">
        <v>3.0</v>
      </c>
      <c r="L202" s="19">
        <v>9.0</v>
      </c>
      <c r="M202" s="19">
        <v>1.0</v>
      </c>
      <c r="N202" s="19">
        <v>1.0</v>
      </c>
      <c r="O202" s="19">
        <v>3.0</v>
      </c>
      <c r="P202" s="19">
        <v>1.0</v>
      </c>
      <c r="Q202" s="19">
        <v>1.0</v>
      </c>
      <c r="R202" s="19">
        <v>1.0</v>
      </c>
      <c r="S202" s="19">
        <v>32.0</v>
      </c>
      <c r="T202" s="19">
        <v>1.0</v>
      </c>
      <c r="U202" s="19">
        <v>4.0</v>
      </c>
      <c r="V202" s="19">
        <v>1.0</v>
      </c>
      <c r="W202" s="19">
        <v>2.0</v>
      </c>
      <c r="X202" s="13">
        <f t="shared" si="40"/>
        <v>74</v>
      </c>
      <c r="Y202" s="5"/>
      <c r="Z202" s="5"/>
    </row>
    <row r="203" ht="12.75" customHeight="1">
      <c r="A203" s="18"/>
      <c r="B203" s="55">
        <v>2.0</v>
      </c>
      <c r="C203" s="50" t="s">
        <v>148</v>
      </c>
      <c r="D203" s="57"/>
      <c r="E203" s="19">
        <v>1.0</v>
      </c>
      <c r="F203" s="19">
        <v>0.0</v>
      </c>
      <c r="G203" s="19">
        <v>2.0</v>
      </c>
      <c r="H203" s="19">
        <v>2.0</v>
      </c>
      <c r="I203" s="19">
        <v>1.0</v>
      </c>
      <c r="J203" s="19">
        <v>1.0</v>
      </c>
      <c r="K203" s="19">
        <v>0.0</v>
      </c>
      <c r="L203" s="19">
        <v>1.0</v>
      </c>
      <c r="M203" s="19">
        <v>0.0</v>
      </c>
      <c r="N203" s="19">
        <v>0.0</v>
      </c>
      <c r="O203" s="19">
        <v>1.0</v>
      </c>
      <c r="P203" s="19">
        <v>0.0</v>
      </c>
      <c r="Q203" s="19">
        <v>0.0</v>
      </c>
      <c r="R203" s="19">
        <v>0.0</v>
      </c>
      <c r="S203" s="19">
        <v>2.0</v>
      </c>
      <c r="T203" s="19">
        <v>4.0</v>
      </c>
      <c r="U203" s="19">
        <v>1.0</v>
      </c>
      <c r="V203" s="19">
        <v>1.0</v>
      </c>
      <c r="W203" s="19">
        <v>1.0</v>
      </c>
      <c r="X203" s="13">
        <f t="shared" si="40"/>
        <v>18</v>
      </c>
      <c r="Y203" s="5"/>
      <c r="Z203" s="5"/>
    </row>
    <row r="204" ht="12.75" customHeight="1">
      <c r="A204" s="18"/>
      <c r="B204" s="55">
        <v>3.0</v>
      </c>
      <c r="C204" s="50" t="s">
        <v>149</v>
      </c>
      <c r="D204" s="57"/>
      <c r="E204" s="19">
        <v>0.0</v>
      </c>
      <c r="F204" s="19">
        <v>2.0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2.0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3.0</v>
      </c>
      <c r="T204" s="19">
        <v>1.0</v>
      </c>
      <c r="U204" s="19">
        <v>0.0</v>
      </c>
      <c r="V204" s="19">
        <v>0.0</v>
      </c>
      <c r="W204" s="19">
        <v>0.0</v>
      </c>
      <c r="X204" s="13">
        <f t="shared" si="40"/>
        <v>8</v>
      </c>
      <c r="Y204" s="5"/>
      <c r="Z204" s="5"/>
    </row>
    <row r="205" ht="12.75" customHeight="1">
      <c r="A205" s="18"/>
      <c r="B205" s="55">
        <v>4.0</v>
      </c>
      <c r="C205" s="50" t="s">
        <v>150</v>
      </c>
      <c r="D205" s="57"/>
      <c r="E205" s="19">
        <v>0.0</v>
      </c>
      <c r="F205" s="19">
        <v>5.0</v>
      </c>
      <c r="G205" s="19">
        <v>7.0</v>
      </c>
      <c r="H205" s="19">
        <v>0.0</v>
      </c>
      <c r="I205" s="19">
        <v>4.0</v>
      </c>
      <c r="J205" s="19">
        <v>1.0</v>
      </c>
      <c r="K205" s="19">
        <v>4.0</v>
      </c>
      <c r="L205" s="19">
        <v>1.0</v>
      </c>
      <c r="M205" s="19">
        <v>3.0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20.0</v>
      </c>
      <c r="T205" s="19">
        <v>8.0</v>
      </c>
      <c r="U205" s="19">
        <v>3.0</v>
      </c>
      <c r="V205" s="19">
        <v>2.0</v>
      </c>
      <c r="W205" s="19">
        <v>0.0</v>
      </c>
      <c r="X205" s="13">
        <f t="shared" si="40"/>
        <v>58</v>
      </c>
      <c r="Y205" s="5"/>
      <c r="Z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3">
        <f t="shared" si="40"/>
        <v>5</v>
      </c>
      <c r="Y206" s="5"/>
      <c r="Z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1.0</v>
      </c>
      <c r="X207" s="13">
        <f t="shared" si="40"/>
        <v>2</v>
      </c>
      <c r="Y207" s="1"/>
      <c r="Z207" s="1"/>
    </row>
    <row r="208" ht="12.75" customHeight="1">
      <c r="A208" s="18"/>
      <c r="B208" s="55">
        <v>7.0</v>
      </c>
      <c r="C208" s="50" t="s">
        <v>153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3">
        <f t="shared" si="40"/>
        <v>1</v>
      </c>
      <c r="Y208" s="52"/>
      <c r="Z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73"/>
      <c r="Y209" s="52"/>
      <c r="Z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73"/>
      <c r="Y210" s="52"/>
      <c r="Z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W211" si="41">SUM(E201:E208)</f>
        <v>4</v>
      </c>
      <c r="F211" s="13">
        <f t="shared" si="41"/>
        <v>13</v>
      </c>
      <c r="G211" s="13">
        <f t="shared" si="41"/>
        <v>12</v>
      </c>
      <c r="H211" s="13">
        <f t="shared" si="41"/>
        <v>11</v>
      </c>
      <c r="I211" s="13">
        <f t="shared" si="41"/>
        <v>13</v>
      </c>
      <c r="J211" s="13">
        <f t="shared" si="41"/>
        <v>8</v>
      </c>
      <c r="K211" s="13">
        <f t="shared" si="41"/>
        <v>8</v>
      </c>
      <c r="L211" s="13">
        <f t="shared" si="41"/>
        <v>12</v>
      </c>
      <c r="M211" s="13">
        <f t="shared" si="41"/>
        <v>7</v>
      </c>
      <c r="N211" s="13">
        <f t="shared" si="41"/>
        <v>5</v>
      </c>
      <c r="O211" s="13">
        <f t="shared" si="41"/>
        <v>6</v>
      </c>
      <c r="P211" s="13">
        <f t="shared" si="41"/>
        <v>1</v>
      </c>
      <c r="Q211" s="13">
        <f t="shared" si="41"/>
        <v>3</v>
      </c>
      <c r="R211" s="13">
        <f t="shared" si="41"/>
        <v>2</v>
      </c>
      <c r="S211" s="13">
        <f t="shared" si="41"/>
        <v>66</v>
      </c>
      <c r="T211" s="13">
        <f t="shared" si="41"/>
        <v>18</v>
      </c>
      <c r="U211" s="13">
        <f t="shared" si="41"/>
        <v>9</v>
      </c>
      <c r="V211" s="13">
        <f t="shared" si="41"/>
        <v>5</v>
      </c>
      <c r="W211" s="13">
        <f t="shared" si="41"/>
        <v>6</v>
      </c>
      <c r="X211" s="13">
        <f>SUM(E211:W211)</f>
        <v>209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5"/>
      <c r="Z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0.0</v>
      </c>
      <c r="F213" s="19">
        <v>1.0</v>
      </c>
      <c r="G213" s="19">
        <v>2.0</v>
      </c>
      <c r="H213" s="19">
        <v>3.0</v>
      </c>
      <c r="I213" s="19">
        <v>2.0</v>
      </c>
      <c r="J213" s="19">
        <v>1.0</v>
      </c>
      <c r="K213" s="19">
        <v>2.0</v>
      </c>
      <c r="L213" s="19">
        <v>1.0</v>
      </c>
      <c r="M213" s="19">
        <v>1.0</v>
      </c>
      <c r="N213" s="19">
        <v>1.0</v>
      </c>
      <c r="O213" s="19">
        <v>1.0</v>
      </c>
      <c r="P213" s="19">
        <v>0.0</v>
      </c>
      <c r="Q213" s="19">
        <v>0.0</v>
      </c>
      <c r="R213" s="19">
        <v>1.0</v>
      </c>
      <c r="S213" s="19">
        <v>1.0</v>
      </c>
      <c r="T213" s="19">
        <v>0.0</v>
      </c>
      <c r="U213" s="19">
        <v>1.0</v>
      </c>
      <c r="V213" s="19">
        <v>2.0</v>
      </c>
      <c r="W213" s="19">
        <v>1.0</v>
      </c>
      <c r="X213" s="13">
        <f t="shared" ref="X213:X220" si="42">SUM(E213:W213)</f>
        <v>21</v>
      </c>
      <c r="Y213" s="5"/>
      <c r="Z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0.0</v>
      </c>
      <c r="F214" s="19">
        <v>1.0</v>
      </c>
      <c r="G214" s="19">
        <v>0.0</v>
      </c>
      <c r="H214" s="19">
        <v>1.0</v>
      </c>
      <c r="I214" s="19">
        <v>2.0</v>
      </c>
      <c r="J214" s="19">
        <v>2.0</v>
      </c>
      <c r="K214" s="19">
        <v>1.0</v>
      </c>
      <c r="L214" s="19">
        <v>3.0</v>
      </c>
      <c r="M214" s="19">
        <v>1.0</v>
      </c>
      <c r="N214" s="19">
        <v>1.0</v>
      </c>
      <c r="O214" s="19">
        <v>1.0</v>
      </c>
      <c r="P214" s="19">
        <v>1.0</v>
      </c>
      <c r="Q214" s="19">
        <v>1.0</v>
      </c>
      <c r="R214" s="19">
        <v>0.0</v>
      </c>
      <c r="S214" s="19">
        <v>2.0</v>
      </c>
      <c r="T214" s="19">
        <v>0.0</v>
      </c>
      <c r="U214" s="19">
        <v>0.0</v>
      </c>
      <c r="V214" s="19">
        <v>0.0</v>
      </c>
      <c r="W214" s="19">
        <v>0.0</v>
      </c>
      <c r="X214" s="13">
        <f t="shared" si="42"/>
        <v>17</v>
      </c>
      <c r="Y214" s="5"/>
      <c r="Z214" s="5"/>
    </row>
    <row r="215" ht="12.75" customHeight="1">
      <c r="A215" s="18"/>
      <c r="B215" s="55">
        <v>2.0</v>
      </c>
      <c r="C215" s="50" t="s">
        <v>157</v>
      </c>
      <c r="D215" s="56"/>
      <c r="E215" s="19">
        <v>20.0</v>
      </c>
      <c r="F215" s="19">
        <v>58.0</v>
      </c>
      <c r="G215" s="19">
        <v>44.0</v>
      </c>
      <c r="H215" s="19">
        <v>27.0</v>
      </c>
      <c r="I215" s="19">
        <v>47.0</v>
      </c>
      <c r="J215" s="19">
        <v>22.0</v>
      </c>
      <c r="K215" s="19">
        <v>19.0</v>
      </c>
      <c r="L215" s="19">
        <v>27.0</v>
      </c>
      <c r="M215" s="19">
        <v>28.0</v>
      </c>
      <c r="N215" s="19">
        <v>20.0</v>
      </c>
      <c r="O215" s="19">
        <v>26.0</v>
      </c>
      <c r="P215" s="19">
        <v>35.0</v>
      </c>
      <c r="Q215" s="19">
        <v>14.0</v>
      </c>
      <c r="R215" s="19">
        <v>12.0</v>
      </c>
      <c r="S215" s="19">
        <v>1.0</v>
      </c>
      <c r="T215" s="19">
        <v>6.0</v>
      </c>
      <c r="U215" s="19">
        <v>12.0</v>
      </c>
      <c r="V215" s="19">
        <v>33.0</v>
      </c>
      <c r="W215" s="19">
        <v>17.0</v>
      </c>
      <c r="X215" s="13">
        <f t="shared" si="42"/>
        <v>468</v>
      </c>
      <c r="Y215" s="5"/>
      <c r="Z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3">
        <f t="shared" si="42"/>
        <v>1</v>
      </c>
      <c r="Y216" s="5"/>
      <c r="Z216" s="5"/>
    </row>
    <row r="217" ht="12.75" customHeight="1">
      <c r="A217" s="18"/>
      <c r="B217" s="55">
        <v>4.0</v>
      </c>
      <c r="C217" s="50" t="s">
        <v>159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3">
        <f t="shared" si="42"/>
        <v>2</v>
      </c>
      <c r="Y217" s="5"/>
      <c r="Z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3">
        <f t="shared" si="42"/>
        <v>0</v>
      </c>
      <c r="Y218" s="1"/>
      <c r="Z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3">
        <f t="shared" si="42"/>
        <v>2</v>
      </c>
      <c r="Y219" s="52"/>
      <c r="Z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3">
        <f t="shared" si="42"/>
        <v>0</v>
      </c>
      <c r="Y220" s="5"/>
      <c r="Z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73"/>
      <c r="Y221" s="5"/>
      <c r="Z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73"/>
      <c r="Y222" s="5"/>
      <c r="Z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W223" si="43">SUM(E213:E220)</f>
        <v>20</v>
      </c>
      <c r="F223" s="13">
        <f t="shared" si="43"/>
        <v>60</v>
      </c>
      <c r="G223" s="13">
        <f t="shared" si="43"/>
        <v>46</v>
      </c>
      <c r="H223" s="13">
        <f t="shared" si="43"/>
        <v>32</v>
      </c>
      <c r="I223" s="13">
        <f t="shared" si="43"/>
        <v>51</v>
      </c>
      <c r="J223" s="13">
        <f t="shared" si="43"/>
        <v>25</v>
      </c>
      <c r="K223" s="13">
        <f t="shared" si="43"/>
        <v>22</v>
      </c>
      <c r="L223" s="13">
        <f t="shared" si="43"/>
        <v>31</v>
      </c>
      <c r="M223" s="13">
        <f t="shared" si="43"/>
        <v>31</v>
      </c>
      <c r="N223" s="13">
        <f t="shared" si="43"/>
        <v>22</v>
      </c>
      <c r="O223" s="13">
        <f t="shared" si="43"/>
        <v>28</v>
      </c>
      <c r="P223" s="13">
        <f t="shared" si="43"/>
        <v>36</v>
      </c>
      <c r="Q223" s="13">
        <f t="shared" si="43"/>
        <v>16</v>
      </c>
      <c r="R223" s="13">
        <f t="shared" si="43"/>
        <v>13</v>
      </c>
      <c r="S223" s="13">
        <f t="shared" si="43"/>
        <v>5</v>
      </c>
      <c r="T223" s="13">
        <f t="shared" si="43"/>
        <v>6</v>
      </c>
      <c r="U223" s="13">
        <f t="shared" si="43"/>
        <v>13</v>
      </c>
      <c r="V223" s="13">
        <f t="shared" si="43"/>
        <v>36</v>
      </c>
      <c r="W223" s="13">
        <f t="shared" si="43"/>
        <v>18</v>
      </c>
      <c r="X223" s="13">
        <f>SUM(E223:W223)</f>
        <v>511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5"/>
      <c r="Z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3">
        <f t="shared" ref="X225:X232" si="44">SUM(E225:W225)</f>
        <v>0</v>
      </c>
      <c r="Y225" s="5"/>
      <c r="Z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3">
        <f t="shared" si="44"/>
        <v>0</v>
      </c>
      <c r="Y226" s="5"/>
      <c r="Z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3">
        <f t="shared" si="44"/>
        <v>0</v>
      </c>
      <c r="Y228" s="5"/>
      <c r="Z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0</v>
      </c>
      <c r="Y229" s="1"/>
      <c r="Z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3">
        <f t="shared" si="44"/>
        <v>0</v>
      </c>
      <c r="Y230" s="52"/>
      <c r="Z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3">
        <f t="shared" si="44"/>
        <v>0</v>
      </c>
      <c r="Y231" s="5"/>
      <c r="Z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3">
        <f t="shared" si="44"/>
        <v>0</v>
      </c>
      <c r="Y232" s="5"/>
      <c r="Z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73"/>
      <c r="Y233" s="5"/>
      <c r="Z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73"/>
      <c r="Y234" s="5"/>
      <c r="Z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W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>SUM(E235:W235)</f>
        <v>0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5"/>
      <c r="Z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2.0</v>
      </c>
      <c r="K237" s="19">
        <v>0.0</v>
      </c>
      <c r="L237" s="19">
        <v>0.0</v>
      </c>
      <c r="M237" s="19">
        <v>0.0</v>
      </c>
      <c r="N237" s="19">
        <v>1.0</v>
      </c>
      <c r="O237" s="19">
        <v>3.0</v>
      </c>
      <c r="P237" s="19">
        <v>1.0</v>
      </c>
      <c r="Q237" s="19">
        <v>0.0</v>
      </c>
      <c r="R237" s="19">
        <v>0.0</v>
      </c>
      <c r="S237" s="19">
        <v>1.0</v>
      </c>
      <c r="T237" s="19">
        <v>1.0</v>
      </c>
      <c r="U237" s="19">
        <v>0.0</v>
      </c>
      <c r="V237" s="19">
        <v>0.0</v>
      </c>
      <c r="W237" s="19">
        <v>1.0</v>
      </c>
      <c r="X237" s="13">
        <f t="shared" ref="X237:X244" si="46">SUM(E237:W237)</f>
        <v>10</v>
      </c>
      <c r="Y237" s="5"/>
      <c r="Z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3.0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3">
        <f t="shared" si="46"/>
        <v>4</v>
      </c>
      <c r="Y238" s="5"/>
      <c r="Z238" s="5"/>
    </row>
    <row r="239" ht="12.75" customHeight="1">
      <c r="A239" s="18"/>
      <c r="B239" s="55">
        <v>2.0</v>
      </c>
      <c r="C239" s="50" t="s">
        <v>175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2.0</v>
      </c>
      <c r="N239" s="19">
        <v>1.0</v>
      </c>
      <c r="O239" s="19">
        <v>0.0</v>
      </c>
      <c r="P239" s="19">
        <v>0.0</v>
      </c>
      <c r="Q239" s="19">
        <v>3.0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3">
        <f t="shared" si="46"/>
        <v>6</v>
      </c>
      <c r="Y239" s="5"/>
      <c r="Z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3">
        <f t="shared" si="46"/>
        <v>1</v>
      </c>
      <c r="Y240" s="1"/>
      <c r="Z240" s="1"/>
    </row>
    <row r="241" ht="12.75" customHeight="1">
      <c r="A241" s="18"/>
      <c r="B241" s="55">
        <v>4.0</v>
      </c>
      <c r="C241" s="50" t="s">
        <v>177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3">
        <f t="shared" si="46"/>
        <v>3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3">
        <f t="shared" si="46"/>
        <v>0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3">
        <f t="shared" si="46"/>
        <v>1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3.0</v>
      </c>
      <c r="F244" s="19">
        <v>2.0</v>
      </c>
      <c r="G244" s="19">
        <v>4.0</v>
      </c>
      <c r="H244" s="19">
        <v>0.0</v>
      </c>
      <c r="I244" s="19">
        <v>0.0</v>
      </c>
      <c r="J244" s="19">
        <v>0.0</v>
      </c>
      <c r="K244" s="19">
        <v>0.0</v>
      </c>
      <c r="L244" s="19">
        <v>3.0</v>
      </c>
      <c r="M244" s="19">
        <v>4.0</v>
      </c>
      <c r="N244" s="19">
        <v>1.0</v>
      </c>
      <c r="O244" s="19">
        <v>1.0</v>
      </c>
      <c r="P244" s="19">
        <v>0.0</v>
      </c>
      <c r="Q244" s="19">
        <v>2.0</v>
      </c>
      <c r="R244" s="19">
        <v>1.0</v>
      </c>
      <c r="S244" s="19">
        <v>0.0</v>
      </c>
      <c r="T244" s="19">
        <v>0.0</v>
      </c>
      <c r="U244" s="19">
        <v>0.0</v>
      </c>
      <c r="V244" s="19">
        <v>1.0</v>
      </c>
      <c r="W244" s="19">
        <v>0.0</v>
      </c>
      <c r="X244" s="13">
        <f t="shared" si="46"/>
        <v>22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W247" si="47">SUM(E237:E244)</f>
        <v>3</v>
      </c>
      <c r="F247" s="13">
        <f t="shared" si="47"/>
        <v>3</v>
      </c>
      <c r="G247" s="13">
        <f t="shared" si="47"/>
        <v>5</v>
      </c>
      <c r="H247" s="13">
        <f t="shared" si="47"/>
        <v>0</v>
      </c>
      <c r="I247" s="13">
        <f t="shared" si="47"/>
        <v>0</v>
      </c>
      <c r="J247" s="13">
        <f t="shared" si="47"/>
        <v>2</v>
      </c>
      <c r="K247" s="13">
        <f t="shared" si="47"/>
        <v>0</v>
      </c>
      <c r="L247" s="13">
        <f t="shared" si="47"/>
        <v>4</v>
      </c>
      <c r="M247" s="13">
        <f t="shared" si="47"/>
        <v>7</v>
      </c>
      <c r="N247" s="13">
        <f t="shared" si="47"/>
        <v>6</v>
      </c>
      <c r="O247" s="13">
        <f t="shared" si="47"/>
        <v>4</v>
      </c>
      <c r="P247" s="13">
        <f t="shared" si="47"/>
        <v>1</v>
      </c>
      <c r="Q247" s="13">
        <f t="shared" si="47"/>
        <v>6</v>
      </c>
      <c r="R247" s="13">
        <f t="shared" si="47"/>
        <v>1</v>
      </c>
      <c r="S247" s="13">
        <f t="shared" si="47"/>
        <v>1</v>
      </c>
      <c r="T247" s="13">
        <f t="shared" si="47"/>
        <v>1</v>
      </c>
      <c r="U247" s="13">
        <f t="shared" si="47"/>
        <v>0</v>
      </c>
      <c r="V247" s="13">
        <f t="shared" si="47"/>
        <v>2</v>
      </c>
      <c r="W247" s="13">
        <f t="shared" si="47"/>
        <v>1</v>
      </c>
      <c r="X247" s="13">
        <f>SUM(E247:W247)</f>
        <v>47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3">
        <f t="shared" ref="X249:X255" si="48">SUM(E249:W249)</f>
        <v>3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3">
        <f t="shared" si="48"/>
        <v>0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3">
        <f t="shared" si="48"/>
        <v>1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3">
        <f t="shared" si="48"/>
        <v>1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1.0</v>
      </c>
      <c r="T253" s="19">
        <v>0.0</v>
      </c>
      <c r="U253" s="19">
        <v>0.0</v>
      </c>
      <c r="V253" s="19">
        <v>0.0</v>
      </c>
      <c r="W253" s="19">
        <v>0.0</v>
      </c>
      <c r="X253" s="13">
        <f t="shared" si="48"/>
        <v>1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3">
        <f t="shared" si="48"/>
        <v>0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W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>SUM(E259:W259)</f>
        <v>6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W262" si="50">E55+E67+E79+E91+E103+E115+E127+E139+E151+E163+E175+E187+E199+E211+E223+E235+E247+E259</f>
        <v>200</v>
      </c>
      <c r="F262" s="19">
        <f t="shared" si="50"/>
        <v>211</v>
      </c>
      <c r="G262" s="19">
        <f t="shared" si="50"/>
        <v>200</v>
      </c>
      <c r="H262" s="19">
        <f t="shared" si="50"/>
        <v>185</v>
      </c>
      <c r="I262" s="19">
        <f t="shared" si="50"/>
        <v>215</v>
      </c>
      <c r="J262" s="19">
        <f t="shared" si="50"/>
        <v>191</v>
      </c>
      <c r="K262" s="19">
        <f t="shared" si="50"/>
        <v>180</v>
      </c>
      <c r="L262" s="19">
        <f t="shared" si="50"/>
        <v>222</v>
      </c>
      <c r="M262" s="19">
        <f t="shared" si="50"/>
        <v>216</v>
      </c>
      <c r="N262" s="19">
        <f t="shared" si="50"/>
        <v>175</v>
      </c>
      <c r="O262" s="19">
        <f t="shared" si="50"/>
        <v>121</v>
      </c>
      <c r="P262" s="19">
        <f t="shared" si="50"/>
        <v>130</v>
      </c>
      <c r="Q262" s="19">
        <f t="shared" si="50"/>
        <v>130</v>
      </c>
      <c r="R262" s="19">
        <f t="shared" si="50"/>
        <v>119</v>
      </c>
      <c r="S262" s="19">
        <f t="shared" si="50"/>
        <v>240</v>
      </c>
      <c r="T262" s="19">
        <f t="shared" si="50"/>
        <v>206</v>
      </c>
      <c r="U262" s="19">
        <f t="shared" si="50"/>
        <v>199</v>
      </c>
      <c r="V262" s="19">
        <f t="shared" si="50"/>
        <v>148</v>
      </c>
      <c r="W262" s="19">
        <f t="shared" si="50"/>
        <v>181</v>
      </c>
      <c r="X262" s="13">
        <f t="shared" ref="X262:X264" si="51">SUM(E262:W262)</f>
        <v>3469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24.0</v>
      </c>
      <c r="F263" s="19">
        <v>21.0</v>
      </c>
      <c r="G263" s="19">
        <v>29.0</v>
      </c>
      <c r="H263" s="19">
        <v>45.0</v>
      </c>
      <c r="I263" s="19">
        <v>19.0</v>
      </c>
      <c r="J263" s="19">
        <v>38.0</v>
      </c>
      <c r="K263" s="19">
        <v>25.0</v>
      </c>
      <c r="L263" s="19">
        <v>20.0</v>
      </c>
      <c r="M263" s="19">
        <v>17.0</v>
      </c>
      <c r="N263" s="19">
        <v>28.0</v>
      </c>
      <c r="O263" s="19">
        <v>15.0</v>
      </c>
      <c r="P263" s="19">
        <v>13.0</v>
      </c>
      <c r="Q263" s="19">
        <v>13.0</v>
      </c>
      <c r="R263" s="19">
        <v>31.0</v>
      </c>
      <c r="S263" s="19">
        <v>26.0</v>
      </c>
      <c r="T263" s="19">
        <v>20.0</v>
      </c>
      <c r="U263" s="19">
        <v>32.0</v>
      </c>
      <c r="V263" s="19">
        <v>19.0</v>
      </c>
      <c r="W263" s="19">
        <v>6.0</v>
      </c>
      <c r="X263" s="13">
        <f t="shared" si="51"/>
        <v>441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W264" si="52">SUM(E262:E263)</f>
        <v>224</v>
      </c>
      <c r="F264" s="13">
        <f t="shared" si="52"/>
        <v>232</v>
      </c>
      <c r="G264" s="13">
        <f t="shared" si="52"/>
        <v>229</v>
      </c>
      <c r="H264" s="13">
        <f t="shared" si="52"/>
        <v>230</v>
      </c>
      <c r="I264" s="13">
        <f t="shared" si="52"/>
        <v>234</v>
      </c>
      <c r="J264" s="13">
        <f t="shared" si="52"/>
        <v>229</v>
      </c>
      <c r="K264" s="13">
        <f t="shared" si="52"/>
        <v>205</v>
      </c>
      <c r="L264" s="13">
        <f t="shared" si="52"/>
        <v>242</v>
      </c>
      <c r="M264" s="13">
        <f t="shared" si="52"/>
        <v>233</v>
      </c>
      <c r="N264" s="13">
        <f t="shared" si="52"/>
        <v>203</v>
      </c>
      <c r="O264" s="13">
        <f t="shared" si="52"/>
        <v>136</v>
      </c>
      <c r="P264" s="13">
        <f t="shared" si="52"/>
        <v>143</v>
      </c>
      <c r="Q264" s="13">
        <f t="shared" si="52"/>
        <v>143</v>
      </c>
      <c r="R264" s="13">
        <f t="shared" si="52"/>
        <v>150</v>
      </c>
      <c r="S264" s="13">
        <f t="shared" si="52"/>
        <v>266</v>
      </c>
      <c r="T264" s="13">
        <f t="shared" si="52"/>
        <v>226</v>
      </c>
      <c r="U264" s="13">
        <f t="shared" si="52"/>
        <v>231</v>
      </c>
      <c r="V264" s="13">
        <f t="shared" si="52"/>
        <v>167</v>
      </c>
      <c r="W264" s="13">
        <f t="shared" si="52"/>
        <v>187</v>
      </c>
      <c r="X264" s="13">
        <f t="shared" si="51"/>
        <v>3910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19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36"/>
    </row>
    <row r="14" ht="12.75" customHeight="1">
      <c r="A14" s="18"/>
      <c r="B14" s="22" t="s">
        <v>10</v>
      </c>
      <c r="C14" s="23"/>
      <c r="D14" s="19" t="s">
        <v>11</v>
      </c>
      <c r="E14" s="19">
        <v>147.0</v>
      </c>
      <c r="F14" s="19">
        <v>118.0</v>
      </c>
      <c r="G14" s="19">
        <v>145.0</v>
      </c>
      <c r="H14" s="19">
        <v>140.0</v>
      </c>
      <c r="I14" s="19">
        <v>140.0</v>
      </c>
      <c r="J14" s="19">
        <v>140.0</v>
      </c>
      <c r="K14" s="19">
        <v>140.0</v>
      </c>
      <c r="L14" s="19">
        <v>140.0</v>
      </c>
      <c r="M14" s="19">
        <v>125.0</v>
      </c>
      <c r="N14" s="19">
        <v>147.0</v>
      </c>
      <c r="O14" s="19">
        <v>127.0</v>
      </c>
      <c r="P14" s="19">
        <v>138.0</v>
      </c>
      <c r="Q14" s="13">
        <f t="shared" ref="Q14:Q16" si="1">SUM(E14:P14)</f>
        <v>1647</v>
      </c>
    </row>
    <row r="15" ht="12.75" customHeight="1">
      <c r="A15" s="18"/>
      <c r="B15" s="26"/>
      <c r="C15" s="27"/>
      <c r="D15" s="19" t="s">
        <v>12</v>
      </c>
      <c r="E15" s="19">
        <v>138.0</v>
      </c>
      <c r="F15" s="19">
        <v>136.0</v>
      </c>
      <c r="G15" s="19">
        <v>147.0</v>
      </c>
      <c r="H15" s="19">
        <v>147.0</v>
      </c>
      <c r="I15" s="19">
        <v>148.0</v>
      </c>
      <c r="J15" s="19">
        <v>142.0</v>
      </c>
      <c r="K15" s="19">
        <v>141.0</v>
      </c>
      <c r="L15" s="19">
        <v>133.0</v>
      </c>
      <c r="M15" s="19">
        <v>123.0</v>
      </c>
      <c r="N15" s="19">
        <v>138.0</v>
      </c>
      <c r="O15" s="19">
        <v>122.0</v>
      </c>
      <c r="P15" s="19">
        <v>130.0</v>
      </c>
      <c r="Q15" s="13">
        <f t="shared" si="1"/>
        <v>1645</v>
      </c>
    </row>
    <row r="16" ht="12.75" customHeight="1">
      <c r="A16" s="25"/>
      <c r="B16" s="21"/>
      <c r="C16" s="28"/>
      <c r="D16" s="13" t="s">
        <v>13</v>
      </c>
      <c r="E16" s="13">
        <f t="shared" ref="E16:P16" si="2">SUM(E14:E15)</f>
        <v>285</v>
      </c>
      <c r="F16" s="13">
        <f t="shared" si="2"/>
        <v>254</v>
      </c>
      <c r="G16" s="13">
        <f t="shared" si="2"/>
        <v>292</v>
      </c>
      <c r="H16" s="13">
        <f t="shared" si="2"/>
        <v>287</v>
      </c>
      <c r="I16" s="13">
        <f t="shared" si="2"/>
        <v>288</v>
      </c>
      <c r="J16" s="13">
        <f t="shared" si="2"/>
        <v>282</v>
      </c>
      <c r="K16" s="13">
        <f t="shared" si="2"/>
        <v>281</v>
      </c>
      <c r="L16" s="13">
        <f t="shared" si="2"/>
        <v>273</v>
      </c>
      <c r="M16" s="13">
        <f t="shared" si="2"/>
        <v>248</v>
      </c>
      <c r="N16" s="13">
        <f t="shared" si="2"/>
        <v>285</v>
      </c>
      <c r="O16" s="13">
        <f t="shared" si="2"/>
        <v>249</v>
      </c>
      <c r="P16" s="13">
        <f t="shared" si="2"/>
        <v>268</v>
      </c>
      <c r="Q16" s="13">
        <f t="shared" si="1"/>
        <v>3292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114.0</v>
      </c>
      <c r="F19" s="19">
        <v>93.0</v>
      </c>
      <c r="G19" s="19">
        <v>106.0</v>
      </c>
      <c r="H19" s="19">
        <v>107.0</v>
      </c>
      <c r="I19" s="19">
        <v>109.0</v>
      </c>
      <c r="J19" s="19">
        <v>108.0</v>
      </c>
      <c r="K19" s="19">
        <v>100.0</v>
      </c>
      <c r="L19" s="19">
        <v>105.0</v>
      </c>
      <c r="M19" s="19">
        <v>94.0</v>
      </c>
      <c r="N19" s="19">
        <v>102.0</v>
      </c>
      <c r="O19" s="19">
        <v>93.0</v>
      </c>
      <c r="P19" s="19">
        <v>101.0</v>
      </c>
      <c r="Q19" s="13">
        <f t="shared" ref="Q19:Q30" si="3">SUM(E19:P19)</f>
        <v>1232</v>
      </c>
    </row>
    <row r="20" ht="12.75" customHeight="1">
      <c r="A20" s="33"/>
      <c r="B20" s="27"/>
      <c r="C20" s="34"/>
      <c r="D20" s="19" t="s">
        <v>12</v>
      </c>
      <c r="E20" s="19">
        <v>112.0</v>
      </c>
      <c r="F20" s="19">
        <v>109.0</v>
      </c>
      <c r="G20" s="19">
        <v>115.0</v>
      </c>
      <c r="H20" s="19">
        <v>113.0</v>
      </c>
      <c r="I20" s="19">
        <v>108.0</v>
      </c>
      <c r="J20" s="19">
        <v>115.0</v>
      </c>
      <c r="K20" s="19">
        <v>105.0</v>
      </c>
      <c r="L20" s="19">
        <v>108.0</v>
      </c>
      <c r="M20" s="19">
        <v>86.0</v>
      </c>
      <c r="N20" s="19">
        <v>104.0</v>
      </c>
      <c r="O20" s="19">
        <v>92.0</v>
      </c>
      <c r="P20" s="19">
        <v>102.0</v>
      </c>
      <c r="Q20" s="13">
        <f t="shared" si="3"/>
        <v>1269</v>
      </c>
    </row>
    <row r="21" ht="12.75" customHeight="1">
      <c r="A21" s="35"/>
      <c r="B21" s="28"/>
      <c r="C21" s="36"/>
      <c r="D21" s="13" t="s">
        <v>13</v>
      </c>
      <c r="E21" s="13">
        <f t="shared" ref="E21:P21" si="4">SUM(E19:E20)</f>
        <v>226</v>
      </c>
      <c r="F21" s="13">
        <f t="shared" si="4"/>
        <v>202</v>
      </c>
      <c r="G21" s="13">
        <f t="shared" si="4"/>
        <v>221</v>
      </c>
      <c r="H21" s="13">
        <f t="shared" si="4"/>
        <v>220</v>
      </c>
      <c r="I21" s="13">
        <f t="shared" si="4"/>
        <v>217</v>
      </c>
      <c r="J21" s="13">
        <f t="shared" si="4"/>
        <v>223</v>
      </c>
      <c r="K21" s="13">
        <f t="shared" si="4"/>
        <v>205</v>
      </c>
      <c r="L21" s="13">
        <f t="shared" si="4"/>
        <v>213</v>
      </c>
      <c r="M21" s="13">
        <f t="shared" si="4"/>
        <v>180</v>
      </c>
      <c r="N21" s="13">
        <f t="shared" si="4"/>
        <v>206</v>
      </c>
      <c r="O21" s="13">
        <f t="shared" si="4"/>
        <v>185</v>
      </c>
      <c r="P21" s="13">
        <f t="shared" si="4"/>
        <v>203</v>
      </c>
      <c r="Q21" s="13">
        <f t="shared" si="3"/>
        <v>2501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1.0</v>
      </c>
      <c r="I25" s="19">
        <v>2.0</v>
      </c>
      <c r="J25" s="19">
        <v>2.0</v>
      </c>
      <c r="K25" s="19">
        <v>1.0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3">
        <f t="shared" si="3"/>
        <v>8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3.0</v>
      </c>
      <c r="G26" s="19">
        <v>1.0</v>
      </c>
      <c r="H26" s="19">
        <v>1.0</v>
      </c>
      <c r="I26" s="19">
        <v>2.0</v>
      </c>
      <c r="J26" s="19">
        <v>2.0</v>
      </c>
      <c r="K26" s="19">
        <v>0.0</v>
      </c>
      <c r="L26" s="19">
        <v>0.0</v>
      </c>
      <c r="M26" s="19">
        <v>0.0</v>
      </c>
      <c r="N26" s="19">
        <v>2.0</v>
      </c>
      <c r="O26" s="19">
        <v>1.0</v>
      </c>
      <c r="P26" s="19">
        <v>0.0</v>
      </c>
      <c r="Q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P27" si="6">SUM(E25:E26)</f>
        <v>0</v>
      </c>
      <c r="F27" s="13">
        <f t="shared" si="6"/>
        <v>3</v>
      </c>
      <c r="G27" s="13">
        <f t="shared" si="6"/>
        <v>2</v>
      </c>
      <c r="H27" s="13">
        <f t="shared" si="6"/>
        <v>2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1</v>
      </c>
      <c r="P27" s="13">
        <f t="shared" si="6"/>
        <v>1</v>
      </c>
      <c r="Q27" s="13">
        <f t="shared" si="3"/>
        <v>20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P28" si="7">SUM(E19,E22,E25)</f>
        <v>114</v>
      </c>
      <c r="F28" s="13">
        <f t="shared" si="7"/>
        <v>93</v>
      </c>
      <c r="G28" s="13">
        <f t="shared" si="7"/>
        <v>107</v>
      </c>
      <c r="H28" s="13">
        <f t="shared" si="7"/>
        <v>108</v>
      </c>
      <c r="I28" s="13">
        <f t="shared" si="7"/>
        <v>111</v>
      </c>
      <c r="J28" s="13">
        <f t="shared" si="7"/>
        <v>110</v>
      </c>
      <c r="K28" s="13">
        <f t="shared" si="7"/>
        <v>101</v>
      </c>
      <c r="L28" s="13">
        <f t="shared" si="7"/>
        <v>105</v>
      </c>
      <c r="M28" s="13">
        <f t="shared" si="7"/>
        <v>94</v>
      </c>
      <c r="N28" s="13">
        <f t="shared" si="7"/>
        <v>103</v>
      </c>
      <c r="O28" s="13">
        <f t="shared" si="7"/>
        <v>93</v>
      </c>
      <c r="P28" s="13">
        <f t="shared" si="7"/>
        <v>102</v>
      </c>
      <c r="Q28" s="13">
        <f t="shared" si="3"/>
        <v>1241</v>
      </c>
    </row>
    <row r="29" ht="12.75" customHeight="1">
      <c r="A29" s="35"/>
      <c r="B29" s="27"/>
      <c r="C29" s="34"/>
      <c r="D29" s="13" t="s">
        <v>12</v>
      </c>
      <c r="E29" s="13">
        <f t="shared" ref="E29:P29" si="8">SUM(E20,E23,E26)</f>
        <v>112</v>
      </c>
      <c r="F29" s="13">
        <f t="shared" si="8"/>
        <v>112</v>
      </c>
      <c r="G29" s="13">
        <f t="shared" si="8"/>
        <v>116</v>
      </c>
      <c r="H29" s="13">
        <f t="shared" si="8"/>
        <v>114</v>
      </c>
      <c r="I29" s="13">
        <f t="shared" si="8"/>
        <v>110</v>
      </c>
      <c r="J29" s="13">
        <f t="shared" si="8"/>
        <v>117</v>
      </c>
      <c r="K29" s="13">
        <f t="shared" si="8"/>
        <v>105</v>
      </c>
      <c r="L29" s="13">
        <f t="shared" si="8"/>
        <v>108</v>
      </c>
      <c r="M29" s="13">
        <f t="shared" si="8"/>
        <v>86</v>
      </c>
      <c r="N29" s="13">
        <f t="shared" si="8"/>
        <v>106</v>
      </c>
      <c r="O29" s="13">
        <f t="shared" si="8"/>
        <v>93</v>
      </c>
      <c r="P29" s="13">
        <f t="shared" si="8"/>
        <v>102</v>
      </c>
      <c r="Q29" s="13">
        <f t="shared" si="3"/>
        <v>1281</v>
      </c>
    </row>
    <row r="30" ht="12.75" customHeight="1">
      <c r="A30" s="35"/>
      <c r="B30" s="28"/>
      <c r="C30" s="36"/>
      <c r="D30" s="13" t="s">
        <v>13</v>
      </c>
      <c r="E30" s="13">
        <f t="shared" ref="E30:P30" si="9">SUM(E28:E29)</f>
        <v>226</v>
      </c>
      <c r="F30" s="13">
        <f t="shared" si="9"/>
        <v>205</v>
      </c>
      <c r="G30" s="13">
        <f t="shared" si="9"/>
        <v>223</v>
      </c>
      <c r="H30" s="13">
        <f t="shared" si="9"/>
        <v>222</v>
      </c>
      <c r="I30" s="13">
        <f t="shared" si="9"/>
        <v>221</v>
      </c>
      <c r="J30" s="13">
        <f t="shared" si="9"/>
        <v>227</v>
      </c>
      <c r="K30" s="13">
        <f t="shared" si="9"/>
        <v>206</v>
      </c>
      <c r="L30" s="13">
        <f t="shared" si="9"/>
        <v>213</v>
      </c>
      <c r="M30" s="13">
        <f t="shared" si="9"/>
        <v>180</v>
      </c>
      <c r="N30" s="13">
        <f t="shared" si="9"/>
        <v>209</v>
      </c>
      <c r="O30" s="13">
        <f t="shared" si="9"/>
        <v>186</v>
      </c>
      <c r="P30" s="13">
        <f t="shared" si="9"/>
        <v>204</v>
      </c>
      <c r="Q30" s="13">
        <f t="shared" si="3"/>
        <v>2522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68"/>
    </row>
    <row r="33" ht="12.75" customHeight="1">
      <c r="A33" s="19">
        <v>1.0</v>
      </c>
      <c r="B33" s="20" t="s">
        <v>26</v>
      </c>
      <c r="C33" s="15"/>
      <c r="D33" s="16"/>
      <c r="E33" s="19">
        <v>290.0</v>
      </c>
      <c r="F33" s="19">
        <v>261.0</v>
      </c>
      <c r="G33" s="19">
        <v>299.0</v>
      </c>
      <c r="H33" s="19">
        <v>293.0</v>
      </c>
      <c r="I33" s="19">
        <v>294.0</v>
      </c>
      <c r="J33" s="19">
        <v>288.0</v>
      </c>
      <c r="K33" s="19">
        <v>286.0</v>
      </c>
      <c r="L33" s="19">
        <v>279.0</v>
      </c>
      <c r="M33" s="19">
        <v>242.0</v>
      </c>
      <c r="N33" s="19">
        <v>291.0</v>
      </c>
      <c r="O33" s="19">
        <v>254.0</v>
      </c>
      <c r="P33" s="19">
        <v>274.0</v>
      </c>
      <c r="Q33" s="13">
        <f t="shared" ref="Q33:Q36" si="10">SUM(E33:P33)</f>
        <v>3351</v>
      </c>
    </row>
    <row r="34" ht="12.75" customHeight="1">
      <c r="A34" s="19">
        <v>2.0</v>
      </c>
      <c r="B34" s="20" t="s">
        <v>27</v>
      </c>
      <c r="C34" s="15"/>
      <c r="D34" s="16"/>
      <c r="E34" s="13">
        <v>226.0</v>
      </c>
      <c r="F34" s="13">
        <v>205.0</v>
      </c>
      <c r="G34" s="13">
        <v>223.0</v>
      </c>
      <c r="H34" s="13">
        <v>222.0</v>
      </c>
      <c r="I34" s="13">
        <v>221.0</v>
      </c>
      <c r="J34" s="13">
        <v>227.0</v>
      </c>
      <c r="K34" s="13">
        <v>206.0</v>
      </c>
      <c r="L34" s="13">
        <v>213.0</v>
      </c>
      <c r="M34" s="13">
        <v>180.0</v>
      </c>
      <c r="N34" s="13">
        <v>209.0</v>
      </c>
      <c r="O34" s="13">
        <v>186.0</v>
      </c>
      <c r="P34" s="13">
        <v>204.0</v>
      </c>
      <c r="Q34" s="13">
        <f t="shared" si="10"/>
        <v>2522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P36" si="11">E33-(E34+E35)</f>
        <v>64</v>
      </c>
      <c r="F36" s="13">
        <f t="shared" si="11"/>
        <v>56</v>
      </c>
      <c r="G36" s="13">
        <f t="shared" si="11"/>
        <v>76</v>
      </c>
      <c r="H36" s="13">
        <f t="shared" si="11"/>
        <v>70</v>
      </c>
      <c r="I36" s="13">
        <f t="shared" si="11"/>
        <v>73</v>
      </c>
      <c r="J36" s="13">
        <f t="shared" si="11"/>
        <v>60</v>
      </c>
      <c r="K36" s="13">
        <f t="shared" si="11"/>
        <v>80</v>
      </c>
      <c r="L36" s="13">
        <f t="shared" si="11"/>
        <v>66</v>
      </c>
      <c r="M36" s="13">
        <f t="shared" si="11"/>
        <v>62</v>
      </c>
      <c r="N36" s="13">
        <f t="shared" si="11"/>
        <v>82</v>
      </c>
      <c r="O36" s="13">
        <f t="shared" si="11"/>
        <v>68</v>
      </c>
      <c r="P36" s="13">
        <f t="shared" si="11"/>
        <v>70</v>
      </c>
      <c r="Q36" s="13">
        <f t="shared" si="10"/>
        <v>827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3">
        <f t="shared" ref="Q39:Q41" si="12">SUM(E39:P39)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3.0</v>
      </c>
      <c r="G40" s="19">
        <v>0.0</v>
      </c>
      <c r="H40" s="19">
        <v>0.0</v>
      </c>
      <c r="I40" s="19">
        <v>0.0</v>
      </c>
      <c r="J40" s="19">
        <v>0.0</v>
      </c>
      <c r="K40" s="19">
        <v>2.0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P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14.0</v>
      </c>
      <c r="F45" s="19">
        <v>9.0</v>
      </c>
      <c r="G45" s="19">
        <v>6.0</v>
      </c>
      <c r="H45" s="19">
        <v>8.0</v>
      </c>
      <c r="I45" s="19">
        <v>11.0</v>
      </c>
      <c r="J45" s="19">
        <v>10.0</v>
      </c>
      <c r="K45" s="19">
        <v>7.0</v>
      </c>
      <c r="L45" s="19">
        <v>11.0</v>
      </c>
      <c r="M45" s="19">
        <v>5.0</v>
      </c>
      <c r="N45" s="19">
        <v>9.0</v>
      </c>
      <c r="O45" s="19">
        <v>6.0</v>
      </c>
      <c r="P45" s="19">
        <v>15.0</v>
      </c>
      <c r="Q45" s="13">
        <f t="shared" ref="Q45:Q52" si="14">SUM(E45:P45)</f>
        <v>111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11.0</v>
      </c>
      <c r="F46" s="19">
        <v>13.0</v>
      </c>
      <c r="G46" s="19">
        <v>30.0</v>
      </c>
      <c r="H46" s="19">
        <v>26.0</v>
      </c>
      <c r="I46" s="19">
        <v>11.0</v>
      </c>
      <c r="J46" s="19">
        <v>25.0</v>
      </c>
      <c r="K46" s="19">
        <v>10.0</v>
      </c>
      <c r="L46" s="19">
        <v>11.0</v>
      </c>
      <c r="M46" s="19">
        <v>6.0</v>
      </c>
      <c r="N46" s="19">
        <v>25.0</v>
      </c>
      <c r="O46" s="19">
        <v>18.0</v>
      </c>
      <c r="P46" s="19">
        <v>6.0</v>
      </c>
      <c r="Q46" s="13">
        <f t="shared" si="14"/>
        <v>192</v>
      </c>
    </row>
    <row r="47" ht="12.75" customHeight="1">
      <c r="A47" s="18"/>
      <c r="B47" s="55">
        <v>2.0</v>
      </c>
      <c r="C47" s="50" t="s">
        <v>40</v>
      </c>
      <c r="D47" s="16"/>
      <c r="E47" s="19">
        <v>5.0</v>
      </c>
      <c r="F47" s="19">
        <v>2.0</v>
      </c>
      <c r="G47" s="19">
        <v>5.0</v>
      </c>
      <c r="H47" s="19">
        <v>6.0</v>
      </c>
      <c r="I47" s="19">
        <v>6.0</v>
      </c>
      <c r="J47" s="19">
        <v>4.0</v>
      </c>
      <c r="K47" s="19">
        <v>3.0</v>
      </c>
      <c r="L47" s="19">
        <v>5.0</v>
      </c>
      <c r="M47" s="19">
        <v>1.0</v>
      </c>
      <c r="N47" s="19">
        <v>1.0</v>
      </c>
      <c r="O47" s="19">
        <v>5.0</v>
      </c>
      <c r="P47" s="19">
        <v>3.0</v>
      </c>
      <c r="Q47" s="13">
        <f t="shared" si="14"/>
        <v>46</v>
      </c>
    </row>
    <row r="48" ht="12.75" customHeight="1">
      <c r="A48" s="18"/>
      <c r="B48" s="55">
        <v>3.0</v>
      </c>
      <c r="C48" s="50" t="s">
        <v>41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2.0</v>
      </c>
      <c r="J48" s="19">
        <v>1.0</v>
      </c>
      <c r="K48" s="19">
        <v>2.0</v>
      </c>
      <c r="L48" s="19">
        <v>0.0</v>
      </c>
      <c r="M48" s="19">
        <v>1.0</v>
      </c>
      <c r="N48" s="19">
        <v>1.0</v>
      </c>
      <c r="O48" s="19">
        <v>0.0</v>
      </c>
      <c r="P48" s="19">
        <v>0.0</v>
      </c>
      <c r="Q48" s="13">
        <f t="shared" si="14"/>
        <v>9</v>
      </c>
    </row>
    <row r="49" ht="12.75" customHeight="1">
      <c r="A49" s="18"/>
      <c r="B49" s="55">
        <v>4.0</v>
      </c>
      <c r="C49" s="50" t="s">
        <v>42</v>
      </c>
      <c r="D49" s="16"/>
      <c r="E49" s="19">
        <v>4.0</v>
      </c>
      <c r="F49" s="19">
        <v>1.0</v>
      </c>
      <c r="G49" s="19">
        <v>1.0</v>
      </c>
      <c r="H49" s="19">
        <v>1.0</v>
      </c>
      <c r="I49" s="19">
        <v>1.0</v>
      </c>
      <c r="J49" s="19">
        <v>2.0</v>
      </c>
      <c r="K49" s="19">
        <v>0.0</v>
      </c>
      <c r="L49" s="19">
        <v>0.0</v>
      </c>
      <c r="M49" s="19">
        <v>0.0</v>
      </c>
      <c r="N49" s="19">
        <v>2.0</v>
      </c>
      <c r="O49" s="19">
        <v>1.0</v>
      </c>
      <c r="P49" s="19">
        <v>0.0</v>
      </c>
      <c r="Q49" s="13">
        <f t="shared" si="14"/>
        <v>13</v>
      </c>
    </row>
    <row r="50" ht="12.75" customHeight="1">
      <c r="A50" s="18"/>
      <c r="B50" s="55">
        <v>5.0</v>
      </c>
      <c r="C50" s="50" t="s">
        <v>43</v>
      </c>
      <c r="D50" s="16"/>
      <c r="E50" s="19">
        <v>1.0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4.0</v>
      </c>
      <c r="P50" s="19">
        <v>0.0</v>
      </c>
      <c r="Q50" s="13">
        <f t="shared" si="14"/>
        <v>8</v>
      </c>
    </row>
    <row r="51" ht="12.75" customHeight="1">
      <c r="A51" s="18"/>
      <c r="B51" s="55">
        <v>6.0</v>
      </c>
      <c r="C51" s="50" t="s">
        <v>44</v>
      </c>
      <c r="D51" s="16"/>
      <c r="E51" s="19">
        <v>1.0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3">
        <f t="shared" si="14"/>
        <v>3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2.0</v>
      </c>
      <c r="J52" s="19">
        <v>1.0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P55" si="15">SUM(E45:E52)</f>
        <v>36</v>
      </c>
      <c r="F55" s="13">
        <f t="shared" si="15"/>
        <v>28</v>
      </c>
      <c r="G55" s="13">
        <f t="shared" si="15"/>
        <v>44</v>
      </c>
      <c r="H55" s="13">
        <f t="shared" si="15"/>
        <v>41</v>
      </c>
      <c r="I55" s="13">
        <f t="shared" si="15"/>
        <v>33</v>
      </c>
      <c r="J55" s="13">
        <f t="shared" si="15"/>
        <v>43</v>
      </c>
      <c r="K55" s="13">
        <f t="shared" si="15"/>
        <v>22</v>
      </c>
      <c r="L55" s="13">
        <f t="shared" si="15"/>
        <v>28</v>
      </c>
      <c r="M55" s="13">
        <f t="shared" si="15"/>
        <v>13</v>
      </c>
      <c r="N55" s="13">
        <f t="shared" si="15"/>
        <v>38</v>
      </c>
      <c r="O55" s="13">
        <f t="shared" si="15"/>
        <v>35</v>
      </c>
      <c r="P55" s="13">
        <f t="shared" si="15"/>
        <v>24</v>
      </c>
      <c r="Q55" s="13">
        <f>SUM(E55:P55)</f>
        <v>385</v>
      </c>
    </row>
    <row r="56" ht="12.75" customHeight="1">
      <c r="A56" s="45"/>
      <c r="B56" s="44"/>
      <c r="C56" s="44"/>
      <c r="D56" s="44"/>
      <c r="E56" s="44"/>
      <c r="Q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11.0</v>
      </c>
      <c r="F57" s="19">
        <v>9.0</v>
      </c>
      <c r="G57" s="19">
        <v>9.0</v>
      </c>
      <c r="H57" s="19">
        <v>12.0</v>
      </c>
      <c r="I57" s="19">
        <v>29.0</v>
      </c>
      <c r="J57" s="19">
        <v>13.0</v>
      </c>
      <c r="K57" s="19">
        <v>8.0</v>
      </c>
      <c r="L57" s="19">
        <v>7.0</v>
      </c>
      <c r="M57" s="19">
        <v>16.0</v>
      </c>
      <c r="N57" s="19">
        <v>10.0</v>
      </c>
      <c r="O57" s="19">
        <v>12.0</v>
      </c>
      <c r="P57" s="19">
        <v>13.0</v>
      </c>
      <c r="Q57" s="13">
        <f t="shared" ref="Q57:Q64" si="16">SUM(E57:P57)</f>
        <v>149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8.0</v>
      </c>
      <c r="F58" s="19">
        <v>17.0</v>
      </c>
      <c r="G58" s="19">
        <v>10.0</v>
      </c>
      <c r="H58" s="19">
        <v>17.0</v>
      </c>
      <c r="I58" s="19">
        <v>27.0</v>
      </c>
      <c r="J58" s="19">
        <v>19.0</v>
      </c>
      <c r="K58" s="19">
        <v>10.0</v>
      </c>
      <c r="L58" s="19">
        <v>7.0</v>
      </c>
      <c r="M58" s="19">
        <v>8.0</v>
      </c>
      <c r="N58" s="19">
        <v>6.0</v>
      </c>
      <c r="O58" s="19">
        <v>9.0</v>
      </c>
      <c r="P58" s="19">
        <v>6.0</v>
      </c>
      <c r="Q58" s="13">
        <f t="shared" si="16"/>
        <v>144</v>
      </c>
    </row>
    <row r="59" ht="12.75" customHeight="1">
      <c r="A59" s="18"/>
      <c r="B59" s="55">
        <v>2.0</v>
      </c>
      <c r="C59" s="50" t="s">
        <v>49</v>
      </c>
      <c r="D59" s="56"/>
      <c r="E59" s="19">
        <v>4.0</v>
      </c>
      <c r="F59" s="19">
        <v>6.0</v>
      </c>
      <c r="G59" s="19">
        <v>30.0</v>
      </c>
      <c r="H59" s="19">
        <v>32.0</v>
      </c>
      <c r="I59" s="19">
        <v>23.0</v>
      </c>
      <c r="J59" s="19">
        <v>33.0</v>
      </c>
      <c r="K59" s="19">
        <v>27.0</v>
      </c>
      <c r="L59" s="19">
        <v>32.0</v>
      </c>
      <c r="M59" s="19">
        <v>44.0</v>
      </c>
      <c r="N59" s="19">
        <v>3.0</v>
      </c>
      <c r="O59" s="19">
        <v>7.0</v>
      </c>
      <c r="P59" s="19">
        <v>11.0</v>
      </c>
      <c r="Q59" s="13">
        <f t="shared" si="16"/>
        <v>252</v>
      </c>
    </row>
    <row r="60" ht="12.75" customHeight="1">
      <c r="A60" s="18"/>
      <c r="B60" s="55">
        <v>3.0</v>
      </c>
      <c r="C60" s="50" t="s">
        <v>50</v>
      </c>
      <c r="D60" s="56"/>
      <c r="E60" s="19">
        <v>1.0</v>
      </c>
      <c r="F60" s="19">
        <v>3.0</v>
      </c>
      <c r="G60" s="19">
        <v>3.0</v>
      </c>
      <c r="H60" s="19">
        <v>1.0</v>
      </c>
      <c r="I60" s="19">
        <v>1.0</v>
      </c>
      <c r="J60" s="19">
        <v>2.0</v>
      </c>
      <c r="K60" s="19">
        <v>2.0</v>
      </c>
      <c r="L60" s="19">
        <v>2.0</v>
      </c>
      <c r="M60" s="19">
        <v>0.0</v>
      </c>
      <c r="N60" s="19">
        <v>3.0</v>
      </c>
      <c r="O60" s="19">
        <v>1.0</v>
      </c>
      <c r="P60" s="19">
        <v>0.0</v>
      </c>
      <c r="Q60" s="13">
        <f t="shared" si="16"/>
        <v>19</v>
      </c>
    </row>
    <row r="61" ht="12.75" customHeight="1">
      <c r="A61" s="18"/>
      <c r="B61" s="55">
        <v>4.0</v>
      </c>
      <c r="C61" s="50" t="s">
        <v>51</v>
      </c>
      <c r="D61" s="56"/>
      <c r="E61" s="19">
        <v>1.0</v>
      </c>
      <c r="F61" s="19">
        <v>0.0</v>
      </c>
      <c r="G61" s="19">
        <v>1.0</v>
      </c>
      <c r="H61" s="19">
        <v>2.0</v>
      </c>
      <c r="I61" s="19">
        <v>2.0</v>
      </c>
      <c r="J61" s="19">
        <v>0.0</v>
      </c>
      <c r="K61" s="19">
        <v>2.0</v>
      </c>
      <c r="L61" s="19">
        <v>0.0</v>
      </c>
      <c r="M61" s="19">
        <v>1.0</v>
      </c>
      <c r="N61" s="19">
        <v>2.0</v>
      </c>
      <c r="O61" s="19">
        <v>0.0</v>
      </c>
      <c r="P61" s="19">
        <v>4.0</v>
      </c>
      <c r="Q61" s="13">
        <f t="shared" si="16"/>
        <v>15</v>
      </c>
    </row>
    <row r="62" ht="12.75" customHeight="1">
      <c r="A62" s="18"/>
      <c r="B62" s="55">
        <v>5.0</v>
      </c>
      <c r="C62" s="50" t="s">
        <v>52</v>
      </c>
      <c r="D62" s="56"/>
      <c r="E62" s="19">
        <v>0.0</v>
      </c>
      <c r="F62" s="19">
        <v>1.0</v>
      </c>
      <c r="G62" s="19">
        <v>3.0</v>
      </c>
      <c r="H62" s="19">
        <v>0.0</v>
      </c>
      <c r="I62" s="19">
        <v>1.0</v>
      </c>
      <c r="J62" s="19">
        <v>0.0</v>
      </c>
      <c r="K62" s="19">
        <v>1.0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3">
        <f t="shared" si="16"/>
        <v>7</v>
      </c>
    </row>
    <row r="63" ht="12.75" customHeight="1">
      <c r="A63" s="18"/>
      <c r="B63" s="55">
        <v>6.0</v>
      </c>
      <c r="C63" s="50" t="s">
        <v>53</v>
      </c>
      <c r="D63" s="57"/>
      <c r="E63" s="19">
        <v>2.0</v>
      </c>
      <c r="F63" s="19">
        <v>2.0</v>
      </c>
      <c r="G63" s="19">
        <v>1.0</v>
      </c>
      <c r="H63" s="19">
        <v>1.0</v>
      </c>
      <c r="I63" s="19">
        <v>3.0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3">
        <f t="shared" si="16"/>
        <v>9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3">
        <f t="shared" si="16"/>
        <v>1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P67" si="17">SUM(E57:E64)</f>
        <v>27</v>
      </c>
      <c r="F67" s="13">
        <f t="shared" si="17"/>
        <v>38</v>
      </c>
      <c r="G67" s="13">
        <f t="shared" si="17"/>
        <v>57</v>
      </c>
      <c r="H67" s="13">
        <f t="shared" si="17"/>
        <v>65</v>
      </c>
      <c r="I67" s="13">
        <f t="shared" si="17"/>
        <v>86</v>
      </c>
      <c r="J67" s="13">
        <f t="shared" si="17"/>
        <v>67</v>
      </c>
      <c r="K67" s="13">
        <f t="shared" si="17"/>
        <v>51</v>
      </c>
      <c r="L67" s="13">
        <f t="shared" si="17"/>
        <v>48</v>
      </c>
      <c r="M67" s="13">
        <f t="shared" si="17"/>
        <v>70</v>
      </c>
      <c r="N67" s="13">
        <f t="shared" si="17"/>
        <v>24</v>
      </c>
      <c r="O67" s="13">
        <f t="shared" si="17"/>
        <v>29</v>
      </c>
      <c r="P67" s="13">
        <f t="shared" si="17"/>
        <v>34</v>
      </c>
      <c r="Q67" s="13">
        <f>SUM(E67:P67)</f>
        <v>596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16.0</v>
      </c>
      <c r="F69" s="19">
        <v>19.0</v>
      </c>
      <c r="G69" s="19">
        <v>6.0</v>
      </c>
      <c r="H69" s="19">
        <v>5.0</v>
      </c>
      <c r="I69" s="19">
        <v>14.0</v>
      </c>
      <c r="J69" s="19">
        <v>8.0</v>
      </c>
      <c r="K69" s="19">
        <v>6.0</v>
      </c>
      <c r="L69" s="19">
        <v>7.0</v>
      </c>
      <c r="M69" s="19">
        <v>8.0</v>
      </c>
      <c r="N69" s="19">
        <v>15.0</v>
      </c>
      <c r="O69" s="19">
        <v>11.0</v>
      </c>
      <c r="P69" s="19">
        <v>12.0</v>
      </c>
      <c r="Q69" s="13">
        <f t="shared" ref="Q69:Q76" si="18">SUM(E69:P69)</f>
        <v>127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16.0</v>
      </c>
      <c r="F70" s="19">
        <v>9.0</v>
      </c>
      <c r="G70" s="19">
        <v>7.0</v>
      </c>
      <c r="H70" s="19">
        <v>8.0</v>
      </c>
      <c r="I70" s="19">
        <v>9.0</v>
      </c>
      <c r="J70" s="19">
        <v>7.0</v>
      </c>
      <c r="K70" s="19">
        <v>8.0</v>
      </c>
      <c r="L70" s="19">
        <v>11.0</v>
      </c>
      <c r="M70" s="19">
        <v>12.0</v>
      </c>
      <c r="N70" s="19">
        <v>36.0</v>
      </c>
      <c r="O70" s="19">
        <v>21.0</v>
      </c>
      <c r="P70" s="19">
        <v>42.0</v>
      </c>
      <c r="Q70" s="13">
        <f t="shared" si="18"/>
        <v>186</v>
      </c>
    </row>
    <row r="71" ht="12.75" customHeight="1">
      <c r="A71" s="18"/>
      <c r="B71" s="55">
        <v>2.0</v>
      </c>
      <c r="C71" s="50" t="s">
        <v>57</v>
      </c>
      <c r="D71" s="57"/>
      <c r="E71" s="19">
        <v>2.0</v>
      </c>
      <c r="F71" s="19">
        <v>1.0</v>
      </c>
      <c r="G71" s="19">
        <v>2.0</v>
      </c>
      <c r="H71" s="19">
        <v>4.0</v>
      </c>
      <c r="I71" s="19">
        <v>2.0</v>
      </c>
      <c r="J71" s="19">
        <v>1.0</v>
      </c>
      <c r="K71" s="19">
        <v>2.0</v>
      </c>
      <c r="L71" s="19">
        <v>4.0</v>
      </c>
      <c r="M71" s="19">
        <v>3.0</v>
      </c>
      <c r="N71" s="19">
        <v>0.0</v>
      </c>
      <c r="O71" s="19">
        <v>0.0</v>
      </c>
      <c r="P71" s="19">
        <v>3.0</v>
      </c>
      <c r="Q71" s="13">
        <f t="shared" si="18"/>
        <v>24</v>
      </c>
    </row>
    <row r="72" ht="12.75" customHeight="1">
      <c r="A72" s="18"/>
      <c r="B72" s="55">
        <v>3.0</v>
      </c>
      <c r="C72" s="50" t="s">
        <v>58</v>
      </c>
      <c r="D72" s="57"/>
      <c r="E72" s="19">
        <v>5.0</v>
      </c>
      <c r="F72" s="19">
        <v>4.0</v>
      </c>
      <c r="G72" s="19">
        <v>3.0</v>
      </c>
      <c r="H72" s="19">
        <v>11.0</v>
      </c>
      <c r="I72" s="19">
        <v>2.0</v>
      </c>
      <c r="J72" s="19">
        <v>2.0</v>
      </c>
      <c r="K72" s="19">
        <v>3.0</v>
      </c>
      <c r="L72" s="19">
        <v>16.0</v>
      </c>
      <c r="M72" s="19">
        <v>7.0</v>
      </c>
      <c r="N72" s="19">
        <v>20.0</v>
      </c>
      <c r="O72" s="19">
        <v>3.0</v>
      </c>
      <c r="P72" s="19">
        <v>5.0</v>
      </c>
      <c r="Q72" s="13">
        <f t="shared" si="18"/>
        <v>81</v>
      </c>
    </row>
    <row r="73" ht="12.75" customHeight="1">
      <c r="A73" s="18"/>
      <c r="B73" s="55">
        <v>4.0</v>
      </c>
      <c r="C73" s="50" t="s">
        <v>59</v>
      </c>
      <c r="D73" s="57"/>
      <c r="E73" s="19">
        <v>4.0</v>
      </c>
      <c r="F73" s="19">
        <v>1.0</v>
      </c>
      <c r="G73" s="19">
        <v>1.0</v>
      </c>
      <c r="H73" s="19">
        <v>2.0</v>
      </c>
      <c r="I73" s="19">
        <v>0.0</v>
      </c>
      <c r="J73" s="19">
        <v>3.0</v>
      </c>
      <c r="K73" s="19">
        <v>1.0</v>
      </c>
      <c r="L73" s="19">
        <v>1.0</v>
      </c>
      <c r="M73" s="19">
        <v>3.0</v>
      </c>
      <c r="N73" s="19">
        <v>2.0</v>
      </c>
      <c r="O73" s="19">
        <v>2.0</v>
      </c>
      <c r="P73" s="19">
        <v>3.0</v>
      </c>
      <c r="Q73" s="13">
        <f t="shared" si="18"/>
        <v>23</v>
      </c>
    </row>
    <row r="74" ht="12.75" customHeight="1">
      <c r="A74" s="18"/>
      <c r="B74" s="55">
        <v>5.0</v>
      </c>
      <c r="C74" s="50" t="s">
        <v>60</v>
      </c>
      <c r="D74" s="57"/>
      <c r="E74" s="19">
        <v>1.0</v>
      </c>
      <c r="F74" s="19">
        <v>2.0</v>
      </c>
      <c r="G74" s="19">
        <v>2.0</v>
      </c>
      <c r="H74" s="19">
        <v>3.0</v>
      </c>
      <c r="I74" s="19">
        <v>0.0</v>
      </c>
      <c r="J74" s="19">
        <v>2.0</v>
      </c>
      <c r="K74" s="19">
        <v>1.0</v>
      </c>
      <c r="L74" s="19">
        <v>3.0</v>
      </c>
      <c r="M74" s="19">
        <v>1.0</v>
      </c>
      <c r="N74" s="19">
        <v>3.0</v>
      </c>
      <c r="O74" s="19">
        <v>0.0</v>
      </c>
      <c r="P74" s="19">
        <v>0.0</v>
      </c>
      <c r="Q74" s="13">
        <f t="shared" si="18"/>
        <v>18</v>
      </c>
    </row>
    <row r="75" ht="12.75" customHeight="1">
      <c r="A75" s="18"/>
      <c r="B75" s="55">
        <v>6.0</v>
      </c>
      <c r="C75" s="50" t="s">
        <v>61</v>
      </c>
      <c r="D75" s="57"/>
      <c r="E75" s="19">
        <v>2.0</v>
      </c>
      <c r="F75" s="19">
        <v>0.0</v>
      </c>
      <c r="G75" s="19">
        <v>2.0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1.0</v>
      </c>
      <c r="N75" s="19">
        <v>0.0</v>
      </c>
      <c r="O75" s="19">
        <v>0.0</v>
      </c>
      <c r="P75" s="19">
        <v>1.0</v>
      </c>
      <c r="Q75" s="13">
        <f t="shared" si="18"/>
        <v>7</v>
      </c>
    </row>
    <row r="76" ht="12.75" customHeight="1">
      <c r="A76" s="18"/>
      <c r="B76" s="55">
        <v>7.0</v>
      </c>
      <c r="C76" s="50" t="s">
        <v>62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1.0</v>
      </c>
      <c r="Q76" s="13">
        <f t="shared" si="18"/>
        <v>2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P79" si="19">SUM(E69:E76)</f>
        <v>46</v>
      </c>
      <c r="F79" s="13">
        <f t="shared" si="19"/>
        <v>36</v>
      </c>
      <c r="G79" s="13">
        <f t="shared" si="19"/>
        <v>23</v>
      </c>
      <c r="H79" s="13">
        <f t="shared" si="19"/>
        <v>33</v>
      </c>
      <c r="I79" s="13">
        <f t="shared" si="19"/>
        <v>27</v>
      </c>
      <c r="J79" s="13">
        <f t="shared" si="19"/>
        <v>24</v>
      </c>
      <c r="K79" s="13">
        <f t="shared" si="19"/>
        <v>22</v>
      </c>
      <c r="L79" s="13">
        <f t="shared" si="19"/>
        <v>42</v>
      </c>
      <c r="M79" s="13">
        <f t="shared" si="19"/>
        <v>35</v>
      </c>
      <c r="N79" s="13">
        <f t="shared" si="19"/>
        <v>76</v>
      </c>
      <c r="O79" s="13">
        <f t="shared" si="19"/>
        <v>37</v>
      </c>
      <c r="P79" s="13">
        <f t="shared" si="19"/>
        <v>67</v>
      </c>
      <c r="Q79" s="13">
        <f>SUM(E79:P79)</f>
        <v>468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10.0</v>
      </c>
      <c r="F81" s="19">
        <v>8.0</v>
      </c>
      <c r="G81" s="19">
        <v>4.0</v>
      </c>
      <c r="H81" s="19">
        <v>1.0</v>
      </c>
      <c r="I81" s="19">
        <v>5.0</v>
      </c>
      <c r="J81" s="19">
        <v>2.0</v>
      </c>
      <c r="K81" s="19">
        <v>3.0</v>
      </c>
      <c r="L81" s="19">
        <v>2.0</v>
      </c>
      <c r="M81" s="19">
        <v>5.0</v>
      </c>
      <c r="N81" s="19">
        <v>6.0</v>
      </c>
      <c r="O81" s="19">
        <v>15.0</v>
      </c>
      <c r="P81" s="19">
        <v>11.0</v>
      </c>
      <c r="Q81" s="13">
        <f t="shared" ref="Q81:Q88" si="20">SUM(E81:P81)</f>
        <v>72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4.0</v>
      </c>
      <c r="F82" s="19">
        <v>9.0</v>
      </c>
      <c r="G82" s="19">
        <v>9.0</v>
      </c>
      <c r="H82" s="19">
        <v>11.0</v>
      </c>
      <c r="I82" s="19">
        <v>3.0</v>
      </c>
      <c r="J82" s="19">
        <v>9.0</v>
      </c>
      <c r="K82" s="19">
        <v>9.0</v>
      </c>
      <c r="L82" s="19">
        <v>3.0</v>
      </c>
      <c r="M82" s="19">
        <v>4.0</v>
      </c>
      <c r="N82" s="19">
        <v>11.0</v>
      </c>
      <c r="O82" s="19">
        <v>29.0</v>
      </c>
      <c r="P82" s="19">
        <v>10.0</v>
      </c>
      <c r="Q82" s="13">
        <f t="shared" si="20"/>
        <v>111</v>
      </c>
    </row>
    <row r="83" ht="12.75" customHeight="1">
      <c r="A83" s="18"/>
      <c r="B83" s="55">
        <v>2.0</v>
      </c>
      <c r="C83" s="50" t="s">
        <v>65</v>
      </c>
      <c r="D83" s="57"/>
      <c r="E83" s="19">
        <v>3.0</v>
      </c>
      <c r="F83" s="19">
        <v>4.0</v>
      </c>
      <c r="G83" s="19">
        <v>2.0</v>
      </c>
      <c r="H83" s="19">
        <v>5.0</v>
      </c>
      <c r="I83" s="19">
        <v>5.0</v>
      </c>
      <c r="J83" s="19">
        <v>1.0</v>
      </c>
      <c r="K83" s="19">
        <v>1.0</v>
      </c>
      <c r="L83" s="19">
        <v>6.0</v>
      </c>
      <c r="M83" s="19">
        <v>0.0</v>
      </c>
      <c r="N83" s="19">
        <v>1.0</v>
      </c>
      <c r="O83" s="19">
        <v>2.0</v>
      </c>
      <c r="P83" s="19">
        <v>5.0</v>
      </c>
      <c r="Q83" s="13">
        <f t="shared" si="20"/>
        <v>35</v>
      </c>
    </row>
    <row r="84" ht="12.75" customHeight="1">
      <c r="A84" s="18"/>
      <c r="B84" s="55">
        <v>3.0</v>
      </c>
      <c r="C84" s="50" t="s">
        <v>66</v>
      </c>
      <c r="D84" s="57"/>
      <c r="E84" s="19">
        <v>0.0</v>
      </c>
      <c r="F84" s="19">
        <v>1.0</v>
      </c>
      <c r="G84" s="19">
        <v>2.0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0.0</v>
      </c>
      <c r="Q84" s="13">
        <f t="shared" si="20"/>
        <v>5</v>
      </c>
    </row>
    <row r="85" ht="12.75" customHeight="1">
      <c r="A85" s="18"/>
      <c r="B85" s="55">
        <v>4.0</v>
      </c>
      <c r="C85" s="50" t="s">
        <v>67</v>
      </c>
      <c r="D85" s="57"/>
      <c r="E85" s="19">
        <v>2.0</v>
      </c>
      <c r="F85" s="19">
        <v>0.0</v>
      </c>
      <c r="G85" s="19">
        <v>0.0</v>
      </c>
      <c r="H85" s="19">
        <v>2.0</v>
      </c>
      <c r="I85" s="19">
        <v>0.0</v>
      </c>
      <c r="J85" s="19">
        <v>0.0</v>
      </c>
      <c r="K85" s="19">
        <v>0.0</v>
      </c>
      <c r="L85" s="19">
        <v>2.0</v>
      </c>
      <c r="M85" s="19">
        <v>0.0</v>
      </c>
      <c r="N85" s="19">
        <v>0.0</v>
      </c>
      <c r="O85" s="19">
        <v>3.0</v>
      </c>
      <c r="P85" s="19">
        <v>2.0</v>
      </c>
      <c r="Q85" s="13">
        <f t="shared" si="20"/>
        <v>11</v>
      </c>
    </row>
    <row r="86" ht="12.75" customHeight="1">
      <c r="A86" s="18"/>
      <c r="B86" s="55">
        <v>5.0</v>
      </c>
      <c r="C86" s="50" t="s">
        <v>68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2.0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3">
        <f t="shared" si="20"/>
        <v>4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3">
        <f t="shared" si="20"/>
        <v>0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3">
        <f t="shared" si="20"/>
        <v>0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P91" si="21">SUM(E81:E88)</f>
        <v>19</v>
      </c>
      <c r="F91" s="13">
        <f t="shared" si="21"/>
        <v>22</v>
      </c>
      <c r="G91" s="13">
        <f t="shared" si="21"/>
        <v>17</v>
      </c>
      <c r="H91" s="13">
        <f t="shared" si="21"/>
        <v>19</v>
      </c>
      <c r="I91" s="13">
        <f t="shared" si="21"/>
        <v>14</v>
      </c>
      <c r="J91" s="13">
        <f t="shared" si="21"/>
        <v>13</v>
      </c>
      <c r="K91" s="13">
        <f t="shared" si="21"/>
        <v>15</v>
      </c>
      <c r="L91" s="13">
        <f t="shared" si="21"/>
        <v>13</v>
      </c>
      <c r="M91" s="13">
        <f t="shared" si="21"/>
        <v>10</v>
      </c>
      <c r="N91" s="13">
        <f t="shared" si="21"/>
        <v>19</v>
      </c>
      <c r="O91" s="13">
        <f t="shared" si="21"/>
        <v>49</v>
      </c>
      <c r="P91" s="13">
        <f t="shared" si="21"/>
        <v>28</v>
      </c>
      <c r="Q91" s="13">
        <f>SUM(E91:P91)</f>
        <v>238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0.0</v>
      </c>
      <c r="H93" s="19">
        <v>1.0</v>
      </c>
      <c r="I93" s="19">
        <v>0.0</v>
      </c>
      <c r="J93" s="19">
        <v>0.0</v>
      </c>
      <c r="K93" s="19">
        <v>1.0</v>
      </c>
      <c r="L93" s="19">
        <v>0.0</v>
      </c>
      <c r="M93" s="19">
        <v>0.0</v>
      </c>
      <c r="N93" s="19">
        <v>3.0</v>
      </c>
      <c r="O93" s="19">
        <v>0.0</v>
      </c>
      <c r="P93" s="19">
        <v>1.0</v>
      </c>
      <c r="Q93" s="13">
        <f t="shared" ref="Q93:Q100" si="22">SUM(E93:P93)</f>
        <v>7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1.0</v>
      </c>
      <c r="F94" s="19">
        <v>0.0</v>
      </c>
      <c r="G94" s="19">
        <v>0.0</v>
      </c>
      <c r="H94" s="19">
        <v>4.0</v>
      </c>
      <c r="I94" s="19">
        <v>0.0</v>
      </c>
      <c r="J94" s="19">
        <v>4.0</v>
      </c>
      <c r="K94" s="19">
        <v>41.0</v>
      </c>
      <c r="L94" s="19">
        <v>4.0</v>
      </c>
      <c r="M94" s="19">
        <v>0.0</v>
      </c>
      <c r="N94" s="19">
        <v>3.0</v>
      </c>
      <c r="O94" s="19">
        <v>1.0</v>
      </c>
      <c r="P94" s="19">
        <v>4.0</v>
      </c>
      <c r="Q94" s="13">
        <f t="shared" si="22"/>
        <v>62</v>
      </c>
    </row>
    <row r="95" ht="12.75" customHeight="1">
      <c r="A95" s="18"/>
      <c r="B95" s="55">
        <v>2.0</v>
      </c>
      <c r="C95" s="50" t="s">
        <v>74</v>
      </c>
      <c r="D95" s="57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2.0</v>
      </c>
      <c r="L95" s="19">
        <v>3.0</v>
      </c>
      <c r="M95" s="19">
        <v>1.0</v>
      </c>
      <c r="N95" s="19">
        <v>2.0</v>
      </c>
      <c r="O95" s="19">
        <v>0.0</v>
      </c>
      <c r="P95" s="19">
        <v>6.0</v>
      </c>
      <c r="Q95" s="13">
        <f t="shared" si="22"/>
        <v>15</v>
      </c>
    </row>
    <row r="96" ht="12.75" customHeight="1">
      <c r="A96" s="18"/>
      <c r="B96" s="55">
        <v>3.0</v>
      </c>
      <c r="C96" s="50" t="s">
        <v>75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3">
        <f t="shared" si="22"/>
        <v>1</v>
      </c>
    </row>
    <row r="97" ht="12.75" customHeight="1">
      <c r="A97" s="18"/>
      <c r="B97" s="55">
        <v>4.0</v>
      </c>
      <c r="C97" s="50" t="s">
        <v>76</v>
      </c>
      <c r="D97" s="57"/>
      <c r="E97" s="19">
        <v>7.0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0.0</v>
      </c>
      <c r="P97" s="19">
        <v>0.0</v>
      </c>
      <c r="Q97" s="13">
        <f t="shared" si="22"/>
        <v>9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3">
        <f t="shared" si="22"/>
        <v>0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3">
        <f t="shared" si="22"/>
        <v>0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P103" si="23">SUM(E93:E100)</f>
        <v>10</v>
      </c>
      <c r="F103" s="13">
        <f t="shared" si="23"/>
        <v>1</v>
      </c>
      <c r="G103" s="13">
        <f t="shared" si="23"/>
        <v>1</v>
      </c>
      <c r="H103" s="13">
        <f t="shared" si="23"/>
        <v>5</v>
      </c>
      <c r="I103" s="13">
        <f t="shared" si="23"/>
        <v>0</v>
      </c>
      <c r="J103" s="13">
        <f t="shared" si="23"/>
        <v>4</v>
      </c>
      <c r="K103" s="13">
        <f t="shared" si="23"/>
        <v>44</v>
      </c>
      <c r="L103" s="13">
        <f t="shared" si="23"/>
        <v>7</v>
      </c>
      <c r="M103" s="13">
        <f t="shared" si="23"/>
        <v>1</v>
      </c>
      <c r="N103" s="13">
        <f t="shared" si="23"/>
        <v>9</v>
      </c>
      <c r="O103" s="13">
        <f t="shared" si="23"/>
        <v>1</v>
      </c>
      <c r="P103" s="13">
        <f t="shared" si="23"/>
        <v>11</v>
      </c>
      <c r="Q103" s="13">
        <f>SUM(E103:P103)</f>
        <v>94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1.0</v>
      </c>
      <c r="N105" s="19">
        <v>1.0</v>
      </c>
      <c r="O105" s="19">
        <v>0.0</v>
      </c>
      <c r="P105" s="19">
        <v>0.0</v>
      </c>
      <c r="Q105" s="13">
        <f t="shared" ref="Q105:Q112" si="24">SUM(E105:P105)</f>
        <v>4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3">
        <f t="shared" si="24"/>
        <v>1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0.0</v>
      </c>
      <c r="F107" s="19">
        <v>0.0</v>
      </c>
      <c r="G107" s="19">
        <v>2.0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3">
        <f t="shared" si="24"/>
        <v>2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3">
        <f t="shared" si="24"/>
        <v>1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3">
        <f t="shared" si="24"/>
        <v>1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3">
        <f t="shared" si="24"/>
        <v>0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P115" si="25">SUM(E105:E112)</f>
        <v>0</v>
      </c>
      <c r="F115" s="13">
        <f t="shared" si="25"/>
        <v>1</v>
      </c>
      <c r="G115" s="13">
        <f t="shared" si="25"/>
        <v>3</v>
      </c>
      <c r="H115" s="13">
        <f t="shared" si="25"/>
        <v>1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>SUM(E115:P115)</f>
        <v>9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0.0</v>
      </c>
      <c r="F117" s="19">
        <v>1.0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1.0</v>
      </c>
      <c r="Q117" s="13">
        <f t="shared" ref="Q117:Q120" si="26">SUM(E117:P117)</f>
        <v>4</v>
      </c>
      <c r="R117" s="5"/>
      <c r="S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3">
        <f t="shared" si="26"/>
        <v>0</v>
      </c>
      <c r="R118" s="5"/>
      <c r="S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3">
        <f t="shared" si="26"/>
        <v>1</v>
      </c>
      <c r="R119" s="5"/>
      <c r="S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3">
        <f t="shared" si="26"/>
        <v>0</v>
      </c>
      <c r="R120" s="5"/>
      <c r="S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73"/>
      <c r="R121" s="5"/>
      <c r="S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73"/>
      <c r="R122" s="5"/>
      <c r="S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73"/>
      <c r="R123" s="5"/>
      <c r="S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73"/>
      <c r="R124" s="5"/>
      <c r="S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73"/>
      <c r="R125" s="5"/>
      <c r="S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73"/>
      <c r="R126" s="5"/>
      <c r="S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P127" si="27">SUM(E117:E120)</f>
        <v>0</v>
      </c>
      <c r="F127" s="58">
        <f t="shared" si="27"/>
        <v>1</v>
      </c>
      <c r="G127" s="58">
        <f t="shared" si="27"/>
        <v>0</v>
      </c>
      <c r="H127" s="58">
        <f t="shared" si="27"/>
        <v>0</v>
      </c>
      <c r="I127" s="58">
        <f t="shared" si="27"/>
        <v>0</v>
      </c>
      <c r="J127" s="58">
        <f t="shared" si="27"/>
        <v>1</v>
      </c>
      <c r="K127" s="58">
        <f t="shared" si="27"/>
        <v>0</v>
      </c>
      <c r="L127" s="58">
        <f t="shared" si="27"/>
        <v>0</v>
      </c>
      <c r="M127" s="58">
        <f t="shared" si="27"/>
        <v>1</v>
      </c>
      <c r="N127" s="58">
        <f t="shared" si="27"/>
        <v>0</v>
      </c>
      <c r="O127" s="58">
        <f t="shared" si="27"/>
        <v>1</v>
      </c>
      <c r="P127" s="58">
        <f t="shared" si="27"/>
        <v>1</v>
      </c>
      <c r="Q127" s="13">
        <f>SUM(E127:P127)</f>
        <v>5</v>
      </c>
      <c r="R127" s="5"/>
      <c r="S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5"/>
      <c r="S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1.0</v>
      </c>
      <c r="F129" s="19">
        <v>3.0</v>
      </c>
      <c r="G129" s="19">
        <v>2.0</v>
      </c>
      <c r="H129" s="19">
        <v>1.0</v>
      </c>
      <c r="I129" s="19">
        <v>2.0</v>
      </c>
      <c r="J129" s="19">
        <v>1.0</v>
      </c>
      <c r="K129" s="19">
        <v>3.0</v>
      </c>
      <c r="L129" s="19">
        <v>0.0</v>
      </c>
      <c r="M129" s="19">
        <v>0.0</v>
      </c>
      <c r="N129" s="19">
        <v>0.0</v>
      </c>
      <c r="O129" s="19">
        <v>0.0</v>
      </c>
      <c r="P129" s="19">
        <v>1.0</v>
      </c>
      <c r="Q129" s="13">
        <f t="shared" ref="Q129:Q136" si="28">SUM(E129:P129)</f>
        <v>14</v>
      </c>
      <c r="R129" s="5"/>
      <c r="S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2.0</v>
      </c>
      <c r="F130" s="19">
        <v>2.0</v>
      </c>
      <c r="G130" s="19">
        <v>2.0</v>
      </c>
      <c r="H130" s="19">
        <v>6.0</v>
      </c>
      <c r="I130" s="19">
        <v>6.0</v>
      </c>
      <c r="J130" s="19">
        <v>6.0</v>
      </c>
      <c r="K130" s="19">
        <v>3.0</v>
      </c>
      <c r="L130" s="19">
        <v>0.0</v>
      </c>
      <c r="M130" s="19">
        <v>3.0</v>
      </c>
      <c r="N130" s="19">
        <v>0.0</v>
      </c>
      <c r="O130" s="19">
        <v>3.0</v>
      </c>
      <c r="P130" s="19">
        <v>0.0</v>
      </c>
      <c r="Q130" s="13">
        <f t="shared" si="28"/>
        <v>33</v>
      </c>
      <c r="R130" s="1"/>
      <c r="S130" s="1"/>
    </row>
    <row r="131" ht="12.75" customHeight="1">
      <c r="A131" s="18"/>
      <c r="B131" s="55">
        <v>2.0</v>
      </c>
      <c r="C131" s="50" t="s">
        <v>97</v>
      </c>
      <c r="D131" s="56"/>
      <c r="E131" s="19">
        <v>1.0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3">
        <f t="shared" si="28"/>
        <v>3</v>
      </c>
      <c r="R131" s="52"/>
      <c r="S131" s="52"/>
    </row>
    <row r="132" ht="12.75" customHeight="1">
      <c r="A132" s="18"/>
      <c r="B132" s="55">
        <v>3.0</v>
      </c>
      <c r="C132" s="50" t="s">
        <v>98</v>
      </c>
      <c r="D132" s="56"/>
      <c r="E132" s="19">
        <v>1.0</v>
      </c>
      <c r="F132" s="19">
        <v>0.0</v>
      </c>
      <c r="G132" s="19">
        <v>2.0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3">
        <f t="shared" si="28"/>
        <v>3</v>
      </c>
      <c r="R132" s="5"/>
      <c r="S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3">
        <f t="shared" si="28"/>
        <v>1</v>
      </c>
      <c r="R133" s="5"/>
      <c r="S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3">
        <f t="shared" si="28"/>
        <v>1</v>
      </c>
      <c r="R134" s="5"/>
      <c r="S134" s="5"/>
    </row>
    <row r="135" ht="12.75" customHeight="1">
      <c r="A135" s="18"/>
      <c r="B135" s="55">
        <v>6.0</v>
      </c>
      <c r="C135" s="50" t="s">
        <v>101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3">
        <f t="shared" si="28"/>
        <v>0</v>
      </c>
      <c r="R135" s="5"/>
      <c r="S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1.0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3">
        <f t="shared" si="28"/>
        <v>1</v>
      </c>
      <c r="R136" s="5"/>
      <c r="S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73"/>
      <c r="R137" s="5"/>
      <c r="S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73"/>
      <c r="R138" s="5"/>
      <c r="S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P139" si="29">SUM(E129:E136)</f>
        <v>5</v>
      </c>
      <c r="F139" s="13">
        <f t="shared" si="29"/>
        <v>7</v>
      </c>
      <c r="G139" s="13">
        <f t="shared" si="29"/>
        <v>6</v>
      </c>
      <c r="H139" s="13">
        <f t="shared" si="29"/>
        <v>7</v>
      </c>
      <c r="I139" s="13">
        <f t="shared" si="29"/>
        <v>9</v>
      </c>
      <c r="J139" s="13">
        <f t="shared" si="29"/>
        <v>8</v>
      </c>
      <c r="K139" s="13">
        <f t="shared" si="29"/>
        <v>7</v>
      </c>
      <c r="L139" s="13">
        <f t="shared" si="29"/>
        <v>0</v>
      </c>
      <c r="M139" s="13">
        <f t="shared" si="29"/>
        <v>3</v>
      </c>
      <c r="N139" s="13">
        <f t="shared" si="29"/>
        <v>0</v>
      </c>
      <c r="O139" s="13">
        <f t="shared" si="29"/>
        <v>3</v>
      </c>
      <c r="P139" s="13">
        <f t="shared" si="29"/>
        <v>1</v>
      </c>
      <c r="Q139" s="13">
        <f>SUM(E139:P139)</f>
        <v>56</v>
      </c>
      <c r="R139" s="5"/>
      <c r="S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5"/>
      <c r="S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3">
        <f t="shared" ref="Q141:Q148" si="30">SUM(E141:P141)</f>
        <v>1</v>
      </c>
      <c r="R141" s="1"/>
      <c r="S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3">
        <f t="shared" si="30"/>
        <v>0</v>
      </c>
      <c r="R142" s="52"/>
      <c r="S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3">
        <f t="shared" si="30"/>
        <v>0</v>
      </c>
      <c r="R143" s="5"/>
      <c r="S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3">
        <f t="shared" si="30"/>
        <v>0</v>
      </c>
      <c r="R144" s="5"/>
      <c r="S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3">
        <f t="shared" si="30"/>
        <v>0</v>
      </c>
      <c r="R145" s="5"/>
      <c r="S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3">
        <f t="shared" si="30"/>
        <v>0</v>
      </c>
      <c r="R146" s="5"/>
      <c r="S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3">
        <f t="shared" si="30"/>
        <v>0</v>
      </c>
      <c r="R147" s="5"/>
      <c r="S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3">
        <f t="shared" si="30"/>
        <v>0</v>
      </c>
      <c r="R148" s="5"/>
      <c r="S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73"/>
      <c r="R149" s="5"/>
      <c r="S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73"/>
      <c r="R150" s="5"/>
      <c r="S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P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>SUM(E151:P151)</f>
        <v>1</v>
      </c>
      <c r="R151" s="1"/>
      <c r="S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13"/>
      <c r="R152" s="52"/>
      <c r="S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3">
        <f t="shared" ref="Q153:Q157" si="32">SUM(E153:P153)</f>
        <v>1</v>
      </c>
      <c r="R153" s="5"/>
      <c r="S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0.0</v>
      </c>
      <c r="F154" s="19">
        <v>1.0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3">
        <f t="shared" si="32"/>
        <v>3</v>
      </c>
      <c r="R154" s="5"/>
      <c r="S154" s="5"/>
    </row>
    <row r="155" ht="12.75" customHeight="1">
      <c r="A155" s="18"/>
      <c r="B155" s="55">
        <v>2.0</v>
      </c>
      <c r="C155" s="59" t="s">
        <v>115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1.0</v>
      </c>
      <c r="Q155" s="13">
        <f t="shared" si="32"/>
        <v>4</v>
      </c>
      <c r="R155" s="5"/>
      <c r="S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0.0</v>
      </c>
      <c r="H156" s="19">
        <v>1.0</v>
      </c>
      <c r="I156" s="19">
        <v>0.0</v>
      </c>
      <c r="J156" s="19">
        <v>0.0</v>
      </c>
      <c r="K156" s="19">
        <v>0.0</v>
      </c>
      <c r="L156" s="19">
        <v>0.0</v>
      </c>
      <c r="M156" s="19">
        <v>1.0</v>
      </c>
      <c r="N156" s="19">
        <v>1.0</v>
      </c>
      <c r="O156" s="19">
        <v>0.0</v>
      </c>
      <c r="P156" s="19">
        <v>0.0</v>
      </c>
      <c r="Q156" s="13">
        <f t="shared" si="32"/>
        <v>3</v>
      </c>
      <c r="R156" s="5"/>
      <c r="S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3">
        <f t="shared" si="32"/>
        <v>0</v>
      </c>
      <c r="R157" s="5"/>
      <c r="S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73"/>
      <c r="R158" s="5"/>
      <c r="S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73"/>
      <c r="R159" s="5"/>
      <c r="S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73"/>
      <c r="R160" s="5"/>
      <c r="S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73"/>
      <c r="R161" s="5"/>
      <c r="S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73"/>
      <c r="R162" s="5"/>
      <c r="S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P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>SUM(E163:P163)</f>
        <v>11</v>
      </c>
      <c r="R163" s="5"/>
      <c r="S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5"/>
      <c r="S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3">
        <f t="shared" ref="Q165:Q172" si="34">SUM(E165:P165)</f>
        <v>2</v>
      </c>
      <c r="R165" s="1"/>
      <c r="S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3">
        <f t="shared" si="34"/>
        <v>1</v>
      </c>
      <c r="R166" s="52"/>
      <c r="S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3">
        <f t="shared" si="34"/>
        <v>0</v>
      </c>
      <c r="R167" s="5"/>
      <c r="S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3">
        <f t="shared" si="34"/>
        <v>0</v>
      </c>
      <c r="R168" s="5"/>
      <c r="S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3">
        <f t="shared" si="34"/>
        <v>0</v>
      </c>
      <c r="R169" s="5"/>
      <c r="S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3">
        <f t="shared" si="34"/>
        <v>0</v>
      </c>
      <c r="R170" s="5"/>
      <c r="S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3">
        <f t="shared" si="34"/>
        <v>0</v>
      </c>
      <c r="R171" s="5"/>
      <c r="S171" s="5"/>
    </row>
    <row r="172" ht="12.75" customHeight="1">
      <c r="A172" s="18"/>
      <c r="B172" s="55">
        <v>7.0</v>
      </c>
      <c r="C172" s="50" t="s">
        <v>126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3">
        <f t="shared" si="34"/>
        <v>0</v>
      </c>
      <c r="R172" s="5"/>
      <c r="S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73"/>
      <c r="R173" s="5"/>
      <c r="S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73"/>
      <c r="R174" s="5"/>
      <c r="S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P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>SUM(E175:P175)</f>
        <v>3</v>
      </c>
      <c r="R175" s="5"/>
      <c r="S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1"/>
      <c r="S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2.0</v>
      </c>
      <c r="N177" s="19">
        <v>0.0</v>
      </c>
      <c r="O177" s="19">
        <v>0.0</v>
      </c>
      <c r="P177" s="19">
        <v>1.0</v>
      </c>
      <c r="Q177" s="13">
        <f t="shared" ref="Q177:Q184" si="36">SUM(E177:P177)</f>
        <v>6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3">
        <f t="shared" si="36"/>
        <v>0</v>
      </c>
      <c r="R178" s="5"/>
      <c r="S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3">
        <f t="shared" si="36"/>
        <v>1</v>
      </c>
      <c r="R179" s="5"/>
      <c r="S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3">
        <f t="shared" si="36"/>
        <v>2</v>
      </c>
      <c r="R180" s="5"/>
      <c r="S180" s="5"/>
    </row>
    <row r="181" ht="12.75" customHeight="1">
      <c r="A181" s="18"/>
      <c r="B181" s="55">
        <v>4.0</v>
      </c>
      <c r="C181" s="50" t="s">
        <v>132</v>
      </c>
      <c r="D181" s="57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3">
        <f t="shared" si="36"/>
        <v>2</v>
      </c>
      <c r="R181" s="5"/>
      <c r="S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3">
        <f t="shared" si="36"/>
        <v>0</v>
      </c>
      <c r="R182" s="5"/>
      <c r="S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1.0</v>
      </c>
      <c r="O183" s="19">
        <v>0.0</v>
      </c>
      <c r="P183" s="19">
        <v>0.0</v>
      </c>
      <c r="Q183" s="13">
        <f t="shared" si="36"/>
        <v>2</v>
      </c>
      <c r="R183" s="5"/>
      <c r="S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3">
        <f t="shared" si="36"/>
        <v>1</v>
      </c>
      <c r="R184" s="5"/>
      <c r="S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73"/>
      <c r="R185" s="5"/>
      <c r="S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73"/>
      <c r="R186" s="5"/>
      <c r="S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P187" si="37">SUM(E177:E184)</f>
        <v>2</v>
      </c>
      <c r="F187" s="13">
        <f t="shared" si="37"/>
        <v>1</v>
      </c>
      <c r="G187" s="13">
        <f t="shared" si="37"/>
        <v>1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2</v>
      </c>
      <c r="L187" s="13">
        <f t="shared" si="37"/>
        <v>1</v>
      </c>
      <c r="M187" s="13">
        <f t="shared" si="37"/>
        <v>3</v>
      </c>
      <c r="N187" s="13">
        <f t="shared" si="37"/>
        <v>1</v>
      </c>
      <c r="O187" s="13">
        <f t="shared" si="37"/>
        <v>0</v>
      </c>
      <c r="P187" s="13">
        <f t="shared" si="37"/>
        <v>1</v>
      </c>
      <c r="Q187" s="13">
        <f>SUM(E187:P187)</f>
        <v>14</v>
      </c>
      <c r="R187" s="1"/>
      <c r="S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2.0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3">
        <f t="shared" ref="Q189:Q196" si="38">SUM(E189:P189)</f>
        <v>3</v>
      </c>
      <c r="R189" s="5"/>
      <c r="S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3">
        <f t="shared" si="38"/>
        <v>0</v>
      </c>
      <c r="R190" s="5"/>
      <c r="S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3">
        <f t="shared" si="38"/>
        <v>0</v>
      </c>
      <c r="R191" s="5"/>
      <c r="S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3">
        <f t="shared" si="38"/>
        <v>0</v>
      </c>
      <c r="R192" s="5"/>
      <c r="S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3">
        <f t="shared" si="38"/>
        <v>0</v>
      </c>
      <c r="R193" s="5"/>
      <c r="S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3">
        <f t="shared" si="38"/>
        <v>0</v>
      </c>
      <c r="R194" s="5"/>
      <c r="S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3">
        <f t="shared" si="38"/>
        <v>0</v>
      </c>
      <c r="R195" s="5"/>
      <c r="S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3">
        <f t="shared" si="38"/>
        <v>0</v>
      </c>
      <c r="R196" s="1"/>
      <c r="S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73"/>
      <c r="R197" s="1"/>
      <c r="S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73"/>
      <c r="R198" s="1"/>
      <c r="S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P199" si="39">SUM(E189:E196)</f>
        <v>2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>SUM(E199:P199)</f>
        <v>3</v>
      </c>
      <c r="R199" s="52"/>
      <c r="S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5"/>
      <c r="S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7.0</v>
      </c>
      <c r="F201" s="19">
        <v>8.0</v>
      </c>
      <c r="G201" s="19">
        <v>1.0</v>
      </c>
      <c r="H201" s="19">
        <v>2.0</v>
      </c>
      <c r="I201" s="19">
        <v>3.0</v>
      </c>
      <c r="J201" s="19">
        <v>2.0</v>
      </c>
      <c r="K201" s="19">
        <v>5.0</v>
      </c>
      <c r="L201" s="19">
        <v>2.0</v>
      </c>
      <c r="M201" s="19">
        <v>2.0</v>
      </c>
      <c r="N201" s="19">
        <v>2.0</v>
      </c>
      <c r="O201" s="19">
        <v>3.0</v>
      </c>
      <c r="P201" s="19">
        <v>2.0</v>
      </c>
      <c r="Q201" s="13">
        <f t="shared" ref="Q201:Q208" si="40">SUM(E201:P201)</f>
        <v>39</v>
      </c>
      <c r="R201" s="5"/>
      <c r="S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10.0</v>
      </c>
      <c r="F202" s="19">
        <v>5.0</v>
      </c>
      <c r="G202" s="19">
        <v>2.0</v>
      </c>
      <c r="H202" s="19">
        <v>0.0</v>
      </c>
      <c r="I202" s="19">
        <v>2.0</v>
      </c>
      <c r="J202" s="19">
        <v>6.0</v>
      </c>
      <c r="K202" s="19">
        <v>1.0</v>
      </c>
      <c r="L202" s="19">
        <v>0.0</v>
      </c>
      <c r="M202" s="19">
        <v>3.0</v>
      </c>
      <c r="N202" s="19">
        <v>2.0</v>
      </c>
      <c r="O202" s="19">
        <v>2.0</v>
      </c>
      <c r="P202" s="19">
        <v>1.0</v>
      </c>
      <c r="Q202" s="13">
        <f t="shared" si="40"/>
        <v>34</v>
      </c>
      <c r="R202" s="5"/>
      <c r="S202" s="5"/>
    </row>
    <row r="203" ht="12.75" customHeight="1">
      <c r="A203" s="18"/>
      <c r="B203" s="55">
        <v>2.0</v>
      </c>
      <c r="C203" s="50" t="s">
        <v>148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2.0</v>
      </c>
      <c r="J203" s="19">
        <v>3.0</v>
      </c>
      <c r="K203" s="19">
        <v>6.0</v>
      </c>
      <c r="L203" s="19">
        <v>16.0</v>
      </c>
      <c r="M203" s="19">
        <v>2.0</v>
      </c>
      <c r="N203" s="19">
        <v>5.0</v>
      </c>
      <c r="O203" s="19">
        <v>2.0</v>
      </c>
      <c r="P203" s="19">
        <v>2.0</v>
      </c>
      <c r="Q203" s="13">
        <f t="shared" si="40"/>
        <v>38</v>
      </c>
      <c r="R203" s="5"/>
      <c r="S203" s="5"/>
    </row>
    <row r="204" ht="12.75" customHeight="1">
      <c r="A204" s="18"/>
      <c r="B204" s="55">
        <v>3.0</v>
      </c>
      <c r="C204" s="50" t="s">
        <v>149</v>
      </c>
      <c r="D204" s="57"/>
      <c r="E204" s="19">
        <v>1.0</v>
      </c>
      <c r="F204" s="19">
        <v>2.0</v>
      </c>
      <c r="G204" s="19">
        <v>0.0</v>
      </c>
      <c r="H204" s="19">
        <v>0.0</v>
      </c>
      <c r="I204" s="19">
        <v>0.0</v>
      </c>
      <c r="J204" s="19">
        <v>1.0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3">
        <f t="shared" si="40"/>
        <v>5</v>
      </c>
      <c r="R204" s="5"/>
      <c r="S204" s="5"/>
    </row>
    <row r="205" ht="12.75" customHeight="1">
      <c r="A205" s="18"/>
      <c r="B205" s="55">
        <v>4.0</v>
      </c>
      <c r="C205" s="50" t="s">
        <v>150</v>
      </c>
      <c r="D205" s="57"/>
      <c r="E205" s="19">
        <v>2.0</v>
      </c>
      <c r="F205" s="19">
        <v>0.0</v>
      </c>
      <c r="G205" s="19">
        <v>0.0</v>
      </c>
      <c r="H205" s="19">
        <v>0.0</v>
      </c>
      <c r="I205" s="19">
        <v>1.0</v>
      </c>
      <c r="J205" s="19">
        <v>12.0</v>
      </c>
      <c r="K205" s="19">
        <v>2.0</v>
      </c>
      <c r="L205" s="19">
        <v>1.0</v>
      </c>
      <c r="M205" s="19">
        <v>1.0</v>
      </c>
      <c r="N205" s="19">
        <v>0.0</v>
      </c>
      <c r="O205" s="19">
        <v>1.0</v>
      </c>
      <c r="P205" s="19">
        <v>2.0</v>
      </c>
      <c r="Q205" s="13">
        <f t="shared" si="40"/>
        <v>22</v>
      </c>
      <c r="R205" s="5"/>
      <c r="S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3">
        <f t="shared" si="40"/>
        <v>1</v>
      </c>
      <c r="R206" s="5"/>
      <c r="S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3">
        <f t="shared" si="40"/>
        <v>0</v>
      </c>
      <c r="R207" s="1"/>
      <c r="S207" s="1"/>
    </row>
    <row r="208" ht="12.75" customHeight="1">
      <c r="A208" s="18"/>
      <c r="B208" s="55">
        <v>7.0</v>
      </c>
      <c r="C208" s="50" t="s">
        <v>153</v>
      </c>
      <c r="D208" s="57"/>
      <c r="E208" s="19">
        <v>1.0</v>
      </c>
      <c r="F208" s="19">
        <v>1.0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3">
        <f t="shared" si="40"/>
        <v>4</v>
      </c>
      <c r="R208" s="52"/>
      <c r="S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73"/>
      <c r="R209" s="52"/>
      <c r="S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73"/>
      <c r="R210" s="52"/>
      <c r="S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P211" si="41">SUM(E201:E208)</f>
        <v>21</v>
      </c>
      <c r="F211" s="13">
        <f t="shared" si="41"/>
        <v>16</v>
      </c>
      <c r="G211" s="13">
        <f t="shared" si="41"/>
        <v>3</v>
      </c>
      <c r="H211" s="13">
        <f t="shared" si="41"/>
        <v>2</v>
      </c>
      <c r="I211" s="13">
        <f t="shared" si="41"/>
        <v>8</v>
      </c>
      <c r="J211" s="13">
        <f t="shared" si="41"/>
        <v>26</v>
      </c>
      <c r="K211" s="13">
        <f t="shared" si="41"/>
        <v>14</v>
      </c>
      <c r="L211" s="13">
        <f t="shared" si="41"/>
        <v>20</v>
      </c>
      <c r="M211" s="13">
        <f t="shared" si="41"/>
        <v>8</v>
      </c>
      <c r="N211" s="13">
        <f t="shared" si="41"/>
        <v>10</v>
      </c>
      <c r="O211" s="13">
        <f t="shared" si="41"/>
        <v>8</v>
      </c>
      <c r="P211" s="13">
        <f t="shared" si="41"/>
        <v>7</v>
      </c>
      <c r="Q211" s="13">
        <f>SUM(E211:P211)</f>
        <v>143</v>
      </c>
      <c r="R211" s="5"/>
      <c r="S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5"/>
      <c r="S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2.0</v>
      </c>
      <c r="F213" s="19">
        <v>1.0</v>
      </c>
      <c r="G213" s="19">
        <v>3.0</v>
      </c>
      <c r="H213" s="19">
        <v>0.0</v>
      </c>
      <c r="I213" s="19">
        <v>2.0</v>
      </c>
      <c r="J213" s="19">
        <v>1.0</v>
      </c>
      <c r="K213" s="19">
        <v>0.0</v>
      </c>
      <c r="L213" s="19">
        <v>3.0</v>
      </c>
      <c r="M213" s="19">
        <v>0.0</v>
      </c>
      <c r="N213" s="19">
        <v>0.0</v>
      </c>
      <c r="O213" s="19">
        <v>1.0</v>
      </c>
      <c r="P213" s="19">
        <v>2.0</v>
      </c>
      <c r="Q213" s="13">
        <f t="shared" ref="Q213:Q220" si="42">SUM(E213:P213)</f>
        <v>15</v>
      </c>
      <c r="R213" s="5"/>
      <c r="S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0.0</v>
      </c>
      <c r="F214" s="19">
        <v>3.0</v>
      </c>
      <c r="G214" s="19">
        <v>0.0</v>
      </c>
      <c r="H214" s="19">
        <v>0.0</v>
      </c>
      <c r="I214" s="19">
        <v>0.0</v>
      </c>
      <c r="J214" s="19">
        <v>2.0</v>
      </c>
      <c r="K214" s="19">
        <v>1.0</v>
      </c>
      <c r="L214" s="19">
        <v>1.0</v>
      </c>
      <c r="M214" s="19">
        <v>0.0</v>
      </c>
      <c r="N214" s="19">
        <v>0.0</v>
      </c>
      <c r="O214" s="19">
        <v>1.0</v>
      </c>
      <c r="P214" s="19">
        <v>0.0</v>
      </c>
      <c r="Q214" s="13">
        <f t="shared" si="42"/>
        <v>8</v>
      </c>
      <c r="R214" s="5"/>
      <c r="S214" s="5"/>
    </row>
    <row r="215" ht="12.75" customHeight="1">
      <c r="A215" s="18"/>
      <c r="B215" s="55">
        <v>2.0</v>
      </c>
      <c r="C215" s="50" t="s">
        <v>157</v>
      </c>
      <c r="D215" s="56"/>
      <c r="E215" s="19">
        <v>30.0</v>
      </c>
      <c r="F215" s="19">
        <v>19.0</v>
      </c>
      <c r="G215" s="19">
        <v>20.0</v>
      </c>
      <c r="H215" s="19">
        <v>23.0</v>
      </c>
      <c r="I215" s="19">
        <v>2.0</v>
      </c>
      <c r="J215" s="19">
        <v>5.0</v>
      </c>
      <c r="K215" s="19">
        <v>15.0</v>
      </c>
      <c r="L215" s="19">
        <v>20.0</v>
      </c>
      <c r="M215" s="19">
        <v>10.0</v>
      </c>
      <c r="N215" s="19">
        <v>8.0</v>
      </c>
      <c r="O215" s="19">
        <v>0.0</v>
      </c>
      <c r="P215" s="19">
        <v>6.0</v>
      </c>
      <c r="Q215" s="13">
        <f t="shared" si="42"/>
        <v>158</v>
      </c>
      <c r="R215" s="5"/>
      <c r="S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3">
        <f t="shared" si="42"/>
        <v>1</v>
      </c>
      <c r="R216" s="5"/>
      <c r="S216" s="5"/>
    </row>
    <row r="217" ht="12.75" customHeight="1">
      <c r="A217" s="18"/>
      <c r="B217" s="55">
        <v>4.0</v>
      </c>
      <c r="C217" s="50" t="s">
        <v>159</v>
      </c>
      <c r="D217" s="56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0.0</v>
      </c>
      <c r="P217" s="19">
        <v>0.0</v>
      </c>
      <c r="Q217" s="13">
        <f t="shared" si="42"/>
        <v>2</v>
      </c>
      <c r="R217" s="5"/>
      <c r="S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3">
        <f t="shared" si="42"/>
        <v>0</v>
      </c>
      <c r="R218" s="1"/>
      <c r="S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3">
        <f t="shared" si="42"/>
        <v>1</v>
      </c>
      <c r="R219" s="52"/>
      <c r="S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3">
        <f t="shared" si="42"/>
        <v>1</v>
      </c>
      <c r="R220" s="5"/>
      <c r="S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73"/>
      <c r="R221" s="5"/>
      <c r="S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73"/>
      <c r="R222" s="5"/>
      <c r="S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P223" si="43">SUM(E213:E220)</f>
        <v>32</v>
      </c>
      <c r="F223" s="13">
        <f t="shared" si="43"/>
        <v>24</v>
      </c>
      <c r="G223" s="13">
        <f t="shared" si="43"/>
        <v>24</v>
      </c>
      <c r="H223" s="13">
        <f t="shared" si="43"/>
        <v>24</v>
      </c>
      <c r="I223" s="13">
        <f t="shared" si="43"/>
        <v>4</v>
      </c>
      <c r="J223" s="13">
        <f t="shared" si="43"/>
        <v>9</v>
      </c>
      <c r="K223" s="13">
        <f t="shared" si="43"/>
        <v>16</v>
      </c>
      <c r="L223" s="13">
        <f t="shared" si="43"/>
        <v>24</v>
      </c>
      <c r="M223" s="13">
        <f t="shared" si="43"/>
        <v>11</v>
      </c>
      <c r="N223" s="13">
        <f t="shared" si="43"/>
        <v>8</v>
      </c>
      <c r="O223" s="13">
        <f t="shared" si="43"/>
        <v>2</v>
      </c>
      <c r="P223" s="13">
        <f t="shared" si="43"/>
        <v>8</v>
      </c>
      <c r="Q223" s="13">
        <f>SUM(E223:P223)</f>
        <v>186</v>
      </c>
      <c r="R223" s="5"/>
      <c r="S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5"/>
      <c r="S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1.0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3">
        <f t="shared" ref="Q225:Q232" si="44">SUM(E225:P225)</f>
        <v>3</v>
      </c>
      <c r="R225" s="5"/>
      <c r="S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3">
        <f t="shared" si="44"/>
        <v>2</v>
      </c>
      <c r="R226" s="5"/>
      <c r="S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3">
        <f t="shared" si="44"/>
        <v>0</v>
      </c>
      <c r="R227" s="5"/>
      <c r="S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3">
        <f t="shared" si="44"/>
        <v>0</v>
      </c>
      <c r="R228" s="5"/>
      <c r="S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3">
        <f t="shared" si="44"/>
        <v>0</v>
      </c>
      <c r="R229" s="1"/>
      <c r="S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3">
        <f t="shared" si="44"/>
        <v>0</v>
      </c>
      <c r="R230" s="52"/>
      <c r="S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3">
        <f t="shared" si="44"/>
        <v>0</v>
      </c>
      <c r="R231" s="5"/>
      <c r="S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3">
        <f t="shared" si="44"/>
        <v>0</v>
      </c>
      <c r="R232" s="5"/>
      <c r="S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73"/>
      <c r="R233" s="5"/>
      <c r="S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73"/>
      <c r="R234" s="5"/>
      <c r="S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P235" si="45">SUM(E225:E232)</f>
        <v>1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>SUM(E235:P235)</f>
        <v>5</v>
      </c>
      <c r="R235" s="5"/>
      <c r="S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5"/>
      <c r="S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0.0</v>
      </c>
      <c r="F237" s="19">
        <v>1.0</v>
      </c>
      <c r="G237" s="19">
        <v>1.0</v>
      </c>
      <c r="H237" s="19">
        <v>0.0</v>
      </c>
      <c r="I237" s="19">
        <v>0.0</v>
      </c>
      <c r="J237" s="19">
        <v>1.0</v>
      </c>
      <c r="K237" s="19">
        <v>1.0</v>
      </c>
      <c r="L237" s="19">
        <v>0.0</v>
      </c>
      <c r="M237" s="19">
        <v>0.0</v>
      </c>
      <c r="N237" s="19">
        <v>0.0</v>
      </c>
      <c r="O237" s="19">
        <v>0.0</v>
      </c>
      <c r="P237" s="19">
        <v>1.0</v>
      </c>
      <c r="Q237" s="13">
        <f t="shared" ref="Q237:Q244" si="46">SUM(E237:P237)</f>
        <v>5</v>
      </c>
      <c r="R237" s="5"/>
      <c r="S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0.0</v>
      </c>
      <c r="P238" s="19">
        <v>0.0</v>
      </c>
      <c r="Q238" s="13">
        <f t="shared" si="46"/>
        <v>1</v>
      </c>
      <c r="R238" s="5"/>
      <c r="S238" s="5"/>
    </row>
    <row r="239" ht="12.75" customHeight="1">
      <c r="A239" s="18"/>
      <c r="B239" s="55">
        <v>2.0</v>
      </c>
      <c r="C239" s="50" t="s">
        <v>175</v>
      </c>
      <c r="D239" s="57"/>
      <c r="E239" s="19">
        <v>0.0</v>
      </c>
      <c r="F239" s="19">
        <v>0.0</v>
      </c>
      <c r="G239" s="19">
        <v>1.0</v>
      </c>
      <c r="H239" s="19">
        <v>0.0</v>
      </c>
      <c r="I239" s="19">
        <v>2.0</v>
      </c>
      <c r="J239" s="19">
        <v>1.0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3">
        <f t="shared" si="46"/>
        <v>5</v>
      </c>
      <c r="R239" s="5"/>
      <c r="S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3">
        <f t="shared" si="46"/>
        <v>0</v>
      </c>
      <c r="R240" s="1"/>
      <c r="S240" s="1"/>
    </row>
    <row r="241" ht="12.75" customHeight="1">
      <c r="A241" s="18"/>
      <c r="B241" s="55">
        <v>4.0</v>
      </c>
      <c r="C241" s="50" t="s">
        <v>177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3">
        <f t="shared" si="46"/>
        <v>1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3">
        <f t="shared" si="46"/>
        <v>1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3">
        <f t="shared" si="46"/>
        <v>0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1.0</v>
      </c>
      <c r="F244" s="19">
        <v>2.0</v>
      </c>
      <c r="G244" s="19">
        <v>0.0</v>
      </c>
      <c r="H244" s="19">
        <v>0.0</v>
      </c>
      <c r="I244" s="19">
        <v>2.0</v>
      </c>
      <c r="J244" s="19">
        <v>0.0</v>
      </c>
      <c r="K244" s="19">
        <v>0.0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3">
        <f t="shared" si="46"/>
        <v>6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P247" si="47">SUM(E237:E244)</f>
        <v>2</v>
      </c>
      <c r="F247" s="13">
        <f t="shared" si="47"/>
        <v>3</v>
      </c>
      <c r="G247" s="13">
        <f t="shared" si="47"/>
        <v>2</v>
      </c>
      <c r="H247" s="13">
        <f t="shared" si="47"/>
        <v>0</v>
      </c>
      <c r="I247" s="13">
        <f t="shared" si="47"/>
        <v>4</v>
      </c>
      <c r="J247" s="13">
        <f t="shared" si="47"/>
        <v>2</v>
      </c>
      <c r="K247" s="13">
        <f t="shared" si="47"/>
        <v>1</v>
      </c>
      <c r="L247" s="13">
        <f t="shared" si="47"/>
        <v>3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2</v>
      </c>
      <c r="Q247" s="13">
        <f>SUM(E247:P247)</f>
        <v>19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3">
        <f t="shared" ref="Q249:Q255" si="48">SUM(E249:P249)</f>
        <v>1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3">
        <f t="shared" si="48"/>
        <v>0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3">
        <f t="shared" si="48"/>
        <v>2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3">
        <f t="shared" si="48"/>
        <v>0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1.0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3">
        <f t="shared" si="48"/>
        <v>1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3">
        <f t="shared" si="48"/>
        <v>2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P259" si="49">SUM(E249:E255)</f>
        <v>2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2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>SUM(E259:P259)</f>
        <v>6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P262" si="50">E55+E67+E79+E91+E103+E115+E127+E139+E151+E163+E175+E187+E199+E211+E223+E235+E247+E259</f>
        <v>206</v>
      </c>
      <c r="F262" s="19">
        <f t="shared" si="50"/>
        <v>180</v>
      </c>
      <c r="G262" s="19">
        <f t="shared" si="50"/>
        <v>182</v>
      </c>
      <c r="H262" s="19">
        <f t="shared" si="50"/>
        <v>199</v>
      </c>
      <c r="I262" s="19">
        <f t="shared" si="50"/>
        <v>192</v>
      </c>
      <c r="J262" s="19">
        <f t="shared" si="50"/>
        <v>201</v>
      </c>
      <c r="K262" s="19">
        <f t="shared" si="50"/>
        <v>196</v>
      </c>
      <c r="L262" s="19">
        <f t="shared" si="50"/>
        <v>189</v>
      </c>
      <c r="M262" s="19">
        <f t="shared" si="50"/>
        <v>159</v>
      </c>
      <c r="N262" s="19">
        <f t="shared" si="50"/>
        <v>187</v>
      </c>
      <c r="O262" s="19">
        <f t="shared" si="50"/>
        <v>166</v>
      </c>
      <c r="P262" s="19">
        <f t="shared" si="50"/>
        <v>185</v>
      </c>
      <c r="Q262" s="13">
        <f t="shared" ref="Q262:Q264" si="51">SUM(E262:P262)</f>
        <v>2242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20.0</v>
      </c>
      <c r="F263" s="19">
        <v>25.0</v>
      </c>
      <c r="G263" s="19">
        <v>41.0</v>
      </c>
      <c r="H263" s="19">
        <v>23.0</v>
      </c>
      <c r="I263" s="19">
        <v>29.0</v>
      </c>
      <c r="J263" s="19">
        <v>26.0</v>
      </c>
      <c r="K263" s="19">
        <v>10.0</v>
      </c>
      <c r="L263" s="19">
        <v>24.0</v>
      </c>
      <c r="M263" s="19">
        <v>21.0</v>
      </c>
      <c r="N263" s="19">
        <v>22.0</v>
      </c>
      <c r="O263" s="19">
        <v>20.0</v>
      </c>
      <c r="P263" s="19">
        <v>19.0</v>
      </c>
      <c r="Q263" s="13">
        <f t="shared" si="51"/>
        <v>280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P264" si="52">SUM(E262:E263)</f>
        <v>226</v>
      </c>
      <c r="F264" s="13">
        <f t="shared" si="52"/>
        <v>205</v>
      </c>
      <c r="G264" s="13">
        <f t="shared" si="52"/>
        <v>223</v>
      </c>
      <c r="H264" s="13">
        <f t="shared" si="52"/>
        <v>222</v>
      </c>
      <c r="I264" s="13">
        <f t="shared" si="52"/>
        <v>221</v>
      </c>
      <c r="J264" s="13">
        <f t="shared" si="52"/>
        <v>227</v>
      </c>
      <c r="K264" s="13">
        <f t="shared" si="52"/>
        <v>206</v>
      </c>
      <c r="L264" s="13">
        <f t="shared" si="52"/>
        <v>213</v>
      </c>
      <c r="M264" s="13">
        <f t="shared" si="52"/>
        <v>180</v>
      </c>
      <c r="N264" s="13">
        <f t="shared" si="52"/>
        <v>209</v>
      </c>
      <c r="O264" s="13">
        <f t="shared" si="52"/>
        <v>186</v>
      </c>
      <c r="P264" s="13">
        <f t="shared" si="52"/>
        <v>204</v>
      </c>
      <c r="Q264" s="13">
        <f t="shared" si="51"/>
        <v>2522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P34">
    <cfRule type="expression" dxfId="0" priority="1">
      <formula>E34&lt;&gt;E64</formula>
    </cfRule>
  </conditionalFormatting>
  <conditionalFormatting sqref="E14:P15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E30&lt;&gt;E47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45:P54">
    <cfRule type="containsBlanks" dxfId="1" priority="10">
      <formula>LEN(TRIM(E45))=0</formula>
    </cfRule>
  </conditionalFormatting>
  <conditionalFormatting sqref="E57:P66">
    <cfRule type="containsBlanks" dxfId="1" priority="11">
      <formula>LEN(TRIM(E57))=0</formula>
    </cfRule>
  </conditionalFormatting>
  <conditionalFormatting sqref="E69:P78">
    <cfRule type="containsBlanks" dxfId="1" priority="12">
      <formula>LEN(TRIM(E69))=0</formula>
    </cfRule>
  </conditionalFormatting>
  <conditionalFormatting sqref="E81:P90">
    <cfRule type="containsBlanks" dxfId="1" priority="13">
      <formula>LEN(TRIM(E81))=0</formula>
    </cfRule>
  </conditionalFormatting>
  <conditionalFormatting sqref="E93:P102">
    <cfRule type="containsBlanks" dxfId="1" priority="14">
      <formula>LEN(TRIM(E93))=0</formula>
    </cfRule>
  </conditionalFormatting>
  <conditionalFormatting sqref="E105:P114">
    <cfRule type="containsBlanks" dxfId="1" priority="15">
      <formula>LEN(TRIM(E105))=0</formula>
    </cfRule>
  </conditionalFormatting>
  <conditionalFormatting sqref="E117:P126">
    <cfRule type="containsBlanks" dxfId="1" priority="16">
      <formula>LEN(TRIM(E117))=0</formula>
    </cfRule>
  </conditionalFormatting>
  <conditionalFormatting sqref="E129:P138">
    <cfRule type="containsBlanks" dxfId="1" priority="17">
      <formula>LEN(TRIM(E129))=0</formula>
    </cfRule>
  </conditionalFormatting>
  <conditionalFormatting sqref="E141:P150">
    <cfRule type="containsBlanks" dxfId="1" priority="18">
      <formula>LEN(TRIM(E141))=0</formula>
    </cfRule>
  </conditionalFormatting>
  <conditionalFormatting sqref="E153:P162">
    <cfRule type="containsBlanks" dxfId="1" priority="19">
      <formula>LEN(TRIM(E153))=0</formula>
    </cfRule>
  </conditionalFormatting>
  <conditionalFormatting sqref="E165:P174">
    <cfRule type="containsBlanks" dxfId="1" priority="20">
      <formula>LEN(TRIM(E165))=0</formula>
    </cfRule>
  </conditionalFormatting>
  <conditionalFormatting sqref="E177:P186">
    <cfRule type="containsBlanks" dxfId="1" priority="21">
      <formula>LEN(TRIM(E177))=0</formula>
    </cfRule>
  </conditionalFormatting>
  <conditionalFormatting sqref="E189:P198">
    <cfRule type="containsBlanks" dxfId="1" priority="22">
      <formula>LEN(TRIM(E189))=0</formula>
    </cfRule>
  </conditionalFormatting>
  <conditionalFormatting sqref="E201:P210">
    <cfRule type="containsBlanks" dxfId="1" priority="23">
      <formula>LEN(TRIM(E201))=0</formula>
    </cfRule>
  </conditionalFormatting>
  <conditionalFormatting sqref="E213:P222">
    <cfRule type="containsBlanks" dxfId="1" priority="24">
      <formula>LEN(TRIM(E213))=0</formula>
    </cfRule>
  </conditionalFormatting>
  <conditionalFormatting sqref="E225:P234">
    <cfRule type="containsBlanks" dxfId="1" priority="25">
      <formula>LEN(TRIM(E225))=0</formula>
    </cfRule>
  </conditionalFormatting>
  <conditionalFormatting sqref="E237:P246">
    <cfRule type="containsBlanks" dxfId="1" priority="26">
      <formula>LEN(TRIM(E237))=0</formula>
    </cfRule>
  </conditionalFormatting>
  <conditionalFormatting sqref="E249:P259">
    <cfRule type="containsBlanks" dxfId="1" priority="27">
      <formula>LEN(TRIM(E249))=0</formula>
    </cfRule>
  </conditionalFormatting>
  <conditionalFormatting sqref="E262: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17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66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147.0</v>
      </c>
      <c r="G14" s="19">
        <v>136.0</v>
      </c>
      <c r="H14" s="19">
        <v>128.0</v>
      </c>
      <c r="I14" s="19">
        <v>133.0</v>
      </c>
      <c r="J14" s="19">
        <v>133.0</v>
      </c>
      <c r="K14" s="19">
        <v>150.0</v>
      </c>
      <c r="L14" s="19">
        <v>144.0</v>
      </c>
      <c r="M14" s="19">
        <v>152.0</v>
      </c>
      <c r="N14" s="19">
        <v>140.0</v>
      </c>
      <c r="O14" s="13">
        <f t="shared" ref="O14:O16" si="1">SUM(E14:N14)</f>
        <v>1398</v>
      </c>
    </row>
    <row r="15" ht="12.75" customHeight="1">
      <c r="A15" s="18"/>
      <c r="B15" s="26"/>
      <c r="C15" s="27"/>
      <c r="D15" s="19" t="s">
        <v>12</v>
      </c>
      <c r="E15" s="19">
        <v>143.0</v>
      </c>
      <c r="F15" s="19">
        <v>138.0</v>
      </c>
      <c r="G15" s="19">
        <v>141.0</v>
      </c>
      <c r="H15" s="19">
        <v>127.0</v>
      </c>
      <c r="I15" s="19">
        <v>138.0</v>
      </c>
      <c r="J15" s="19">
        <v>150.0</v>
      </c>
      <c r="K15" s="19">
        <v>135.0</v>
      </c>
      <c r="L15" s="19">
        <v>138.0</v>
      </c>
      <c r="M15" s="19">
        <v>145.0</v>
      </c>
      <c r="N15" s="19">
        <v>126.0</v>
      </c>
      <c r="O15" s="13">
        <f t="shared" si="1"/>
        <v>1381</v>
      </c>
    </row>
    <row r="16" ht="12.75" customHeight="1">
      <c r="A16" s="25"/>
      <c r="B16" s="21"/>
      <c r="C16" s="28"/>
      <c r="D16" s="13" t="s">
        <v>13</v>
      </c>
      <c r="E16" s="13">
        <f t="shared" ref="E16:N16" si="2">SUM(E14:E15)</f>
        <v>278</v>
      </c>
      <c r="F16" s="13">
        <f t="shared" si="2"/>
        <v>285</v>
      </c>
      <c r="G16" s="13">
        <f t="shared" si="2"/>
        <v>277</v>
      </c>
      <c r="H16" s="13">
        <f t="shared" si="2"/>
        <v>255</v>
      </c>
      <c r="I16" s="13">
        <f t="shared" si="2"/>
        <v>271</v>
      </c>
      <c r="J16" s="13">
        <f t="shared" si="2"/>
        <v>283</v>
      </c>
      <c r="K16" s="13">
        <f t="shared" si="2"/>
        <v>285</v>
      </c>
      <c r="L16" s="13">
        <f t="shared" si="2"/>
        <v>282</v>
      </c>
      <c r="M16" s="13">
        <f t="shared" si="2"/>
        <v>297</v>
      </c>
      <c r="N16" s="13">
        <f t="shared" si="2"/>
        <v>266</v>
      </c>
      <c r="O16" s="13">
        <f t="shared" si="1"/>
        <v>2779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8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8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97.0</v>
      </c>
      <c r="F19" s="19">
        <v>103.0</v>
      </c>
      <c r="G19" s="19">
        <v>85.0</v>
      </c>
      <c r="H19" s="19">
        <v>93.0</v>
      </c>
      <c r="I19" s="19">
        <v>101.0</v>
      </c>
      <c r="J19" s="19">
        <v>99.0</v>
      </c>
      <c r="K19" s="19">
        <v>109.0</v>
      </c>
      <c r="L19" s="19">
        <v>93.0</v>
      </c>
      <c r="M19" s="19">
        <v>115.0</v>
      </c>
      <c r="N19" s="19">
        <v>91.0</v>
      </c>
      <c r="O19" s="13">
        <f t="shared" ref="O19:O30" si="3">SUM(E19:N19)</f>
        <v>986</v>
      </c>
    </row>
    <row r="20" ht="12.75" customHeight="1">
      <c r="A20" s="33"/>
      <c r="B20" s="27"/>
      <c r="C20" s="34"/>
      <c r="D20" s="19" t="s">
        <v>12</v>
      </c>
      <c r="E20" s="19">
        <v>105.0</v>
      </c>
      <c r="F20" s="19">
        <v>103.0</v>
      </c>
      <c r="G20" s="19">
        <v>104.0</v>
      </c>
      <c r="H20" s="19">
        <v>98.0</v>
      </c>
      <c r="I20" s="19">
        <v>104.0</v>
      </c>
      <c r="J20" s="19">
        <v>113.0</v>
      </c>
      <c r="K20" s="19">
        <v>108.0</v>
      </c>
      <c r="L20" s="19">
        <v>106.0</v>
      </c>
      <c r="M20" s="19">
        <v>120.0</v>
      </c>
      <c r="N20" s="19">
        <v>108.0</v>
      </c>
      <c r="O20" s="13">
        <f t="shared" si="3"/>
        <v>1069</v>
      </c>
    </row>
    <row r="21" ht="12.75" customHeight="1">
      <c r="A21" s="35"/>
      <c r="B21" s="28"/>
      <c r="C21" s="36"/>
      <c r="D21" s="13" t="s">
        <v>13</v>
      </c>
      <c r="E21" s="13">
        <f t="shared" ref="E21:N21" si="4">SUM(E19:E20)</f>
        <v>202</v>
      </c>
      <c r="F21" s="13">
        <f t="shared" si="4"/>
        <v>206</v>
      </c>
      <c r="G21" s="13">
        <f t="shared" si="4"/>
        <v>189</v>
      </c>
      <c r="H21" s="13">
        <f t="shared" si="4"/>
        <v>191</v>
      </c>
      <c r="I21" s="13">
        <f t="shared" si="4"/>
        <v>205</v>
      </c>
      <c r="J21" s="13">
        <f t="shared" si="4"/>
        <v>212</v>
      </c>
      <c r="K21" s="13">
        <f t="shared" si="4"/>
        <v>217</v>
      </c>
      <c r="L21" s="13">
        <f t="shared" si="4"/>
        <v>199</v>
      </c>
      <c r="M21" s="13">
        <f t="shared" si="4"/>
        <v>235</v>
      </c>
      <c r="N21" s="13">
        <f t="shared" si="4"/>
        <v>199</v>
      </c>
      <c r="O21" s="13">
        <f t="shared" si="3"/>
        <v>2055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2.0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1.0</v>
      </c>
      <c r="O25" s="13">
        <f t="shared" si="3"/>
        <v>5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1.0</v>
      </c>
      <c r="G26" s="19">
        <v>0.0</v>
      </c>
      <c r="H26" s="19">
        <v>2.0</v>
      </c>
      <c r="I26" s="19">
        <v>0.0</v>
      </c>
      <c r="J26" s="19">
        <v>0.0</v>
      </c>
      <c r="K26" s="19">
        <v>1.0</v>
      </c>
      <c r="L26" s="19">
        <v>0.0</v>
      </c>
      <c r="M26" s="19">
        <v>1.0</v>
      </c>
      <c r="N26" s="19">
        <v>1.0</v>
      </c>
      <c r="O26" s="13">
        <f t="shared" si="3"/>
        <v>7</v>
      </c>
    </row>
    <row r="27" ht="12.75" customHeight="1">
      <c r="A27" s="35"/>
      <c r="B27" s="28"/>
      <c r="C27" s="36"/>
      <c r="D27" s="13" t="s">
        <v>13</v>
      </c>
      <c r="E27" s="13">
        <f t="shared" ref="E27:N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2</v>
      </c>
      <c r="N27" s="13">
        <f t="shared" si="6"/>
        <v>2</v>
      </c>
      <c r="O27" s="13">
        <f t="shared" si="3"/>
        <v>12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N28" si="7">SUM(E19,E22,E25)</f>
        <v>97</v>
      </c>
      <c r="F28" s="13">
        <f t="shared" si="7"/>
        <v>105</v>
      </c>
      <c r="G28" s="13">
        <f t="shared" si="7"/>
        <v>85</v>
      </c>
      <c r="H28" s="13">
        <f t="shared" si="7"/>
        <v>94</v>
      </c>
      <c r="I28" s="13">
        <f t="shared" si="7"/>
        <v>102</v>
      </c>
      <c r="J28" s="13">
        <f t="shared" si="7"/>
        <v>99</v>
      </c>
      <c r="K28" s="13">
        <f t="shared" si="7"/>
        <v>109</v>
      </c>
      <c r="L28" s="13">
        <f t="shared" si="7"/>
        <v>93</v>
      </c>
      <c r="M28" s="13">
        <f t="shared" si="7"/>
        <v>116</v>
      </c>
      <c r="N28" s="13">
        <f t="shared" si="7"/>
        <v>92</v>
      </c>
      <c r="O28" s="13">
        <f t="shared" si="3"/>
        <v>992</v>
      </c>
    </row>
    <row r="29" ht="12.75" customHeight="1">
      <c r="A29" s="35"/>
      <c r="B29" s="27"/>
      <c r="C29" s="34"/>
      <c r="D29" s="13" t="s">
        <v>12</v>
      </c>
      <c r="E29" s="13">
        <f t="shared" ref="E29:N29" si="8">SUM(E20,E23,E26)</f>
        <v>106</v>
      </c>
      <c r="F29" s="13">
        <f t="shared" si="8"/>
        <v>104</v>
      </c>
      <c r="G29" s="13">
        <f t="shared" si="8"/>
        <v>104</v>
      </c>
      <c r="H29" s="13">
        <f t="shared" si="8"/>
        <v>100</v>
      </c>
      <c r="I29" s="13">
        <f t="shared" si="8"/>
        <v>104</v>
      </c>
      <c r="J29" s="13">
        <f t="shared" si="8"/>
        <v>113</v>
      </c>
      <c r="K29" s="13">
        <f t="shared" si="8"/>
        <v>109</v>
      </c>
      <c r="L29" s="13">
        <f t="shared" si="8"/>
        <v>106</v>
      </c>
      <c r="M29" s="13">
        <f t="shared" si="8"/>
        <v>121</v>
      </c>
      <c r="N29" s="13">
        <f t="shared" si="8"/>
        <v>109</v>
      </c>
      <c r="O29" s="13">
        <f t="shared" si="3"/>
        <v>1076</v>
      </c>
    </row>
    <row r="30" ht="12.75" customHeight="1">
      <c r="A30" s="35"/>
      <c r="B30" s="28"/>
      <c r="C30" s="36"/>
      <c r="D30" s="13" t="s">
        <v>13</v>
      </c>
      <c r="E30" s="13">
        <f t="shared" ref="E30:N30" si="9">SUM(E28:E29)</f>
        <v>203</v>
      </c>
      <c r="F30" s="13">
        <f t="shared" si="9"/>
        <v>209</v>
      </c>
      <c r="G30" s="13">
        <f t="shared" si="9"/>
        <v>189</v>
      </c>
      <c r="H30" s="13">
        <f t="shared" si="9"/>
        <v>194</v>
      </c>
      <c r="I30" s="13">
        <f t="shared" si="9"/>
        <v>206</v>
      </c>
      <c r="J30" s="13">
        <f t="shared" si="9"/>
        <v>212</v>
      </c>
      <c r="K30" s="13">
        <f t="shared" si="9"/>
        <v>218</v>
      </c>
      <c r="L30" s="13">
        <f t="shared" si="9"/>
        <v>199</v>
      </c>
      <c r="M30" s="13">
        <f t="shared" si="9"/>
        <v>237</v>
      </c>
      <c r="N30" s="13">
        <f t="shared" si="9"/>
        <v>201</v>
      </c>
      <c r="O30" s="13">
        <f t="shared" si="3"/>
        <v>2068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8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8"/>
    </row>
    <row r="33" ht="12.75" customHeight="1">
      <c r="A33" s="19">
        <v>1.0</v>
      </c>
      <c r="B33" s="20" t="s">
        <v>26</v>
      </c>
      <c r="C33" s="15"/>
      <c r="D33" s="16"/>
      <c r="E33" s="19">
        <v>284.0</v>
      </c>
      <c r="F33" s="19">
        <v>282.0</v>
      </c>
      <c r="G33" s="19">
        <v>284.0</v>
      </c>
      <c r="H33" s="19">
        <v>261.0</v>
      </c>
      <c r="I33" s="19">
        <v>277.0</v>
      </c>
      <c r="J33" s="19">
        <v>289.0</v>
      </c>
      <c r="K33" s="19">
        <v>291.0</v>
      </c>
      <c r="L33" s="19">
        <v>298.0</v>
      </c>
      <c r="M33" s="19">
        <v>304.0</v>
      </c>
      <c r="N33" s="19">
        <v>272.0</v>
      </c>
      <c r="O33" s="13">
        <f t="shared" ref="O33:O36" si="10">SUM(E33:N33)</f>
        <v>2842</v>
      </c>
    </row>
    <row r="34" ht="12.75" customHeight="1">
      <c r="A34" s="19">
        <v>2.0</v>
      </c>
      <c r="B34" s="20" t="s">
        <v>27</v>
      </c>
      <c r="C34" s="15"/>
      <c r="D34" s="16"/>
      <c r="E34" s="13">
        <v>203.0</v>
      </c>
      <c r="F34" s="13">
        <v>209.0</v>
      </c>
      <c r="G34" s="13">
        <v>189.0</v>
      </c>
      <c r="H34" s="13">
        <v>194.0</v>
      </c>
      <c r="I34" s="13">
        <v>206.0</v>
      </c>
      <c r="J34" s="13">
        <v>212.0</v>
      </c>
      <c r="K34" s="13">
        <v>218.0</v>
      </c>
      <c r="L34" s="13">
        <v>199.0</v>
      </c>
      <c r="M34" s="13">
        <v>237.0</v>
      </c>
      <c r="N34" s="13">
        <v>201.0</v>
      </c>
      <c r="O34" s="13">
        <f t="shared" si="10"/>
        <v>2068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3.0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N36" si="11">E33-(E34+E35)</f>
        <v>81</v>
      </c>
      <c r="F36" s="13">
        <f t="shared" si="11"/>
        <v>73</v>
      </c>
      <c r="G36" s="13">
        <f t="shared" si="11"/>
        <v>95</v>
      </c>
      <c r="H36" s="13">
        <f t="shared" si="11"/>
        <v>64</v>
      </c>
      <c r="I36" s="13">
        <f t="shared" si="11"/>
        <v>69</v>
      </c>
      <c r="J36" s="13">
        <f t="shared" si="11"/>
        <v>77</v>
      </c>
      <c r="K36" s="13">
        <f t="shared" si="11"/>
        <v>73</v>
      </c>
      <c r="L36" s="13">
        <f t="shared" si="11"/>
        <v>99</v>
      </c>
      <c r="M36" s="13">
        <f t="shared" si="11"/>
        <v>67</v>
      </c>
      <c r="N36" s="13">
        <f t="shared" si="11"/>
        <v>71</v>
      </c>
      <c r="O36" s="13">
        <f t="shared" si="10"/>
        <v>769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68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8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N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19">
        <v>11.0</v>
      </c>
      <c r="F45" s="19">
        <v>8.0</v>
      </c>
      <c r="G45" s="19">
        <v>6.0</v>
      </c>
      <c r="H45" s="19">
        <v>4.0</v>
      </c>
      <c r="I45" s="19">
        <v>10.0</v>
      </c>
      <c r="J45" s="19">
        <v>0.0</v>
      </c>
      <c r="K45" s="19">
        <v>4.0</v>
      </c>
      <c r="L45" s="19">
        <v>7.0</v>
      </c>
      <c r="M45" s="19">
        <v>15.0</v>
      </c>
      <c r="N45" s="19">
        <v>13.0</v>
      </c>
      <c r="O45" s="13">
        <f t="shared" ref="O45:O52" si="14">SUM(E45:N45)</f>
        <v>78</v>
      </c>
    </row>
    <row r="46" ht="12.75" customHeight="1">
      <c r="A46" s="30" t="s">
        <v>38</v>
      </c>
      <c r="B46" s="49">
        <v>1.0</v>
      </c>
      <c r="C46" s="50" t="s">
        <v>39</v>
      </c>
      <c r="D46" s="16"/>
      <c r="E46" s="19">
        <v>16.0</v>
      </c>
      <c r="F46" s="19">
        <v>17.0</v>
      </c>
      <c r="G46" s="19">
        <v>5.0</v>
      </c>
      <c r="H46" s="19">
        <v>11.0</v>
      </c>
      <c r="I46" s="19">
        <v>8.0</v>
      </c>
      <c r="J46" s="19">
        <v>4.0</v>
      </c>
      <c r="K46" s="19">
        <v>7.0</v>
      </c>
      <c r="L46" s="19">
        <v>31.0</v>
      </c>
      <c r="M46" s="19">
        <v>20.0</v>
      </c>
      <c r="N46" s="19">
        <v>23.0</v>
      </c>
      <c r="O46" s="13">
        <f t="shared" si="14"/>
        <v>142</v>
      </c>
    </row>
    <row r="47" ht="12.75" customHeight="1">
      <c r="A47" s="18"/>
      <c r="B47" s="55">
        <v>2.0</v>
      </c>
      <c r="C47" s="50" t="s">
        <v>40</v>
      </c>
      <c r="D47" s="16"/>
      <c r="E47" s="19">
        <v>4.0</v>
      </c>
      <c r="F47" s="19">
        <v>1.0</v>
      </c>
      <c r="G47" s="19">
        <v>0.0</v>
      </c>
      <c r="H47" s="19">
        <v>2.0</v>
      </c>
      <c r="I47" s="19">
        <v>3.0</v>
      </c>
      <c r="J47" s="19">
        <v>4.0</v>
      </c>
      <c r="K47" s="19">
        <v>2.0</v>
      </c>
      <c r="L47" s="19">
        <v>1.0</v>
      </c>
      <c r="M47" s="19">
        <v>5.0</v>
      </c>
      <c r="N47" s="19">
        <v>9.0</v>
      </c>
      <c r="O47" s="13">
        <f t="shared" si="14"/>
        <v>31</v>
      </c>
    </row>
    <row r="48" ht="12.75" customHeight="1">
      <c r="A48" s="18"/>
      <c r="B48" s="55">
        <v>3.0</v>
      </c>
      <c r="C48" s="50" t="s">
        <v>41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1.0</v>
      </c>
      <c r="J48" s="19">
        <v>1.0</v>
      </c>
      <c r="K48" s="19">
        <v>0.0</v>
      </c>
      <c r="L48" s="19">
        <v>0.0</v>
      </c>
      <c r="M48" s="19">
        <v>1.0</v>
      </c>
      <c r="N48" s="19">
        <v>0.0</v>
      </c>
      <c r="O48" s="13">
        <f t="shared" si="14"/>
        <v>4</v>
      </c>
    </row>
    <row r="49" ht="12.75" customHeight="1">
      <c r="A49" s="18"/>
      <c r="B49" s="55">
        <v>4.0</v>
      </c>
      <c r="C49" s="50" t="s">
        <v>42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1.0</v>
      </c>
      <c r="J49" s="19">
        <v>0.0</v>
      </c>
      <c r="K49" s="19">
        <v>2.0</v>
      </c>
      <c r="L49" s="19">
        <v>1.0</v>
      </c>
      <c r="M49" s="19">
        <v>0.0</v>
      </c>
      <c r="N49" s="19">
        <v>0.0</v>
      </c>
      <c r="O49" s="13">
        <f t="shared" si="14"/>
        <v>5</v>
      </c>
    </row>
    <row r="50" ht="12.75" customHeight="1">
      <c r="A50" s="18"/>
      <c r="B50" s="55">
        <v>5.0</v>
      </c>
      <c r="C50" s="50" t="s">
        <v>43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1.0</v>
      </c>
      <c r="L50" s="19">
        <v>1.0</v>
      </c>
      <c r="M50" s="19">
        <v>1.0</v>
      </c>
      <c r="N50" s="19">
        <v>2.0</v>
      </c>
      <c r="O50" s="13">
        <f t="shared" si="14"/>
        <v>6</v>
      </c>
    </row>
    <row r="51" ht="12.75" customHeight="1">
      <c r="A51" s="18"/>
      <c r="B51" s="55">
        <v>6.0</v>
      </c>
      <c r="C51" s="50" t="s">
        <v>44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1.0</v>
      </c>
      <c r="N51" s="19">
        <v>1.0</v>
      </c>
      <c r="O51" s="13">
        <f t="shared" si="14"/>
        <v>4</v>
      </c>
    </row>
    <row r="52" ht="12.75" customHeight="1">
      <c r="A52" s="18"/>
      <c r="B52" s="55">
        <v>7.0</v>
      </c>
      <c r="C52" s="50" t="s">
        <v>45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3">
        <f t="shared" si="14"/>
        <v>0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73"/>
    </row>
    <row r="55" ht="12.75" customHeight="1">
      <c r="A55" s="19" t="s">
        <v>14</v>
      </c>
      <c r="B55" s="47" t="s">
        <v>46</v>
      </c>
      <c r="C55" s="15"/>
      <c r="D55" s="16"/>
      <c r="E55" s="13">
        <f t="shared" ref="E55:N55" si="15">SUM(E45:E52)</f>
        <v>31</v>
      </c>
      <c r="F55" s="13">
        <f t="shared" si="15"/>
        <v>27</v>
      </c>
      <c r="G55" s="13">
        <f t="shared" si="15"/>
        <v>12</v>
      </c>
      <c r="H55" s="13">
        <f t="shared" si="15"/>
        <v>18</v>
      </c>
      <c r="I55" s="13">
        <f t="shared" si="15"/>
        <v>24</v>
      </c>
      <c r="J55" s="13">
        <f t="shared" si="15"/>
        <v>9</v>
      </c>
      <c r="K55" s="13">
        <f t="shared" si="15"/>
        <v>16</v>
      </c>
      <c r="L55" s="13">
        <f t="shared" si="15"/>
        <v>42</v>
      </c>
      <c r="M55" s="13">
        <f t="shared" si="15"/>
        <v>43</v>
      </c>
      <c r="N55" s="13">
        <f t="shared" si="15"/>
        <v>48</v>
      </c>
      <c r="O55" s="13">
        <f>SUM(E55:N55)</f>
        <v>270</v>
      </c>
    </row>
    <row r="56" ht="12.75" customHeight="1">
      <c r="A56" s="45"/>
      <c r="B56" s="44"/>
      <c r="C56" s="44"/>
      <c r="D56" s="44"/>
      <c r="E56" s="44"/>
      <c r="O56" s="13"/>
    </row>
    <row r="57" ht="12.75" customHeight="1">
      <c r="A57" s="30" t="s">
        <v>36</v>
      </c>
      <c r="B57" s="47" t="s">
        <v>18</v>
      </c>
      <c r="C57" s="48" t="s">
        <v>47</v>
      </c>
      <c r="D57" s="16"/>
      <c r="E57" s="19">
        <v>6.0</v>
      </c>
      <c r="F57" s="19">
        <v>9.0</v>
      </c>
      <c r="G57" s="19">
        <v>8.0</v>
      </c>
      <c r="H57" s="19">
        <v>5.0</v>
      </c>
      <c r="I57" s="19">
        <v>2.0</v>
      </c>
      <c r="J57" s="19">
        <v>11.0</v>
      </c>
      <c r="K57" s="19">
        <v>4.0</v>
      </c>
      <c r="L57" s="19">
        <v>4.0</v>
      </c>
      <c r="M57" s="19">
        <v>14.0</v>
      </c>
      <c r="N57" s="19">
        <v>12.0</v>
      </c>
      <c r="O57" s="13">
        <f t="shared" ref="O57:O64" si="16">SUM(E57:N57)</f>
        <v>75</v>
      </c>
    </row>
    <row r="58" ht="12.75" customHeight="1">
      <c r="A58" s="30" t="s">
        <v>38</v>
      </c>
      <c r="B58" s="55">
        <v>1.0</v>
      </c>
      <c r="C58" s="50" t="s">
        <v>48</v>
      </c>
      <c r="D58" s="56"/>
      <c r="E58" s="19">
        <v>4.0</v>
      </c>
      <c r="F58" s="19">
        <v>5.0</v>
      </c>
      <c r="G58" s="19">
        <v>5.0</v>
      </c>
      <c r="H58" s="19">
        <v>16.0</v>
      </c>
      <c r="I58" s="19">
        <v>7.0</v>
      </c>
      <c r="J58" s="19">
        <v>11.0</v>
      </c>
      <c r="K58" s="19">
        <v>24.0</v>
      </c>
      <c r="L58" s="19">
        <v>7.0</v>
      </c>
      <c r="M58" s="19">
        <v>12.0</v>
      </c>
      <c r="N58" s="19">
        <v>6.0</v>
      </c>
      <c r="O58" s="13">
        <f t="shared" si="16"/>
        <v>97</v>
      </c>
    </row>
    <row r="59" ht="12.75" customHeight="1">
      <c r="A59" s="18"/>
      <c r="B59" s="55">
        <v>2.0</v>
      </c>
      <c r="C59" s="50" t="s">
        <v>49</v>
      </c>
      <c r="D59" s="56"/>
      <c r="E59" s="19">
        <v>1.0</v>
      </c>
      <c r="F59" s="19">
        <v>1.0</v>
      </c>
      <c r="G59" s="19">
        <v>1.0</v>
      </c>
      <c r="H59" s="19">
        <v>1.0</v>
      </c>
      <c r="I59" s="19">
        <v>3.0</v>
      </c>
      <c r="J59" s="19">
        <v>7.0</v>
      </c>
      <c r="K59" s="19">
        <v>3.0</v>
      </c>
      <c r="L59" s="19">
        <v>6.0</v>
      </c>
      <c r="M59" s="19">
        <v>4.0</v>
      </c>
      <c r="N59" s="19">
        <v>3.0</v>
      </c>
      <c r="O59" s="13">
        <f t="shared" si="16"/>
        <v>30</v>
      </c>
    </row>
    <row r="60" ht="12.75" customHeight="1">
      <c r="A60" s="18"/>
      <c r="B60" s="55">
        <v>3.0</v>
      </c>
      <c r="C60" s="50" t="s">
        <v>50</v>
      </c>
      <c r="D60" s="56"/>
      <c r="E60" s="19">
        <v>0.0</v>
      </c>
      <c r="F60" s="19">
        <v>2.0</v>
      </c>
      <c r="G60" s="19">
        <v>1.0</v>
      </c>
      <c r="H60" s="19">
        <v>2.0</v>
      </c>
      <c r="I60" s="19">
        <v>0.0</v>
      </c>
      <c r="J60" s="19">
        <v>0.0</v>
      </c>
      <c r="K60" s="19">
        <v>1.0</v>
      </c>
      <c r="L60" s="19">
        <v>1.0</v>
      </c>
      <c r="M60" s="19">
        <v>2.0</v>
      </c>
      <c r="N60" s="19">
        <v>1.0</v>
      </c>
      <c r="O60" s="13">
        <f t="shared" si="16"/>
        <v>10</v>
      </c>
    </row>
    <row r="61" ht="12.75" customHeight="1">
      <c r="A61" s="18"/>
      <c r="B61" s="55">
        <v>4.0</v>
      </c>
      <c r="C61" s="50" t="s">
        <v>51</v>
      </c>
      <c r="D61" s="56"/>
      <c r="E61" s="19">
        <v>0.0</v>
      </c>
      <c r="F61" s="19">
        <v>2.0</v>
      </c>
      <c r="G61" s="19">
        <v>2.0</v>
      </c>
      <c r="H61" s="19">
        <v>0.0</v>
      </c>
      <c r="I61" s="19">
        <v>0.0</v>
      </c>
      <c r="J61" s="19">
        <v>1.0</v>
      </c>
      <c r="K61" s="19">
        <v>0.0</v>
      </c>
      <c r="L61" s="19">
        <v>0.0</v>
      </c>
      <c r="M61" s="19">
        <v>0.0</v>
      </c>
      <c r="N61" s="19">
        <v>2.0</v>
      </c>
      <c r="O61" s="13">
        <f t="shared" si="16"/>
        <v>7</v>
      </c>
    </row>
    <row r="62" ht="12.75" customHeight="1">
      <c r="A62" s="18"/>
      <c r="B62" s="55">
        <v>5.0</v>
      </c>
      <c r="C62" s="50" t="s">
        <v>52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3">
        <f t="shared" si="16"/>
        <v>3</v>
      </c>
    </row>
    <row r="63" ht="12.75" customHeight="1">
      <c r="A63" s="18"/>
      <c r="B63" s="55">
        <v>6.0</v>
      </c>
      <c r="C63" s="50" t="s">
        <v>53</v>
      </c>
      <c r="D63" s="57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1.0</v>
      </c>
      <c r="M63" s="19">
        <v>0.0</v>
      </c>
      <c r="N63" s="19">
        <v>1.0</v>
      </c>
      <c r="O63" s="13">
        <f t="shared" si="16"/>
        <v>4</v>
      </c>
    </row>
    <row r="64" ht="12.75" customHeight="1">
      <c r="A64" s="18"/>
      <c r="B64" s="55">
        <v>7.0</v>
      </c>
      <c r="C64" s="50" t="s">
        <v>54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3">
        <f t="shared" si="16"/>
        <v>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73"/>
    </row>
    <row r="67" ht="12.75" customHeight="1">
      <c r="A67" s="19" t="s">
        <v>14</v>
      </c>
      <c r="B67" s="47" t="s">
        <v>46</v>
      </c>
      <c r="C67" s="15"/>
      <c r="D67" s="16"/>
      <c r="E67" s="13">
        <f t="shared" ref="E67:N67" si="17">SUM(E57:E64)</f>
        <v>13</v>
      </c>
      <c r="F67" s="13">
        <f t="shared" si="17"/>
        <v>19</v>
      </c>
      <c r="G67" s="13">
        <f t="shared" si="17"/>
        <v>17</v>
      </c>
      <c r="H67" s="13">
        <f t="shared" si="17"/>
        <v>24</v>
      </c>
      <c r="I67" s="13">
        <f t="shared" si="17"/>
        <v>13</v>
      </c>
      <c r="J67" s="13">
        <f t="shared" si="17"/>
        <v>30</v>
      </c>
      <c r="K67" s="13">
        <f t="shared" si="17"/>
        <v>34</v>
      </c>
      <c r="L67" s="13">
        <f t="shared" si="17"/>
        <v>19</v>
      </c>
      <c r="M67" s="13">
        <f t="shared" si="17"/>
        <v>32</v>
      </c>
      <c r="N67" s="13">
        <f t="shared" si="17"/>
        <v>25</v>
      </c>
      <c r="O67" s="13">
        <f>SUM(E67:N67)</f>
        <v>226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55</v>
      </c>
      <c r="D69" s="16"/>
      <c r="E69" s="19">
        <v>23.0</v>
      </c>
      <c r="F69" s="19">
        <v>15.0</v>
      </c>
      <c r="G69" s="19">
        <v>21.0</v>
      </c>
      <c r="H69" s="19">
        <v>6.0</v>
      </c>
      <c r="I69" s="19">
        <v>6.0</v>
      </c>
      <c r="J69" s="19">
        <v>9.0</v>
      </c>
      <c r="K69" s="19">
        <v>20.0</v>
      </c>
      <c r="L69" s="19">
        <v>10.0</v>
      </c>
      <c r="M69" s="19">
        <v>15.0</v>
      </c>
      <c r="N69" s="19">
        <v>9.0</v>
      </c>
      <c r="O69" s="13">
        <f t="shared" ref="O69:O76" si="18">SUM(E69:N69)</f>
        <v>134</v>
      </c>
    </row>
    <row r="70" ht="12.75" customHeight="1">
      <c r="A70" s="30" t="s">
        <v>38</v>
      </c>
      <c r="B70" s="55">
        <v>1.0</v>
      </c>
      <c r="C70" s="50" t="s">
        <v>56</v>
      </c>
      <c r="D70" s="57"/>
      <c r="E70" s="19">
        <v>11.0</v>
      </c>
      <c r="F70" s="19">
        <v>7.0</v>
      </c>
      <c r="G70" s="19">
        <v>6.0</v>
      </c>
      <c r="H70" s="19">
        <v>6.0</v>
      </c>
      <c r="I70" s="19">
        <v>3.0</v>
      </c>
      <c r="J70" s="19">
        <v>4.0</v>
      </c>
      <c r="K70" s="19">
        <v>12.0</v>
      </c>
      <c r="L70" s="19">
        <v>13.0</v>
      </c>
      <c r="M70" s="19">
        <v>4.0</v>
      </c>
      <c r="N70" s="19">
        <v>6.0</v>
      </c>
      <c r="O70" s="13">
        <f t="shared" si="18"/>
        <v>72</v>
      </c>
    </row>
    <row r="71" ht="12.75" customHeight="1">
      <c r="A71" s="18"/>
      <c r="B71" s="55">
        <v>2.0</v>
      </c>
      <c r="C71" s="50" t="s">
        <v>57</v>
      </c>
      <c r="D71" s="57"/>
      <c r="E71" s="19">
        <v>5.0</v>
      </c>
      <c r="F71" s="19">
        <v>4.0</v>
      </c>
      <c r="G71" s="19">
        <v>1.0</v>
      </c>
      <c r="H71" s="19">
        <v>2.0</v>
      </c>
      <c r="I71" s="19">
        <v>7.0</v>
      </c>
      <c r="J71" s="19">
        <v>3.0</v>
      </c>
      <c r="K71" s="19">
        <v>5.0</v>
      </c>
      <c r="L71" s="19">
        <v>9.0</v>
      </c>
      <c r="M71" s="19">
        <v>0.0</v>
      </c>
      <c r="N71" s="19">
        <v>5.0</v>
      </c>
      <c r="O71" s="13">
        <f t="shared" si="18"/>
        <v>41</v>
      </c>
    </row>
    <row r="72" ht="12.75" customHeight="1">
      <c r="A72" s="18"/>
      <c r="B72" s="55">
        <v>3.0</v>
      </c>
      <c r="C72" s="50" t="s">
        <v>58</v>
      </c>
      <c r="D72" s="57"/>
      <c r="E72" s="19">
        <v>21.0</v>
      </c>
      <c r="F72" s="19">
        <v>43.0</v>
      </c>
      <c r="G72" s="19">
        <v>37.0</v>
      </c>
      <c r="H72" s="19">
        <v>14.0</v>
      </c>
      <c r="I72" s="19">
        <v>4.0</v>
      </c>
      <c r="J72" s="19">
        <v>8.0</v>
      </c>
      <c r="K72" s="19">
        <v>13.0</v>
      </c>
      <c r="L72" s="19">
        <v>24.0</v>
      </c>
      <c r="M72" s="19">
        <v>33.0</v>
      </c>
      <c r="N72" s="19">
        <v>40.0</v>
      </c>
      <c r="O72" s="13">
        <f t="shared" si="18"/>
        <v>237</v>
      </c>
    </row>
    <row r="73" ht="12.75" customHeight="1">
      <c r="A73" s="18"/>
      <c r="B73" s="55">
        <v>4.0</v>
      </c>
      <c r="C73" s="50" t="s">
        <v>59</v>
      </c>
      <c r="D73" s="57"/>
      <c r="E73" s="19">
        <v>4.0</v>
      </c>
      <c r="F73" s="19">
        <v>2.0</v>
      </c>
      <c r="G73" s="19">
        <v>1.0</v>
      </c>
      <c r="H73" s="19">
        <v>1.0</v>
      </c>
      <c r="I73" s="19">
        <v>3.0</v>
      </c>
      <c r="J73" s="19">
        <v>4.0</v>
      </c>
      <c r="K73" s="19">
        <v>4.0</v>
      </c>
      <c r="L73" s="19">
        <v>3.0</v>
      </c>
      <c r="M73" s="19">
        <v>0.0</v>
      </c>
      <c r="N73" s="19">
        <v>5.0</v>
      </c>
      <c r="O73" s="13">
        <f t="shared" si="18"/>
        <v>27</v>
      </c>
    </row>
    <row r="74" ht="12.75" customHeight="1">
      <c r="A74" s="18"/>
      <c r="B74" s="55">
        <v>5.0</v>
      </c>
      <c r="C74" s="50" t="s">
        <v>60</v>
      </c>
      <c r="D74" s="57"/>
      <c r="E74" s="19">
        <v>1.0</v>
      </c>
      <c r="F74" s="19">
        <v>1.0</v>
      </c>
      <c r="G74" s="19">
        <v>3.0</v>
      </c>
      <c r="H74" s="19">
        <v>1.0</v>
      </c>
      <c r="I74" s="19">
        <v>0.0</v>
      </c>
      <c r="J74" s="19">
        <v>3.0</v>
      </c>
      <c r="K74" s="19">
        <v>4.0</v>
      </c>
      <c r="L74" s="19">
        <v>1.0</v>
      </c>
      <c r="M74" s="19">
        <v>2.0</v>
      </c>
      <c r="N74" s="19">
        <v>1.0</v>
      </c>
      <c r="O74" s="13">
        <f t="shared" si="18"/>
        <v>17</v>
      </c>
    </row>
    <row r="75" ht="12.75" customHeight="1">
      <c r="A75" s="18"/>
      <c r="B75" s="55">
        <v>6.0</v>
      </c>
      <c r="C75" s="50" t="s">
        <v>61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2.0</v>
      </c>
      <c r="J75" s="19">
        <v>2.0</v>
      </c>
      <c r="K75" s="19">
        <v>1.0</v>
      </c>
      <c r="L75" s="19">
        <v>0.0</v>
      </c>
      <c r="M75" s="19">
        <v>0.0</v>
      </c>
      <c r="N75" s="19">
        <v>0.0</v>
      </c>
      <c r="O75" s="13">
        <f t="shared" si="18"/>
        <v>5</v>
      </c>
    </row>
    <row r="76" ht="12.75" customHeight="1">
      <c r="A76" s="18"/>
      <c r="B76" s="55">
        <v>7.0</v>
      </c>
      <c r="C76" s="50" t="s">
        <v>62</v>
      </c>
      <c r="D76" s="57"/>
      <c r="E76" s="19">
        <v>1.0</v>
      </c>
      <c r="F76" s="19">
        <v>0.0</v>
      </c>
      <c r="G76" s="19">
        <v>0.0</v>
      </c>
      <c r="H76" s="19">
        <v>0.0</v>
      </c>
      <c r="I76" s="19">
        <v>1.0</v>
      </c>
      <c r="J76" s="19">
        <v>0.0</v>
      </c>
      <c r="K76" s="19">
        <v>1.0</v>
      </c>
      <c r="L76" s="19">
        <v>0.0</v>
      </c>
      <c r="M76" s="19">
        <v>1.0</v>
      </c>
      <c r="N76" s="19">
        <v>0.0</v>
      </c>
      <c r="O76" s="13">
        <f t="shared" si="18"/>
        <v>4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73"/>
    </row>
    <row r="79" ht="12.75" customHeight="1">
      <c r="A79" s="19" t="s">
        <v>14</v>
      </c>
      <c r="B79" s="47" t="s">
        <v>46</v>
      </c>
      <c r="C79" s="15"/>
      <c r="D79" s="16"/>
      <c r="E79" s="13">
        <f t="shared" ref="E79:N79" si="19">SUM(E69:E76)</f>
        <v>66</v>
      </c>
      <c r="F79" s="13">
        <f t="shared" si="19"/>
        <v>72</v>
      </c>
      <c r="G79" s="13">
        <f t="shared" si="19"/>
        <v>69</v>
      </c>
      <c r="H79" s="13">
        <f t="shared" si="19"/>
        <v>30</v>
      </c>
      <c r="I79" s="13">
        <f t="shared" si="19"/>
        <v>26</v>
      </c>
      <c r="J79" s="13">
        <f t="shared" si="19"/>
        <v>33</v>
      </c>
      <c r="K79" s="13">
        <f t="shared" si="19"/>
        <v>60</v>
      </c>
      <c r="L79" s="13">
        <f t="shared" si="19"/>
        <v>60</v>
      </c>
      <c r="M79" s="13">
        <f t="shared" si="19"/>
        <v>55</v>
      </c>
      <c r="N79" s="13">
        <f t="shared" si="19"/>
        <v>66</v>
      </c>
      <c r="O79" s="13">
        <f>SUM(E79:N79)</f>
        <v>537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63</v>
      </c>
      <c r="D81" s="16"/>
      <c r="E81" s="19">
        <v>0.0</v>
      </c>
      <c r="F81" s="19">
        <v>2.0</v>
      </c>
      <c r="G81" s="19">
        <v>2.0</v>
      </c>
      <c r="H81" s="19">
        <v>5.0</v>
      </c>
      <c r="I81" s="19">
        <v>6.0</v>
      </c>
      <c r="J81" s="19">
        <v>1.0</v>
      </c>
      <c r="K81" s="19">
        <v>3.0</v>
      </c>
      <c r="L81" s="19">
        <v>3.0</v>
      </c>
      <c r="M81" s="19">
        <v>4.0</v>
      </c>
      <c r="N81" s="19">
        <v>2.0</v>
      </c>
      <c r="O81" s="13">
        <f t="shared" ref="O81:O88" si="20">SUM(E81:N81)</f>
        <v>28</v>
      </c>
    </row>
    <row r="82" ht="12.75" customHeight="1">
      <c r="A82" s="30" t="s">
        <v>38</v>
      </c>
      <c r="B82" s="55">
        <v>1.0</v>
      </c>
      <c r="C82" s="50" t="s">
        <v>64</v>
      </c>
      <c r="D82" s="57"/>
      <c r="E82" s="19">
        <v>2.0</v>
      </c>
      <c r="F82" s="19">
        <v>1.0</v>
      </c>
      <c r="G82" s="19">
        <v>16.0</v>
      </c>
      <c r="H82" s="19">
        <v>27.0</v>
      </c>
      <c r="I82" s="19">
        <v>41.0</v>
      </c>
      <c r="J82" s="19">
        <v>2.0</v>
      </c>
      <c r="K82" s="19">
        <v>3.0</v>
      </c>
      <c r="L82" s="19">
        <v>0.0</v>
      </c>
      <c r="M82" s="19">
        <v>6.0</v>
      </c>
      <c r="N82" s="19">
        <v>0.0</v>
      </c>
      <c r="O82" s="13">
        <f t="shared" si="20"/>
        <v>98</v>
      </c>
    </row>
    <row r="83" ht="12.75" customHeight="1">
      <c r="A83" s="18"/>
      <c r="B83" s="55">
        <v>2.0</v>
      </c>
      <c r="C83" s="50" t="s">
        <v>65</v>
      </c>
      <c r="D83" s="57"/>
      <c r="E83" s="19">
        <v>2.0</v>
      </c>
      <c r="F83" s="19">
        <v>0.0</v>
      </c>
      <c r="G83" s="19">
        <v>2.0</v>
      </c>
      <c r="H83" s="19">
        <v>2.0</v>
      </c>
      <c r="I83" s="19">
        <v>4.0</v>
      </c>
      <c r="J83" s="19">
        <v>3.0</v>
      </c>
      <c r="K83" s="19">
        <v>6.0</v>
      </c>
      <c r="L83" s="19">
        <v>2.0</v>
      </c>
      <c r="M83" s="19">
        <v>9.0</v>
      </c>
      <c r="N83" s="19">
        <v>1.0</v>
      </c>
      <c r="O83" s="13">
        <f t="shared" si="20"/>
        <v>31</v>
      </c>
    </row>
    <row r="84" ht="12.75" customHeight="1">
      <c r="A84" s="18"/>
      <c r="B84" s="55">
        <v>3.0</v>
      </c>
      <c r="C84" s="50" t="s">
        <v>66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1.0</v>
      </c>
      <c r="L84" s="19">
        <v>0.0</v>
      </c>
      <c r="M84" s="19">
        <v>2.0</v>
      </c>
      <c r="N84" s="19">
        <v>0.0</v>
      </c>
      <c r="O84" s="13">
        <f t="shared" si="20"/>
        <v>4</v>
      </c>
    </row>
    <row r="85" ht="12.75" customHeight="1">
      <c r="A85" s="18"/>
      <c r="B85" s="55">
        <v>4.0</v>
      </c>
      <c r="C85" s="50" t="s">
        <v>67</v>
      </c>
      <c r="D85" s="57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1.0</v>
      </c>
      <c r="L85" s="19">
        <v>1.0</v>
      </c>
      <c r="M85" s="19">
        <v>3.0</v>
      </c>
      <c r="N85" s="19">
        <v>0.0</v>
      </c>
      <c r="O85" s="13">
        <f t="shared" si="20"/>
        <v>6</v>
      </c>
    </row>
    <row r="86" ht="12.75" customHeight="1">
      <c r="A86" s="18"/>
      <c r="B86" s="55">
        <v>5.0</v>
      </c>
      <c r="C86" s="50" t="s">
        <v>68</v>
      </c>
      <c r="D86" s="57"/>
      <c r="E86" s="19">
        <v>1.0</v>
      </c>
      <c r="F86" s="19">
        <v>0.0</v>
      </c>
      <c r="G86" s="19">
        <v>1.0</v>
      </c>
      <c r="H86" s="19">
        <v>7.0</v>
      </c>
      <c r="I86" s="19">
        <v>1.0</v>
      </c>
      <c r="J86" s="19">
        <v>1.0</v>
      </c>
      <c r="K86" s="19">
        <v>0.0</v>
      </c>
      <c r="L86" s="19">
        <v>0.0</v>
      </c>
      <c r="M86" s="19">
        <v>1.0</v>
      </c>
      <c r="N86" s="19">
        <v>0.0</v>
      </c>
      <c r="O86" s="13">
        <f t="shared" si="20"/>
        <v>12</v>
      </c>
    </row>
    <row r="87" ht="12.75" customHeight="1">
      <c r="A87" s="18"/>
      <c r="B87" s="55">
        <v>6.0</v>
      </c>
      <c r="C87" s="50" t="s">
        <v>69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3">
        <f t="shared" si="20"/>
        <v>1</v>
      </c>
    </row>
    <row r="88" ht="12.75" customHeight="1">
      <c r="A88" s="18"/>
      <c r="B88" s="55">
        <v>7.0</v>
      </c>
      <c r="C88" s="50" t="s">
        <v>70</v>
      </c>
      <c r="D88" s="57"/>
      <c r="E88" s="19">
        <v>0.0</v>
      </c>
      <c r="F88" s="19">
        <v>0.0</v>
      </c>
      <c r="G88" s="19">
        <v>0.0</v>
      </c>
      <c r="H88" s="19">
        <v>1.0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3">
        <f t="shared" si="20"/>
        <v>2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73"/>
    </row>
    <row r="91" ht="12.75" customHeight="1">
      <c r="A91" s="19" t="s">
        <v>14</v>
      </c>
      <c r="B91" s="47" t="s">
        <v>46</v>
      </c>
      <c r="C91" s="15"/>
      <c r="D91" s="16"/>
      <c r="E91" s="13">
        <f t="shared" ref="E91:N91" si="21">SUM(E81:E88)</f>
        <v>5</v>
      </c>
      <c r="F91" s="13">
        <f t="shared" si="21"/>
        <v>3</v>
      </c>
      <c r="G91" s="13">
        <f t="shared" si="21"/>
        <v>22</v>
      </c>
      <c r="H91" s="13">
        <f t="shared" si="21"/>
        <v>43</v>
      </c>
      <c r="I91" s="13">
        <f t="shared" si="21"/>
        <v>53</v>
      </c>
      <c r="J91" s="13">
        <f t="shared" si="21"/>
        <v>7</v>
      </c>
      <c r="K91" s="13">
        <f t="shared" si="21"/>
        <v>15</v>
      </c>
      <c r="L91" s="13">
        <f t="shared" si="21"/>
        <v>6</v>
      </c>
      <c r="M91" s="13">
        <f t="shared" si="21"/>
        <v>25</v>
      </c>
      <c r="N91" s="13">
        <f t="shared" si="21"/>
        <v>3</v>
      </c>
      <c r="O91" s="13">
        <f>SUM(E91:N91)</f>
        <v>182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71</v>
      </c>
      <c r="C93" s="48" t="s">
        <v>72</v>
      </c>
      <c r="D93" s="16"/>
      <c r="E93" s="19">
        <v>1.0</v>
      </c>
      <c r="F93" s="19">
        <v>0.0</v>
      </c>
      <c r="G93" s="19">
        <v>2.0</v>
      </c>
      <c r="H93" s="19">
        <v>1.0</v>
      </c>
      <c r="I93" s="19">
        <v>0.0</v>
      </c>
      <c r="J93" s="19">
        <v>2.0</v>
      </c>
      <c r="K93" s="19">
        <v>5.0</v>
      </c>
      <c r="L93" s="19">
        <v>2.0</v>
      </c>
      <c r="M93" s="19">
        <v>4.0</v>
      </c>
      <c r="N93" s="19">
        <v>2.0</v>
      </c>
      <c r="O93" s="13">
        <f t="shared" ref="O93:O100" si="22">SUM(E93:N93)</f>
        <v>19</v>
      </c>
    </row>
    <row r="94" ht="12.75" customHeight="1">
      <c r="A94" s="30" t="s">
        <v>38</v>
      </c>
      <c r="B94" s="55">
        <v>1.0</v>
      </c>
      <c r="C94" s="50" t="s">
        <v>73</v>
      </c>
      <c r="D94" s="57"/>
      <c r="E94" s="19">
        <v>4.0</v>
      </c>
      <c r="F94" s="19">
        <v>1.0</v>
      </c>
      <c r="G94" s="19">
        <v>6.0</v>
      </c>
      <c r="H94" s="19">
        <v>2.0</v>
      </c>
      <c r="I94" s="19">
        <v>1.0</v>
      </c>
      <c r="J94" s="19">
        <v>1.0</v>
      </c>
      <c r="K94" s="19">
        <v>8.0</v>
      </c>
      <c r="L94" s="19">
        <v>3.0</v>
      </c>
      <c r="M94" s="19">
        <v>3.0</v>
      </c>
      <c r="N94" s="19">
        <v>1.0</v>
      </c>
      <c r="O94" s="13">
        <f t="shared" si="22"/>
        <v>30</v>
      </c>
    </row>
    <row r="95" ht="12.75" customHeight="1">
      <c r="A95" s="18"/>
      <c r="B95" s="55">
        <v>2.0</v>
      </c>
      <c r="C95" s="50" t="s">
        <v>74</v>
      </c>
      <c r="D95" s="57"/>
      <c r="E95" s="19">
        <v>5.0</v>
      </c>
      <c r="F95" s="19">
        <v>9.0</v>
      </c>
      <c r="G95" s="19">
        <v>1.0</v>
      </c>
      <c r="H95" s="19">
        <v>5.0</v>
      </c>
      <c r="I95" s="19">
        <v>7.0</v>
      </c>
      <c r="J95" s="19">
        <v>3.0</v>
      </c>
      <c r="K95" s="19">
        <v>4.0</v>
      </c>
      <c r="L95" s="19">
        <v>0.0</v>
      </c>
      <c r="M95" s="19">
        <v>9.0</v>
      </c>
      <c r="N95" s="19">
        <v>1.0</v>
      </c>
      <c r="O95" s="13">
        <f t="shared" si="22"/>
        <v>44</v>
      </c>
    </row>
    <row r="96" ht="12.75" customHeight="1">
      <c r="A96" s="18"/>
      <c r="B96" s="55">
        <v>3.0</v>
      </c>
      <c r="C96" s="50" t="s">
        <v>75</v>
      </c>
      <c r="D96" s="57"/>
      <c r="E96" s="19">
        <v>1.0</v>
      </c>
      <c r="F96" s="19">
        <v>1.0</v>
      </c>
      <c r="G96" s="19">
        <v>0.0</v>
      </c>
      <c r="H96" s="19">
        <v>0.0</v>
      </c>
      <c r="I96" s="19">
        <v>0.0</v>
      </c>
      <c r="J96" s="19">
        <v>1.0</v>
      </c>
      <c r="K96" s="19">
        <v>1.0</v>
      </c>
      <c r="L96" s="19">
        <v>0.0</v>
      </c>
      <c r="M96" s="19">
        <v>1.0</v>
      </c>
      <c r="N96" s="19">
        <v>0.0</v>
      </c>
      <c r="O96" s="13">
        <f t="shared" si="22"/>
        <v>5</v>
      </c>
    </row>
    <row r="97" ht="12.75" customHeight="1">
      <c r="A97" s="18"/>
      <c r="B97" s="55">
        <v>4.0</v>
      </c>
      <c r="C97" s="50" t="s">
        <v>76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7.0</v>
      </c>
      <c r="K97" s="19">
        <v>1.0</v>
      </c>
      <c r="L97" s="19">
        <v>0.0</v>
      </c>
      <c r="M97" s="19">
        <v>0.0</v>
      </c>
      <c r="N97" s="19">
        <v>0.0</v>
      </c>
      <c r="O97" s="13">
        <f t="shared" si="22"/>
        <v>8</v>
      </c>
    </row>
    <row r="98" ht="12.75" customHeight="1">
      <c r="A98" s="18"/>
      <c r="B98" s="55">
        <v>5.0</v>
      </c>
      <c r="C98" s="50" t="s">
        <v>77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3">
        <f t="shared" si="22"/>
        <v>1</v>
      </c>
    </row>
    <row r="99" ht="12.75" customHeight="1">
      <c r="A99" s="18"/>
      <c r="B99" s="55">
        <v>6.0</v>
      </c>
      <c r="C99" s="50" t="s">
        <v>78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3">
        <f t="shared" si="22"/>
        <v>0</v>
      </c>
    </row>
    <row r="100" ht="12.75" customHeight="1">
      <c r="A100" s="18"/>
      <c r="B100" s="55">
        <v>7.0</v>
      </c>
      <c r="C100" s="50" t="s">
        <v>79</v>
      </c>
      <c r="D100" s="57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3">
        <f t="shared" si="22"/>
        <v>1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73"/>
    </row>
    <row r="103" ht="12.75" customHeight="1">
      <c r="A103" s="19" t="s">
        <v>14</v>
      </c>
      <c r="B103" s="47" t="s">
        <v>46</v>
      </c>
      <c r="C103" s="15"/>
      <c r="D103" s="16"/>
      <c r="E103" s="13">
        <f t="shared" ref="E103:N103" si="23">SUM(E93:E100)</f>
        <v>12</v>
      </c>
      <c r="F103" s="13">
        <f t="shared" si="23"/>
        <v>11</v>
      </c>
      <c r="G103" s="13">
        <f t="shared" si="23"/>
        <v>9</v>
      </c>
      <c r="H103" s="13">
        <f t="shared" si="23"/>
        <v>9</v>
      </c>
      <c r="I103" s="13">
        <f t="shared" si="23"/>
        <v>8</v>
      </c>
      <c r="J103" s="13">
        <f t="shared" si="23"/>
        <v>14</v>
      </c>
      <c r="K103" s="13">
        <f t="shared" si="23"/>
        <v>19</v>
      </c>
      <c r="L103" s="13">
        <f t="shared" si="23"/>
        <v>5</v>
      </c>
      <c r="M103" s="13">
        <f t="shared" si="23"/>
        <v>17</v>
      </c>
      <c r="N103" s="13">
        <f t="shared" si="23"/>
        <v>4</v>
      </c>
      <c r="O103" s="13">
        <f>SUM(E103:N103)</f>
        <v>108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</row>
    <row r="105" ht="12.75" customHeight="1">
      <c r="A105" s="30" t="s">
        <v>36</v>
      </c>
      <c r="B105" s="47" t="s">
        <v>80</v>
      </c>
      <c r="C105" s="48" t="s">
        <v>81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2.0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3">
        <f t="shared" ref="O105:O112" si="24">SUM(E105:N105)</f>
        <v>3</v>
      </c>
    </row>
    <row r="106" ht="12.75" customHeight="1">
      <c r="A106" s="30" t="s">
        <v>38</v>
      </c>
      <c r="B106" s="55">
        <v>1.0</v>
      </c>
      <c r="C106" s="50" t="s">
        <v>82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1.0</v>
      </c>
      <c r="N106" s="19">
        <v>0.0</v>
      </c>
      <c r="O106" s="13">
        <f t="shared" si="24"/>
        <v>3</v>
      </c>
    </row>
    <row r="107" ht="12.75" customHeight="1">
      <c r="A107" s="18"/>
      <c r="B107" s="55">
        <v>2.0</v>
      </c>
      <c r="C107" s="50" t="s">
        <v>83</v>
      </c>
      <c r="D107" s="57"/>
      <c r="E107" s="19">
        <v>1.0</v>
      </c>
      <c r="F107" s="19">
        <v>2.0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3">
        <f t="shared" si="24"/>
        <v>5</v>
      </c>
    </row>
    <row r="108" ht="12.75" customHeight="1">
      <c r="A108" s="18"/>
      <c r="B108" s="55">
        <v>3.0</v>
      </c>
      <c r="C108" s="50" t="s">
        <v>84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3">
        <f t="shared" si="24"/>
        <v>0</v>
      </c>
    </row>
    <row r="109" ht="12.75" customHeight="1">
      <c r="A109" s="18"/>
      <c r="B109" s="55">
        <v>4.0</v>
      </c>
      <c r="C109" s="50" t="s">
        <v>85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3">
        <f t="shared" si="24"/>
        <v>0</v>
      </c>
    </row>
    <row r="110" ht="12.75" customHeight="1">
      <c r="A110" s="18"/>
      <c r="B110" s="55">
        <v>5.0</v>
      </c>
      <c r="C110" s="50" t="s">
        <v>86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3">
        <f t="shared" si="24"/>
        <v>0</v>
      </c>
    </row>
    <row r="111" ht="12.75" customHeight="1">
      <c r="A111" s="18"/>
      <c r="B111" s="55">
        <v>6.0</v>
      </c>
      <c r="C111" s="50" t="s">
        <v>87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3">
        <f t="shared" si="24"/>
        <v>0</v>
      </c>
    </row>
    <row r="112" ht="12.75" customHeight="1">
      <c r="A112" s="18"/>
      <c r="B112" s="55">
        <v>7.0</v>
      </c>
      <c r="C112" s="50" t="s">
        <v>88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73"/>
    </row>
    <row r="115" ht="12.75" customHeight="1">
      <c r="A115" s="19" t="s">
        <v>14</v>
      </c>
      <c r="B115" s="47" t="s">
        <v>46</v>
      </c>
      <c r="C115" s="15"/>
      <c r="D115" s="16"/>
      <c r="E115" s="13">
        <f t="shared" ref="E115:N115" si="25">SUM(E105:E112)</f>
        <v>1</v>
      </c>
      <c r="F115" s="13">
        <f t="shared" si="25"/>
        <v>3</v>
      </c>
      <c r="G115" s="13">
        <f t="shared" si="25"/>
        <v>0</v>
      </c>
      <c r="H115" s="13">
        <f t="shared" si="25"/>
        <v>1</v>
      </c>
      <c r="I115" s="13">
        <f t="shared" si="25"/>
        <v>2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>SUM(E115:N115)</f>
        <v>11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13"/>
    </row>
    <row r="117" ht="12.75" customHeight="1">
      <c r="A117" s="30" t="s">
        <v>36</v>
      </c>
      <c r="B117" s="47" t="s">
        <v>89</v>
      </c>
      <c r="C117" s="48" t="s">
        <v>90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1.0</v>
      </c>
      <c r="J117" s="19">
        <v>0.0</v>
      </c>
      <c r="K117" s="19">
        <v>0.0</v>
      </c>
      <c r="L117" s="19">
        <v>1.0</v>
      </c>
      <c r="M117" s="19">
        <v>0.0</v>
      </c>
      <c r="N117" s="19">
        <v>0.0</v>
      </c>
      <c r="O117" s="13">
        <f t="shared" ref="O117:O120" si="26">SUM(E117:N117)</f>
        <v>4</v>
      </c>
      <c r="P117" s="5"/>
      <c r="Q117" s="5"/>
    </row>
    <row r="118" ht="12.75" customHeight="1">
      <c r="A118" s="30" t="s">
        <v>38</v>
      </c>
      <c r="B118" s="55">
        <v>1.0</v>
      </c>
      <c r="C118" s="50" t="s">
        <v>91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3">
        <f t="shared" si="26"/>
        <v>1</v>
      </c>
      <c r="P118" s="5"/>
      <c r="Q118" s="5"/>
    </row>
    <row r="119" ht="12.75" customHeight="1">
      <c r="A119" s="18"/>
      <c r="B119" s="55">
        <v>2.0</v>
      </c>
      <c r="C119" s="50" t="s">
        <v>92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3">
        <f t="shared" si="26"/>
        <v>1</v>
      </c>
      <c r="P119" s="5"/>
      <c r="Q119" s="5"/>
    </row>
    <row r="120" ht="12.75" customHeight="1">
      <c r="A120" s="18"/>
      <c r="B120" s="55">
        <v>3.0</v>
      </c>
      <c r="C120" s="50" t="s">
        <v>93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3">
        <f t="shared" si="26"/>
        <v>0</v>
      </c>
      <c r="P120" s="5"/>
      <c r="Q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73"/>
      <c r="P121" s="5"/>
      <c r="Q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73"/>
      <c r="P122" s="5"/>
      <c r="Q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73"/>
      <c r="P123" s="5"/>
      <c r="Q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73"/>
      <c r="P124" s="5"/>
      <c r="Q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73"/>
      <c r="P125" s="5"/>
      <c r="Q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73"/>
      <c r="P126" s="5"/>
      <c r="Q126" s="5"/>
    </row>
    <row r="127" ht="12.75" customHeight="1">
      <c r="A127" s="19" t="s">
        <v>14</v>
      </c>
      <c r="B127" s="47" t="s">
        <v>46</v>
      </c>
      <c r="C127" s="15"/>
      <c r="D127" s="16"/>
      <c r="E127" s="58">
        <f t="shared" ref="E127:N127" si="27">SUM(E117:E120)</f>
        <v>1</v>
      </c>
      <c r="F127" s="58">
        <f t="shared" si="27"/>
        <v>0</v>
      </c>
      <c r="G127" s="58">
        <f t="shared" si="27"/>
        <v>0</v>
      </c>
      <c r="H127" s="58">
        <f t="shared" si="27"/>
        <v>1</v>
      </c>
      <c r="I127" s="58">
        <f t="shared" si="27"/>
        <v>1</v>
      </c>
      <c r="J127" s="58">
        <f t="shared" si="27"/>
        <v>0</v>
      </c>
      <c r="K127" s="58">
        <f t="shared" si="27"/>
        <v>1</v>
      </c>
      <c r="L127" s="58">
        <f t="shared" si="27"/>
        <v>2</v>
      </c>
      <c r="M127" s="58">
        <f t="shared" si="27"/>
        <v>0</v>
      </c>
      <c r="N127" s="58">
        <f t="shared" si="27"/>
        <v>0</v>
      </c>
      <c r="O127" s="13">
        <f>SUM(E127:N127)</f>
        <v>6</v>
      </c>
      <c r="P127" s="5"/>
      <c r="Q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5"/>
      <c r="Q128" s="5"/>
    </row>
    <row r="129" ht="12.75" customHeight="1">
      <c r="A129" s="30" t="s">
        <v>36</v>
      </c>
      <c r="B129" s="47" t="s">
        <v>94</v>
      </c>
      <c r="C129" s="48" t="s">
        <v>95</v>
      </c>
      <c r="D129" s="16"/>
      <c r="E129" s="19">
        <v>5.0</v>
      </c>
      <c r="F129" s="19">
        <v>0.0</v>
      </c>
      <c r="G129" s="19">
        <v>4.0</v>
      </c>
      <c r="H129" s="19">
        <v>0.0</v>
      </c>
      <c r="I129" s="19">
        <v>1.0</v>
      </c>
      <c r="J129" s="19">
        <v>0.0</v>
      </c>
      <c r="K129" s="19">
        <v>2.0</v>
      </c>
      <c r="L129" s="19">
        <v>2.0</v>
      </c>
      <c r="M129" s="19">
        <v>0.0</v>
      </c>
      <c r="N129" s="19">
        <v>0.0</v>
      </c>
      <c r="O129" s="13">
        <f t="shared" ref="O129:O136" si="28">SUM(E129:N129)</f>
        <v>14</v>
      </c>
      <c r="P129" s="5"/>
      <c r="Q129" s="5"/>
    </row>
    <row r="130" ht="12.75" customHeight="1">
      <c r="A130" s="30" t="s">
        <v>38</v>
      </c>
      <c r="B130" s="55">
        <v>1.0</v>
      </c>
      <c r="C130" s="50" t="s">
        <v>96</v>
      </c>
      <c r="D130" s="56"/>
      <c r="E130" s="19">
        <v>2.0</v>
      </c>
      <c r="F130" s="19">
        <v>6.0</v>
      </c>
      <c r="G130" s="19">
        <v>13.0</v>
      </c>
      <c r="H130" s="19">
        <v>3.0</v>
      </c>
      <c r="I130" s="19">
        <v>0.0</v>
      </c>
      <c r="J130" s="19">
        <v>3.0</v>
      </c>
      <c r="K130" s="19">
        <v>4.0</v>
      </c>
      <c r="L130" s="19">
        <v>3.0</v>
      </c>
      <c r="M130" s="19">
        <v>2.0</v>
      </c>
      <c r="N130" s="19">
        <v>3.0</v>
      </c>
      <c r="O130" s="13">
        <f t="shared" si="28"/>
        <v>39</v>
      </c>
      <c r="P130" s="1"/>
      <c r="Q130" s="1"/>
    </row>
    <row r="131" ht="12.75" customHeight="1">
      <c r="A131" s="18"/>
      <c r="B131" s="55">
        <v>2.0</v>
      </c>
      <c r="C131" s="50" t="s">
        <v>97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3">
        <f t="shared" si="28"/>
        <v>0</v>
      </c>
      <c r="P131" s="52"/>
      <c r="Q131" s="52"/>
    </row>
    <row r="132" ht="12.75" customHeight="1">
      <c r="A132" s="18"/>
      <c r="B132" s="55">
        <v>3.0</v>
      </c>
      <c r="C132" s="50" t="s">
        <v>98</v>
      </c>
      <c r="D132" s="56"/>
      <c r="E132" s="19">
        <v>0.0</v>
      </c>
      <c r="F132" s="19">
        <v>1.0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1.0</v>
      </c>
      <c r="O132" s="13">
        <f t="shared" si="28"/>
        <v>4</v>
      </c>
      <c r="P132" s="5"/>
      <c r="Q132" s="5"/>
    </row>
    <row r="133" ht="12.75" customHeight="1">
      <c r="A133" s="18"/>
      <c r="B133" s="55">
        <v>4.0</v>
      </c>
      <c r="C133" s="50" t="s">
        <v>99</v>
      </c>
      <c r="D133" s="56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3">
        <f t="shared" si="28"/>
        <v>1</v>
      </c>
      <c r="P133" s="5"/>
      <c r="Q133" s="5"/>
    </row>
    <row r="134" ht="12.75" customHeight="1">
      <c r="A134" s="18"/>
      <c r="B134" s="55">
        <v>5.0</v>
      </c>
      <c r="C134" s="50" t="s">
        <v>100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3">
        <f t="shared" si="28"/>
        <v>0</v>
      </c>
      <c r="P134" s="5"/>
      <c r="Q134" s="5"/>
    </row>
    <row r="135" ht="12.75" customHeight="1">
      <c r="A135" s="18"/>
      <c r="B135" s="55">
        <v>6.0</v>
      </c>
      <c r="C135" s="50" t="s">
        <v>101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3">
        <f t="shared" si="28"/>
        <v>1</v>
      </c>
      <c r="P135" s="5"/>
      <c r="Q135" s="5"/>
    </row>
    <row r="136" ht="12.75" customHeight="1">
      <c r="A136" s="18"/>
      <c r="B136" s="55">
        <v>7.0</v>
      </c>
      <c r="C136" s="50" t="s">
        <v>102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3">
        <f t="shared" si="28"/>
        <v>0</v>
      </c>
      <c r="P136" s="5"/>
      <c r="Q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73"/>
      <c r="P137" s="5"/>
      <c r="Q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73"/>
      <c r="P138" s="5"/>
      <c r="Q138" s="5"/>
    </row>
    <row r="139" ht="12.75" customHeight="1">
      <c r="A139" s="19" t="s">
        <v>14</v>
      </c>
      <c r="B139" s="47" t="s">
        <v>46</v>
      </c>
      <c r="C139" s="15"/>
      <c r="D139" s="16"/>
      <c r="E139" s="13">
        <f t="shared" ref="E139:N139" si="29">SUM(E129:E136)</f>
        <v>7</v>
      </c>
      <c r="F139" s="13">
        <f t="shared" si="29"/>
        <v>7</v>
      </c>
      <c r="G139" s="13">
        <f t="shared" si="29"/>
        <v>17</v>
      </c>
      <c r="H139" s="13">
        <f t="shared" si="29"/>
        <v>5</v>
      </c>
      <c r="I139" s="13">
        <f t="shared" si="29"/>
        <v>1</v>
      </c>
      <c r="J139" s="13">
        <f t="shared" si="29"/>
        <v>3</v>
      </c>
      <c r="K139" s="13">
        <f t="shared" si="29"/>
        <v>6</v>
      </c>
      <c r="L139" s="13">
        <f t="shared" si="29"/>
        <v>7</v>
      </c>
      <c r="M139" s="13">
        <f t="shared" si="29"/>
        <v>2</v>
      </c>
      <c r="N139" s="13">
        <f t="shared" si="29"/>
        <v>4</v>
      </c>
      <c r="O139" s="13">
        <f>SUM(E139:N139)</f>
        <v>59</v>
      </c>
      <c r="P139" s="5"/>
      <c r="Q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5"/>
      <c r="Q140" s="5"/>
    </row>
    <row r="141" ht="12.75" customHeight="1">
      <c r="A141" s="30" t="s">
        <v>36</v>
      </c>
      <c r="B141" s="47" t="s">
        <v>103</v>
      </c>
      <c r="C141" s="48" t="s">
        <v>104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3">
        <f t="shared" ref="O141:O148" si="30">SUM(E141:N141)</f>
        <v>0</v>
      </c>
      <c r="P141" s="1"/>
      <c r="Q141" s="1"/>
    </row>
    <row r="142" ht="12.75" customHeight="1">
      <c r="A142" s="30" t="s">
        <v>38</v>
      </c>
      <c r="B142" s="55">
        <v>1.0</v>
      </c>
      <c r="C142" s="50" t="s">
        <v>105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3">
        <f t="shared" si="30"/>
        <v>0</v>
      </c>
      <c r="P142" s="52"/>
      <c r="Q142" s="52"/>
    </row>
    <row r="143" ht="12.75" customHeight="1">
      <c r="A143" s="18"/>
      <c r="B143" s="55">
        <v>2.0</v>
      </c>
      <c r="C143" s="50" t="s">
        <v>106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3">
        <f t="shared" si="30"/>
        <v>0</v>
      </c>
      <c r="P143" s="5"/>
      <c r="Q143" s="5"/>
    </row>
    <row r="144" ht="12.75" customHeight="1">
      <c r="A144" s="18"/>
      <c r="B144" s="55">
        <v>3.0</v>
      </c>
      <c r="C144" s="50" t="s">
        <v>107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3">
        <f t="shared" si="30"/>
        <v>0</v>
      </c>
      <c r="P144" s="5"/>
      <c r="Q144" s="5"/>
    </row>
    <row r="145" ht="12.75" customHeight="1">
      <c r="A145" s="18"/>
      <c r="B145" s="55">
        <v>4.0</v>
      </c>
      <c r="C145" s="50" t="s">
        <v>108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3">
        <f t="shared" si="30"/>
        <v>0</v>
      </c>
      <c r="P145" s="5"/>
      <c r="Q145" s="5"/>
    </row>
    <row r="146" ht="12.75" customHeight="1">
      <c r="A146" s="18"/>
      <c r="B146" s="55">
        <v>5.0</v>
      </c>
      <c r="C146" s="50" t="s">
        <v>109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3">
        <f t="shared" si="30"/>
        <v>0</v>
      </c>
      <c r="P146" s="5"/>
      <c r="Q146" s="5"/>
    </row>
    <row r="147" ht="12.75" customHeight="1">
      <c r="A147" s="18"/>
      <c r="B147" s="55">
        <v>6.0</v>
      </c>
      <c r="C147" s="50" t="s">
        <v>110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3">
        <f t="shared" si="30"/>
        <v>0</v>
      </c>
      <c r="P147" s="5"/>
      <c r="Q147" s="5"/>
    </row>
    <row r="148" ht="12.75" customHeight="1">
      <c r="A148" s="18"/>
      <c r="B148" s="55">
        <v>7.0</v>
      </c>
      <c r="C148" s="50" t="s">
        <v>111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3">
        <f t="shared" si="30"/>
        <v>0</v>
      </c>
      <c r="P148" s="5"/>
      <c r="Q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73"/>
      <c r="P149" s="5"/>
      <c r="Q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73"/>
      <c r="P150" s="5"/>
      <c r="Q150" s="5"/>
    </row>
    <row r="151" ht="12.75" customHeight="1">
      <c r="A151" s="19" t="s">
        <v>14</v>
      </c>
      <c r="B151" s="47" t="s">
        <v>46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>SUM(E151:N151)</f>
        <v>0</v>
      </c>
      <c r="P151" s="1"/>
      <c r="Q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13"/>
      <c r="P152" s="52"/>
      <c r="Q152" s="52"/>
    </row>
    <row r="153" ht="12.75" customHeight="1">
      <c r="A153" s="30" t="s">
        <v>36</v>
      </c>
      <c r="B153" s="47" t="s">
        <v>112</v>
      </c>
      <c r="C153" s="48" t="s">
        <v>113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3">
        <f t="shared" ref="O153:O157" si="32">SUM(E153:N153)</f>
        <v>0</v>
      </c>
      <c r="P153" s="5"/>
      <c r="Q153" s="5"/>
    </row>
    <row r="154" ht="12.75" customHeight="1">
      <c r="A154" s="30" t="s">
        <v>38</v>
      </c>
      <c r="B154" s="55">
        <v>1.0</v>
      </c>
      <c r="C154" s="59" t="s">
        <v>114</v>
      </c>
      <c r="D154" s="57"/>
      <c r="E154" s="19">
        <v>1.0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3">
        <f t="shared" si="32"/>
        <v>2</v>
      </c>
      <c r="P154" s="5"/>
      <c r="Q154" s="5"/>
    </row>
    <row r="155" ht="12.75" customHeight="1">
      <c r="A155" s="18"/>
      <c r="B155" s="55">
        <v>2.0</v>
      </c>
      <c r="C155" s="59" t="s">
        <v>115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3">
        <f t="shared" si="32"/>
        <v>0</v>
      </c>
      <c r="P155" s="5"/>
      <c r="Q155" s="5"/>
    </row>
    <row r="156" ht="12.75" customHeight="1">
      <c r="A156" s="18"/>
      <c r="B156" s="55">
        <v>3.0</v>
      </c>
      <c r="C156" s="59" t="s">
        <v>116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3">
        <f t="shared" si="32"/>
        <v>0</v>
      </c>
      <c r="P156" s="5"/>
      <c r="Q156" s="5"/>
    </row>
    <row r="157" ht="12.75" customHeight="1">
      <c r="A157" s="18"/>
      <c r="B157" s="55">
        <v>4.0</v>
      </c>
      <c r="C157" s="59" t="s">
        <v>117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3">
        <f t="shared" si="32"/>
        <v>0</v>
      </c>
      <c r="P157" s="5"/>
      <c r="Q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73"/>
      <c r="P158" s="5"/>
      <c r="Q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73"/>
      <c r="P159" s="5"/>
      <c r="Q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73"/>
      <c r="P160" s="5"/>
      <c r="Q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73"/>
      <c r="P161" s="5"/>
      <c r="Q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73"/>
      <c r="P162" s="5"/>
      <c r="Q162" s="5"/>
    </row>
    <row r="163" ht="12.75" customHeight="1">
      <c r="A163" s="19" t="s">
        <v>14</v>
      </c>
      <c r="B163" s="47" t="s">
        <v>46</v>
      </c>
      <c r="C163" s="15"/>
      <c r="D163" s="16"/>
      <c r="E163" s="13">
        <f t="shared" ref="E163:N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>SUM(E163:N163)</f>
        <v>2</v>
      </c>
      <c r="P163" s="5"/>
      <c r="Q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5"/>
      <c r="Q164" s="5"/>
    </row>
    <row r="165" ht="12.75" customHeight="1">
      <c r="A165" s="30" t="s">
        <v>36</v>
      </c>
      <c r="B165" s="47" t="s">
        <v>118</v>
      </c>
      <c r="C165" s="48" t="s">
        <v>119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3">
        <f t="shared" ref="O165:O172" si="34">SUM(E165:N165)</f>
        <v>1</v>
      </c>
      <c r="P165" s="1"/>
      <c r="Q165" s="1"/>
    </row>
    <row r="166" ht="12.75" customHeight="1">
      <c r="A166" s="30" t="s">
        <v>38</v>
      </c>
      <c r="B166" s="55">
        <v>1.0</v>
      </c>
      <c r="C166" s="50" t="s">
        <v>120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3">
        <f t="shared" si="34"/>
        <v>1</v>
      </c>
      <c r="P166" s="52"/>
      <c r="Q166" s="52"/>
    </row>
    <row r="167" ht="12.75" customHeight="1">
      <c r="A167" s="18"/>
      <c r="B167" s="55">
        <v>2.0</v>
      </c>
      <c r="C167" s="50" t="s">
        <v>121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3">
        <f t="shared" si="34"/>
        <v>0</v>
      </c>
      <c r="P167" s="5"/>
      <c r="Q167" s="5"/>
    </row>
    <row r="168" ht="12.75" customHeight="1">
      <c r="A168" s="18"/>
      <c r="B168" s="55">
        <v>3.0</v>
      </c>
      <c r="C168" s="50" t="s">
        <v>122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3">
        <f t="shared" si="34"/>
        <v>1</v>
      </c>
      <c r="P168" s="5"/>
      <c r="Q168" s="5"/>
    </row>
    <row r="169" ht="12.75" customHeight="1">
      <c r="A169" s="18"/>
      <c r="B169" s="55">
        <v>4.0</v>
      </c>
      <c r="C169" s="50" t="s">
        <v>123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3">
        <f t="shared" si="34"/>
        <v>0</v>
      </c>
      <c r="P169" s="5"/>
      <c r="Q169" s="5"/>
    </row>
    <row r="170" ht="12.75" customHeight="1">
      <c r="A170" s="18"/>
      <c r="B170" s="55">
        <v>5.0</v>
      </c>
      <c r="C170" s="50" t="s">
        <v>124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3">
        <f t="shared" si="34"/>
        <v>0</v>
      </c>
      <c r="P170" s="5"/>
      <c r="Q170" s="5"/>
    </row>
    <row r="171" ht="12.75" customHeight="1">
      <c r="A171" s="18"/>
      <c r="B171" s="55">
        <v>6.0</v>
      </c>
      <c r="C171" s="50" t="s">
        <v>125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3">
        <f t="shared" si="34"/>
        <v>0</v>
      </c>
      <c r="P171" s="5"/>
      <c r="Q171" s="5"/>
    </row>
    <row r="172" ht="12.75" customHeight="1">
      <c r="A172" s="18"/>
      <c r="B172" s="55">
        <v>7.0</v>
      </c>
      <c r="C172" s="50" t="s">
        <v>126</v>
      </c>
      <c r="D172" s="57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3">
        <f t="shared" si="34"/>
        <v>1</v>
      </c>
      <c r="P172" s="5"/>
      <c r="Q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73"/>
      <c r="P173" s="5"/>
      <c r="Q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73"/>
      <c r="P174" s="5"/>
      <c r="Q174" s="5"/>
    </row>
    <row r="175" ht="12.75" customHeight="1">
      <c r="A175" s="19" t="s">
        <v>14</v>
      </c>
      <c r="B175" s="47" t="s">
        <v>46</v>
      </c>
      <c r="C175" s="15"/>
      <c r="D175" s="16"/>
      <c r="E175" s="13">
        <f t="shared" ref="E175:N175" si="35">SUM(E165:E172)</f>
        <v>2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>SUM(E175:N175)</f>
        <v>4</v>
      </c>
      <c r="P175" s="5"/>
      <c r="Q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1"/>
      <c r="Q176" s="1"/>
    </row>
    <row r="177" ht="12.75" customHeight="1">
      <c r="A177" s="30" t="s">
        <v>36</v>
      </c>
      <c r="B177" s="47" t="s">
        <v>127</v>
      </c>
      <c r="C177" s="48" t="s">
        <v>128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3">
        <f t="shared" ref="O177:O184" si="36">SUM(E177:N177)</f>
        <v>1</v>
      </c>
    </row>
    <row r="178" ht="12.75" customHeight="1">
      <c r="A178" s="30" t="s">
        <v>38</v>
      </c>
      <c r="B178" s="55">
        <v>1.0</v>
      </c>
      <c r="C178" s="50" t="s">
        <v>129</v>
      </c>
      <c r="D178" s="57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3">
        <f t="shared" si="36"/>
        <v>2</v>
      </c>
      <c r="P178" s="5"/>
      <c r="Q178" s="5"/>
    </row>
    <row r="179" ht="12.75" customHeight="1">
      <c r="A179" s="18"/>
      <c r="B179" s="55">
        <v>2.0</v>
      </c>
      <c r="C179" s="50" t="s">
        <v>130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1.0</v>
      </c>
      <c r="M179" s="19">
        <v>0.0</v>
      </c>
      <c r="N179" s="19">
        <v>0.0</v>
      </c>
      <c r="O179" s="13">
        <f t="shared" si="36"/>
        <v>2</v>
      </c>
      <c r="P179" s="5"/>
      <c r="Q179" s="5"/>
    </row>
    <row r="180" ht="12.75" customHeight="1">
      <c r="A180" s="18"/>
      <c r="B180" s="55">
        <v>3.0</v>
      </c>
      <c r="C180" s="50" t="s">
        <v>131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3">
        <f t="shared" si="36"/>
        <v>0</v>
      </c>
      <c r="P180" s="5"/>
      <c r="Q180" s="5"/>
    </row>
    <row r="181" ht="12.75" customHeight="1">
      <c r="A181" s="18"/>
      <c r="B181" s="55">
        <v>4.0</v>
      </c>
      <c r="C181" s="50" t="s">
        <v>132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3">
        <f t="shared" si="36"/>
        <v>0</v>
      </c>
      <c r="P181" s="5"/>
      <c r="Q181" s="5"/>
    </row>
    <row r="182" ht="12.75" customHeight="1">
      <c r="A182" s="18"/>
      <c r="B182" s="55">
        <v>5.0</v>
      </c>
      <c r="C182" s="50" t="s">
        <v>133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3">
        <f t="shared" si="36"/>
        <v>1</v>
      </c>
      <c r="P182" s="5"/>
      <c r="Q182" s="5"/>
    </row>
    <row r="183" ht="12.75" customHeight="1">
      <c r="A183" s="18"/>
      <c r="B183" s="55">
        <v>6.0</v>
      </c>
      <c r="C183" s="50" t="s">
        <v>134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3">
        <f t="shared" si="36"/>
        <v>0</v>
      </c>
      <c r="P183" s="5"/>
      <c r="Q183" s="5"/>
    </row>
    <row r="184" ht="12.75" customHeight="1">
      <c r="A184" s="18"/>
      <c r="B184" s="55">
        <v>7.0</v>
      </c>
      <c r="C184" s="50" t="s">
        <v>135</v>
      </c>
      <c r="D184" s="57"/>
      <c r="E184" s="19">
        <v>0.0</v>
      </c>
      <c r="F184" s="19">
        <v>1.0</v>
      </c>
      <c r="G184" s="19">
        <v>0.0</v>
      </c>
      <c r="H184" s="19">
        <v>0.0</v>
      </c>
      <c r="I184" s="19">
        <v>5.0</v>
      </c>
      <c r="J184" s="19">
        <v>3.0</v>
      </c>
      <c r="K184" s="19">
        <v>0.0</v>
      </c>
      <c r="L184" s="19">
        <v>2.0</v>
      </c>
      <c r="M184" s="19">
        <v>0.0</v>
      </c>
      <c r="N184" s="19">
        <v>0.0</v>
      </c>
      <c r="O184" s="13">
        <f t="shared" si="36"/>
        <v>11</v>
      </c>
      <c r="P184" s="5"/>
      <c r="Q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73"/>
      <c r="P185" s="5"/>
      <c r="Q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73"/>
      <c r="P186" s="5"/>
      <c r="Q186" s="5"/>
    </row>
    <row r="187" ht="12.75" customHeight="1">
      <c r="A187" s="19" t="s">
        <v>14</v>
      </c>
      <c r="B187" s="47" t="s">
        <v>46</v>
      </c>
      <c r="C187" s="15"/>
      <c r="D187" s="16"/>
      <c r="E187" s="13">
        <f t="shared" ref="E187:N187" si="37">SUM(E177:E184)</f>
        <v>0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5</v>
      </c>
      <c r="J187" s="13">
        <f t="shared" si="37"/>
        <v>4</v>
      </c>
      <c r="K187" s="13">
        <f t="shared" si="37"/>
        <v>2</v>
      </c>
      <c r="L187" s="13">
        <f t="shared" si="37"/>
        <v>3</v>
      </c>
      <c r="M187" s="13">
        <f t="shared" si="37"/>
        <v>1</v>
      </c>
      <c r="N187" s="13">
        <f t="shared" si="37"/>
        <v>0</v>
      </c>
      <c r="O187" s="13">
        <f>SUM(E187:N187)</f>
        <v>17</v>
      </c>
      <c r="P187" s="1"/>
      <c r="Q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13"/>
    </row>
    <row r="189" ht="12.75" customHeight="1">
      <c r="A189" s="30" t="s">
        <v>36</v>
      </c>
      <c r="B189" s="47" t="s">
        <v>136</v>
      </c>
      <c r="C189" s="48" t="s">
        <v>137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3">
        <f t="shared" ref="O189:O196" si="38">SUM(E189:N189)</f>
        <v>1</v>
      </c>
      <c r="P189" s="5"/>
      <c r="Q189" s="5"/>
    </row>
    <row r="190" ht="12.75" customHeight="1">
      <c r="A190" s="30" t="s">
        <v>38</v>
      </c>
      <c r="B190" s="55">
        <v>1.0</v>
      </c>
      <c r="C190" s="50" t="s">
        <v>138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3">
        <f t="shared" si="38"/>
        <v>0</v>
      </c>
      <c r="P190" s="5"/>
      <c r="Q190" s="5"/>
    </row>
    <row r="191" ht="12.75" customHeight="1">
      <c r="A191" s="18"/>
      <c r="B191" s="55">
        <v>2.0</v>
      </c>
      <c r="C191" s="50" t="s">
        <v>139</v>
      </c>
      <c r="D191" s="57"/>
      <c r="E191" s="19">
        <v>0.0</v>
      </c>
      <c r="F191" s="19">
        <v>1.0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3">
        <f t="shared" si="38"/>
        <v>2</v>
      </c>
      <c r="P191" s="5"/>
      <c r="Q191" s="5"/>
    </row>
    <row r="192" ht="12.75" customHeight="1">
      <c r="A192" s="18"/>
      <c r="B192" s="55">
        <v>3.0</v>
      </c>
      <c r="C192" s="50" t="s">
        <v>140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3">
        <f t="shared" si="38"/>
        <v>0</v>
      </c>
      <c r="P192" s="5"/>
      <c r="Q192" s="5"/>
    </row>
    <row r="193" ht="12.75" customHeight="1">
      <c r="A193" s="18"/>
      <c r="B193" s="55">
        <v>4.0</v>
      </c>
      <c r="C193" s="50" t="s">
        <v>141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3">
        <f t="shared" si="38"/>
        <v>0</v>
      </c>
      <c r="P193" s="5"/>
      <c r="Q193" s="5"/>
    </row>
    <row r="194" ht="12.75" customHeight="1">
      <c r="A194" s="18"/>
      <c r="B194" s="55">
        <v>5.0</v>
      </c>
      <c r="C194" s="50" t="s">
        <v>142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3">
        <f t="shared" si="38"/>
        <v>0</v>
      </c>
      <c r="P194" s="5"/>
      <c r="Q194" s="5"/>
    </row>
    <row r="195" ht="12.75" customHeight="1">
      <c r="A195" s="18"/>
      <c r="B195" s="55">
        <v>6.0</v>
      </c>
      <c r="C195" s="50" t="s">
        <v>143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3">
        <f t="shared" si="38"/>
        <v>0</v>
      </c>
      <c r="P195" s="5"/>
      <c r="Q195" s="5"/>
    </row>
    <row r="196" ht="12.75" customHeight="1">
      <c r="A196" s="18"/>
      <c r="B196" s="55">
        <v>7.0</v>
      </c>
      <c r="C196" s="50" t="s">
        <v>144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3">
        <f t="shared" si="38"/>
        <v>0</v>
      </c>
      <c r="P196" s="1"/>
      <c r="Q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73"/>
      <c r="P197" s="1"/>
      <c r="Q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73"/>
      <c r="P198" s="1"/>
      <c r="Q198" s="1"/>
    </row>
    <row r="199" ht="12.75" customHeight="1">
      <c r="A199" s="19" t="s">
        <v>14</v>
      </c>
      <c r="B199" s="47" t="s">
        <v>46</v>
      </c>
      <c r="C199" s="15"/>
      <c r="D199" s="16"/>
      <c r="E199" s="13">
        <f t="shared" ref="E199:N199" si="39">SUM(E189:E196)</f>
        <v>1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>SUM(E199:N199)</f>
        <v>3</v>
      </c>
      <c r="P199" s="52"/>
      <c r="Q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5"/>
      <c r="Q200" s="5"/>
    </row>
    <row r="201" ht="12.75" customHeight="1">
      <c r="A201" s="30" t="s">
        <v>36</v>
      </c>
      <c r="B201" s="47" t="s">
        <v>145</v>
      </c>
      <c r="C201" s="48" t="s">
        <v>146</v>
      </c>
      <c r="D201" s="16"/>
      <c r="E201" s="19">
        <v>5.0</v>
      </c>
      <c r="F201" s="19">
        <v>7.0</v>
      </c>
      <c r="G201" s="19">
        <v>2.0</v>
      </c>
      <c r="H201" s="19">
        <v>0.0</v>
      </c>
      <c r="I201" s="19">
        <v>0.0</v>
      </c>
      <c r="J201" s="19">
        <v>0.0</v>
      </c>
      <c r="K201" s="19">
        <v>1.0</v>
      </c>
      <c r="L201" s="19">
        <v>0.0</v>
      </c>
      <c r="M201" s="19">
        <v>3.0</v>
      </c>
      <c r="N201" s="19">
        <v>0.0</v>
      </c>
      <c r="O201" s="13">
        <f t="shared" ref="O201:O208" si="40">SUM(E201:N201)</f>
        <v>18</v>
      </c>
      <c r="P201" s="5"/>
      <c r="Q201" s="5"/>
    </row>
    <row r="202" ht="12.75" customHeight="1">
      <c r="A202" s="30" t="s">
        <v>38</v>
      </c>
      <c r="B202" s="55">
        <v>1.0</v>
      </c>
      <c r="C202" s="50" t="s">
        <v>147</v>
      </c>
      <c r="D202" s="57"/>
      <c r="E202" s="19">
        <v>7.0</v>
      </c>
      <c r="F202" s="19">
        <v>8.0</v>
      </c>
      <c r="G202" s="19">
        <v>4.0</v>
      </c>
      <c r="H202" s="19">
        <v>2.0</v>
      </c>
      <c r="I202" s="19">
        <v>3.0</v>
      </c>
      <c r="J202" s="19">
        <v>1.0</v>
      </c>
      <c r="K202" s="19">
        <v>5.0</v>
      </c>
      <c r="L202" s="19">
        <v>2.0</v>
      </c>
      <c r="M202" s="19">
        <v>2.0</v>
      </c>
      <c r="N202" s="19">
        <v>1.0</v>
      </c>
      <c r="O202" s="13">
        <f t="shared" si="40"/>
        <v>35</v>
      </c>
      <c r="P202" s="5"/>
      <c r="Q202" s="5"/>
    </row>
    <row r="203" ht="12.75" customHeight="1">
      <c r="A203" s="18"/>
      <c r="B203" s="55">
        <v>2.0</v>
      </c>
      <c r="C203" s="50" t="s">
        <v>148</v>
      </c>
      <c r="D203" s="57"/>
      <c r="E203" s="19">
        <v>3.0</v>
      </c>
      <c r="F203" s="19">
        <v>1.0</v>
      </c>
      <c r="G203" s="19">
        <v>1.0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3">
        <f t="shared" si="40"/>
        <v>5</v>
      </c>
      <c r="P203" s="5"/>
      <c r="Q203" s="5"/>
    </row>
    <row r="204" ht="12.75" customHeight="1">
      <c r="A204" s="18"/>
      <c r="B204" s="55">
        <v>3.0</v>
      </c>
      <c r="C204" s="50" t="s">
        <v>149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3">
        <f t="shared" si="40"/>
        <v>1</v>
      </c>
      <c r="P204" s="5"/>
      <c r="Q204" s="5"/>
    </row>
    <row r="205" ht="12.75" customHeight="1">
      <c r="A205" s="18"/>
      <c r="B205" s="55">
        <v>4.0</v>
      </c>
      <c r="C205" s="50" t="s">
        <v>150</v>
      </c>
      <c r="D205" s="57"/>
      <c r="E205" s="19">
        <v>3.0</v>
      </c>
      <c r="F205" s="19">
        <v>12.0</v>
      </c>
      <c r="G205" s="19">
        <v>1.0</v>
      </c>
      <c r="H205" s="19">
        <v>0.0</v>
      </c>
      <c r="I205" s="19">
        <v>1.0</v>
      </c>
      <c r="J205" s="19">
        <v>1.0</v>
      </c>
      <c r="K205" s="19">
        <v>5.0</v>
      </c>
      <c r="L205" s="19">
        <v>0.0</v>
      </c>
      <c r="M205" s="19">
        <v>0.0</v>
      </c>
      <c r="N205" s="19">
        <v>0.0</v>
      </c>
      <c r="O205" s="13">
        <f t="shared" si="40"/>
        <v>23</v>
      </c>
      <c r="P205" s="5"/>
      <c r="Q205" s="5"/>
    </row>
    <row r="206" ht="12.75" customHeight="1">
      <c r="A206" s="18"/>
      <c r="B206" s="55">
        <v>5.0</v>
      </c>
      <c r="C206" s="50" t="s">
        <v>151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3">
        <f t="shared" si="40"/>
        <v>2</v>
      </c>
      <c r="P206" s="5"/>
      <c r="Q206" s="5"/>
    </row>
    <row r="207" ht="12.75" customHeight="1">
      <c r="A207" s="18"/>
      <c r="B207" s="55">
        <v>6.0</v>
      </c>
      <c r="C207" s="50" t="s">
        <v>152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3">
        <f t="shared" si="40"/>
        <v>0</v>
      </c>
      <c r="P207" s="1"/>
      <c r="Q207" s="1"/>
    </row>
    <row r="208" ht="12.75" customHeight="1">
      <c r="A208" s="18"/>
      <c r="B208" s="55">
        <v>7.0</v>
      </c>
      <c r="C208" s="50" t="s">
        <v>153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3">
        <f t="shared" si="40"/>
        <v>0</v>
      </c>
      <c r="P208" s="52"/>
      <c r="Q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73"/>
      <c r="P209" s="52"/>
      <c r="Q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73"/>
      <c r="P210" s="52"/>
      <c r="Q210" s="52"/>
    </row>
    <row r="211" ht="12.75" customHeight="1">
      <c r="A211" s="19" t="s">
        <v>14</v>
      </c>
      <c r="B211" s="47" t="s">
        <v>46</v>
      </c>
      <c r="C211" s="15"/>
      <c r="D211" s="16"/>
      <c r="E211" s="13">
        <f t="shared" ref="E211:N211" si="41">SUM(E201:E208)</f>
        <v>18</v>
      </c>
      <c r="F211" s="13">
        <f t="shared" si="41"/>
        <v>30</v>
      </c>
      <c r="G211" s="13">
        <f t="shared" si="41"/>
        <v>8</v>
      </c>
      <c r="H211" s="13">
        <f t="shared" si="41"/>
        <v>2</v>
      </c>
      <c r="I211" s="13">
        <f t="shared" si="41"/>
        <v>4</v>
      </c>
      <c r="J211" s="13">
        <f t="shared" si="41"/>
        <v>2</v>
      </c>
      <c r="K211" s="13">
        <f t="shared" si="41"/>
        <v>11</v>
      </c>
      <c r="L211" s="13">
        <f t="shared" si="41"/>
        <v>2</v>
      </c>
      <c r="M211" s="13">
        <f t="shared" si="41"/>
        <v>6</v>
      </c>
      <c r="N211" s="13">
        <f t="shared" si="41"/>
        <v>1</v>
      </c>
      <c r="O211" s="13">
        <f>SUM(E211:N211)</f>
        <v>84</v>
      </c>
      <c r="P211" s="5"/>
      <c r="Q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5"/>
      <c r="Q212" s="5"/>
    </row>
    <row r="213" ht="12.75" customHeight="1">
      <c r="A213" s="30" t="s">
        <v>36</v>
      </c>
      <c r="B213" s="47" t="s">
        <v>154</v>
      </c>
      <c r="C213" s="48" t="s">
        <v>155</v>
      </c>
      <c r="D213" s="16"/>
      <c r="E213" s="19">
        <v>0.0</v>
      </c>
      <c r="F213" s="19">
        <v>4.0</v>
      </c>
      <c r="G213" s="19">
        <v>1.0</v>
      </c>
      <c r="H213" s="19">
        <v>0.0</v>
      </c>
      <c r="I213" s="19">
        <v>2.0</v>
      </c>
      <c r="J213" s="19">
        <v>8.0</v>
      </c>
      <c r="K213" s="19">
        <v>1.0</v>
      </c>
      <c r="L213" s="19">
        <v>1.0</v>
      </c>
      <c r="M213" s="19">
        <v>1.0</v>
      </c>
      <c r="N213" s="19">
        <v>3.0</v>
      </c>
      <c r="O213" s="13">
        <f t="shared" ref="O213:O220" si="42">SUM(E213:N213)</f>
        <v>21</v>
      </c>
      <c r="P213" s="5"/>
      <c r="Q213" s="5"/>
    </row>
    <row r="214" ht="12.75" customHeight="1">
      <c r="A214" s="30" t="s">
        <v>38</v>
      </c>
      <c r="B214" s="55">
        <v>1.0</v>
      </c>
      <c r="C214" s="50" t="s">
        <v>156</v>
      </c>
      <c r="D214" s="56"/>
      <c r="E214" s="19">
        <v>9.0</v>
      </c>
      <c r="F214" s="19">
        <v>17.0</v>
      </c>
      <c r="G214" s="19">
        <v>8.0</v>
      </c>
      <c r="H214" s="19">
        <v>7.0</v>
      </c>
      <c r="I214" s="19">
        <v>39.0</v>
      </c>
      <c r="J214" s="19">
        <v>72.0</v>
      </c>
      <c r="K214" s="19">
        <v>29.0</v>
      </c>
      <c r="L214" s="19">
        <v>21.0</v>
      </c>
      <c r="M214" s="19">
        <v>8.0</v>
      </c>
      <c r="N214" s="19">
        <v>8.0</v>
      </c>
      <c r="O214" s="13">
        <f t="shared" si="42"/>
        <v>218</v>
      </c>
      <c r="P214" s="5"/>
      <c r="Q214" s="5"/>
    </row>
    <row r="215" ht="12.75" customHeight="1">
      <c r="A215" s="18"/>
      <c r="B215" s="55">
        <v>2.0</v>
      </c>
      <c r="C215" s="50" t="s">
        <v>157</v>
      </c>
      <c r="D215" s="56"/>
      <c r="E215" s="19">
        <v>7.0</v>
      </c>
      <c r="F215" s="19">
        <v>2.0</v>
      </c>
      <c r="G215" s="19">
        <v>1.0</v>
      </c>
      <c r="H215" s="19">
        <v>34.0</v>
      </c>
      <c r="I215" s="19">
        <v>12.0</v>
      </c>
      <c r="J215" s="19">
        <v>7.0</v>
      </c>
      <c r="K215" s="19">
        <v>2.0</v>
      </c>
      <c r="L215" s="19">
        <v>6.0</v>
      </c>
      <c r="M215" s="19">
        <v>22.0</v>
      </c>
      <c r="N215" s="19">
        <v>27.0</v>
      </c>
      <c r="O215" s="13">
        <f t="shared" si="42"/>
        <v>120</v>
      </c>
      <c r="P215" s="5"/>
      <c r="Q215" s="5"/>
    </row>
    <row r="216" ht="12.75" customHeight="1">
      <c r="A216" s="18"/>
      <c r="B216" s="55">
        <v>3.0</v>
      </c>
      <c r="C216" s="61" t="s">
        <v>158</v>
      </c>
      <c r="E216" s="19">
        <v>0.0</v>
      </c>
      <c r="F216" s="19">
        <v>0.0</v>
      </c>
      <c r="G216" s="19">
        <v>0.0</v>
      </c>
      <c r="H216" s="19">
        <v>0.0</v>
      </c>
      <c r="I216" s="19">
        <v>2.0</v>
      </c>
      <c r="J216" s="19">
        <v>1.0</v>
      </c>
      <c r="K216" s="19">
        <v>0.0</v>
      </c>
      <c r="L216" s="19">
        <v>2.0</v>
      </c>
      <c r="M216" s="19">
        <v>0.0</v>
      </c>
      <c r="N216" s="19">
        <v>0.0</v>
      </c>
      <c r="O216" s="13">
        <f t="shared" si="42"/>
        <v>5</v>
      </c>
      <c r="P216" s="5"/>
      <c r="Q216" s="5"/>
    </row>
    <row r="217" ht="12.75" customHeight="1">
      <c r="A217" s="18"/>
      <c r="B217" s="55">
        <v>4.0</v>
      </c>
      <c r="C217" s="50" t="s">
        <v>159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3">
        <f t="shared" si="42"/>
        <v>1</v>
      </c>
      <c r="P217" s="5"/>
      <c r="Q217" s="5"/>
    </row>
    <row r="218" ht="12.75" customHeight="1">
      <c r="A218" s="18"/>
      <c r="B218" s="55">
        <v>5.0</v>
      </c>
      <c r="C218" s="50" t="s">
        <v>160</v>
      </c>
      <c r="D218" s="56"/>
      <c r="E218" s="19">
        <v>0.0</v>
      </c>
      <c r="F218" s="19">
        <v>0.0</v>
      </c>
      <c r="G218" s="19">
        <v>1.0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3">
        <f t="shared" si="42"/>
        <v>2</v>
      </c>
      <c r="P218" s="1"/>
      <c r="Q218" s="1"/>
    </row>
    <row r="219" ht="12.75" customHeight="1">
      <c r="A219" s="18"/>
      <c r="B219" s="55">
        <v>6.0</v>
      </c>
      <c r="C219" s="50" t="s">
        <v>161</v>
      </c>
      <c r="D219" s="56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3">
        <f t="shared" si="42"/>
        <v>1</v>
      </c>
      <c r="P219" s="52"/>
      <c r="Q219" s="52"/>
    </row>
    <row r="220" ht="12.75" customHeight="1">
      <c r="A220" s="18"/>
      <c r="B220" s="55">
        <v>7.0</v>
      </c>
      <c r="C220" s="50" t="s">
        <v>162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3">
        <f t="shared" si="42"/>
        <v>0</v>
      </c>
      <c r="P220" s="5"/>
      <c r="Q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73"/>
      <c r="P221" s="5"/>
      <c r="Q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73"/>
      <c r="P222" s="5"/>
      <c r="Q222" s="5"/>
    </row>
    <row r="223" ht="12.75" customHeight="1">
      <c r="A223" s="19" t="s">
        <v>14</v>
      </c>
      <c r="B223" s="47" t="s">
        <v>46</v>
      </c>
      <c r="C223" s="15"/>
      <c r="D223" s="16"/>
      <c r="E223" s="13">
        <f t="shared" ref="E223:N223" si="43">SUM(E213:E220)</f>
        <v>16</v>
      </c>
      <c r="F223" s="13">
        <f t="shared" si="43"/>
        <v>23</v>
      </c>
      <c r="G223" s="13">
        <f t="shared" si="43"/>
        <v>11</v>
      </c>
      <c r="H223" s="13">
        <f t="shared" si="43"/>
        <v>43</v>
      </c>
      <c r="I223" s="13">
        <f t="shared" si="43"/>
        <v>55</v>
      </c>
      <c r="J223" s="13">
        <f t="shared" si="43"/>
        <v>88</v>
      </c>
      <c r="K223" s="13">
        <f t="shared" si="43"/>
        <v>33</v>
      </c>
      <c r="L223" s="13">
        <f t="shared" si="43"/>
        <v>30</v>
      </c>
      <c r="M223" s="13">
        <f t="shared" si="43"/>
        <v>31</v>
      </c>
      <c r="N223" s="13">
        <f t="shared" si="43"/>
        <v>38</v>
      </c>
      <c r="O223" s="13">
        <f>SUM(E223:N223)</f>
        <v>368</v>
      </c>
      <c r="P223" s="5"/>
      <c r="Q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5"/>
      <c r="Q224" s="5"/>
    </row>
    <row r="225" ht="12.75" customHeight="1">
      <c r="A225" s="30" t="s">
        <v>36</v>
      </c>
      <c r="B225" s="47" t="s">
        <v>163</v>
      </c>
      <c r="C225" s="48" t="s">
        <v>164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3">
        <f t="shared" ref="O225:O232" si="44">SUM(E225:N225)</f>
        <v>1</v>
      </c>
      <c r="P225" s="5"/>
      <c r="Q225" s="5"/>
    </row>
    <row r="226" ht="12.75" customHeight="1">
      <c r="A226" s="30" t="s">
        <v>38</v>
      </c>
      <c r="B226" s="55">
        <v>1.0</v>
      </c>
      <c r="C226" s="50" t="s">
        <v>165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3">
        <f t="shared" si="44"/>
        <v>0</v>
      </c>
      <c r="P226" s="5"/>
      <c r="Q226" s="5"/>
    </row>
    <row r="227" ht="12.75" customHeight="1">
      <c r="A227" s="18"/>
      <c r="B227" s="55">
        <v>2.0</v>
      </c>
      <c r="C227" s="50" t="s">
        <v>166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3">
        <f t="shared" si="44"/>
        <v>0</v>
      </c>
      <c r="P227" s="5"/>
      <c r="Q227" s="5"/>
    </row>
    <row r="228" ht="12.75" customHeight="1">
      <c r="A228" s="18"/>
      <c r="B228" s="55">
        <v>3.0</v>
      </c>
      <c r="C228" s="50" t="s">
        <v>167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3">
        <f t="shared" si="44"/>
        <v>0</v>
      </c>
      <c r="P228" s="5"/>
      <c r="Q228" s="5"/>
    </row>
    <row r="229" ht="12.75" customHeight="1">
      <c r="A229" s="18"/>
      <c r="B229" s="55">
        <v>4.0</v>
      </c>
      <c r="C229" s="50" t="s">
        <v>168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3">
        <f t="shared" si="44"/>
        <v>0</v>
      </c>
      <c r="P229" s="1"/>
      <c r="Q229" s="1"/>
    </row>
    <row r="230" ht="12.75" customHeight="1">
      <c r="A230" s="18"/>
      <c r="B230" s="55">
        <v>5.0</v>
      </c>
      <c r="C230" s="50" t="s">
        <v>169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3">
        <f t="shared" si="44"/>
        <v>0</v>
      </c>
      <c r="P230" s="52"/>
      <c r="Q230" s="52"/>
    </row>
    <row r="231" ht="12.75" customHeight="1">
      <c r="A231" s="18"/>
      <c r="B231" s="55">
        <v>6.0</v>
      </c>
      <c r="C231" s="50" t="s">
        <v>170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3">
        <f t="shared" si="44"/>
        <v>0</v>
      </c>
      <c r="P231" s="5"/>
      <c r="Q231" s="5"/>
    </row>
    <row r="232" ht="12.75" customHeight="1">
      <c r="A232" s="18"/>
      <c r="B232" s="55">
        <v>7.0</v>
      </c>
      <c r="C232" s="50" t="s">
        <v>171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3">
        <f t="shared" si="44"/>
        <v>0</v>
      </c>
      <c r="P232" s="5"/>
      <c r="Q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73"/>
      <c r="P233" s="5"/>
      <c r="Q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73"/>
      <c r="P234" s="5"/>
      <c r="Q234" s="5"/>
    </row>
    <row r="235" ht="12.75" customHeight="1">
      <c r="A235" s="19" t="s">
        <v>14</v>
      </c>
      <c r="B235" s="47" t="s">
        <v>46</v>
      </c>
      <c r="C235" s="15"/>
      <c r="D235" s="16"/>
      <c r="E235" s="13">
        <f t="shared" ref="E235:N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>SUM(E235:N235)</f>
        <v>1</v>
      </c>
      <c r="P235" s="5"/>
      <c r="Q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5"/>
      <c r="Q236" s="5"/>
    </row>
    <row r="237" ht="12.75" customHeight="1">
      <c r="A237" s="30" t="s">
        <v>36</v>
      </c>
      <c r="B237" s="47" t="s">
        <v>172</v>
      </c>
      <c r="C237" s="48" t="s">
        <v>173</v>
      </c>
      <c r="D237" s="16"/>
      <c r="E237" s="19">
        <v>2.0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1.0</v>
      </c>
      <c r="N237" s="19">
        <v>0.0</v>
      </c>
      <c r="O237" s="13">
        <f t="shared" ref="O237:O244" si="46">SUM(E237:N237)</f>
        <v>3</v>
      </c>
      <c r="P237" s="5"/>
      <c r="Q237" s="5"/>
    </row>
    <row r="238" ht="12.75" customHeight="1">
      <c r="A238" s="30" t="s">
        <v>38</v>
      </c>
      <c r="B238" s="55">
        <v>1.0</v>
      </c>
      <c r="C238" s="50" t="s">
        <v>174</v>
      </c>
      <c r="D238" s="57"/>
      <c r="E238" s="19">
        <v>2.0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3">
        <f t="shared" si="46"/>
        <v>2</v>
      </c>
      <c r="P238" s="5"/>
      <c r="Q238" s="5"/>
    </row>
    <row r="239" ht="12.75" customHeight="1">
      <c r="A239" s="18"/>
      <c r="B239" s="55">
        <v>2.0</v>
      </c>
      <c r="C239" s="50" t="s">
        <v>175</v>
      </c>
      <c r="D239" s="57"/>
      <c r="E239" s="19">
        <v>3.0</v>
      </c>
      <c r="F239" s="19">
        <v>0.0</v>
      </c>
      <c r="G239" s="19">
        <v>0.0</v>
      </c>
      <c r="H239" s="19">
        <v>0.0</v>
      </c>
      <c r="I239" s="19">
        <v>1.0</v>
      </c>
      <c r="J239" s="19">
        <v>0.0</v>
      </c>
      <c r="K239" s="19">
        <v>0.0</v>
      </c>
      <c r="L239" s="19">
        <v>1.0</v>
      </c>
      <c r="M239" s="19">
        <v>1.0</v>
      </c>
      <c r="N239" s="19">
        <v>0.0</v>
      </c>
      <c r="O239" s="13">
        <f t="shared" si="46"/>
        <v>6</v>
      </c>
      <c r="P239" s="5"/>
      <c r="Q239" s="5"/>
    </row>
    <row r="240" ht="12.75" customHeight="1">
      <c r="A240" s="18"/>
      <c r="B240" s="55">
        <v>3.0</v>
      </c>
      <c r="C240" s="50" t="s">
        <v>176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3">
        <f t="shared" si="46"/>
        <v>1</v>
      </c>
      <c r="P240" s="1"/>
      <c r="Q240" s="1"/>
    </row>
    <row r="241" ht="12.75" customHeight="1">
      <c r="A241" s="18"/>
      <c r="B241" s="55">
        <v>4.0</v>
      </c>
      <c r="C241" s="50" t="s">
        <v>177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3">
        <f t="shared" si="46"/>
        <v>0</v>
      </c>
    </row>
    <row r="242" ht="12.75" customHeight="1">
      <c r="A242" s="18"/>
      <c r="B242" s="55">
        <v>5.0</v>
      </c>
      <c r="C242" s="50" t="s">
        <v>178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3">
        <f t="shared" si="46"/>
        <v>0</v>
      </c>
    </row>
    <row r="243" ht="12.75" customHeight="1">
      <c r="A243" s="18"/>
      <c r="B243" s="55">
        <v>6.0</v>
      </c>
      <c r="C243" s="50" t="s">
        <v>179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3">
        <f t="shared" si="46"/>
        <v>0</v>
      </c>
    </row>
    <row r="244" ht="12.75" customHeight="1">
      <c r="A244" s="18"/>
      <c r="B244" s="55">
        <v>7.0</v>
      </c>
      <c r="C244" s="50" t="s">
        <v>180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0.0</v>
      </c>
      <c r="O244" s="13">
        <f t="shared" si="46"/>
        <v>1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73"/>
    </row>
    <row r="247" ht="12.75" customHeight="1">
      <c r="A247" s="19" t="s">
        <v>14</v>
      </c>
      <c r="B247" s="47" t="s">
        <v>46</v>
      </c>
      <c r="C247" s="15"/>
      <c r="D247" s="16"/>
      <c r="E247" s="13">
        <f t="shared" ref="E247:N247" si="47">SUM(E237:E244)</f>
        <v>7</v>
      </c>
      <c r="F247" s="13">
        <f t="shared" si="47"/>
        <v>0</v>
      </c>
      <c r="G247" s="13">
        <f t="shared" si="47"/>
        <v>0</v>
      </c>
      <c r="H247" s="13">
        <f t="shared" si="47"/>
        <v>0</v>
      </c>
      <c r="I247" s="13">
        <f t="shared" si="47"/>
        <v>1</v>
      </c>
      <c r="J247" s="13">
        <f t="shared" si="47"/>
        <v>0</v>
      </c>
      <c r="K247" s="13">
        <f t="shared" si="47"/>
        <v>1</v>
      </c>
      <c r="L247" s="13">
        <f t="shared" si="47"/>
        <v>2</v>
      </c>
      <c r="M247" s="13">
        <f t="shared" si="47"/>
        <v>2</v>
      </c>
      <c r="N247" s="13">
        <f t="shared" si="47"/>
        <v>0</v>
      </c>
      <c r="O247" s="13">
        <f>SUM(E247:N247)</f>
        <v>13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181</v>
      </c>
      <c r="C249" s="48" t="s">
        <v>182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3">
        <f t="shared" ref="O249:O255" si="48">SUM(E249:N249)</f>
        <v>0</v>
      </c>
    </row>
    <row r="250" ht="12.75" customHeight="1">
      <c r="A250" s="30" t="s">
        <v>38</v>
      </c>
      <c r="B250" s="55">
        <v>1.0</v>
      </c>
      <c r="C250" s="59" t="s">
        <v>183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3">
        <f t="shared" si="48"/>
        <v>0</v>
      </c>
    </row>
    <row r="251" ht="12.75" customHeight="1">
      <c r="A251" s="18"/>
      <c r="B251" s="55">
        <v>2.0</v>
      </c>
      <c r="C251" s="59" t="s">
        <v>184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3">
        <f t="shared" si="48"/>
        <v>0</v>
      </c>
    </row>
    <row r="252" ht="12.75" customHeight="1">
      <c r="A252" s="18"/>
      <c r="B252" s="55">
        <v>3.0</v>
      </c>
      <c r="C252" s="59" t="s">
        <v>185</v>
      </c>
      <c r="D252" s="57"/>
      <c r="E252" s="19">
        <v>0.0</v>
      </c>
      <c r="F252" s="19">
        <v>0.0</v>
      </c>
      <c r="G252" s="19">
        <v>1.0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3">
        <f t="shared" si="48"/>
        <v>1</v>
      </c>
    </row>
    <row r="253" ht="12.75" customHeight="1">
      <c r="A253" s="18"/>
      <c r="B253" s="55">
        <v>4.0</v>
      </c>
      <c r="C253" s="59" t="s">
        <v>186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1.0</v>
      </c>
      <c r="M253" s="19">
        <v>0.0</v>
      </c>
      <c r="N253" s="19">
        <v>0.0</v>
      </c>
      <c r="O253" s="13">
        <f t="shared" si="48"/>
        <v>1</v>
      </c>
    </row>
    <row r="254" ht="12.75" customHeight="1">
      <c r="A254" s="18"/>
      <c r="B254" s="55">
        <v>5.0</v>
      </c>
      <c r="C254" s="59" t="s">
        <v>187</v>
      </c>
      <c r="D254" s="57"/>
      <c r="E254" s="19">
        <v>0.0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3">
        <f t="shared" si="48"/>
        <v>1</v>
      </c>
    </row>
    <row r="255" ht="12.75" customHeight="1">
      <c r="A255" s="18"/>
      <c r="B255" s="55">
        <v>6.0</v>
      </c>
      <c r="C255" s="59" t="s">
        <v>188</v>
      </c>
      <c r="D255" s="57"/>
      <c r="E255" s="19">
        <v>1.0</v>
      </c>
      <c r="F255" s="19">
        <v>0.0</v>
      </c>
      <c r="G255" s="19">
        <v>0.0</v>
      </c>
      <c r="H255" s="19">
        <v>0.0</v>
      </c>
      <c r="I255" s="19">
        <v>1.0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3">
        <f t="shared" si="48"/>
        <v>2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73"/>
    </row>
    <row r="259" ht="12.75" customHeight="1">
      <c r="A259" s="19" t="s">
        <v>14</v>
      </c>
      <c r="B259" s="47" t="s">
        <v>46</v>
      </c>
      <c r="C259" s="15"/>
      <c r="D259" s="16"/>
      <c r="E259" s="13">
        <f t="shared" ref="E259:N259" si="49">SUM(E249:E255)</f>
        <v>1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>SUM(E259:N259)</f>
        <v>5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</row>
    <row r="262" ht="12.75" customHeight="1">
      <c r="A262" s="42"/>
      <c r="B262" s="62" t="s">
        <v>191</v>
      </c>
      <c r="C262" s="63" t="s">
        <v>192</v>
      </c>
      <c r="D262" s="16"/>
      <c r="E262" s="19">
        <f t="shared" ref="E262:N262" si="50">E55+E67+E79+E91+E103+E115+E127+E139+E151+E163+E175+E187+E199+E211+E223+E235+E247+E259</f>
        <v>182</v>
      </c>
      <c r="F262" s="19">
        <f t="shared" si="50"/>
        <v>199</v>
      </c>
      <c r="G262" s="19">
        <f t="shared" si="50"/>
        <v>168</v>
      </c>
      <c r="H262" s="19">
        <f t="shared" si="50"/>
        <v>177</v>
      </c>
      <c r="I262" s="19">
        <f t="shared" si="50"/>
        <v>194</v>
      </c>
      <c r="J262" s="19">
        <f t="shared" si="50"/>
        <v>192</v>
      </c>
      <c r="K262" s="19">
        <f t="shared" si="50"/>
        <v>198</v>
      </c>
      <c r="L262" s="19">
        <f t="shared" si="50"/>
        <v>181</v>
      </c>
      <c r="M262" s="19">
        <f t="shared" si="50"/>
        <v>216</v>
      </c>
      <c r="N262" s="19">
        <f t="shared" si="50"/>
        <v>189</v>
      </c>
      <c r="O262" s="13">
        <f t="shared" ref="O262:O264" si="51">SUM(E262:N262)</f>
        <v>1896</v>
      </c>
    </row>
    <row r="263" ht="12.75" customHeight="1">
      <c r="A263" s="35"/>
      <c r="B263" s="62" t="s">
        <v>193</v>
      </c>
      <c r="C263" s="63" t="s">
        <v>194</v>
      </c>
      <c r="D263" s="16"/>
      <c r="E263" s="19">
        <v>21.0</v>
      </c>
      <c r="F263" s="19">
        <v>10.0</v>
      </c>
      <c r="G263" s="19">
        <v>21.0</v>
      </c>
      <c r="H263" s="19">
        <v>17.0</v>
      </c>
      <c r="I263" s="19">
        <v>12.0</v>
      </c>
      <c r="J263" s="19">
        <v>20.0</v>
      </c>
      <c r="K263" s="19">
        <v>20.0</v>
      </c>
      <c r="L263" s="19">
        <v>18.0</v>
      </c>
      <c r="M263" s="19">
        <v>21.0</v>
      </c>
      <c r="N263" s="19">
        <v>12.0</v>
      </c>
      <c r="O263" s="13">
        <f t="shared" si="51"/>
        <v>172</v>
      </c>
    </row>
    <row r="264" ht="12.75" customHeight="1">
      <c r="A264" s="41"/>
      <c r="B264" s="62" t="s">
        <v>195</v>
      </c>
      <c r="C264" s="63" t="s">
        <v>196</v>
      </c>
      <c r="D264" s="16"/>
      <c r="E264" s="13">
        <f t="shared" ref="E264:N264" si="52">SUM(E262:E263)</f>
        <v>203</v>
      </c>
      <c r="F264" s="13">
        <f t="shared" si="52"/>
        <v>209</v>
      </c>
      <c r="G264" s="13">
        <f t="shared" si="52"/>
        <v>189</v>
      </c>
      <c r="H264" s="13">
        <f t="shared" si="52"/>
        <v>194</v>
      </c>
      <c r="I264" s="13">
        <f t="shared" si="52"/>
        <v>206</v>
      </c>
      <c r="J264" s="13">
        <f t="shared" si="52"/>
        <v>212</v>
      </c>
      <c r="K264" s="13">
        <f t="shared" si="52"/>
        <v>218</v>
      </c>
      <c r="L264" s="13">
        <f t="shared" si="52"/>
        <v>199</v>
      </c>
      <c r="M264" s="13">
        <f t="shared" si="52"/>
        <v>237</v>
      </c>
      <c r="N264" s="13">
        <f t="shared" si="52"/>
        <v>201</v>
      </c>
      <c r="O264" s="13">
        <f t="shared" si="51"/>
        <v>2068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I34 J34:J35 K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I34 J34:J35 K34:N34">
    <cfRule type="expression" dxfId="2" priority="7">
      <formula>E30&lt;&gt;E34</formula>
    </cfRule>
  </conditionalFormatting>
  <conditionalFormatting sqref="E34:I34 J34:J35 K34:N34">
    <cfRule type="expression" dxfId="3" priority="8">
      <formula>E30=E34</formula>
    </cfRule>
  </conditionalFormatting>
  <conditionalFormatting sqref="E34:I34 J34:J35 K34:N34">
    <cfRule type="expression" dxfId="0" priority="9">
      <formula>E34&lt;&gt;E30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