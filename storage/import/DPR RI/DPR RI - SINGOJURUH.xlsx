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" sheetId="1" r:id="rId4"/>
    <sheet state="visible" name="ALASMALANG" sheetId="2" r:id="rId5"/>
    <sheet state="visible" name="BENELAN KIDUL" sheetId="3" r:id="rId6"/>
    <sheet state="visible" name="CANTUK" sheetId="4" r:id="rId7"/>
    <sheet state="visible" name="GAMBOR" sheetId="5" r:id="rId8"/>
    <sheet state="visible" name="GUMIRIH" sheetId="6" r:id="rId9"/>
    <sheet state="visible" name="KEMIRI" sheetId="7" r:id="rId10"/>
    <sheet state="visible" name="LEMAHBANGKULON" sheetId="8" r:id="rId11"/>
    <sheet state="visible" name="PADANG" sheetId="9" r:id="rId12"/>
    <sheet state="visible" name="SINGOJURUH" sheetId="10" r:id="rId13"/>
    <sheet state="visible" name="SINGOLATREN" sheetId="11" r:id="rId14"/>
    <sheet state="visible" name="SUMBERBARU" sheetId="12" r:id="rId15"/>
  </sheets>
  <definedNames/>
  <calcPr/>
  <extLst>
    <ext uri="GoogleSheetsCustomDataVersion2">
      <go:sheetsCustomData xmlns:go="http://customooxmlschemas.google.com/" r:id="rId16" roundtripDataChecksum="JE6Jrtwbj5k5QEzyMqJUBIXGVcr6APYTZ2PGQfbVImM="/>
    </ext>
  </extLst>
</workbook>
</file>

<file path=xl/sharedStrings.xml><?xml version="1.0" encoding="utf-8"?>
<sst xmlns="http://schemas.openxmlformats.org/spreadsheetml/2006/main" count="3616" uniqueCount="233">
  <si>
    <t>Kecamatan</t>
  </si>
  <si>
    <t>SINGOJURUH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</si>
  <si>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</si>
  <si>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</si>
  <si>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</si>
  <si>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</si>
  <si>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</si>
  <si>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</si>
  <si>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</si>
  <si>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</si>
  <si>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</si>
  <si>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</si>
  <si>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</si>
  <si>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</si>
  <si>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</si>
  <si>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</si>
  <si>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</si>
  <si>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</si>
  <si>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</si>
  <si>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</si>
  <si>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</si>
  <si>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</si>
  <si>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</si>
  <si>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</si>
  <si>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</si>
  <si>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</si>
  <si>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</si>
  <si>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</si>
  <si>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</si>
  <si>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</si>
  <si>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</si>
  <si>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</si>
  <si>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</si>
  <si>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</si>
  <si>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</si>
  <si>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</si>
  <si>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</si>
  <si>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</si>
  <si>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</si>
  <si>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</si>
  <si>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</si>
  <si>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</si>
  <si>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</si>
  <si>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</si>
  <si>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</si>
  <si>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</si>
  <si>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</si>
  <si>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</si>
  <si>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</si>
  <si>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</si>
  <si>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</si>
  <si>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</si>
  <si>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</si>
  <si>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</si>
  <si>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</si>
  <si>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</si>
  <si>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</si>
  <si>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</si>
  <si>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</si>
  <si>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</si>
  <si>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</si>
  <si>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</si>
  <si>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</si>
  <si>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</si>
  <si>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</si>
  <si>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</si>
  <si>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</si>
  <si>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</si>
  <si>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</si>
  <si>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</si>
  <si>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</si>
  <si>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</si>
  <si>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</si>
  <si>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</si>
  <si>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</si>
  <si>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</si>
  <si>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</si>
  <si>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</si>
  <si>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</si>
  <si>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</si>
  <si>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</si>
  <si>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</si>
  <si>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</si>
  <si>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</si>
  <si>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</si>
  <si>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</si>
  <si>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</si>
  <si>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</si>
  <si>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</si>
  <si>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</si>
  <si>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</si>
  <si>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</si>
  <si>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</si>
  <si>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</si>
  <si>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</si>
  <si>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</si>
  <si>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</si>
  <si>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</si>
  <si>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</si>
  <si>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</si>
  <si>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</si>
  <si>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</si>
  <si>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</si>
  <si>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</si>
  <si>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</si>
  <si>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</si>
  <si>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</si>
  <si>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</si>
  <si>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</si>
  <si>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</si>
  <si>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</si>
  <si>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</si>
  <si>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</si>
  <si>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</si>
  <si>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</si>
  <si>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</si>
  <si>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</si>
  <si>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</si>
  <si>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</si>
  <si>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</si>
  <si>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</si>
  <si>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</si>
  <si>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</si>
  <si>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</si>
  <si>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</si>
  <si>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</si>
  <si>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</si>
  <si>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</si>
  <si>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</si>
  <si>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</si>
  <si>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</si>
  <si>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</si>
  <si>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</si>
  <si>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</si>
  <si>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</si>
  <si>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</si>
  <si>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</si>
  <si>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</si>
  <si>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</si>
  <si>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</si>
  <si>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</si>
  <si>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</si>
  <si>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</si>
  <si>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</si>
  <si>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</si>
  <si>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</si>
  <si>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</si>
  <si>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</si>
  <si>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</si>
  <si>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</si>
  <si>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</si>
  <si>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</si>
  <si>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</si>
  <si>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</si>
  <si>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</si>
  <si>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</si>
  <si>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</si>
  <si>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</si>
  <si>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</si>
  <si>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</si>
  <si>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</si>
  <si>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</si>
  <si>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</si>
  <si>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</si>
  <si>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</si>
  <si>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</si>
  <si>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</si>
  <si>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</si>
  <si>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</si>
  <si>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</si>
  <si>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</si>
  <si>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</si>
  <si>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</si>
  <si>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</si>
  <si>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</si>
  <si>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</si>
  <si>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</si>
  <si>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</si>
  <si>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</si>
  <si>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</si>
  <si>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</si>
  <si>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</si>
  <si>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</si>
  <si>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</si>
  <si>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</si>
  <si>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</si>
  <si>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</si>
  <si>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</si>
  <si>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</si>
  <si>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</si>
  <si>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</si>
  <si>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</si>
  <si>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</si>
  <si>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</si>
  <si>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</si>
  <si>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</si>
  <si>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</si>
  <si>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</si>
  <si>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</si>
  <si>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ALASMALANG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</si>
  <si>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</si>
  <si>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</si>
  <si>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</si>
  <si>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</si>
  <si>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</si>
  <si>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</si>
  <si>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</si>
  <si>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</si>
  <si>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</si>
  <si>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</si>
  <si>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</si>
  <si>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</si>
  <si>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</si>
  <si>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</si>
  <si>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</si>
  <si>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</si>
  <si>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</si>
  <si>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BENELAN KIDUL</t>
  </si>
  <si>
    <t>CANTUK</t>
  </si>
  <si>
    <t>GAMBOR</t>
  </si>
  <si>
    <t>GUMIRIH</t>
  </si>
  <si>
    <t>KEMIRI</t>
  </si>
  <si>
    <t>LEMAHBANGKULON</t>
  </si>
  <si>
    <t>PADANG</t>
  </si>
  <si>
    <t>TPS 018</t>
  </si>
  <si>
    <t>TPS 019</t>
  </si>
  <si>
    <t>TPS 020</t>
  </si>
  <si>
    <t>TPS 021</t>
  </si>
  <si>
    <t>TPS 022</t>
  </si>
  <si>
    <t>TPS 023</t>
  </si>
  <si>
    <t>TPS 024</t>
  </si>
  <si>
    <t>SINGOLATREN</t>
  </si>
  <si>
    <t>SUMBERBARU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</si>
</sst>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  <scheme val="minor"/>
    </font>
    <font>
      <b/>
      <sz val="10.0"/>
      <color rgb="FF000000"/>
      <name val="Bookman Old Style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18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20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9" fillId="3" fontId="3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21" fillId="0" fontId="6" numFmtId="0" xfId="0" applyAlignment="1" applyBorder="1" applyFont="1">
      <alignment horizontal="left" shrinkToFit="0" vertical="top" wrapText="1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vertical="center"/>
    </xf>
    <xf borderId="1" fillId="0" fontId="9" numFmtId="0" xfId="0" applyBorder="1" applyFont="1"/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3" fillId="0" fontId="2" numFmtId="0" xfId="0" applyBorder="1" applyFont="1"/>
    <xf borderId="13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ALASMALANG!V14+'BENELAN KIDUL'!S14+CANTUK!T14+GAMBOR!N14+GUMIRIH!S14+KEMIRI!U14+LEMAHBANGKULON!Q14+PADANG!Q14+SINGOJURUH!AC14+SINGOLATREN!T14+SUMBERBARU!S14</f>
        <v>17881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ALASMALANG!V15+'BENELAN KIDUL'!S15+CANTUK!T15+GAMBOR!N15+GUMIRIH!S15+KEMIRI!U15+LEMAHBANGKULON!Q15+PADANG!Q15+SINGOJURUH!AC15+SINGOLATREN!T15+SUMBERBARU!S15</f>
        <v>18129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36010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ALASMALANG!V19+'BENELAN KIDUL'!S19+CANTUK!T19+GAMBOR!N19+GUMIRIH!S19+KEMIRI!U19+LEMAHBANGKULON!Q19+PADANG!Q19+SINGOJURUH!AC19+SINGOLATREN!T19+SUMBERBARU!S19</f>
        <v>13491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ALASMALANG!V20+'BENELAN KIDUL'!S20+CANTUK!T20+GAMBOR!N20+GUMIRIH!S20+KEMIRI!U20+LEMAHBANGKULON!Q20+PADANG!Q20+SINGOJURUH!AC20+SINGOLATREN!T20+SUMBERBARU!S20</f>
        <v>14607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28098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ALASMALANG!V22+'BENELAN KIDUL'!S22+CANTUK!T22+GAMBOR!N22+GUMIRIH!S22+KEMIRI!U22+LEMAHBANGKULON!Q22+PADANG!Q22+SINGOJURUH!AC22+SINGOLATREN!T22+SUMBERBARU!S22</f>
        <v>45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ALASMALANG!V23+'BENELAN KIDUL'!S23+CANTUK!T23+GAMBOR!N23+GUMIRIH!S23+KEMIRI!U23+LEMAHBANGKULON!Q23+PADANG!Q23+SINGOJURUH!AC23+SINGOLATREN!T23+SUMBERBARU!S23</f>
        <v>43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88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ALASMALANG!V25+'BENELAN KIDUL'!S25+CANTUK!T25+GAMBOR!N25+GUMIRIH!S25+KEMIRI!U25+LEMAHBANGKULON!Q25+PADANG!Q25+SINGOJURUH!AC25+SINGOLATREN!T25+SUMBERBARU!S25</f>
        <v>120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ALASMALANG!V26+'BENELAN KIDUL'!S26+CANTUK!T26+GAMBOR!N26+GUMIRIH!S26+KEMIRI!U26+LEMAHBANGKULON!Q26+PADANG!Q26+SINGOJURUH!AC26+SINGOLATREN!T26+SUMBERBARU!S26</f>
        <v>143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263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13656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14793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28449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ALASMALANG!V33+'BENELAN KIDUL'!S33+CANTUK!T33+GAMBOR!N33+GUMIRIH!S33+KEMIRI!U33+LEMAHBANGKULON!Q33+PADANG!Q33+SINGOJURUH!AC33+SINGOLATREN!T33+SUMBERBARU!S33</f>
        <v>36692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ALASMALANG!V34+'BENELAN KIDUL'!S34+CANTUK!T34+GAMBOR!N34+GUMIRIH!S34+KEMIRI!U34+LEMAHBANGKULON!Q34+PADANG!Q34+SINGOJURUH!AC34+SINGOLATREN!T34+SUMBERBARU!S34</f>
        <v>28449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ALASMALANG!V35+'BENELAN KIDUL'!S35+CANTUK!T35+GAMBOR!N35+GUMIRIH!S35+KEMIRI!U35+LEMAHBANGKULON!Q35+PADANG!Q35+SINGOJURUH!AC35+SINGOLATREN!T35+SUMBERBARU!S35</f>
        <v>85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8158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ALASMALANG!V39+'BENELAN KIDUL'!S39+CANTUK!T39+GAMBOR!N39+GUMIRIH!S39+KEMIRI!U39+LEMAHBANGKULON!Q39+PADANG!Q39+SINGOJURUH!AC39+SINGOLATREN!T39+SUMBERBARU!S39</f>
        <v>23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ALASMALANG!V40+'BENELAN KIDUL'!S40+CANTUK!T40+GAMBOR!N40+GUMIRIH!S40+KEMIRI!U40+LEMAHBANGKULON!Q40+PADANG!Q40+SINGOJURUH!AC40+SINGOLATREN!T40+SUMBERBARU!S40</f>
        <v>46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69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ALASMALANG!V45+'BENELAN KIDUL'!S45+CANTUK!T45+GAMBOR!N45+GUMIRIH!S45+KEMIRI!U45+LEMAHBANGKULON!Q45+PADANG!Q45+SINGOJURUH!AC45+SINGOLATREN!T45+SUMBERBARU!S45</f>
        <v>924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ALASMALANG!V46+'BENELAN KIDUL'!S46+CANTUK!T46+GAMBOR!N46+GUMIRIH!S46+KEMIRI!U46+LEMAHBANGKULON!Q46+PADANG!Q46+SINGOJURUH!AC46+SINGOLATREN!T46+SUMBERBARU!S46</f>
        <v>2220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ALASMALANG!V47+'BENELAN KIDUL'!S47+CANTUK!T47+GAMBOR!N47+GUMIRIH!S47+KEMIRI!U47+LEMAHBANGKULON!Q47+PADANG!Q47+SINGOJURUH!AC47+SINGOLATREN!T47+SUMBERBARU!S47</f>
        <v>509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ALASMALANG!V48+'BENELAN KIDUL'!S48+CANTUK!T48+GAMBOR!N48+GUMIRIH!S48+KEMIRI!U48+LEMAHBANGKULON!Q48+PADANG!Q48+SINGOJURUH!AC48+SINGOLATREN!T48+SUMBERBARU!S48</f>
        <v>89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ALASMALANG!V49+'BENELAN KIDUL'!S49+CANTUK!T49+GAMBOR!N49+GUMIRIH!S49+KEMIRI!U49+LEMAHBANGKULON!Q49+PADANG!Q49+SINGOJURUH!AC49+SINGOLATREN!T49+SUMBERBARU!S49</f>
        <v>73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ALASMALANG!V50+'BENELAN KIDUL'!S50+CANTUK!T50+GAMBOR!N50+GUMIRIH!S50+KEMIRI!U50+LEMAHBANGKULON!Q50+PADANG!Q50+SINGOJURUH!AC50+SINGOLATREN!T50+SUMBERBARU!S50</f>
        <v>78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ALASMALANG!V51+'BENELAN KIDUL'!S51+CANTUK!T51+GAMBOR!N51+GUMIRIH!S51+KEMIRI!U51+LEMAHBANGKULON!Q51+PADANG!Q51+SINGOJURUH!AC51+SINGOLATREN!T51+SUMBERBARU!S51</f>
        <v>26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ALASMALANG!V52+'BENELAN KIDUL'!S52+CANTUK!T52+GAMBOR!N52+GUMIRIH!S52+KEMIRI!U52+LEMAHBANGKULON!Q52+PADANG!Q52+SINGOJURUH!AC52+SINGOLATREN!T52+SUMBERBARU!S52</f>
        <v>17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6"/>
      <c r="C53" s="57"/>
      <c r="D53" s="57"/>
      <c r="E53" s="58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6"/>
      <c r="C54" s="57"/>
      <c r="D54" s="57"/>
      <c r="E54" s="58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SUM(E45:E54)</f>
        <v>3936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ALASMALANG!V57+'BENELAN KIDUL'!S57+CANTUK!T57+GAMBOR!N57+GUMIRIH!S57+KEMIRI!U57+LEMAHBANGKULON!Q57+PADANG!Q57+SINGOJURUH!AC57+SINGOLATREN!T57+SUMBERBARU!S57</f>
        <v>1858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9"/>
      <c r="E58" s="24">
        <f>ALASMALANG!V58+'BENELAN KIDUL'!S58+CANTUK!T58+GAMBOR!N58+GUMIRIH!S58+KEMIRI!U58+LEMAHBANGKULON!Q58+PADANG!Q58+SINGOJURUH!AC58+SINGOLATREN!T58+SUMBERBARU!S58</f>
        <v>2787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9"/>
      <c r="E59" s="24">
        <f>ALASMALANG!V59+'BENELAN KIDUL'!S59+CANTUK!T59+GAMBOR!N59+GUMIRIH!S59+KEMIRI!U59+LEMAHBANGKULON!Q59+PADANG!Q59+SINGOJURUH!AC59+SINGOLATREN!T59+SUMBERBARU!S59</f>
        <v>1130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9"/>
      <c r="E60" s="24">
        <f>ALASMALANG!V60+'BENELAN KIDUL'!S60+CANTUK!T60+GAMBOR!N60+GUMIRIH!S60+KEMIRI!U60+LEMAHBANGKULON!Q60+PADANG!Q60+SINGOJURUH!AC60+SINGOLATREN!T60+SUMBERBARU!S60</f>
        <v>175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9"/>
      <c r="E61" s="24">
        <f>ALASMALANG!V61+'BENELAN KIDUL'!S61+CANTUK!T61+GAMBOR!N61+GUMIRIH!S61+KEMIRI!U61+LEMAHBANGKULON!Q61+PADANG!Q61+SINGOJURUH!AC61+SINGOLATREN!T61+SUMBERBARU!S61</f>
        <v>207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9"/>
      <c r="E62" s="24">
        <f>ALASMALANG!V62+'BENELAN KIDUL'!S62+CANTUK!T62+GAMBOR!N62+GUMIRIH!S62+KEMIRI!U62+LEMAHBANGKULON!Q62+PADANG!Q62+SINGOJURUH!AC62+SINGOLATREN!T62+SUMBERBARU!S62</f>
        <v>35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60"/>
      <c r="E63" s="24">
        <f>ALASMALANG!V63+'BENELAN KIDUL'!S63+CANTUK!T63+GAMBOR!N63+GUMIRIH!S63+KEMIRI!U63+LEMAHBANGKULON!Q63+PADANG!Q63+SINGOJURUH!AC63+SINGOLATREN!T63+SUMBERBARU!S63</f>
        <v>74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9"/>
      <c r="E64" s="24">
        <f>ALASMALANG!V64+'BENELAN KIDUL'!S64+CANTUK!T64+GAMBOR!N64+GUMIRIH!S64+KEMIRI!U64+LEMAHBANGKULON!Q64+PADANG!Q64+SINGOJURUH!AC64+SINGOLATREN!T64+SUMBERBARU!S64</f>
        <v>48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6"/>
      <c r="C65" s="57"/>
      <c r="D65" s="61"/>
      <c r="E65" s="58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6"/>
      <c r="C66" s="57"/>
      <c r="D66" s="61"/>
      <c r="E66" s="58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SUM(E57:E66)</f>
        <v>6314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ALASMALANG!V69+'BENELAN KIDUL'!S69+CANTUK!T69+GAMBOR!N69+GUMIRIH!S69+KEMIRI!U69+LEMAHBANGKULON!Q69+PADANG!Q69+SINGOJURUH!AC69+SINGOLATREN!T69+SUMBERBARU!S69</f>
        <v>1116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60"/>
      <c r="E70" s="24">
        <f>ALASMALANG!V70+'BENELAN KIDUL'!S70+CANTUK!T70+GAMBOR!N70+GUMIRIH!S70+KEMIRI!U70+LEMAHBANGKULON!Q70+PADANG!Q70+SINGOJURUH!AC70+SINGOLATREN!T70+SUMBERBARU!S70</f>
        <v>1989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60"/>
      <c r="E71" s="24">
        <f>ALASMALANG!V71+'BENELAN KIDUL'!S71+CANTUK!T71+GAMBOR!N71+GUMIRIH!S71+KEMIRI!U71+LEMAHBANGKULON!Q71+PADANG!Q71+SINGOJURUH!AC71+SINGOLATREN!T71+SUMBERBARU!S71</f>
        <v>401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60"/>
      <c r="E72" s="24">
        <f>ALASMALANG!V72+'BENELAN KIDUL'!S72+CANTUK!T72+GAMBOR!N72+GUMIRIH!S72+KEMIRI!U72+LEMAHBANGKULON!Q72+PADANG!Q72+SINGOJURUH!AC72+SINGOLATREN!T72+SUMBERBARU!S72</f>
        <v>1898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60"/>
      <c r="E73" s="24">
        <f>ALASMALANG!V73+'BENELAN KIDUL'!S73+CANTUK!T73+GAMBOR!N73+GUMIRIH!S73+KEMIRI!U73+LEMAHBANGKULON!Q73+PADANG!Q73+SINGOJURUH!AC73+SINGOLATREN!T73+SUMBERBARU!S73</f>
        <v>81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60"/>
      <c r="E74" s="24">
        <f>ALASMALANG!V74+'BENELAN KIDUL'!S74+CANTUK!T74+GAMBOR!N74+GUMIRIH!S74+KEMIRI!U74+LEMAHBANGKULON!Q74+PADANG!Q74+SINGOJURUH!AC74+SINGOLATREN!T74+SUMBERBARU!S74</f>
        <v>880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60"/>
      <c r="E75" s="24">
        <f>ALASMALANG!V75+'BENELAN KIDUL'!S75+CANTUK!T75+GAMBOR!N75+GUMIRIH!S75+KEMIRI!U75+LEMAHBANGKULON!Q75+PADANG!Q75+SINGOJURUH!AC75+SINGOLATREN!T75+SUMBERBARU!S75</f>
        <v>58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60"/>
      <c r="E76" s="24">
        <f>ALASMALANG!V76+'BENELAN KIDUL'!S76+CANTUK!T76+GAMBOR!N76+GUMIRIH!S76+KEMIRI!U76+LEMAHBANGKULON!Q76+PADANG!Q76+SINGOJURUH!AC76+SINGOLATREN!T76+SUMBERBARU!S76</f>
        <v>61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6"/>
      <c r="C77" s="57"/>
      <c r="D77" s="62"/>
      <c r="E77" s="58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6"/>
      <c r="C78" s="57"/>
      <c r="D78" s="62"/>
      <c r="E78" s="58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SUM(E69:E78)</f>
        <v>6484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ALASMALANG!V81+'BENELAN KIDUL'!S81+CANTUK!T81+GAMBOR!N81+GUMIRIH!S81+KEMIRI!U81+LEMAHBANGKULON!Q81+PADANG!Q81+SINGOJURUH!AC81+SINGOLATREN!T81+SUMBERBARU!S81</f>
        <v>421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60"/>
      <c r="E82" s="24">
        <f>ALASMALANG!V82+'BENELAN KIDUL'!S82+CANTUK!T82+GAMBOR!N82+GUMIRIH!S82+KEMIRI!U82+LEMAHBANGKULON!Q82+PADANG!Q82+SINGOJURUH!AC82+SINGOLATREN!T82+SUMBERBARU!S82</f>
        <v>1528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60"/>
      <c r="E83" s="24">
        <f>ALASMALANG!V83+'BENELAN KIDUL'!S83+CANTUK!T83+GAMBOR!N83+GUMIRIH!S83+KEMIRI!U83+LEMAHBANGKULON!Q83+PADANG!Q83+SINGOJURUH!AC83+SINGOLATREN!T83+SUMBERBARU!S83</f>
        <v>555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60"/>
      <c r="E84" s="24">
        <f>ALASMALANG!V84+'BENELAN KIDUL'!S84+CANTUK!T84+GAMBOR!N84+GUMIRIH!S84+KEMIRI!U84+LEMAHBANGKULON!Q84+PADANG!Q84+SINGOJURUH!AC84+SINGOLATREN!T84+SUMBERBARU!S84</f>
        <v>61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60"/>
      <c r="E85" s="24">
        <f>ALASMALANG!V85+'BENELAN KIDUL'!S85+CANTUK!T85+GAMBOR!N85+GUMIRIH!S85+KEMIRI!U85+LEMAHBANGKULON!Q85+PADANG!Q85+SINGOJURUH!AC85+SINGOLATREN!T85+SUMBERBARU!S85</f>
        <v>84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60"/>
      <c r="E86" s="24">
        <f>ALASMALANG!V86+'BENELAN KIDUL'!S86+CANTUK!T86+GAMBOR!N86+GUMIRIH!S86+KEMIRI!U86+LEMAHBANGKULON!Q86+PADANG!Q86+SINGOJURUH!AC86+SINGOLATREN!T86+SUMBERBARU!S86</f>
        <v>72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60"/>
      <c r="E87" s="24">
        <f>ALASMALANG!V87+'BENELAN KIDUL'!S87+CANTUK!T87+GAMBOR!N87+GUMIRIH!S87+KEMIRI!U87+LEMAHBANGKULON!Q87+PADANG!Q87+SINGOJURUH!AC87+SINGOLATREN!T87+SUMBERBARU!S87</f>
        <v>13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60"/>
      <c r="E88" s="24">
        <f>ALASMALANG!V88+'BENELAN KIDUL'!S88+CANTUK!T88+GAMBOR!N88+GUMIRIH!S88+KEMIRI!U88+LEMAHBANGKULON!Q88+PADANG!Q88+SINGOJURUH!AC88+SINGOLATREN!T88+SUMBERBARU!S88</f>
        <v>14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6"/>
      <c r="C89" s="57"/>
      <c r="D89" s="62"/>
      <c r="E89" s="58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6"/>
      <c r="C90" s="57"/>
      <c r="D90" s="62"/>
      <c r="E90" s="58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SUM(E81:E90)</f>
        <v>2748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ALASMALANG!V93+'BENELAN KIDUL'!S93+CANTUK!T93+GAMBOR!N93+GUMIRIH!S93+KEMIRI!U93+LEMAHBANGKULON!Q93+PADANG!Q93+SINGOJURUH!AC93+SINGOLATREN!T93+SUMBERBARU!S93</f>
        <v>163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60"/>
      <c r="E94" s="24">
        <f>ALASMALANG!V94+'BENELAN KIDUL'!S94+CANTUK!T94+GAMBOR!N94+GUMIRIH!S94+KEMIRI!U94+LEMAHBANGKULON!Q94+PADANG!Q94+SINGOJURUH!AC94+SINGOLATREN!T94+SUMBERBARU!S94</f>
        <v>145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60"/>
      <c r="E95" s="24">
        <f>ALASMALANG!V95+'BENELAN KIDUL'!S95+CANTUK!T95+GAMBOR!N95+GUMIRIH!S95+KEMIRI!U95+LEMAHBANGKULON!Q95+PADANG!Q95+SINGOJURUH!AC95+SINGOLATREN!T95+SUMBERBARU!S95</f>
        <v>277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60"/>
      <c r="E96" s="24">
        <f>ALASMALANG!V96+'BENELAN KIDUL'!S96+CANTUK!T96+GAMBOR!N96+GUMIRIH!S96+KEMIRI!U96+LEMAHBANGKULON!Q96+PADANG!Q96+SINGOJURUH!AC96+SINGOLATREN!T96+SUMBERBARU!S96</f>
        <v>9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60"/>
      <c r="E97" s="24">
        <f>ALASMALANG!V97+'BENELAN KIDUL'!S97+CANTUK!T97+GAMBOR!N97+GUMIRIH!S97+KEMIRI!U97+LEMAHBANGKULON!Q97+PADANG!Q97+SINGOJURUH!AC97+SINGOLATREN!T97+SUMBERBARU!S97</f>
        <v>83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60"/>
      <c r="E98" s="24">
        <f>ALASMALANG!V98+'BENELAN KIDUL'!S98+CANTUK!T98+GAMBOR!N98+GUMIRIH!S98+KEMIRI!U98+LEMAHBANGKULON!Q98+PADANG!Q98+SINGOJURUH!AC98+SINGOLATREN!T98+SUMBERBARU!S98</f>
        <v>41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60"/>
      <c r="E99" s="24">
        <f>ALASMALANG!V99+'BENELAN KIDUL'!S99+CANTUK!T99+GAMBOR!N99+GUMIRIH!S99+KEMIRI!U99+LEMAHBANGKULON!Q99+PADANG!Q99+SINGOJURUH!AC99+SINGOLATREN!T99+SUMBERBARU!S99</f>
        <v>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60"/>
      <c r="E100" s="24">
        <f>ALASMALANG!V100+'BENELAN KIDUL'!S100+CANTUK!T100+GAMBOR!N100+GUMIRIH!S100+KEMIRI!U100+LEMAHBANGKULON!Q100+PADANG!Q100+SINGOJURUH!AC100+SINGOLATREN!T100+SUMBERBARU!S100</f>
        <v>2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6"/>
      <c r="C101" s="57"/>
      <c r="D101" s="62"/>
      <c r="E101" s="58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6"/>
      <c r="C102" s="57"/>
      <c r="D102" s="62"/>
      <c r="E102" s="58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SUM(E93:E102)</f>
        <v>723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ALASMALANG!V105+'BENELAN KIDUL'!S105+CANTUK!T105+GAMBOR!N105+GUMIRIH!S105+KEMIRI!U105+LEMAHBANGKULON!Q105+PADANG!Q105+SINGOJURUH!AC105+SINGOLATREN!T105+SUMBERBARU!S105</f>
        <v>31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60"/>
      <c r="E106" s="24">
        <f>ALASMALANG!V106+'BENELAN KIDUL'!S106+CANTUK!T106+GAMBOR!N106+GUMIRIH!S106+KEMIRI!U106+LEMAHBANGKULON!Q106+PADANG!Q106+SINGOJURUH!AC106+SINGOLATREN!T106+SUMBERBARU!S106</f>
        <v>16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60"/>
      <c r="E107" s="24">
        <f>ALASMALANG!V107+'BENELAN KIDUL'!S107+CANTUK!T107+GAMBOR!N107+GUMIRIH!S107+KEMIRI!U107+LEMAHBANGKULON!Q107+PADANG!Q107+SINGOJURUH!AC107+SINGOLATREN!T107+SUMBERBARU!S107</f>
        <v>18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60"/>
      <c r="E108" s="24">
        <f>ALASMALANG!V108+'BENELAN KIDUL'!S108+CANTUK!T108+GAMBOR!N108+GUMIRIH!S108+KEMIRI!U108+LEMAHBANGKULON!Q108+PADANG!Q108+SINGOJURUH!AC108+SINGOLATREN!T108+SUMBERBARU!S108</f>
        <v>2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60"/>
      <c r="E109" s="24">
        <f>ALASMALANG!V109+'BENELAN KIDUL'!S109+CANTUK!T109+GAMBOR!N109+GUMIRIH!S109+KEMIRI!U109+LEMAHBANGKULON!Q109+PADANG!Q109+SINGOJURUH!AC109+SINGOLATREN!T109+SUMBERBARU!S109</f>
        <v>4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60"/>
      <c r="E110" s="24">
        <f>ALASMALANG!V110+'BENELAN KIDUL'!S110+CANTUK!T110+GAMBOR!N110+GUMIRIH!S110+KEMIRI!U110+LEMAHBANGKULON!Q110+PADANG!Q110+SINGOJURUH!AC110+SINGOLATREN!T110+SUMBERBARU!S110</f>
        <v>1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60"/>
      <c r="E111" s="24">
        <f>ALASMALANG!V111+'BENELAN KIDUL'!S111+CANTUK!T111+GAMBOR!N111+GUMIRIH!S111+KEMIRI!U111+LEMAHBANGKULON!Q111+PADANG!Q111+SINGOJURUH!AC111+SINGOLATREN!T111+SUMBERBARU!S111</f>
        <v>3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60"/>
      <c r="E112" s="24">
        <f>ALASMALANG!V112+'BENELAN KIDUL'!S112+CANTUK!T112+GAMBOR!N112+GUMIRIH!S112+KEMIRI!U112+LEMAHBANGKULON!Q112+PADANG!Q112+SINGOJURUH!AC112+SINGOLATREN!T112+SUMBERBARU!S112</f>
        <v>3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6"/>
      <c r="C113" s="57"/>
      <c r="D113" s="62"/>
      <c r="E113" s="58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6"/>
      <c r="C114" s="57"/>
      <c r="D114" s="62"/>
      <c r="E114" s="58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SUM(E105:E114)</f>
        <v>78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ALASMALANG!V117+'BENELAN KIDUL'!S117+CANTUK!T117+GAMBOR!N117+GUMIRIH!S117+KEMIRI!U117+LEMAHBANGKULON!Q117+PADANG!Q117+SINGOJURUH!AC117+SINGOLATREN!T117+SUMBERBARU!S117</f>
        <v>54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60"/>
      <c r="E118" s="24">
        <f>ALASMALANG!V118+'BENELAN KIDUL'!S118+CANTUK!T118+GAMBOR!N118+GUMIRIH!S118+KEMIRI!U118+LEMAHBANGKULON!Q118+PADANG!Q118+SINGOJURUH!AC118+SINGOLATREN!T118+SUMBERBARU!S118</f>
        <v>19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60"/>
      <c r="E119" s="24">
        <f>ALASMALANG!V119+'BENELAN KIDUL'!S119+CANTUK!T119+GAMBOR!N119+GUMIRIH!S119+KEMIRI!U119+LEMAHBANGKULON!Q119+PADANG!Q119+SINGOJURUH!AC119+SINGOLATREN!T119+SUMBERBARU!S119</f>
        <v>3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60"/>
      <c r="E120" s="24">
        <f>ALASMALANG!V120+'BENELAN KIDUL'!S120+CANTUK!T120+GAMBOR!N120+GUMIRIH!S120+KEMIRI!U120+LEMAHBANGKULON!Q120+PADANG!Q120+SINGOJURUH!AC120+SINGOLATREN!T120+SUMBERBARU!S120</f>
        <v>10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6"/>
      <c r="C121" s="57"/>
      <c r="D121" s="61"/>
      <c r="E121" s="58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6"/>
      <c r="C122" s="57"/>
      <c r="D122" s="62"/>
      <c r="E122" s="58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6"/>
      <c r="C123" s="57"/>
      <c r="D123" s="62"/>
      <c r="E123" s="63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6"/>
      <c r="C124" s="57"/>
      <c r="D124" s="62"/>
      <c r="E124" s="63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6"/>
      <c r="C125" s="57"/>
      <c r="D125" s="62"/>
      <c r="E125" s="63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6"/>
      <c r="C126" s="57"/>
      <c r="D126" s="62"/>
      <c r="E126" s="63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13">
        <f>SUM(E117:E126)</f>
        <v>86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ALASMALANG!V129+'BENELAN KIDUL'!S129+CANTUK!T129+GAMBOR!N129+GUMIRIH!S129+KEMIRI!U129+LEMAHBANGKULON!Q129+PADANG!Q129+SINGOJURUH!AC129+SINGOLATREN!T129+SUMBERBARU!S129</f>
        <v>66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9"/>
      <c r="E130" s="24">
        <f>ALASMALANG!V130+'BENELAN KIDUL'!S130+CANTUK!T130+GAMBOR!N130+GUMIRIH!S130+KEMIRI!U130+LEMAHBANGKULON!Q130+PADANG!Q130+SINGOJURUH!AC130+SINGOLATREN!T130+SUMBERBARU!S130</f>
        <v>102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9"/>
      <c r="E131" s="24">
        <f>ALASMALANG!V131+'BENELAN KIDUL'!S131+CANTUK!T131+GAMBOR!N131+GUMIRIH!S131+KEMIRI!U131+LEMAHBANGKULON!Q131+PADANG!Q131+SINGOJURUH!AC131+SINGOLATREN!T131+SUMBERBARU!S131</f>
        <v>58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9"/>
      <c r="E132" s="24">
        <f>ALASMALANG!V132+'BENELAN KIDUL'!S132+CANTUK!T132+GAMBOR!N132+GUMIRIH!S132+KEMIRI!U132+LEMAHBANGKULON!Q132+PADANG!Q132+SINGOJURUH!AC132+SINGOLATREN!T132+SUMBERBARU!S132</f>
        <v>9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9"/>
      <c r="E133" s="24">
        <f>ALASMALANG!V133+'BENELAN KIDUL'!S133+CANTUK!T133+GAMBOR!N133+GUMIRIH!S133+KEMIRI!U133+LEMAHBANGKULON!Q133+PADANG!Q133+SINGOJURUH!AC133+SINGOLATREN!T133+SUMBERBARU!S133</f>
        <v>3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9"/>
      <c r="E134" s="24">
        <f>ALASMALANG!V134+'BENELAN KIDUL'!S134+CANTUK!T134+GAMBOR!N134+GUMIRIH!S134+KEMIRI!U134+LEMAHBANGKULON!Q134+PADANG!Q134+SINGOJURUH!AC134+SINGOLATREN!T134+SUMBERBARU!S134</f>
        <v>9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60"/>
      <c r="E135" s="24">
        <f>ALASMALANG!V135+'BENELAN KIDUL'!S135+CANTUK!T135+GAMBOR!N135+GUMIRIH!S135+KEMIRI!U135+LEMAHBANGKULON!Q135+PADANG!Q135+SINGOJURUH!AC135+SINGOLATREN!T135+SUMBERBARU!S135</f>
        <v>8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9"/>
      <c r="E136" s="24">
        <f>ALASMALANG!V136+'BENELAN KIDUL'!S136+CANTUK!T136+GAMBOR!N136+GUMIRIH!S136+KEMIRI!U136+LEMAHBANGKULON!Q136+PADANG!Q136+SINGOJURUH!AC136+SINGOLATREN!T136+SUMBERBARU!S136</f>
        <v>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6"/>
      <c r="C137" s="57"/>
      <c r="D137" s="61"/>
      <c r="E137" s="58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6"/>
      <c r="C138" s="57"/>
      <c r="D138" s="61"/>
      <c r="E138" s="58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SUM(E129:E138)</f>
        <v>255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ALASMALANG!V141+'BENELAN KIDUL'!S141+CANTUK!T141+GAMBOR!N141+GUMIRIH!S141+KEMIRI!U141+LEMAHBANGKULON!Q141+PADANG!Q141+SINGOJURUH!AC141+SINGOLATREN!T141+SUMBERBARU!S141</f>
        <v>5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60"/>
      <c r="E142" s="24">
        <f>ALASMALANG!V142+'BENELAN KIDUL'!S142+CANTUK!T142+GAMBOR!N142+GUMIRIH!S142+KEMIRI!U142+LEMAHBANGKULON!Q142+PADANG!Q142+SINGOJURUH!AC142+SINGOLATREN!T142+SUMBERBARU!S142</f>
        <v>3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60"/>
      <c r="E143" s="24">
        <f>ALASMALANG!V143+'BENELAN KIDUL'!S143+CANTUK!T143+GAMBOR!N143+GUMIRIH!S143+KEMIRI!U143+LEMAHBANGKULON!Q143+PADANG!Q143+SINGOJURUH!AC143+SINGOLATREN!T143+SUMBERBARU!S143</f>
        <v>3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60"/>
      <c r="E144" s="24">
        <f>ALASMALANG!V144+'BENELAN KIDUL'!S144+CANTUK!T144+GAMBOR!N144+GUMIRIH!S144+KEMIRI!U144+LEMAHBANGKULON!Q144+PADANG!Q144+SINGOJURUH!AC144+SINGOLATREN!T144+SUMBERBARU!S144</f>
        <v>1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60"/>
      <c r="E145" s="24">
        <f>ALASMALANG!V145+'BENELAN KIDUL'!S145+CANTUK!T145+GAMBOR!N145+GUMIRIH!S145+KEMIRI!U145+LEMAHBANGKULON!Q145+PADANG!Q145+SINGOJURUH!AC145+SINGOLATREN!T145+SUMBERBARU!S145</f>
        <v>1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60"/>
      <c r="E146" s="24">
        <f>ALASMALANG!V146+'BENELAN KIDUL'!S146+CANTUK!T146+GAMBOR!N146+GUMIRIH!S146+KEMIRI!U146+LEMAHBANGKULON!Q146+PADANG!Q146+SINGOJURUH!AC146+SINGOLATREN!T146+SUMBERBARU!S146</f>
        <v>1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60"/>
      <c r="E147" s="24">
        <f>ALASMALANG!V147+'BENELAN KIDUL'!S147+CANTUK!T147+GAMBOR!N147+GUMIRIH!S147+KEMIRI!U147+LEMAHBANGKULON!Q147+PADANG!Q147+SINGOJURUH!AC147+SINGOLATREN!T147+SUMBERBARU!S147</f>
        <v>3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60"/>
      <c r="E148" s="24">
        <f>ALASMALANG!V148+'BENELAN KIDUL'!S148+CANTUK!T148+GAMBOR!N148+GUMIRIH!S148+KEMIRI!U148+LEMAHBANGKULON!Q148+PADANG!Q148+SINGOJURUH!AC148+SINGOLATREN!T148+SUMBERBARU!S148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6"/>
      <c r="C149" s="57"/>
      <c r="D149" s="62"/>
      <c r="E149" s="58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6"/>
      <c r="C150" s="57"/>
      <c r="D150" s="62"/>
      <c r="E150" s="58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SUM(E141:E150)</f>
        <v>17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17" t="s">
        <v>113</v>
      </c>
      <c r="C153" s="64" t="s">
        <v>114</v>
      </c>
      <c r="D153" s="23"/>
      <c r="E153" s="24">
        <f>ALASMALANG!V153+'BENELAN KIDUL'!S153+CANTUK!T153+GAMBOR!N153+GUMIRIH!S153+KEMIRI!U153+LEMAHBANGKULON!Q153+PADANG!Q153+SINGOJURUH!AC153+SINGOLATREN!T153+SUMBERBARU!S153</f>
        <v>16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65" t="s">
        <v>39</v>
      </c>
      <c r="B154" s="55">
        <v>1.0</v>
      </c>
      <c r="C154" s="66" t="s">
        <v>115</v>
      </c>
      <c r="D154" s="60"/>
      <c r="E154" s="24">
        <f>ALASMALANG!V154+'BENELAN KIDUL'!S154+CANTUK!T154+GAMBOR!N154+GUMIRIH!S154+KEMIRI!U154+LEMAHBANGKULON!Q154+PADANG!Q154+SINGOJURUH!AC154+SINGOLATREN!T154+SUMBERBARU!S154</f>
        <v>40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66" t="s">
        <v>116</v>
      </c>
      <c r="D155" s="60"/>
      <c r="E155" s="24">
        <f>ALASMALANG!V155+'BENELAN KIDUL'!S155+CANTUK!T155+GAMBOR!N155+GUMIRIH!S155+KEMIRI!U155+LEMAHBANGKULON!Q155+PADANG!Q155+SINGOJURUH!AC155+SINGOLATREN!T155+SUMBERBARU!S155</f>
        <v>13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66" t="s">
        <v>117</v>
      </c>
      <c r="D156" s="60"/>
      <c r="E156" s="24">
        <f>ALASMALANG!V156+'BENELAN KIDUL'!S156+CANTUK!T156+GAMBOR!N156+GUMIRIH!S156+KEMIRI!U156+LEMAHBANGKULON!Q156+PADANG!Q156+SINGOJURUH!AC156+SINGOLATREN!T156+SUMBERBARU!S156</f>
        <v>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66" t="s">
        <v>118</v>
      </c>
      <c r="D157" s="60"/>
      <c r="E157" s="24">
        <f>ALASMALANG!V157+'BENELAN KIDUL'!S157+CANTUK!T157+GAMBOR!N157+GUMIRIH!S157+KEMIRI!U157+LEMAHBANGKULON!Q157+PADANG!Q157+SINGOJURUH!AC157+SINGOLATREN!T157+SUMBERBARU!S157</f>
        <v>24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6"/>
      <c r="C158" s="57"/>
      <c r="D158" s="61"/>
      <c r="E158" s="58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6"/>
      <c r="C159" s="57"/>
      <c r="D159" s="61"/>
      <c r="E159" s="58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6"/>
      <c r="C160" s="57"/>
      <c r="D160" s="62"/>
      <c r="E160" s="63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6"/>
      <c r="C161" s="67"/>
      <c r="D161" s="62"/>
      <c r="E161" s="63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6"/>
      <c r="C162" s="67"/>
      <c r="D162" s="62"/>
      <c r="E162" s="63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68" t="s">
        <v>47</v>
      </c>
      <c r="C163" s="44"/>
      <c r="D163" s="28"/>
      <c r="E163" s="13">
        <f>SUM(E153:E162)</f>
        <v>97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ALASMALANG!V165+'BENELAN KIDUL'!S165+CANTUK!T165+GAMBOR!N165+GUMIRIH!S165+KEMIRI!U165+LEMAHBANGKULON!Q165+PADANG!Q165+SINGOJURUH!AC165+SINGOLATREN!T165+SUMBERBARU!S165</f>
        <v>20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60"/>
      <c r="E166" s="24">
        <f>ALASMALANG!V166+'BENELAN KIDUL'!S166+CANTUK!T166+GAMBOR!N166+GUMIRIH!S166+KEMIRI!U166+LEMAHBANGKULON!Q166+PADANG!Q166+SINGOJURUH!AC166+SINGOLATREN!T166+SUMBERBARU!S166</f>
        <v>11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60"/>
      <c r="E167" s="24">
        <f>ALASMALANG!V167+'BENELAN KIDUL'!S167+CANTUK!T167+GAMBOR!N167+GUMIRIH!S167+KEMIRI!U167+LEMAHBANGKULON!Q167+PADANG!Q167+SINGOJURUH!AC167+SINGOLATREN!T167+SUMBERBARU!S167</f>
        <v>5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60"/>
      <c r="E168" s="24">
        <f>ALASMALANG!V168+'BENELAN KIDUL'!S168+CANTUK!T168+GAMBOR!N168+GUMIRIH!S168+KEMIRI!U168+LEMAHBANGKULON!Q168+PADANG!Q168+SINGOJURUH!AC168+SINGOLATREN!T168+SUMBERBARU!S168</f>
        <v>4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60"/>
      <c r="E169" s="24">
        <f>ALASMALANG!V169+'BENELAN KIDUL'!S169+CANTUK!T169+GAMBOR!N169+GUMIRIH!S169+KEMIRI!U169+LEMAHBANGKULON!Q169+PADANG!Q169+SINGOJURUH!AC169+SINGOLATREN!T169+SUMBERBARU!S169</f>
        <v>3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60"/>
      <c r="E170" s="24">
        <f>ALASMALANG!V170+'BENELAN KIDUL'!S170+CANTUK!T170+GAMBOR!N170+GUMIRIH!S170+KEMIRI!U170+LEMAHBANGKULON!Q170+PADANG!Q170+SINGOJURUH!AC170+SINGOLATREN!T170+SUMBERBARU!S170</f>
        <v>2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60"/>
      <c r="E171" s="24">
        <f>ALASMALANG!V171+'BENELAN KIDUL'!S171+CANTUK!T171+GAMBOR!N171+GUMIRIH!S171+KEMIRI!U171+LEMAHBANGKULON!Q171+PADANG!Q171+SINGOJURUH!AC171+SINGOLATREN!T171+SUMBERBARU!S171</f>
        <v>1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60"/>
      <c r="E172" s="24">
        <f>ALASMALANG!V172+'BENELAN KIDUL'!S172+CANTUK!T172+GAMBOR!N172+GUMIRIH!S172+KEMIRI!U172+LEMAHBANGKULON!Q172+PADANG!Q172+SINGOJURUH!AC172+SINGOLATREN!T172+SUMBERBARU!S172</f>
        <v>2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6"/>
      <c r="C173" s="57"/>
      <c r="D173" s="62"/>
      <c r="E173" s="58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6"/>
      <c r="C174" s="57"/>
      <c r="D174" s="62"/>
      <c r="E174" s="58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SUM(E165:E174)</f>
        <v>48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ALASMALANG!V177+'BENELAN KIDUL'!S177+CANTUK!T177+GAMBOR!N177+GUMIRIH!S177+KEMIRI!U177+LEMAHBANGKULON!Q177+PADANG!Q177+SINGOJURUH!AC177+SINGOLATREN!T177+SUMBERBARU!S177</f>
        <v>47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60"/>
      <c r="E178" s="24">
        <f>ALASMALANG!V178+'BENELAN KIDUL'!S178+CANTUK!T178+GAMBOR!N178+GUMIRIH!S178+KEMIRI!U178+LEMAHBANGKULON!Q178+PADANG!Q178+SINGOJURUH!AC178+SINGOLATREN!T178+SUMBERBARU!S178</f>
        <v>33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60"/>
      <c r="E179" s="24">
        <f>ALASMALANG!V179+'BENELAN KIDUL'!S179+CANTUK!T179+GAMBOR!N179+GUMIRIH!S179+KEMIRI!U179+LEMAHBANGKULON!Q179+PADANG!Q179+SINGOJURUH!AC179+SINGOLATREN!T179+SUMBERBARU!S179</f>
        <v>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60"/>
      <c r="E180" s="24">
        <f>ALASMALANG!V180+'BENELAN KIDUL'!S180+CANTUK!T180+GAMBOR!N180+GUMIRIH!S180+KEMIRI!U180+LEMAHBANGKULON!Q180+PADANG!Q180+SINGOJURUH!AC180+SINGOLATREN!T180+SUMBERBARU!S180</f>
        <v>17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60"/>
      <c r="E181" s="24">
        <f>ALASMALANG!V181+'BENELAN KIDUL'!S181+CANTUK!T181+GAMBOR!N181+GUMIRIH!S181+KEMIRI!U181+LEMAHBANGKULON!Q181+PADANG!Q181+SINGOJURUH!AC181+SINGOLATREN!T181+SUMBERBARU!S181</f>
        <v>7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60"/>
      <c r="E182" s="24">
        <f>ALASMALANG!V182+'BENELAN KIDUL'!S182+CANTUK!T182+GAMBOR!N182+GUMIRIH!S182+KEMIRI!U182+LEMAHBANGKULON!Q182+PADANG!Q182+SINGOJURUH!AC182+SINGOLATREN!T182+SUMBERBARU!S182</f>
        <v>6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60"/>
      <c r="E183" s="24">
        <f>ALASMALANG!V183+'BENELAN KIDUL'!S183+CANTUK!T183+GAMBOR!N183+GUMIRIH!S183+KEMIRI!U183+LEMAHBANGKULON!Q183+PADANG!Q183+SINGOJURUH!AC183+SINGOLATREN!T183+SUMBERBARU!S183</f>
        <v>2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60"/>
      <c r="E184" s="24">
        <f>ALASMALANG!V184+'BENELAN KIDUL'!S184+CANTUK!T184+GAMBOR!N184+GUMIRIH!S184+KEMIRI!U184+LEMAHBANGKULON!Q184+PADANG!Q184+SINGOJURUH!AC184+SINGOLATREN!T184+SUMBERBARU!S184</f>
        <v>46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6"/>
      <c r="C185" s="57"/>
      <c r="D185" s="62"/>
      <c r="E185" s="58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6"/>
      <c r="C186" s="57"/>
      <c r="D186" s="62"/>
      <c r="E186" s="58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SUM(E177:E186)</f>
        <v>176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ALASMALANG!V189+'BENELAN KIDUL'!S189+CANTUK!T189+GAMBOR!N189+GUMIRIH!S189+KEMIRI!U189+LEMAHBANGKULON!Q189+PADANG!Q189+SINGOJURUH!AC189+SINGOLATREN!T189+SUMBERBARU!S189</f>
        <v>8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60"/>
      <c r="E190" s="24">
        <f>ALASMALANG!V190+'BENELAN KIDUL'!S190+CANTUK!T190+GAMBOR!N190+GUMIRIH!S190+KEMIRI!U190+LEMAHBANGKULON!Q190+PADANG!Q190+SINGOJURUH!AC190+SINGOLATREN!T190+SUMBERBARU!S190</f>
        <v>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60"/>
      <c r="E191" s="24">
        <f>ALASMALANG!V191+'BENELAN KIDUL'!S191+CANTUK!T191+GAMBOR!N191+GUMIRIH!S191+KEMIRI!U191+LEMAHBANGKULON!Q191+PADANG!Q191+SINGOJURUH!AC191+SINGOLATREN!T191+SUMBERBARU!S191</f>
        <v>4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60"/>
      <c r="E192" s="24">
        <f>ALASMALANG!V192+'BENELAN KIDUL'!S192+CANTUK!T192+GAMBOR!N192+GUMIRIH!S192+KEMIRI!U192+LEMAHBANGKULON!Q192+PADANG!Q192+SINGOJURUH!AC192+SINGOLATREN!T192+SUMBERBARU!S192</f>
        <v>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60"/>
      <c r="E193" s="24">
        <f>ALASMALANG!V193+'BENELAN KIDUL'!S193+CANTUK!T193+GAMBOR!N193+GUMIRIH!S193+KEMIRI!U193+LEMAHBANGKULON!Q193+PADANG!Q193+SINGOJURUH!AC193+SINGOLATREN!T193+SUMBERBARU!S193</f>
        <v>1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60"/>
      <c r="E194" s="24">
        <f>ALASMALANG!V194+'BENELAN KIDUL'!S194+CANTUK!T194+GAMBOR!N194+GUMIRIH!S194+KEMIRI!U194+LEMAHBANGKULON!Q194+PADANG!Q194+SINGOJURUH!AC194+SINGOLATREN!T194+SUMBERBARU!S194</f>
        <v>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60"/>
      <c r="E195" s="24">
        <f>ALASMALANG!V195+'BENELAN KIDUL'!S195+CANTUK!T195+GAMBOR!N195+GUMIRIH!S195+KEMIRI!U195+LEMAHBANGKULON!Q195+PADANG!Q195+SINGOJURUH!AC195+SINGOLATREN!T195+SUMBERBARU!S195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60"/>
      <c r="E196" s="24">
        <f>ALASMALANG!V196+'BENELAN KIDUL'!S196+CANTUK!T196+GAMBOR!N196+GUMIRIH!S196+KEMIRI!U196+LEMAHBANGKULON!Q196+PADANG!Q196+SINGOJURUH!AC196+SINGOLATREN!T196+SUMBERBARU!S196</f>
        <v>1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6"/>
      <c r="C197" s="57"/>
      <c r="D197" s="62"/>
      <c r="E197" s="58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6"/>
      <c r="C198" s="57"/>
      <c r="D198" s="62"/>
      <c r="E198" s="58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SUM(E189:E198)</f>
        <v>23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ALASMALANG!V201+'BENELAN KIDUL'!S201+CANTUK!T201+GAMBOR!N201+GUMIRIH!S201+KEMIRI!U201+LEMAHBANGKULON!Q201+PADANG!Q201+SINGOJURUH!AC201+SINGOLATREN!T201+SUMBERBARU!S201</f>
        <v>363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60"/>
      <c r="E202" s="24">
        <f>ALASMALANG!V202+'BENELAN KIDUL'!S202+CANTUK!T202+GAMBOR!N202+GUMIRIH!S202+KEMIRI!U202+LEMAHBANGKULON!Q202+PADANG!Q202+SINGOJURUH!AC202+SINGOLATREN!T202+SUMBERBARU!S202</f>
        <v>480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60"/>
      <c r="E203" s="24">
        <f>ALASMALANG!V203+'BENELAN KIDUL'!S203+CANTUK!T203+GAMBOR!N203+GUMIRIH!S203+KEMIRI!U203+LEMAHBANGKULON!Q203+PADANG!Q203+SINGOJURUH!AC203+SINGOLATREN!T203+SUMBERBARU!S203</f>
        <v>139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60"/>
      <c r="E204" s="24">
        <f>ALASMALANG!V204+'BENELAN KIDUL'!S204+CANTUK!T204+GAMBOR!N204+GUMIRIH!S204+KEMIRI!U204+LEMAHBANGKULON!Q204+PADANG!Q204+SINGOJURUH!AC204+SINGOLATREN!T204+SUMBERBARU!S204</f>
        <v>50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60"/>
      <c r="E205" s="24">
        <f>ALASMALANG!V205+'BENELAN KIDUL'!S205+CANTUK!T205+GAMBOR!N205+GUMIRIH!S205+KEMIRI!U205+LEMAHBANGKULON!Q205+PADANG!Q205+SINGOJURUH!AC205+SINGOLATREN!T205+SUMBERBARU!S205</f>
        <v>87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60"/>
      <c r="E206" s="24">
        <f>ALASMALANG!V206+'BENELAN KIDUL'!S206+CANTUK!T206+GAMBOR!N206+GUMIRIH!S206+KEMIRI!U206+LEMAHBANGKULON!Q206+PADANG!Q206+SINGOJURUH!AC206+SINGOLATREN!T206+SUMBERBARU!S206</f>
        <v>25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60"/>
      <c r="E207" s="24">
        <f>ALASMALANG!V207+'BENELAN KIDUL'!S207+CANTUK!T207+GAMBOR!N207+GUMIRIH!S207+KEMIRI!U207+LEMAHBANGKULON!Q207+PADANG!Q207+SINGOJURUH!AC207+SINGOLATREN!T207+SUMBERBARU!S207</f>
        <v>7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60"/>
      <c r="E208" s="24">
        <f>ALASMALANG!V208+'BENELAN KIDUL'!S208+CANTUK!T208+GAMBOR!N208+GUMIRIH!S208+KEMIRI!U208+LEMAHBANGKULON!Q208+PADANG!Q208+SINGOJURUH!AC208+SINGOLATREN!T208+SUMBERBARU!S208</f>
        <v>31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6"/>
      <c r="C209" s="57"/>
      <c r="D209" s="62"/>
      <c r="E209" s="58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6"/>
      <c r="C210" s="57"/>
      <c r="D210" s="62"/>
      <c r="E210" s="58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SUM(E201:E210)</f>
        <v>1182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ALASMALANG!V213+'BENELAN KIDUL'!S213+CANTUK!T213+GAMBOR!N213+GUMIRIH!S213+KEMIRI!U213+LEMAHBANGKULON!Q213+PADANG!Q213+SINGOJURUH!AC213+SINGOLATREN!T213+SUMBERBARU!S213</f>
        <v>140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9"/>
      <c r="E214" s="24">
        <f>ALASMALANG!V214+'BENELAN KIDUL'!S214+CANTUK!T214+GAMBOR!N214+GUMIRIH!S214+KEMIRI!U214+LEMAHBANGKULON!Q214+PADANG!Q214+SINGOJURUH!AC214+SINGOLATREN!T214+SUMBERBARU!S214</f>
        <v>77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9"/>
      <c r="E215" s="24">
        <f>ALASMALANG!V215+'BENELAN KIDUL'!S215+CANTUK!T215+GAMBOR!N215+GUMIRIH!S215+KEMIRI!U215+LEMAHBANGKULON!Q215+PADANG!Q215+SINGOJURUH!AC215+SINGOLATREN!T215+SUMBERBARU!S215</f>
        <v>1232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9" t="s">
        <v>159</v>
      </c>
      <c r="E216" s="24">
        <f>ALASMALANG!V216+'BENELAN KIDUL'!S216+CANTUK!T216+GAMBOR!N216+GUMIRIH!S216+KEMIRI!U216+LEMAHBANGKULON!Q216+PADANG!Q216+SINGOJURUH!AC216+SINGOLATREN!T216+SUMBERBARU!S216</f>
        <v>20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9"/>
      <c r="E217" s="24">
        <f>ALASMALANG!V217+'BENELAN KIDUL'!S217+CANTUK!T217+GAMBOR!N217+GUMIRIH!S217+KEMIRI!U217+LEMAHBANGKULON!Q217+PADANG!Q217+SINGOJURUH!AC217+SINGOLATREN!T217+SUMBERBARU!S217</f>
        <v>5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9"/>
      <c r="E218" s="24">
        <f>ALASMALANG!V218+'BENELAN KIDUL'!S218+CANTUK!T218+GAMBOR!N218+GUMIRIH!S218+KEMIRI!U218+LEMAHBANGKULON!Q218+PADANG!Q218+SINGOJURUH!AC218+SINGOLATREN!T218+SUMBERBARU!S218</f>
        <v>5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9"/>
      <c r="E219" s="24">
        <f>ALASMALANG!V219+'BENELAN KIDUL'!S219+CANTUK!T219+GAMBOR!N219+GUMIRIH!S219+KEMIRI!U219+LEMAHBANGKULON!Q219+PADANG!Q219+SINGOJURUH!AC219+SINGOLATREN!T219+SUMBERBARU!S219</f>
        <v>5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9"/>
      <c r="E220" s="24">
        <f>ALASMALANG!V220+'BENELAN KIDUL'!S220+CANTUK!T220+GAMBOR!N220+GUMIRIH!S220+KEMIRI!U220+LEMAHBANGKULON!Q220+PADANG!Q220+SINGOJURUH!AC220+SINGOLATREN!T220+SUMBERBARU!S220</f>
        <v>5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6"/>
      <c r="C221" s="57"/>
      <c r="D221" s="61"/>
      <c r="E221" s="58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6"/>
      <c r="C222" s="57"/>
      <c r="D222" s="61"/>
      <c r="E222" s="58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SUM(E213:E222)</f>
        <v>1489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ALASMALANG!V225+'BENELAN KIDUL'!S225+CANTUK!T225+GAMBOR!N225+GUMIRIH!S225+KEMIRI!U225+LEMAHBANGKULON!Q225+PADANG!Q225+SINGOJURUH!AC225+SINGOLATREN!T225+SUMBERBARU!S225</f>
        <v>20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60"/>
      <c r="E226" s="24">
        <f>ALASMALANG!V226+'BENELAN KIDUL'!S226+CANTUK!T226+GAMBOR!N226+GUMIRIH!S226+KEMIRI!U226+LEMAHBANGKULON!Q226+PADANG!Q226+SINGOJURUH!AC226+SINGOLATREN!T226+SUMBERBARU!S226</f>
        <v>46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60"/>
      <c r="E227" s="24">
        <f>ALASMALANG!V227+'BENELAN KIDUL'!S227+CANTUK!T227+GAMBOR!N227+GUMIRIH!S227+KEMIRI!U227+LEMAHBANGKULON!Q227+PADANG!Q227+SINGOJURUH!AC227+SINGOLATREN!T227+SUMBERBARU!S227</f>
        <v>5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60"/>
      <c r="E228" s="24">
        <f>ALASMALANG!V228+'BENELAN KIDUL'!S228+CANTUK!T228+GAMBOR!N228+GUMIRIH!S228+KEMIRI!U228+LEMAHBANGKULON!Q228+PADANG!Q228+SINGOJURUH!AC228+SINGOLATREN!T228+SUMBERBARU!S228</f>
        <v>6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60"/>
      <c r="E229" s="24">
        <f>ALASMALANG!V229+'BENELAN KIDUL'!S229+CANTUK!T229+GAMBOR!N229+GUMIRIH!S229+KEMIRI!U229+LEMAHBANGKULON!Q229+PADANG!Q229+SINGOJURUH!AC229+SINGOLATREN!T229+SUMBERBARU!S229</f>
        <v>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60"/>
      <c r="E230" s="24">
        <f>ALASMALANG!V230+'BENELAN KIDUL'!S230+CANTUK!T230+GAMBOR!N230+GUMIRIH!S230+KEMIRI!U230+LEMAHBANGKULON!Q230+PADANG!Q230+SINGOJURUH!AC230+SINGOLATREN!T230+SUMBERBARU!S230</f>
        <v>1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60"/>
      <c r="E231" s="24">
        <f>ALASMALANG!V231+'BENELAN KIDUL'!S231+CANTUK!T231+GAMBOR!N231+GUMIRIH!S231+KEMIRI!U231+LEMAHBANGKULON!Q231+PADANG!Q231+SINGOJURUH!AC231+SINGOLATREN!T231+SUMBERBARU!S231</f>
        <v>0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60"/>
      <c r="E232" s="24">
        <f>ALASMALANG!V232+'BENELAN KIDUL'!S232+CANTUK!T232+GAMBOR!N232+GUMIRIH!S232+KEMIRI!U232+LEMAHBANGKULON!Q232+PADANG!Q232+SINGOJURUH!AC232+SINGOLATREN!T232+SUMBERBARU!S232</f>
        <v>9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6"/>
      <c r="C233" s="57"/>
      <c r="D233" s="62"/>
      <c r="E233" s="58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6"/>
      <c r="C234" s="57"/>
      <c r="D234" s="62"/>
      <c r="E234" s="58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SUM(E225:E234)</f>
        <v>87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ALASMALANG!V237+'BENELAN KIDUL'!S237+CANTUK!T237+GAMBOR!N237+GUMIRIH!S237+KEMIRI!U237+LEMAHBANGKULON!Q237+PADANG!Q237+SINGOJURUH!AC237+SINGOLATREN!T237+SUMBERBARU!S237</f>
        <v>175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60"/>
      <c r="E238" s="24">
        <f>ALASMALANG!V238+'BENELAN KIDUL'!S238+CANTUK!T238+GAMBOR!N238+GUMIRIH!S238+KEMIRI!U238+LEMAHBANGKULON!Q238+PADANG!Q238+SINGOJURUH!AC238+SINGOLATREN!T238+SUMBERBARU!S238</f>
        <v>152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60"/>
      <c r="E239" s="24">
        <f>ALASMALANG!V239+'BENELAN KIDUL'!S239+CANTUK!T239+GAMBOR!N239+GUMIRIH!S239+KEMIRI!U239+LEMAHBANGKULON!Q239+PADANG!Q239+SINGOJURUH!AC239+SINGOLATREN!T239+SUMBERBARU!S239</f>
        <v>177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60"/>
      <c r="E240" s="24">
        <f>ALASMALANG!V240+'BENELAN KIDUL'!S240+CANTUK!T240+GAMBOR!N240+GUMIRIH!S240+KEMIRI!U240+LEMAHBANGKULON!Q240+PADANG!Q240+SINGOJURUH!AC240+SINGOLATREN!T240+SUMBERBARU!S240</f>
        <v>33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60"/>
      <c r="E241" s="24">
        <f>ALASMALANG!V241+'BENELAN KIDUL'!S241+CANTUK!T241+GAMBOR!N241+GUMIRIH!S241+KEMIRI!U241+LEMAHBANGKULON!Q241+PADANG!Q241+SINGOJURUH!AC241+SINGOLATREN!T241+SUMBERBARU!S241</f>
        <v>24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60"/>
      <c r="E242" s="24">
        <f>ALASMALANG!V242+'BENELAN KIDUL'!S242+CANTUK!T242+GAMBOR!N242+GUMIRIH!S242+KEMIRI!U242+LEMAHBANGKULON!Q242+PADANG!Q242+SINGOJURUH!AC242+SINGOLATREN!T242+SUMBERBARU!S242</f>
        <v>4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60"/>
      <c r="E243" s="24">
        <f>ALASMALANG!V243+'BENELAN KIDUL'!S243+CANTUK!T243+GAMBOR!N243+GUMIRIH!S243+KEMIRI!U243+LEMAHBANGKULON!Q243+PADANG!Q243+SINGOJURUH!AC243+SINGOLATREN!T243+SUMBERBARU!S243</f>
        <v>27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60"/>
      <c r="E244" s="24">
        <f>ALASMALANG!V244+'BENELAN KIDUL'!S244+CANTUK!T244+GAMBOR!N244+GUMIRIH!S244+KEMIRI!U244+LEMAHBANGKULON!Q244+PADANG!Q244+SINGOJURUH!AC244+SINGOLATREN!T244+SUMBERBARU!S244</f>
        <v>318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6"/>
      <c r="C245" s="57"/>
      <c r="D245" s="62"/>
      <c r="E245" s="58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6"/>
      <c r="C246" s="57"/>
      <c r="D246" s="62"/>
      <c r="E246" s="58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SUM(E237:E246)</f>
        <v>910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ALASMALANG!V249+'BENELAN KIDUL'!S249+CANTUK!T249+GAMBOR!N249+GUMIRIH!S249+KEMIRI!U249+LEMAHBANGKULON!Q249+PADANG!Q249+SINGOJURUH!AC249+SINGOLATREN!T249+SUMBERBARU!S249</f>
        <v>23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66" t="s">
        <v>184</v>
      </c>
      <c r="D250" s="60"/>
      <c r="E250" s="24">
        <f>ALASMALANG!V250+'BENELAN KIDUL'!S250+CANTUK!T250+GAMBOR!N250+GUMIRIH!S250+KEMIRI!U250+LEMAHBANGKULON!Q250+PADANG!Q250+SINGOJURUH!AC250+SINGOLATREN!T250+SUMBERBARU!S250</f>
        <v>8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66" t="s">
        <v>185</v>
      </c>
      <c r="D251" s="60"/>
      <c r="E251" s="24">
        <f>ALASMALANG!V251+'BENELAN KIDUL'!S251+CANTUK!T251+GAMBOR!N251+GUMIRIH!S251+KEMIRI!U251+LEMAHBANGKULON!Q251+PADANG!Q251+SINGOJURUH!AC251+SINGOLATREN!T251+SUMBERBARU!S251</f>
        <v>68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66" t="s">
        <v>186</v>
      </c>
      <c r="D252" s="60"/>
      <c r="E252" s="24">
        <f>ALASMALANG!V252+'BENELAN KIDUL'!S252+CANTUK!T252+GAMBOR!N252+GUMIRIH!S252+KEMIRI!U252+LEMAHBANGKULON!Q252+PADANG!Q252+SINGOJURUH!AC252+SINGOLATREN!T252+SUMBERBARU!S252</f>
        <v>2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66" t="s">
        <v>187</v>
      </c>
      <c r="D253" s="60"/>
      <c r="E253" s="24">
        <f>ALASMALANG!V253+'BENELAN KIDUL'!S253+CANTUK!T253+GAMBOR!N253+GUMIRIH!S253+KEMIRI!U253+LEMAHBANGKULON!Q253+PADANG!Q253+SINGOJURUH!AC253+SINGOLATREN!T253+SUMBERBARU!S253</f>
        <v>4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66" t="s">
        <v>188</v>
      </c>
      <c r="D254" s="60"/>
      <c r="E254" s="24">
        <f>ALASMALANG!V254+'BENELAN KIDUL'!S254+CANTUK!T254+GAMBOR!N254+GUMIRIH!S254+KEMIRI!U254+LEMAHBANGKULON!Q254+PADANG!Q254+SINGOJURUH!AC254+SINGOLATREN!T254+SUMBERBARU!S254</f>
        <v>3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66" t="s">
        <v>189</v>
      </c>
      <c r="D255" s="60"/>
      <c r="E255" s="24">
        <f>ALASMALANG!V255+'BENELAN KIDUL'!S255+CANTUK!T255+GAMBOR!N255+GUMIRIH!S255+KEMIRI!U255+LEMAHBANGKULON!Q255+PADANG!Q255+SINGOJURUH!AC255+SINGOLATREN!T255+SUMBERBARU!S255</f>
        <v>4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6"/>
      <c r="C256" s="67"/>
      <c r="D256" s="62"/>
      <c r="E256" s="58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6"/>
      <c r="C257" s="67"/>
      <c r="D257" s="62"/>
      <c r="E257" s="58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6"/>
      <c r="C258" s="67"/>
      <c r="D258" s="62"/>
      <c r="E258" s="58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SUM(E249:E258)</f>
        <v>112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70" t="s">
        <v>192</v>
      </c>
      <c r="C262" s="71" t="s">
        <v>193</v>
      </c>
      <c r="D262" s="16"/>
      <c r="E262" s="24">
        <f>ALASMALANG!V262+'BENELAN KIDUL'!S262+CANTUK!T262+GAMBOR!N262+GUMIRIH!S262+KEMIRI!U262+LEMAHBANGKULON!Q262+PADANG!Q262+SINGOJURUH!AC262+SINGOLATREN!T262+SUMBERBARU!S262</f>
        <v>24754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70" t="s">
        <v>194</v>
      </c>
      <c r="C263" s="71" t="s">
        <v>195</v>
      </c>
      <c r="D263" s="16"/>
      <c r="E263" s="24">
        <f>ALASMALANG!V263+'BENELAN KIDUL'!S263+CANTUK!T263+GAMBOR!N263+GUMIRIH!S263+KEMIRI!U263+LEMAHBANGKULON!Q263+PADANG!Q263+SINGOJURUH!AC263+SINGOLATREN!T263+SUMBERBARU!S263</f>
        <v>3473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70" t="s">
        <v>196</v>
      </c>
      <c r="C264" s="71" t="s">
        <v>197</v>
      </c>
      <c r="D264" s="16"/>
      <c r="E264" s="13">
        <f>SUM(E262:E263)</f>
        <v>28227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2"/>
      <c r="C265" s="7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2"/>
      <c r="C266" s="7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2"/>
      <c r="C267" s="7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2"/>
      <c r="C268" s="7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2"/>
      <c r="C269" s="7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2"/>
      <c r="C270" s="7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2"/>
      <c r="C271" s="7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2"/>
      <c r="C272" s="7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2"/>
      <c r="C273" s="7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2"/>
      <c r="C274" s="7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2"/>
      <c r="C275" s="7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2"/>
      <c r="C276" s="7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2"/>
      <c r="C277" s="7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2"/>
      <c r="C278" s="7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2"/>
      <c r="C279" s="7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2"/>
      <c r="C280" s="7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2"/>
      <c r="C281" s="7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2"/>
      <c r="C282" s="7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2"/>
      <c r="C283" s="7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2"/>
      <c r="C284" s="7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2"/>
      <c r="C285" s="7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2"/>
      <c r="C286" s="7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2"/>
      <c r="C287" s="7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2"/>
      <c r="C288" s="7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2"/>
      <c r="C289" s="7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2"/>
      <c r="C290" s="7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2"/>
      <c r="C291" s="7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2"/>
      <c r="C292" s="7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2"/>
      <c r="C293" s="7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2"/>
      <c r="C294" s="7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2"/>
      <c r="C295" s="7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2"/>
      <c r="C296" s="7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2"/>
      <c r="C297" s="7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2"/>
      <c r="C298" s="7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2"/>
      <c r="C299" s="7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2"/>
      <c r="C300" s="7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2"/>
      <c r="C301" s="7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2"/>
      <c r="C302" s="7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2"/>
      <c r="C303" s="7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2"/>
      <c r="C304" s="7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2"/>
      <c r="C305" s="7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2"/>
      <c r="C306" s="7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2"/>
      <c r="C307" s="7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2"/>
      <c r="C308" s="7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2"/>
      <c r="C309" s="7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2"/>
      <c r="C310" s="7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2"/>
      <c r="C311" s="7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2"/>
      <c r="C312" s="7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2"/>
      <c r="C313" s="7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2"/>
      <c r="C314" s="7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2"/>
      <c r="C315" s="7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2"/>
      <c r="C316" s="7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2"/>
      <c r="C317" s="7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2"/>
      <c r="C318" s="7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2"/>
      <c r="C319" s="7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2"/>
      <c r="C320" s="7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2"/>
      <c r="C321" s="7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2"/>
      <c r="C322" s="7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2"/>
      <c r="C323" s="7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2"/>
      <c r="C324" s="7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2"/>
      <c r="C325" s="7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2"/>
      <c r="C326" s="7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2"/>
      <c r="C327" s="7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2"/>
      <c r="C328" s="7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2"/>
      <c r="C329" s="7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2"/>
      <c r="C330" s="7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2"/>
      <c r="C331" s="7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2"/>
      <c r="C332" s="7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2"/>
      <c r="C333" s="7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2"/>
      <c r="C334" s="7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2"/>
      <c r="C335" s="7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2"/>
      <c r="C336" s="7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2"/>
      <c r="C337" s="7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2"/>
      <c r="C338" s="7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2"/>
      <c r="C339" s="7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2"/>
      <c r="C340" s="7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2"/>
      <c r="C341" s="7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2"/>
      <c r="C342" s="7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2"/>
      <c r="C343" s="7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2"/>
      <c r="C344" s="7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2"/>
      <c r="C345" s="7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2"/>
      <c r="C346" s="7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2"/>
      <c r="C347" s="7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2"/>
      <c r="C348" s="7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2"/>
      <c r="C349" s="7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2"/>
      <c r="C350" s="7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2"/>
      <c r="C351" s="7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2"/>
      <c r="C352" s="7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2"/>
      <c r="C353" s="7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2"/>
      <c r="C354" s="7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2"/>
      <c r="C355" s="7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2"/>
      <c r="C356" s="7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2"/>
      <c r="C357" s="7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2"/>
      <c r="C358" s="7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2"/>
      <c r="C359" s="7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2"/>
      <c r="C360" s="7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2"/>
      <c r="C361" s="7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2"/>
      <c r="C362" s="7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2"/>
      <c r="C363" s="7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2"/>
      <c r="C364" s="7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2"/>
      <c r="C365" s="7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2"/>
      <c r="C366" s="7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2"/>
      <c r="C367" s="7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2"/>
      <c r="C368" s="7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2"/>
      <c r="C369" s="7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2"/>
      <c r="C370" s="7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2"/>
      <c r="C371" s="7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2"/>
      <c r="C372" s="7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2"/>
      <c r="C373" s="7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2"/>
      <c r="C374" s="7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2"/>
      <c r="C375" s="7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2"/>
      <c r="C376" s="7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2"/>
      <c r="C377" s="7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2"/>
      <c r="C378" s="7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2"/>
      <c r="C379" s="7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2"/>
      <c r="C380" s="7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2"/>
      <c r="C381" s="7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2"/>
      <c r="C382" s="7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2"/>
      <c r="C383" s="7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2"/>
      <c r="C384" s="7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2"/>
      <c r="C385" s="7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2"/>
      <c r="C386" s="7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2"/>
      <c r="C387" s="7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2"/>
      <c r="C388" s="7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2"/>
      <c r="C389" s="7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2"/>
      <c r="C390" s="7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2"/>
      <c r="C391" s="7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2"/>
      <c r="C392" s="7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2"/>
      <c r="C393" s="7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2"/>
      <c r="C394" s="7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2"/>
      <c r="C395" s="7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2"/>
      <c r="C396" s="7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2"/>
      <c r="C397" s="7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2"/>
      <c r="C398" s="7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2"/>
      <c r="C399" s="7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2"/>
      <c r="C400" s="7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2"/>
      <c r="C401" s="7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2"/>
      <c r="C402" s="7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2"/>
      <c r="C403" s="7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2"/>
      <c r="C404" s="7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2"/>
      <c r="C405" s="7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2"/>
      <c r="C406" s="7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2"/>
      <c r="C407" s="7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2"/>
      <c r="C408" s="7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2"/>
      <c r="C409" s="7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2"/>
      <c r="C410" s="7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2"/>
      <c r="C411" s="7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2"/>
      <c r="C412" s="7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2"/>
      <c r="C413" s="7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2"/>
      <c r="C414" s="7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2"/>
      <c r="C415" s="7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2"/>
      <c r="C416" s="7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2"/>
      <c r="C417" s="7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2"/>
      <c r="C418" s="7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2"/>
      <c r="C419" s="7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2"/>
      <c r="C420" s="7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2"/>
      <c r="C421" s="7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2"/>
      <c r="C422" s="7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2"/>
      <c r="C423" s="7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2"/>
      <c r="C424" s="7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2"/>
      <c r="C425" s="7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2"/>
      <c r="C426" s="7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2"/>
      <c r="C427" s="7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2"/>
      <c r="C428" s="7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2"/>
      <c r="C429" s="7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2"/>
      <c r="C430" s="7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2"/>
      <c r="C431" s="7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2"/>
      <c r="C432" s="7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2"/>
      <c r="C433" s="7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2"/>
      <c r="C434" s="7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2"/>
      <c r="C435" s="7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2"/>
      <c r="C436" s="7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2"/>
      <c r="C437" s="7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2"/>
      <c r="C438" s="7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2"/>
      <c r="C439" s="7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2"/>
      <c r="C440" s="7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2"/>
      <c r="C441" s="7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2"/>
      <c r="C442" s="7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2"/>
      <c r="C443" s="7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2"/>
      <c r="C444" s="7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2"/>
      <c r="C445" s="7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2"/>
      <c r="C446" s="7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2"/>
      <c r="C447" s="7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2"/>
      <c r="C448" s="7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2"/>
      <c r="C449" s="7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2"/>
      <c r="C450" s="7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2"/>
      <c r="C451" s="7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2"/>
      <c r="C452" s="7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2"/>
      <c r="C453" s="7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2"/>
      <c r="C454" s="7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2"/>
      <c r="C455" s="7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2"/>
      <c r="C456" s="7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2"/>
      <c r="C457" s="7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2"/>
      <c r="C458" s="7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2"/>
      <c r="C459" s="7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2"/>
      <c r="C460" s="7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2"/>
      <c r="C461" s="7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2"/>
      <c r="C462" s="73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2"/>
      <c r="C463" s="73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2"/>
      <c r="C464" s="73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55">
    <cfRule type="containsBlanks" dxfId="1" priority="3">
      <formula>LEN(TRIM(E55))=0</formula>
    </cfRule>
  </conditionalFormatting>
  <conditionalFormatting sqref="E67">
    <cfRule type="containsBlanks" dxfId="1" priority="4">
      <formula>LEN(TRIM(E67))=0</formula>
    </cfRule>
  </conditionalFormatting>
  <conditionalFormatting sqref="E79">
    <cfRule type="containsBlanks" dxfId="1" priority="5">
      <formula>LEN(TRIM(E79))=0</formula>
    </cfRule>
  </conditionalFormatting>
  <conditionalFormatting sqref="E91">
    <cfRule type="containsBlanks" dxfId="1" priority="6">
      <formula>LEN(TRIM(E91))=0</formula>
    </cfRule>
  </conditionalFormatting>
  <conditionalFormatting sqref="E103">
    <cfRule type="containsBlanks" dxfId="1" priority="7">
      <formula>LEN(TRIM(E103))=0</formula>
    </cfRule>
  </conditionalFormatting>
  <conditionalFormatting sqref="E115">
    <cfRule type="containsBlanks" dxfId="1" priority="8">
      <formula>LEN(TRIM(E115))=0</formula>
    </cfRule>
  </conditionalFormatting>
  <conditionalFormatting sqref="E127">
    <cfRule type="containsBlanks" dxfId="1" priority="9">
      <formula>LEN(TRIM(E127))=0</formula>
    </cfRule>
  </conditionalFormatting>
  <conditionalFormatting sqref="E139">
    <cfRule type="containsBlanks" dxfId="1" priority="10">
      <formula>LEN(TRIM(E139))=0</formula>
    </cfRule>
  </conditionalFormatting>
  <conditionalFormatting sqref="E151">
    <cfRule type="containsBlanks" dxfId="1" priority="11">
      <formula>LEN(TRIM(E151))=0</formula>
    </cfRule>
  </conditionalFormatting>
  <conditionalFormatting sqref="E163">
    <cfRule type="containsBlanks" dxfId="1" priority="12">
      <formula>LEN(TRIM(E163))=0</formula>
    </cfRule>
  </conditionalFormatting>
  <conditionalFormatting sqref="E175">
    <cfRule type="containsBlanks" dxfId="1" priority="13">
      <formula>LEN(TRIM(E175))=0</formula>
    </cfRule>
  </conditionalFormatting>
  <conditionalFormatting sqref="E187">
    <cfRule type="containsBlanks" dxfId="1" priority="14">
      <formula>LEN(TRIM(E187))=0</formula>
    </cfRule>
  </conditionalFormatting>
  <conditionalFormatting sqref="E199">
    <cfRule type="containsBlanks" dxfId="1" priority="15">
      <formula>LEN(TRIM(E199))=0</formula>
    </cfRule>
  </conditionalFormatting>
  <conditionalFormatting sqref="E211">
    <cfRule type="containsBlanks" dxfId="1" priority="16">
      <formula>LEN(TRIM(E211))=0</formula>
    </cfRule>
  </conditionalFormatting>
  <conditionalFormatting sqref="E223">
    <cfRule type="containsBlanks" dxfId="1" priority="17">
      <formula>LEN(TRIM(E223))=0</formula>
    </cfRule>
  </conditionalFormatting>
  <conditionalFormatting sqref="E235">
    <cfRule type="containsBlanks" dxfId="1" priority="18">
      <formula>LEN(TRIM(E235))=0</formula>
    </cfRule>
  </conditionalFormatting>
  <conditionalFormatting sqref="E247">
    <cfRule type="containsBlanks" dxfId="1" priority="19">
      <formula>LEN(TRIM(E247))=0</formula>
    </cfRule>
  </conditionalFormatting>
  <conditionalFormatting sqref="E259">
    <cfRule type="containsBlanks" dxfId="1" priority="20">
      <formula>LEN(TRIM(E259))=0</formula>
    </cfRule>
  </conditionalFormatting>
  <conditionalFormatting sqref="F259:O261">
    <cfRule type="cellIs" dxfId="0" priority="21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1" width="8.71"/>
    <col customWidth="1" min="22" max="22" width="13.29"/>
    <col customWidth="1" min="23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1"/>
      <c r="T11" s="1"/>
      <c r="U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110.0</v>
      </c>
      <c r="G14" s="19">
        <v>95.0</v>
      </c>
      <c r="H14" s="19">
        <v>116.0</v>
      </c>
      <c r="I14" s="19">
        <v>101.0</v>
      </c>
      <c r="J14" s="19">
        <v>88.0</v>
      </c>
      <c r="K14" s="19">
        <v>79.0</v>
      </c>
      <c r="L14" s="19">
        <v>121.0</v>
      </c>
      <c r="M14" s="19">
        <v>101.0</v>
      </c>
      <c r="N14" s="19">
        <v>107.0</v>
      </c>
      <c r="O14" s="19">
        <v>99.0</v>
      </c>
      <c r="P14" s="19">
        <v>103.0</v>
      </c>
      <c r="Q14" s="19">
        <v>128.0</v>
      </c>
      <c r="R14" s="19">
        <v>83.0</v>
      </c>
      <c r="S14" s="19">
        <v>104.0</v>
      </c>
      <c r="T14" s="19">
        <v>93.0</v>
      </c>
      <c r="U14" s="19">
        <v>127.0</v>
      </c>
      <c r="V14" s="13">
        <f t="shared" ref="V14:V16" si="1">SUM(E14:U14)</f>
        <v>1779</v>
      </c>
    </row>
    <row r="15" ht="12.75" customHeight="1">
      <c r="A15" s="18"/>
      <c r="B15" s="26"/>
      <c r="C15" s="27"/>
      <c r="D15" s="19" t="s">
        <v>13</v>
      </c>
      <c r="E15" s="19">
        <v>128.0</v>
      </c>
      <c r="F15" s="19">
        <v>102.0</v>
      </c>
      <c r="G15" s="19">
        <v>92.0</v>
      </c>
      <c r="H15" s="19">
        <v>125.0</v>
      </c>
      <c r="I15" s="19">
        <v>117.0</v>
      </c>
      <c r="J15" s="19">
        <v>94.0</v>
      </c>
      <c r="K15" s="19">
        <v>93.0</v>
      </c>
      <c r="L15" s="19">
        <v>124.0</v>
      </c>
      <c r="M15" s="19">
        <v>94.0</v>
      </c>
      <c r="N15" s="19">
        <v>117.0</v>
      </c>
      <c r="O15" s="19">
        <v>90.0</v>
      </c>
      <c r="P15" s="19">
        <v>108.0</v>
      </c>
      <c r="Q15" s="19">
        <v>126.0</v>
      </c>
      <c r="R15" s="19">
        <v>85.0</v>
      </c>
      <c r="S15" s="19">
        <v>113.0</v>
      </c>
      <c r="T15" s="19">
        <v>113.0</v>
      </c>
      <c r="U15" s="19">
        <v>110.0</v>
      </c>
      <c r="V15" s="13">
        <f t="shared" si="1"/>
        <v>1831</v>
      </c>
    </row>
    <row r="16" ht="12.75" customHeight="1">
      <c r="A16" s="25"/>
      <c r="B16" s="21"/>
      <c r="C16" s="28"/>
      <c r="D16" s="13" t="s">
        <v>14</v>
      </c>
      <c r="E16" s="13">
        <f t="shared" ref="E16:U16" si="2">SUM(E14:E15)</f>
        <v>252</v>
      </c>
      <c r="F16" s="13">
        <f t="shared" si="2"/>
        <v>212</v>
      </c>
      <c r="G16" s="13">
        <f t="shared" si="2"/>
        <v>187</v>
      </c>
      <c r="H16" s="13">
        <f t="shared" si="2"/>
        <v>241</v>
      </c>
      <c r="I16" s="13">
        <f t="shared" si="2"/>
        <v>218</v>
      </c>
      <c r="J16" s="13">
        <f t="shared" si="2"/>
        <v>182</v>
      </c>
      <c r="K16" s="13">
        <f t="shared" si="2"/>
        <v>172</v>
      </c>
      <c r="L16" s="13">
        <f t="shared" si="2"/>
        <v>245</v>
      </c>
      <c r="M16" s="13">
        <f t="shared" si="2"/>
        <v>195</v>
      </c>
      <c r="N16" s="13">
        <f t="shared" si="2"/>
        <v>224</v>
      </c>
      <c r="O16" s="13">
        <f t="shared" si="2"/>
        <v>189</v>
      </c>
      <c r="P16" s="13">
        <f t="shared" si="2"/>
        <v>211</v>
      </c>
      <c r="Q16" s="13">
        <f t="shared" si="2"/>
        <v>254</v>
      </c>
      <c r="R16" s="13">
        <f t="shared" si="2"/>
        <v>168</v>
      </c>
      <c r="S16" s="13">
        <f t="shared" si="2"/>
        <v>217</v>
      </c>
      <c r="T16" s="13">
        <f t="shared" si="2"/>
        <v>206</v>
      </c>
      <c r="U16" s="13">
        <f t="shared" si="2"/>
        <v>237</v>
      </c>
      <c r="V16" s="13">
        <f t="shared" si="1"/>
        <v>3610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19"/>
      <c r="P17" s="19"/>
      <c r="Q17" s="19"/>
      <c r="R17" s="19"/>
      <c r="S17" s="19"/>
      <c r="T17" s="19"/>
      <c r="U17" s="19"/>
      <c r="V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19"/>
      <c r="P18" s="19"/>
      <c r="Q18" s="19"/>
      <c r="R18" s="19"/>
      <c r="S18" s="19"/>
      <c r="T18" s="19"/>
      <c r="U18" s="19"/>
      <c r="V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114.0</v>
      </c>
      <c r="F19" s="19">
        <v>90.0</v>
      </c>
      <c r="G19" s="19">
        <v>71.0</v>
      </c>
      <c r="H19" s="19">
        <v>89.0</v>
      </c>
      <c r="I19" s="19">
        <v>80.0</v>
      </c>
      <c r="J19" s="19">
        <v>65.0</v>
      </c>
      <c r="K19" s="19">
        <v>63.0</v>
      </c>
      <c r="L19" s="19">
        <v>92.0</v>
      </c>
      <c r="M19" s="19">
        <v>82.0</v>
      </c>
      <c r="N19" s="19">
        <v>86.0</v>
      </c>
      <c r="O19" s="19">
        <v>81.0</v>
      </c>
      <c r="P19" s="19">
        <v>83.0</v>
      </c>
      <c r="Q19" s="19">
        <v>81.0</v>
      </c>
      <c r="R19" s="19">
        <v>66.0</v>
      </c>
      <c r="S19" s="19">
        <v>81.0</v>
      </c>
      <c r="T19" s="19">
        <v>82.0</v>
      </c>
      <c r="U19" s="19">
        <v>107.0</v>
      </c>
      <c r="V19" s="13">
        <f t="shared" ref="V19:V30" si="3">SUM(E19:U19)</f>
        <v>1413</v>
      </c>
    </row>
    <row r="20" ht="12.75" customHeight="1">
      <c r="A20" s="33"/>
      <c r="B20" s="27"/>
      <c r="C20" s="34"/>
      <c r="D20" s="19" t="s">
        <v>13</v>
      </c>
      <c r="E20" s="19">
        <v>94.0</v>
      </c>
      <c r="F20" s="19">
        <v>90.0</v>
      </c>
      <c r="G20" s="19">
        <v>81.0</v>
      </c>
      <c r="H20" s="19">
        <v>95.0</v>
      </c>
      <c r="I20" s="19">
        <v>102.0</v>
      </c>
      <c r="J20" s="19">
        <v>77.0</v>
      </c>
      <c r="K20" s="19">
        <v>74.0</v>
      </c>
      <c r="L20" s="19">
        <v>100.0</v>
      </c>
      <c r="M20" s="19">
        <v>79.0</v>
      </c>
      <c r="N20" s="19">
        <v>95.0</v>
      </c>
      <c r="O20" s="19">
        <v>74.0</v>
      </c>
      <c r="P20" s="19">
        <v>86.0</v>
      </c>
      <c r="Q20" s="19">
        <v>96.0</v>
      </c>
      <c r="R20" s="19">
        <v>74.0</v>
      </c>
      <c r="S20" s="19">
        <v>95.0</v>
      </c>
      <c r="T20" s="19">
        <v>102.0</v>
      </c>
      <c r="U20" s="19">
        <v>104.0</v>
      </c>
      <c r="V20" s="13">
        <f t="shared" si="3"/>
        <v>1518</v>
      </c>
    </row>
    <row r="21" ht="12.75" customHeight="1">
      <c r="A21" s="35"/>
      <c r="B21" s="28"/>
      <c r="C21" s="36"/>
      <c r="D21" s="13" t="s">
        <v>14</v>
      </c>
      <c r="E21" s="13">
        <f t="shared" ref="E21:U21" si="4">SUM(E19:E20)</f>
        <v>208</v>
      </c>
      <c r="F21" s="13">
        <f t="shared" si="4"/>
        <v>180</v>
      </c>
      <c r="G21" s="13">
        <f t="shared" si="4"/>
        <v>152</v>
      </c>
      <c r="H21" s="13">
        <f t="shared" si="4"/>
        <v>184</v>
      </c>
      <c r="I21" s="13">
        <f t="shared" si="4"/>
        <v>182</v>
      </c>
      <c r="J21" s="13">
        <f t="shared" si="4"/>
        <v>142</v>
      </c>
      <c r="K21" s="13">
        <f t="shared" si="4"/>
        <v>137</v>
      </c>
      <c r="L21" s="13">
        <f t="shared" si="4"/>
        <v>192</v>
      </c>
      <c r="M21" s="13">
        <f t="shared" si="4"/>
        <v>161</v>
      </c>
      <c r="N21" s="13">
        <f t="shared" si="4"/>
        <v>181</v>
      </c>
      <c r="O21" s="13">
        <f t="shared" si="4"/>
        <v>155</v>
      </c>
      <c r="P21" s="13">
        <f t="shared" si="4"/>
        <v>169</v>
      </c>
      <c r="Q21" s="13">
        <f t="shared" si="4"/>
        <v>177</v>
      </c>
      <c r="R21" s="13">
        <f t="shared" si="4"/>
        <v>140</v>
      </c>
      <c r="S21" s="13">
        <f t="shared" si="4"/>
        <v>176</v>
      </c>
      <c r="T21" s="13">
        <f t="shared" si="4"/>
        <v>184</v>
      </c>
      <c r="U21" s="13">
        <f t="shared" si="4"/>
        <v>211</v>
      </c>
      <c r="V21" s="13">
        <f t="shared" si="3"/>
        <v>2931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>
        <v>1.0</v>
      </c>
      <c r="V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U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1</v>
      </c>
      <c r="V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5.0</v>
      </c>
      <c r="F25" s="19">
        <v>6.0</v>
      </c>
      <c r="G25" s="19">
        <v>1.0</v>
      </c>
      <c r="H25" s="19">
        <v>0.0</v>
      </c>
      <c r="I25" s="19">
        <v>0.0</v>
      </c>
      <c r="J25" s="19">
        <v>1.0</v>
      </c>
      <c r="K25" s="19">
        <v>0.0</v>
      </c>
      <c r="L25" s="19">
        <v>1.0</v>
      </c>
      <c r="M25" s="19">
        <v>0.0</v>
      </c>
      <c r="N25" s="19">
        <v>4.0</v>
      </c>
      <c r="O25" s="19">
        <v>1.0</v>
      </c>
      <c r="P25" s="19">
        <v>2.0</v>
      </c>
      <c r="Q25" s="19">
        <v>3.0</v>
      </c>
      <c r="R25" s="19">
        <v>0.0</v>
      </c>
      <c r="S25" s="19">
        <v>3.0</v>
      </c>
      <c r="T25" s="19">
        <v>2.0</v>
      </c>
      <c r="U25" s="19"/>
      <c r="V25" s="13">
        <f t="shared" si="3"/>
        <v>29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6.0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0.0</v>
      </c>
      <c r="N26" s="19">
        <v>1.0</v>
      </c>
      <c r="O26" s="19">
        <v>1.0</v>
      </c>
      <c r="P26" s="19">
        <v>1.0</v>
      </c>
      <c r="Q26" s="19">
        <v>1.0</v>
      </c>
      <c r="R26" s="19">
        <v>1.0</v>
      </c>
      <c r="S26" s="19">
        <v>1.0</v>
      </c>
      <c r="T26" s="19">
        <v>3.0</v>
      </c>
      <c r="U26" s="19"/>
      <c r="V26" s="13">
        <f t="shared" si="3"/>
        <v>24</v>
      </c>
    </row>
    <row r="27" ht="12.75" customHeight="1">
      <c r="A27" s="35"/>
      <c r="B27" s="28"/>
      <c r="C27" s="36"/>
      <c r="D27" s="13" t="s">
        <v>14</v>
      </c>
      <c r="E27" s="13">
        <f t="shared" ref="E27:U27" si="6">SUM(E25:E26)</f>
        <v>8</v>
      </c>
      <c r="F27" s="13">
        <f t="shared" si="6"/>
        <v>12</v>
      </c>
      <c r="G27" s="13">
        <f t="shared" si="6"/>
        <v>3</v>
      </c>
      <c r="H27" s="13">
        <f t="shared" si="6"/>
        <v>0</v>
      </c>
      <c r="I27" s="13">
        <f t="shared" si="6"/>
        <v>0</v>
      </c>
      <c r="J27" s="13">
        <f t="shared" si="6"/>
        <v>3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5</v>
      </c>
      <c r="O27" s="13">
        <f t="shared" si="6"/>
        <v>2</v>
      </c>
      <c r="P27" s="13">
        <f t="shared" si="6"/>
        <v>3</v>
      </c>
      <c r="Q27" s="13">
        <f t="shared" si="6"/>
        <v>4</v>
      </c>
      <c r="R27" s="13">
        <f t="shared" si="6"/>
        <v>1</v>
      </c>
      <c r="S27" s="13">
        <f t="shared" si="6"/>
        <v>4</v>
      </c>
      <c r="T27" s="13">
        <f t="shared" si="6"/>
        <v>5</v>
      </c>
      <c r="U27" s="13">
        <f t="shared" si="6"/>
        <v>0</v>
      </c>
      <c r="V27" s="13">
        <f t="shared" si="3"/>
        <v>53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U28" si="7">SUM(E19,E22,E25)</f>
        <v>119</v>
      </c>
      <c r="F28" s="13">
        <f t="shared" si="7"/>
        <v>96</v>
      </c>
      <c r="G28" s="13">
        <f t="shared" si="7"/>
        <v>72</v>
      </c>
      <c r="H28" s="13">
        <f t="shared" si="7"/>
        <v>89</v>
      </c>
      <c r="I28" s="13">
        <f t="shared" si="7"/>
        <v>80</v>
      </c>
      <c r="J28" s="13">
        <f t="shared" si="7"/>
        <v>66</v>
      </c>
      <c r="K28" s="13">
        <f t="shared" si="7"/>
        <v>63</v>
      </c>
      <c r="L28" s="13">
        <f t="shared" si="7"/>
        <v>93</v>
      </c>
      <c r="M28" s="13">
        <f t="shared" si="7"/>
        <v>82</v>
      </c>
      <c r="N28" s="13">
        <f t="shared" si="7"/>
        <v>90</v>
      </c>
      <c r="O28" s="13">
        <f t="shared" si="7"/>
        <v>82</v>
      </c>
      <c r="P28" s="13">
        <f t="shared" si="7"/>
        <v>85</v>
      </c>
      <c r="Q28" s="13">
        <f t="shared" si="7"/>
        <v>84</v>
      </c>
      <c r="R28" s="13">
        <f t="shared" si="7"/>
        <v>66</v>
      </c>
      <c r="S28" s="13">
        <f t="shared" si="7"/>
        <v>84</v>
      </c>
      <c r="T28" s="13">
        <f t="shared" si="7"/>
        <v>84</v>
      </c>
      <c r="U28" s="13">
        <f t="shared" si="7"/>
        <v>107</v>
      </c>
      <c r="V28" s="13">
        <f t="shared" si="3"/>
        <v>1442</v>
      </c>
    </row>
    <row r="29" ht="12.75" customHeight="1">
      <c r="A29" s="35"/>
      <c r="B29" s="27"/>
      <c r="C29" s="34"/>
      <c r="D29" s="13" t="s">
        <v>13</v>
      </c>
      <c r="E29" s="13">
        <f t="shared" ref="E29:U29" si="8">SUM(E20,E23,E26)</f>
        <v>97</v>
      </c>
      <c r="F29" s="13">
        <f t="shared" si="8"/>
        <v>96</v>
      </c>
      <c r="G29" s="13">
        <f t="shared" si="8"/>
        <v>83</v>
      </c>
      <c r="H29" s="13">
        <f t="shared" si="8"/>
        <v>95</v>
      </c>
      <c r="I29" s="13">
        <f t="shared" si="8"/>
        <v>102</v>
      </c>
      <c r="J29" s="13">
        <f t="shared" si="8"/>
        <v>79</v>
      </c>
      <c r="K29" s="13">
        <f t="shared" si="8"/>
        <v>74</v>
      </c>
      <c r="L29" s="13">
        <f t="shared" si="8"/>
        <v>102</v>
      </c>
      <c r="M29" s="13">
        <f t="shared" si="8"/>
        <v>79</v>
      </c>
      <c r="N29" s="13">
        <f t="shared" si="8"/>
        <v>96</v>
      </c>
      <c r="O29" s="13">
        <f t="shared" si="8"/>
        <v>75</v>
      </c>
      <c r="P29" s="13">
        <f t="shared" si="8"/>
        <v>87</v>
      </c>
      <c r="Q29" s="13">
        <f t="shared" si="8"/>
        <v>97</v>
      </c>
      <c r="R29" s="13">
        <f t="shared" si="8"/>
        <v>75</v>
      </c>
      <c r="S29" s="13">
        <f t="shared" si="8"/>
        <v>96</v>
      </c>
      <c r="T29" s="13">
        <f t="shared" si="8"/>
        <v>105</v>
      </c>
      <c r="U29" s="13">
        <f t="shared" si="8"/>
        <v>105</v>
      </c>
      <c r="V29" s="13">
        <f t="shared" si="3"/>
        <v>1543</v>
      </c>
    </row>
    <row r="30" ht="12.75" customHeight="1">
      <c r="A30" s="35"/>
      <c r="B30" s="28"/>
      <c r="C30" s="36"/>
      <c r="D30" s="13" t="s">
        <v>14</v>
      </c>
      <c r="E30" s="13">
        <f t="shared" ref="E30:U30" si="9">SUM(E28:E29)</f>
        <v>216</v>
      </c>
      <c r="F30" s="13">
        <f t="shared" si="9"/>
        <v>192</v>
      </c>
      <c r="G30" s="13">
        <f t="shared" si="9"/>
        <v>155</v>
      </c>
      <c r="H30" s="13">
        <f t="shared" si="9"/>
        <v>184</v>
      </c>
      <c r="I30" s="13">
        <f t="shared" si="9"/>
        <v>182</v>
      </c>
      <c r="J30" s="13">
        <f t="shared" si="9"/>
        <v>145</v>
      </c>
      <c r="K30" s="13">
        <f t="shared" si="9"/>
        <v>137</v>
      </c>
      <c r="L30" s="13">
        <f t="shared" si="9"/>
        <v>195</v>
      </c>
      <c r="M30" s="13">
        <f t="shared" si="9"/>
        <v>161</v>
      </c>
      <c r="N30" s="13">
        <f t="shared" si="9"/>
        <v>186</v>
      </c>
      <c r="O30" s="13">
        <f t="shared" si="9"/>
        <v>157</v>
      </c>
      <c r="P30" s="13">
        <f t="shared" si="9"/>
        <v>172</v>
      </c>
      <c r="Q30" s="13">
        <f t="shared" si="9"/>
        <v>181</v>
      </c>
      <c r="R30" s="13">
        <f t="shared" si="9"/>
        <v>141</v>
      </c>
      <c r="S30" s="13">
        <f t="shared" si="9"/>
        <v>180</v>
      </c>
      <c r="T30" s="13">
        <f t="shared" si="9"/>
        <v>189</v>
      </c>
      <c r="U30" s="13">
        <f t="shared" si="9"/>
        <v>212</v>
      </c>
      <c r="V30" s="13">
        <f t="shared" si="3"/>
        <v>2985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19"/>
      <c r="P31" s="19"/>
      <c r="Q31" s="19"/>
      <c r="R31" s="19"/>
      <c r="S31" s="19"/>
      <c r="T31" s="19"/>
      <c r="U31" s="19"/>
      <c r="V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13"/>
      <c r="T32" s="13"/>
      <c r="U32" s="13"/>
      <c r="V32" s="76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307.0</v>
      </c>
      <c r="G33" s="19">
        <v>191.0</v>
      </c>
      <c r="H33" s="19">
        <v>246.0</v>
      </c>
      <c r="I33" s="19">
        <v>223.0</v>
      </c>
      <c r="J33" s="19">
        <v>186.0</v>
      </c>
      <c r="K33" s="19">
        <v>177.0</v>
      </c>
      <c r="L33" s="19">
        <v>250.0</v>
      </c>
      <c r="M33" s="19">
        <v>200.0</v>
      </c>
      <c r="N33" s="19">
        <v>229.0</v>
      </c>
      <c r="O33" s="19">
        <v>193.0</v>
      </c>
      <c r="P33" s="19">
        <v>206.0</v>
      </c>
      <c r="Q33" s="19">
        <v>260.0</v>
      </c>
      <c r="R33" s="19">
        <v>172.0</v>
      </c>
      <c r="S33" s="19">
        <v>222.0</v>
      </c>
      <c r="T33" s="19">
        <v>211.0</v>
      </c>
      <c r="U33" s="19">
        <v>240.0</v>
      </c>
      <c r="V33" s="13">
        <f t="shared" ref="V33:V36" si="10">SUM(E33:U33)</f>
        <v>3761</v>
      </c>
    </row>
    <row r="34" ht="12.75" customHeight="1">
      <c r="A34" s="19">
        <v>2.0</v>
      </c>
      <c r="B34" s="20" t="s">
        <v>28</v>
      </c>
      <c r="C34" s="15"/>
      <c r="D34" s="16"/>
      <c r="E34" s="13">
        <v>216.0</v>
      </c>
      <c r="F34" s="13">
        <v>192.0</v>
      </c>
      <c r="G34" s="13">
        <v>155.0</v>
      </c>
      <c r="H34" s="13">
        <v>184.0</v>
      </c>
      <c r="I34" s="13">
        <v>182.0</v>
      </c>
      <c r="J34" s="13">
        <v>145.0</v>
      </c>
      <c r="K34" s="13">
        <v>137.0</v>
      </c>
      <c r="L34" s="13">
        <v>195.0</v>
      </c>
      <c r="M34" s="13">
        <v>161.0</v>
      </c>
      <c r="N34" s="13">
        <v>186.0</v>
      </c>
      <c r="O34" s="13">
        <v>157.0</v>
      </c>
      <c r="P34" s="13">
        <v>172.0</v>
      </c>
      <c r="Q34" s="13">
        <v>181.0</v>
      </c>
      <c r="R34" s="13">
        <v>141.0</v>
      </c>
      <c r="S34" s="13">
        <v>180.0</v>
      </c>
      <c r="T34" s="13">
        <v>189.0</v>
      </c>
      <c r="U34" s="13">
        <v>212.0</v>
      </c>
      <c r="V34" s="13">
        <f t="shared" si="10"/>
        <v>2985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2.0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3.0</v>
      </c>
      <c r="M35" s="19">
        <v>2.0</v>
      </c>
      <c r="N35" s="19">
        <v>1.0</v>
      </c>
      <c r="O35" s="19">
        <v>0.0</v>
      </c>
      <c r="P35" s="19">
        <v>0.0</v>
      </c>
      <c r="Q35" s="19">
        <v>0.0</v>
      </c>
      <c r="R35" s="19">
        <v>3.0</v>
      </c>
      <c r="S35" s="19">
        <v>1.0</v>
      </c>
      <c r="T35" s="19">
        <v>0.0</v>
      </c>
      <c r="U35" s="19">
        <v>1.0</v>
      </c>
      <c r="V35" s="13">
        <f t="shared" si="10"/>
        <v>13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U36" si="11">E33-(E34+E35)</f>
        <v>32</v>
      </c>
      <c r="F36" s="13">
        <f t="shared" si="11"/>
        <v>113</v>
      </c>
      <c r="G36" s="13">
        <f t="shared" si="11"/>
        <v>36</v>
      </c>
      <c r="H36" s="13">
        <f t="shared" si="11"/>
        <v>62</v>
      </c>
      <c r="I36" s="13">
        <f t="shared" si="11"/>
        <v>41</v>
      </c>
      <c r="J36" s="13">
        <f t="shared" si="11"/>
        <v>41</v>
      </c>
      <c r="K36" s="13">
        <f t="shared" si="11"/>
        <v>40</v>
      </c>
      <c r="L36" s="13">
        <f t="shared" si="11"/>
        <v>52</v>
      </c>
      <c r="M36" s="13">
        <f t="shared" si="11"/>
        <v>37</v>
      </c>
      <c r="N36" s="13">
        <f t="shared" si="11"/>
        <v>42</v>
      </c>
      <c r="O36" s="13">
        <f t="shared" si="11"/>
        <v>36</v>
      </c>
      <c r="P36" s="13">
        <f t="shared" si="11"/>
        <v>34</v>
      </c>
      <c r="Q36" s="13">
        <f t="shared" si="11"/>
        <v>79</v>
      </c>
      <c r="R36" s="13">
        <f t="shared" si="11"/>
        <v>28</v>
      </c>
      <c r="S36" s="13">
        <f t="shared" si="11"/>
        <v>41</v>
      </c>
      <c r="T36" s="13">
        <f t="shared" si="11"/>
        <v>22</v>
      </c>
      <c r="U36" s="13">
        <f t="shared" si="11"/>
        <v>27</v>
      </c>
      <c r="V36" s="13">
        <f t="shared" si="10"/>
        <v>763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13"/>
      <c r="T38" s="13"/>
      <c r="U38" s="13"/>
      <c r="V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>
        <v>1.0</v>
      </c>
      <c r="S39" s="19"/>
      <c r="T39" s="19"/>
      <c r="U39" s="19"/>
      <c r="V39" s="13">
        <f t="shared" ref="V39:V41" si="12">SUM(E39:U39)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U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13"/>
      <c r="T43" s="13"/>
      <c r="U43" s="13"/>
      <c r="V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19"/>
      <c r="Q44" s="19"/>
      <c r="R44" s="19"/>
      <c r="S44" s="19"/>
      <c r="T44" s="19"/>
      <c r="U44" s="19"/>
      <c r="V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5.0</v>
      </c>
      <c r="G45" s="19">
        <v>6.0</v>
      </c>
      <c r="H45" s="19">
        <v>3.0</v>
      </c>
      <c r="I45" s="19">
        <v>1.0</v>
      </c>
      <c r="J45" s="19">
        <v>3.0</v>
      </c>
      <c r="K45" s="19">
        <v>4.0</v>
      </c>
      <c r="L45" s="19">
        <v>7.0</v>
      </c>
      <c r="M45" s="19">
        <v>1.0</v>
      </c>
      <c r="N45" s="19">
        <v>3.0</v>
      </c>
      <c r="O45" s="19">
        <v>3.0</v>
      </c>
      <c r="P45" s="19">
        <v>1.0</v>
      </c>
      <c r="Q45" s="19">
        <v>1.0</v>
      </c>
      <c r="R45" s="19">
        <v>4.0</v>
      </c>
      <c r="S45" s="19">
        <v>9.0</v>
      </c>
      <c r="T45" s="19">
        <v>3.0</v>
      </c>
      <c r="U45" s="19">
        <v>9.0</v>
      </c>
      <c r="V45" s="13">
        <f t="shared" ref="V45:V54" si="14">SUM(E45:U45)</f>
        <v>67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7.0</v>
      </c>
      <c r="F46" s="19">
        <v>10.0</v>
      </c>
      <c r="G46" s="19">
        <v>2.0</v>
      </c>
      <c r="H46" s="19">
        <v>7.0</v>
      </c>
      <c r="I46" s="19">
        <v>25.0</v>
      </c>
      <c r="J46" s="19">
        <v>12.0</v>
      </c>
      <c r="K46" s="19">
        <v>10.0</v>
      </c>
      <c r="L46" s="19">
        <v>15.0</v>
      </c>
      <c r="M46" s="19">
        <v>3.0</v>
      </c>
      <c r="N46" s="19">
        <v>1.0</v>
      </c>
      <c r="O46" s="19">
        <v>3.0</v>
      </c>
      <c r="P46" s="19">
        <v>3.0</v>
      </c>
      <c r="Q46" s="19">
        <v>8.0</v>
      </c>
      <c r="R46" s="19">
        <v>8.0</v>
      </c>
      <c r="S46" s="19">
        <v>14.0</v>
      </c>
      <c r="T46" s="19">
        <v>14.0</v>
      </c>
      <c r="U46" s="19">
        <v>22.0</v>
      </c>
      <c r="V46" s="13">
        <f t="shared" si="14"/>
        <v>164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3.0</v>
      </c>
      <c r="H47" s="19">
        <v>3.0</v>
      </c>
      <c r="I47" s="19">
        <v>9.0</v>
      </c>
      <c r="J47" s="19">
        <v>0.0</v>
      </c>
      <c r="K47" s="19">
        <v>0.0</v>
      </c>
      <c r="L47" s="19">
        <v>6.0</v>
      </c>
      <c r="M47" s="19">
        <v>1.0</v>
      </c>
      <c r="N47" s="19">
        <v>3.0</v>
      </c>
      <c r="O47" s="19">
        <v>3.0</v>
      </c>
      <c r="P47" s="19">
        <v>1.0</v>
      </c>
      <c r="Q47" s="19">
        <v>0.0</v>
      </c>
      <c r="R47" s="19">
        <v>1.0</v>
      </c>
      <c r="S47" s="19">
        <v>3.0</v>
      </c>
      <c r="T47" s="19">
        <v>1.0</v>
      </c>
      <c r="U47" s="19">
        <v>0.0</v>
      </c>
      <c r="V47" s="13">
        <f t="shared" si="14"/>
        <v>35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1.0</v>
      </c>
      <c r="H48" s="19">
        <v>0.0</v>
      </c>
      <c r="I48" s="19">
        <v>0.0</v>
      </c>
      <c r="J48" s="19">
        <v>1.0</v>
      </c>
      <c r="K48" s="19">
        <v>2.0</v>
      </c>
      <c r="L48" s="19">
        <v>0.0</v>
      </c>
      <c r="M48" s="19">
        <v>0.0</v>
      </c>
      <c r="N48" s="19">
        <v>2.0</v>
      </c>
      <c r="O48" s="19">
        <v>4.0</v>
      </c>
      <c r="P48" s="19">
        <v>0.0</v>
      </c>
      <c r="Q48" s="19">
        <v>0.0</v>
      </c>
      <c r="R48" s="19">
        <v>0.0</v>
      </c>
      <c r="S48" s="19">
        <v>0.0</v>
      </c>
      <c r="T48" s="19">
        <v>0.0</v>
      </c>
      <c r="U48" s="19">
        <v>0.0</v>
      </c>
      <c r="V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19">
        <v>1.0</v>
      </c>
      <c r="L49" s="19">
        <v>0.0</v>
      </c>
      <c r="M49" s="19">
        <v>1.0</v>
      </c>
      <c r="N49" s="19">
        <v>0.0</v>
      </c>
      <c r="O49" s="19">
        <v>0.0</v>
      </c>
      <c r="P49" s="19">
        <v>2.0</v>
      </c>
      <c r="Q49" s="19">
        <v>0.0</v>
      </c>
      <c r="R49" s="19">
        <v>1.0</v>
      </c>
      <c r="S49" s="19">
        <v>1.0</v>
      </c>
      <c r="T49" s="19">
        <v>1.0</v>
      </c>
      <c r="U49" s="19">
        <v>0.0</v>
      </c>
      <c r="V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2.0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V55" si="15">SUM(E45:E54)</f>
        <v>15</v>
      </c>
      <c r="F55" s="13">
        <f t="shared" si="15"/>
        <v>17</v>
      </c>
      <c r="G55" s="13">
        <f t="shared" si="15"/>
        <v>14</v>
      </c>
      <c r="H55" s="13">
        <f t="shared" si="15"/>
        <v>13</v>
      </c>
      <c r="I55" s="13">
        <f t="shared" si="15"/>
        <v>36</v>
      </c>
      <c r="J55" s="13">
        <f t="shared" si="15"/>
        <v>16</v>
      </c>
      <c r="K55" s="13">
        <f t="shared" si="15"/>
        <v>17</v>
      </c>
      <c r="L55" s="13">
        <f t="shared" si="15"/>
        <v>29</v>
      </c>
      <c r="M55" s="13">
        <f t="shared" si="15"/>
        <v>6</v>
      </c>
      <c r="N55" s="13">
        <f t="shared" si="15"/>
        <v>10</v>
      </c>
      <c r="O55" s="13">
        <f t="shared" si="15"/>
        <v>13</v>
      </c>
      <c r="P55" s="13">
        <f t="shared" si="15"/>
        <v>7</v>
      </c>
      <c r="Q55" s="13">
        <f t="shared" si="15"/>
        <v>9</v>
      </c>
      <c r="R55" s="13">
        <f t="shared" si="15"/>
        <v>14</v>
      </c>
      <c r="S55" s="13">
        <f t="shared" si="15"/>
        <v>27</v>
      </c>
      <c r="T55" s="13">
        <f t="shared" si="15"/>
        <v>19</v>
      </c>
      <c r="U55" s="13">
        <f t="shared" si="15"/>
        <v>32</v>
      </c>
      <c r="V55" s="13">
        <f t="shared" si="15"/>
        <v>294</v>
      </c>
    </row>
    <row r="56" ht="12.75" customHeight="1">
      <c r="A56" s="45"/>
      <c r="B56" s="44"/>
      <c r="C56" s="44"/>
      <c r="D56" s="44"/>
      <c r="E56" s="44"/>
      <c r="V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14.0</v>
      </c>
      <c r="G57" s="19">
        <v>17.0</v>
      </c>
      <c r="H57" s="19">
        <v>10.0</v>
      </c>
      <c r="I57" s="19">
        <v>9.0</v>
      </c>
      <c r="J57" s="19">
        <v>4.0</v>
      </c>
      <c r="K57" s="19">
        <v>17.0</v>
      </c>
      <c r="L57" s="19">
        <v>5.0</v>
      </c>
      <c r="M57" s="19">
        <v>4.0</v>
      </c>
      <c r="N57" s="19">
        <v>10.0</v>
      </c>
      <c r="O57" s="19">
        <v>11.0</v>
      </c>
      <c r="P57" s="19">
        <v>8.0</v>
      </c>
      <c r="Q57" s="19">
        <v>9.0</v>
      </c>
      <c r="R57" s="19">
        <v>13.0</v>
      </c>
      <c r="S57" s="19">
        <v>5.0</v>
      </c>
      <c r="T57" s="19">
        <v>12.0</v>
      </c>
      <c r="U57" s="19">
        <v>10.0</v>
      </c>
      <c r="V57" s="13">
        <f t="shared" ref="V57:V66" si="16">SUM(E57:U57)</f>
        <v>168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8.0</v>
      </c>
      <c r="G58" s="19">
        <v>13.0</v>
      </c>
      <c r="H58" s="19">
        <v>5.0</v>
      </c>
      <c r="I58" s="19">
        <v>23.0</v>
      </c>
      <c r="J58" s="19">
        <v>10.0</v>
      </c>
      <c r="K58" s="19">
        <v>7.0</v>
      </c>
      <c r="L58" s="19">
        <v>7.0</v>
      </c>
      <c r="M58" s="19">
        <v>3.0</v>
      </c>
      <c r="N58" s="19">
        <v>9.0</v>
      </c>
      <c r="O58" s="19">
        <v>7.0</v>
      </c>
      <c r="P58" s="19">
        <v>6.0</v>
      </c>
      <c r="Q58" s="19">
        <v>19.0</v>
      </c>
      <c r="R58" s="19">
        <v>12.0</v>
      </c>
      <c r="S58" s="19">
        <v>9.0</v>
      </c>
      <c r="T58" s="19">
        <v>25.0</v>
      </c>
      <c r="U58" s="19">
        <v>14.0</v>
      </c>
      <c r="V58" s="13">
        <f t="shared" si="16"/>
        <v>187</v>
      </c>
    </row>
    <row r="59" ht="12.75" customHeight="1">
      <c r="A59" s="18"/>
      <c r="B59" s="55">
        <v>2.0</v>
      </c>
      <c r="C59" s="50" t="s">
        <v>50</v>
      </c>
      <c r="D59" s="59"/>
      <c r="E59" s="19">
        <v>7.0</v>
      </c>
      <c r="F59" s="19">
        <v>3.0</v>
      </c>
      <c r="G59" s="19">
        <v>2.0</v>
      </c>
      <c r="H59" s="19">
        <v>2.0</v>
      </c>
      <c r="I59" s="19">
        <v>3.0</v>
      </c>
      <c r="J59" s="19">
        <v>6.0</v>
      </c>
      <c r="K59" s="19">
        <v>2.0</v>
      </c>
      <c r="L59" s="19">
        <v>1.0</v>
      </c>
      <c r="M59" s="19">
        <v>1.0</v>
      </c>
      <c r="N59" s="19">
        <v>1.0</v>
      </c>
      <c r="O59" s="19">
        <v>2.0</v>
      </c>
      <c r="P59" s="19">
        <v>1.0</v>
      </c>
      <c r="Q59" s="19">
        <v>2.0</v>
      </c>
      <c r="R59" s="19">
        <v>2.0</v>
      </c>
      <c r="S59" s="19">
        <v>0.0</v>
      </c>
      <c r="T59" s="19">
        <v>1.0</v>
      </c>
      <c r="U59" s="19">
        <v>7.0</v>
      </c>
      <c r="V59" s="13">
        <f t="shared" si="16"/>
        <v>43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1.0</v>
      </c>
      <c r="H60" s="19">
        <v>0.0</v>
      </c>
      <c r="I60" s="19">
        <v>0.0</v>
      </c>
      <c r="J60" s="19">
        <v>1.0</v>
      </c>
      <c r="K60" s="19">
        <v>1.0</v>
      </c>
      <c r="L60" s="19">
        <v>1.0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1.0</v>
      </c>
      <c r="S60" s="19">
        <v>0.0</v>
      </c>
      <c r="T60" s="19">
        <v>1.0</v>
      </c>
      <c r="U60" s="19">
        <v>1.0</v>
      </c>
      <c r="V60" s="13">
        <f t="shared" si="16"/>
        <v>8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0.0</v>
      </c>
      <c r="G61" s="19">
        <v>2.0</v>
      </c>
      <c r="H61" s="19">
        <v>1.0</v>
      </c>
      <c r="I61" s="19">
        <v>1.0</v>
      </c>
      <c r="J61" s="19">
        <v>4.0</v>
      </c>
      <c r="K61" s="19">
        <v>1.0</v>
      </c>
      <c r="L61" s="19">
        <v>1.0</v>
      </c>
      <c r="M61" s="19">
        <v>0.0</v>
      </c>
      <c r="N61" s="19">
        <v>0.0</v>
      </c>
      <c r="O61" s="19">
        <v>3.0</v>
      </c>
      <c r="P61" s="19">
        <v>0.0</v>
      </c>
      <c r="Q61" s="19">
        <v>1.0</v>
      </c>
      <c r="R61" s="19">
        <v>0.0</v>
      </c>
      <c r="S61" s="19">
        <v>2.0</v>
      </c>
      <c r="T61" s="19">
        <v>2.0</v>
      </c>
      <c r="U61" s="19">
        <v>0.0</v>
      </c>
      <c r="V61" s="13">
        <f t="shared" si="16"/>
        <v>19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1.0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1.0</v>
      </c>
      <c r="Q62" s="19">
        <v>0.0</v>
      </c>
      <c r="R62" s="19">
        <v>0.0</v>
      </c>
      <c r="S62" s="19">
        <v>1.0</v>
      </c>
      <c r="T62" s="19">
        <v>0.0</v>
      </c>
      <c r="U62" s="19">
        <v>0.0</v>
      </c>
      <c r="V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2.0</v>
      </c>
      <c r="L64" s="19">
        <v>1.0</v>
      </c>
      <c r="M64" s="19">
        <v>0.0</v>
      </c>
      <c r="N64" s="19">
        <v>1.0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1.0</v>
      </c>
      <c r="V64" s="13">
        <f t="shared" si="16"/>
        <v>5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V67" si="17">SUM(E57:E66)</f>
        <v>30</v>
      </c>
      <c r="F67" s="13">
        <f t="shared" si="17"/>
        <v>25</v>
      </c>
      <c r="G67" s="13">
        <f t="shared" si="17"/>
        <v>35</v>
      </c>
      <c r="H67" s="13">
        <f t="shared" si="17"/>
        <v>18</v>
      </c>
      <c r="I67" s="13">
        <f t="shared" si="17"/>
        <v>36</v>
      </c>
      <c r="J67" s="13">
        <f t="shared" si="17"/>
        <v>27</v>
      </c>
      <c r="K67" s="13">
        <f t="shared" si="17"/>
        <v>30</v>
      </c>
      <c r="L67" s="13">
        <f t="shared" si="17"/>
        <v>16</v>
      </c>
      <c r="M67" s="13">
        <f t="shared" si="17"/>
        <v>8</v>
      </c>
      <c r="N67" s="13">
        <f t="shared" si="17"/>
        <v>22</v>
      </c>
      <c r="O67" s="13">
        <f t="shared" si="17"/>
        <v>23</v>
      </c>
      <c r="P67" s="13">
        <f t="shared" si="17"/>
        <v>16</v>
      </c>
      <c r="Q67" s="13">
        <f t="shared" si="17"/>
        <v>31</v>
      </c>
      <c r="R67" s="13">
        <f t="shared" si="17"/>
        <v>28</v>
      </c>
      <c r="S67" s="13">
        <f t="shared" si="17"/>
        <v>17</v>
      </c>
      <c r="T67" s="13">
        <f t="shared" si="17"/>
        <v>41</v>
      </c>
      <c r="U67" s="13">
        <f t="shared" si="17"/>
        <v>33</v>
      </c>
      <c r="V67" s="13">
        <f t="shared" si="17"/>
        <v>436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6.0</v>
      </c>
      <c r="G69" s="19">
        <v>4.0</v>
      </c>
      <c r="H69" s="19">
        <v>10.0</v>
      </c>
      <c r="I69" s="19">
        <v>3.0</v>
      </c>
      <c r="J69" s="19">
        <v>4.0</v>
      </c>
      <c r="K69" s="19">
        <v>3.0</v>
      </c>
      <c r="L69" s="19">
        <v>13.0</v>
      </c>
      <c r="M69" s="19">
        <v>3.0</v>
      </c>
      <c r="N69" s="19">
        <v>9.0</v>
      </c>
      <c r="O69" s="19">
        <v>8.0</v>
      </c>
      <c r="P69" s="19">
        <v>5.0</v>
      </c>
      <c r="Q69" s="19">
        <v>9.0</v>
      </c>
      <c r="R69" s="19">
        <v>7.0</v>
      </c>
      <c r="S69" s="19">
        <v>5.0</v>
      </c>
      <c r="T69" s="19">
        <v>3.0</v>
      </c>
      <c r="U69" s="19">
        <v>3.0</v>
      </c>
      <c r="V69" s="13">
        <f t="shared" ref="V69:V78" si="18">SUM(E69:U69)</f>
        <v>99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66.0</v>
      </c>
      <c r="F70" s="19">
        <v>32.0</v>
      </c>
      <c r="G70" s="19">
        <v>5.0</v>
      </c>
      <c r="H70" s="19">
        <v>5.0</v>
      </c>
      <c r="I70" s="19">
        <v>10.0</v>
      </c>
      <c r="J70" s="19">
        <v>4.0</v>
      </c>
      <c r="K70" s="19">
        <v>3.0</v>
      </c>
      <c r="L70" s="19">
        <v>5.0</v>
      </c>
      <c r="M70" s="19">
        <v>2.0</v>
      </c>
      <c r="N70" s="19">
        <v>3.0</v>
      </c>
      <c r="O70" s="19">
        <v>9.0</v>
      </c>
      <c r="P70" s="19">
        <v>4.0</v>
      </c>
      <c r="Q70" s="19">
        <v>5.0</v>
      </c>
      <c r="R70" s="19">
        <v>5.0</v>
      </c>
      <c r="S70" s="19">
        <v>7.0</v>
      </c>
      <c r="T70" s="19">
        <v>4.0</v>
      </c>
      <c r="U70" s="19">
        <v>1.0</v>
      </c>
      <c r="V70" s="13">
        <f t="shared" si="18"/>
        <v>170</v>
      </c>
    </row>
    <row r="71" ht="12.75" customHeight="1">
      <c r="A71" s="18"/>
      <c r="B71" s="55">
        <v>2.0</v>
      </c>
      <c r="C71" s="50" t="s">
        <v>58</v>
      </c>
      <c r="D71" s="60"/>
      <c r="E71" s="19">
        <v>0.0</v>
      </c>
      <c r="F71" s="19">
        <v>4.0</v>
      </c>
      <c r="G71" s="19">
        <v>1.0</v>
      </c>
      <c r="H71" s="19">
        <v>2.0</v>
      </c>
      <c r="I71" s="19">
        <v>1.0</v>
      </c>
      <c r="J71" s="19">
        <v>0.0</v>
      </c>
      <c r="K71" s="19">
        <v>2.0</v>
      </c>
      <c r="L71" s="19">
        <v>0.0</v>
      </c>
      <c r="M71" s="19">
        <v>1.0</v>
      </c>
      <c r="N71" s="19">
        <v>19.0</v>
      </c>
      <c r="O71" s="19">
        <v>1.0</v>
      </c>
      <c r="P71" s="19">
        <v>4.0</v>
      </c>
      <c r="Q71" s="19">
        <v>9.0</v>
      </c>
      <c r="R71" s="19">
        <v>0.0</v>
      </c>
      <c r="S71" s="19">
        <v>0.0</v>
      </c>
      <c r="T71" s="19">
        <v>1.0</v>
      </c>
      <c r="U71" s="19">
        <v>1.0</v>
      </c>
      <c r="V71" s="13">
        <f t="shared" si="18"/>
        <v>46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2.0</v>
      </c>
      <c r="G72" s="19">
        <v>4.0</v>
      </c>
      <c r="H72" s="19">
        <v>3.0</v>
      </c>
      <c r="I72" s="19">
        <v>7.0</v>
      </c>
      <c r="J72" s="19">
        <v>1.0</v>
      </c>
      <c r="K72" s="19">
        <v>2.0</v>
      </c>
      <c r="L72" s="19">
        <v>23.0</v>
      </c>
      <c r="M72" s="19">
        <v>23.0</v>
      </c>
      <c r="N72" s="19">
        <v>15.0</v>
      </c>
      <c r="O72" s="19">
        <v>23.0</v>
      </c>
      <c r="P72" s="19">
        <v>9.0</v>
      </c>
      <c r="Q72" s="19">
        <v>25.0</v>
      </c>
      <c r="R72" s="19">
        <v>2.0</v>
      </c>
      <c r="S72" s="19">
        <v>3.0</v>
      </c>
      <c r="T72" s="19">
        <v>0.0</v>
      </c>
      <c r="U72" s="19">
        <v>2.0</v>
      </c>
      <c r="V72" s="13">
        <f t="shared" si="18"/>
        <v>145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2.0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1.0</v>
      </c>
      <c r="O73" s="19">
        <v>0.0</v>
      </c>
      <c r="P73" s="19">
        <v>1.0</v>
      </c>
      <c r="Q73" s="19">
        <v>2.0</v>
      </c>
      <c r="R73" s="19">
        <v>0.0</v>
      </c>
      <c r="S73" s="19">
        <v>0.0</v>
      </c>
      <c r="T73" s="19">
        <v>0.0</v>
      </c>
      <c r="U73" s="19">
        <v>0.0</v>
      </c>
      <c r="V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3.0</v>
      </c>
      <c r="G74" s="19">
        <v>4.0</v>
      </c>
      <c r="H74" s="19">
        <v>0.0</v>
      </c>
      <c r="I74" s="19">
        <v>3.0</v>
      </c>
      <c r="J74" s="19">
        <v>2.0</v>
      </c>
      <c r="K74" s="19">
        <v>4.0</v>
      </c>
      <c r="L74" s="19">
        <v>2.0</v>
      </c>
      <c r="M74" s="19">
        <v>1.0</v>
      </c>
      <c r="N74" s="19">
        <v>3.0</v>
      </c>
      <c r="O74" s="19">
        <v>5.0</v>
      </c>
      <c r="P74" s="19">
        <v>4.0</v>
      </c>
      <c r="Q74" s="19">
        <v>9.0</v>
      </c>
      <c r="R74" s="19">
        <v>9.0</v>
      </c>
      <c r="S74" s="19">
        <v>0.0</v>
      </c>
      <c r="T74" s="19">
        <v>6.0</v>
      </c>
      <c r="U74" s="19">
        <v>0.0</v>
      </c>
      <c r="V74" s="13">
        <f t="shared" si="18"/>
        <v>56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1.0</v>
      </c>
      <c r="H75" s="19">
        <v>0.0</v>
      </c>
      <c r="I75" s="19">
        <v>1.0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9">
        <v>0.0</v>
      </c>
      <c r="T75" s="19">
        <v>0.0</v>
      </c>
      <c r="U75" s="19">
        <v>0.0</v>
      </c>
      <c r="V75" s="13">
        <f t="shared" si="18"/>
        <v>3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3.0</v>
      </c>
      <c r="L76" s="19">
        <v>2.0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0.0</v>
      </c>
      <c r="V76" s="13">
        <f t="shared" si="18"/>
        <v>6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V79" si="19">SUM(E69:E78)</f>
        <v>73</v>
      </c>
      <c r="F79" s="13">
        <f t="shared" si="19"/>
        <v>47</v>
      </c>
      <c r="G79" s="13">
        <f t="shared" si="19"/>
        <v>19</v>
      </c>
      <c r="H79" s="13">
        <f t="shared" si="19"/>
        <v>22</v>
      </c>
      <c r="I79" s="13">
        <f t="shared" si="19"/>
        <v>25</v>
      </c>
      <c r="J79" s="13">
        <f t="shared" si="19"/>
        <v>12</v>
      </c>
      <c r="K79" s="13">
        <f t="shared" si="19"/>
        <v>17</v>
      </c>
      <c r="L79" s="13">
        <f t="shared" si="19"/>
        <v>45</v>
      </c>
      <c r="M79" s="13">
        <f t="shared" si="19"/>
        <v>30</v>
      </c>
      <c r="N79" s="13">
        <f t="shared" si="19"/>
        <v>50</v>
      </c>
      <c r="O79" s="13">
        <f t="shared" si="19"/>
        <v>46</v>
      </c>
      <c r="P79" s="13">
        <f t="shared" si="19"/>
        <v>28</v>
      </c>
      <c r="Q79" s="13">
        <f t="shared" si="19"/>
        <v>59</v>
      </c>
      <c r="R79" s="13">
        <f t="shared" si="19"/>
        <v>23</v>
      </c>
      <c r="S79" s="13">
        <f t="shared" si="19"/>
        <v>15</v>
      </c>
      <c r="T79" s="13">
        <f t="shared" si="19"/>
        <v>14</v>
      </c>
      <c r="U79" s="13">
        <f t="shared" si="19"/>
        <v>7</v>
      </c>
      <c r="V79" s="13">
        <f t="shared" si="19"/>
        <v>532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3.0</v>
      </c>
      <c r="G81" s="19">
        <v>6.0</v>
      </c>
      <c r="H81" s="19">
        <v>11.0</v>
      </c>
      <c r="I81" s="19">
        <v>4.0</v>
      </c>
      <c r="J81" s="19">
        <v>8.0</v>
      </c>
      <c r="K81" s="19">
        <v>11.0</v>
      </c>
      <c r="L81" s="19">
        <v>5.0</v>
      </c>
      <c r="M81" s="19">
        <v>1.0</v>
      </c>
      <c r="N81" s="19">
        <v>8.0</v>
      </c>
      <c r="O81" s="19">
        <v>5.0</v>
      </c>
      <c r="P81" s="19">
        <v>1.0</v>
      </c>
      <c r="Q81" s="19">
        <v>2.0</v>
      </c>
      <c r="R81" s="19">
        <v>6.0</v>
      </c>
      <c r="S81" s="19">
        <v>2.0</v>
      </c>
      <c r="T81" s="19">
        <v>1.0</v>
      </c>
      <c r="U81" s="19">
        <v>7.0</v>
      </c>
      <c r="V81" s="13">
        <f t="shared" ref="V81:V90" si="20">SUM(E81:U81)</f>
        <v>83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47.0</v>
      </c>
      <c r="F82" s="19">
        <v>38.0</v>
      </c>
      <c r="G82" s="19">
        <v>22.0</v>
      </c>
      <c r="H82" s="19">
        <v>25.0</v>
      </c>
      <c r="I82" s="19">
        <v>32.0</v>
      </c>
      <c r="J82" s="19">
        <v>15.0</v>
      </c>
      <c r="K82" s="19">
        <v>2.0</v>
      </c>
      <c r="L82" s="19">
        <v>3.0</v>
      </c>
      <c r="M82" s="19">
        <v>5.0</v>
      </c>
      <c r="N82" s="19">
        <v>2.0</v>
      </c>
      <c r="O82" s="19">
        <v>6.0</v>
      </c>
      <c r="P82" s="19">
        <v>3.0</v>
      </c>
      <c r="Q82" s="19">
        <v>8.0</v>
      </c>
      <c r="R82" s="19">
        <v>2.0</v>
      </c>
      <c r="S82" s="19">
        <v>1.0</v>
      </c>
      <c r="T82" s="19">
        <v>3.0</v>
      </c>
      <c r="U82" s="19">
        <v>5.0</v>
      </c>
      <c r="V82" s="13">
        <f t="shared" si="20"/>
        <v>219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1.0</v>
      </c>
      <c r="G83" s="19">
        <v>3.0</v>
      </c>
      <c r="H83" s="19">
        <v>4.0</v>
      </c>
      <c r="I83" s="19">
        <v>1.0</v>
      </c>
      <c r="J83" s="19">
        <v>4.0</v>
      </c>
      <c r="K83" s="19">
        <v>1.0</v>
      </c>
      <c r="L83" s="19">
        <v>3.0</v>
      </c>
      <c r="M83" s="19">
        <v>2.0</v>
      </c>
      <c r="N83" s="19">
        <v>5.0</v>
      </c>
      <c r="O83" s="19">
        <v>4.0</v>
      </c>
      <c r="P83" s="19">
        <v>3.0</v>
      </c>
      <c r="Q83" s="19">
        <v>4.0</v>
      </c>
      <c r="R83" s="19">
        <v>1.0</v>
      </c>
      <c r="S83" s="19">
        <v>5.0</v>
      </c>
      <c r="T83" s="19">
        <v>3.0</v>
      </c>
      <c r="U83" s="19">
        <v>6.0</v>
      </c>
      <c r="V83" s="13">
        <f t="shared" si="20"/>
        <v>52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0.0</v>
      </c>
      <c r="J84" s="19">
        <v>2.0</v>
      </c>
      <c r="K84" s="19">
        <v>3.0</v>
      </c>
      <c r="L84" s="19">
        <v>1.0</v>
      </c>
      <c r="M84" s="19">
        <v>0.0</v>
      </c>
      <c r="N84" s="19">
        <v>1.0</v>
      </c>
      <c r="O84" s="19">
        <v>1.0</v>
      </c>
      <c r="P84" s="19">
        <v>0.0</v>
      </c>
      <c r="Q84" s="19">
        <v>0.0</v>
      </c>
      <c r="R84" s="19">
        <v>0.0</v>
      </c>
      <c r="S84" s="19">
        <v>0.0</v>
      </c>
      <c r="T84" s="19">
        <v>0.0</v>
      </c>
      <c r="U84" s="19">
        <v>0.0</v>
      </c>
      <c r="V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1.0</v>
      </c>
      <c r="I85" s="19">
        <v>0.0</v>
      </c>
      <c r="J85" s="19">
        <v>5.0</v>
      </c>
      <c r="K85" s="19">
        <v>0.0</v>
      </c>
      <c r="L85" s="19">
        <v>0.0</v>
      </c>
      <c r="M85" s="19">
        <v>0.0</v>
      </c>
      <c r="N85" s="19">
        <v>0.0</v>
      </c>
      <c r="O85" s="19">
        <v>2.0</v>
      </c>
      <c r="P85" s="19">
        <v>2.0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3">
        <f t="shared" si="20"/>
        <v>12</v>
      </c>
    </row>
    <row r="86" ht="12.75" customHeight="1">
      <c r="A86" s="18"/>
      <c r="B86" s="55">
        <v>5.0</v>
      </c>
      <c r="C86" s="50" t="s">
        <v>69</v>
      </c>
      <c r="D86" s="60"/>
      <c r="E86" s="19">
        <v>2.0</v>
      </c>
      <c r="F86" s="19">
        <v>1.0</v>
      </c>
      <c r="G86" s="19">
        <v>0.0</v>
      </c>
      <c r="H86" s="19">
        <v>0.0</v>
      </c>
      <c r="I86" s="19">
        <v>0.0</v>
      </c>
      <c r="J86" s="19">
        <v>1.0</v>
      </c>
      <c r="K86" s="19">
        <v>1.0</v>
      </c>
      <c r="L86" s="19">
        <v>1.0</v>
      </c>
      <c r="M86" s="19">
        <v>0.0</v>
      </c>
      <c r="N86" s="19">
        <v>1.0</v>
      </c>
      <c r="O86" s="19">
        <v>0.0</v>
      </c>
      <c r="P86" s="19">
        <v>0.0</v>
      </c>
      <c r="Q86" s="19">
        <v>2.0</v>
      </c>
      <c r="R86" s="19">
        <v>0.0</v>
      </c>
      <c r="S86" s="19">
        <v>1.0</v>
      </c>
      <c r="T86" s="19">
        <v>1.0</v>
      </c>
      <c r="U86" s="19">
        <v>0.0</v>
      </c>
      <c r="V86" s="13">
        <f t="shared" si="20"/>
        <v>11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1.0</v>
      </c>
      <c r="L87" s="19">
        <v>0.0</v>
      </c>
      <c r="M87" s="19">
        <v>0.0</v>
      </c>
      <c r="N87" s="19">
        <v>0.0</v>
      </c>
      <c r="O87" s="19">
        <v>1.0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1.0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3">
        <f t="shared" si="20"/>
        <v>2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V91" si="21">SUM(E81:E90)</f>
        <v>53</v>
      </c>
      <c r="F91" s="13">
        <f t="shared" si="21"/>
        <v>43</v>
      </c>
      <c r="G91" s="13">
        <f t="shared" si="21"/>
        <v>32</v>
      </c>
      <c r="H91" s="13">
        <f t="shared" si="21"/>
        <v>42</v>
      </c>
      <c r="I91" s="13">
        <f t="shared" si="21"/>
        <v>37</v>
      </c>
      <c r="J91" s="13">
        <f t="shared" si="21"/>
        <v>36</v>
      </c>
      <c r="K91" s="13">
        <f t="shared" si="21"/>
        <v>19</v>
      </c>
      <c r="L91" s="13">
        <f t="shared" si="21"/>
        <v>13</v>
      </c>
      <c r="M91" s="13">
        <f t="shared" si="21"/>
        <v>8</v>
      </c>
      <c r="N91" s="13">
        <f t="shared" si="21"/>
        <v>18</v>
      </c>
      <c r="O91" s="13">
        <f t="shared" si="21"/>
        <v>19</v>
      </c>
      <c r="P91" s="13">
        <f t="shared" si="21"/>
        <v>9</v>
      </c>
      <c r="Q91" s="13">
        <f t="shared" si="21"/>
        <v>17</v>
      </c>
      <c r="R91" s="13">
        <f t="shared" si="21"/>
        <v>9</v>
      </c>
      <c r="S91" s="13">
        <f t="shared" si="21"/>
        <v>9</v>
      </c>
      <c r="T91" s="13">
        <f t="shared" si="21"/>
        <v>8</v>
      </c>
      <c r="U91" s="13">
        <f t="shared" si="21"/>
        <v>18</v>
      </c>
      <c r="V91" s="13">
        <f t="shared" si="21"/>
        <v>390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2.0</v>
      </c>
      <c r="I93" s="19">
        <v>1.0</v>
      </c>
      <c r="J93" s="19">
        <v>0.0</v>
      </c>
      <c r="K93" s="19">
        <v>0.0</v>
      </c>
      <c r="L93" s="19">
        <v>0.0</v>
      </c>
      <c r="M93" s="19">
        <v>1.0</v>
      </c>
      <c r="N93" s="19">
        <v>3.0</v>
      </c>
      <c r="O93" s="19">
        <v>0.0</v>
      </c>
      <c r="P93" s="19">
        <v>1.0</v>
      </c>
      <c r="Q93" s="19">
        <v>0.0</v>
      </c>
      <c r="R93" s="19">
        <v>0.0</v>
      </c>
      <c r="S93" s="19">
        <v>0.0</v>
      </c>
      <c r="T93" s="19">
        <v>0.0</v>
      </c>
      <c r="U93" s="19">
        <v>1.0</v>
      </c>
      <c r="V93" s="13">
        <f t="shared" ref="V93:V102" si="22">SUM(E93:U93)</f>
        <v>10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5.0</v>
      </c>
      <c r="F94" s="19">
        <v>10.0</v>
      </c>
      <c r="G94" s="19">
        <v>8.0</v>
      </c>
      <c r="H94" s="19">
        <v>1.0</v>
      </c>
      <c r="I94" s="19">
        <v>2.0</v>
      </c>
      <c r="J94" s="19">
        <v>7.0</v>
      </c>
      <c r="K94" s="19">
        <v>1.0</v>
      </c>
      <c r="L94" s="19">
        <v>0.0</v>
      </c>
      <c r="M94" s="19">
        <v>1.0</v>
      </c>
      <c r="N94" s="19">
        <v>1.0</v>
      </c>
      <c r="O94" s="19">
        <v>0.0</v>
      </c>
      <c r="P94" s="19">
        <v>6.0</v>
      </c>
      <c r="Q94" s="19">
        <v>0.0</v>
      </c>
      <c r="R94" s="19">
        <v>0.0</v>
      </c>
      <c r="S94" s="19">
        <v>0.0</v>
      </c>
      <c r="T94" s="19">
        <v>0.0</v>
      </c>
      <c r="U94" s="19">
        <v>0.0</v>
      </c>
      <c r="V94" s="13">
        <f t="shared" si="22"/>
        <v>42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1.0</v>
      </c>
      <c r="P95" s="19">
        <v>0.0</v>
      </c>
      <c r="Q95" s="19">
        <v>1.0</v>
      </c>
      <c r="R95" s="19">
        <v>0.0</v>
      </c>
      <c r="S95" s="19">
        <v>1.0</v>
      </c>
      <c r="T95" s="19">
        <v>0.0</v>
      </c>
      <c r="U95" s="19">
        <v>0.0</v>
      </c>
      <c r="V95" s="13">
        <f t="shared" si="22"/>
        <v>4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1.0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2.0</v>
      </c>
      <c r="M97" s="19">
        <v>0.0</v>
      </c>
      <c r="N97" s="19">
        <v>1.0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9">
        <v>0.0</v>
      </c>
      <c r="U97" s="19">
        <v>1.0</v>
      </c>
      <c r="V97" s="13">
        <f t="shared" si="22"/>
        <v>6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0.0</v>
      </c>
      <c r="V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V103" si="23">SUM(E93:E102)</f>
        <v>6</v>
      </c>
      <c r="F103" s="13">
        <f t="shared" si="23"/>
        <v>13</v>
      </c>
      <c r="G103" s="13">
        <f t="shared" si="23"/>
        <v>9</v>
      </c>
      <c r="H103" s="13">
        <f t="shared" si="23"/>
        <v>3</v>
      </c>
      <c r="I103" s="13">
        <f t="shared" si="23"/>
        <v>4</v>
      </c>
      <c r="J103" s="13">
        <f t="shared" si="23"/>
        <v>7</v>
      </c>
      <c r="K103" s="13">
        <f t="shared" si="23"/>
        <v>1</v>
      </c>
      <c r="L103" s="13">
        <f t="shared" si="23"/>
        <v>2</v>
      </c>
      <c r="M103" s="13">
        <f t="shared" si="23"/>
        <v>2</v>
      </c>
      <c r="N103" s="13">
        <f t="shared" si="23"/>
        <v>5</v>
      </c>
      <c r="O103" s="13">
        <f t="shared" si="23"/>
        <v>1</v>
      </c>
      <c r="P103" s="13">
        <f t="shared" si="23"/>
        <v>7</v>
      </c>
      <c r="Q103" s="13">
        <f t="shared" si="23"/>
        <v>1</v>
      </c>
      <c r="R103" s="13">
        <f t="shared" si="23"/>
        <v>0</v>
      </c>
      <c r="S103" s="13">
        <f t="shared" si="23"/>
        <v>1</v>
      </c>
      <c r="T103" s="13">
        <f t="shared" si="23"/>
        <v>0</v>
      </c>
      <c r="U103" s="13">
        <f t="shared" si="23"/>
        <v>2</v>
      </c>
      <c r="V103" s="13">
        <f t="shared" si="23"/>
        <v>64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9"/>
      <c r="U105" s="19"/>
      <c r="V105" s="13">
        <f t="shared" ref="V105:V114" si="24">SUM(E105:U105)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/>
      <c r="U106" s="19"/>
      <c r="V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2.0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/>
      <c r="U107" s="19"/>
      <c r="V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/>
      <c r="U108" s="19"/>
      <c r="V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/>
      <c r="U109" s="19"/>
      <c r="V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/>
      <c r="U110" s="19"/>
      <c r="V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1.0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/>
      <c r="U111" s="19"/>
      <c r="V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1.0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/>
      <c r="U112" s="19"/>
      <c r="V112" s="13">
        <f t="shared" si="24"/>
        <v>1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V115" si="25">SUM(E105:E114)</f>
        <v>1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4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1.0</v>
      </c>
      <c r="T117" s="19"/>
      <c r="U117" s="19"/>
      <c r="V117" s="13">
        <f t="shared" ref="V117:V126" si="26">SUM(E117:U117)</f>
        <v>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/>
      <c r="U118" s="19"/>
      <c r="V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/>
      <c r="U119" s="19"/>
      <c r="V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1.0</v>
      </c>
      <c r="R120" s="19">
        <v>0.0</v>
      </c>
      <c r="S120" s="19">
        <v>1.0</v>
      </c>
      <c r="T120" s="19"/>
      <c r="U120" s="19"/>
      <c r="V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V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1</v>
      </c>
      <c r="R127" s="13">
        <f t="shared" si="27"/>
        <v>0</v>
      </c>
      <c r="S127" s="13">
        <f t="shared" si="27"/>
        <v>2</v>
      </c>
      <c r="T127" s="13">
        <f t="shared" si="27"/>
        <v>0</v>
      </c>
      <c r="U127" s="13">
        <f t="shared" si="27"/>
        <v>0</v>
      </c>
      <c r="V127" s="13">
        <f t="shared" si="27"/>
        <v>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1.0</v>
      </c>
      <c r="J129" s="19">
        <v>4.0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0.0</v>
      </c>
      <c r="V129" s="13">
        <f t="shared" ref="V129:V138" si="28">SUM(E129:U129)</f>
        <v>6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4.0</v>
      </c>
      <c r="F130" s="19">
        <v>1.0</v>
      </c>
      <c r="G130" s="19">
        <v>0.0</v>
      </c>
      <c r="H130" s="19">
        <v>0.0</v>
      </c>
      <c r="I130" s="19">
        <v>0.0</v>
      </c>
      <c r="J130" s="19">
        <v>0.0</v>
      </c>
      <c r="K130" s="19">
        <v>0.0</v>
      </c>
      <c r="L130" s="19">
        <v>0.0</v>
      </c>
      <c r="M130" s="19">
        <v>0.0</v>
      </c>
      <c r="N130" s="19">
        <v>4.0</v>
      </c>
      <c r="O130" s="19">
        <v>0.0</v>
      </c>
      <c r="P130" s="19">
        <v>5.0</v>
      </c>
      <c r="Q130" s="19">
        <v>0.0</v>
      </c>
      <c r="R130" s="19">
        <v>0.0</v>
      </c>
      <c r="S130" s="19">
        <v>3.0</v>
      </c>
      <c r="T130" s="19">
        <v>0.0</v>
      </c>
      <c r="U130" s="19">
        <v>2.0</v>
      </c>
      <c r="V130" s="13">
        <f t="shared" si="28"/>
        <v>19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1.0</v>
      </c>
      <c r="G131" s="19">
        <v>0.0</v>
      </c>
      <c r="H131" s="19">
        <v>0.0</v>
      </c>
      <c r="I131" s="19">
        <v>0.0</v>
      </c>
      <c r="J131" s="19">
        <v>3.0</v>
      </c>
      <c r="K131" s="19">
        <v>1.0</v>
      </c>
      <c r="L131" s="19">
        <v>0.0</v>
      </c>
      <c r="M131" s="19">
        <v>2.0</v>
      </c>
      <c r="N131" s="19">
        <v>0.0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9">
        <v>0.0</v>
      </c>
      <c r="U131" s="19">
        <v>0.0</v>
      </c>
      <c r="V131" s="13">
        <f t="shared" si="28"/>
        <v>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V139" si="29">SUM(E129:E138)</f>
        <v>4</v>
      </c>
      <c r="F139" s="13">
        <f t="shared" si="29"/>
        <v>2</v>
      </c>
      <c r="G139" s="13">
        <f t="shared" si="29"/>
        <v>0</v>
      </c>
      <c r="H139" s="13">
        <f t="shared" si="29"/>
        <v>1</v>
      </c>
      <c r="I139" s="13">
        <f t="shared" si="29"/>
        <v>1</v>
      </c>
      <c r="J139" s="13">
        <f t="shared" si="29"/>
        <v>7</v>
      </c>
      <c r="K139" s="13">
        <f t="shared" si="29"/>
        <v>2</v>
      </c>
      <c r="L139" s="13">
        <f t="shared" si="29"/>
        <v>0</v>
      </c>
      <c r="M139" s="13">
        <f t="shared" si="29"/>
        <v>2</v>
      </c>
      <c r="N139" s="13">
        <f t="shared" si="29"/>
        <v>4</v>
      </c>
      <c r="O139" s="13">
        <f t="shared" si="29"/>
        <v>0</v>
      </c>
      <c r="P139" s="13">
        <f t="shared" si="29"/>
        <v>5</v>
      </c>
      <c r="Q139" s="13">
        <f t="shared" si="29"/>
        <v>0</v>
      </c>
      <c r="R139" s="13">
        <f t="shared" si="29"/>
        <v>0</v>
      </c>
      <c r="S139" s="13">
        <f t="shared" si="29"/>
        <v>3</v>
      </c>
      <c r="T139" s="13">
        <f t="shared" si="29"/>
        <v>0</v>
      </c>
      <c r="U139" s="13">
        <f t="shared" si="29"/>
        <v>2</v>
      </c>
      <c r="V139" s="13">
        <f t="shared" si="29"/>
        <v>33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>
        <v>0.0</v>
      </c>
      <c r="U141" s="19">
        <v>0.0</v>
      </c>
      <c r="V141" s="13">
        <f t="shared" ref="V141:V150" si="30">SUM(E141:U141)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>
        <v>0.0</v>
      </c>
      <c r="U142" s="19">
        <v>0.0</v>
      </c>
      <c r="V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>
        <v>1.0</v>
      </c>
      <c r="U143" s="19">
        <v>0.0</v>
      </c>
      <c r="V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>
        <v>0.0</v>
      </c>
      <c r="U144" s="19">
        <v>0.0</v>
      </c>
      <c r="V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>
        <v>0.0</v>
      </c>
      <c r="U145" s="19">
        <v>0.0</v>
      </c>
      <c r="V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>
        <v>0.0</v>
      </c>
      <c r="U146" s="19">
        <v>0.0</v>
      </c>
      <c r="V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>
        <v>0.0</v>
      </c>
      <c r="U147" s="19">
        <v>0.0</v>
      </c>
      <c r="V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>
        <v>0.0</v>
      </c>
      <c r="U148" s="19">
        <v>0.0</v>
      </c>
      <c r="V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V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1</v>
      </c>
      <c r="U151" s="13">
        <f t="shared" si="31"/>
        <v>0</v>
      </c>
      <c r="V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/>
      <c r="T153" s="19"/>
      <c r="U153" s="19"/>
      <c r="V153" s="13">
        <f t="shared" ref="V153:V162" si="32">SUM(E153:U153)</f>
        <v>0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1.0</v>
      </c>
      <c r="Q154" s="19">
        <v>0.0</v>
      </c>
      <c r="R154" s="19">
        <v>0.0</v>
      </c>
      <c r="S154" s="19"/>
      <c r="T154" s="19"/>
      <c r="U154" s="19"/>
      <c r="V154" s="13">
        <f t="shared" si="32"/>
        <v>2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1.0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/>
      <c r="T155" s="19"/>
      <c r="U155" s="19"/>
      <c r="V155" s="13">
        <f t="shared" si="32"/>
        <v>2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/>
      <c r="T156" s="19"/>
      <c r="U156" s="19"/>
      <c r="V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/>
      <c r="T157" s="19"/>
      <c r="U157" s="19"/>
      <c r="V157" s="13">
        <f t="shared" si="32"/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3">
        <f t="shared" si="32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V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1</v>
      </c>
      <c r="Q163" s="13">
        <f t="shared" si="33"/>
        <v>1</v>
      </c>
      <c r="R163" s="13">
        <f t="shared" si="33"/>
        <v>1</v>
      </c>
      <c r="S163" s="13">
        <f t="shared" si="33"/>
        <v>0</v>
      </c>
      <c r="T163" s="13">
        <f t="shared" si="33"/>
        <v>0</v>
      </c>
      <c r="U163" s="13">
        <f t="shared" si="33"/>
        <v>0</v>
      </c>
      <c r="V163" s="13">
        <f t="shared" si="33"/>
        <v>5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2.0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/>
      <c r="U165" s="19"/>
      <c r="V165" s="13">
        <f t="shared" ref="V165:V174" si="34">SUM(E165:U165)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/>
      <c r="U166" s="19"/>
      <c r="V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/>
      <c r="U167" s="19"/>
      <c r="V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1.0</v>
      </c>
      <c r="T168" s="19"/>
      <c r="U168" s="19"/>
      <c r="V168" s="13">
        <f t="shared" si="34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1.0</v>
      </c>
      <c r="R169" s="19">
        <v>0.0</v>
      </c>
      <c r="S169" s="19">
        <v>0.0</v>
      </c>
      <c r="T169" s="19"/>
      <c r="U169" s="19"/>
      <c r="V169" s="13">
        <f t="shared" si="34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/>
      <c r="U170" s="19"/>
      <c r="V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/>
      <c r="U171" s="19"/>
      <c r="V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1.0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/>
      <c r="U172" s="19"/>
      <c r="V172" s="13">
        <f t="shared" si="34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V175" si="35">SUM(E165:E174)</f>
        <v>0</v>
      </c>
      <c r="F175" s="13">
        <f t="shared" si="35"/>
        <v>2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  <c r="R175" s="13">
        <f t="shared" si="35"/>
        <v>0</v>
      </c>
      <c r="S175" s="13">
        <f t="shared" si="35"/>
        <v>2</v>
      </c>
      <c r="T175" s="13">
        <f t="shared" si="35"/>
        <v>0</v>
      </c>
      <c r="U175" s="13">
        <f t="shared" si="35"/>
        <v>0</v>
      </c>
      <c r="V175" s="13">
        <f t="shared" si="35"/>
        <v>6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2.0</v>
      </c>
      <c r="G177" s="19">
        <v>0.0</v>
      </c>
      <c r="H177" s="19">
        <v>0.0</v>
      </c>
      <c r="I177" s="19">
        <v>0.0</v>
      </c>
      <c r="J177" s="19">
        <v>2.0</v>
      </c>
      <c r="K177" s="19">
        <v>0.0</v>
      </c>
      <c r="L177" s="19">
        <v>2.0</v>
      </c>
      <c r="M177" s="19">
        <v>0.0</v>
      </c>
      <c r="N177" s="19">
        <v>0.0</v>
      </c>
      <c r="O177" s="19">
        <v>0.0</v>
      </c>
      <c r="P177" s="19">
        <v>1.0</v>
      </c>
      <c r="Q177" s="19">
        <v>0.0</v>
      </c>
      <c r="R177" s="19">
        <v>0.0</v>
      </c>
      <c r="S177" s="19">
        <v>0.0</v>
      </c>
      <c r="T177" s="19">
        <v>1.0</v>
      </c>
      <c r="U177" s="19">
        <v>1.0</v>
      </c>
      <c r="V177" s="13">
        <f t="shared" ref="V177:V186" si="36">SUM(E177:U177)</f>
        <v>9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1.0</v>
      </c>
      <c r="J178" s="19">
        <v>1.0</v>
      </c>
      <c r="K178" s="19">
        <v>2.0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0.0</v>
      </c>
      <c r="T178" s="19">
        <v>0.0</v>
      </c>
      <c r="U178" s="19">
        <v>0.0</v>
      </c>
      <c r="V178" s="13">
        <f t="shared" si="36"/>
        <v>4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3">
        <f t="shared" si="36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1.0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1.0</v>
      </c>
      <c r="U182" s="19">
        <v>0.0</v>
      </c>
      <c r="V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1.0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V187" si="37">SUM(E177:E186)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3</v>
      </c>
      <c r="K187" s="13">
        <f t="shared" si="37"/>
        <v>3</v>
      </c>
      <c r="L187" s="13">
        <f t="shared" si="37"/>
        <v>2</v>
      </c>
      <c r="M187" s="13">
        <f t="shared" si="37"/>
        <v>1</v>
      </c>
      <c r="N187" s="13">
        <f t="shared" si="37"/>
        <v>0</v>
      </c>
      <c r="O187" s="13">
        <f t="shared" si="37"/>
        <v>0</v>
      </c>
      <c r="P187" s="13">
        <f t="shared" si="37"/>
        <v>2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2</v>
      </c>
      <c r="U187" s="13">
        <f t="shared" si="37"/>
        <v>1</v>
      </c>
      <c r="V187" s="13">
        <f t="shared" si="37"/>
        <v>17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3">
        <f t="shared" ref="V189:V198" si="38">SUM(E189:U189)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V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  <c r="U199" s="13">
        <f t="shared" si="39"/>
        <v>0</v>
      </c>
      <c r="V199" s="13">
        <f t="shared" si="39"/>
        <v>0</v>
      </c>
    </row>
    <row r="200" ht="12.75" customHeight="1">
      <c r="A200" s="24"/>
      <c r="B200" s="15"/>
      <c r="C200" s="15"/>
      <c r="D200" s="15"/>
      <c r="E200" s="16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78"/>
      <c r="U200" s="78"/>
      <c r="V200" s="78"/>
    </row>
    <row r="201" ht="12.75" customHeight="1">
      <c r="A201" s="30" t="s">
        <v>37</v>
      </c>
      <c r="B201" s="47" t="s">
        <v>146</v>
      </c>
      <c r="C201" s="48" t="s">
        <v>147</v>
      </c>
      <c r="D201" s="15"/>
      <c r="E201" s="69">
        <v>1.0</v>
      </c>
      <c r="F201" s="69">
        <v>2.0</v>
      </c>
      <c r="G201" s="69">
        <v>1.0</v>
      </c>
      <c r="H201" s="69">
        <v>4.0</v>
      </c>
      <c r="I201" s="69">
        <v>3.0</v>
      </c>
      <c r="J201" s="69">
        <v>1.0</v>
      </c>
      <c r="K201" s="69">
        <v>2.0</v>
      </c>
      <c r="L201" s="69">
        <v>4.0</v>
      </c>
      <c r="M201" s="69">
        <v>0.0</v>
      </c>
      <c r="N201" s="69">
        <v>7.0</v>
      </c>
      <c r="O201" s="69">
        <v>2.0</v>
      </c>
      <c r="P201" s="69">
        <v>5.0</v>
      </c>
      <c r="Q201" s="69">
        <v>1.0</v>
      </c>
      <c r="R201" s="69">
        <v>1.0</v>
      </c>
      <c r="S201" s="69">
        <v>1.0</v>
      </c>
      <c r="T201" s="80">
        <v>3.0</v>
      </c>
      <c r="U201" s="19">
        <v>0.0</v>
      </c>
      <c r="V201" s="13">
        <f t="shared" ref="V201:V210" si="40">SUM(E201:U201)</f>
        <v>38</v>
      </c>
    </row>
    <row r="202" ht="12.75" customHeight="1">
      <c r="A202" s="30" t="s">
        <v>39</v>
      </c>
      <c r="B202" s="55">
        <v>1.0</v>
      </c>
      <c r="C202" s="50" t="s">
        <v>148</v>
      </c>
      <c r="D202" s="82"/>
      <c r="E202" s="69">
        <v>3.0</v>
      </c>
      <c r="F202" s="69">
        <v>3.0</v>
      </c>
      <c r="G202" s="69">
        <v>3.0</v>
      </c>
      <c r="H202" s="69">
        <v>6.0</v>
      </c>
      <c r="I202" s="69">
        <v>6.0</v>
      </c>
      <c r="J202" s="69">
        <v>3.0</v>
      </c>
      <c r="K202" s="69">
        <v>5.0</v>
      </c>
      <c r="L202" s="69">
        <v>2.0</v>
      </c>
      <c r="M202" s="69">
        <v>0.0</v>
      </c>
      <c r="N202" s="69">
        <v>3.0</v>
      </c>
      <c r="O202" s="69">
        <v>7.0</v>
      </c>
      <c r="P202" s="69">
        <v>3.0</v>
      </c>
      <c r="Q202" s="69">
        <v>5.0</v>
      </c>
      <c r="R202" s="69">
        <v>0.0</v>
      </c>
      <c r="S202" s="69">
        <v>0.0</v>
      </c>
      <c r="T202" s="80">
        <v>4.0</v>
      </c>
      <c r="U202" s="19">
        <v>3.0</v>
      </c>
      <c r="V202" s="13">
        <f t="shared" si="40"/>
        <v>56</v>
      </c>
    </row>
    <row r="203" ht="12.75" customHeight="1">
      <c r="A203" s="18"/>
      <c r="B203" s="55">
        <v>2.0</v>
      </c>
      <c r="C203" s="50" t="s">
        <v>149</v>
      </c>
      <c r="D203" s="82"/>
      <c r="E203" s="69">
        <v>0.0</v>
      </c>
      <c r="F203" s="69">
        <v>0.0</v>
      </c>
      <c r="G203" s="69">
        <v>1.0</v>
      </c>
      <c r="H203" s="69">
        <v>0.0</v>
      </c>
      <c r="I203" s="69">
        <v>1.0</v>
      </c>
      <c r="J203" s="69">
        <v>2.0</v>
      </c>
      <c r="K203" s="69">
        <v>2.0</v>
      </c>
      <c r="L203" s="69">
        <v>0.0</v>
      </c>
      <c r="M203" s="69">
        <v>0.0</v>
      </c>
      <c r="N203" s="69">
        <v>2.0</v>
      </c>
      <c r="O203" s="69">
        <v>2.0</v>
      </c>
      <c r="P203" s="69">
        <v>2.0</v>
      </c>
      <c r="Q203" s="69">
        <v>1.0</v>
      </c>
      <c r="R203" s="69">
        <v>2.0</v>
      </c>
      <c r="S203" s="69">
        <v>0.0</v>
      </c>
      <c r="T203" s="80">
        <v>0.0</v>
      </c>
      <c r="U203" s="19">
        <v>0.0</v>
      </c>
      <c r="V203" s="13">
        <f t="shared" si="40"/>
        <v>15</v>
      </c>
    </row>
    <row r="204" ht="12.75" customHeight="1">
      <c r="A204" s="18"/>
      <c r="B204" s="55">
        <v>3.0</v>
      </c>
      <c r="C204" s="50" t="s">
        <v>150</v>
      </c>
      <c r="D204" s="82"/>
      <c r="E204" s="69">
        <v>0.0</v>
      </c>
      <c r="F204" s="69">
        <v>0.0</v>
      </c>
      <c r="G204" s="69">
        <v>0.0</v>
      </c>
      <c r="H204" s="69">
        <v>0.0</v>
      </c>
      <c r="I204" s="69">
        <v>0.0</v>
      </c>
      <c r="J204" s="69">
        <v>0.0</v>
      </c>
      <c r="K204" s="69">
        <v>1.0</v>
      </c>
      <c r="L204" s="69">
        <v>3.0</v>
      </c>
      <c r="M204" s="69">
        <v>0.0</v>
      </c>
      <c r="N204" s="69">
        <v>0.0</v>
      </c>
      <c r="O204" s="69">
        <v>4.0</v>
      </c>
      <c r="P204" s="69">
        <v>1.0</v>
      </c>
      <c r="Q204" s="69">
        <v>0.0</v>
      </c>
      <c r="R204" s="69">
        <v>0.0</v>
      </c>
      <c r="S204" s="69">
        <v>0.0</v>
      </c>
      <c r="T204" s="80">
        <v>0.0</v>
      </c>
      <c r="U204" s="19">
        <v>0.0</v>
      </c>
      <c r="V204" s="13">
        <f t="shared" si="40"/>
        <v>9</v>
      </c>
    </row>
    <row r="205" ht="12.75" customHeight="1">
      <c r="A205" s="18"/>
      <c r="B205" s="55">
        <v>4.0</v>
      </c>
      <c r="C205" s="50" t="s">
        <v>151</v>
      </c>
      <c r="D205" s="82"/>
      <c r="E205" s="69">
        <v>0.0</v>
      </c>
      <c r="F205" s="69">
        <v>0.0</v>
      </c>
      <c r="G205" s="69">
        <v>0.0</v>
      </c>
      <c r="H205" s="69">
        <v>0.0</v>
      </c>
      <c r="I205" s="69">
        <v>0.0</v>
      </c>
      <c r="J205" s="69">
        <v>0.0</v>
      </c>
      <c r="K205" s="69">
        <v>0.0</v>
      </c>
      <c r="L205" s="69">
        <v>0.0</v>
      </c>
      <c r="M205" s="69">
        <v>2.0</v>
      </c>
      <c r="N205" s="69">
        <v>1.0</v>
      </c>
      <c r="O205" s="69">
        <v>0.0</v>
      </c>
      <c r="P205" s="69">
        <v>0.0</v>
      </c>
      <c r="Q205" s="69">
        <v>0.0</v>
      </c>
      <c r="R205" s="69">
        <v>0.0</v>
      </c>
      <c r="S205" s="69">
        <v>0.0</v>
      </c>
      <c r="T205" s="80">
        <v>1.0</v>
      </c>
      <c r="U205" s="19">
        <v>0.0</v>
      </c>
      <c r="V205" s="13">
        <f t="shared" si="40"/>
        <v>4</v>
      </c>
    </row>
    <row r="206" ht="12.75" customHeight="1">
      <c r="A206" s="18"/>
      <c r="B206" s="55">
        <v>5.0</v>
      </c>
      <c r="C206" s="50" t="s">
        <v>152</v>
      </c>
      <c r="D206" s="82"/>
      <c r="E206" s="69">
        <v>0.0</v>
      </c>
      <c r="F206" s="69">
        <v>0.0</v>
      </c>
      <c r="G206" s="69">
        <v>0.0</v>
      </c>
      <c r="H206" s="69">
        <v>0.0</v>
      </c>
      <c r="I206" s="69">
        <v>0.0</v>
      </c>
      <c r="J206" s="69">
        <v>0.0</v>
      </c>
      <c r="K206" s="69">
        <v>0.0</v>
      </c>
      <c r="L206" s="69">
        <v>0.0</v>
      </c>
      <c r="M206" s="69">
        <v>0.0</v>
      </c>
      <c r="N206" s="69">
        <v>0.0</v>
      </c>
      <c r="O206" s="69">
        <v>0.0</v>
      </c>
      <c r="P206" s="69">
        <v>1.0</v>
      </c>
      <c r="Q206" s="69">
        <v>0.0</v>
      </c>
      <c r="R206" s="69">
        <v>0.0</v>
      </c>
      <c r="S206" s="69">
        <v>0.0</v>
      </c>
      <c r="T206" s="80">
        <v>1.0</v>
      </c>
      <c r="U206" s="19">
        <v>0.0</v>
      </c>
      <c r="V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82"/>
      <c r="E207" s="69">
        <v>0.0</v>
      </c>
      <c r="F207" s="69">
        <v>0.0</v>
      </c>
      <c r="G207" s="69">
        <v>0.0</v>
      </c>
      <c r="H207" s="69">
        <v>0.0</v>
      </c>
      <c r="I207" s="69">
        <v>0.0</v>
      </c>
      <c r="J207" s="69">
        <v>0.0</v>
      </c>
      <c r="K207" s="69">
        <v>1.0</v>
      </c>
      <c r="L207" s="69">
        <v>0.0</v>
      </c>
      <c r="M207" s="69">
        <v>0.0</v>
      </c>
      <c r="N207" s="69">
        <v>0.0</v>
      </c>
      <c r="O207" s="69">
        <v>0.0</v>
      </c>
      <c r="P207" s="69">
        <v>0.0</v>
      </c>
      <c r="Q207" s="69">
        <v>0.0</v>
      </c>
      <c r="R207" s="69">
        <v>0.0</v>
      </c>
      <c r="S207" s="69">
        <v>0.0</v>
      </c>
      <c r="T207" s="80">
        <v>0.0</v>
      </c>
      <c r="U207" s="19">
        <v>0.0</v>
      </c>
      <c r="V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82"/>
      <c r="E208" s="69">
        <v>0.0</v>
      </c>
      <c r="F208" s="69">
        <v>0.0</v>
      </c>
      <c r="G208" s="69">
        <v>0.0</v>
      </c>
      <c r="H208" s="69">
        <v>0.0</v>
      </c>
      <c r="I208" s="69">
        <v>0.0</v>
      </c>
      <c r="J208" s="69">
        <v>0.0</v>
      </c>
      <c r="K208" s="69">
        <v>1.0</v>
      </c>
      <c r="L208" s="69">
        <v>1.0</v>
      </c>
      <c r="M208" s="69">
        <v>0.0</v>
      </c>
      <c r="N208" s="69">
        <v>1.0</v>
      </c>
      <c r="O208" s="69">
        <v>0.0</v>
      </c>
      <c r="P208" s="69">
        <v>0.0</v>
      </c>
      <c r="Q208" s="69">
        <v>0.0</v>
      </c>
      <c r="R208" s="69">
        <v>1.0</v>
      </c>
      <c r="S208" s="69">
        <v>0.0</v>
      </c>
      <c r="T208" s="80">
        <v>0.0</v>
      </c>
      <c r="U208" s="19">
        <v>0.0</v>
      </c>
      <c r="V208" s="13">
        <f t="shared" si="40"/>
        <v>4</v>
      </c>
    </row>
    <row r="209" ht="12.75" customHeight="1">
      <c r="A209" s="18"/>
      <c r="B209" s="56"/>
      <c r="C209" s="57"/>
      <c r="D209" s="62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83"/>
      <c r="Q209" s="83"/>
      <c r="R209" s="83"/>
      <c r="S209" s="83"/>
      <c r="T209" s="19"/>
      <c r="U209" s="19"/>
      <c r="V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V211" si="41">SUM(E201:E210)</f>
        <v>4</v>
      </c>
      <c r="F211" s="13">
        <f t="shared" si="41"/>
        <v>5</v>
      </c>
      <c r="G211" s="13">
        <f t="shared" si="41"/>
        <v>5</v>
      </c>
      <c r="H211" s="13">
        <f t="shared" si="41"/>
        <v>10</v>
      </c>
      <c r="I211" s="13">
        <f t="shared" si="41"/>
        <v>10</v>
      </c>
      <c r="J211" s="13">
        <f t="shared" si="41"/>
        <v>6</v>
      </c>
      <c r="K211" s="13">
        <f t="shared" si="41"/>
        <v>12</v>
      </c>
      <c r="L211" s="13">
        <f t="shared" si="41"/>
        <v>10</v>
      </c>
      <c r="M211" s="13">
        <f t="shared" si="41"/>
        <v>2</v>
      </c>
      <c r="N211" s="13">
        <f t="shared" si="41"/>
        <v>14</v>
      </c>
      <c r="O211" s="13">
        <f t="shared" si="41"/>
        <v>15</v>
      </c>
      <c r="P211" s="13">
        <f t="shared" si="41"/>
        <v>12</v>
      </c>
      <c r="Q211" s="13">
        <f t="shared" si="41"/>
        <v>7</v>
      </c>
      <c r="R211" s="13">
        <f t="shared" si="41"/>
        <v>4</v>
      </c>
      <c r="S211" s="13">
        <f t="shared" si="41"/>
        <v>1</v>
      </c>
      <c r="T211" s="13">
        <f t="shared" si="41"/>
        <v>9</v>
      </c>
      <c r="U211" s="13">
        <f t="shared" si="41"/>
        <v>3</v>
      </c>
      <c r="V211" s="13">
        <f t="shared" si="41"/>
        <v>129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2.0</v>
      </c>
      <c r="H213" s="19">
        <v>0.0</v>
      </c>
      <c r="I213" s="19">
        <v>1.0</v>
      </c>
      <c r="J213" s="19">
        <v>2.0</v>
      </c>
      <c r="K213" s="19">
        <v>1.0</v>
      </c>
      <c r="L213" s="19">
        <v>2.0</v>
      </c>
      <c r="M213" s="19">
        <v>3.0</v>
      </c>
      <c r="N213" s="19">
        <v>3.0</v>
      </c>
      <c r="O213" s="19">
        <v>0.0</v>
      </c>
      <c r="P213" s="19">
        <v>4.0</v>
      </c>
      <c r="Q213" s="19">
        <v>0.0</v>
      </c>
      <c r="R213" s="19">
        <v>1.0</v>
      </c>
      <c r="S213" s="19">
        <v>1.0</v>
      </c>
      <c r="T213" s="19">
        <v>2.0</v>
      </c>
      <c r="U213" s="19">
        <v>5.0</v>
      </c>
      <c r="V213" s="13">
        <f t="shared" ref="V213:V222" si="42">SUM(E213:U213)</f>
        <v>29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1.0</v>
      </c>
      <c r="G214" s="19">
        <v>0.0</v>
      </c>
      <c r="H214" s="19">
        <v>2.0</v>
      </c>
      <c r="I214" s="19">
        <v>0.0</v>
      </c>
      <c r="J214" s="19">
        <v>1.0</v>
      </c>
      <c r="K214" s="19">
        <v>1.0</v>
      </c>
      <c r="L214" s="19">
        <v>1.0</v>
      </c>
      <c r="M214" s="19">
        <v>1.0</v>
      </c>
      <c r="N214" s="19">
        <v>0.0</v>
      </c>
      <c r="O214" s="19">
        <v>2.0</v>
      </c>
      <c r="P214" s="19">
        <v>1.0</v>
      </c>
      <c r="Q214" s="19">
        <v>0.0</v>
      </c>
      <c r="R214" s="19">
        <v>1.0</v>
      </c>
      <c r="S214" s="19">
        <v>1.0</v>
      </c>
      <c r="T214" s="19">
        <v>3.0</v>
      </c>
      <c r="U214" s="19">
        <v>1.0</v>
      </c>
      <c r="V214" s="13">
        <f t="shared" si="42"/>
        <v>16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9.0</v>
      </c>
      <c r="F215" s="19">
        <v>13.0</v>
      </c>
      <c r="G215" s="19">
        <v>19.0</v>
      </c>
      <c r="H215" s="19">
        <v>35.0</v>
      </c>
      <c r="I215" s="19">
        <v>12.0</v>
      </c>
      <c r="J215" s="19">
        <v>10.0</v>
      </c>
      <c r="K215" s="19">
        <v>3.0</v>
      </c>
      <c r="L215" s="19">
        <v>61.0</v>
      </c>
      <c r="M215" s="19">
        <v>91.0</v>
      </c>
      <c r="N215" s="19">
        <v>54.0</v>
      </c>
      <c r="O215" s="19">
        <v>25.0</v>
      </c>
      <c r="P215" s="19">
        <v>71.0</v>
      </c>
      <c r="Q215" s="19">
        <v>36.0</v>
      </c>
      <c r="R215" s="19">
        <v>39.0</v>
      </c>
      <c r="S215" s="19">
        <v>69.0</v>
      </c>
      <c r="T215" s="19">
        <v>57.0</v>
      </c>
      <c r="U215" s="19">
        <v>82.0</v>
      </c>
      <c r="V215" s="13">
        <f t="shared" si="42"/>
        <v>686</v>
      </c>
    </row>
    <row r="216" ht="12.75" customHeight="1">
      <c r="A216" s="18"/>
      <c r="B216" s="55">
        <v>3.0</v>
      </c>
      <c r="C216" s="69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1.0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1.0</v>
      </c>
      <c r="T216" s="19">
        <v>1.0</v>
      </c>
      <c r="U216" s="19">
        <v>0.0</v>
      </c>
      <c r="V216" s="13">
        <f t="shared" si="42"/>
        <v>5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1.0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V223" si="43">SUM(E213:E222)</f>
        <v>12</v>
      </c>
      <c r="F223" s="13">
        <f t="shared" si="43"/>
        <v>15</v>
      </c>
      <c r="G223" s="13">
        <f t="shared" si="43"/>
        <v>21</v>
      </c>
      <c r="H223" s="13">
        <f t="shared" si="43"/>
        <v>37</v>
      </c>
      <c r="I223" s="13">
        <f t="shared" si="43"/>
        <v>13</v>
      </c>
      <c r="J223" s="13">
        <f t="shared" si="43"/>
        <v>13</v>
      </c>
      <c r="K223" s="13">
        <f t="shared" si="43"/>
        <v>5</v>
      </c>
      <c r="L223" s="13">
        <f t="shared" si="43"/>
        <v>65</v>
      </c>
      <c r="M223" s="13">
        <f t="shared" si="43"/>
        <v>96</v>
      </c>
      <c r="N223" s="13">
        <f t="shared" si="43"/>
        <v>57</v>
      </c>
      <c r="O223" s="13">
        <f t="shared" si="43"/>
        <v>27</v>
      </c>
      <c r="P223" s="13">
        <f t="shared" si="43"/>
        <v>76</v>
      </c>
      <c r="Q223" s="13">
        <f t="shared" si="43"/>
        <v>36</v>
      </c>
      <c r="R223" s="13">
        <f t="shared" si="43"/>
        <v>41</v>
      </c>
      <c r="S223" s="13">
        <f t="shared" si="43"/>
        <v>72</v>
      </c>
      <c r="T223" s="13">
        <f t="shared" si="43"/>
        <v>63</v>
      </c>
      <c r="U223" s="13">
        <f t="shared" si="43"/>
        <v>88</v>
      </c>
      <c r="V223" s="13">
        <f t="shared" si="43"/>
        <v>737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/>
      <c r="U225" s="19"/>
      <c r="V225" s="13">
        <f t="shared" ref="V225:V234" si="44">SUM(E225:U225)</f>
        <v>4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9"/>
      <c r="U226" s="19"/>
      <c r="V226" s="13">
        <f t="shared" si="44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/>
      <c r="U227" s="19"/>
      <c r="V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/>
      <c r="U228" s="19"/>
      <c r="V228" s="13">
        <f t="shared" si="44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/>
      <c r="U229" s="19"/>
      <c r="V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/>
      <c r="U230" s="19"/>
      <c r="V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/>
      <c r="U231" s="19"/>
      <c r="V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/>
      <c r="U232" s="19"/>
      <c r="V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V235" si="45">SUM(E225:E234)</f>
        <v>1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1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5"/>
        <v>0</v>
      </c>
      <c r="U235" s="13">
        <f t="shared" si="45"/>
        <v>0</v>
      </c>
      <c r="V235" s="13">
        <f t="shared" si="45"/>
        <v>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1.0</v>
      </c>
      <c r="H237" s="19">
        <v>1.0</v>
      </c>
      <c r="I237" s="19">
        <v>1.0</v>
      </c>
      <c r="J237" s="19">
        <v>1.0</v>
      </c>
      <c r="K237" s="19">
        <v>1.0</v>
      </c>
      <c r="L237" s="19">
        <v>2.0</v>
      </c>
      <c r="M237" s="19">
        <v>0.0</v>
      </c>
      <c r="N237" s="19">
        <v>0.0</v>
      </c>
      <c r="O237" s="19">
        <v>0.0</v>
      </c>
      <c r="P237" s="19">
        <v>0.0</v>
      </c>
      <c r="Q237" s="19">
        <v>1.0</v>
      </c>
      <c r="R237" s="19">
        <v>0.0</v>
      </c>
      <c r="S237" s="19">
        <v>0.0</v>
      </c>
      <c r="T237" s="19">
        <v>0.0</v>
      </c>
      <c r="U237" s="19">
        <v>0.0</v>
      </c>
      <c r="V237" s="13">
        <f t="shared" ref="V237:V246" si="46">SUM(E237:U237)</f>
        <v>9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0.0</v>
      </c>
      <c r="H238" s="19">
        <v>4.0</v>
      </c>
      <c r="I238" s="19">
        <v>0.0</v>
      </c>
      <c r="J238" s="19">
        <v>1.0</v>
      </c>
      <c r="K238" s="19">
        <v>1.0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9">
        <v>0.0</v>
      </c>
      <c r="U238" s="19"/>
      <c r="V238" s="13">
        <f t="shared" si="46"/>
        <v>7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3.0</v>
      </c>
      <c r="H239" s="19">
        <v>1.0</v>
      </c>
      <c r="I239" s="19">
        <v>0.0</v>
      </c>
      <c r="J239" s="19">
        <v>1.0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1.0</v>
      </c>
      <c r="R239" s="19">
        <v>0.0</v>
      </c>
      <c r="S239" s="19">
        <v>0.0</v>
      </c>
      <c r="T239" s="19">
        <v>0.0</v>
      </c>
      <c r="U239" s="19">
        <v>0.0</v>
      </c>
      <c r="V239" s="13">
        <f t="shared" si="46"/>
        <v>7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0.0</v>
      </c>
      <c r="V240" s="13">
        <f t="shared" si="46"/>
        <v>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0.0</v>
      </c>
      <c r="U241" s="19">
        <v>0.0</v>
      </c>
      <c r="V241" s="13">
        <f t="shared" si="46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2.0</v>
      </c>
      <c r="G244" s="19">
        <v>0.0</v>
      </c>
      <c r="H244" s="19">
        <v>0.0</v>
      </c>
      <c r="I244" s="19">
        <v>0.0</v>
      </c>
      <c r="J244" s="19">
        <v>0.0</v>
      </c>
      <c r="K244" s="19">
        <v>8.0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/>
      <c r="T244" s="19"/>
      <c r="U244" s="19">
        <v>1.0</v>
      </c>
      <c r="V244" s="13">
        <f t="shared" si="46"/>
        <v>11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V247" si="47">SUM(E237:E246)</f>
        <v>1</v>
      </c>
      <c r="F247" s="13">
        <f t="shared" si="47"/>
        <v>3</v>
      </c>
      <c r="G247" s="13">
        <f t="shared" si="47"/>
        <v>4</v>
      </c>
      <c r="H247" s="13">
        <f t="shared" si="47"/>
        <v>6</v>
      </c>
      <c r="I247" s="13">
        <f t="shared" si="47"/>
        <v>1</v>
      </c>
      <c r="J247" s="13">
        <f t="shared" si="47"/>
        <v>3</v>
      </c>
      <c r="K247" s="13">
        <f t="shared" si="47"/>
        <v>11</v>
      </c>
      <c r="L247" s="13">
        <f t="shared" si="47"/>
        <v>2</v>
      </c>
      <c r="M247" s="13">
        <f t="shared" si="47"/>
        <v>0</v>
      </c>
      <c r="N247" s="13">
        <f t="shared" si="47"/>
        <v>0</v>
      </c>
      <c r="O247" s="13">
        <f t="shared" si="47"/>
        <v>0</v>
      </c>
      <c r="P247" s="13">
        <f t="shared" si="47"/>
        <v>0</v>
      </c>
      <c r="Q247" s="13">
        <f t="shared" si="47"/>
        <v>2</v>
      </c>
      <c r="R247" s="13">
        <f t="shared" si="47"/>
        <v>0</v>
      </c>
      <c r="S247" s="13">
        <f t="shared" si="47"/>
        <v>0</v>
      </c>
      <c r="T247" s="13">
        <f t="shared" si="47"/>
        <v>0</v>
      </c>
      <c r="U247" s="13">
        <f t="shared" si="47"/>
        <v>1</v>
      </c>
      <c r="V247" s="13">
        <f t="shared" si="47"/>
        <v>34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/>
      <c r="U249" s="19">
        <v>0.0</v>
      </c>
      <c r="V249" s="13">
        <f t="shared" ref="V249:V258" si="48">SUM(E249:U249)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3">
        <f t="shared" si="48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3">
        <f t="shared" si="48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3">
        <f t="shared" si="48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3">
        <f t="shared" si="48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V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9"/>
        <v>0</v>
      </c>
      <c r="U259" s="13">
        <f t="shared" si="49"/>
        <v>0</v>
      </c>
      <c r="V259" s="13">
        <f t="shared" si="49"/>
        <v>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13"/>
      <c r="T261" s="13"/>
      <c r="U261" s="13"/>
      <c r="V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U262" si="50">E55+E67+E79+E91+E103+E115+E127+E139+E151+E163+E175+E187+E199+E211+E223+E235+E247+E259</f>
        <v>201</v>
      </c>
      <c r="F262" s="19">
        <f t="shared" si="50"/>
        <v>177</v>
      </c>
      <c r="G262" s="19">
        <f t="shared" si="50"/>
        <v>139</v>
      </c>
      <c r="H262" s="19">
        <f t="shared" si="50"/>
        <v>153</v>
      </c>
      <c r="I262" s="19">
        <f t="shared" si="50"/>
        <v>165</v>
      </c>
      <c r="J262" s="19">
        <f t="shared" si="50"/>
        <v>132</v>
      </c>
      <c r="K262" s="19">
        <f t="shared" si="50"/>
        <v>118</v>
      </c>
      <c r="L262" s="19">
        <f t="shared" si="50"/>
        <v>184</v>
      </c>
      <c r="M262" s="19">
        <f t="shared" si="50"/>
        <v>155</v>
      </c>
      <c r="N262" s="19">
        <f t="shared" si="50"/>
        <v>182</v>
      </c>
      <c r="O262" s="19">
        <f t="shared" si="50"/>
        <v>145</v>
      </c>
      <c r="P262" s="19">
        <f t="shared" si="50"/>
        <v>163</v>
      </c>
      <c r="Q262" s="19">
        <f t="shared" si="50"/>
        <v>165</v>
      </c>
      <c r="R262" s="19">
        <f t="shared" si="50"/>
        <v>120</v>
      </c>
      <c r="S262" s="19">
        <f t="shared" si="50"/>
        <v>149</v>
      </c>
      <c r="T262" s="19">
        <f t="shared" si="50"/>
        <v>157</v>
      </c>
      <c r="U262" s="19">
        <f t="shared" si="50"/>
        <v>187</v>
      </c>
      <c r="V262" s="13">
        <f t="shared" ref="V262:V264" si="51">SUM(E262:U262)</f>
        <v>2692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15.0</v>
      </c>
      <c r="F263" s="19">
        <v>15.0</v>
      </c>
      <c r="G263" s="19">
        <v>17.0</v>
      </c>
      <c r="H263" s="19">
        <v>31.0</v>
      </c>
      <c r="I263" s="19">
        <v>16.0</v>
      </c>
      <c r="J263" s="19">
        <v>13.0</v>
      </c>
      <c r="K263" s="19">
        <v>19.0</v>
      </c>
      <c r="L263" s="19">
        <v>9.0</v>
      </c>
      <c r="M263" s="19">
        <v>6.0</v>
      </c>
      <c r="N263" s="19">
        <v>6.0</v>
      </c>
      <c r="O263" s="19">
        <v>10.0</v>
      </c>
      <c r="P263" s="19">
        <v>9.0</v>
      </c>
      <c r="Q263" s="19">
        <v>17.0</v>
      </c>
      <c r="R263" s="19">
        <v>21.0</v>
      </c>
      <c r="S263" s="19">
        <v>29.0</v>
      </c>
      <c r="T263" s="19">
        <v>29.0</v>
      </c>
      <c r="U263" s="19">
        <v>25.0</v>
      </c>
      <c r="V263" s="13">
        <f t="shared" si="51"/>
        <v>287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U264" si="52">SUM(E262:E263)</f>
        <v>216</v>
      </c>
      <c r="F264" s="13">
        <f t="shared" si="52"/>
        <v>192</v>
      </c>
      <c r="G264" s="13">
        <f t="shared" si="52"/>
        <v>156</v>
      </c>
      <c r="H264" s="13">
        <f t="shared" si="52"/>
        <v>184</v>
      </c>
      <c r="I264" s="13">
        <f t="shared" si="52"/>
        <v>181</v>
      </c>
      <c r="J264" s="13">
        <f t="shared" si="52"/>
        <v>145</v>
      </c>
      <c r="K264" s="13">
        <f t="shared" si="52"/>
        <v>137</v>
      </c>
      <c r="L264" s="13">
        <f t="shared" si="52"/>
        <v>193</v>
      </c>
      <c r="M264" s="13">
        <f t="shared" si="52"/>
        <v>161</v>
      </c>
      <c r="N264" s="13">
        <f t="shared" si="52"/>
        <v>188</v>
      </c>
      <c r="O264" s="13">
        <f t="shared" si="52"/>
        <v>155</v>
      </c>
      <c r="P264" s="13">
        <f t="shared" si="52"/>
        <v>172</v>
      </c>
      <c r="Q264" s="13">
        <f t="shared" si="52"/>
        <v>182</v>
      </c>
      <c r="R264" s="13">
        <f t="shared" si="52"/>
        <v>141</v>
      </c>
      <c r="S264" s="13">
        <f t="shared" si="52"/>
        <v>178</v>
      </c>
      <c r="T264" s="13">
        <f t="shared" si="52"/>
        <v>186</v>
      </c>
      <c r="U264" s="13">
        <f t="shared" si="52"/>
        <v>212</v>
      </c>
      <c r="V264" s="13">
        <f t="shared" si="51"/>
        <v>2979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U12"/>
    <mergeCell ref="V12:V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U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U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U15 E19:U20 E22:U23 E25:U26 E33:U33 E35:U35 E39:U40 E45:U54 E57:U66 E69:U78 E81:U90 E93:U102 E105:U114 E117:U126 E129:U138 E141:U150 E153:U162 E165:U174 E177:U186 E189:U198 E201:U210 E213:U222 E225:U234 E237:U246 E249:U258 E262:U263">
    <cfRule type="containsBlanks" dxfId="1" priority="1">
      <formula>LEN(TRIM(E14))=0</formula>
    </cfRule>
  </conditionalFormatting>
  <conditionalFormatting sqref="E30:U30">
    <cfRule type="expression" dxfId="0" priority="2">
      <formula>E30&lt;&gt;E47</formula>
    </cfRule>
  </conditionalFormatting>
  <conditionalFormatting sqref="E30:U30">
    <cfRule type="expression" dxfId="0" priority="3">
      <formula>E30&lt;&gt;E34</formula>
    </cfRule>
  </conditionalFormatting>
  <conditionalFormatting sqref="E34:U34">
    <cfRule type="expression" dxfId="2" priority="4">
      <formula>E30&lt;&gt;E34</formula>
    </cfRule>
  </conditionalFormatting>
  <conditionalFormatting sqref="E34:U34">
    <cfRule type="expression" dxfId="3" priority="5">
      <formula>E30=E34</formula>
    </cfRule>
  </conditionalFormatting>
  <conditionalFormatting sqref="E34:U34">
    <cfRule type="expression" dxfId="0" priority="6">
      <formula>E34&lt;&gt;E30</formula>
    </cfRule>
  </conditionalFormatting>
  <conditionalFormatting sqref="E34:U34">
    <cfRule type="expression" dxfId="0" priority="7">
      <formula>E34&lt;&gt;E64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217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138.0</v>
      </c>
      <c r="F14" s="19">
        <v>130.0</v>
      </c>
      <c r="G14" s="19">
        <v>130.0</v>
      </c>
      <c r="H14" s="19">
        <v>146.0</v>
      </c>
      <c r="I14" s="19">
        <v>139.0</v>
      </c>
      <c r="J14" s="19">
        <v>137.0</v>
      </c>
      <c r="K14" s="19">
        <v>149.0</v>
      </c>
      <c r="L14" s="19">
        <v>133.0</v>
      </c>
      <c r="M14" s="19">
        <v>123.0</v>
      </c>
      <c r="N14" s="19">
        <v>136.0</v>
      </c>
      <c r="O14" s="19">
        <v>128.0</v>
      </c>
      <c r="P14" s="19">
        <v>107.0</v>
      </c>
      <c r="Q14" s="19">
        <v>127.0</v>
      </c>
      <c r="R14" s="19">
        <v>117.0</v>
      </c>
      <c r="S14" s="13">
        <f t="shared" ref="S14:S16" si="1">SUM(E14:R14)</f>
        <v>1840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119.0</v>
      </c>
      <c r="G15" s="19">
        <v>135.0</v>
      </c>
      <c r="H15" s="19">
        <v>133.0</v>
      </c>
      <c r="I15" s="19">
        <v>129.0</v>
      </c>
      <c r="J15" s="19">
        <v>144.0</v>
      </c>
      <c r="K15" s="19">
        <v>133.0</v>
      </c>
      <c r="L15" s="19">
        <v>134.0</v>
      </c>
      <c r="M15" s="19">
        <v>115.0</v>
      </c>
      <c r="N15" s="19">
        <v>125.0</v>
      </c>
      <c r="O15" s="19">
        <v>139.0</v>
      </c>
      <c r="P15" s="19">
        <v>101.0</v>
      </c>
      <c r="Q15" s="19">
        <v>123.0</v>
      </c>
      <c r="R15" s="19">
        <v>112.0</v>
      </c>
      <c r="S15" s="13">
        <f t="shared" si="1"/>
        <v>1768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264</v>
      </c>
      <c r="F16" s="13">
        <f t="shared" si="2"/>
        <v>249</v>
      </c>
      <c r="G16" s="13">
        <f t="shared" si="2"/>
        <v>265</v>
      </c>
      <c r="H16" s="13">
        <f t="shared" si="2"/>
        <v>279</v>
      </c>
      <c r="I16" s="13">
        <f t="shared" si="2"/>
        <v>268</v>
      </c>
      <c r="J16" s="13">
        <f t="shared" si="2"/>
        <v>281</v>
      </c>
      <c r="K16" s="13">
        <f t="shared" si="2"/>
        <v>282</v>
      </c>
      <c r="L16" s="13">
        <f t="shared" si="2"/>
        <v>267</v>
      </c>
      <c r="M16" s="13">
        <f t="shared" si="2"/>
        <v>238</v>
      </c>
      <c r="N16" s="13">
        <f t="shared" si="2"/>
        <v>261</v>
      </c>
      <c r="O16" s="13">
        <f t="shared" si="2"/>
        <v>267</v>
      </c>
      <c r="P16" s="13">
        <f t="shared" si="2"/>
        <v>208</v>
      </c>
      <c r="Q16" s="13">
        <f t="shared" si="2"/>
        <v>250</v>
      </c>
      <c r="R16" s="13">
        <f t="shared" si="2"/>
        <v>229</v>
      </c>
      <c r="S16" s="13">
        <f t="shared" si="1"/>
        <v>3608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111.0</v>
      </c>
      <c r="F19" s="19">
        <v>107.0</v>
      </c>
      <c r="G19" s="19">
        <v>102.0</v>
      </c>
      <c r="H19" s="19">
        <v>112.0</v>
      </c>
      <c r="I19" s="19">
        <v>110.0</v>
      </c>
      <c r="J19" s="19">
        <v>105.0</v>
      </c>
      <c r="K19" s="19">
        <v>117.0</v>
      </c>
      <c r="L19" s="19">
        <v>102.0</v>
      </c>
      <c r="M19" s="19">
        <v>86.0</v>
      </c>
      <c r="N19" s="19">
        <v>101.0</v>
      </c>
      <c r="O19" s="19">
        <v>93.0</v>
      </c>
      <c r="P19" s="19">
        <v>82.0</v>
      </c>
      <c r="Q19" s="19">
        <v>97.0</v>
      </c>
      <c r="R19" s="19">
        <v>96.0</v>
      </c>
      <c r="S19" s="13">
        <f t="shared" ref="S19:S30" si="3">SUM(E19:R19)</f>
        <v>1421</v>
      </c>
    </row>
    <row r="20" ht="12.75" customHeight="1">
      <c r="A20" s="33"/>
      <c r="B20" s="27"/>
      <c r="C20" s="34"/>
      <c r="D20" s="19" t="s">
        <v>13</v>
      </c>
      <c r="E20" s="19">
        <v>108.0</v>
      </c>
      <c r="F20" s="19">
        <v>99.0</v>
      </c>
      <c r="G20" s="19">
        <v>113.0</v>
      </c>
      <c r="H20" s="19">
        <v>114.0</v>
      </c>
      <c r="I20" s="19">
        <v>106.0</v>
      </c>
      <c r="J20" s="19">
        <v>117.0</v>
      </c>
      <c r="K20" s="19">
        <v>115.0</v>
      </c>
      <c r="L20" s="19">
        <v>108.0</v>
      </c>
      <c r="M20" s="19">
        <v>93.0</v>
      </c>
      <c r="N20" s="19">
        <v>83.0</v>
      </c>
      <c r="O20" s="19">
        <v>108.0</v>
      </c>
      <c r="P20" s="19">
        <v>78.0</v>
      </c>
      <c r="Q20" s="19">
        <v>107.0</v>
      </c>
      <c r="R20" s="19">
        <v>98.0</v>
      </c>
      <c r="S20" s="13">
        <f t="shared" si="3"/>
        <v>1447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219</v>
      </c>
      <c r="F21" s="13">
        <f t="shared" si="4"/>
        <v>206</v>
      </c>
      <c r="G21" s="13">
        <f t="shared" si="4"/>
        <v>215</v>
      </c>
      <c r="H21" s="13">
        <f t="shared" si="4"/>
        <v>226</v>
      </c>
      <c r="I21" s="13">
        <f t="shared" si="4"/>
        <v>216</v>
      </c>
      <c r="J21" s="13">
        <f t="shared" si="4"/>
        <v>222</v>
      </c>
      <c r="K21" s="13">
        <f t="shared" si="4"/>
        <v>232</v>
      </c>
      <c r="L21" s="13">
        <f t="shared" si="4"/>
        <v>210</v>
      </c>
      <c r="M21" s="13">
        <f t="shared" si="4"/>
        <v>179</v>
      </c>
      <c r="N21" s="13">
        <f t="shared" si="4"/>
        <v>184</v>
      </c>
      <c r="O21" s="13">
        <f t="shared" si="4"/>
        <v>201</v>
      </c>
      <c r="P21" s="13">
        <f t="shared" si="4"/>
        <v>160</v>
      </c>
      <c r="Q21" s="13">
        <f t="shared" si="4"/>
        <v>204</v>
      </c>
      <c r="R21" s="13">
        <f t="shared" si="4"/>
        <v>194</v>
      </c>
      <c r="S21" s="13">
        <f t="shared" si="3"/>
        <v>2868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1.0</v>
      </c>
      <c r="G22" s="19">
        <v>0.0</v>
      </c>
      <c r="H22" s="19">
        <v>2.0</v>
      </c>
      <c r="I22" s="19">
        <v>1.0</v>
      </c>
      <c r="J22" s="19">
        <v>0.0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2.0</v>
      </c>
      <c r="J23" s="19">
        <v>0.0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3</v>
      </c>
      <c r="I24" s="13">
        <f t="shared" si="5"/>
        <v>3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10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4.0</v>
      </c>
      <c r="G25" s="19">
        <v>1.0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2.0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3">
        <f t="shared" si="3"/>
        <v>10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6.0</v>
      </c>
      <c r="G26" s="19">
        <v>1.0</v>
      </c>
      <c r="H26" s="19">
        <v>0.0</v>
      </c>
      <c r="I26" s="19">
        <v>0.0</v>
      </c>
      <c r="J26" s="19">
        <v>2.0</v>
      </c>
      <c r="K26" s="19">
        <v>0.0</v>
      </c>
      <c r="L26" s="19">
        <v>0.0</v>
      </c>
      <c r="M26" s="19">
        <v>3.0</v>
      </c>
      <c r="N26" s="19">
        <v>0.0</v>
      </c>
      <c r="O26" s="19">
        <v>2.0</v>
      </c>
      <c r="P26" s="19">
        <v>0.0</v>
      </c>
      <c r="Q26" s="19">
        <v>0.0</v>
      </c>
      <c r="R26" s="19">
        <v>0.0</v>
      </c>
      <c r="S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10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2</v>
      </c>
      <c r="K27" s="13">
        <f t="shared" si="6"/>
        <v>0</v>
      </c>
      <c r="L27" s="13">
        <f t="shared" si="6"/>
        <v>0</v>
      </c>
      <c r="M27" s="13">
        <f t="shared" si="6"/>
        <v>5</v>
      </c>
      <c r="N27" s="13">
        <f t="shared" si="6"/>
        <v>0</v>
      </c>
      <c r="O27" s="13">
        <f t="shared" si="6"/>
        <v>5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111</v>
      </c>
      <c r="F28" s="13">
        <f t="shared" si="7"/>
        <v>112</v>
      </c>
      <c r="G28" s="13">
        <f t="shared" si="7"/>
        <v>103</v>
      </c>
      <c r="H28" s="13">
        <f t="shared" si="7"/>
        <v>114</v>
      </c>
      <c r="I28" s="13">
        <f t="shared" si="7"/>
        <v>111</v>
      </c>
      <c r="J28" s="13">
        <f t="shared" si="7"/>
        <v>105</v>
      </c>
      <c r="K28" s="13">
        <f t="shared" si="7"/>
        <v>117</v>
      </c>
      <c r="L28" s="13">
        <f t="shared" si="7"/>
        <v>102</v>
      </c>
      <c r="M28" s="13">
        <f t="shared" si="7"/>
        <v>89</v>
      </c>
      <c r="N28" s="13">
        <f t="shared" si="7"/>
        <v>101</v>
      </c>
      <c r="O28" s="13">
        <f t="shared" si="7"/>
        <v>96</v>
      </c>
      <c r="P28" s="13">
        <f t="shared" si="7"/>
        <v>82</v>
      </c>
      <c r="Q28" s="13">
        <f t="shared" si="7"/>
        <v>97</v>
      </c>
      <c r="R28" s="13">
        <f t="shared" si="7"/>
        <v>96</v>
      </c>
      <c r="S28" s="13">
        <f t="shared" si="3"/>
        <v>1436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108</v>
      </c>
      <c r="F29" s="13">
        <f t="shared" si="8"/>
        <v>106</v>
      </c>
      <c r="G29" s="13">
        <f t="shared" si="8"/>
        <v>114</v>
      </c>
      <c r="H29" s="13">
        <f t="shared" si="8"/>
        <v>115</v>
      </c>
      <c r="I29" s="13">
        <f t="shared" si="8"/>
        <v>108</v>
      </c>
      <c r="J29" s="13">
        <f t="shared" si="8"/>
        <v>119</v>
      </c>
      <c r="K29" s="13">
        <f t="shared" si="8"/>
        <v>115</v>
      </c>
      <c r="L29" s="13">
        <f t="shared" si="8"/>
        <v>108</v>
      </c>
      <c r="M29" s="13">
        <f t="shared" si="8"/>
        <v>97</v>
      </c>
      <c r="N29" s="13">
        <f t="shared" si="8"/>
        <v>83</v>
      </c>
      <c r="O29" s="13">
        <f t="shared" si="8"/>
        <v>110</v>
      </c>
      <c r="P29" s="13">
        <f t="shared" si="8"/>
        <v>78</v>
      </c>
      <c r="Q29" s="13">
        <f t="shared" si="8"/>
        <v>107</v>
      </c>
      <c r="R29" s="13">
        <f t="shared" si="8"/>
        <v>98</v>
      </c>
      <c r="S29" s="13">
        <f t="shared" si="3"/>
        <v>1466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219</v>
      </c>
      <c r="F30" s="13">
        <f t="shared" si="9"/>
        <v>218</v>
      </c>
      <c r="G30" s="13">
        <f t="shared" si="9"/>
        <v>217</v>
      </c>
      <c r="H30" s="13">
        <f t="shared" si="9"/>
        <v>229</v>
      </c>
      <c r="I30" s="13">
        <f t="shared" si="9"/>
        <v>219</v>
      </c>
      <c r="J30" s="13">
        <f t="shared" si="9"/>
        <v>224</v>
      </c>
      <c r="K30" s="13">
        <f t="shared" si="9"/>
        <v>232</v>
      </c>
      <c r="L30" s="13">
        <f t="shared" si="9"/>
        <v>210</v>
      </c>
      <c r="M30" s="13">
        <f t="shared" si="9"/>
        <v>186</v>
      </c>
      <c r="N30" s="13">
        <f t="shared" si="9"/>
        <v>184</v>
      </c>
      <c r="O30" s="13">
        <f t="shared" si="9"/>
        <v>206</v>
      </c>
      <c r="P30" s="13">
        <f t="shared" si="9"/>
        <v>160</v>
      </c>
      <c r="Q30" s="13">
        <f t="shared" si="9"/>
        <v>204</v>
      </c>
      <c r="R30" s="13">
        <f t="shared" si="9"/>
        <v>194</v>
      </c>
      <c r="S30" s="13">
        <f t="shared" si="3"/>
        <v>2902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76"/>
    </row>
    <row r="33" ht="12.75" customHeight="1">
      <c r="A33" s="19">
        <v>1.0</v>
      </c>
      <c r="B33" s="20" t="s">
        <v>27</v>
      </c>
      <c r="C33" s="15"/>
      <c r="D33" s="16"/>
      <c r="E33" s="19">
        <v>270.0</v>
      </c>
      <c r="F33" s="19">
        <v>254.0</v>
      </c>
      <c r="G33" s="19">
        <v>271.0</v>
      </c>
      <c r="H33" s="19">
        <v>285.0</v>
      </c>
      <c r="I33" s="19">
        <v>274.0</v>
      </c>
      <c r="J33" s="19">
        <v>287.0</v>
      </c>
      <c r="K33" s="19">
        <v>290.0</v>
      </c>
      <c r="L33" s="19">
        <v>273.0</v>
      </c>
      <c r="M33" s="19">
        <v>243.0</v>
      </c>
      <c r="N33" s="19">
        <v>267.0</v>
      </c>
      <c r="O33" s="19">
        <v>273.0</v>
      </c>
      <c r="P33" s="19">
        <v>213.0</v>
      </c>
      <c r="Q33" s="19">
        <v>256.0</v>
      </c>
      <c r="R33" s="19">
        <v>234.0</v>
      </c>
      <c r="S33" s="13">
        <f t="shared" ref="S33:S36" si="10">SUM(E33:R33)</f>
        <v>3690</v>
      </c>
    </row>
    <row r="34" ht="12.75" customHeight="1">
      <c r="A34" s="19">
        <v>2.0</v>
      </c>
      <c r="B34" s="20" t="s">
        <v>28</v>
      </c>
      <c r="C34" s="15"/>
      <c r="D34" s="16"/>
      <c r="E34" s="13">
        <v>219.0</v>
      </c>
      <c r="F34" s="13">
        <v>218.0</v>
      </c>
      <c r="G34" s="13">
        <v>217.0</v>
      </c>
      <c r="H34" s="13">
        <v>229.0</v>
      </c>
      <c r="I34" s="13">
        <v>219.0</v>
      </c>
      <c r="J34" s="13">
        <v>224.0</v>
      </c>
      <c r="K34" s="13">
        <v>232.0</v>
      </c>
      <c r="L34" s="13">
        <v>210.0</v>
      </c>
      <c r="M34" s="13">
        <v>186.0</v>
      </c>
      <c r="N34" s="13">
        <v>184.0</v>
      </c>
      <c r="O34" s="13">
        <v>206.0</v>
      </c>
      <c r="P34" s="13">
        <v>160.0</v>
      </c>
      <c r="Q34" s="13">
        <v>204.0</v>
      </c>
      <c r="R34" s="13">
        <v>194.0</v>
      </c>
      <c r="S34" s="13">
        <f t="shared" si="10"/>
        <v>2902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3.0</v>
      </c>
      <c r="G35" s="19">
        <v>4.0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3.0</v>
      </c>
      <c r="R35" s="19">
        <v>0.0</v>
      </c>
      <c r="S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51</v>
      </c>
      <c r="F36" s="13">
        <f t="shared" si="11"/>
        <v>33</v>
      </c>
      <c r="G36" s="13">
        <f t="shared" si="11"/>
        <v>50</v>
      </c>
      <c r="H36" s="13">
        <f t="shared" si="11"/>
        <v>56</v>
      </c>
      <c r="I36" s="13">
        <f t="shared" si="11"/>
        <v>55</v>
      </c>
      <c r="J36" s="13">
        <f t="shared" si="11"/>
        <v>63</v>
      </c>
      <c r="K36" s="13">
        <f t="shared" si="11"/>
        <v>58</v>
      </c>
      <c r="L36" s="13">
        <f t="shared" si="11"/>
        <v>63</v>
      </c>
      <c r="M36" s="13">
        <f t="shared" si="11"/>
        <v>57</v>
      </c>
      <c r="N36" s="13">
        <f t="shared" si="11"/>
        <v>83</v>
      </c>
      <c r="O36" s="13">
        <f t="shared" si="11"/>
        <v>67</v>
      </c>
      <c r="P36" s="13">
        <f t="shared" si="11"/>
        <v>53</v>
      </c>
      <c r="Q36" s="13">
        <f t="shared" si="11"/>
        <v>49</v>
      </c>
      <c r="R36" s="13">
        <f t="shared" si="11"/>
        <v>40</v>
      </c>
      <c r="S36" s="13">
        <f t="shared" si="10"/>
        <v>778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9"/>
      <c r="Q37" s="19"/>
      <c r="R37" s="19"/>
      <c r="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2.0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2.0</v>
      </c>
      <c r="O39" s="19">
        <v>0.0</v>
      </c>
      <c r="P39" s="19">
        <v>0.0</v>
      </c>
      <c r="Q39" s="19">
        <v>0.0</v>
      </c>
      <c r="R39" s="19">
        <v>0.0</v>
      </c>
      <c r="S39" s="13">
        <f t="shared" ref="S39:S41" si="12">SUM(E39:R39)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3.0</v>
      </c>
      <c r="G40" s="19">
        <v>0.0</v>
      </c>
      <c r="H40" s="19">
        <v>4.0</v>
      </c>
      <c r="I40" s="19">
        <v>0.0</v>
      </c>
      <c r="J40" s="19">
        <v>4.0</v>
      </c>
      <c r="K40" s="19">
        <v>0.0</v>
      </c>
      <c r="L40" s="19">
        <v>0.0</v>
      </c>
      <c r="M40" s="19">
        <v>0.0</v>
      </c>
      <c r="N40" s="19">
        <v>2.0</v>
      </c>
      <c r="O40" s="19">
        <v>0.0</v>
      </c>
      <c r="P40" s="19">
        <v>0.0</v>
      </c>
      <c r="Q40" s="19">
        <v>0.0</v>
      </c>
      <c r="R40" s="19">
        <v>0.0</v>
      </c>
      <c r="S40" s="13">
        <f t="shared" si="12"/>
        <v>13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4</v>
      </c>
      <c r="G41" s="13">
        <f t="shared" si="13"/>
        <v>0</v>
      </c>
      <c r="H41" s="13">
        <f t="shared" si="13"/>
        <v>6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4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18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6"/>
      <c r="P42" s="19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13.0</v>
      </c>
      <c r="G45" s="19">
        <v>5.0</v>
      </c>
      <c r="H45" s="19">
        <v>2.0</v>
      </c>
      <c r="I45" s="19">
        <v>6.0</v>
      </c>
      <c r="J45" s="19">
        <v>9.0</v>
      </c>
      <c r="K45" s="19">
        <v>10.0</v>
      </c>
      <c r="L45" s="19">
        <v>12.0</v>
      </c>
      <c r="M45" s="19">
        <v>9.0</v>
      </c>
      <c r="N45" s="19">
        <v>7.0</v>
      </c>
      <c r="O45" s="19">
        <v>2.0</v>
      </c>
      <c r="P45" s="19">
        <v>4.0</v>
      </c>
      <c r="Q45" s="19">
        <v>7.0</v>
      </c>
      <c r="R45" s="19">
        <v>4.0</v>
      </c>
      <c r="S45" s="13">
        <f t="shared" ref="S45:S54" si="14">SUM(E45:R45)</f>
        <v>96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36.0</v>
      </c>
      <c r="G46" s="19">
        <v>14.0</v>
      </c>
      <c r="H46" s="19">
        <v>8.0</v>
      </c>
      <c r="I46" s="19">
        <v>7.0</v>
      </c>
      <c r="J46" s="19">
        <v>20.0</v>
      </c>
      <c r="K46" s="19">
        <v>25.0</v>
      </c>
      <c r="L46" s="19">
        <v>15.0</v>
      </c>
      <c r="M46" s="19">
        <v>23.0</v>
      </c>
      <c r="N46" s="19">
        <v>7.0</v>
      </c>
      <c r="O46" s="19">
        <v>8.0</v>
      </c>
      <c r="P46" s="19">
        <v>10.0</v>
      </c>
      <c r="Q46" s="19">
        <v>11.0</v>
      </c>
      <c r="R46" s="19">
        <v>5.0</v>
      </c>
      <c r="S46" s="13">
        <f t="shared" si="14"/>
        <v>206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5.0</v>
      </c>
      <c r="H47" s="19">
        <v>1.0</v>
      </c>
      <c r="I47" s="19">
        <v>3.0</v>
      </c>
      <c r="J47" s="19">
        <v>8.0</v>
      </c>
      <c r="K47" s="19">
        <v>5.0</v>
      </c>
      <c r="L47" s="19">
        <v>4.0</v>
      </c>
      <c r="M47" s="19">
        <v>0.0</v>
      </c>
      <c r="N47" s="19">
        <v>10.0</v>
      </c>
      <c r="O47" s="19">
        <v>6.0</v>
      </c>
      <c r="P47" s="19">
        <v>4.0</v>
      </c>
      <c r="Q47" s="19">
        <v>4.0</v>
      </c>
      <c r="R47" s="19">
        <v>1.0</v>
      </c>
      <c r="S47" s="13">
        <f t="shared" si="14"/>
        <v>52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0.0</v>
      </c>
      <c r="I48" s="19">
        <v>1.0</v>
      </c>
      <c r="J48" s="19">
        <v>3.0</v>
      </c>
      <c r="K48" s="19">
        <v>1.0</v>
      </c>
      <c r="L48" s="19">
        <v>0.0</v>
      </c>
      <c r="M48" s="19">
        <v>0.0</v>
      </c>
      <c r="N48" s="19">
        <v>0.0</v>
      </c>
      <c r="O48" s="19">
        <v>1.0</v>
      </c>
      <c r="P48" s="19">
        <v>0.0</v>
      </c>
      <c r="Q48" s="19">
        <v>1.0</v>
      </c>
      <c r="R48" s="19">
        <v>0.0</v>
      </c>
      <c r="S48" s="13">
        <f t="shared" si="14"/>
        <v>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0.0</v>
      </c>
      <c r="L49" s="19">
        <v>1.0</v>
      </c>
      <c r="M49" s="19">
        <v>0.0</v>
      </c>
      <c r="N49" s="19">
        <v>1.0</v>
      </c>
      <c r="O49" s="19">
        <v>1.0</v>
      </c>
      <c r="P49" s="19">
        <v>1.0</v>
      </c>
      <c r="Q49" s="19">
        <v>0.0</v>
      </c>
      <c r="R49" s="19">
        <v>0.0</v>
      </c>
      <c r="S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1.0</v>
      </c>
      <c r="G50" s="19">
        <v>0.0</v>
      </c>
      <c r="H50" s="19">
        <v>0.0</v>
      </c>
      <c r="I50" s="19">
        <v>0.0</v>
      </c>
      <c r="J50" s="19">
        <v>1.0</v>
      </c>
      <c r="K50" s="19">
        <v>1.0</v>
      </c>
      <c r="L50" s="19">
        <v>1.0</v>
      </c>
      <c r="M50" s="19">
        <v>0.0</v>
      </c>
      <c r="N50" s="19">
        <v>3.0</v>
      </c>
      <c r="O50" s="19">
        <v>2.0</v>
      </c>
      <c r="P50" s="19">
        <v>3.0</v>
      </c>
      <c r="Q50" s="19">
        <v>0.0</v>
      </c>
      <c r="R50" s="19">
        <v>1.0</v>
      </c>
      <c r="S50" s="13">
        <f t="shared" si="14"/>
        <v>14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1.0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3">
        <f t="shared" si="14"/>
        <v>4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SUM(E45:E54)</f>
        <v>25</v>
      </c>
      <c r="F55" s="13">
        <f t="shared" si="15"/>
        <v>52</v>
      </c>
      <c r="G55" s="13">
        <f t="shared" si="15"/>
        <v>24</v>
      </c>
      <c r="H55" s="13">
        <f t="shared" si="15"/>
        <v>11</v>
      </c>
      <c r="I55" s="13">
        <f t="shared" si="15"/>
        <v>19</v>
      </c>
      <c r="J55" s="13">
        <f t="shared" si="15"/>
        <v>41</v>
      </c>
      <c r="K55" s="13">
        <f t="shared" si="15"/>
        <v>42</v>
      </c>
      <c r="L55" s="13">
        <f t="shared" si="15"/>
        <v>33</v>
      </c>
      <c r="M55" s="13">
        <f t="shared" si="15"/>
        <v>32</v>
      </c>
      <c r="N55" s="13">
        <f t="shared" si="15"/>
        <v>28</v>
      </c>
      <c r="O55" s="13">
        <f t="shared" si="15"/>
        <v>20</v>
      </c>
      <c r="P55" s="13">
        <f t="shared" si="15"/>
        <v>22</v>
      </c>
      <c r="Q55" s="13">
        <f t="shared" si="15"/>
        <v>24</v>
      </c>
      <c r="R55" s="13">
        <f t="shared" si="15"/>
        <v>11</v>
      </c>
      <c r="S55" s="13">
        <f t="shared" si="15"/>
        <v>384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2.0</v>
      </c>
      <c r="F57" s="19">
        <v>9.0</v>
      </c>
      <c r="G57" s="19">
        <v>3.0</v>
      </c>
      <c r="H57" s="19">
        <v>11.0</v>
      </c>
      <c r="I57" s="19">
        <v>14.0</v>
      </c>
      <c r="J57" s="19">
        <v>11.0</v>
      </c>
      <c r="K57" s="19">
        <v>15.0</v>
      </c>
      <c r="L57" s="19">
        <v>7.0</v>
      </c>
      <c r="M57" s="19">
        <v>3.0</v>
      </c>
      <c r="N57" s="19">
        <v>20.0</v>
      </c>
      <c r="O57" s="19">
        <v>13.0</v>
      </c>
      <c r="P57" s="19">
        <v>6.0</v>
      </c>
      <c r="Q57" s="19">
        <v>7.0</v>
      </c>
      <c r="R57" s="19">
        <v>9.0</v>
      </c>
      <c r="S57" s="13">
        <f t="shared" ref="S57:S66" si="16">SUM(E57:R57)</f>
        <v>130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4.0</v>
      </c>
      <c r="F58" s="19">
        <v>5.0</v>
      </c>
      <c r="G58" s="19">
        <v>6.0</v>
      </c>
      <c r="H58" s="19">
        <v>22.0</v>
      </c>
      <c r="I58" s="19">
        <v>20.0</v>
      </c>
      <c r="J58" s="19">
        <v>18.0</v>
      </c>
      <c r="K58" s="19">
        <v>14.0</v>
      </c>
      <c r="L58" s="19">
        <v>0.0</v>
      </c>
      <c r="M58" s="19">
        <v>3.0</v>
      </c>
      <c r="N58" s="19">
        <v>4.0</v>
      </c>
      <c r="O58" s="19">
        <v>15.0</v>
      </c>
      <c r="P58" s="19">
        <v>16.0</v>
      </c>
      <c r="Q58" s="19">
        <v>12.0</v>
      </c>
      <c r="R58" s="19">
        <v>7.0</v>
      </c>
      <c r="S58" s="13">
        <f t="shared" si="16"/>
        <v>146</v>
      </c>
    </row>
    <row r="59" ht="12.75" customHeight="1">
      <c r="A59" s="18"/>
      <c r="B59" s="55">
        <v>2.0</v>
      </c>
      <c r="C59" s="50" t="s">
        <v>50</v>
      </c>
      <c r="D59" s="59"/>
      <c r="E59" s="19">
        <v>0.0</v>
      </c>
      <c r="F59" s="19">
        <v>1.0</v>
      </c>
      <c r="G59" s="19">
        <v>2.0</v>
      </c>
      <c r="H59" s="19">
        <v>6.0</v>
      </c>
      <c r="I59" s="19">
        <v>2.0</v>
      </c>
      <c r="J59" s="19">
        <v>11.0</v>
      </c>
      <c r="K59" s="19">
        <v>35.0</v>
      </c>
      <c r="L59" s="19">
        <v>63.0</v>
      </c>
      <c r="M59" s="19">
        <v>41.0</v>
      </c>
      <c r="N59" s="19">
        <v>59.0</v>
      </c>
      <c r="O59" s="19">
        <v>17.0</v>
      </c>
      <c r="P59" s="19">
        <v>10.0</v>
      </c>
      <c r="Q59" s="19">
        <v>12.0</v>
      </c>
      <c r="R59" s="19">
        <v>8.0</v>
      </c>
      <c r="S59" s="13">
        <f t="shared" si="16"/>
        <v>267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3.0</v>
      </c>
      <c r="H60" s="19">
        <v>3.0</v>
      </c>
      <c r="I60" s="19">
        <v>1.0</v>
      </c>
      <c r="J60" s="19">
        <v>1.0</v>
      </c>
      <c r="K60" s="19">
        <v>2.0</v>
      </c>
      <c r="L60" s="19">
        <v>1.0</v>
      </c>
      <c r="M60" s="19">
        <v>2.0</v>
      </c>
      <c r="N60" s="19">
        <v>2.0</v>
      </c>
      <c r="O60" s="19">
        <v>0.0</v>
      </c>
      <c r="P60" s="19">
        <v>0.0</v>
      </c>
      <c r="Q60" s="19">
        <v>1.0</v>
      </c>
      <c r="R60" s="19">
        <v>0.0</v>
      </c>
      <c r="S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0.0</v>
      </c>
      <c r="H61" s="19">
        <v>2.0</v>
      </c>
      <c r="I61" s="19">
        <v>1.0</v>
      </c>
      <c r="J61" s="19">
        <v>0.0</v>
      </c>
      <c r="K61" s="19">
        <v>2.0</v>
      </c>
      <c r="L61" s="19">
        <v>1.0</v>
      </c>
      <c r="M61" s="19">
        <v>0.0</v>
      </c>
      <c r="N61" s="19">
        <v>0.0</v>
      </c>
      <c r="O61" s="19">
        <v>3.0</v>
      </c>
      <c r="P61" s="19">
        <v>2.0</v>
      </c>
      <c r="Q61" s="19">
        <v>2.0</v>
      </c>
      <c r="R61" s="19">
        <v>1.0</v>
      </c>
      <c r="S61" s="13">
        <f t="shared" si="16"/>
        <v>14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2.0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1.0</v>
      </c>
      <c r="R62" s="19">
        <v>0.0</v>
      </c>
      <c r="S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1.0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1.0</v>
      </c>
      <c r="S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1.0</v>
      </c>
      <c r="I64" s="19">
        <v>1.0</v>
      </c>
      <c r="J64" s="19">
        <v>3.0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SUM(E57:E66)</f>
        <v>6</v>
      </c>
      <c r="F67" s="13">
        <f t="shared" si="17"/>
        <v>17</v>
      </c>
      <c r="G67" s="13">
        <f t="shared" si="17"/>
        <v>14</v>
      </c>
      <c r="H67" s="13">
        <f t="shared" si="17"/>
        <v>48</v>
      </c>
      <c r="I67" s="13">
        <f t="shared" si="17"/>
        <v>39</v>
      </c>
      <c r="J67" s="13">
        <f t="shared" si="17"/>
        <v>44</v>
      </c>
      <c r="K67" s="13">
        <f t="shared" si="17"/>
        <v>68</v>
      </c>
      <c r="L67" s="13">
        <f t="shared" si="17"/>
        <v>72</v>
      </c>
      <c r="M67" s="13">
        <f t="shared" si="17"/>
        <v>49</v>
      </c>
      <c r="N67" s="13">
        <f t="shared" si="17"/>
        <v>85</v>
      </c>
      <c r="O67" s="13">
        <f t="shared" si="17"/>
        <v>48</v>
      </c>
      <c r="P67" s="13">
        <f t="shared" si="17"/>
        <v>34</v>
      </c>
      <c r="Q67" s="13">
        <f t="shared" si="17"/>
        <v>35</v>
      </c>
      <c r="R67" s="13">
        <f t="shared" si="17"/>
        <v>26</v>
      </c>
      <c r="S67" s="13">
        <f t="shared" si="17"/>
        <v>585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12.0</v>
      </c>
      <c r="F69" s="19">
        <v>21.0</v>
      </c>
      <c r="G69" s="19">
        <v>21.0</v>
      </c>
      <c r="H69" s="19">
        <v>16.0</v>
      </c>
      <c r="I69" s="19">
        <v>14.0</v>
      </c>
      <c r="J69" s="19">
        <v>8.0</v>
      </c>
      <c r="K69" s="19">
        <v>10.0</v>
      </c>
      <c r="L69" s="19">
        <v>11.0</v>
      </c>
      <c r="M69" s="19">
        <v>4.0</v>
      </c>
      <c r="N69" s="19">
        <v>9.0</v>
      </c>
      <c r="O69" s="19">
        <v>9.0</v>
      </c>
      <c r="P69" s="19">
        <v>7.0</v>
      </c>
      <c r="Q69" s="19">
        <v>4.0</v>
      </c>
      <c r="R69" s="19">
        <v>11.0</v>
      </c>
      <c r="S69" s="13">
        <f t="shared" ref="S69:S78" si="18">SUM(E69:R69)</f>
        <v>157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89.0</v>
      </c>
      <c r="F70" s="19">
        <v>82.0</v>
      </c>
      <c r="G70" s="19">
        <v>91.0</v>
      </c>
      <c r="H70" s="19">
        <v>7.0</v>
      </c>
      <c r="I70" s="19">
        <v>2.0</v>
      </c>
      <c r="J70" s="19">
        <v>2.0</v>
      </c>
      <c r="K70" s="19">
        <v>2.0</v>
      </c>
      <c r="L70" s="19">
        <v>3.0</v>
      </c>
      <c r="M70" s="19">
        <v>4.0</v>
      </c>
      <c r="N70" s="19">
        <v>6.0</v>
      </c>
      <c r="O70" s="19">
        <v>3.0</v>
      </c>
      <c r="P70" s="19">
        <v>2.0</v>
      </c>
      <c r="Q70" s="19">
        <v>5.0</v>
      </c>
      <c r="R70" s="19">
        <v>0.0</v>
      </c>
      <c r="S70" s="13">
        <f t="shared" si="18"/>
        <v>298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3.0</v>
      </c>
      <c r="G71" s="19">
        <v>1.0</v>
      </c>
      <c r="H71" s="19">
        <v>10.0</v>
      </c>
      <c r="I71" s="19">
        <v>5.0</v>
      </c>
      <c r="J71" s="19">
        <v>9.0</v>
      </c>
      <c r="K71" s="19">
        <v>2.0</v>
      </c>
      <c r="L71" s="19">
        <v>2.0</v>
      </c>
      <c r="M71" s="19">
        <v>0.0</v>
      </c>
      <c r="N71" s="19">
        <v>4.0</v>
      </c>
      <c r="O71" s="19">
        <v>7.0</v>
      </c>
      <c r="P71" s="19">
        <v>2.0</v>
      </c>
      <c r="Q71" s="19">
        <v>0.0</v>
      </c>
      <c r="R71" s="19">
        <v>6.0</v>
      </c>
      <c r="S71" s="13">
        <f t="shared" si="18"/>
        <v>52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1.0</v>
      </c>
      <c r="G72" s="19">
        <v>0.0</v>
      </c>
      <c r="H72" s="19">
        <v>61.0</v>
      </c>
      <c r="I72" s="19">
        <v>24.0</v>
      </c>
      <c r="J72" s="19">
        <v>35.0</v>
      </c>
      <c r="K72" s="19">
        <v>28.0</v>
      </c>
      <c r="L72" s="19">
        <v>31.0</v>
      </c>
      <c r="M72" s="19">
        <v>57.0</v>
      </c>
      <c r="N72" s="19">
        <v>4.0</v>
      </c>
      <c r="O72" s="19">
        <v>37.0</v>
      </c>
      <c r="P72" s="19">
        <v>40.0</v>
      </c>
      <c r="Q72" s="19">
        <v>50.0</v>
      </c>
      <c r="R72" s="19">
        <v>29.0</v>
      </c>
      <c r="S72" s="13">
        <f t="shared" si="18"/>
        <v>398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2.0</v>
      </c>
      <c r="K73" s="19">
        <v>0.0</v>
      </c>
      <c r="L73" s="19">
        <v>0.0</v>
      </c>
      <c r="M73" s="19">
        <v>0.0</v>
      </c>
      <c r="N73" s="19">
        <v>0.0</v>
      </c>
      <c r="O73" s="19">
        <v>0.0</v>
      </c>
      <c r="P73" s="19">
        <v>0.0</v>
      </c>
      <c r="Q73" s="19">
        <v>1.0</v>
      </c>
      <c r="R73" s="19">
        <v>0.0</v>
      </c>
      <c r="S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0.0</v>
      </c>
      <c r="G74" s="19">
        <v>0.0</v>
      </c>
      <c r="H74" s="19">
        <v>14.0</v>
      </c>
      <c r="I74" s="19">
        <v>29.0</v>
      </c>
      <c r="J74" s="19">
        <v>15.0</v>
      </c>
      <c r="K74" s="19">
        <v>36.0</v>
      </c>
      <c r="L74" s="19">
        <v>1.0</v>
      </c>
      <c r="M74" s="19">
        <v>1.0</v>
      </c>
      <c r="N74" s="19">
        <v>0.0</v>
      </c>
      <c r="O74" s="19">
        <v>11.0</v>
      </c>
      <c r="P74" s="19">
        <v>10.0</v>
      </c>
      <c r="Q74" s="19">
        <v>4.0</v>
      </c>
      <c r="R74" s="19">
        <v>17.0</v>
      </c>
      <c r="S74" s="13">
        <f t="shared" si="18"/>
        <v>139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3">
        <f t="shared" si="18"/>
        <v>2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10.0</v>
      </c>
      <c r="I76" s="19">
        <v>9.0</v>
      </c>
      <c r="J76" s="19">
        <v>2.0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1.0</v>
      </c>
      <c r="S76" s="13">
        <f t="shared" si="18"/>
        <v>22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SUM(E69:E78)</f>
        <v>105</v>
      </c>
      <c r="F79" s="13">
        <f t="shared" si="19"/>
        <v>107</v>
      </c>
      <c r="G79" s="13">
        <f t="shared" si="19"/>
        <v>113</v>
      </c>
      <c r="H79" s="13">
        <f t="shared" si="19"/>
        <v>118</v>
      </c>
      <c r="I79" s="13">
        <f t="shared" si="19"/>
        <v>83</v>
      </c>
      <c r="J79" s="13">
        <f t="shared" si="19"/>
        <v>73</v>
      </c>
      <c r="K79" s="13">
        <f t="shared" si="19"/>
        <v>78</v>
      </c>
      <c r="L79" s="13">
        <f t="shared" si="19"/>
        <v>48</v>
      </c>
      <c r="M79" s="13">
        <f t="shared" si="19"/>
        <v>66</v>
      </c>
      <c r="N79" s="13">
        <f t="shared" si="19"/>
        <v>23</v>
      </c>
      <c r="O79" s="13">
        <f t="shared" si="19"/>
        <v>67</v>
      </c>
      <c r="P79" s="13">
        <f t="shared" si="19"/>
        <v>62</v>
      </c>
      <c r="Q79" s="13">
        <f t="shared" si="19"/>
        <v>64</v>
      </c>
      <c r="R79" s="13">
        <f t="shared" si="19"/>
        <v>64</v>
      </c>
      <c r="S79" s="13">
        <f t="shared" si="19"/>
        <v>1071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4.0</v>
      </c>
      <c r="G81" s="19">
        <v>2.0</v>
      </c>
      <c r="H81" s="19">
        <v>0.0</v>
      </c>
      <c r="I81" s="19">
        <v>3.0</v>
      </c>
      <c r="J81" s="19">
        <v>2.0</v>
      </c>
      <c r="K81" s="19">
        <v>0.0</v>
      </c>
      <c r="L81" s="19">
        <v>4.0</v>
      </c>
      <c r="M81" s="19">
        <v>1.0</v>
      </c>
      <c r="N81" s="19">
        <v>3.0</v>
      </c>
      <c r="O81" s="19">
        <v>3.0</v>
      </c>
      <c r="P81" s="19">
        <v>1.0</v>
      </c>
      <c r="Q81" s="19">
        <v>2.0</v>
      </c>
      <c r="R81" s="19">
        <v>5.0</v>
      </c>
      <c r="S81" s="13">
        <f t="shared" ref="S81:S90" si="20">SUM(E81:R81)</f>
        <v>34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58.0</v>
      </c>
      <c r="F82" s="19">
        <v>19.0</v>
      </c>
      <c r="G82" s="19">
        <v>29.0</v>
      </c>
      <c r="H82" s="19">
        <v>2.0</v>
      </c>
      <c r="I82" s="19">
        <v>1.0</v>
      </c>
      <c r="J82" s="19">
        <v>4.0</v>
      </c>
      <c r="K82" s="19">
        <v>9.0</v>
      </c>
      <c r="L82" s="19">
        <v>2.0</v>
      </c>
      <c r="M82" s="19">
        <v>2.0</v>
      </c>
      <c r="N82" s="19">
        <v>2.0</v>
      </c>
      <c r="O82" s="19">
        <v>2.0</v>
      </c>
      <c r="P82" s="19">
        <v>3.0</v>
      </c>
      <c r="Q82" s="19">
        <v>10.0</v>
      </c>
      <c r="R82" s="19">
        <v>3.0</v>
      </c>
      <c r="S82" s="13">
        <f t="shared" si="20"/>
        <v>146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1.0</v>
      </c>
      <c r="G83" s="19">
        <v>1.0</v>
      </c>
      <c r="H83" s="19">
        <v>2.0</v>
      </c>
      <c r="I83" s="19">
        <v>0.0</v>
      </c>
      <c r="J83" s="19">
        <v>4.0</v>
      </c>
      <c r="K83" s="19">
        <v>2.0</v>
      </c>
      <c r="L83" s="19">
        <v>5.0</v>
      </c>
      <c r="M83" s="19">
        <v>3.0</v>
      </c>
      <c r="N83" s="19">
        <v>0.0</v>
      </c>
      <c r="O83" s="19">
        <v>2.0</v>
      </c>
      <c r="P83" s="19">
        <v>1.0</v>
      </c>
      <c r="Q83" s="19">
        <v>3.0</v>
      </c>
      <c r="R83" s="19">
        <v>1.0</v>
      </c>
      <c r="S83" s="13">
        <f t="shared" si="20"/>
        <v>26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0.0</v>
      </c>
      <c r="J84" s="19">
        <v>0.0</v>
      </c>
      <c r="K84" s="19">
        <v>2.0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3">
        <f t="shared" si="20"/>
        <v>5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1.0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1.0</v>
      </c>
      <c r="R85" s="19">
        <v>1.0</v>
      </c>
      <c r="S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1.0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2.0</v>
      </c>
      <c r="Q86" s="19">
        <v>1.0</v>
      </c>
      <c r="R86" s="19">
        <v>1.0</v>
      </c>
      <c r="S86" s="13">
        <f t="shared" si="20"/>
        <v>5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SUM(E81:E90)</f>
        <v>64</v>
      </c>
      <c r="F91" s="13">
        <f t="shared" si="21"/>
        <v>26</v>
      </c>
      <c r="G91" s="13">
        <f t="shared" si="21"/>
        <v>33</v>
      </c>
      <c r="H91" s="13">
        <f t="shared" si="21"/>
        <v>6</v>
      </c>
      <c r="I91" s="13">
        <f t="shared" si="21"/>
        <v>4</v>
      </c>
      <c r="J91" s="13">
        <f t="shared" si="21"/>
        <v>10</v>
      </c>
      <c r="K91" s="13">
        <f t="shared" si="21"/>
        <v>13</v>
      </c>
      <c r="L91" s="13">
        <f t="shared" si="21"/>
        <v>11</v>
      </c>
      <c r="M91" s="13">
        <f t="shared" si="21"/>
        <v>6</v>
      </c>
      <c r="N91" s="13">
        <f t="shared" si="21"/>
        <v>6</v>
      </c>
      <c r="O91" s="13">
        <f t="shared" si="21"/>
        <v>7</v>
      </c>
      <c r="P91" s="13">
        <f t="shared" si="21"/>
        <v>7</v>
      </c>
      <c r="Q91" s="13">
        <f t="shared" si="21"/>
        <v>18</v>
      </c>
      <c r="R91" s="13">
        <f t="shared" si="21"/>
        <v>11</v>
      </c>
      <c r="S91" s="13">
        <f t="shared" si="21"/>
        <v>222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5.0</v>
      </c>
      <c r="H93" s="19">
        <v>1.0</v>
      </c>
      <c r="I93" s="19">
        <v>3.0</v>
      </c>
      <c r="J93" s="19">
        <v>1.0</v>
      </c>
      <c r="K93" s="19">
        <v>1.0</v>
      </c>
      <c r="L93" s="19">
        <v>0.0</v>
      </c>
      <c r="M93" s="19">
        <v>0.0</v>
      </c>
      <c r="N93" s="19">
        <v>1.0</v>
      </c>
      <c r="O93" s="19">
        <v>1.0</v>
      </c>
      <c r="P93" s="19">
        <v>1.0</v>
      </c>
      <c r="Q93" s="19">
        <v>0.0</v>
      </c>
      <c r="R93" s="19">
        <v>2.0</v>
      </c>
      <c r="S93" s="13">
        <f t="shared" ref="S93:S102" si="22">SUM(E93:R93)</f>
        <v>17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0.0</v>
      </c>
      <c r="I94" s="19">
        <v>1.0</v>
      </c>
      <c r="J94" s="19">
        <v>0.0</v>
      </c>
      <c r="K94" s="19">
        <v>1.0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3">
        <f t="shared" si="22"/>
        <v>2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19.0</v>
      </c>
      <c r="J95" s="19">
        <v>19.0</v>
      </c>
      <c r="K95" s="19">
        <v>0.0</v>
      </c>
      <c r="L95" s="19">
        <v>0.0</v>
      </c>
      <c r="M95" s="19">
        <v>1.0</v>
      </c>
      <c r="N95" s="19">
        <v>1.0</v>
      </c>
      <c r="O95" s="19">
        <v>7.0</v>
      </c>
      <c r="P95" s="19">
        <v>6.0</v>
      </c>
      <c r="Q95" s="19">
        <v>4.0</v>
      </c>
      <c r="R95" s="19">
        <v>2.0</v>
      </c>
      <c r="S95" s="13">
        <f t="shared" si="22"/>
        <v>59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3.0</v>
      </c>
      <c r="H97" s="19">
        <v>1.0</v>
      </c>
      <c r="I97" s="19">
        <v>8.0</v>
      </c>
      <c r="J97" s="19">
        <v>2.0</v>
      </c>
      <c r="K97" s="19">
        <v>0.0</v>
      </c>
      <c r="L97" s="19">
        <v>1.0</v>
      </c>
      <c r="M97" s="19">
        <v>1.0</v>
      </c>
      <c r="N97" s="19">
        <v>0.0</v>
      </c>
      <c r="O97" s="19">
        <v>0.0</v>
      </c>
      <c r="P97" s="19">
        <v>0.0</v>
      </c>
      <c r="Q97" s="19">
        <v>0.0</v>
      </c>
      <c r="R97" s="19">
        <v>1.0</v>
      </c>
      <c r="S97" s="13">
        <f t="shared" si="22"/>
        <v>18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1.0</v>
      </c>
      <c r="P98" s="19">
        <v>0.0</v>
      </c>
      <c r="Q98" s="19">
        <v>0.0</v>
      </c>
      <c r="R98" s="19">
        <v>0.0</v>
      </c>
      <c r="S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1.0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SUM(E93:E102)</f>
        <v>0</v>
      </c>
      <c r="F103" s="13">
        <f t="shared" si="23"/>
        <v>4</v>
      </c>
      <c r="G103" s="13">
        <f t="shared" si="23"/>
        <v>8</v>
      </c>
      <c r="H103" s="13">
        <f t="shared" si="23"/>
        <v>2</v>
      </c>
      <c r="I103" s="13">
        <f t="shared" si="23"/>
        <v>31</v>
      </c>
      <c r="J103" s="13">
        <f t="shared" si="23"/>
        <v>22</v>
      </c>
      <c r="K103" s="13">
        <f t="shared" si="23"/>
        <v>2</v>
      </c>
      <c r="L103" s="13">
        <f t="shared" si="23"/>
        <v>1</v>
      </c>
      <c r="M103" s="13">
        <f t="shared" si="23"/>
        <v>2</v>
      </c>
      <c r="N103" s="13">
        <f t="shared" si="23"/>
        <v>3</v>
      </c>
      <c r="O103" s="13">
        <f t="shared" si="23"/>
        <v>9</v>
      </c>
      <c r="P103" s="13">
        <f t="shared" si="23"/>
        <v>7</v>
      </c>
      <c r="Q103" s="13">
        <f t="shared" si="23"/>
        <v>4</v>
      </c>
      <c r="R103" s="13">
        <f t="shared" si="23"/>
        <v>5</v>
      </c>
      <c r="S103" s="13">
        <f t="shared" si="23"/>
        <v>100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14" si="24">SUM(E105:R105)</f>
        <v>1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1.0</v>
      </c>
      <c r="Q107" s="19">
        <v>0.0</v>
      </c>
      <c r="R107" s="19">
        <v>0.0</v>
      </c>
      <c r="S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2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2.0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3">
        <f t="shared" ref="S117:S126" si="26">SUM(E117:R117)</f>
        <v>3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1</v>
      </c>
      <c r="I127" s="13">
        <f t="shared" si="27"/>
        <v>3</v>
      </c>
      <c r="J127" s="13">
        <f t="shared" si="27"/>
        <v>0</v>
      </c>
      <c r="K127" s="13">
        <f t="shared" si="27"/>
        <v>1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1</v>
      </c>
      <c r="S127" s="13">
        <f t="shared" si="27"/>
        <v>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3">
        <f t="shared" ref="S129:S138" si="28">SUM(E129:R129)</f>
        <v>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9">
        <v>1.0</v>
      </c>
      <c r="N130" s="19">
        <v>0.0</v>
      </c>
      <c r="O130" s="19">
        <v>0.0</v>
      </c>
      <c r="P130" s="19">
        <v>0.0</v>
      </c>
      <c r="Q130" s="19">
        <v>0.0</v>
      </c>
      <c r="R130" s="19">
        <v>0.0</v>
      </c>
      <c r="S130" s="13">
        <f t="shared" si="28"/>
        <v>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3.0</v>
      </c>
      <c r="F131" s="19">
        <v>1.0</v>
      </c>
      <c r="G131" s="19">
        <v>0.0</v>
      </c>
      <c r="H131" s="19">
        <v>1.0</v>
      </c>
      <c r="I131" s="19">
        <v>1.0</v>
      </c>
      <c r="J131" s="19">
        <v>2.0</v>
      </c>
      <c r="K131" s="19">
        <v>1.0</v>
      </c>
      <c r="L131" s="19">
        <v>0.0</v>
      </c>
      <c r="M131" s="19">
        <v>1.0</v>
      </c>
      <c r="N131" s="19">
        <v>0.0</v>
      </c>
      <c r="O131" s="19">
        <v>0.0</v>
      </c>
      <c r="P131" s="19">
        <v>1.0</v>
      </c>
      <c r="Q131" s="19">
        <v>0.0</v>
      </c>
      <c r="R131" s="19">
        <v>0.0</v>
      </c>
      <c r="S131" s="13">
        <f t="shared" si="28"/>
        <v>11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1.0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SUM(E129:E138)</f>
        <v>3</v>
      </c>
      <c r="F139" s="13">
        <f t="shared" si="29"/>
        <v>2</v>
      </c>
      <c r="G139" s="13">
        <f t="shared" si="29"/>
        <v>1</v>
      </c>
      <c r="H139" s="13">
        <f t="shared" si="29"/>
        <v>2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1</v>
      </c>
      <c r="M139" s="13">
        <f t="shared" si="29"/>
        <v>2</v>
      </c>
      <c r="N139" s="13">
        <f t="shared" si="29"/>
        <v>0</v>
      </c>
      <c r="O139" s="13">
        <f t="shared" si="29"/>
        <v>0</v>
      </c>
      <c r="P139" s="13">
        <f t="shared" si="29"/>
        <v>1</v>
      </c>
      <c r="Q139" s="13">
        <f t="shared" si="29"/>
        <v>0</v>
      </c>
      <c r="R139" s="13">
        <f t="shared" si="29"/>
        <v>0</v>
      </c>
      <c r="S139" s="13">
        <f t="shared" si="29"/>
        <v>16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50" si="30">SUM(E141:R141)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1.0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1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1.0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3">
        <f t="shared" si="30"/>
        <v>1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2.0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ref="S153:S157" si="32">SUM(E153:R153)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1.0</v>
      </c>
      <c r="L154" s="19">
        <v>1.0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2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2.0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si="32"/>
        <v>2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>SUM(E164:R164)</f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/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/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ref="S161:S162" si="33">SUM(E167:R167)</f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S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2</v>
      </c>
      <c r="I163" s="13">
        <f t="shared" si="34"/>
        <v>0</v>
      </c>
      <c r="J163" s="13">
        <f t="shared" si="34"/>
        <v>0</v>
      </c>
      <c r="K163" s="13">
        <f t="shared" si="34"/>
        <v>1</v>
      </c>
      <c r="L163" s="13">
        <f t="shared" si="34"/>
        <v>3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6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1.0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/>
      <c r="S165" s="13">
        <f t="shared" ref="S165:S174" si="35">SUM(E165:R165)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/>
      <c r="S166" s="13">
        <f t="shared" si="35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/>
      <c r="S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/>
      <c r="S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/>
      <c r="S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/>
      <c r="S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/>
      <c r="S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/>
      <c r="S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1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2.0</v>
      </c>
      <c r="K177" s="19">
        <v>0.0</v>
      </c>
      <c r="L177" s="19">
        <v>0.0</v>
      </c>
      <c r="M177" s="19">
        <v>0.0</v>
      </c>
      <c r="N177" s="19">
        <v>1.0</v>
      </c>
      <c r="O177" s="19">
        <v>1.0</v>
      </c>
      <c r="P177" s="19">
        <v>0.0</v>
      </c>
      <c r="Q177" s="19">
        <v>1.0</v>
      </c>
      <c r="R177" s="19">
        <v>3.0</v>
      </c>
      <c r="S177" s="13">
        <f t="shared" ref="S177:S186" si="37">SUM(E177:R177)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2.0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/>
      <c r="S178" s="13">
        <f t="shared" si="37"/>
        <v>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/>
      <c r="S179" s="13">
        <f t="shared" si="37"/>
        <v>1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1.0</v>
      </c>
      <c r="J180" s="19">
        <v>0.0</v>
      </c>
      <c r="K180" s="19">
        <v>0.0</v>
      </c>
      <c r="L180" s="19">
        <v>0.0</v>
      </c>
      <c r="M180" s="19">
        <v>0.0</v>
      </c>
      <c r="N180" s="19">
        <v>3.0</v>
      </c>
      <c r="O180" s="19">
        <v>1.0</v>
      </c>
      <c r="P180" s="19">
        <v>0.0</v>
      </c>
      <c r="Q180" s="19">
        <v>0.0</v>
      </c>
      <c r="R180" s="19"/>
      <c r="S180" s="13">
        <f t="shared" si="37"/>
        <v>5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1.0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/>
      <c r="S181" s="13">
        <f t="shared" si="37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/>
      <c r="S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/>
      <c r="S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/>
      <c r="S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8">SUM(E177:E186)</f>
        <v>1</v>
      </c>
      <c r="F187" s="13">
        <f t="shared" si="38"/>
        <v>0</v>
      </c>
      <c r="G187" s="13">
        <f t="shared" si="38"/>
        <v>0</v>
      </c>
      <c r="H187" s="13">
        <f t="shared" si="38"/>
        <v>3</v>
      </c>
      <c r="I187" s="13">
        <f t="shared" si="38"/>
        <v>1</v>
      </c>
      <c r="J187" s="13">
        <f t="shared" si="38"/>
        <v>3</v>
      </c>
      <c r="K187" s="13">
        <f t="shared" si="38"/>
        <v>0</v>
      </c>
      <c r="L187" s="13">
        <f t="shared" si="38"/>
        <v>1</v>
      </c>
      <c r="M187" s="13">
        <f t="shared" si="38"/>
        <v>0</v>
      </c>
      <c r="N187" s="13">
        <f t="shared" si="38"/>
        <v>4</v>
      </c>
      <c r="O187" s="13">
        <f t="shared" si="38"/>
        <v>2</v>
      </c>
      <c r="P187" s="13">
        <f t="shared" si="38"/>
        <v>0</v>
      </c>
      <c r="Q187" s="13">
        <f t="shared" si="38"/>
        <v>1</v>
      </c>
      <c r="R187" s="13">
        <f t="shared" si="38"/>
        <v>3</v>
      </c>
      <c r="S187" s="13">
        <f t="shared" si="38"/>
        <v>19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1.0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8" si="39">SUM(E189:R189)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1.0</v>
      </c>
      <c r="J190" s="19">
        <v>0.0</v>
      </c>
      <c r="K190" s="19">
        <v>0.0</v>
      </c>
      <c r="L190" s="19">
        <v>0.0</v>
      </c>
      <c r="M190" s="19">
        <v>1.0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9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40">SUM(E189:E198)</f>
        <v>0</v>
      </c>
      <c r="F199" s="13">
        <f t="shared" si="40"/>
        <v>1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3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1.0</v>
      </c>
      <c r="H201" s="19">
        <v>2.0</v>
      </c>
      <c r="I201" s="19">
        <v>1.0</v>
      </c>
      <c r="J201" s="19">
        <v>0.0</v>
      </c>
      <c r="K201" s="19">
        <v>0.0</v>
      </c>
      <c r="L201" s="19">
        <v>6.0</v>
      </c>
      <c r="M201" s="19">
        <v>0.0</v>
      </c>
      <c r="N201" s="19">
        <v>0.0</v>
      </c>
      <c r="O201" s="19">
        <v>1.0</v>
      </c>
      <c r="P201" s="19">
        <v>0.0</v>
      </c>
      <c r="Q201" s="19">
        <v>3.0</v>
      </c>
      <c r="R201" s="19">
        <v>8.0</v>
      </c>
      <c r="S201" s="13">
        <f t="shared" ref="S201:S210" si="41">SUM(E201:R201)</f>
        <v>22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0.0</v>
      </c>
      <c r="G202" s="19">
        <v>1.0</v>
      </c>
      <c r="H202" s="19">
        <v>6.0</v>
      </c>
      <c r="I202" s="19">
        <v>6.0</v>
      </c>
      <c r="J202" s="19">
        <v>6.0</v>
      </c>
      <c r="K202" s="19">
        <v>3.0</v>
      </c>
      <c r="L202" s="19">
        <v>3.0</v>
      </c>
      <c r="M202" s="19">
        <v>0.0</v>
      </c>
      <c r="N202" s="19">
        <v>2.0</v>
      </c>
      <c r="O202" s="19">
        <v>3.0</v>
      </c>
      <c r="P202" s="19">
        <v>1.0</v>
      </c>
      <c r="Q202" s="19">
        <v>4.0</v>
      </c>
      <c r="R202" s="19">
        <v>8.0</v>
      </c>
      <c r="S202" s="13">
        <f t="shared" si="41"/>
        <v>43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1.0</v>
      </c>
      <c r="G203" s="19">
        <v>0.0</v>
      </c>
      <c r="H203" s="19">
        <v>1.0</v>
      </c>
      <c r="I203" s="19">
        <v>1.0</v>
      </c>
      <c r="J203" s="19">
        <v>0.0</v>
      </c>
      <c r="K203" s="19">
        <v>2.0</v>
      </c>
      <c r="L203" s="19">
        <v>1.0</v>
      </c>
      <c r="M203" s="19">
        <v>0.0</v>
      </c>
      <c r="N203" s="19">
        <v>0.0</v>
      </c>
      <c r="O203" s="19">
        <v>2.0</v>
      </c>
      <c r="P203" s="19">
        <v>1.0</v>
      </c>
      <c r="Q203" s="19">
        <v>2.0</v>
      </c>
      <c r="R203" s="19">
        <v>1.0</v>
      </c>
      <c r="S203" s="13">
        <f t="shared" si="41"/>
        <v>12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1.0</v>
      </c>
      <c r="G204" s="19">
        <v>0.0</v>
      </c>
      <c r="H204" s="19">
        <v>1.0</v>
      </c>
      <c r="I204" s="19">
        <v>0.0</v>
      </c>
      <c r="J204" s="19">
        <v>1.0</v>
      </c>
      <c r="K204" s="19">
        <v>2.0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3.0</v>
      </c>
      <c r="S204" s="13">
        <f t="shared" si="41"/>
        <v>9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1.0</v>
      </c>
      <c r="L205" s="19">
        <v>1.0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3">
        <f t="shared" si="41"/>
        <v>3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1.0</v>
      </c>
      <c r="O206" s="19">
        <v>1.0</v>
      </c>
      <c r="P206" s="19">
        <v>0.0</v>
      </c>
      <c r="Q206" s="19">
        <v>0.0</v>
      </c>
      <c r="R206" s="19">
        <v>1.0</v>
      </c>
      <c r="S206" s="13">
        <f t="shared" si="41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1.0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1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1.0</v>
      </c>
      <c r="F208" s="19">
        <v>0.0</v>
      </c>
      <c r="G208" s="19">
        <v>0.0</v>
      </c>
      <c r="H208" s="19">
        <v>0.0</v>
      </c>
      <c r="I208" s="19">
        <v>1.0</v>
      </c>
      <c r="J208" s="19">
        <v>1.0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2.0</v>
      </c>
      <c r="S208" s="13">
        <f t="shared" si="41"/>
        <v>5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2">SUM(E201:E210)</f>
        <v>1</v>
      </c>
      <c r="F211" s="13">
        <f t="shared" si="42"/>
        <v>2</v>
      </c>
      <c r="G211" s="13">
        <f t="shared" si="42"/>
        <v>3</v>
      </c>
      <c r="H211" s="13">
        <f t="shared" si="42"/>
        <v>10</v>
      </c>
      <c r="I211" s="13">
        <f t="shared" si="42"/>
        <v>9</v>
      </c>
      <c r="J211" s="13">
        <f t="shared" si="42"/>
        <v>8</v>
      </c>
      <c r="K211" s="13">
        <f t="shared" si="42"/>
        <v>9</v>
      </c>
      <c r="L211" s="13">
        <f t="shared" si="42"/>
        <v>12</v>
      </c>
      <c r="M211" s="13">
        <f t="shared" si="42"/>
        <v>0</v>
      </c>
      <c r="N211" s="13">
        <f t="shared" si="42"/>
        <v>4</v>
      </c>
      <c r="O211" s="13">
        <f t="shared" si="42"/>
        <v>7</v>
      </c>
      <c r="P211" s="13">
        <f t="shared" si="42"/>
        <v>2</v>
      </c>
      <c r="Q211" s="13">
        <f t="shared" si="42"/>
        <v>9</v>
      </c>
      <c r="R211" s="13">
        <f t="shared" si="42"/>
        <v>24</v>
      </c>
      <c r="S211" s="13">
        <f t="shared" si="42"/>
        <v>100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3.0</v>
      </c>
      <c r="G213" s="19">
        <v>1.0</v>
      </c>
      <c r="H213" s="19">
        <v>1.0</v>
      </c>
      <c r="I213" s="19">
        <v>1.0</v>
      </c>
      <c r="J213" s="19">
        <v>0.0</v>
      </c>
      <c r="K213" s="19">
        <v>0.0</v>
      </c>
      <c r="L213" s="19">
        <v>2.0</v>
      </c>
      <c r="M213" s="19">
        <v>2.0</v>
      </c>
      <c r="N213" s="19">
        <v>0.0</v>
      </c>
      <c r="O213" s="19">
        <v>1.0</v>
      </c>
      <c r="P213" s="19">
        <v>0.0</v>
      </c>
      <c r="Q213" s="19">
        <v>0.0</v>
      </c>
      <c r="R213" s="19">
        <v>2.0</v>
      </c>
      <c r="S213" s="13">
        <f t="shared" ref="S213:S222" si="43">SUM(E213:R213)</f>
        <v>13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0.0</v>
      </c>
      <c r="I214" s="19">
        <v>0.0</v>
      </c>
      <c r="J214" s="19">
        <v>0.0</v>
      </c>
      <c r="K214" s="19">
        <v>1.0</v>
      </c>
      <c r="L214" s="19">
        <v>0.0</v>
      </c>
      <c r="M214" s="19">
        <v>1.0</v>
      </c>
      <c r="N214" s="19">
        <v>1.0</v>
      </c>
      <c r="O214" s="19">
        <v>0.0</v>
      </c>
      <c r="P214" s="19">
        <v>0.0</v>
      </c>
      <c r="Q214" s="19">
        <v>0.0</v>
      </c>
      <c r="R214" s="19">
        <v>0.0</v>
      </c>
      <c r="S214" s="13">
        <f t="shared" si="43"/>
        <v>3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1.0</v>
      </c>
      <c r="H215" s="19">
        <v>0.0</v>
      </c>
      <c r="I215" s="19">
        <v>0.0</v>
      </c>
      <c r="J215" s="19">
        <v>0.0</v>
      </c>
      <c r="K215" s="19">
        <v>1.0</v>
      </c>
      <c r="L215" s="19">
        <v>4.0</v>
      </c>
      <c r="M215" s="19">
        <v>4.0</v>
      </c>
      <c r="N215" s="19">
        <v>1.0</v>
      </c>
      <c r="O215" s="19">
        <v>15.0</v>
      </c>
      <c r="P215" s="19">
        <v>10.0</v>
      </c>
      <c r="Q215" s="19">
        <v>23.0</v>
      </c>
      <c r="R215" s="19">
        <v>18.0</v>
      </c>
      <c r="S215" s="13">
        <f t="shared" si="43"/>
        <v>77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2.0</v>
      </c>
      <c r="R216" s="19">
        <v>0.0</v>
      </c>
      <c r="S216" s="13">
        <f t="shared" si="43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1.0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3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1.0</v>
      </c>
      <c r="N220" s="19">
        <v>0.0</v>
      </c>
      <c r="O220" s="19">
        <v>0.0</v>
      </c>
      <c r="P220" s="19">
        <v>0.0</v>
      </c>
      <c r="Q220" s="19">
        <v>0.0</v>
      </c>
      <c r="R220" s="19">
        <v>1.0</v>
      </c>
      <c r="S220" s="13">
        <f t="shared" si="43"/>
        <v>2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4">SUM(E213:E222)</f>
        <v>0</v>
      </c>
      <c r="F223" s="13">
        <f t="shared" si="44"/>
        <v>3</v>
      </c>
      <c r="G223" s="13">
        <f t="shared" si="44"/>
        <v>3</v>
      </c>
      <c r="H223" s="13">
        <f t="shared" si="44"/>
        <v>1</v>
      </c>
      <c r="I223" s="13">
        <f t="shared" si="44"/>
        <v>1</v>
      </c>
      <c r="J223" s="13">
        <f t="shared" si="44"/>
        <v>0</v>
      </c>
      <c r="K223" s="13">
        <f t="shared" si="44"/>
        <v>3</v>
      </c>
      <c r="L223" s="13">
        <f t="shared" si="44"/>
        <v>6</v>
      </c>
      <c r="M223" s="13">
        <f t="shared" si="44"/>
        <v>8</v>
      </c>
      <c r="N223" s="13">
        <f t="shared" si="44"/>
        <v>2</v>
      </c>
      <c r="O223" s="13">
        <f t="shared" si="44"/>
        <v>16</v>
      </c>
      <c r="P223" s="13">
        <f t="shared" si="44"/>
        <v>10</v>
      </c>
      <c r="Q223" s="13">
        <f t="shared" si="44"/>
        <v>25</v>
      </c>
      <c r="R223" s="13">
        <f t="shared" si="44"/>
        <v>21</v>
      </c>
      <c r="S223" s="13">
        <f t="shared" si="44"/>
        <v>99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3">
        <f t="shared" ref="S225:S234" si="45">SUM(E225:R225)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3">
        <f t="shared" si="45"/>
        <v>3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1.0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5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6">SUM(E225:E234)</f>
        <v>1</v>
      </c>
      <c r="F235" s="13">
        <f t="shared" si="46"/>
        <v>0</v>
      </c>
      <c r="G235" s="13">
        <f t="shared" si="46"/>
        <v>0</v>
      </c>
      <c r="H235" s="13">
        <f t="shared" si="46"/>
        <v>2</v>
      </c>
      <c r="I235" s="13">
        <f t="shared" si="46"/>
        <v>1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1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6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2.0</v>
      </c>
      <c r="K237" s="19">
        <v>0.0</v>
      </c>
      <c r="L237" s="19">
        <v>0.0</v>
      </c>
      <c r="M237" s="19">
        <v>2.0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3">
        <f t="shared" ref="S237:S246" si="47">SUM(E237:R237)</f>
        <v>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1.0</v>
      </c>
      <c r="K238" s="19">
        <v>0.0</v>
      </c>
      <c r="L238" s="19">
        <v>0.0</v>
      </c>
      <c r="M238" s="19">
        <v>1.0</v>
      </c>
      <c r="N238" s="19">
        <v>0.0</v>
      </c>
      <c r="O238" s="19">
        <v>2.0</v>
      </c>
      <c r="P238" s="19">
        <v>0.0</v>
      </c>
      <c r="Q238" s="19">
        <v>1.0</v>
      </c>
      <c r="R238" s="19">
        <v>0.0</v>
      </c>
      <c r="S238" s="13">
        <f t="shared" si="47"/>
        <v>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1.0</v>
      </c>
      <c r="I239" s="19">
        <v>2.0</v>
      </c>
      <c r="J239" s="19">
        <v>1.0</v>
      </c>
      <c r="K239" s="19">
        <v>0.0</v>
      </c>
      <c r="L239" s="19">
        <v>0.0</v>
      </c>
      <c r="M239" s="19">
        <v>1.0</v>
      </c>
      <c r="N239" s="19">
        <v>0.0</v>
      </c>
      <c r="O239" s="19">
        <v>3.0</v>
      </c>
      <c r="P239" s="19">
        <v>1.0</v>
      </c>
      <c r="Q239" s="19">
        <v>0.0</v>
      </c>
      <c r="R239" s="19">
        <v>0.0</v>
      </c>
      <c r="S239" s="13">
        <f t="shared" si="47"/>
        <v>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7"/>
        <v>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1.0</v>
      </c>
      <c r="H241" s="19">
        <v>1.0</v>
      </c>
      <c r="I241" s="19">
        <v>0.0</v>
      </c>
      <c r="J241" s="19">
        <v>0.0</v>
      </c>
      <c r="K241" s="19">
        <v>1.0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7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1.0</v>
      </c>
      <c r="K244" s="19">
        <v>0.0</v>
      </c>
      <c r="L244" s="19">
        <v>0.0</v>
      </c>
      <c r="M244" s="19">
        <v>0.0</v>
      </c>
      <c r="N244" s="19">
        <v>0.0</v>
      </c>
      <c r="O244" s="19">
        <v>1.0</v>
      </c>
      <c r="P244" s="19">
        <v>0.0</v>
      </c>
      <c r="Q244" s="19">
        <v>0.0</v>
      </c>
      <c r="R244" s="19">
        <v>0.0</v>
      </c>
      <c r="S244" s="13">
        <f t="shared" si="47"/>
        <v>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8">SUM(E237:E246)</f>
        <v>0</v>
      </c>
      <c r="F247" s="13">
        <f t="shared" si="48"/>
        <v>0</v>
      </c>
      <c r="G247" s="13">
        <f t="shared" si="48"/>
        <v>1</v>
      </c>
      <c r="H247" s="13">
        <f t="shared" si="48"/>
        <v>2</v>
      </c>
      <c r="I247" s="13">
        <f t="shared" si="48"/>
        <v>4</v>
      </c>
      <c r="J247" s="13">
        <f t="shared" si="48"/>
        <v>5</v>
      </c>
      <c r="K247" s="13">
        <f t="shared" si="48"/>
        <v>1</v>
      </c>
      <c r="L247" s="13">
        <f t="shared" si="48"/>
        <v>1</v>
      </c>
      <c r="M247" s="13">
        <f t="shared" si="48"/>
        <v>4</v>
      </c>
      <c r="N247" s="13">
        <f t="shared" si="48"/>
        <v>0</v>
      </c>
      <c r="O247" s="13">
        <f t="shared" si="48"/>
        <v>6</v>
      </c>
      <c r="P247" s="13">
        <f t="shared" si="48"/>
        <v>1</v>
      </c>
      <c r="Q247" s="13">
        <f t="shared" si="48"/>
        <v>1</v>
      </c>
      <c r="R247" s="13">
        <f t="shared" si="48"/>
        <v>0</v>
      </c>
      <c r="S247" s="13">
        <f t="shared" si="48"/>
        <v>26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8" si="49">SUM(E249:R249)</f>
        <v>2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1.0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9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1.0</v>
      </c>
      <c r="R253" s="19">
        <v>0.0</v>
      </c>
      <c r="S253" s="13">
        <f t="shared" si="49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9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50">SUM(E249:E258)</f>
        <v>1</v>
      </c>
      <c r="F259" s="13">
        <f t="shared" si="50"/>
        <v>0</v>
      </c>
      <c r="G259" s="13">
        <f t="shared" si="50"/>
        <v>0</v>
      </c>
      <c r="H259" s="13">
        <f t="shared" si="50"/>
        <v>1</v>
      </c>
      <c r="I259" s="13">
        <f t="shared" si="50"/>
        <v>0</v>
      </c>
      <c r="J259" s="13">
        <f t="shared" si="50"/>
        <v>1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1</v>
      </c>
      <c r="R259" s="13">
        <f t="shared" si="50"/>
        <v>0</v>
      </c>
      <c r="S259" s="13">
        <f t="shared" si="50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R262" si="51">E55+E67+E79+E91+E103+E115+E127+E139+E151+E163+E175+E187+E199+E211+E223+E235+E247+E259</f>
        <v>207</v>
      </c>
      <c r="F262" s="19">
        <f t="shared" si="51"/>
        <v>214</v>
      </c>
      <c r="G262" s="19">
        <f t="shared" si="51"/>
        <v>201</v>
      </c>
      <c r="H262" s="19">
        <f t="shared" si="51"/>
        <v>210</v>
      </c>
      <c r="I262" s="19">
        <f t="shared" si="51"/>
        <v>197</v>
      </c>
      <c r="J262" s="19">
        <f t="shared" si="51"/>
        <v>211</v>
      </c>
      <c r="K262" s="19">
        <f t="shared" si="51"/>
        <v>219</v>
      </c>
      <c r="L262" s="19">
        <f t="shared" si="51"/>
        <v>191</v>
      </c>
      <c r="M262" s="19">
        <f t="shared" si="51"/>
        <v>171</v>
      </c>
      <c r="N262" s="19">
        <f t="shared" si="51"/>
        <v>157</v>
      </c>
      <c r="O262" s="19">
        <f t="shared" si="51"/>
        <v>182</v>
      </c>
      <c r="P262" s="19">
        <f t="shared" si="51"/>
        <v>147</v>
      </c>
      <c r="Q262" s="19">
        <f t="shared" si="51"/>
        <v>182</v>
      </c>
      <c r="R262" s="19">
        <f t="shared" si="51"/>
        <v>166</v>
      </c>
      <c r="S262" s="13">
        <f t="shared" ref="S262:S264" si="52">SUM(E262:R262)</f>
        <v>2655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12.0</v>
      </c>
      <c r="F263" s="19">
        <v>4.0</v>
      </c>
      <c r="G263" s="19">
        <v>16.0</v>
      </c>
      <c r="H263" s="19">
        <v>19.0</v>
      </c>
      <c r="I263" s="19">
        <v>22.0</v>
      </c>
      <c r="J263" s="19">
        <v>13.0</v>
      </c>
      <c r="K263" s="19">
        <v>13.0</v>
      </c>
      <c r="L263" s="19">
        <v>19.0</v>
      </c>
      <c r="M263" s="19">
        <v>15.0</v>
      </c>
      <c r="N263" s="19">
        <v>27.0</v>
      </c>
      <c r="O263" s="19">
        <v>24.0</v>
      </c>
      <c r="P263" s="19">
        <v>13.0</v>
      </c>
      <c r="Q263" s="19">
        <v>22.0</v>
      </c>
      <c r="R263" s="19">
        <v>28.0</v>
      </c>
      <c r="S263" s="13">
        <f t="shared" si="52"/>
        <v>247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R264" si="53">SUM(E262:E263)</f>
        <v>219</v>
      </c>
      <c r="F264" s="13">
        <f t="shared" si="53"/>
        <v>218</v>
      </c>
      <c r="G264" s="13">
        <f t="shared" si="53"/>
        <v>217</v>
      </c>
      <c r="H264" s="13">
        <f t="shared" si="53"/>
        <v>229</v>
      </c>
      <c r="I264" s="13">
        <f t="shared" si="53"/>
        <v>219</v>
      </c>
      <c r="J264" s="13">
        <f t="shared" si="53"/>
        <v>224</v>
      </c>
      <c r="K264" s="13">
        <f t="shared" si="53"/>
        <v>232</v>
      </c>
      <c r="L264" s="13">
        <f t="shared" si="53"/>
        <v>210</v>
      </c>
      <c r="M264" s="13">
        <f t="shared" si="53"/>
        <v>186</v>
      </c>
      <c r="N264" s="13">
        <f t="shared" si="53"/>
        <v>184</v>
      </c>
      <c r="O264" s="13">
        <f t="shared" si="53"/>
        <v>206</v>
      </c>
      <c r="P264" s="13">
        <f t="shared" si="53"/>
        <v>160</v>
      </c>
      <c r="Q264" s="13">
        <f t="shared" si="53"/>
        <v>204</v>
      </c>
      <c r="R264" s="13">
        <f t="shared" si="53"/>
        <v>194</v>
      </c>
      <c r="S264" s="13">
        <f t="shared" si="52"/>
        <v>2902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O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O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135.0</v>
      </c>
      <c r="F14" s="19">
        <v>130.0</v>
      </c>
      <c r="G14" s="19">
        <v>131.0</v>
      </c>
      <c r="H14" s="19">
        <v>142.0</v>
      </c>
      <c r="I14" s="19">
        <v>130.0</v>
      </c>
      <c r="J14" s="19">
        <v>128.0</v>
      </c>
      <c r="K14" s="19">
        <v>127.0</v>
      </c>
      <c r="L14" s="19">
        <v>118.0</v>
      </c>
      <c r="M14" s="19">
        <v>126.0</v>
      </c>
      <c r="N14" s="19">
        <v>132.0</v>
      </c>
      <c r="O14" s="19">
        <v>97.0</v>
      </c>
      <c r="P14" s="19">
        <v>102.0</v>
      </c>
      <c r="Q14" s="19">
        <v>131.0</v>
      </c>
      <c r="R14" s="19">
        <v>118.0</v>
      </c>
      <c r="S14" s="19">
        <v>124.0</v>
      </c>
      <c r="T14" s="13">
        <f t="shared" ref="T14:T16" si="1">SUM(E14:S14)</f>
        <v>1871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128.0</v>
      </c>
      <c r="G15" s="19">
        <v>126.0</v>
      </c>
      <c r="H15" s="19">
        <v>128.0</v>
      </c>
      <c r="I15" s="19">
        <v>129.0</v>
      </c>
      <c r="J15" s="19">
        <v>134.0</v>
      </c>
      <c r="K15" s="19">
        <v>121.0</v>
      </c>
      <c r="L15" s="19">
        <v>131.0</v>
      </c>
      <c r="M15" s="19">
        <v>129.0</v>
      </c>
      <c r="N15" s="19">
        <v>152.0</v>
      </c>
      <c r="O15" s="19">
        <v>107.0</v>
      </c>
      <c r="P15" s="19">
        <v>111.0</v>
      </c>
      <c r="Q15" s="19">
        <v>124.0</v>
      </c>
      <c r="R15" s="19">
        <v>125.0</v>
      </c>
      <c r="S15" s="19">
        <v>117.0</v>
      </c>
      <c r="T15" s="13">
        <f t="shared" si="1"/>
        <v>1898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271</v>
      </c>
      <c r="F16" s="13">
        <f t="shared" si="2"/>
        <v>258</v>
      </c>
      <c r="G16" s="13">
        <f t="shared" si="2"/>
        <v>257</v>
      </c>
      <c r="H16" s="13">
        <f t="shared" si="2"/>
        <v>270</v>
      </c>
      <c r="I16" s="13">
        <f t="shared" si="2"/>
        <v>259</v>
      </c>
      <c r="J16" s="13">
        <f t="shared" si="2"/>
        <v>262</v>
      </c>
      <c r="K16" s="13">
        <f t="shared" si="2"/>
        <v>248</v>
      </c>
      <c r="L16" s="13">
        <f t="shared" si="2"/>
        <v>249</v>
      </c>
      <c r="M16" s="13">
        <f t="shared" si="2"/>
        <v>255</v>
      </c>
      <c r="N16" s="13">
        <f t="shared" si="2"/>
        <v>284</v>
      </c>
      <c r="O16" s="13">
        <f t="shared" si="2"/>
        <v>204</v>
      </c>
      <c r="P16" s="13">
        <f t="shared" si="2"/>
        <v>213</v>
      </c>
      <c r="Q16" s="13">
        <f t="shared" si="2"/>
        <v>255</v>
      </c>
      <c r="R16" s="13">
        <f t="shared" si="2"/>
        <v>243</v>
      </c>
      <c r="S16" s="13">
        <f t="shared" si="2"/>
        <v>241</v>
      </c>
      <c r="T16" s="13">
        <f t="shared" si="1"/>
        <v>3769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92.0</v>
      </c>
      <c r="F19" s="19">
        <v>99.0</v>
      </c>
      <c r="G19" s="19">
        <v>93.0</v>
      </c>
      <c r="H19" s="19">
        <v>104.0</v>
      </c>
      <c r="I19" s="19">
        <v>99.0</v>
      </c>
      <c r="J19" s="19">
        <v>101.0</v>
      </c>
      <c r="K19" s="19">
        <v>98.0</v>
      </c>
      <c r="L19" s="19">
        <v>92.0</v>
      </c>
      <c r="M19" s="19">
        <v>82.0</v>
      </c>
      <c r="N19" s="19">
        <v>87.0</v>
      </c>
      <c r="O19" s="19">
        <v>64.0</v>
      </c>
      <c r="P19" s="19">
        <v>71.0</v>
      </c>
      <c r="Q19" s="19">
        <v>91.0</v>
      </c>
      <c r="R19" s="19">
        <v>90.0</v>
      </c>
      <c r="S19" s="19">
        <v>104.0</v>
      </c>
      <c r="T19" s="13">
        <f t="shared" ref="T19:T30" si="3">SUM(E19:S19)</f>
        <v>1367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102.0</v>
      </c>
      <c r="G20" s="19">
        <v>97.0</v>
      </c>
      <c r="H20" s="19">
        <v>104.0</v>
      </c>
      <c r="I20" s="19">
        <v>108.0</v>
      </c>
      <c r="J20" s="19">
        <v>111.0</v>
      </c>
      <c r="K20" s="19">
        <v>96.0</v>
      </c>
      <c r="L20" s="19">
        <v>108.0</v>
      </c>
      <c r="M20" s="19">
        <v>89.0</v>
      </c>
      <c r="N20" s="19">
        <v>109.0</v>
      </c>
      <c r="O20" s="19">
        <v>89.0</v>
      </c>
      <c r="P20" s="19">
        <v>84.0</v>
      </c>
      <c r="Q20" s="19">
        <v>108.0</v>
      </c>
      <c r="R20" s="19">
        <v>104.0</v>
      </c>
      <c r="S20" s="19">
        <v>98.0</v>
      </c>
      <c r="T20" s="13">
        <f t="shared" si="3"/>
        <v>1517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202</v>
      </c>
      <c r="F21" s="13">
        <f t="shared" si="4"/>
        <v>201</v>
      </c>
      <c r="G21" s="13">
        <f t="shared" si="4"/>
        <v>190</v>
      </c>
      <c r="H21" s="13">
        <f t="shared" si="4"/>
        <v>208</v>
      </c>
      <c r="I21" s="13">
        <f t="shared" si="4"/>
        <v>207</v>
      </c>
      <c r="J21" s="13">
        <f t="shared" si="4"/>
        <v>212</v>
      </c>
      <c r="K21" s="13">
        <f t="shared" si="4"/>
        <v>194</v>
      </c>
      <c r="L21" s="13">
        <f t="shared" si="4"/>
        <v>200</v>
      </c>
      <c r="M21" s="13">
        <f t="shared" si="4"/>
        <v>171</v>
      </c>
      <c r="N21" s="13">
        <f t="shared" si="4"/>
        <v>196</v>
      </c>
      <c r="O21" s="13">
        <f t="shared" si="4"/>
        <v>153</v>
      </c>
      <c r="P21" s="13">
        <f t="shared" si="4"/>
        <v>155</v>
      </c>
      <c r="Q21" s="13">
        <f t="shared" si="4"/>
        <v>199</v>
      </c>
      <c r="R21" s="13">
        <f t="shared" si="4"/>
        <v>194</v>
      </c>
      <c r="S21" s="13">
        <f t="shared" si="4"/>
        <v>202</v>
      </c>
      <c r="T21" s="13">
        <f t="shared" si="3"/>
        <v>2884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2.0</v>
      </c>
      <c r="P22" s="19">
        <v>0.0</v>
      </c>
      <c r="Q22" s="19">
        <v>1.0</v>
      </c>
      <c r="R22" s="19">
        <v>1.0</v>
      </c>
      <c r="S22" s="19">
        <v>2.0</v>
      </c>
      <c r="T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2.0</v>
      </c>
      <c r="M23" s="19">
        <v>1.0</v>
      </c>
      <c r="N23" s="19">
        <v>0.0</v>
      </c>
      <c r="O23" s="19">
        <v>0.0</v>
      </c>
      <c r="P23" s="19">
        <v>1.0</v>
      </c>
      <c r="Q23" s="19">
        <v>1.0</v>
      </c>
      <c r="R23" s="19">
        <v>1.0</v>
      </c>
      <c r="S23" s="19">
        <v>2.0</v>
      </c>
      <c r="T23" s="13">
        <f t="shared" si="3"/>
        <v>10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1</v>
      </c>
      <c r="F24" s="13">
        <f t="shared" si="5"/>
        <v>0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2</v>
      </c>
      <c r="P24" s="13">
        <f t="shared" si="5"/>
        <v>1</v>
      </c>
      <c r="Q24" s="13">
        <f t="shared" si="5"/>
        <v>2</v>
      </c>
      <c r="R24" s="13">
        <f t="shared" si="5"/>
        <v>2</v>
      </c>
      <c r="S24" s="13">
        <f t="shared" si="5"/>
        <v>4</v>
      </c>
      <c r="T24" s="13">
        <f t="shared" si="3"/>
        <v>17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1.0</v>
      </c>
      <c r="N25" s="19">
        <v>2.0</v>
      </c>
      <c r="O25" s="19">
        <v>2.0</v>
      </c>
      <c r="P25" s="19">
        <v>0.0</v>
      </c>
      <c r="Q25" s="19">
        <v>1.0</v>
      </c>
      <c r="R25" s="19">
        <v>1.0</v>
      </c>
      <c r="S25" s="19">
        <v>0.0</v>
      </c>
      <c r="T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2.0</v>
      </c>
      <c r="L26" s="19">
        <v>1.0</v>
      </c>
      <c r="M26" s="19">
        <v>0.0</v>
      </c>
      <c r="N26" s="19">
        <v>1.0</v>
      </c>
      <c r="O26" s="19">
        <v>1.0</v>
      </c>
      <c r="P26" s="19">
        <v>1.0</v>
      </c>
      <c r="Q26" s="19">
        <v>0.0</v>
      </c>
      <c r="R26" s="19">
        <v>0.0</v>
      </c>
      <c r="S26" s="19">
        <v>0.0</v>
      </c>
      <c r="T26" s="13">
        <f t="shared" si="3"/>
        <v>9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2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1</v>
      </c>
      <c r="N27" s="13">
        <f t="shared" si="6"/>
        <v>3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1</v>
      </c>
      <c r="S27" s="13">
        <f t="shared" si="6"/>
        <v>0</v>
      </c>
      <c r="T27" s="13">
        <f t="shared" si="3"/>
        <v>18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93</v>
      </c>
      <c r="F28" s="13">
        <f t="shared" si="7"/>
        <v>99</v>
      </c>
      <c r="G28" s="13">
        <f t="shared" si="7"/>
        <v>94</v>
      </c>
      <c r="H28" s="13">
        <f t="shared" si="7"/>
        <v>104</v>
      </c>
      <c r="I28" s="13">
        <f t="shared" si="7"/>
        <v>100</v>
      </c>
      <c r="J28" s="13">
        <f t="shared" si="7"/>
        <v>101</v>
      </c>
      <c r="K28" s="13">
        <f t="shared" si="7"/>
        <v>98</v>
      </c>
      <c r="L28" s="13">
        <f t="shared" si="7"/>
        <v>92</v>
      </c>
      <c r="M28" s="13">
        <f t="shared" si="7"/>
        <v>83</v>
      </c>
      <c r="N28" s="13">
        <f t="shared" si="7"/>
        <v>89</v>
      </c>
      <c r="O28" s="13">
        <f t="shared" si="7"/>
        <v>68</v>
      </c>
      <c r="P28" s="13">
        <f t="shared" si="7"/>
        <v>71</v>
      </c>
      <c r="Q28" s="13">
        <f t="shared" si="7"/>
        <v>93</v>
      </c>
      <c r="R28" s="13">
        <f t="shared" si="7"/>
        <v>92</v>
      </c>
      <c r="S28" s="13">
        <f t="shared" si="7"/>
        <v>106</v>
      </c>
      <c r="T28" s="13">
        <f t="shared" si="3"/>
        <v>1383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113</v>
      </c>
      <c r="F29" s="13">
        <f t="shared" si="8"/>
        <v>102</v>
      </c>
      <c r="G29" s="13">
        <f t="shared" si="8"/>
        <v>97</v>
      </c>
      <c r="H29" s="13">
        <f t="shared" si="8"/>
        <v>105</v>
      </c>
      <c r="I29" s="13">
        <f t="shared" si="8"/>
        <v>109</v>
      </c>
      <c r="J29" s="13">
        <f t="shared" si="8"/>
        <v>111</v>
      </c>
      <c r="K29" s="13">
        <f t="shared" si="8"/>
        <v>98</v>
      </c>
      <c r="L29" s="13">
        <f t="shared" si="8"/>
        <v>111</v>
      </c>
      <c r="M29" s="13">
        <f t="shared" si="8"/>
        <v>90</v>
      </c>
      <c r="N29" s="13">
        <f t="shared" si="8"/>
        <v>110</v>
      </c>
      <c r="O29" s="13">
        <f t="shared" si="8"/>
        <v>90</v>
      </c>
      <c r="P29" s="13">
        <f t="shared" si="8"/>
        <v>86</v>
      </c>
      <c r="Q29" s="13">
        <f t="shared" si="8"/>
        <v>109</v>
      </c>
      <c r="R29" s="13">
        <f t="shared" si="8"/>
        <v>105</v>
      </c>
      <c r="S29" s="13">
        <f t="shared" si="8"/>
        <v>100</v>
      </c>
      <c r="T29" s="13">
        <f t="shared" si="3"/>
        <v>1536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206</v>
      </c>
      <c r="F30" s="13">
        <f t="shared" si="9"/>
        <v>201</v>
      </c>
      <c r="G30" s="13">
        <f t="shared" si="9"/>
        <v>191</v>
      </c>
      <c r="H30" s="13">
        <f t="shared" si="9"/>
        <v>209</v>
      </c>
      <c r="I30" s="13">
        <f t="shared" si="9"/>
        <v>209</v>
      </c>
      <c r="J30" s="13">
        <f t="shared" si="9"/>
        <v>212</v>
      </c>
      <c r="K30" s="13">
        <f t="shared" si="9"/>
        <v>196</v>
      </c>
      <c r="L30" s="13">
        <f t="shared" si="9"/>
        <v>203</v>
      </c>
      <c r="M30" s="13">
        <f t="shared" si="9"/>
        <v>173</v>
      </c>
      <c r="N30" s="13">
        <f t="shared" si="9"/>
        <v>199</v>
      </c>
      <c r="O30" s="13">
        <f t="shared" si="9"/>
        <v>158</v>
      </c>
      <c r="P30" s="13">
        <f t="shared" si="9"/>
        <v>157</v>
      </c>
      <c r="Q30" s="13">
        <f t="shared" si="9"/>
        <v>202</v>
      </c>
      <c r="R30" s="13">
        <f t="shared" si="9"/>
        <v>197</v>
      </c>
      <c r="S30" s="13">
        <f t="shared" si="9"/>
        <v>206</v>
      </c>
      <c r="T30" s="13">
        <f t="shared" si="3"/>
        <v>2919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6"/>
    </row>
    <row r="33" ht="12.75" customHeight="1">
      <c r="A33" s="19">
        <v>1.0</v>
      </c>
      <c r="B33" s="20" t="s">
        <v>27</v>
      </c>
      <c r="C33" s="15"/>
      <c r="D33" s="16"/>
      <c r="E33" s="19">
        <v>277.0</v>
      </c>
      <c r="F33" s="19">
        <v>254.0</v>
      </c>
      <c r="G33" s="19">
        <v>263.0</v>
      </c>
      <c r="H33" s="19">
        <v>266.0</v>
      </c>
      <c r="I33" s="19">
        <v>255.0</v>
      </c>
      <c r="J33" s="19">
        <v>268.0</v>
      </c>
      <c r="K33" s="19">
        <v>233.0</v>
      </c>
      <c r="L33" s="19">
        <v>244.0</v>
      </c>
      <c r="M33" s="19">
        <v>250.0</v>
      </c>
      <c r="N33" s="19">
        <v>279.0</v>
      </c>
      <c r="O33" s="19">
        <v>209.0</v>
      </c>
      <c r="P33" s="19">
        <v>218.0</v>
      </c>
      <c r="Q33" s="19">
        <v>250.0</v>
      </c>
      <c r="R33" s="19">
        <v>239.0</v>
      </c>
      <c r="S33" s="19">
        <v>236.0</v>
      </c>
      <c r="T33" s="13">
        <f t="shared" ref="T33:T36" si="10">SUM(E33:S33)</f>
        <v>3741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201.0</v>
      </c>
      <c r="G34" s="13">
        <v>191.0</v>
      </c>
      <c r="H34" s="13">
        <v>209.0</v>
      </c>
      <c r="I34" s="13">
        <v>209.0</v>
      </c>
      <c r="J34" s="13">
        <v>212.0</v>
      </c>
      <c r="K34" s="13">
        <v>196.0</v>
      </c>
      <c r="L34" s="13">
        <v>203.0</v>
      </c>
      <c r="M34" s="13">
        <v>173.0</v>
      </c>
      <c r="N34" s="13">
        <v>199.0</v>
      </c>
      <c r="O34" s="13">
        <v>158.0</v>
      </c>
      <c r="P34" s="13">
        <v>157.0</v>
      </c>
      <c r="Q34" s="13">
        <v>202.0</v>
      </c>
      <c r="R34" s="13">
        <v>197.0</v>
      </c>
      <c r="S34" s="13">
        <v>206.0</v>
      </c>
      <c r="T34" s="13">
        <f t="shared" si="10"/>
        <v>2919</v>
      </c>
    </row>
    <row r="35" ht="12.75" customHeight="1">
      <c r="A35" s="19">
        <v>3.0</v>
      </c>
      <c r="B35" s="20" t="s">
        <v>29</v>
      </c>
      <c r="C35" s="15"/>
      <c r="D35" s="16"/>
      <c r="E35" s="19">
        <v>8.0</v>
      </c>
      <c r="F35" s="19">
        <v>0.0</v>
      </c>
      <c r="G35" s="19">
        <v>0.0</v>
      </c>
      <c r="H35" s="19">
        <v>0.0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/>
      <c r="S35" s="19"/>
      <c r="T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63</v>
      </c>
      <c r="F36" s="13">
        <f t="shared" si="11"/>
        <v>53</v>
      </c>
      <c r="G36" s="13">
        <f t="shared" si="11"/>
        <v>72</v>
      </c>
      <c r="H36" s="13">
        <f t="shared" si="11"/>
        <v>57</v>
      </c>
      <c r="I36" s="13">
        <f t="shared" si="11"/>
        <v>46</v>
      </c>
      <c r="J36" s="13">
        <f t="shared" si="11"/>
        <v>55</v>
      </c>
      <c r="K36" s="13">
        <f t="shared" si="11"/>
        <v>37</v>
      </c>
      <c r="L36" s="13">
        <f t="shared" si="11"/>
        <v>41</v>
      </c>
      <c r="M36" s="13">
        <f t="shared" si="11"/>
        <v>77</v>
      </c>
      <c r="N36" s="13">
        <f t="shared" si="11"/>
        <v>79</v>
      </c>
      <c r="O36" s="13">
        <f t="shared" si="11"/>
        <v>51</v>
      </c>
      <c r="P36" s="13">
        <f t="shared" si="11"/>
        <v>61</v>
      </c>
      <c r="Q36" s="13">
        <f t="shared" si="11"/>
        <v>48</v>
      </c>
      <c r="R36" s="13">
        <f t="shared" si="11"/>
        <v>42</v>
      </c>
      <c r="S36" s="13">
        <f t="shared" si="11"/>
        <v>30</v>
      </c>
      <c r="T36" s="13">
        <f t="shared" si="10"/>
        <v>812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84"/>
      <c r="R37" s="84"/>
      <c r="S37" s="84"/>
      <c r="T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3">
        <f t="shared" ref="T39:T41" si="12">SUM(E39:S39)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11.0</v>
      </c>
      <c r="F45" s="19">
        <v>0.0</v>
      </c>
      <c r="G45" s="19">
        <v>8.0</v>
      </c>
      <c r="H45" s="19">
        <v>2.0</v>
      </c>
      <c r="I45" s="19">
        <v>5.0</v>
      </c>
      <c r="J45" s="19">
        <v>5.0</v>
      </c>
      <c r="K45" s="19">
        <v>11.0</v>
      </c>
      <c r="L45" s="19">
        <v>4.0</v>
      </c>
      <c r="M45" s="19">
        <v>4.0</v>
      </c>
      <c r="N45" s="19">
        <v>1.0</v>
      </c>
      <c r="O45" s="19">
        <v>9.0</v>
      </c>
      <c r="P45" s="19">
        <v>12.0</v>
      </c>
      <c r="Q45" s="19">
        <v>4.0</v>
      </c>
      <c r="R45" s="19">
        <v>9.0</v>
      </c>
      <c r="S45" s="19">
        <v>5.0</v>
      </c>
      <c r="T45" s="13">
        <f t="shared" ref="T45:T54" si="14">SUM(E45:S45)</f>
        <v>90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1.0</v>
      </c>
      <c r="F46" s="19">
        <v>3.0</v>
      </c>
      <c r="G46" s="19">
        <v>2.0</v>
      </c>
      <c r="H46" s="19">
        <v>5.0</v>
      </c>
      <c r="I46" s="19">
        <v>4.0</v>
      </c>
      <c r="J46" s="19">
        <v>27.0</v>
      </c>
      <c r="K46" s="19">
        <v>9.0</v>
      </c>
      <c r="L46" s="19">
        <v>11.0</v>
      </c>
      <c r="M46" s="19">
        <v>8.0</v>
      </c>
      <c r="N46" s="19">
        <v>11.0</v>
      </c>
      <c r="O46" s="19">
        <v>16.0</v>
      </c>
      <c r="P46" s="19">
        <v>18.0</v>
      </c>
      <c r="Q46" s="19">
        <v>29.0</v>
      </c>
      <c r="R46" s="19">
        <v>50.0</v>
      </c>
      <c r="S46" s="19">
        <v>18.0</v>
      </c>
      <c r="T46" s="13">
        <f t="shared" si="14"/>
        <v>212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0.0</v>
      </c>
      <c r="H47" s="19">
        <v>1.0</v>
      </c>
      <c r="I47" s="19">
        <v>2.0</v>
      </c>
      <c r="J47" s="19">
        <v>5.0</v>
      </c>
      <c r="K47" s="19">
        <v>1.0</v>
      </c>
      <c r="L47" s="19">
        <v>3.0</v>
      </c>
      <c r="M47" s="19">
        <v>3.0</v>
      </c>
      <c r="N47" s="19">
        <v>1.0</v>
      </c>
      <c r="O47" s="19">
        <v>3.0</v>
      </c>
      <c r="P47" s="19">
        <v>1.0</v>
      </c>
      <c r="Q47" s="19">
        <v>2.0</v>
      </c>
      <c r="R47" s="19">
        <v>4.0</v>
      </c>
      <c r="S47" s="19">
        <v>6.0</v>
      </c>
      <c r="T47" s="13">
        <f t="shared" si="14"/>
        <v>33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0.0</v>
      </c>
      <c r="J48" s="19">
        <v>2.0</v>
      </c>
      <c r="K48" s="19">
        <v>0.0</v>
      </c>
      <c r="L48" s="19">
        <v>0.0</v>
      </c>
      <c r="M48" s="19">
        <v>0.0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3">
        <f t="shared" si="14"/>
        <v>4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2.0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3">
        <f t="shared" si="14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1.0</v>
      </c>
      <c r="M50" s="19">
        <v>0.0</v>
      </c>
      <c r="N50" s="19">
        <v>0.0</v>
      </c>
      <c r="O50" s="19">
        <v>3.0</v>
      </c>
      <c r="P50" s="19">
        <v>0.0</v>
      </c>
      <c r="Q50" s="19">
        <v>1.0</v>
      </c>
      <c r="R50" s="19">
        <v>0.0</v>
      </c>
      <c r="S50" s="19">
        <v>0.0</v>
      </c>
      <c r="T50" s="13">
        <f t="shared" si="14"/>
        <v>6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1.0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1.0</v>
      </c>
      <c r="T51" s="13">
        <f t="shared" si="14"/>
        <v>2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2.0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1.0</v>
      </c>
      <c r="T52" s="13">
        <f t="shared" si="14"/>
        <v>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SUM(E45:E54)</f>
        <v>13</v>
      </c>
      <c r="F55" s="13">
        <f t="shared" si="15"/>
        <v>4</v>
      </c>
      <c r="G55" s="13">
        <f t="shared" si="15"/>
        <v>12</v>
      </c>
      <c r="H55" s="13">
        <f t="shared" si="15"/>
        <v>8</v>
      </c>
      <c r="I55" s="13">
        <f t="shared" si="15"/>
        <v>11</v>
      </c>
      <c r="J55" s="13">
        <f t="shared" si="15"/>
        <v>43</v>
      </c>
      <c r="K55" s="13">
        <f t="shared" si="15"/>
        <v>22</v>
      </c>
      <c r="L55" s="13">
        <f t="shared" si="15"/>
        <v>19</v>
      </c>
      <c r="M55" s="13">
        <f t="shared" si="15"/>
        <v>15</v>
      </c>
      <c r="N55" s="13">
        <f t="shared" si="15"/>
        <v>14</v>
      </c>
      <c r="O55" s="13">
        <f t="shared" si="15"/>
        <v>31</v>
      </c>
      <c r="P55" s="13">
        <f t="shared" si="15"/>
        <v>31</v>
      </c>
      <c r="Q55" s="13">
        <f t="shared" si="15"/>
        <v>36</v>
      </c>
      <c r="R55" s="13">
        <f t="shared" si="15"/>
        <v>64</v>
      </c>
      <c r="S55" s="13">
        <f t="shared" si="15"/>
        <v>31</v>
      </c>
      <c r="T55" s="13">
        <f t="shared" si="15"/>
        <v>354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16.0</v>
      </c>
      <c r="F57" s="19">
        <v>14.0</v>
      </c>
      <c r="G57" s="19">
        <v>11.0</v>
      </c>
      <c r="H57" s="19">
        <v>14.0</v>
      </c>
      <c r="I57" s="19">
        <v>11.0</v>
      </c>
      <c r="J57" s="19">
        <v>9.0</v>
      </c>
      <c r="K57" s="19">
        <v>8.0</v>
      </c>
      <c r="L57" s="19">
        <v>12.0</v>
      </c>
      <c r="M57" s="19">
        <v>13.0</v>
      </c>
      <c r="N57" s="19">
        <v>9.0</v>
      </c>
      <c r="O57" s="19">
        <v>9.0</v>
      </c>
      <c r="P57" s="19">
        <v>13.0</v>
      </c>
      <c r="Q57" s="19">
        <v>5.0</v>
      </c>
      <c r="R57" s="19">
        <v>3.0</v>
      </c>
      <c r="S57" s="19">
        <v>8.0</v>
      </c>
      <c r="T57" s="13">
        <f t="shared" ref="T57:T66" si="16">SUM(E57:S57)</f>
        <v>155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57.0</v>
      </c>
      <c r="F58" s="19">
        <v>82.0</v>
      </c>
      <c r="G58" s="19">
        <v>70.0</v>
      </c>
      <c r="H58" s="19">
        <v>100.0</v>
      </c>
      <c r="I58" s="19">
        <v>79.0</v>
      </c>
      <c r="J58" s="19">
        <v>78.0</v>
      </c>
      <c r="K58" s="19">
        <v>65.0</v>
      </c>
      <c r="L58" s="19">
        <v>47.0</v>
      </c>
      <c r="M58" s="19">
        <v>40.0</v>
      </c>
      <c r="N58" s="19">
        <v>56.0</v>
      </c>
      <c r="O58" s="19">
        <v>9.0</v>
      </c>
      <c r="P58" s="19">
        <v>20.0</v>
      </c>
      <c r="Q58" s="19">
        <v>33.0</v>
      </c>
      <c r="R58" s="19">
        <v>22.0</v>
      </c>
      <c r="S58" s="19">
        <v>19.0</v>
      </c>
      <c r="T58" s="13">
        <f t="shared" si="16"/>
        <v>777</v>
      </c>
    </row>
    <row r="59" ht="12.75" customHeight="1">
      <c r="A59" s="18"/>
      <c r="B59" s="55">
        <v>2.0</v>
      </c>
      <c r="C59" s="50" t="s">
        <v>50</v>
      </c>
      <c r="D59" s="59"/>
      <c r="E59" s="19">
        <v>1.0</v>
      </c>
      <c r="F59" s="19">
        <v>9.0</v>
      </c>
      <c r="G59" s="19">
        <v>3.0</v>
      </c>
      <c r="H59" s="19">
        <v>10.0</v>
      </c>
      <c r="I59" s="19">
        <v>6.0</v>
      </c>
      <c r="J59" s="19">
        <v>9.0</v>
      </c>
      <c r="K59" s="19">
        <v>3.0</v>
      </c>
      <c r="L59" s="19">
        <v>5.0</v>
      </c>
      <c r="M59" s="19">
        <v>2.0</v>
      </c>
      <c r="N59" s="19">
        <v>10.0</v>
      </c>
      <c r="O59" s="19">
        <v>5.0</v>
      </c>
      <c r="P59" s="19">
        <v>2.0</v>
      </c>
      <c r="Q59" s="19">
        <v>2.0</v>
      </c>
      <c r="R59" s="19">
        <v>1.0</v>
      </c>
      <c r="S59" s="19">
        <v>3.0</v>
      </c>
      <c r="T59" s="13">
        <f t="shared" si="16"/>
        <v>71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0.0</v>
      </c>
      <c r="G60" s="19">
        <v>0.0</v>
      </c>
      <c r="H60" s="19">
        <v>0.0</v>
      </c>
      <c r="I60" s="19">
        <v>1.0</v>
      </c>
      <c r="J60" s="19">
        <v>3.0</v>
      </c>
      <c r="K60" s="19">
        <v>0.0</v>
      </c>
      <c r="L60" s="19">
        <v>1.0</v>
      </c>
      <c r="M60" s="19">
        <v>0.0</v>
      </c>
      <c r="N60" s="19">
        <v>0.0</v>
      </c>
      <c r="O60" s="19">
        <v>1.0</v>
      </c>
      <c r="P60" s="19">
        <v>0.0</v>
      </c>
      <c r="Q60" s="19">
        <v>20.0</v>
      </c>
      <c r="R60" s="19">
        <v>1.0</v>
      </c>
      <c r="S60" s="19">
        <v>6.0</v>
      </c>
      <c r="T60" s="13">
        <f t="shared" si="16"/>
        <v>36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1.0</v>
      </c>
      <c r="H61" s="19">
        <v>1.0</v>
      </c>
      <c r="I61" s="19">
        <v>0.0</v>
      </c>
      <c r="J61" s="19">
        <v>1.0</v>
      </c>
      <c r="K61" s="19">
        <v>0.0</v>
      </c>
      <c r="L61" s="19">
        <v>0.0</v>
      </c>
      <c r="M61" s="19">
        <v>0.0</v>
      </c>
      <c r="N61" s="19">
        <v>1.0</v>
      </c>
      <c r="O61" s="19">
        <v>2.0</v>
      </c>
      <c r="P61" s="19">
        <v>1.0</v>
      </c>
      <c r="Q61" s="19">
        <v>1.0</v>
      </c>
      <c r="R61" s="19">
        <v>1.0</v>
      </c>
      <c r="S61" s="19">
        <v>0.0</v>
      </c>
      <c r="T61" s="13">
        <f t="shared" si="16"/>
        <v>9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1.0</v>
      </c>
      <c r="M63" s="19">
        <v>0.0</v>
      </c>
      <c r="N63" s="19">
        <v>0.0</v>
      </c>
      <c r="O63" s="19">
        <v>0.0</v>
      </c>
      <c r="P63" s="19">
        <v>0.0</v>
      </c>
      <c r="Q63" s="19">
        <v>0.0</v>
      </c>
      <c r="R63" s="19">
        <v>1.0</v>
      </c>
      <c r="S63" s="19">
        <v>0.0</v>
      </c>
      <c r="T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1.0</v>
      </c>
      <c r="J64" s="19">
        <v>0.0</v>
      </c>
      <c r="K64" s="19">
        <v>1.0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3.0</v>
      </c>
      <c r="R64" s="19">
        <v>2.0</v>
      </c>
      <c r="S64" s="19">
        <v>2.0</v>
      </c>
      <c r="T64" s="13">
        <f t="shared" si="16"/>
        <v>10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SUM(E57:E66)</f>
        <v>77</v>
      </c>
      <c r="F67" s="13">
        <f t="shared" si="17"/>
        <v>105</v>
      </c>
      <c r="G67" s="13">
        <f t="shared" si="17"/>
        <v>86</v>
      </c>
      <c r="H67" s="13">
        <f t="shared" si="17"/>
        <v>125</v>
      </c>
      <c r="I67" s="13">
        <f t="shared" si="17"/>
        <v>98</v>
      </c>
      <c r="J67" s="13">
        <f t="shared" si="17"/>
        <v>101</v>
      </c>
      <c r="K67" s="13">
        <f t="shared" si="17"/>
        <v>78</v>
      </c>
      <c r="L67" s="13">
        <f t="shared" si="17"/>
        <v>67</v>
      </c>
      <c r="M67" s="13">
        <f t="shared" si="17"/>
        <v>55</v>
      </c>
      <c r="N67" s="13">
        <f t="shared" si="17"/>
        <v>76</v>
      </c>
      <c r="O67" s="13">
        <f t="shared" si="17"/>
        <v>26</v>
      </c>
      <c r="P67" s="13">
        <f t="shared" si="17"/>
        <v>36</v>
      </c>
      <c r="Q67" s="13">
        <f t="shared" si="17"/>
        <v>64</v>
      </c>
      <c r="R67" s="13">
        <f t="shared" si="17"/>
        <v>31</v>
      </c>
      <c r="S67" s="13">
        <f t="shared" si="17"/>
        <v>38</v>
      </c>
      <c r="T67" s="13">
        <f t="shared" si="17"/>
        <v>1063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8.0</v>
      </c>
      <c r="G69" s="19">
        <v>5.0</v>
      </c>
      <c r="H69" s="19">
        <v>4.0</v>
      </c>
      <c r="I69" s="19">
        <v>6.0</v>
      </c>
      <c r="J69" s="19">
        <v>3.0</v>
      </c>
      <c r="K69" s="19">
        <v>3.0</v>
      </c>
      <c r="L69" s="19">
        <v>1.0</v>
      </c>
      <c r="M69" s="19">
        <v>3.0</v>
      </c>
      <c r="N69" s="19">
        <v>3.0</v>
      </c>
      <c r="O69" s="19">
        <v>8.0</v>
      </c>
      <c r="P69" s="19">
        <v>2.0</v>
      </c>
      <c r="Q69" s="19">
        <v>4.0</v>
      </c>
      <c r="R69" s="19">
        <v>9.0</v>
      </c>
      <c r="S69" s="19">
        <v>10.0</v>
      </c>
      <c r="T69" s="13">
        <f t="shared" ref="T69:T78" si="18">SUM(E69:S69)</f>
        <v>74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13.0</v>
      </c>
      <c r="F70" s="19">
        <v>9.0</v>
      </c>
      <c r="G70" s="19">
        <v>12.0</v>
      </c>
      <c r="H70" s="19">
        <v>4.0</v>
      </c>
      <c r="I70" s="19">
        <v>18.0</v>
      </c>
      <c r="J70" s="19">
        <v>7.0</v>
      </c>
      <c r="K70" s="19">
        <v>5.0</v>
      </c>
      <c r="L70" s="19">
        <v>9.0</v>
      </c>
      <c r="M70" s="19">
        <v>20.0</v>
      </c>
      <c r="N70" s="19">
        <v>11.0</v>
      </c>
      <c r="O70" s="19">
        <v>4.0</v>
      </c>
      <c r="P70" s="19">
        <v>7.0</v>
      </c>
      <c r="Q70" s="19">
        <v>12.0</v>
      </c>
      <c r="R70" s="19">
        <v>6.0</v>
      </c>
      <c r="S70" s="19">
        <v>24.0</v>
      </c>
      <c r="T70" s="13">
        <f t="shared" si="18"/>
        <v>161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4.0</v>
      </c>
      <c r="G71" s="19">
        <v>3.0</v>
      </c>
      <c r="H71" s="19">
        <v>3.0</v>
      </c>
      <c r="I71" s="19">
        <v>1.0</v>
      </c>
      <c r="J71" s="19">
        <v>1.0</v>
      </c>
      <c r="K71" s="19">
        <v>0.0</v>
      </c>
      <c r="L71" s="19">
        <v>1.0</v>
      </c>
      <c r="M71" s="19">
        <v>4.0</v>
      </c>
      <c r="N71" s="19">
        <v>0.0</v>
      </c>
      <c r="O71" s="19">
        <v>0.0</v>
      </c>
      <c r="P71" s="19">
        <v>1.0</v>
      </c>
      <c r="Q71" s="19">
        <v>0.0</v>
      </c>
      <c r="R71" s="19">
        <v>2.0</v>
      </c>
      <c r="S71" s="19">
        <v>1.0</v>
      </c>
      <c r="T71" s="13">
        <f t="shared" si="18"/>
        <v>22</v>
      </c>
    </row>
    <row r="72" ht="12.75" customHeight="1">
      <c r="A72" s="18"/>
      <c r="B72" s="55">
        <v>3.0</v>
      </c>
      <c r="C72" s="50" t="s">
        <v>59</v>
      </c>
      <c r="D72" s="60"/>
      <c r="E72" s="19">
        <v>36.0</v>
      </c>
      <c r="F72" s="19">
        <v>15.0</v>
      </c>
      <c r="G72" s="19">
        <v>35.0</v>
      </c>
      <c r="H72" s="19">
        <v>16.0</v>
      </c>
      <c r="I72" s="19">
        <v>27.0</v>
      </c>
      <c r="J72" s="19">
        <v>11.0</v>
      </c>
      <c r="K72" s="19">
        <v>19.0</v>
      </c>
      <c r="L72" s="19">
        <v>13.0</v>
      </c>
      <c r="M72" s="19">
        <v>4.0</v>
      </c>
      <c r="N72" s="19">
        <v>4.0</v>
      </c>
      <c r="O72" s="19">
        <v>5.0</v>
      </c>
      <c r="P72" s="19">
        <v>2.0</v>
      </c>
      <c r="Q72" s="19">
        <v>8.0</v>
      </c>
      <c r="R72" s="19">
        <v>28.0</v>
      </c>
      <c r="S72" s="19">
        <v>31.0</v>
      </c>
      <c r="T72" s="13">
        <f t="shared" si="18"/>
        <v>254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1.0</v>
      </c>
      <c r="J73" s="19">
        <v>0.0</v>
      </c>
      <c r="K73" s="19">
        <v>0.0</v>
      </c>
      <c r="L73" s="19">
        <v>1.0</v>
      </c>
      <c r="M73" s="19">
        <v>0.0</v>
      </c>
      <c r="N73" s="19">
        <v>1.0</v>
      </c>
      <c r="O73" s="19">
        <v>0.0</v>
      </c>
      <c r="P73" s="19">
        <v>1.0</v>
      </c>
      <c r="Q73" s="19">
        <v>0.0</v>
      </c>
      <c r="R73" s="19">
        <v>0.0</v>
      </c>
      <c r="S73" s="19">
        <v>0.0</v>
      </c>
      <c r="T73" s="13">
        <f t="shared" si="18"/>
        <v>4</v>
      </c>
    </row>
    <row r="74" ht="12.75" customHeight="1">
      <c r="A74" s="18"/>
      <c r="B74" s="55">
        <v>5.0</v>
      </c>
      <c r="C74" s="50" t="s">
        <v>61</v>
      </c>
      <c r="D74" s="60"/>
      <c r="E74" s="19">
        <v>1.0</v>
      </c>
      <c r="F74" s="19">
        <v>1.0</v>
      </c>
      <c r="G74" s="19">
        <v>0.0</v>
      </c>
      <c r="H74" s="19">
        <v>0.0</v>
      </c>
      <c r="I74" s="19">
        <v>0.0</v>
      </c>
      <c r="J74" s="19">
        <v>1.0</v>
      </c>
      <c r="K74" s="19">
        <v>1.0</v>
      </c>
      <c r="L74" s="19">
        <v>0.0</v>
      </c>
      <c r="M74" s="19">
        <v>2.0</v>
      </c>
      <c r="N74" s="19">
        <v>1.0</v>
      </c>
      <c r="O74" s="19">
        <v>1.0</v>
      </c>
      <c r="P74" s="19">
        <v>1.0</v>
      </c>
      <c r="Q74" s="19">
        <v>0.0</v>
      </c>
      <c r="R74" s="19">
        <v>0.0</v>
      </c>
      <c r="S74" s="19">
        <v>0.0</v>
      </c>
      <c r="T74" s="13">
        <f t="shared" si="18"/>
        <v>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4.0</v>
      </c>
      <c r="N76" s="19">
        <v>9.0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3">
        <f t="shared" si="18"/>
        <v>13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SUM(E69:E78)</f>
        <v>56</v>
      </c>
      <c r="F79" s="13">
        <f t="shared" si="19"/>
        <v>37</v>
      </c>
      <c r="G79" s="13">
        <f t="shared" si="19"/>
        <v>55</v>
      </c>
      <c r="H79" s="13">
        <f t="shared" si="19"/>
        <v>27</v>
      </c>
      <c r="I79" s="13">
        <f t="shared" si="19"/>
        <v>53</v>
      </c>
      <c r="J79" s="13">
        <f t="shared" si="19"/>
        <v>23</v>
      </c>
      <c r="K79" s="13">
        <f t="shared" si="19"/>
        <v>28</v>
      </c>
      <c r="L79" s="13">
        <f t="shared" si="19"/>
        <v>25</v>
      </c>
      <c r="M79" s="13">
        <f t="shared" si="19"/>
        <v>37</v>
      </c>
      <c r="N79" s="13">
        <f t="shared" si="19"/>
        <v>29</v>
      </c>
      <c r="O79" s="13">
        <f t="shared" si="19"/>
        <v>18</v>
      </c>
      <c r="P79" s="13">
        <f t="shared" si="19"/>
        <v>14</v>
      </c>
      <c r="Q79" s="13">
        <f t="shared" si="19"/>
        <v>24</v>
      </c>
      <c r="R79" s="13">
        <f t="shared" si="19"/>
        <v>45</v>
      </c>
      <c r="S79" s="13">
        <f t="shared" si="19"/>
        <v>66</v>
      </c>
      <c r="T79" s="13">
        <f t="shared" si="19"/>
        <v>537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3.0</v>
      </c>
      <c r="F81" s="19">
        <v>3.0</v>
      </c>
      <c r="G81" s="19">
        <v>1.0</v>
      </c>
      <c r="H81" s="19">
        <v>4.0</v>
      </c>
      <c r="I81" s="19">
        <v>2.0</v>
      </c>
      <c r="J81" s="19">
        <v>0.0</v>
      </c>
      <c r="K81" s="19">
        <v>2.0</v>
      </c>
      <c r="L81" s="19">
        <v>0.0</v>
      </c>
      <c r="M81" s="19">
        <v>2.0</v>
      </c>
      <c r="N81" s="19">
        <v>1.0</v>
      </c>
      <c r="O81" s="19">
        <v>2.0</v>
      </c>
      <c r="P81" s="19">
        <v>1.0</v>
      </c>
      <c r="Q81" s="19">
        <v>2.0</v>
      </c>
      <c r="R81" s="19">
        <v>2.0</v>
      </c>
      <c r="S81" s="19">
        <v>0.0</v>
      </c>
      <c r="T81" s="13">
        <f t="shared" ref="T81:T90" si="20">SUM(E81:S81)</f>
        <v>25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24.0</v>
      </c>
      <c r="F82" s="19">
        <v>10.0</v>
      </c>
      <c r="G82" s="19">
        <v>8.0</v>
      </c>
      <c r="H82" s="19">
        <v>29.0</v>
      </c>
      <c r="I82" s="19">
        <v>8.0</v>
      </c>
      <c r="J82" s="19">
        <v>3.0</v>
      </c>
      <c r="K82" s="19">
        <v>12.0</v>
      </c>
      <c r="L82" s="19">
        <v>10.0</v>
      </c>
      <c r="M82" s="19">
        <v>4.0</v>
      </c>
      <c r="N82" s="19">
        <v>3.0</v>
      </c>
      <c r="O82" s="19">
        <v>14.0</v>
      </c>
      <c r="P82" s="19">
        <v>6.0</v>
      </c>
      <c r="Q82" s="19">
        <v>4.0</v>
      </c>
      <c r="R82" s="19">
        <v>9.0</v>
      </c>
      <c r="S82" s="19">
        <v>7.0</v>
      </c>
      <c r="T82" s="13">
        <f t="shared" si="20"/>
        <v>151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0.0</v>
      </c>
      <c r="G83" s="19">
        <v>0.0</v>
      </c>
      <c r="H83" s="19">
        <v>0.0</v>
      </c>
      <c r="I83" s="19">
        <v>0.0</v>
      </c>
      <c r="J83" s="19">
        <v>2.0</v>
      </c>
      <c r="K83" s="19">
        <v>3.0</v>
      </c>
      <c r="L83" s="19">
        <v>10.0</v>
      </c>
      <c r="M83" s="19">
        <v>11.0</v>
      </c>
      <c r="N83" s="19">
        <v>4.0</v>
      </c>
      <c r="O83" s="19">
        <v>1.0</v>
      </c>
      <c r="P83" s="19">
        <v>2.0</v>
      </c>
      <c r="Q83" s="19">
        <v>6.0</v>
      </c>
      <c r="R83" s="19">
        <v>0.0</v>
      </c>
      <c r="S83" s="19">
        <v>2.0</v>
      </c>
      <c r="T83" s="13">
        <f t="shared" si="20"/>
        <v>42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1.0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9.0</v>
      </c>
      <c r="O84" s="19">
        <v>0.0</v>
      </c>
      <c r="P84" s="19">
        <v>0.0</v>
      </c>
      <c r="Q84" s="19">
        <v>0.0</v>
      </c>
      <c r="R84" s="19">
        <v>2.0</v>
      </c>
      <c r="S84" s="19">
        <v>0.0</v>
      </c>
      <c r="T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3.0</v>
      </c>
      <c r="T85" s="13">
        <f t="shared" si="20"/>
        <v>4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2.0</v>
      </c>
      <c r="J86" s="19">
        <v>0.0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2.0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60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5.0</v>
      </c>
      <c r="R88" s="19">
        <v>0.0</v>
      </c>
      <c r="S88" s="19">
        <v>0.0</v>
      </c>
      <c r="T88" s="13">
        <f t="shared" si="20"/>
        <v>7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SUM(E81:E90)</f>
        <v>29</v>
      </c>
      <c r="F91" s="13">
        <f t="shared" si="21"/>
        <v>14</v>
      </c>
      <c r="G91" s="13">
        <f t="shared" si="21"/>
        <v>9</v>
      </c>
      <c r="H91" s="13">
        <f t="shared" si="21"/>
        <v>33</v>
      </c>
      <c r="I91" s="13">
        <f t="shared" si="21"/>
        <v>15</v>
      </c>
      <c r="J91" s="13">
        <f t="shared" si="21"/>
        <v>5</v>
      </c>
      <c r="K91" s="13">
        <f t="shared" si="21"/>
        <v>17</v>
      </c>
      <c r="L91" s="13">
        <f t="shared" si="21"/>
        <v>20</v>
      </c>
      <c r="M91" s="13">
        <f t="shared" si="21"/>
        <v>17</v>
      </c>
      <c r="N91" s="13">
        <f t="shared" si="21"/>
        <v>17</v>
      </c>
      <c r="O91" s="13">
        <f t="shared" si="21"/>
        <v>18</v>
      </c>
      <c r="P91" s="13">
        <f t="shared" si="21"/>
        <v>9</v>
      </c>
      <c r="Q91" s="13">
        <f t="shared" si="21"/>
        <v>17</v>
      </c>
      <c r="R91" s="13">
        <f t="shared" si="21"/>
        <v>13</v>
      </c>
      <c r="S91" s="13">
        <f t="shared" si="21"/>
        <v>12</v>
      </c>
      <c r="T91" s="13">
        <f t="shared" si="21"/>
        <v>245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1.0</v>
      </c>
      <c r="J93" s="19">
        <v>0.0</v>
      </c>
      <c r="K93" s="19">
        <v>0.0</v>
      </c>
      <c r="L93" s="19">
        <v>0.0</v>
      </c>
      <c r="M93" s="19">
        <v>2.0</v>
      </c>
      <c r="N93" s="19">
        <v>0.0</v>
      </c>
      <c r="O93" s="19">
        <v>0.0</v>
      </c>
      <c r="P93" s="19">
        <v>0.0</v>
      </c>
      <c r="Q93" s="19">
        <v>0.0</v>
      </c>
      <c r="R93" s="19">
        <v>0.0</v>
      </c>
      <c r="S93" s="19">
        <v>0.0</v>
      </c>
      <c r="T93" s="13">
        <f t="shared" ref="T93:T102" si="22">SUM(E93:S93)</f>
        <v>3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1.0</v>
      </c>
      <c r="G94" s="19">
        <v>1.0</v>
      </c>
      <c r="H94" s="19">
        <v>0.0</v>
      </c>
      <c r="I94" s="19">
        <v>0.0</v>
      </c>
      <c r="J94" s="19">
        <v>0.0</v>
      </c>
      <c r="K94" s="19">
        <v>0.0</v>
      </c>
      <c r="L94" s="19">
        <v>2.0</v>
      </c>
      <c r="M94" s="19">
        <v>0.0</v>
      </c>
      <c r="N94" s="19">
        <v>1.0</v>
      </c>
      <c r="O94" s="19">
        <v>0.0</v>
      </c>
      <c r="P94" s="19">
        <v>0.0</v>
      </c>
      <c r="Q94" s="19">
        <v>1.0</v>
      </c>
      <c r="R94" s="19">
        <v>0.0</v>
      </c>
      <c r="S94" s="19">
        <v>2.0</v>
      </c>
      <c r="T94" s="13">
        <f t="shared" si="22"/>
        <v>8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0.0</v>
      </c>
      <c r="S95" s="19">
        <v>0.0</v>
      </c>
      <c r="T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6.0</v>
      </c>
      <c r="M97" s="19">
        <v>2.0</v>
      </c>
      <c r="N97" s="19">
        <v>0.0</v>
      </c>
      <c r="O97" s="19">
        <v>1.0</v>
      </c>
      <c r="P97" s="19">
        <v>0.0</v>
      </c>
      <c r="Q97" s="19">
        <v>0.0</v>
      </c>
      <c r="R97" s="19">
        <v>0.0</v>
      </c>
      <c r="S97" s="19">
        <v>0.0</v>
      </c>
      <c r="T97" s="13">
        <f t="shared" si="22"/>
        <v>9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1.0</v>
      </c>
      <c r="K98" s="19">
        <v>0.0</v>
      </c>
      <c r="L98" s="19">
        <v>0.0</v>
      </c>
      <c r="M98" s="19">
        <v>0.0</v>
      </c>
      <c r="N98" s="19">
        <v>0.0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SUM(E93:E102)</f>
        <v>0</v>
      </c>
      <c r="F103" s="13">
        <f t="shared" si="23"/>
        <v>1</v>
      </c>
      <c r="G103" s="13">
        <f t="shared" si="23"/>
        <v>1</v>
      </c>
      <c r="H103" s="13">
        <f t="shared" si="23"/>
        <v>0</v>
      </c>
      <c r="I103" s="13">
        <f t="shared" si="23"/>
        <v>1</v>
      </c>
      <c r="J103" s="13">
        <f t="shared" si="23"/>
        <v>1</v>
      </c>
      <c r="K103" s="13">
        <f t="shared" si="23"/>
        <v>0</v>
      </c>
      <c r="L103" s="13">
        <f t="shared" si="23"/>
        <v>8</v>
      </c>
      <c r="M103" s="13">
        <f t="shared" si="23"/>
        <v>4</v>
      </c>
      <c r="N103" s="13">
        <f t="shared" si="23"/>
        <v>1</v>
      </c>
      <c r="O103" s="13">
        <f t="shared" si="23"/>
        <v>2</v>
      </c>
      <c r="P103" s="13">
        <f t="shared" si="23"/>
        <v>1</v>
      </c>
      <c r="Q103" s="13">
        <f t="shared" si="23"/>
        <v>1</v>
      </c>
      <c r="R103" s="13">
        <f t="shared" si="23"/>
        <v>0</v>
      </c>
      <c r="S103" s="13">
        <f t="shared" si="23"/>
        <v>2</v>
      </c>
      <c r="T103" s="13">
        <f t="shared" si="23"/>
        <v>23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0.0</v>
      </c>
      <c r="T105" s="13">
        <f t="shared" ref="T105:T114" si="24">SUM(E105:S105)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1.0</v>
      </c>
      <c r="L106" s="19">
        <v>0.0</v>
      </c>
      <c r="M106" s="19">
        <v>0.0</v>
      </c>
      <c r="N106" s="19">
        <v>3.0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1.0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1.0</v>
      </c>
      <c r="O112" s="19">
        <v>0.0</v>
      </c>
      <c r="P112" s="19">
        <v>0.0</v>
      </c>
      <c r="Q112" s="19">
        <v>1.0</v>
      </c>
      <c r="R112" s="19">
        <v>0.0</v>
      </c>
      <c r="S112" s="19">
        <v>0.0</v>
      </c>
      <c r="T112" s="13">
        <f t="shared" si="24"/>
        <v>2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5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0</v>
      </c>
      <c r="T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1.0</v>
      </c>
      <c r="J117" s="19">
        <v>0.0</v>
      </c>
      <c r="K117" s="19">
        <v>0.0</v>
      </c>
      <c r="L117" s="19">
        <v>0.0</v>
      </c>
      <c r="M117" s="19">
        <v>0.0</v>
      </c>
      <c r="N117" s="19">
        <v>0.0</v>
      </c>
      <c r="O117" s="19">
        <v>0.0</v>
      </c>
      <c r="P117" s="19">
        <v>0.0</v>
      </c>
      <c r="Q117" s="19">
        <v>0.0</v>
      </c>
      <c r="R117" s="19">
        <v>0.0</v>
      </c>
      <c r="S117" s="19">
        <v>0.0</v>
      </c>
      <c r="T117" s="13">
        <f t="shared" ref="T117:T126" si="26">SUM(E117:S117)</f>
        <v>2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T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2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1.0</v>
      </c>
      <c r="K129" s="19">
        <v>1.0</v>
      </c>
      <c r="L129" s="19">
        <v>2.0</v>
      </c>
      <c r="M129" s="19">
        <v>0.0</v>
      </c>
      <c r="N129" s="19">
        <v>1.0</v>
      </c>
      <c r="O129" s="19">
        <v>0.0</v>
      </c>
      <c r="P129" s="19">
        <v>3.0</v>
      </c>
      <c r="Q129" s="19">
        <v>0.0</v>
      </c>
      <c r="R129" s="19">
        <v>0.0</v>
      </c>
      <c r="S129" s="19">
        <v>0.0</v>
      </c>
      <c r="T129" s="13">
        <f t="shared" ref="T129:T138" si="28">SUM(E129:S129)</f>
        <v>9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2.0</v>
      </c>
      <c r="H130" s="19">
        <v>1.0</v>
      </c>
      <c r="I130" s="19">
        <v>0.0</v>
      </c>
      <c r="J130" s="19">
        <v>3.0</v>
      </c>
      <c r="K130" s="19">
        <v>1.0</v>
      </c>
      <c r="L130" s="19">
        <v>0.0</v>
      </c>
      <c r="M130" s="19">
        <v>0.0</v>
      </c>
      <c r="N130" s="19">
        <v>2.0</v>
      </c>
      <c r="O130" s="19">
        <v>0.0</v>
      </c>
      <c r="P130" s="19">
        <v>3.0</v>
      </c>
      <c r="Q130" s="19">
        <v>0.0</v>
      </c>
      <c r="R130" s="19">
        <v>0.0</v>
      </c>
      <c r="S130" s="19">
        <v>0.0</v>
      </c>
      <c r="T130" s="13">
        <f t="shared" si="28"/>
        <v>12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1.0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1.0</v>
      </c>
      <c r="R132" s="19">
        <v>0.0</v>
      </c>
      <c r="S132" s="19">
        <v>0.0</v>
      </c>
      <c r="T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1.0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1.0</v>
      </c>
      <c r="R134" s="19">
        <v>0.0</v>
      </c>
      <c r="S134" s="19">
        <v>0.0</v>
      </c>
      <c r="T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1.0</v>
      </c>
      <c r="F135" s="19">
        <v>0.0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SUM(E129:E138)</f>
        <v>1</v>
      </c>
      <c r="F139" s="13">
        <f t="shared" si="29"/>
        <v>0</v>
      </c>
      <c r="G139" s="13">
        <f t="shared" si="29"/>
        <v>4</v>
      </c>
      <c r="H139" s="13">
        <f t="shared" si="29"/>
        <v>1</v>
      </c>
      <c r="I139" s="13">
        <f t="shared" si="29"/>
        <v>0</v>
      </c>
      <c r="J139" s="13">
        <f t="shared" si="29"/>
        <v>5</v>
      </c>
      <c r="K139" s="13">
        <f t="shared" si="29"/>
        <v>3</v>
      </c>
      <c r="L139" s="13">
        <f t="shared" si="29"/>
        <v>2</v>
      </c>
      <c r="M139" s="13">
        <f t="shared" si="29"/>
        <v>0</v>
      </c>
      <c r="N139" s="13">
        <f t="shared" si="29"/>
        <v>4</v>
      </c>
      <c r="O139" s="13">
        <f t="shared" si="29"/>
        <v>0</v>
      </c>
      <c r="P139" s="13">
        <f t="shared" si="29"/>
        <v>6</v>
      </c>
      <c r="Q139" s="13">
        <f t="shared" si="29"/>
        <v>2</v>
      </c>
      <c r="R139" s="13">
        <f t="shared" si="29"/>
        <v>0</v>
      </c>
      <c r="S139" s="13">
        <f t="shared" si="29"/>
        <v>0</v>
      </c>
      <c r="T139" s="13">
        <f t="shared" si="29"/>
        <v>28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>
        <v>1.0</v>
      </c>
      <c r="O141" s="19"/>
      <c r="P141" s="19"/>
      <c r="Q141" s="19"/>
      <c r="R141" s="19"/>
      <c r="S141" s="19"/>
      <c r="T141" s="13">
        <f t="shared" ref="T141:T150" si="30">SUM(E141:S141)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>
        <v>1.0</v>
      </c>
      <c r="R142" s="19"/>
      <c r="S142" s="19"/>
      <c r="T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  <c r="O151" s="13">
        <f t="shared" si="31"/>
        <v>0</v>
      </c>
      <c r="P151" s="13">
        <f t="shared" si="31"/>
        <v>0</v>
      </c>
      <c r="Q151" s="13">
        <f t="shared" si="31"/>
        <v>1</v>
      </c>
      <c r="R151" s="13">
        <f t="shared" si="31"/>
        <v>0</v>
      </c>
      <c r="S151" s="13">
        <f t="shared" si="31"/>
        <v>0</v>
      </c>
      <c r="T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3">
        <f t="shared" ref="T153:T162" si="32">SUM(E153:S153)</f>
        <v>0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2.0</v>
      </c>
      <c r="L154" s="19">
        <v>1.0</v>
      </c>
      <c r="M154" s="19">
        <v>0.0</v>
      </c>
      <c r="N154" s="19">
        <v>1.0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3">
        <f t="shared" si="32"/>
        <v>5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1.0</v>
      </c>
      <c r="S155" s="19">
        <v>0.0</v>
      </c>
      <c r="T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1.0</v>
      </c>
      <c r="P157" s="19">
        <v>0.0</v>
      </c>
      <c r="Q157" s="19">
        <v>0.0</v>
      </c>
      <c r="R157" s="19">
        <v>0.0</v>
      </c>
      <c r="S157" s="19">
        <v>0.0</v>
      </c>
      <c r="T157" s="13">
        <f t="shared" si="32"/>
        <v>1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T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0</v>
      </c>
      <c r="K163" s="13">
        <f t="shared" si="33"/>
        <v>2</v>
      </c>
      <c r="L163" s="13">
        <f t="shared" si="33"/>
        <v>1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1</v>
      </c>
      <c r="S163" s="13">
        <f t="shared" si="33"/>
        <v>1</v>
      </c>
      <c r="T163" s="13">
        <f t="shared" si="33"/>
        <v>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1.0</v>
      </c>
      <c r="L165" s="19">
        <v>0.0</v>
      </c>
      <c r="M165" s="19">
        <v>1.0</v>
      </c>
      <c r="N165" s="19">
        <v>0.0</v>
      </c>
      <c r="O165" s="19">
        <v>0.0</v>
      </c>
      <c r="P165" s="19">
        <v>1.0</v>
      </c>
      <c r="Q165" s="19">
        <v>0.0</v>
      </c>
      <c r="R165" s="19">
        <v>0.0</v>
      </c>
      <c r="S165" s="19">
        <v>0.0</v>
      </c>
      <c r="T165" s="13">
        <f t="shared" ref="T165:T174" si="34">SUM(E165:S165)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1.0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2</v>
      </c>
      <c r="N175" s="13">
        <f t="shared" si="35"/>
        <v>0</v>
      </c>
      <c r="O175" s="13">
        <f t="shared" si="35"/>
        <v>0</v>
      </c>
      <c r="P175" s="13">
        <f t="shared" si="35"/>
        <v>1</v>
      </c>
      <c r="Q175" s="13">
        <f t="shared" si="35"/>
        <v>0</v>
      </c>
      <c r="R175" s="13">
        <f t="shared" si="35"/>
        <v>0</v>
      </c>
      <c r="S175" s="13">
        <f t="shared" si="35"/>
        <v>0</v>
      </c>
      <c r="T175" s="13">
        <f t="shared" si="35"/>
        <v>4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0.0</v>
      </c>
      <c r="I177" s="19">
        <v>0.0</v>
      </c>
      <c r="J177" s="19">
        <v>0.0</v>
      </c>
      <c r="K177" s="19">
        <v>1.0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6" si="36">SUM(E177:S177)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3">
        <f t="shared" si="36"/>
        <v>2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6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2.0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1.0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7">SUM(E177:E186)</f>
        <v>0</v>
      </c>
      <c r="F187" s="13">
        <f t="shared" si="37"/>
        <v>1</v>
      </c>
      <c r="G187" s="13">
        <f t="shared" si="37"/>
        <v>1</v>
      </c>
      <c r="H187" s="13">
        <f t="shared" si="37"/>
        <v>0</v>
      </c>
      <c r="I187" s="13">
        <f t="shared" si="37"/>
        <v>1</v>
      </c>
      <c r="J187" s="13">
        <f t="shared" si="37"/>
        <v>0</v>
      </c>
      <c r="K187" s="13">
        <f t="shared" si="37"/>
        <v>2</v>
      </c>
      <c r="L187" s="13">
        <f t="shared" si="37"/>
        <v>2</v>
      </c>
      <c r="M187" s="13">
        <f t="shared" si="37"/>
        <v>0</v>
      </c>
      <c r="N187" s="13">
        <f t="shared" si="37"/>
        <v>0</v>
      </c>
      <c r="O187" s="13">
        <f t="shared" si="37"/>
        <v>2</v>
      </c>
      <c r="P187" s="13">
        <f t="shared" si="37"/>
        <v>0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7"/>
        <v>9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3">
        <f t="shared" ref="T189:T198" si="38">SUM(E189:S189)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0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9"/>
        <v>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2.0</v>
      </c>
      <c r="G201" s="19">
        <v>3.0</v>
      </c>
      <c r="H201" s="19">
        <v>2.0</v>
      </c>
      <c r="I201" s="19">
        <v>0.0</v>
      </c>
      <c r="J201" s="19">
        <v>3.0</v>
      </c>
      <c r="K201" s="19">
        <v>7.0</v>
      </c>
      <c r="L201" s="19">
        <v>2.0</v>
      </c>
      <c r="M201" s="19">
        <v>3.0</v>
      </c>
      <c r="N201" s="19">
        <v>3.0</v>
      </c>
      <c r="O201" s="19">
        <v>7.0</v>
      </c>
      <c r="P201" s="19">
        <v>14.0</v>
      </c>
      <c r="Q201" s="19">
        <v>4.0</v>
      </c>
      <c r="R201" s="19">
        <v>4.0</v>
      </c>
      <c r="S201" s="19">
        <v>6.0</v>
      </c>
      <c r="T201" s="13">
        <f t="shared" ref="T201:T210" si="40">SUM(E201:S201)</f>
        <v>62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3.0</v>
      </c>
      <c r="G202" s="19">
        <v>2.0</v>
      </c>
      <c r="H202" s="19">
        <v>3.0</v>
      </c>
      <c r="I202" s="19">
        <v>0.0</v>
      </c>
      <c r="J202" s="19">
        <v>1.0</v>
      </c>
      <c r="K202" s="19">
        <v>4.0</v>
      </c>
      <c r="L202" s="19">
        <v>4.0</v>
      </c>
      <c r="M202" s="19">
        <v>3.0</v>
      </c>
      <c r="N202" s="19">
        <v>4.0</v>
      </c>
      <c r="O202" s="19">
        <v>1.0</v>
      </c>
      <c r="P202" s="19">
        <v>11.0</v>
      </c>
      <c r="Q202" s="19">
        <v>5.0</v>
      </c>
      <c r="R202" s="19">
        <v>1.0</v>
      </c>
      <c r="S202" s="19">
        <v>6.0</v>
      </c>
      <c r="T202" s="13">
        <f t="shared" si="40"/>
        <v>48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1.0</v>
      </c>
      <c r="G203" s="19">
        <v>3.0</v>
      </c>
      <c r="H203" s="19">
        <v>1.0</v>
      </c>
      <c r="I203" s="19">
        <v>0.0</v>
      </c>
      <c r="J203" s="19">
        <v>1.0</v>
      </c>
      <c r="K203" s="19">
        <v>2.0</v>
      </c>
      <c r="L203" s="19">
        <v>0.0</v>
      </c>
      <c r="M203" s="19">
        <v>0.0</v>
      </c>
      <c r="N203" s="19">
        <v>1.0</v>
      </c>
      <c r="O203" s="19">
        <v>2.0</v>
      </c>
      <c r="P203" s="19">
        <v>0.0</v>
      </c>
      <c r="Q203" s="19">
        <v>1.0</v>
      </c>
      <c r="R203" s="19">
        <v>1.0</v>
      </c>
      <c r="S203" s="19">
        <v>1.0</v>
      </c>
      <c r="T203" s="13">
        <f t="shared" si="40"/>
        <v>14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1.0</v>
      </c>
      <c r="N204" s="19">
        <v>0.0</v>
      </c>
      <c r="O204" s="19">
        <v>1.0</v>
      </c>
      <c r="P204" s="19">
        <v>1.0</v>
      </c>
      <c r="Q204" s="19">
        <v>2.0</v>
      </c>
      <c r="R204" s="19">
        <v>1.0</v>
      </c>
      <c r="S204" s="19">
        <v>0.0</v>
      </c>
      <c r="T204" s="13">
        <f t="shared" si="40"/>
        <v>6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1.0</v>
      </c>
      <c r="I205" s="19">
        <v>2.0</v>
      </c>
      <c r="J205" s="19">
        <v>0.0</v>
      </c>
      <c r="K205" s="19">
        <v>1.0</v>
      </c>
      <c r="L205" s="19">
        <v>11.0</v>
      </c>
      <c r="M205" s="19">
        <v>5.0</v>
      </c>
      <c r="N205" s="19">
        <v>9.0</v>
      </c>
      <c r="O205" s="19">
        <v>2.0</v>
      </c>
      <c r="P205" s="19">
        <v>8.0</v>
      </c>
      <c r="Q205" s="19">
        <v>1.0</v>
      </c>
      <c r="R205" s="19">
        <v>0.0</v>
      </c>
      <c r="S205" s="19">
        <v>7.0</v>
      </c>
      <c r="T205" s="13">
        <f t="shared" si="40"/>
        <v>47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3">
        <f t="shared" si="40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3">
        <f t="shared" si="40"/>
        <v>2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1">SUM(E201:E210)</f>
        <v>2</v>
      </c>
      <c r="F211" s="13">
        <f t="shared" si="41"/>
        <v>6</v>
      </c>
      <c r="G211" s="13">
        <f t="shared" si="41"/>
        <v>8</v>
      </c>
      <c r="H211" s="13">
        <f t="shared" si="41"/>
        <v>7</v>
      </c>
      <c r="I211" s="13">
        <f t="shared" si="41"/>
        <v>2</v>
      </c>
      <c r="J211" s="13">
        <f t="shared" si="41"/>
        <v>5</v>
      </c>
      <c r="K211" s="13">
        <f t="shared" si="41"/>
        <v>15</v>
      </c>
      <c r="L211" s="13">
        <f t="shared" si="41"/>
        <v>17</v>
      </c>
      <c r="M211" s="13">
        <f t="shared" si="41"/>
        <v>12</v>
      </c>
      <c r="N211" s="13">
        <f t="shared" si="41"/>
        <v>18</v>
      </c>
      <c r="O211" s="13">
        <f t="shared" si="41"/>
        <v>13</v>
      </c>
      <c r="P211" s="13">
        <f t="shared" si="41"/>
        <v>35</v>
      </c>
      <c r="Q211" s="13">
        <f t="shared" si="41"/>
        <v>13</v>
      </c>
      <c r="R211" s="13">
        <f t="shared" si="41"/>
        <v>7</v>
      </c>
      <c r="S211" s="13">
        <f t="shared" si="41"/>
        <v>21</v>
      </c>
      <c r="T211" s="13">
        <f t="shared" si="41"/>
        <v>181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1.0</v>
      </c>
      <c r="H213" s="19">
        <v>1.0</v>
      </c>
      <c r="I213" s="19">
        <v>1.0</v>
      </c>
      <c r="J213" s="19">
        <v>0.0</v>
      </c>
      <c r="K213" s="19">
        <v>1.0</v>
      </c>
      <c r="L213" s="19">
        <v>0.0</v>
      </c>
      <c r="M213" s="19">
        <v>0.0</v>
      </c>
      <c r="N213" s="19">
        <v>1.0</v>
      </c>
      <c r="O213" s="19">
        <v>0.0</v>
      </c>
      <c r="P213" s="19">
        <v>0.0</v>
      </c>
      <c r="Q213" s="19">
        <v>1.0</v>
      </c>
      <c r="R213" s="19">
        <v>2.0</v>
      </c>
      <c r="S213" s="19">
        <v>0.0</v>
      </c>
      <c r="T213" s="13">
        <f t="shared" ref="T213:T222" si="42">SUM(E213:S213)</f>
        <v>8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0.0</v>
      </c>
      <c r="I214" s="19">
        <v>1.0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9">
        <v>0.0</v>
      </c>
      <c r="T214" s="13">
        <f t="shared" si="42"/>
        <v>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0.0</v>
      </c>
      <c r="K215" s="19">
        <v>2.0</v>
      </c>
      <c r="L215" s="19">
        <v>1.0</v>
      </c>
      <c r="M215" s="19">
        <v>0.0</v>
      </c>
      <c r="N215" s="19">
        <v>0.0</v>
      </c>
      <c r="O215" s="19">
        <v>0.0</v>
      </c>
      <c r="P215" s="19">
        <v>0.0</v>
      </c>
      <c r="Q215" s="19">
        <v>0.0</v>
      </c>
      <c r="R215" s="19">
        <v>2.0</v>
      </c>
      <c r="S215" s="19">
        <v>1.0</v>
      </c>
      <c r="T215" s="13">
        <f t="shared" si="42"/>
        <v>6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2"/>
        <v>0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1.0</v>
      </c>
      <c r="O219" s="19">
        <v>0.0</v>
      </c>
      <c r="P219" s="19">
        <v>0.0</v>
      </c>
      <c r="Q219" s="19">
        <v>1.0</v>
      </c>
      <c r="R219" s="19">
        <v>0.0</v>
      </c>
      <c r="S219" s="19">
        <v>0.0</v>
      </c>
      <c r="T219" s="13">
        <f t="shared" si="42"/>
        <v>2</v>
      </c>
    </row>
    <row r="220" ht="12.75" customHeight="1">
      <c r="A220" s="18"/>
      <c r="B220" s="55">
        <v>7.0</v>
      </c>
      <c r="C220" s="50" t="s">
        <v>163</v>
      </c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3">SUM(E213:E222)</f>
        <v>0</v>
      </c>
      <c r="F223" s="13">
        <f t="shared" si="43"/>
        <v>0</v>
      </c>
      <c r="G223" s="13">
        <f t="shared" si="43"/>
        <v>1</v>
      </c>
      <c r="H223" s="13">
        <f t="shared" si="43"/>
        <v>1</v>
      </c>
      <c r="I223" s="13">
        <f t="shared" si="43"/>
        <v>2</v>
      </c>
      <c r="J223" s="13">
        <f t="shared" si="43"/>
        <v>1</v>
      </c>
      <c r="K223" s="13">
        <f t="shared" si="43"/>
        <v>3</v>
      </c>
      <c r="L223" s="13">
        <f t="shared" si="43"/>
        <v>1</v>
      </c>
      <c r="M223" s="13">
        <f t="shared" si="43"/>
        <v>0</v>
      </c>
      <c r="N223" s="13">
        <f t="shared" si="43"/>
        <v>2</v>
      </c>
      <c r="O223" s="13">
        <f t="shared" si="43"/>
        <v>0</v>
      </c>
      <c r="P223" s="13">
        <f t="shared" si="43"/>
        <v>0</v>
      </c>
      <c r="Q223" s="13">
        <f t="shared" si="43"/>
        <v>2</v>
      </c>
      <c r="R223" s="13">
        <f t="shared" si="43"/>
        <v>4</v>
      </c>
      <c r="S223" s="13">
        <f t="shared" si="43"/>
        <v>1</v>
      </c>
      <c r="T223" s="13">
        <f t="shared" si="43"/>
        <v>18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4" si="44">SUM(E225:S225)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4.0</v>
      </c>
      <c r="P226" s="19">
        <v>0.0</v>
      </c>
      <c r="Q226" s="19">
        <v>1.0</v>
      </c>
      <c r="R226" s="19">
        <v>0.0</v>
      </c>
      <c r="S226" s="19">
        <v>0.0</v>
      </c>
      <c r="T226" s="13">
        <f t="shared" si="44"/>
        <v>6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2.0</v>
      </c>
      <c r="T228" s="13">
        <f t="shared" si="44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0</v>
      </c>
      <c r="O235" s="13">
        <f t="shared" si="45"/>
        <v>4</v>
      </c>
      <c r="P235" s="13">
        <f t="shared" si="45"/>
        <v>0</v>
      </c>
      <c r="Q235" s="13">
        <f t="shared" si="45"/>
        <v>1</v>
      </c>
      <c r="R235" s="13">
        <f t="shared" si="45"/>
        <v>0</v>
      </c>
      <c r="S235" s="13">
        <f t="shared" si="45"/>
        <v>2</v>
      </c>
      <c r="T235" s="13">
        <f t="shared" si="45"/>
        <v>8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2.0</v>
      </c>
      <c r="F237" s="19">
        <v>1.0</v>
      </c>
      <c r="G237" s="19">
        <v>0.0</v>
      </c>
      <c r="H237" s="19">
        <v>0.0</v>
      </c>
      <c r="I237" s="19">
        <v>0.0</v>
      </c>
      <c r="J237" s="19">
        <v>2.0</v>
      </c>
      <c r="K237" s="19">
        <v>2.0</v>
      </c>
      <c r="L237" s="19">
        <v>2.0</v>
      </c>
      <c r="M237" s="19">
        <v>3.0</v>
      </c>
      <c r="N237" s="19">
        <v>1.0</v>
      </c>
      <c r="O237" s="19">
        <v>5.0</v>
      </c>
      <c r="P237" s="19">
        <v>5.0</v>
      </c>
      <c r="Q237" s="19">
        <v>0.0</v>
      </c>
      <c r="R237" s="19">
        <v>0.0</v>
      </c>
      <c r="S237" s="19">
        <v>2.0</v>
      </c>
      <c r="T237" s="13">
        <f t="shared" ref="T237:T246" si="46">SUM(E237:S237)</f>
        <v>25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3.0</v>
      </c>
      <c r="F238" s="19">
        <v>1.0</v>
      </c>
      <c r="G238" s="19">
        <v>0.0</v>
      </c>
      <c r="H238" s="19">
        <v>0.0</v>
      </c>
      <c r="I238" s="19">
        <v>0.0</v>
      </c>
      <c r="J238" s="19">
        <v>1.0</v>
      </c>
      <c r="K238" s="19">
        <v>1.0</v>
      </c>
      <c r="L238" s="19">
        <v>1.0</v>
      </c>
      <c r="M238" s="19">
        <v>1.0</v>
      </c>
      <c r="N238" s="19">
        <v>0.0</v>
      </c>
      <c r="O238" s="19">
        <v>2.0</v>
      </c>
      <c r="P238" s="19">
        <v>1.0</v>
      </c>
      <c r="Q238" s="19">
        <v>0.0</v>
      </c>
      <c r="R238" s="19">
        <v>1.0</v>
      </c>
      <c r="S238" s="19">
        <v>3.0</v>
      </c>
      <c r="T238" s="13">
        <f t="shared" si="46"/>
        <v>15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2.0</v>
      </c>
      <c r="F239" s="19">
        <v>2.0</v>
      </c>
      <c r="G239" s="19">
        <v>2.0</v>
      </c>
      <c r="H239" s="19">
        <v>0.0</v>
      </c>
      <c r="I239" s="19">
        <v>1.0</v>
      </c>
      <c r="J239" s="19">
        <v>2.0</v>
      </c>
      <c r="K239" s="19">
        <v>1.0</v>
      </c>
      <c r="L239" s="19">
        <v>0.0</v>
      </c>
      <c r="M239" s="19">
        <v>9.0</v>
      </c>
      <c r="N239" s="19">
        <v>1.0</v>
      </c>
      <c r="O239" s="19">
        <v>2.0</v>
      </c>
      <c r="P239" s="19">
        <v>2.0</v>
      </c>
      <c r="Q239" s="19">
        <v>1.0</v>
      </c>
      <c r="R239" s="19">
        <v>2.0</v>
      </c>
      <c r="S239" s="19">
        <v>2.0</v>
      </c>
      <c r="T239" s="13">
        <f t="shared" si="46"/>
        <v>29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1.0</v>
      </c>
      <c r="T240" s="13">
        <f t="shared" si="46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1.0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3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1.0</v>
      </c>
      <c r="O242" s="19">
        <v>0.0</v>
      </c>
      <c r="P242" s="19">
        <v>0.0</v>
      </c>
      <c r="Q242" s="19">
        <v>1.0</v>
      </c>
      <c r="R242" s="19">
        <v>0.0</v>
      </c>
      <c r="S242" s="19">
        <v>0.0</v>
      </c>
      <c r="T242" s="13">
        <f t="shared" si="46"/>
        <v>2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3.0</v>
      </c>
      <c r="G244" s="19">
        <v>2.0</v>
      </c>
      <c r="H244" s="19">
        <v>0.0</v>
      </c>
      <c r="I244" s="19">
        <v>0.0</v>
      </c>
      <c r="J244" s="19">
        <v>0.0</v>
      </c>
      <c r="K244" s="19">
        <v>0.0</v>
      </c>
      <c r="L244" s="19">
        <v>2.0</v>
      </c>
      <c r="M244" s="19">
        <v>1.0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0.0</v>
      </c>
      <c r="T244" s="13">
        <f t="shared" si="46"/>
        <v>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7">SUM(E237:E246)</f>
        <v>7</v>
      </c>
      <c r="F247" s="13">
        <f t="shared" si="47"/>
        <v>8</v>
      </c>
      <c r="G247" s="13">
        <f t="shared" si="47"/>
        <v>4</v>
      </c>
      <c r="H247" s="13">
        <f t="shared" si="47"/>
        <v>1</v>
      </c>
      <c r="I247" s="13">
        <f t="shared" si="47"/>
        <v>1</v>
      </c>
      <c r="J247" s="13">
        <f t="shared" si="47"/>
        <v>6</v>
      </c>
      <c r="K247" s="13">
        <f t="shared" si="47"/>
        <v>5</v>
      </c>
      <c r="L247" s="13">
        <f t="shared" si="47"/>
        <v>5</v>
      </c>
      <c r="M247" s="13">
        <f t="shared" si="47"/>
        <v>14</v>
      </c>
      <c r="N247" s="13">
        <f t="shared" si="47"/>
        <v>3</v>
      </c>
      <c r="O247" s="13">
        <f t="shared" si="47"/>
        <v>9</v>
      </c>
      <c r="P247" s="13">
        <f t="shared" si="47"/>
        <v>8</v>
      </c>
      <c r="Q247" s="13">
        <f t="shared" si="47"/>
        <v>2</v>
      </c>
      <c r="R247" s="13">
        <f t="shared" si="47"/>
        <v>4</v>
      </c>
      <c r="S247" s="13">
        <f t="shared" si="47"/>
        <v>8</v>
      </c>
      <c r="T247" s="13">
        <f t="shared" si="47"/>
        <v>85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2.0</v>
      </c>
      <c r="T249" s="13">
        <f t="shared" ref="T249:T258" si="48">SUM(E249:S249)</f>
        <v>4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0.0</v>
      </c>
      <c r="T250" s="13">
        <f t="shared" si="48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8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49">SUM(E249:E258)</f>
        <v>0</v>
      </c>
      <c r="F259" s="13">
        <f t="shared" si="49"/>
        <v>1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1</v>
      </c>
      <c r="K259" s="13">
        <f t="shared" si="49"/>
        <v>0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0</v>
      </c>
      <c r="P259" s="13">
        <f t="shared" si="49"/>
        <v>0</v>
      </c>
      <c r="Q259" s="13">
        <f t="shared" si="49"/>
        <v>1</v>
      </c>
      <c r="R259" s="13">
        <f t="shared" si="49"/>
        <v>0</v>
      </c>
      <c r="S259" s="13">
        <f t="shared" si="49"/>
        <v>2</v>
      </c>
      <c r="T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S262" si="50">E55+E67+E79+E91+E103+E115+E127+E139+E151+E163+E175+E187+E199+E211+E223+E235+E247+E259</f>
        <v>185</v>
      </c>
      <c r="F262" s="19">
        <f t="shared" si="50"/>
        <v>178</v>
      </c>
      <c r="G262" s="19">
        <f t="shared" si="50"/>
        <v>181</v>
      </c>
      <c r="H262" s="19">
        <f t="shared" si="50"/>
        <v>203</v>
      </c>
      <c r="I262" s="19">
        <f t="shared" si="50"/>
        <v>188</v>
      </c>
      <c r="J262" s="19">
        <f t="shared" si="50"/>
        <v>192</v>
      </c>
      <c r="K262" s="19">
        <f t="shared" si="50"/>
        <v>177</v>
      </c>
      <c r="L262" s="19">
        <f t="shared" si="50"/>
        <v>167</v>
      </c>
      <c r="M262" s="19">
        <f t="shared" si="50"/>
        <v>157</v>
      </c>
      <c r="N262" s="19">
        <f t="shared" si="50"/>
        <v>171</v>
      </c>
      <c r="O262" s="19">
        <f t="shared" si="50"/>
        <v>124</v>
      </c>
      <c r="P262" s="19">
        <f t="shared" si="50"/>
        <v>141</v>
      </c>
      <c r="Q262" s="19">
        <f t="shared" si="50"/>
        <v>165</v>
      </c>
      <c r="R262" s="19">
        <f t="shared" si="50"/>
        <v>169</v>
      </c>
      <c r="S262" s="19">
        <f t="shared" si="50"/>
        <v>184</v>
      </c>
      <c r="T262" s="13">
        <f t="shared" ref="T262:T264" si="51">SUM(E262:S262)</f>
        <v>2582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21.0</v>
      </c>
      <c r="F263" s="19">
        <v>23.0</v>
      </c>
      <c r="G263" s="19">
        <v>11.0</v>
      </c>
      <c r="H263" s="19">
        <v>6.0</v>
      </c>
      <c r="I263" s="19">
        <v>21.0</v>
      </c>
      <c r="J263" s="19">
        <v>20.0</v>
      </c>
      <c r="K263" s="19">
        <v>19.0</v>
      </c>
      <c r="L263" s="19">
        <v>36.0</v>
      </c>
      <c r="M263" s="19">
        <v>20.0</v>
      </c>
      <c r="N263" s="19">
        <v>17.0</v>
      </c>
      <c r="O263" s="19">
        <v>35.0</v>
      </c>
      <c r="P263" s="19">
        <v>16.0</v>
      </c>
      <c r="Q263" s="19">
        <v>39.0</v>
      </c>
      <c r="R263" s="19">
        <v>29.0</v>
      </c>
      <c r="S263" s="19">
        <v>22.0</v>
      </c>
      <c r="T263" s="13">
        <f t="shared" si="51"/>
        <v>335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S264" si="52">SUM(E262:E263)</f>
        <v>206</v>
      </c>
      <c r="F264" s="13">
        <f t="shared" si="52"/>
        <v>201</v>
      </c>
      <c r="G264" s="13">
        <f t="shared" si="52"/>
        <v>192</v>
      </c>
      <c r="H264" s="13">
        <f t="shared" si="52"/>
        <v>209</v>
      </c>
      <c r="I264" s="13">
        <f t="shared" si="52"/>
        <v>209</v>
      </c>
      <c r="J264" s="13">
        <f t="shared" si="52"/>
        <v>212</v>
      </c>
      <c r="K264" s="13">
        <f t="shared" si="52"/>
        <v>196</v>
      </c>
      <c r="L264" s="13">
        <f t="shared" si="52"/>
        <v>203</v>
      </c>
      <c r="M264" s="13">
        <f t="shared" si="52"/>
        <v>177</v>
      </c>
      <c r="N264" s="13">
        <f t="shared" si="52"/>
        <v>188</v>
      </c>
      <c r="O264" s="13">
        <f t="shared" si="52"/>
        <v>159</v>
      </c>
      <c r="P264" s="13">
        <f t="shared" si="52"/>
        <v>157</v>
      </c>
      <c r="Q264" s="13">
        <f t="shared" si="52"/>
        <v>204</v>
      </c>
      <c r="R264" s="13">
        <f t="shared" si="52"/>
        <v>198</v>
      </c>
      <c r="S264" s="13">
        <f t="shared" si="52"/>
        <v>206</v>
      </c>
      <c r="T264" s="13">
        <f t="shared" si="51"/>
        <v>2917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125.0</v>
      </c>
      <c r="F14" s="19">
        <v>146.0</v>
      </c>
      <c r="G14" s="19">
        <v>125.0</v>
      </c>
      <c r="H14" s="19">
        <v>119.0</v>
      </c>
      <c r="I14" s="19">
        <v>115.0</v>
      </c>
      <c r="J14" s="19">
        <v>132.0</v>
      </c>
      <c r="K14" s="19">
        <v>150.0</v>
      </c>
      <c r="L14" s="19">
        <v>127.0</v>
      </c>
      <c r="M14" s="19">
        <v>112.0</v>
      </c>
      <c r="N14" s="13">
        <f t="shared" ref="N14:N16" si="1">SUM(E14:M14)</f>
        <v>1151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131.0</v>
      </c>
      <c r="G15" s="19">
        <v>134.0</v>
      </c>
      <c r="H15" s="19">
        <v>117.0</v>
      </c>
      <c r="I15" s="19">
        <v>120.0</v>
      </c>
      <c r="J15" s="19">
        <v>120.0</v>
      </c>
      <c r="K15" s="19">
        <v>132.0</v>
      </c>
      <c r="L15" s="19">
        <v>128.0</v>
      </c>
      <c r="M15" s="19">
        <v>122.0</v>
      </c>
      <c r="N15" s="13">
        <f t="shared" si="1"/>
        <v>1129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250</v>
      </c>
      <c r="F16" s="13">
        <f t="shared" si="2"/>
        <v>277</v>
      </c>
      <c r="G16" s="13">
        <f t="shared" si="2"/>
        <v>259</v>
      </c>
      <c r="H16" s="13">
        <f t="shared" si="2"/>
        <v>236</v>
      </c>
      <c r="I16" s="13">
        <f t="shared" si="2"/>
        <v>235</v>
      </c>
      <c r="J16" s="13">
        <f t="shared" si="2"/>
        <v>252</v>
      </c>
      <c r="K16" s="13">
        <f t="shared" si="2"/>
        <v>282</v>
      </c>
      <c r="L16" s="13">
        <f t="shared" si="2"/>
        <v>255</v>
      </c>
      <c r="M16" s="13">
        <f t="shared" si="2"/>
        <v>234</v>
      </c>
      <c r="N16" s="13">
        <f t="shared" si="1"/>
        <v>2280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91.0</v>
      </c>
      <c r="F19" s="19">
        <v>124.0</v>
      </c>
      <c r="G19" s="19">
        <v>88.0</v>
      </c>
      <c r="H19" s="19">
        <v>88.0</v>
      </c>
      <c r="I19" s="19">
        <v>94.0</v>
      </c>
      <c r="J19" s="19">
        <v>106.0</v>
      </c>
      <c r="K19" s="19">
        <v>115.0</v>
      </c>
      <c r="L19" s="19">
        <v>83.0</v>
      </c>
      <c r="M19" s="19">
        <v>96.0</v>
      </c>
      <c r="N19" s="13">
        <f t="shared" ref="N19:N30" si="3">SUM(E19:M19)</f>
        <v>885</v>
      </c>
    </row>
    <row r="20" ht="12.75" customHeight="1">
      <c r="A20" s="33"/>
      <c r="B20" s="27"/>
      <c r="C20" s="34"/>
      <c r="D20" s="19" t="s">
        <v>13</v>
      </c>
      <c r="E20" s="19">
        <v>97.0</v>
      </c>
      <c r="F20" s="19">
        <v>115.0</v>
      </c>
      <c r="G20" s="19">
        <v>95.0</v>
      </c>
      <c r="H20" s="19">
        <v>91.0</v>
      </c>
      <c r="I20" s="19">
        <v>102.0</v>
      </c>
      <c r="J20" s="19">
        <v>92.0</v>
      </c>
      <c r="K20" s="19">
        <v>105.0</v>
      </c>
      <c r="L20" s="19">
        <v>101.0</v>
      </c>
      <c r="M20" s="19">
        <v>100.0</v>
      </c>
      <c r="N20" s="13">
        <f t="shared" si="3"/>
        <v>898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188</v>
      </c>
      <c r="F21" s="13">
        <f t="shared" si="4"/>
        <v>239</v>
      </c>
      <c r="G21" s="13">
        <f t="shared" si="4"/>
        <v>183</v>
      </c>
      <c r="H21" s="13">
        <f t="shared" si="4"/>
        <v>179</v>
      </c>
      <c r="I21" s="13">
        <f t="shared" si="4"/>
        <v>196</v>
      </c>
      <c r="J21" s="13">
        <f t="shared" si="4"/>
        <v>198</v>
      </c>
      <c r="K21" s="13">
        <f t="shared" si="4"/>
        <v>220</v>
      </c>
      <c r="L21" s="13">
        <f t="shared" si="4"/>
        <v>184</v>
      </c>
      <c r="M21" s="13">
        <f t="shared" si="4"/>
        <v>196</v>
      </c>
      <c r="N21" s="13">
        <f t="shared" si="3"/>
        <v>1783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1.0</v>
      </c>
      <c r="L22" s="19">
        <v>0.0</v>
      </c>
      <c r="M22" s="19">
        <v>0.0</v>
      </c>
      <c r="N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/>
      <c r="L23" s="19">
        <v>0.0</v>
      </c>
      <c r="M23" s="19">
        <v>0.0</v>
      </c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1</v>
      </c>
      <c r="L24" s="13">
        <f t="shared" si="5"/>
        <v>0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4.0</v>
      </c>
      <c r="H25" s="19">
        <v>1.0</v>
      </c>
      <c r="I25" s="19">
        <v>1.0</v>
      </c>
      <c r="J25" s="19">
        <v>0.0</v>
      </c>
      <c r="K25" s="19">
        <v>1.0</v>
      </c>
      <c r="L25" s="19">
        <v>1.0</v>
      </c>
      <c r="M25" s="19">
        <v>1.0</v>
      </c>
      <c r="N25" s="13">
        <f t="shared" si="3"/>
        <v>9</v>
      </c>
    </row>
    <row r="26" ht="12.75" customHeight="1">
      <c r="A26" s="33"/>
      <c r="B26" s="27"/>
      <c r="C26" s="34"/>
      <c r="D26" s="19" t="s">
        <v>13</v>
      </c>
      <c r="E26" s="19">
        <v>3.0</v>
      </c>
      <c r="F26" s="19">
        <v>1.0</v>
      </c>
      <c r="G26" s="19">
        <v>1.0</v>
      </c>
      <c r="H26" s="19">
        <v>3.0</v>
      </c>
      <c r="I26" s="19">
        <v>2.0</v>
      </c>
      <c r="J26" s="19">
        <v>0.0</v>
      </c>
      <c r="K26" s="19">
        <v>1.0</v>
      </c>
      <c r="L26" s="19">
        <v>3.0</v>
      </c>
      <c r="M26" s="19">
        <v>1.0</v>
      </c>
      <c r="N26" s="13">
        <f t="shared" si="3"/>
        <v>15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3</v>
      </c>
      <c r="F27" s="13">
        <f t="shared" si="6"/>
        <v>1</v>
      </c>
      <c r="G27" s="13">
        <f t="shared" si="6"/>
        <v>5</v>
      </c>
      <c r="H27" s="13">
        <f t="shared" si="6"/>
        <v>4</v>
      </c>
      <c r="I27" s="13">
        <f t="shared" si="6"/>
        <v>3</v>
      </c>
      <c r="J27" s="13">
        <f t="shared" si="6"/>
        <v>0</v>
      </c>
      <c r="K27" s="13">
        <f t="shared" si="6"/>
        <v>2</v>
      </c>
      <c r="L27" s="13">
        <f t="shared" si="6"/>
        <v>4</v>
      </c>
      <c r="M27" s="13">
        <f t="shared" si="6"/>
        <v>2</v>
      </c>
      <c r="N27" s="13">
        <f t="shared" si="3"/>
        <v>24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91</v>
      </c>
      <c r="F28" s="13">
        <f t="shared" si="7"/>
        <v>124</v>
      </c>
      <c r="G28" s="13">
        <f t="shared" si="7"/>
        <v>92</v>
      </c>
      <c r="H28" s="13">
        <f t="shared" si="7"/>
        <v>89</v>
      </c>
      <c r="I28" s="13">
        <f t="shared" si="7"/>
        <v>95</v>
      </c>
      <c r="J28" s="13">
        <f t="shared" si="7"/>
        <v>106</v>
      </c>
      <c r="K28" s="13">
        <f t="shared" si="7"/>
        <v>117</v>
      </c>
      <c r="L28" s="13">
        <f t="shared" si="7"/>
        <v>84</v>
      </c>
      <c r="M28" s="13">
        <f t="shared" si="7"/>
        <v>97</v>
      </c>
      <c r="N28" s="13">
        <f t="shared" si="3"/>
        <v>895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100</v>
      </c>
      <c r="F29" s="13">
        <f t="shared" si="8"/>
        <v>116</v>
      </c>
      <c r="G29" s="13">
        <f t="shared" si="8"/>
        <v>96</v>
      </c>
      <c r="H29" s="13">
        <f t="shared" si="8"/>
        <v>94</v>
      </c>
      <c r="I29" s="13">
        <f t="shared" si="8"/>
        <v>104</v>
      </c>
      <c r="J29" s="13">
        <f t="shared" si="8"/>
        <v>92</v>
      </c>
      <c r="K29" s="13">
        <f t="shared" si="8"/>
        <v>106</v>
      </c>
      <c r="L29" s="13">
        <f t="shared" si="8"/>
        <v>104</v>
      </c>
      <c r="M29" s="13">
        <f t="shared" si="8"/>
        <v>101</v>
      </c>
      <c r="N29" s="13">
        <f t="shared" si="3"/>
        <v>913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191</v>
      </c>
      <c r="F30" s="13">
        <f t="shared" si="9"/>
        <v>240</v>
      </c>
      <c r="G30" s="13">
        <f t="shared" si="9"/>
        <v>188</v>
      </c>
      <c r="H30" s="13">
        <f t="shared" si="9"/>
        <v>183</v>
      </c>
      <c r="I30" s="13">
        <f t="shared" si="9"/>
        <v>199</v>
      </c>
      <c r="J30" s="13">
        <f t="shared" si="9"/>
        <v>198</v>
      </c>
      <c r="K30" s="13">
        <f t="shared" si="9"/>
        <v>223</v>
      </c>
      <c r="L30" s="13">
        <f t="shared" si="9"/>
        <v>188</v>
      </c>
      <c r="M30" s="13">
        <f t="shared" si="9"/>
        <v>198</v>
      </c>
      <c r="N30" s="13">
        <f t="shared" si="3"/>
        <v>1808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6"/>
    </row>
    <row r="33" ht="12.75" customHeight="1">
      <c r="A33" s="19">
        <v>1.0</v>
      </c>
      <c r="B33" s="20" t="s">
        <v>27</v>
      </c>
      <c r="C33" s="15"/>
      <c r="D33" s="16"/>
      <c r="E33" s="19">
        <v>258.0</v>
      </c>
      <c r="F33" s="19">
        <v>283.0</v>
      </c>
      <c r="G33" s="19">
        <v>265.0</v>
      </c>
      <c r="H33" s="19">
        <v>232.0</v>
      </c>
      <c r="I33" s="19">
        <v>239.0</v>
      </c>
      <c r="J33" s="19">
        <v>256.0</v>
      </c>
      <c r="K33" s="19">
        <v>288.0</v>
      </c>
      <c r="L33" s="19">
        <v>260.0</v>
      </c>
      <c r="M33" s="19">
        <v>239.0</v>
      </c>
      <c r="N33" s="13">
        <f t="shared" ref="N33:N36" si="10">SUM(E33:M33)</f>
        <v>2320</v>
      </c>
    </row>
    <row r="34" ht="12.75" customHeight="1">
      <c r="A34" s="19">
        <v>2.0</v>
      </c>
      <c r="B34" s="20" t="s">
        <v>28</v>
      </c>
      <c r="C34" s="15"/>
      <c r="D34" s="16"/>
      <c r="E34" s="13">
        <v>191.0</v>
      </c>
      <c r="F34" s="13">
        <v>240.0</v>
      </c>
      <c r="G34" s="13">
        <v>188.0</v>
      </c>
      <c r="H34" s="13">
        <v>183.0</v>
      </c>
      <c r="I34" s="13">
        <v>199.0</v>
      </c>
      <c r="J34" s="13">
        <v>198.0</v>
      </c>
      <c r="K34" s="13">
        <v>223.0</v>
      </c>
      <c r="L34" s="13">
        <v>188.0</v>
      </c>
      <c r="M34" s="13">
        <v>198.0</v>
      </c>
      <c r="N34" s="13">
        <f t="shared" si="10"/>
        <v>1808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67</v>
      </c>
      <c r="F36" s="13">
        <f t="shared" si="11"/>
        <v>43</v>
      </c>
      <c r="G36" s="13">
        <f t="shared" si="11"/>
        <v>77</v>
      </c>
      <c r="H36" s="13">
        <f t="shared" si="11"/>
        <v>49</v>
      </c>
      <c r="I36" s="13">
        <f t="shared" si="11"/>
        <v>40</v>
      </c>
      <c r="J36" s="13">
        <f t="shared" si="11"/>
        <v>58</v>
      </c>
      <c r="K36" s="13">
        <f t="shared" si="11"/>
        <v>65</v>
      </c>
      <c r="L36" s="13">
        <f t="shared" si="11"/>
        <v>72</v>
      </c>
      <c r="M36" s="13">
        <f t="shared" si="11"/>
        <v>41</v>
      </c>
      <c r="N36" s="13">
        <f t="shared" si="10"/>
        <v>512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/>
      <c r="F40" s="19"/>
      <c r="G40" s="19">
        <v>1.0</v>
      </c>
      <c r="H40" s="19">
        <v>1.0</v>
      </c>
      <c r="I40" s="19"/>
      <c r="J40" s="19">
        <v>1.0</v>
      </c>
      <c r="K40" s="19"/>
      <c r="L40" s="19"/>
      <c r="M40" s="19"/>
      <c r="N40" s="13">
        <f t="shared" si="12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1</v>
      </c>
      <c r="H41" s="13">
        <f t="shared" si="13"/>
        <v>1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14.0</v>
      </c>
      <c r="F45" s="19">
        <v>8.0</v>
      </c>
      <c r="G45" s="19">
        <v>4.0</v>
      </c>
      <c r="H45" s="19">
        <v>18.0</v>
      </c>
      <c r="I45" s="19">
        <v>7.0</v>
      </c>
      <c r="J45" s="19">
        <v>7.0</v>
      </c>
      <c r="K45" s="19">
        <v>10.0</v>
      </c>
      <c r="L45" s="19">
        <v>9.0</v>
      </c>
      <c r="M45" s="19">
        <v>17.0</v>
      </c>
      <c r="N45" s="13">
        <f t="shared" ref="N45:N54" si="14">SUM(E45:M45)</f>
        <v>94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17.0</v>
      </c>
      <c r="F46" s="19">
        <v>24.0</v>
      </c>
      <c r="G46" s="19">
        <v>24.0</v>
      </c>
      <c r="H46" s="19">
        <v>4.0</v>
      </c>
      <c r="I46" s="19">
        <v>12.0</v>
      </c>
      <c r="J46" s="19">
        <v>26.0</v>
      </c>
      <c r="K46" s="19">
        <v>11.0</v>
      </c>
      <c r="L46" s="19">
        <v>13.0</v>
      </c>
      <c r="M46" s="19">
        <v>43.0</v>
      </c>
      <c r="N46" s="13">
        <f t="shared" si="14"/>
        <v>174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6.0</v>
      </c>
      <c r="G47" s="19">
        <v>4.0</v>
      </c>
      <c r="H47" s="19">
        <v>2.0</v>
      </c>
      <c r="I47" s="19">
        <v>5.0</v>
      </c>
      <c r="J47" s="19">
        <v>3.0</v>
      </c>
      <c r="K47" s="19">
        <v>2.0</v>
      </c>
      <c r="L47" s="19">
        <v>4.0</v>
      </c>
      <c r="M47" s="19">
        <v>9.0</v>
      </c>
      <c r="N47" s="13">
        <f t="shared" si="14"/>
        <v>37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2.0</v>
      </c>
      <c r="G48" s="19">
        <v>2.0</v>
      </c>
      <c r="H48" s="19">
        <v>2.0</v>
      </c>
      <c r="I48" s="19">
        <v>0.0</v>
      </c>
      <c r="J48" s="19">
        <v>0.0</v>
      </c>
      <c r="K48" s="19">
        <v>1.0</v>
      </c>
      <c r="L48" s="19">
        <v>1.0</v>
      </c>
      <c r="M48" s="19">
        <v>0.0</v>
      </c>
      <c r="N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0.0</v>
      </c>
      <c r="I49" s="19">
        <v>1.0</v>
      </c>
      <c r="J49" s="19">
        <v>1.0</v>
      </c>
      <c r="K49" s="19">
        <v>2.0</v>
      </c>
      <c r="L49" s="19">
        <v>0.0</v>
      </c>
      <c r="M49" s="19">
        <v>1.0</v>
      </c>
      <c r="N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3.0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1.0</v>
      </c>
      <c r="N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N55" si="15">SUM(E45:E54)</f>
        <v>34</v>
      </c>
      <c r="F55" s="13">
        <f t="shared" si="15"/>
        <v>46</v>
      </c>
      <c r="G55" s="13">
        <f t="shared" si="15"/>
        <v>34</v>
      </c>
      <c r="H55" s="13">
        <f t="shared" si="15"/>
        <v>26</v>
      </c>
      <c r="I55" s="13">
        <f t="shared" si="15"/>
        <v>26</v>
      </c>
      <c r="J55" s="13">
        <f t="shared" si="15"/>
        <v>38</v>
      </c>
      <c r="K55" s="13">
        <f t="shared" si="15"/>
        <v>26</v>
      </c>
      <c r="L55" s="13">
        <f t="shared" si="15"/>
        <v>27</v>
      </c>
      <c r="M55" s="13">
        <f t="shared" si="15"/>
        <v>71</v>
      </c>
      <c r="N55" s="13">
        <f t="shared" si="15"/>
        <v>328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21.0</v>
      </c>
      <c r="F57" s="19">
        <v>21.0</v>
      </c>
      <c r="G57" s="19">
        <v>15.0</v>
      </c>
      <c r="H57" s="19">
        <v>21.0</v>
      </c>
      <c r="I57" s="19">
        <v>29.0</v>
      </c>
      <c r="J57" s="19">
        <v>12.0</v>
      </c>
      <c r="K57" s="19">
        <v>16.0</v>
      </c>
      <c r="L57" s="19">
        <v>17.0</v>
      </c>
      <c r="M57" s="19">
        <v>11.0</v>
      </c>
      <c r="N57" s="13">
        <f t="shared" ref="N57:N66" si="16">SUM(E57:M57)</f>
        <v>163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18.0</v>
      </c>
      <c r="F58" s="19">
        <v>14.0</v>
      </c>
      <c r="G58" s="19">
        <v>18.0</v>
      </c>
      <c r="H58" s="19">
        <v>13.0</v>
      </c>
      <c r="I58" s="19">
        <v>16.0</v>
      </c>
      <c r="J58" s="19">
        <v>16.0</v>
      </c>
      <c r="K58" s="19">
        <v>16.0</v>
      </c>
      <c r="L58" s="19">
        <v>15.0</v>
      </c>
      <c r="M58" s="19">
        <v>13.0</v>
      </c>
      <c r="N58" s="13">
        <f t="shared" si="16"/>
        <v>139</v>
      </c>
    </row>
    <row r="59" ht="12.75" customHeight="1">
      <c r="A59" s="18"/>
      <c r="B59" s="55">
        <v>2.0</v>
      </c>
      <c r="C59" s="50" t="s">
        <v>50</v>
      </c>
      <c r="D59" s="59"/>
      <c r="E59" s="19">
        <v>25.0</v>
      </c>
      <c r="F59" s="19">
        <v>18.0</v>
      </c>
      <c r="G59" s="19">
        <v>45.0</v>
      </c>
      <c r="H59" s="19">
        <v>35.0</v>
      </c>
      <c r="I59" s="19">
        <v>26.0</v>
      </c>
      <c r="J59" s="19">
        <v>38.0</v>
      </c>
      <c r="K59" s="19">
        <v>33.0</v>
      </c>
      <c r="L59" s="19">
        <v>15.0</v>
      </c>
      <c r="M59" s="19">
        <v>19.0</v>
      </c>
      <c r="N59" s="13">
        <f t="shared" si="16"/>
        <v>254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2.0</v>
      </c>
      <c r="G60" s="19">
        <v>0.0</v>
      </c>
      <c r="H60" s="19">
        <v>2.0</v>
      </c>
      <c r="I60" s="19">
        <v>0.0</v>
      </c>
      <c r="J60" s="19">
        <v>0.0</v>
      </c>
      <c r="K60" s="19">
        <v>0.0</v>
      </c>
      <c r="L60" s="19">
        <v>2.0</v>
      </c>
      <c r="M60" s="19">
        <v>2.0</v>
      </c>
      <c r="N60" s="13">
        <f t="shared" si="16"/>
        <v>8</v>
      </c>
    </row>
    <row r="61" ht="12.75" customHeight="1">
      <c r="A61" s="18"/>
      <c r="B61" s="55">
        <v>4.0</v>
      </c>
      <c r="C61" s="50" t="s">
        <v>52</v>
      </c>
      <c r="D61" s="59"/>
      <c r="E61" s="19">
        <v>2.0</v>
      </c>
      <c r="F61" s="19">
        <v>1.0</v>
      </c>
      <c r="G61" s="19">
        <v>1.0</v>
      </c>
      <c r="H61" s="19">
        <v>2.0</v>
      </c>
      <c r="I61" s="19">
        <v>1.0</v>
      </c>
      <c r="J61" s="19">
        <v>0.0</v>
      </c>
      <c r="K61" s="19">
        <v>2.0</v>
      </c>
      <c r="L61" s="19">
        <v>3.0</v>
      </c>
      <c r="M61" s="19">
        <v>0.0</v>
      </c>
      <c r="N61" s="13">
        <f t="shared" si="16"/>
        <v>12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1.0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1.0</v>
      </c>
      <c r="K63" s="19">
        <v>0.0</v>
      </c>
      <c r="L63" s="19">
        <v>0.0</v>
      </c>
      <c r="M63" s="19">
        <v>1.0</v>
      </c>
      <c r="N63" s="13">
        <f t="shared" si="16"/>
        <v>2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N67" si="17">SUM(E57:E66)</f>
        <v>67</v>
      </c>
      <c r="F67" s="13">
        <f t="shared" si="17"/>
        <v>56</v>
      </c>
      <c r="G67" s="13">
        <f t="shared" si="17"/>
        <v>80</v>
      </c>
      <c r="H67" s="13">
        <f t="shared" si="17"/>
        <v>73</v>
      </c>
      <c r="I67" s="13">
        <f t="shared" si="17"/>
        <v>73</v>
      </c>
      <c r="J67" s="13">
        <f t="shared" si="17"/>
        <v>67</v>
      </c>
      <c r="K67" s="13">
        <f t="shared" si="17"/>
        <v>68</v>
      </c>
      <c r="L67" s="13">
        <f t="shared" si="17"/>
        <v>52</v>
      </c>
      <c r="M67" s="13">
        <f t="shared" si="17"/>
        <v>46</v>
      </c>
      <c r="N67" s="13">
        <f t="shared" si="17"/>
        <v>582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1.0</v>
      </c>
      <c r="F69" s="19">
        <v>9.0</v>
      </c>
      <c r="G69" s="19">
        <v>3.0</v>
      </c>
      <c r="H69" s="19">
        <v>10.0</v>
      </c>
      <c r="I69" s="19">
        <v>6.0</v>
      </c>
      <c r="J69" s="19">
        <v>1.0</v>
      </c>
      <c r="K69" s="19">
        <v>8.0</v>
      </c>
      <c r="L69" s="19">
        <v>6.0</v>
      </c>
      <c r="M69" s="19">
        <v>5.0</v>
      </c>
      <c r="N69" s="13">
        <f t="shared" ref="N69:N78" si="18">SUM(E69:M69)</f>
        <v>49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5.0</v>
      </c>
      <c r="F70" s="19">
        <v>8.0</v>
      </c>
      <c r="G70" s="19">
        <v>3.0</v>
      </c>
      <c r="H70" s="19">
        <v>2.0</v>
      </c>
      <c r="I70" s="19">
        <v>7.0</v>
      </c>
      <c r="J70" s="19">
        <v>7.0</v>
      </c>
      <c r="K70" s="19">
        <v>4.0</v>
      </c>
      <c r="L70" s="19">
        <v>8.0</v>
      </c>
      <c r="M70" s="19">
        <v>8.0</v>
      </c>
      <c r="N70" s="13">
        <f t="shared" si="18"/>
        <v>52</v>
      </c>
    </row>
    <row r="71" ht="12.75" customHeight="1">
      <c r="A71" s="18"/>
      <c r="B71" s="55">
        <v>2.0</v>
      </c>
      <c r="C71" s="50" t="s">
        <v>58</v>
      </c>
      <c r="D71" s="60"/>
      <c r="E71" s="19">
        <v>4.0</v>
      </c>
      <c r="F71" s="19">
        <v>1.0</v>
      </c>
      <c r="G71" s="19">
        <v>1.0</v>
      </c>
      <c r="H71" s="19">
        <v>0.0</v>
      </c>
      <c r="I71" s="19">
        <v>8.0</v>
      </c>
      <c r="J71" s="19">
        <v>1.0</v>
      </c>
      <c r="K71" s="19">
        <v>1.0</v>
      </c>
      <c r="L71" s="19">
        <v>2.0</v>
      </c>
      <c r="M71" s="19">
        <v>3.0</v>
      </c>
      <c r="N71" s="13">
        <f t="shared" si="18"/>
        <v>21</v>
      </c>
    </row>
    <row r="72" ht="12.75" customHeight="1">
      <c r="A72" s="18"/>
      <c r="B72" s="55">
        <v>3.0</v>
      </c>
      <c r="C72" s="50" t="s">
        <v>59</v>
      </c>
      <c r="D72" s="60"/>
      <c r="E72" s="19">
        <v>4.0</v>
      </c>
      <c r="F72" s="19">
        <v>6.0</v>
      </c>
      <c r="G72" s="19">
        <v>2.0</v>
      </c>
      <c r="H72" s="19">
        <v>3.0</v>
      </c>
      <c r="I72" s="19">
        <v>5.0</v>
      </c>
      <c r="J72" s="19">
        <v>9.0</v>
      </c>
      <c r="K72" s="19">
        <v>25.0</v>
      </c>
      <c r="L72" s="19">
        <v>7.0</v>
      </c>
      <c r="M72" s="19">
        <v>2.0</v>
      </c>
      <c r="N72" s="13">
        <f t="shared" si="18"/>
        <v>63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0.0</v>
      </c>
      <c r="H73" s="19">
        <v>0.0</v>
      </c>
      <c r="I73" s="19">
        <v>0.0</v>
      </c>
      <c r="J73" s="19">
        <v>0.0</v>
      </c>
      <c r="K73" s="19">
        <v>2.0</v>
      </c>
      <c r="L73" s="19">
        <v>0.0</v>
      </c>
      <c r="M73" s="19">
        <v>0.0</v>
      </c>
      <c r="N73" s="13">
        <f t="shared" si="18"/>
        <v>2</v>
      </c>
    </row>
    <row r="74" ht="12.75" customHeight="1">
      <c r="A74" s="18"/>
      <c r="B74" s="55">
        <v>5.0</v>
      </c>
      <c r="C74" s="50" t="s">
        <v>61</v>
      </c>
      <c r="D74" s="60"/>
      <c r="E74" s="19">
        <v>6.0</v>
      </c>
      <c r="F74" s="19">
        <v>8.0</v>
      </c>
      <c r="G74" s="19">
        <v>2.0</v>
      </c>
      <c r="H74" s="19">
        <v>10.0</v>
      </c>
      <c r="I74" s="19">
        <v>3.0</v>
      </c>
      <c r="J74" s="19">
        <v>1.0</v>
      </c>
      <c r="K74" s="19">
        <v>2.0</v>
      </c>
      <c r="L74" s="19">
        <v>10.0</v>
      </c>
      <c r="M74" s="19">
        <v>7.0</v>
      </c>
      <c r="N74" s="13">
        <f t="shared" si="18"/>
        <v>49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3.0</v>
      </c>
      <c r="L75" s="19">
        <v>0.0</v>
      </c>
      <c r="M75" s="19">
        <v>0.0</v>
      </c>
      <c r="N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1.0</v>
      </c>
      <c r="L76" s="19">
        <v>0.0</v>
      </c>
      <c r="M76" s="19">
        <v>0.0</v>
      </c>
      <c r="N76" s="13">
        <f t="shared" si="18"/>
        <v>1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N79" si="19">SUM(E69:E78)</f>
        <v>20</v>
      </c>
      <c r="F79" s="13">
        <f t="shared" si="19"/>
        <v>33</v>
      </c>
      <c r="G79" s="13">
        <f t="shared" si="19"/>
        <v>11</v>
      </c>
      <c r="H79" s="13">
        <f t="shared" si="19"/>
        <v>25</v>
      </c>
      <c r="I79" s="13">
        <f t="shared" si="19"/>
        <v>29</v>
      </c>
      <c r="J79" s="13">
        <f t="shared" si="19"/>
        <v>19</v>
      </c>
      <c r="K79" s="13">
        <f t="shared" si="19"/>
        <v>46</v>
      </c>
      <c r="L79" s="13">
        <f t="shared" si="19"/>
        <v>33</v>
      </c>
      <c r="M79" s="13">
        <f t="shared" si="19"/>
        <v>25</v>
      </c>
      <c r="N79" s="13">
        <f t="shared" si="19"/>
        <v>241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2.0</v>
      </c>
      <c r="G81" s="19">
        <v>3.0</v>
      </c>
      <c r="H81" s="19">
        <v>3.0</v>
      </c>
      <c r="I81" s="19">
        <v>1.0</v>
      </c>
      <c r="J81" s="19">
        <v>2.0</v>
      </c>
      <c r="K81" s="19">
        <v>1.0</v>
      </c>
      <c r="L81" s="19">
        <v>1.0</v>
      </c>
      <c r="M81" s="19">
        <v>1.0</v>
      </c>
      <c r="N81" s="13">
        <f t="shared" ref="N81:N90" si="20">SUM(E81:M81)</f>
        <v>20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13.0</v>
      </c>
      <c r="F82" s="19">
        <v>16.0</v>
      </c>
      <c r="G82" s="19">
        <v>3.0</v>
      </c>
      <c r="H82" s="19">
        <v>9.0</v>
      </c>
      <c r="I82" s="19">
        <v>33.0</v>
      </c>
      <c r="J82" s="19">
        <v>16.0</v>
      </c>
      <c r="K82" s="19">
        <v>17.0</v>
      </c>
      <c r="L82" s="19">
        <v>16.0</v>
      </c>
      <c r="M82" s="19">
        <v>5.0</v>
      </c>
      <c r="N82" s="13">
        <f t="shared" si="20"/>
        <v>128</v>
      </c>
    </row>
    <row r="83" ht="12.75" customHeight="1">
      <c r="A83" s="18"/>
      <c r="B83" s="55">
        <v>2.0</v>
      </c>
      <c r="C83" s="50" t="s">
        <v>66</v>
      </c>
      <c r="D83" s="60"/>
      <c r="E83" s="19">
        <v>4.0</v>
      </c>
      <c r="F83" s="19">
        <v>4.0</v>
      </c>
      <c r="G83" s="19">
        <v>3.0</v>
      </c>
      <c r="H83" s="19">
        <v>1.0</v>
      </c>
      <c r="I83" s="19">
        <v>1.0</v>
      </c>
      <c r="J83" s="19">
        <v>6.0</v>
      </c>
      <c r="K83" s="19">
        <v>1.0</v>
      </c>
      <c r="L83" s="19">
        <v>4.0</v>
      </c>
      <c r="M83" s="19">
        <v>1.0</v>
      </c>
      <c r="N83" s="13">
        <f t="shared" si="20"/>
        <v>25</v>
      </c>
    </row>
    <row r="84" ht="12.75" customHeight="1">
      <c r="A84" s="18"/>
      <c r="B84" s="55">
        <v>3.0</v>
      </c>
      <c r="C84" s="50" t="s">
        <v>67</v>
      </c>
      <c r="D84" s="60"/>
      <c r="E84" s="19">
        <v>2.0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0.0</v>
      </c>
      <c r="H85" s="19">
        <v>1.0</v>
      </c>
      <c r="I85" s="19">
        <v>1.0</v>
      </c>
      <c r="J85" s="19">
        <v>0.0</v>
      </c>
      <c r="K85" s="19">
        <v>1.0</v>
      </c>
      <c r="L85" s="19">
        <v>2.0</v>
      </c>
      <c r="M85" s="19">
        <v>0.0</v>
      </c>
      <c r="N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2.0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N91" si="21">SUM(E81:E90)</f>
        <v>26</v>
      </c>
      <c r="F91" s="13">
        <f t="shared" si="21"/>
        <v>24</v>
      </c>
      <c r="G91" s="13">
        <f t="shared" si="21"/>
        <v>9</v>
      </c>
      <c r="H91" s="13">
        <f t="shared" si="21"/>
        <v>14</v>
      </c>
      <c r="I91" s="13">
        <f t="shared" si="21"/>
        <v>37</v>
      </c>
      <c r="J91" s="13">
        <f t="shared" si="21"/>
        <v>24</v>
      </c>
      <c r="K91" s="13">
        <f t="shared" si="21"/>
        <v>21</v>
      </c>
      <c r="L91" s="13">
        <f t="shared" si="21"/>
        <v>23</v>
      </c>
      <c r="M91" s="13">
        <f t="shared" si="21"/>
        <v>7</v>
      </c>
      <c r="N91" s="13">
        <f t="shared" si="21"/>
        <v>185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0.0</v>
      </c>
      <c r="H93" s="19">
        <v>0.0</v>
      </c>
      <c r="I93" s="19">
        <v>1.0</v>
      </c>
      <c r="J93" s="19">
        <v>3.0</v>
      </c>
      <c r="K93" s="19">
        <v>1.0</v>
      </c>
      <c r="L93" s="19">
        <v>2.0</v>
      </c>
      <c r="M93" s="19">
        <v>2.0</v>
      </c>
      <c r="N93" s="13">
        <f t="shared" ref="N93:N102" si="22">SUM(E93:M93)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2.0</v>
      </c>
      <c r="G94" s="19">
        <v>0.0</v>
      </c>
      <c r="H94" s="19">
        <v>2.0</v>
      </c>
      <c r="I94" s="19">
        <v>1.0</v>
      </c>
      <c r="J94" s="19">
        <v>1.0</v>
      </c>
      <c r="K94" s="19">
        <v>0.0</v>
      </c>
      <c r="L94" s="19">
        <v>0.0</v>
      </c>
      <c r="M94" s="19">
        <v>0.0</v>
      </c>
      <c r="N94" s="13">
        <f t="shared" si="22"/>
        <v>6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1.0</v>
      </c>
      <c r="N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1.0</v>
      </c>
      <c r="G97" s="19">
        <v>1.0</v>
      </c>
      <c r="H97" s="19">
        <v>1.0</v>
      </c>
      <c r="I97" s="19">
        <v>0.0</v>
      </c>
      <c r="J97" s="19">
        <v>1.0</v>
      </c>
      <c r="K97" s="19">
        <v>0.0</v>
      </c>
      <c r="L97" s="19">
        <v>0.0</v>
      </c>
      <c r="M97" s="19">
        <v>0.0</v>
      </c>
      <c r="N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1.0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1.0</v>
      </c>
      <c r="M98" s="19">
        <v>1.0</v>
      </c>
      <c r="N98" s="13">
        <f t="shared" si="22"/>
        <v>4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N103" si="23">SUM(E93:E102)</f>
        <v>2</v>
      </c>
      <c r="F103" s="13">
        <f t="shared" si="23"/>
        <v>5</v>
      </c>
      <c r="G103" s="13">
        <f t="shared" si="23"/>
        <v>1</v>
      </c>
      <c r="H103" s="13">
        <f t="shared" si="23"/>
        <v>3</v>
      </c>
      <c r="I103" s="13">
        <f t="shared" si="23"/>
        <v>2</v>
      </c>
      <c r="J103" s="13">
        <f t="shared" si="23"/>
        <v>5</v>
      </c>
      <c r="K103" s="13">
        <f t="shared" si="23"/>
        <v>2</v>
      </c>
      <c r="L103" s="13">
        <f t="shared" si="23"/>
        <v>3</v>
      </c>
      <c r="M103" s="13">
        <f t="shared" si="23"/>
        <v>4</v>
      </c>
      <c r="N103" s="13">
        <f t="shared" si="23"/>
        <v>27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2.0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2.0</v>
      </c>
      <c r="L105" s="19">
        <v>0.0</v>
      </c>
      <c r="M105" s="19">
        <v>0.0</v>
      </c>
      <c r="N105" s="13">
        <f t="shared" ref="N105:N114" si="24">SUM(E105:M105)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1.0</v>
      </c>
      <c r="H107" s="19">
        <v>1.0</v>
      </c>
      <c r="I107" s="19">
        <v>1.0</v>
      </c>
      <c r="J107" s="19">
        <v>0.0</v>
      </c>
      <c r="K107" s="19">
        <v>0.0</v>
      </c>
      <c r="L107" s="19">
        <v>0.0</v>
      </c>
      <c r="M107" s="19">
        <v>1.0</v>
      </c>
      <c r="N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1.0</v>
      </c>
      <c r="L109" s="19">
        <v>0.0</v>
      </c>
      <c r="M109" s="19">
        <v>0.0</v>
      </c>
      <c r="N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5">SUM(E105:E114)</f>
        <v>2</v>
      </c>
      <c r="F115" s="13">
        <f t="shared" si="25"/>
        <v>0</v>
      </c>
      <c r="G115" s="13">
        <f t="shared" si="25"/>
        <v>2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3</v>
      </c>
      <c r="L115" s="13">
        <f t="shared" si="25"/>
        <v>0</v>
      </c>
      <c r="M115" s="13">
        <f t="shared" si="25"/>
        <v>1</v>
      </c>
      <c r="N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0.0</v>
      </c>
      <c r="I117" s="19">
        <v>0.0</v>
      </c>
      <c r="J117" s="19">
        <v>0.0</v>
      </c>
      <c r="K117" s="19">
        <v>0.0</v>
      </c>
      <c r="L117" s="19">
        <v>0.0</v>
      </c>
      <c r="M117" s="19">
        <v>0.0</v>
      </c>
      <c r="N117" s="13">
        <f t="shared" ref="N117:N126" si="26">SUM(E117:M117)</f>
        <v>1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1.0</v>
      </c>
      <c r="M118" s="19">
        <v>1.0</v>
      </c>
      <c r="N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N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1</v>
      </c>
      <c r="M127" s="13">
        <f t="shared" si="27"/>
        <v>1</v>
      </c>
      <c r="N127" s="13">
        <f t="shared" si="27"/>
        <v>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1.0</v>
      </c>
      <c r="G129" s="19">
        <v>1.0</v>
      </c>
      <c r="H129" s="19">
        <v>4.0</v>
      </c>
      <c r="I129" s="19">
        <v>1.0</v>
      </c>
      <c r="J129" s="19">
        <v>2.0</v>
      </c>
      <c r="K129" s="19">
        <v>0.0</v>
      </c>
      <c r="L129" s="19">
        <v>0.0</v>
      </c>
      <c r="M129" s="19">
        <v>2.0</v>
      </c>
      <c r="N129" s="13">
        <f t="shared" ref="N129:N138" si="28">SUM(E129:M129)</f>
        <v>12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1.0</v>
      </c>
      <c r="F130" s="19">
        <v>0.0</v>
      </c>
      <c r="G130" s="19">
        <v>1.0</v>
      </c>
      <c r="H130" s="19">
        <v>0.0</v>
      </c>
      <c r="I130" s="19">
        <v>3.0</v>
      </c>
      <c r="J130" s="19">
        <v>1.0</v>
      </c>
      <c r="K130" s="19">
        <v>2.0</v>
      </c>
      <c r="L130" s="19">
        <v>3.0</v>
      </c>
      <c r="M130" s="19">
        <v>0.0</v>
      </c>
      <c r="N130" s="13">
        <f t="shared" si="28"/>
        <v>11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1.0</v>
      </c>
      <c r="L131" s="19">
        <v>0.0</v>
      </c>
      <c r="M131" s="19">
        <v>0.0</v>
      </c>
      <c r="N131" s="13">
        <f t="shared" si="28"/>
        <v>2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1.0</v>
      </c>
      <c r="H132" s="19">
        <v>0.0</v>
      </c>
      <c r="I132" s="19">
        <v>1.0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2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1.0</v>
      </c>
      <c r="H135" s="19">
        <v>0.0</v>
      </c>
      <c r="I135" s="19">
        <v>1.0</v>
      </c>
      <c r="J135" s="19">
        <v>0.0</v>
      </c>
      <c r="K135" s="19">
        <v>0.0</v>
      </c>
      <c r="L135" s="19">
        <v>0.0</v>
      </c>
      <c r="M135" s="19">
        <v>1.0</v>
      </c>
      <c r="N135" s="13">
        <f t="shared" si="28"/>
        <v>3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N139" si="29">SUM(E129:E138)</f>
        <v>3</v>
      </c>
      <c r="F139" s="13">
        <f t="shared" si="29"/>
        <v>1</v>
      </c>
      <c r="G139" s="13">
        <f t="shared" si="29"/>
        <v>4</v>
      </c>
      <c r="H139" s="13">
        <f t="shared" si="29"/>
        <v>5</v>
      </c>
      <c r="I139" s="13">
        <f t="shared" si="29"/>
        <v>6</v>
      </c>
      <c r="J139" s="13">
        <f t="shared" si="29"/>
        <v>3</v>
      </c>
      <c r="K139" s="13">
        <f t="shared" si="29"/>
        <v>3</v>
      </c>
      <c r="L139" s="13">
        <f t="shared" si="29"/>
        <v>3</v>
      </c>
      <c r="M139" s="13">
        <f t="shared" si="29"/>
        <v>3</v>
      </c>
      <c r="N139" s="13">
        <f t="shared" si="29"/>
        <v>31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50" si="30">SUM(E141:M141)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1.0</v>
      </c>
      <c r="K147" s="19">
        <v>0.0</v>
      </c>
      <c r="L147" s="19">
        <v>0.0</v>
      </c>
      <c r="M147" s="19">
        <v>0.0</v>
      </c>
      <c r="N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2.0</v>
      </c>
      <c r="M153" s="19">
        <v>0.0</v>
      </c>
      <c r="N153" s="13">
        <f t="shared" ref="N153:N161" si="32">SUM(E153:M153)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1.0</v>
      </c>
      <c r="F154" s="19">
        <v>0.0</v>
      </c>
      <c r="G154" s="19">
        <v>0.0</v>
      </c>
      <c r="H154" s="19">
        <v>0.0</v>
      </c>
      <c r="I154" s="19">
        <v>2.0</v>
      </c>
      <c r="J154" s="19">
        <v>0.0</v>
      </c>
      <c r="K154" s="19">
        <v>1.0</v>
      </c>
      <c r="L154" s="19">
        <v>3.0</v>
      </c>
      <c r="M154" s="19">
        <v>1.0</v>
      </c>
      <c r="N154" s="13">
        <f t="shared" si="32"/>
        <v>8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0.0</v>
      </c>
      <c r="N155" s="13">
        <f t="shared" si="32"/>
        <v>1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1.0</v>
      </c>
      <c r="J157" s="19">
        <v>0.0</v>
      </c>
      <c r="K157" s="19">
        <v>1.0</v>
      </c>
      <c r="L157" s="19">
        <v>0.0</v>
      </c>
      <c r="M157" s="19">
        <v>0.0</v>
      </c>
      <c r="N157" s="13">
        <f t="shared" si="32"/>
        <v>2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3">
        <f t="shared" si="32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3">
        <f>SUM(E168:M168)</f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N163" si="33">SUM(E153:E162)</f>
        <v>1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3</v>
      </c>
      <c r="J163" s="13">
        <f t="shared" si="33"/>
        <v>0</v>
      </c>
      <c r="K163" s="13">
        <f t="shared" si="33"/>
        <v>2</v>
      </c>
      <c r="L163" s="13">
        <f t="shared" si="33"/>
        <v>6</v>
      </c>
      <c r="M163" s="13">
        <f t="shared" si="33"/>
        <v>1</v>
      </c>
      <c r="N163" s="13">
        <f t="shared" si="33"/>
        <v>13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3">
        <f t="shared" ref="N165:N174" si="34">SUM(E165:M165)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3">
        <f t="shared" si="34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1.0</v>
      </c>
      <c r="K171" s="19">
        <v>0.0</v>
      </c>
      <c r="L171" s="19">
        <v>0.0</v>
      </c>
      <c r="M171" s="19">
        <v>0.0</v>
      </c>
      <c r="N171" s="13">
        <f t="shared" si="34"/>
        <v>1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N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1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5"/>
        <v>3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2.0</v>
      </c>
      <c r="J177" s="19">
        <v>0.0</v>
      </c>
      <c r="K177" s="19">
        <v>4.0</v>
      </c>
      <c r="L177" s="19">
        <v>0.0</v>
      </c>
      <c r="M177" s="19">
        <v>0.0</v>
      </c>
      <c r="N177" s="13">
        <f t="shared" ref="N177:N186" si="36">SUM(E177:M177)</f>
        <v>6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1.0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3">
        <f t="shared" si="36"/>
        <v>1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3">
        <f t="shared" si="36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7">SUM(E177:E186)</f>
        <v>0</v>
      </c>
      <c r="F187" s="13">
        <f t="shared" si="37"/>
        <v>2</v>
      </c>
      <c r="G187" s="13">
        <f t="shared" si="37"/>
        <v>0</v>
      </c>
      <c r="H187" s="13">
        <f t="shared" si="37"/>
        <v>0</v>
      </c>
      <c r="I187" s="13">
        <f t="shared" si="37"/>
        <v>2</v>
      </c>
      <c r="J187" s="13">
        <f t="shared" si="37"/>
        <v>0</v>
      </c>
      <c r="K187" s="13">
        <f t="shared" si="37"/>
        <v>5</v>
      </c>
      <c r="L187" s="13">
        <f t="shared" si="37"/>
        <v>0</v>
      </c>
      <c r="M187" s="13">
        <f t="shared" si="37"/>
        <v>1</v>
      </c>
      <c r="N187" s="13">
        <f t="shared" si="37"/>
        <v>10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8" si="38">SUM(E189:M189)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1.0</v>
      </c>
      <c r="K190" s="19">
        <v>0.0</v>
      </c>
      <c r="L190" s="19">
        <v>0.0</v>
      </c>
      <c r="M190" s="19">
        <v>0.0</v>
      </c>
      <c r="N190" s="13">
        <f t="shared" si="38"/>
        <v>1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N199" si="39">SUM(E189:E198)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2.0</v>
      </c>
      <c r="F201" s="19">
        <v>8.0</v>
      </c>
      <c r="G201" s="19">
        <v>7.0</v>
      </c>
      <c r="H201" s="19">
        <v>1.0</v>
      </c>
      <c r="I201" s="19">
        <v>3.0</v>
      </c>
      <c r="J201" s="19">
        <v>4.0</v>
      </c>
      <c r="K201" s="19">
        <v>2.0</v>
      </c>
      <c r="L201" s="19">
        <v>5.0</v>
      </c>
      <c r="M201" s="19">
        <v>2.0</v>
      </c>
      <c r="N201" s="13">
        <f t="shared" ref="N201:N210" si="40">SUM(E201:M201)</f>
        <v>34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1.0</v>
      </c>
      <c r="F202" s="19">
        <v>5.0</v>
      </c>
      <c r="G202" s="19">
        <v>1.0</v>
      </c>
      <c r="H202" s="19">
        <v>1.0</v>
      </c>
      <c r="I202" s="19">
        <v>1.0</v>
      </c>
      <c r="J202" s="19">
        <v>3.0</v>
      </c>
      <c r="K202" s="19">
        <v>4.0</v>
      </c>
      <c r="L202" s="19">
        <v>3.0</v>
      </c>
      <c r="M202" s="19">
        <v>2.0</v>
      </c>
      <c r="N202" s="13">
        <f t="shared" si="40"/>
        <v>21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4.0</v>
      </c>
      <c r="G203" s="19">
        <v>1.0</v>
      </c>
      <c r="H203" s="19">
        <v>1.0</v>
      </c>
      <c r="I203" s="19">
        <v>0.0</v>
      </c>
      <c r="J203" s="19">
        <v>3.0</v>
      </c>
      <c r="K203" s="19">
        <v>0.0</v>
      </c>
      <c r="L203" s="19">
        <v>1.0</v>
      </c>
      <c r="M203" s="19">
        <v>1.0</v>
      </c>
      <c r="N203" s="13">
        <f t="shared" si="40"/>
        <v>13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2.0</v>
      </c>
      <c r="L204" s="19">
        <v>0.0</v>
      </c>
      <c r="M204" s="19">
        <v>0.0</v>
      </c>
      <c r="N204" s="13">
        <f t="shared" si="40"/>
        <v>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5.0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3">
        <f t="shared" si="40"/>
        <v>5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9">
        <v>0.0</v>
      </c>
      <c r="N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N211" si="41">SUM(E201:E210)</f>
        <v>5</v>
      </c>
      <c r="F211" s="13">
        <f t="shared" si="41"/>
        <v>22</v>
      </c>
      <c r="G211" s="13">
        <f t="shared" si="41"/>
        <v>9</v>
      </c>
      <c r="H211" s="13">
        <f t="shared" si="41"/>
        <v>4</v>
      </c>
      <c r="I211" s="13">
        <f t="shared" si="41"/>
        <v>4</v>
      </c>
      <c r="J211" s="13">
        <f t="shared" si="41"/>
        <v>10</v>
      </c>
      <c r="K211" s="13">
        <f t="shared" si="41"/>
        <v>8</v>
      </c>
      <c r="L211" s="13">
        <f t="shared" si="41"/>
        <v>11</v>
      </c>
      <c r="M211" s="13">
        <f t="shared" si="41"/>
        <v>5</v>
      </c>
      <c r="N211" s="13">
        <f t="shared" si="41"/>
        <v>78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0.0</v>
      </c>
      <c r="H213" s="19">
        <v>1.0</v>
      </c>
      <c r="I213" s="19">
        <v>0.0</v>
      </c>
      <c r="J213" s="19">
        <v>0.0</v>
      </c>
      <c r="K213" s="19">
        <v>0.0</v>
      </c>
      <c r="L213" s="19">
        <v>2.0</v>
      </c>
      <c r="M213" s="19">
        <v>0.0</v>
      </c>
      <c r="N213" s="13">
        <f t="shared" ref="N213:N222" si="42">SUM(E213:M213)</f>
        <v>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2.0</v>
      </c>
      <c r="G214" s="19">
        <v>1.0</v>
      </c>
      <c r="H214" s="19">
        <v>0.0</v>
      </c>
      <c r="I214" s="19">
        <v>2.0</v>
      </c>
      <c r="J214" s="19">
        <v>0.0</v>
      </c>
      <c r="K214" s="19">
        <v>0.0</v>
      </c>
      <c r="L214" s="19">
        <v>0.0</v>
      </c>
      <c r="M214" s="19">
        <v>0.0</v>
      </c>
      <c r="N214" s="13">
        <f t="shared" si="42"/>
        <v>6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1.0</v>
      </c>
      <c r="F215" s="19">
        <v>0.0</v>
      </c>
      <c r="G215" s="19">
        <v>1.0</v>
      </c>
      <c r="H215" s="19">
        <v>0.0</v>
      </c>
      <c r="I215" s="19">
        <v>0.0</v>
      </c>
      <c r="J215" s="19">
        <v>1.0</v>
      </c>
      <c r="K215" s="19">
        <v>0.0</v>
      </c>
      <c r="L215" s="19">
        <v>2.0</v>
      </c>
      <c r="M215" s="19">
        <v>0.0</v>
      </c>
      <c r="N215" s="13">
        <f t="shared" si="42"/>
        <v>5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3">
        <f t="shared" si="42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N223" si="43">SUM(E213:E222)</f>
        <v>2</v>
      </c>
      <c r="F223" s="13">
        <f t="shared" si="43"/>
        <v>4</v>
      </c>
      <c r="G223" s="13">
        <f t="shared" si="43"/>
        <v>2</v>
      </c>
      <c r="H223" s="13">
        <f t="shared" si="43"/>
        <v>1</v>
      </c>
      <c r="I223" s="13">
        <f t="shared" si="43"/>
        <v>2</v>
      </c>
      <c r="J223" s="13">
        <f t="shared" si="43"/>
        <v>1</v>
      </c>
      <c r="K223" s="13">
        <f t="shared" si="43"/>
        <v>0</v>
      </c>
      <c r="L223" s="13">
        <f t="shared" si="43"/>
        <v>5</v>
      </c>
      <c r="M223" s="13">
        <f t="shared" si="43"/>
        <v>0</v>
      </c>
      <c r="N223" s="13">
        <f t="shared" si="43"/>
        <v>17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1.0</v>
      </c>
      <c r="G225" s="19">
        <v>0.0</v>
      </c>
      <c r="H225" s="19">
        <v>1.0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3">
        <f t="shared" ref="N225:N234" si="44">SUM(E225:M225)</f>
        <v>3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2.0</v>
      </c>
      <c r="L226" s="19">
        <v>0.0</v>
      </c>
      <c r="M226" s="19">
        <v>1.0</v>
      </c>
      <c r="N226" s="13">
        <f t="shared" si="44"/>
        <v>3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1.0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1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N235" si="45">SUM(E225:E234)</f>
        <v>0</v>
      </c>
      <c r="F235" s="13">
        <f t="shared" si="45"/>
        <v>1</v>
      </c>
      <c r="G235" s="13">
        <f t="shared" si="45"/>
        <v>1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1</v>
      </c>
      <c r="N235" s="13">
        <f t="shared" si="45"/>
        <v>7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2.0</v>
      </c>
      <c r="H237" s="19">
        <v>3.0</v>
      </c>
      <c r="I237" s="19">
        <v>4.0</v>
      </c>
      <c r="J237" s="19">
        <v>2.0</v>
      </c>
      <c r="K237" s="19">
        <v>6.0</v>
      </c>
      <c r="L237" s="19">
        <v>3.0</v>
      </c>
      <c r="M237" s="19">
        <v>1.0</v>
      </c>
      <c r="N237" s="13">
        <f t="shared" ref="N237:N246" si="46">SUM(E237:M237)</f>
        <v>22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5.0</v>
      </c>
      <c r="K238" s="19">
        <v>5.0</v>
      </c>
      <c r="L238" s="19">
        <v>1.0</v>
      </c>
      <c r="M238" s="19">
        <v>1.0</v>
      </c>
      <c r="N238" s="13">
        <f t="shared" si="46"/>
        <v>13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1.0</v>
      </c>
      <c r="J239" s="19">
        <v>1.0</v>
      </c>
      <c r="K239" s="19">
        <v>1.0</v>
      </c>
      <c r="L239" s="19">
        <v>1.0</v>
      </c>
      <c r="M239" s="19">
        <v>1.0</v>
      </c>
      <c r="N239" s="13">
        <f t="shared" si="46"/>
        <v>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1.0</v>
      </c>
      <c r="N240" s="13">
        <f t="shared" si="46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2.0</v>
      </c>
      <c r="J241" s="19">
        <v>0.0</v>
      </c>
      <c r="K241" s="19">
        <v>0.0</v>
      </c>
      <c r="L241" s="19">
        <v>0.0</v>
      </c>
      <c r="M241" s="19">
        <v>0.0</v>
      </c>
      <c r="N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5.0</v>
      </c>
      <c r="L244" s="19">
        <v>1.0</v>
      </c>
      <c r="M244" s="19">
        <v>0.0</v>
      </c>
      <c r="N244" s="13">
        <f t="shared" si="46"/>
        <v>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7">SUM(E237:E246)</f>
        <v>0</v>
      </c>
      <c r="F247" s="13">
        <f t="shared" si="47"/>
        <v>2</v>
      </c>
      <c r="G247" s="13">
        <f t="shared" si="47"/>
        <v>2</v>
      </c>
      <c r="H247" s="13">
        <f t="shared" si="47"/>
        <v>3</v>
      </c>
      <c r="I247" s="13">
        <f t="shared" si="47"/>
        <v>8</v>
      </c>
      <c r="J247" s="13">
        <f t="shared" si="47"/>
        <v>8</v>
      </c>
      <c r="K247" s="13">
        <f t="shared" si="47"/>
        <v>17</v>
      </c>
      <c r="L247" s="13">
        <f t="shared" si="47"/>
        <v>6</v>
      </c>
      <c r="M247" s="13">
        <f t="shared" si="47"/>
        <v>4</v>
      </c>
      <c r="N247" s="13">
        <f t="shared" si="47"/>
        <v>50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3">
        <f t="shared" ref="N249:N258" si="48">SUM(E249:M249)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1.0</v>
      </c>
      <c r="L250" s="19">
        <v>0.0</v>
      </c>
      <c r="M250" s="19">
        <v>0.0</v>
      </c>
      <c r="N250" s="13">
        <f t="shared" si="48"/>
        <v>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1.0</v>
      </c>
      <c r="M252" s="19">
        <v>0.0</v>
      </c>
      <c r="N252" s="13">
        <f t="shared" si="48"/>
        <v>1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1.0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N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1</v>
      </c>
      <c r="M259" s="13">
        <f t="shared" si="49"/>
        <v>1</v>
      </c>
      <c r="N259" s="13">
        <f t="shared" si="49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M262" si="50">E55+E67+E79+E91+E103+E115+E127+E139+E151+E163+E175+E187+E199+E211+E223+E235+E247+E259</f>
        <v>162</v>
      </c>
      <c r="F262" s="19">
        <f t="shared" si="50"/>
        <v>197</v>
      </c>
      <c r="G262" s="19">
        <f t="shared" si="50"/>
        <v>155</v>
      </c>
      <c r="H262" s="19">
        <f t="shared" si="50"/>
        <v>156</v>
      </c>
      <c r="I262" s="19">
        <f t="shared" si="50"/>
        <v>196</v>
      </c>
      <c r="J262" s="19">
        <f t="shared" si="50"/>
        <v>178</v>
      </c>
      <c r="K262" s="19">
        <f t="shared" si="50"/>
        <v>205</v>
      </c>
      <c r="L262" s="19">
        <f t="shared" si="50"/>
        <v>172</v>
      </c>
      <c r="M262" s="19">
        <f t="shared" si="50"/>
        <v>171</v>
      </c>
      <c r="N262" s="13">
        <f t="shared" ref="N262:N264" si="51">SUM(E262:M262)</f>
        <v>1592</v>
      </c>
    </row>
    <row r="263" ht="12.75" customHeight="1">
      <c r="A263" s="35"/>
      <c r="B263" s="70" t="s">
        <v>194</v>
      </c>
      <c r="C263" s="71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3">
        <f t="shared" si="51"/>
        <v>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M264" si="52">SUM(E262:E263)</f>
        <v>162</v>
      </c>
      <c r="F264" s="13">
        <f t="shared" si="52"/>
        <v>197</v>
      </c>
      <c r="G264" s="13">
        <f t="shared" si="52"/>
        <v>155</v>
      </c>
      <c r="H264" s="13">
        <f t="shared" si="52"/>
        <v>156</v>
      </c>
      <c r="I264" s="13">
        <f t="shared" si="52"/>
        <v>196</v>
      </c>
      <c r="J264" s="13">
        <f t="shared" si="52"/>
        <v>178</v>
      </c>
      <c r="K264" s="13">
        <f t="shared" si="52"/>
        <v>205</v>
      </c>
      <c r="L264" s="13">
        <f t="shared" si="52"/>
        <v>172</v>
      </c>
      <c r="M264" s="13">
        <f t="shared" si="52"/>
        <v>171</v>
      </c>
      <c r="N264" s="13">
        <f t="shared" si="51"/>
        <v>1592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8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R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118.0</v>
      </c>
      <c r="F14" s="19">
        <v>97.0</v>
      </c>
      <c r="G14" s="19">
        <v>102.0</v>
      </c>
      <c r="H14" s="19">
        <v>133.0</v>
      </c>
      <c r="I14" s="19">
        <v>136.0</v>
      </c>
      <c r="J14" s="19">
        <v>127.0</v>
      </c>
      <c r="K14" s="19">
        <v>134.0</v>
      </c>
      <c r="L14" s="19">
        <v>118.0</v>
      </c>
      <c r="M14" s="19">
        <v>141.0</v>
      </c>
      <c r="N14" s="19">
        <v>140.0</v>
      </c>
      <c r="O14" s="19">
        <v>132.0</v>
      </c>
      <c r="P14" s="19">
        <v>134.0</v>
      </c>
      <c r="Q14" s="19">
        <v>143.0</v>
      </c>
      <c r="R14" s="19">
        <v>94.0</v>
      </c>
      <c r="S14" s="13">
        <f t="shared" ref="S14:S16" si="1">SUM(E14:R14)</f>
        <v>1749</v>
      </c>
    </row>
    <row r="15" ht="12.75" customHeight="1">
      <c r="A15" s="18"/>
      <c r="B15" s="26"/>
      <c r="C15" s="27"/>
      <c r="D15" s="19" t="s">
        <v>13</v>
      </c>
      <c r="E15" s="19">
        <v>116.0</v>
      </c>
      <c r="F15" s="19">
        <v>103.0</v>
      </c>
      <c r="G15" s="19">
        <v>110.0</v>
      </c>
      <c r="H15" s="19">
        <v>126.0</v>
      </c>
      <c r="I15" s="19">
        <v>128.0</v>
      </c>
      <c r="J15" s="19">
        <v>130.0</v>
      </c>
      <c r="K15" s="19">
        <v>141.0</v>
      </c>
      <c r="L15" s="19">
        <v>131.0</v>
      </c>
      <c r="M15" s="19">
        <v>131.0</v>
      </c>
      <c r="N15" s="19">
        <v>124.0</v>
      </c>
      <c r="O15" s="19">
        <v>144.0</v>
      </c>
      <c r="P15" s="19">
        <v>143.0</v>
      </c>
      <c r="Q15" s="19">
        <v>129.0</v>
      </c>
      <c r="R15" s="19">
        <v>86.0</v>
      </c>
      <c r="S15" s="13">
        <f t="shared" si="1"/>
        <v>1742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234</v>
      </c>
      <c r="F16" s="13">
        <f t="shared" si="2"/>
        <v>200</v>
      </c>
      <c r="G16" s="13">
        <f t="shared" si="2"/>
        <v>212</v>
      </c>
      <c r="H16" s="13">
        <f t="shared" si="2"/>
        <v>259</v>
      </c>
      <c r="I16" s="13">
        <f t="shared" si="2"/>
        <v>264</v>
      </c>
      <c r="J16" s="13">
        <f t="shared" si="2"/>
        <v>257</v>
      </c>
      <c r="K16" s="13">
        <f t="shared" si="2"/>
        <v>275</v>
      </c>
      <c r="L16" s="13">
        <f t="shared" si="2"/>
        <v>249</v>
      </c>
      <c r="M16" s="13">
        <f t="shared" si="2"/>
        <v>272</v>
      </c>
      <c r="N16" s="13">
        <f t="shared" si="2"/>
        <v>264</v>
      </c>
      <c r="O16" s="13">
        <f t="shared" si="2"/>
        <v>276</v>
      </c>
      <c r="P16" s="13">
        <f t="shared" si="2"/>
        <v>277</v>
      </c>
      <c r="Q16" s="13">
        <f t="shared" si="2"/>
        <v>272</v>
      </c>
      <c r="R16" s="13">
        <f t="shared" si="2"/>
        <v>180</v>
      </c>
      <c r="S16" s="13">
        <f t="shared" si="1"/>
        <v>3491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19"/>
      <c r="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19"/>
      <c r="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60.0</v>
      </c>
      <c r="G19" s="19">
        <v>73.0</v>
      </c>
      <c r="H19" s="19">
        <v>92.0</v>
      </c>
      <c r="I19" s="19">
        <v>96.0</v>
      </c>
      <c r="J19" s="19">
        <v>94.0</v>
      </c>
      <c r="K19" s="19">
        <v>100.0</v>
      </c>
      <c r="L19" s="19">
        <v>77.0</v>
      </c>
      <c r="M19" s="19">
        <v>96.0</v>
      </c>
      <c r="N19" s="19">
        <v>106.0</v>
      </c>
      <c r="O19" s="19">
        <v>109.0</v>
      </c>
      <c r="P19" s="19">
        <v>91.0</v>
      </c>
      <c r="Q19" s="19">
        <v>95.0</v>
      </c>
      <c r="R19" s="19">
        <v>74.0</v>
      </c>
      <c r="S19" s="13">
        <f t="shared" ref="S19:S30" si="3">SUM(E19:R19)</f>
        <v>1248</v>
      </c>
    </row>
    <row r="20" ht="12.75" customHeight="1">
      <c r="A20" s="33"/>
      <c r="B20" s="27"/>
      <c r="C20" s="34"/>
      <c r="D20" s="19" t="s">
        <v>13</v>
      </c>
      <c r="E20" s="19">
        <v>88.0</v>
      </c>
      <c r="F20" s="19">
        <v>72.0</v>
      </c>
      <c r="G20" s="19">
        <v>85.0</v>
      </c>
      <c r="H20" s="19">
        <v>100.0</v>
      </c>
      <c r="I20" s="19">
        <v>108.0</v>
      </c>
      <c r="J20" s="19">
        <v>89.0</v>
      </c>
      <c r="K20" s="19">
        <v>113.0</v>
      </c>
      <c r="L20" s="19">
        <v>96.0</v>
      </c>
      <c r="M20" s="19">
        <v>101.0</v>
      </c>
      <c r="N20" s="19">
        <v>111.0</v>
      </c>
      <c r="O20" s="19">
        <v>99.0</v>
      </c>
      <c r="P20" s="19">
        <v>107.0</v>
      </c>
      <c r="Q20" s="19">
        <v>103.0</v>
      </c>
      <c r="R20" s="19">
        <v>65.0</v>
      </c>
      <c r="S20" s="13">
        <f t="shared" si="3"/>
        <v>1337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173</v>
      </c>
      <c r="F21" s="13">
        <f t="shared" si="4"/>
        <v>132</v>
      </c>
      <c r="G21" s="13">
        <f t="shared" si="4"/>
        <v>158</v>
      </c>
      <c r="H21" s="13">
        <f t="shared" si="4"/>
        <v>192</v>
      </c>
      <c r="I21" s="13">
        <f t="shared" si="4"/>
        <v>204</v>
      </c>
      <c r="J21" s="13">
        <f t="shared" si="4"/>
        <v>183</v>
      </c>
      <c r="K21" s="13">
        <f t="shared" si="4"/>
        <v>213</v>
      </c>
      <c r="L21" s="13">
        <f t="shared" si="4"/>
        <v>173</v>
      </c>
      <c r="M21" s="13">
        <f t="shared" si="4"/>
        <v>197</v>
      </c>
      <c r="N21" s="13">
        <f t="shared" si="4"/>
        <v>217</v>
      </c>
      <c r="O21" s="13">
        <f t="shared" si="4"/>
        <v>208</v>
      </c>
      <c r="P21" s="13">
        <f t="shared" si="4"/>
        <v>198</v>
      </c>
      <c r="Q21" s="13">
        <f t="shared" si="4"/>
        <v>198</v>
      </c>
      <c r="R21" s="13">
        <f t="shared" si="4"/>
        <v>139</v>
      </c>
      <c r="S21" s="13">
        <f t="shared" si="3"/>
        <v>2585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1.0</v>
      </c>
      <c r="F22" s="19">
        <v>0.0</v>
      </c>
      <c r="G22" s="19">
        <v>1.0</v>
      </c>
      <c r="H22" s="19">
        <v>0.0</v>
      </c>
      <c r="I22" s="19">
        <v>0.0</v>
      </c>
      <c r="J22" s="19">
        <v>0.0</v>
      </c>
      <c r="K22" s="19">
        <v>2.0</v>
      </c>
      <c r="L22" s="19">
        <v>1.0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3">
        <f t="shared" si="3"/>
        <v>6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1.0</v>
      </c>
      <c r="N23" s="19">
        <v>0.0</v>
      </c>
      <c r="O23" s="19">
        <v>1.0</v>
      </c>
      <c r="P23" s="19">
        <v>1.0</v>
      </c>
      <c r="Q23" s="19">
        <v>1.0</v>
      </c>
      <c r="R23" s="19">
        <v>0.0</v>
      </c>
      <c r="S23" s="13">
        <f t="shared" si="3"/>
        <v>6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2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2</v>
      </c>
      <c r="L24" s="13">
        <f t="shared" si="5"/>
        <v>2</v>
      </c>
      <c r="M24" s="13">
        <f t="shared" si="5"/>
        <v>1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1</v>
      </c>
      <c r="R24" s="13">
        <f t="shared" si="5"/>
        <v>0</v>
      </c>
      <c r="S24" s="13">
        <f t="shared" si="3"/>
        <v>12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3.0</v>
      </c>
      <c r="M25" s="19">
        <v>0.0</v>
      </c>
      <c r="N25" s="19">
        <v>0.0</v>
      </c>
      <c r="O25" s="19">
        <v>3.0</v>
      </c>
      <c r="P25" s="19">
        <v>1.0</v>
      </c>
      <c r="Q25" s="19">
        <v>0.0</v>
      </c>
      <c r="R25" s="19">
        <v>0.0</v>
      </c>
      <c r="S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1.0</v>
      </c>
      <c r="L26" s="19">
        <v>1.0</v>
      </c>
      <c r="M26" s="19">
        <v>3.0</v>
      </c>
      <c r="N26" s="19">
        <v>0.0</v>
      </c>
      <c r="O26" s="19">
        <v>3.0</v>
      </c>
      <c r="P26" s="19">
        <v>1.0</v>
      </c>
      <c r="Q26" s="19">
        <v>0.0</v>
      </c>
      <c r="R26" s="19">
        <v>0.0</v>
      </c>
      <c r="S26" s="13">
        <f t="shared" si="3"/>
        <v>10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1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4</v>
      </c>
      <c r="M27" s="13">
        <f t="shared" si="6"/>
        <v>3</v>
      </c>
      <c r="N27" s="13">
        <f t="shared" si="6"/>
        <v>0</v>
      </c>
      <c r="O27" s="13">
        <f t="shared" si="6"/>
        <v>6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3"/>
        <v>17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86</v>
      </c>
      <c r="F28" s="13">
        <f t="shared" si="7"/>
        <v>60</v>
      </c>
      <c r="G28" s="13">
        <f t="shared" si="7"/>
        <v>74</v>
      </c>
      <c r="H28" s="13">
        <f t="shared" si="7"/>
        <v>92</v>
      </c>
      <c r="I28" s="13">
        <f t="shared" si="7"/>
        <v>96</v>
      </c>
      <c r="J28" s="13">
        <f t="shared" si="7"/>
        <v>94</v>
      </c>
      <c r="K28" s="13">
        <f t="shared" si="7"/>
        <v>102</v>
      </c>
      <c r="L28" s="13">
        <f t="shared" si="7"/>
        <v>81</v>
      </c>
      <c r="M28" s="13">
        <f t="shared" si="7"/>
        <v>96</v>
      </c>
      <c r="N28" s="13">
        <f t="shared" si="7"/>
        <v>106</v>
      </c>
      <c r="O28" s="13">
        <f t="shared" si="7"/>
        <v>112</v>
      </c>
      <c r="P28" s="13">
        <f t="shared" si="7"/>
        <v>93</v>
      </c>
      <c r="Q28" s="13">
        <f t="shared" si="7"/>
        <v>95</v>
      </c>
      <c r="R28" s="13">
        <f t="shared" si="7"/>
        <v>74</v>
      </c>
      <c r="S28" s="13">
        <f t="shared" si="3"/>
        <v>1261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89</v>
      </c>
      <c r="F29" s="13">
        <f t="shared" si="8"/>
        <v>72</v>
      </c>
      <c r="G29" s="13">
        <f t="shared" si="8"/>
        <v>85</v>
      </c>
      <c r="H29" s="13">
        <f t="shared" si="8"/>
        <v>101</v>
      </c>
      <c r="I29" s="13">
        <f t="shared" si="8"/>
        <v>108</v>
      </c>
      <c r="J29" s="13">
        <f t="shared" si="8"/>
        <v>89</v>
      </c>
      <c r="K29" s="13">
        <f t="shared" si="8"/>
        <v>114</v>
      </c>
      <c r="L29" s="13">
        <f t="shared" si="8"/>
        <v>98</v>
      </c>
      <c r="M29" s="13">
        <f t="shared" si="8"/>
        <v>105</v>
      </c>
      <c r="N29" s="13">
        <f t="shared" si="8"/>
        <v>111</v>
      </c>
      <c r="O29" s="13">
        <f t="shared" si="8"/>
        <v>103</v>
      </c>
      <c r="P29" s="13">
        <f t="shared" si="8"/>
        <v>109</v>
      </c>
      <c r="Q29" s="13">
        <f t="shared" si="8"/>
        <v>104</v>
      </c>
      <c r="R29" s="13">
        <f t="shared" si="8"/>
        <v>65</v>
      </c>
      <c r="S29" s="13">
        <f t="shared" si="3"/>
        <v>1353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175</v>
      </c>
      <c r="F30" s="13">
        <f t="shared" si="9"/>
        <v>132</v>
      </c>
      <c r="G30" s="13">
        <f t="shared" si="9"/>
        <v>159</v>
      </c>
      <c r="H30" s="13">
        <f t="shared" si="9"/>
        <v>193</v>
      </c>
      <c r="I30" s="13">
        <f t="shared" si="9"/>
        <v>204</v>
      </c>
      <c r="J30" s="13">
        <f t="shared" si="9"/>
        <v>183</v>
      </c>
      <c r="K30" s="13">
        <f t="shared" si="9"/>
        <v>216</v>
      </c>
      <c r="L30" s="13">
        <f t="shared" si="9"/>
        <v>179</v>
      </c>
      <c r="M30" s="13">
        <f t="shared" si="9"/>
        <v>201</v>
      </c>
      <c r="N30" s="13">
        <f t="shared" si="9"/>
        <v>217</v>
      </c>
      <c r="O30" s="13">
        <f t="shared" si="9"/>
        <v>215</v>
      </c>
      <c r="P30" s="13">
        <f t="shared" si="9"/>
        <v>202</v>
      </c>
      <c r="Q30" s="13">
        <f t="shared" si="9"/>
        <v>199</v>
      </c>
      <c r="R30" s="13">
        <f t="shared" si="9"/>
        <v>139</v>
      </c>
      <c r="S30" s="13">
        <f t="shared" si="3"/>
        <v>2614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19"/>
      <c r="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13"/>
      <c r="S32" s="76"/>
    </row>
    <row r="33" ht="12.75" customHeight="1">
      <c r="A33" s="19">
        <v>1.0</v>
      </c>
      <c r="B33" s="20" t="s">
        <v>27</v>
      </c>
      <c r="C33" s="15"/>
      <c r="D33" s="16"/>
      <c r="E33" s="19">
        <v>239.0</v>
      </c>
      <c r="F33" s="19">
        <v>224.0</v>
      </c>
      <c r="G33" s="19">
        <v>216.0</v>
      </c>
      <c r="H33" s="19">
        <v>204.0</v>
      </c>
      <c r="I33" s="19">
        <v>209.0</v>
      </c>
      <c r="J33" s="19">
        <v>261.0</v>
      </c>
      <c r="K33" s="19">
        <v>251.0</v>
      </c>
      <c r="L33" s="19">
        <v>254.0</v>
      </c>
      <c r="M33" s="19">
        <v>279.0</v>
      </c>
      <c r="N33" s="19">
        <v>269.0</v>
      </c>
      <c r="O33" s="19">
        <v>212.0</v>
      </c>
      <c r="P33" s="19">
        <v>272.0</v>
      </c>
      <c r="Q33" s="19">
        <v>278.0</v>
      </c>
      <c r="R33" s="19">
        <v>169.0</v>
      </c>
      <c r="S33" s="13">
        <f t="shared" ref="S33:S36" si="10">SUM(E33:R33)</f>
        <v>3337</v>
      </c>
    </row>
    <row r="34" ht="12.75" customHeight="1">
      <c r="A34" s="19">
        <v>2.0</v>
      </c>
      <c r="B34" s="20" t="s">
        <v>28</v>
      </c>
      <c r="C34" s="15"/>
      <c r="D34" s="16"/>
      <c r="E34" s="13">
        <v>175.0</v>
      </c>
      <c r="F34" s="13">
        <v>132.0</v>
      </c>
      <c r="G34" s="13">
        <v>159.0</v>
      </c>
      <c r="H34" s="13">
        <v>193.0</v>
      </c>
      <c r="I34" s="13">
        <v>204.0</v>
      </c>
      <c r="J34" s="13">
        <v>183.0</v>
      </c>
      <c r="K34" s="13">
        <v>216.0</v>
      </c>
      <c r="L34" s="13">
        <v>179.0</v>
      </c>
      <c r="M34" s="13">
        <v>201.0</v>
      </c>
      <c r="N34" s="13">
        <v>217.0</v>
      </c>
      <c r="O34" s="13">
        <v>215.0</v>
      </c>
      <c r="P34" s="13">
        <v>202.0</v>
      </c>
      <c r="Q34" s="13">
        <v>199.0</v>
      </c>
      <c r="R34" s="13">
        <v>139.0</v>
      </c>
      <c r="S34" s="13">
        <f t="shared" si="10"/>
        <v>2614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3.0</v>
      </c>
      <c r="K35" s="19">
        <v>0.0</v>
      </c>
      <c r="L35" s="19">
        <v>0.0</v>
      </c>
      <c r="M35" s="19">
        <v>1.0</v>
      </c>
      <c r="N35" s="19">
        <v>0.0</v>
      </c>
      <c r="O35" s="19">
        <v>0.0</v>
      </c>
      <c r="P35" s="19">
        <v>1.0</v>
      </c>
      <c r="Q35" s="19">
        <v>0.0</v>
      </c>
      <c r="R35" s="19">
        <v>0.0</v>
      </c>
      <c r="S35" s="13">
        <f t="shared" si="10"/>
        <v>7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64</v>
      </c>
      <c r="F36" s="13">
        <f t="shared" si="11"/>
        <v>92</v>
      </c>
      <c r="G36" s="13">
        <f t="shared" si="11"/>
        <v>55</v>
      </c>
      <c r="H36" s="13">
        <f t="shared" si="11"/>
        <v>11</v>
      </c>
      <c r="I36" s="13">
        <f t="shared" si="11"/>
        <v>5</v>
      </c>
      <c r="J36" s="13">
        <f t="shared" si="11"/>
        <v>75</v>
      </c>
      <c r="K36" s="13">
        <f t="shared" si="11"/>
        <v>35</v>
      </c>
      <c r="L36" s="13">
        <f t="shared" si="11"/>
        <v>75</v>
      </c>
      <c r="M36" s="13">
        <f t="shared" si="11"/>
        <v>77</v>
      </c>
      <c r="N36" s="13">
        <f t="shared" si="11"/>
        <v>52</v>
      </c>
      <c r="O36" s="13">
        <f t="shared" si="11"/>
        <v>-3</v>
      </c>
      <c r="P36" s="13">
        <f t="shared" si="11"/>
        <v>69</v>
      </c>
      <c r="Q36" s="13">
        <f t="shared" si="11"/>
        <v>79</v>
      </c>
      <c r="R36" s="13">
        <f t="shared" si="11"/>
        <v>30</v>
      </c>
      <c r="S36" s="13">
        <f t="shared" si="10"/>
        <v>716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84"/>
      <c r="R37" s="19"/>
      <c r="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13"/>
      <c r="S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>
        <v>1.0</v>
      </c>
      <c r="Q39" s="19"/>
      <c r="R39" s="19"/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1</v>
      </c>
      <c r="Q41" s="13">
        <f t="shared" si="13"/>
        <v>0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19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13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19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5.0</v>
      </c>
      <c r="G45" s="19">
        <v>7.0</v>
      </c>
      <c r="H45" s="19">
        <v>7.0</v>
      </c>
      <c r="I45" s="19">
        <v>3.0</v>
      </c>
      <c r="J45" s="19">
        <v>1.0</v>
      </c>
      <c r="K45" s="19">
        <v>9.0</v>
      </c>
      <c r="L45" s="19">
        <v>7.0</v>
      </c>
      <c r="M45" s="19">
        <v>1.0</v>
      </c>
      <c r="N45" s="19">
        <v>2.0</v>
      </c>
      <c r="O45" s="19">
        <v>4.0</v>
      </c>
      <c r="P45" s="19">
        <v>6.0</v>
      </c>
      <c r="Q45" s="19">
        <v>2.0</v>
      </c>
      <c r="R45" s="19">
        <v>19.0</v>
      </c>
      <c r="S45" s="13">
        <f t="shared" ref="S45:S54" si="14">SUM(E45:R45)</f>
        <v>81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36.0</v>
      </c>
      <c r="F46" s="19">
        <v>17.0</v>
      </c>
      <c r="G46" s="19">
        <v>7.0</v>
      </c>
      <c r="H46" s="19">
        <v>28.0</v>
      </c>
      <c r="I46" s="19">
        <v>19.0</v>
      </c>
      <c r="J46" s="19">
        <v>6.0</v>
      </c>
      <c r="K46" s="19">
        <v>55.0</v>
      </c>
      <c r="L46" s="19">
        <v>31.0</v>
      </c>
      <c r="M46" s="19">
        <v>10.0</v>
      </c>
      <c r="N46" s="19">
        <v>4.0</v>
      </c>
      <c r="O46" s="19">
        <v>5.0</v>
      </c>
      <c r="P46" s="19">
        <v>11.0</v>
      </c>
      <c r="Q46" s="19">
        <v>7.0</v>
      </c>
      <c r="R46" s="19">
        <v>24.0</v>
      </c>
      <c r="S46" s="13">
        <f t="shared" si="14"/>
        <v>260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1.0</v>
      </c>
      <c r="H47" s="19">
        <v>0.0</v>
      </c>
      <c r="I47" s="19">
        <v>0.0</v>
      </c>
      <c r="J47" s="19">
        <v>1.0</v>
      </c>
      <c r="K47" s="19">
        <v>1.0</v>
      </c>
      <c r="L47" s="19">
        <v>0.0</v>
      </c>
      <c r="M47" s="19">
        <v>5.0</v>
      </c>
      <c r="N47" s="19">
        <v>3.0</v>
      </c>
      <c r="O47" s="19">
        <v>1.0</v>
      </c>
      <c r="P47" s="19">
        <v>0.0</v>
      </c>
      <c r="Q47" s="19">
        <v>0.0</v>
      </c>
      <c r="R47" s="19">
        <v>2.0</v>
      </c>
      <c r="S47" s="13">
        <f t="shared" si="14"/>
        <v>16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0.0</v>
      </c>
      <c r="J48" s="19">
        <v>0.0</v>
      </c>
      <c r="K48" s="19">
        <v>1.0</v>
      </c>
      <c r="L48" s="19">
        <v>0.0</v>
      </c>
      <c r="M48" s="19">
        <v>1.0</v>
      </c>
      <c r="N48" s="19">
        <v>0.0</v>
      </c>
      <c r="O48" s="19">
        <v>2.0</v>
      </c>
      <c r="P48" s="19">
        <v>0.0</v>
      </c>
      <c r="Q48" s="19">
        <v>1.0</v>
      </c>
      <c r="R48" s="19">
        <v>1.0</v>
      </c>
      <c r="S48" s="13">
        <f t="shared" si="14"/>
        <v>8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2.0</v>
      </c>
      <c r="I49" s="19">
        <v>0.0</v>
      </c>
      <c r="J49" s="19">
        <v>1.0</v>
      </c>
      <c r="K49" s="19">
        <v>2.0</v>
      </c>
      <c r="L49" s="19">
        <v>0.0</v>
      </c>
      <c r="M49" s="19">
        <v>0.0</v>
      </c>
      <c r="N49" s="19">
        <v>2.0</v>
      </c>
      <c r="O49" s="19">
        <v>0.0</v>
      </c>
      <c r="P49" s="19">
        <v>1.0</v>
      </c>
      <c r="Q49" s="19">
        <v>1.0</v>
      </c>
      <c r="R49" s="19">
        <v>0.0</v>
      </c>
      <c r="S49" s="13">
        <f t="shared" si="14"/>
        <v>9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0.0</v>
      </c>
      <c r="I50" s="19">
        <v>0.0</v>
      </c>
      <c r="J50" s="19">
        <v>0.0</v>
      </c>
      <c r="K50" s="19">
        <v>1.0</v>
      </c>
      <c r="L50" s="19">
        <v>1.0</v>
      </c>
      <c r="M50" s="19">
        <v>0.0</v>
      </c>
      <c r="N50" s="19">
        <v>1.0</v>
      </c>
      <c r="O50" s="19">
        <v>0.0</v>
      </c>
      <c r="P50" s="19">
        <v>0.0</v>
      </c>
      <c r="Q50" s="19">
        <v>0.0</v>
      </c>
      <c r="R50" s="19">
        <v>0.0</v>
      </c>
      <c r="S50" s="13">
        <f t="shared" si="14"/>
        <v>5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2.0</v>
      </c>
      <c r="Q52" s="19">
        <v>0.0</v>
      </c>
      <c r="R52" s="19">
        <v>0.0</v>
      </c>
      <c r="S52" s="13">
        <f t="shared" si="14"/>
        <v>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SUM(E45:E54)</f>
        <v>46</v>
      </c>
      <c r="F55" s="13">
        <f t="shared" si="15"/>
        <v>24</v>
      </c>
      <c r="G55" s="13">
        <f t="shared" si="15"/>
        <v>16</v>
      </c>
      <c r="H55" s="13">
        <f t="shared" si="15"/>
        <v>39</v>
      </c>
      <c r="I55" s="13">
        <f t="shared" si="15"/>
        <v>23</v>
      </c>
      <c r="J55" s="13">
        <f t="shared" si="15"/>
        <v>9</v>
      </c>
      <c r="K55" s="13">
        <f t="shared" si="15"/>
        <v>69</v>
      </c>
      <c r="L55" s="13">
        <f t="shared" si="15"/>
        <v>39</v>
      </c>
      <c r="M55" s="13">
        <f t="shared" si="15"/>
        <v>17</v>
      </c>
      <c r="N55" s="13">
        <f t="shared" si="15"/>
        <v>12</v>
      </c>
      <c r="O55" s="13">
        <f t="shared" si="15"/>
        <v>12</v>
      </c>
      <c r="P55" s="13">
        <f t="shared" si="15"/>
        <v>20</v>
      </c>
      <c r="Q55" s="13">
        <f t="shared" si="15"/>
        <v>11</v>
      </c>
      <c r="R55" s="13">
        <f t="shared" si="15"/>
        <v>46</v>
      </c>
      <c r="S55" s="13">
        <f t="shared" si="15"/>
        <v>383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10.0</v>
      </c>
      <c r="G57" s="19">
        <v>11.0</v>
      </c>
      <c r="H57" s="19">
        <v>24.0</v>
      </c>
      <c r="I57" s="19">
        <v>28.0</v>
      </c>
      <c r="J57" s="19">
        <v>50.0</v>
      </c>
      <c r="K57" s="19">
        <v>20.0</v>
      </c>
      <c r="L57" s="19">
        <v>20.0</v>
      </c>
      <c r="M57" s="19">
        <v>31.0</v>
      </c>
      <c r="N57" s="19">
        <v>24.0</v>
      </c>
      <c r="O57" s="19">
        <v>22.0</v>
      </c>
      <c r="P57" s="19">
        <v>21.0</v>
      </c>
      <c r="Q57" s="19">
        <v>26.0</v>
      </c>
      <c r="R57" s="19">
        <v>19.0</v>
      </c>
      <c r="S57" s="13">
        <f t="shared" ref="S57:S66" si="16">SUM(E57:R57)</f>
        <v>319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29.0</v>
      </c>
      <c r="F58" s="19">
        <v>21.0</v>
      </c>
      <c r="G58" s="19">
        <v>21.0</v>
      </c>
      <c r="H58" s="19">
        <v>32.0</v>
      </c>
      <c r="I58" s="19">
        <v>51.0</v>
      </c>
      <c r="J58" s="19">
        <v>58.0</v>
      </c>
      <c r="K58" s="19">
        <v>29.0</v>
      </c>
      <c r="L58" s="19">
        <v>18.0</v>
      </c>
      <c r="M58" s="19">
        <v>20.0</v>
      </c>
      <c r="N58" s="19">
        <v>24.0</v>
      </c>
      <c r="O58" s="19">
        <v>25.0</v>
      </c>
      <c r="P58" s="19">
        <v>31.0</v>
      </c>
      <c r="Q58" s="19">
        <v>19.0</v>
      </c>
      <c r="R58" s="19">
        <v>13.0</v>
      </c>
      <c r="S58" s="13">
        <f t="shared" si="16"/>
        <v>391</v>
      </c>
    </row>
    <row r="59" ht="12.75" customHeight="1">
      <c r="A59" s="18"/>
      <c r="B59" s="55">
        <v>2.0</v>
      </c>
      <c r="C59" s="50" t="s">
        <v>50</v>
      </c>
      <c r="D59" s="59"/>
      <c r="E59" s="19">
        <v>3.0</v>
      </c>
      <c r="F59" s="19">
        <v>9.0</v>
      </c>
      <c r="G59" s="19">
        <v>4.0</v>
      </c>
      <c r="H59" s="19">
        <v>7.0</v>
      </c>
      <c r="I59" s="19">
        <v>6.0</v>
      </c>
      <c r="J59" s="19">
        <v>4.0</v>
      </c>
      <c r="K59" s="19">
        <v>3.0</v>
      </c>
      <c r="L59" s="19">
        <v>5.0</v>
      </c>
      <c r="M59" s="19">
        <v>12.0</v>
      </c>
      <c r="N59" s="19">
        <v>2.0</v>
      </c>
      <c r="O59" s="19">
        <v>5.0</v>
      </c>
      <c r="P59" s="19">
        <v>9.0</v>
      </c>
      <c r="Q59" s="19">
        <v>11.0</v>
      </c>
      <c r="R59" s="19">
        <v>5.0</v>
      </c>
      <c r="S59" s="13">
        <f t="shared" si="16"/>
        <v>85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1.0</v>
      </c>
      <c r="G60" s="19">
        <v>0.0</v>
      </c>
      <c r="H60" s="19">
        <v>1.0</v>
      </c>
      <c r="I60" s="19">
        <v>0.0</v>
      </c>
      <c r="J60" s="19">
        <v>2.0</v>
      </c>
      <c r="K60" s="19">
        <v>3.0</v>
      </c>
      <c r="L60" s="19">
        <v>1.0</v>
      </c>
      <c r="M60" s="19">
        <v>4.0</v>
      </c>
      <c r="N60" s="19">
        <v>1.0</v>
      </c>
      <c r="O60" s="19">
        <v>0.0</v>
      </c>
      <c r="P60" s="19">
        <v>3.0</v>
      </c>
      <c r="Q60" s="19">
        <v>1.0</v>
      </c>
      <c r="R60" s="19">
        <v>2.0</v>
      </c>
      <c r="S60" s="13">
        <f t="shared" si="16"/>
        <v>22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2.0</v>
      </c>
      <c r="G61" s="19">
        <v>1.0</v>
      </c>
      <c r="H61" s="19">
        <v>1.0</v>
      </c>
      <c r="I61" s="19">
        <v>6.0</v>
      </c>
      <c r="J61" s="19">
        <v>5.0</v>
      </c>
      <c r="K61" s="19">
        <v>1.0</v>
      </c>
      <c r="L61" s="19">
        <v>3.0</v>
      </c>
      <c r="M61" s="19">
        <v>2.0</v>
      </c>
      <c r="N61" s="19">
        <v>2.0</v>
      </c>
      <c r="O61" s="19">
        <v>1.0</v>
      </c>
      <c r="P61" s="19">
        <v>3.0</v>
      </c>
      <c r="Q61" s="19">
        <v>4.0</v>
      </c>
      <c r="R61" s="19">
        <v>1.0</v>
      </c>
      <c r="S61" s="13">
        <f t="shared" si="16"/>
        <v>33</v>
      </c>
    </row>
    <row r="62" ht="12.75" customHeight="1">
      <c r="A62" s="18"/>
      <c r="B62" s="55">
        <v>5.0</v>
      </c>
      <c r="C62" s="50" t="s">
        <v>53</v>
      </c>
      <c r="D62" s="59"/>
      <c r="E62" s="19">
        <v>1.0</v>
      </c>
      <c r="F62" s="19">
        <v>0.0</v>
      </c>
      <c r="G62" s="19">
        <v>1.0</v>
      </c>
      <c r="H62" s="19">
        <v>1.0</v>
      </c>
      <c r="I62" s="19">
        <v>1.0</v>
      </c>
      <c r="J62" s="19">
        <v>1.0</v>
      </c>
      <c r="K62" s="19">
        <v>2.0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2.0</v>
      </c>
      <c r="R62" s="19">
        <v>1.0</v>
      </c>
      <c r="S62" s="13">
        <f t="shared" si="16"/>
        <v>11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2.0</v>
      </c>
      <c r="H63" s="19">
        <v>2.0</v>
      </c>
      <c r="I63" s="19">
        <v>3.0</v>
      </c>
      <c r="J63" s="19">
        <v>1.0</v>
      </c>
      <c r="K63" s="19">
        <v>0.0</v>
      </c>
      <c r="L63" s="19">
        <v>1.0</v>
      </c>
      <c r="M63" s="19">
        <v>1.0</v>
      </c>
      <c r="N63" s="19">
        <v>0.0</v>
      </c>
      <c r="O63" s="19">
        <v>3.0</v>
      </c>
      <c r="P63" s="19">
        <v>1.0</v>
      </c>
      <c r="Q63" s="19">
        <v>2.0</v>
      </c>
      <c r="R63" s="19">
        <v>1.0</v>
      </c>
      <c r="S63" s="13">
        <f t="shared" si="16"/>
        <v>18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3">
        <f t="shared" si="16"/>
        <v>1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SUM(E57:E66)</f>
        <v>51</v>
      </c>
      <c r="F67" s="13">
        <f t="shared" si="17"/>
        <v>43</v>
      </c>
      <c r="G67" s="13">
        <f t="shared" si="17"/>
        <v>40</v>
      </c>
      <c r="H67" s="13">
        <f t="shared" si="17"/>
        <v>69</v>
      </c>
      <c r="I67" s="13">
        <f t="shared" si="17"/>
        <v>95</v>
      </c>
      <c r="J67" s="13">
        <f t="shared" si="17"/>
        <v>121</v>
      </c>
      <c r="K67" s="13">
        <f t="shared" si="17"/>
        <v>58</v>
      </c>
      <c r="L67" s="13">
        <f t="shared" si="17"/>
        <v>48</v>
      </c>
      <c r="M67" s="13">
        <f t="shared" si="17"/>
        <v>70</v>
      </c>
      <c r="N67" s="13">
        <f t="shared" si="17"/>
        <v>53</v>
      </c>
      <c r="O67" s="13">
        <f t="shared" si="17"/>
        <v>56</v>
      </c>
      <c r="P67" s="13">
        <f t="shared" si="17"/>
        <v>69</v>
      </c>
      <c r="Q67" s="13">
        <f t="shared" si="17"/>
        <v>65</v>
      </c>
      <c r="R67" s="13">
        <f t="shared" si="17"/>
        <v>42</v>
      </c>
      <c r="S67" s="13">
        <f t="shared" si="17"/>
        <v>880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4.0</v>
      </c>
      <c r="G69" s="19">
        <v>3.0</v>
      </c>
      <c r="H69" s="19">
        <v>3.0</v>
      </c>
      <c r="I69" s="19">
        <v>3.0</v>
      </c>
      <c r="J69" s="19">
        <v>4.0</v>
      </c>
      <c r="K69" s="19">
        <v>3.0</v>
      </c>
      <c r="L69" s="19">
        <v>2.0</v>
      </c>
      <c r="M69" s="19">
        <v>2.0</v>
      </c>
      <c r="N69" s="19">
        <v>19.0</v>
      </c>
      <c r="O69" s="19">
        <v>10.0</v>
      </c>
      <c r="P69" s="19">
        <v>10.0</v>
      </c>
      <c r="Q69" s="19">
        <v>18.0</v>
      </c>
      <c r="R69" s="19">
        <v>4.0</v>
      </c>
      <c r="S69" s="13">
        <f t="shared" ref="S69:S78" si="18">SUM(E69:R69)</f>
        <v>88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9.0</v>
      </c>
      <c r="F70" s="19">
        <v>4.0</v>
      </c>
      <c r="G70" s="19">
        <v>2.0</v>
      </c>
      <c r="H70" s="19">
        <v>2.0</v>
      </c>
      <c r="I70" s="19">
        <v>0.0</v>
      </c>
      <c r="J70" s="19">
        <v>1.0</v>
      </c>
      <c r="K70" s="19">
        <v>5.0</v>
      </c>
      <c r="L70" s="19">
        <v>3.0</v>
      </c>
      <c r="M70" s="19">
        <v>10.0</v>
      </c>
      <c r="N70" s="19">
        <v>17.0</v>
      </c>
      <c r="O70" s="19">
        <v>5.0</v>
      </c>
      <c r="P70" s="19">
        <v>7.0</v>
      </c>
      <c r="Q70" s="19">
        <v>3.0</v>
      </c>
      <c r="R70" s="19">
        <v>2.0</v>
      </c>
      <c r="S70" s="13">
        <f t="shared" si="18"/>
        <v>70</v>
      </c>
    </row>
    <row r="71" ht="12.75" customHeight="1">
      <c r="A71" s="18"/>
      <c r="B71" s="55">
        <v>2.0</v>
      </c>
      <c r="C71" s="50" t="s">
        <v>58</v>
      </c>
      <c r="D71" s="60"/>
      <c r="E71" s="19">
        <v>1.0</v>
      </c>
      <c r="F71" s="19">
        <v>0.0</v>
      </c>
      <c r="G71" s="19">
        <v>1.0</v>
      </c>
      <c r="H71" s="19">
        <v>0.0</v>
      </c>
      <c r="I71" s="19">
        <v>0.0</v>
      </c>
      <c r="J71" s="19">
        <v>0.0</v>
      </c>
      <c r="K71" s="19">
        <v>1.0</v>
      </c>
      <c r="L71" s="19">
        <v>0.0</v>
      </c>
      <c r="M71" s="19">
        <v>4.0</v>
      </c>
      <c r="N71" s="19">
        <v>1.0</v>
      </c>
      <c r="O71" s="19">
        <v>2.0</v>
      </c>
      <c r="P71" s="19">
        <v>5.0</v>
      </c>
      <c r="Q71" s="19">
        <v>2.0</v>
      </c>
      <c r="R71" s="19">
        <v>0.0</v>
      </c>
      <c r="S71" s="13">
        <f t="shared" si="18"/>
        <v>17</v>
      </c>
    </row>
    <row r="72" ht="12.75" customHeight="1">
      <c r="A72" s="18"/>
      <c r="B72" s="55">
        <v>3.0</v>
      </c>
      <c r="C72" s="50" t="s">
        <v>59</v>
      </c>
      <c r="D72" s="60"/>
      <c r="E72" s="19">
        <v>0.0</v>
      </c>
      <c r="F72" s="19">
        <v>0.0</v>
      </c>
      <c r="G72" s="19">
        <v>5.0</v>
      </c>
      <c r="H72" s="19">
        <v>1.0</v>
      </c>
      <c r="I72" s="19">
        <v>11.0</v>
      </c>
      <c r="J72" s="19">
        <v>3.0</v>
      </c>
      <c r="K72" s="19">
        <v>0.0</v>
      </c>
      <c r="L72" s="19">
        <v>3.0</v>
      </c>
      <c r="M72" s="19">
        <v>31.0</v>
      </c>
      <c r="N72" s="19">
        <v>5.0</v>
      </c>
      <c r="O72" s="19">
        <v>50.0</v>
      </c>
      <c r="P72" s="19">
        <v>7.0</v>
      </c>
      <c r="Q72" s="19">
        <v>15.0</v>
      </c>
      <c r="R72" s="19">
        <v>0.0</v>
      </c>
      <c r="S72" s="13">
        <f t="shared" si="18"/>
        <v>131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0.0</v>
      </c>
      <c r="L73" s="19">
        <v>0.0</v>
      </c>
      <c r="M73" s="19">
        <v>1.0</v>
      </c>
      <c r="N73" s="19">
        <v>1.0</v>
      </c>
      <c r="O73" s="19">
        <v>1.0</v>
      </c>
      <c r="P73" s="19">
        <v>0.0</v>
      </c>
      <c r="Q73" s="19">
        <v>0.0</v>
      </c>
      <c r="R73" s="19">
        <v>0.0</v>
      </c>
      <c r="S73" s="13">
        <f t="shared" si="18"/>
        <v>4</v>
      </c>
    </row>
    <row r="74" ht="12.75" customHeight="1">
      <c r="A74" s="18"/>
      <c r="B74" s="55">
        <v>5.0</v>
      </c>
      <c r="C74" s="50" t="s">
        <v>61</v>
      </c>
      <c r="D74" s="60"/>
      <c r="E74" s="19">
        <v>16.0</v>
      </c>
      <c r="F74" s="19">
        <v>3.0</v>
      </c>
      <c r="G74" s="19">
        <v>28.0</v>
      </c>
      <c r="H74" s="19">
        <v>18.0</v>
      </c>
      <c r="I74" s="19">
        <v>20.0</v>
      </c>
      <c r="J74" s="19">
        <v>2.0</v>
      </c>
      <c r="K74" s="19">
        <v>17.0</v>
      </c>
      <c r="L74" s="19">
        <v>7.0</v>
      </c>
      <c r="M74" s="19">
        <v>1.0</v>
      </c>
      <c r="N74" s="19">
        <v>11.0</v>
      </c>
      <c r="O74" s="19">
        <v>6.0</v>
      </c>
      <c r="P74" s="19">
        <v>5.0</v>
      </c>
      <c r="Q74" s="19">
        <v>10.0</v>
      </c>
      <c r="R74" s="19">
        <v>0.0</v>
      </c>
      <c r="S74" s="13">
        <f t="shared" si="18"/>
        <v>144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0.0</v>
      </c>
      <c r="G75" s="19">
        <v>0.0</v>
      </c>
      <c r="H75" s="19">
        <v>0.0</v>
      </c>
      <c r="I75" s="19">
        <v>1.0</v>
      </c>
      <c r="J75" s="19">
        <v>0.0</v>
      </c>
      <c r="K75" s="19">
        <v>0.0</v>
      </c>
      <c r="L75" s="19">
        <v>1.0</v>
      </c>
      <c r="M75" s="19">
        <v>1.0</v>
      </c>
      <c r="N75" s="19">
        <v>3.0</v>
      </c>
      <c r="O75" s="19">
        <v>1.0</v>
      </c>
      <c r="P75" s="19">
        <v>0.0</v>
      </c>
      <c r="Q75" s="19">
        <v>0.0</v>
      </c>
      <c r="R75" s="19">
        <v>0.0</v>
      </c>
      <c r="S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0.0</v>
      </c>
      <c r="R76" s="19">
        <v>0.0</v>
      </c>
      <c r="S76" s="13">
        <f t="shared" si="18"/>
        <v>0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SUM(E69:E78)</f>
        <v>29</v>
      </c>
      <c r="F79" s="13">
        <f t="shared" si="19"/>
        <v>11</v>
      </c>
      <c r="G79" s="13">
        <f t="shared" si="19"/>
        <v>40</v>
      </c>
      <c r="H79" s="13">
        <f t="shared" si="19"/>
        <v>24</v>
      </c>
      <c r="I79" s="13">
        <f t="shared" si="19"/>
        <v>35</v>
      </c>
      <c r="J79" s="13">
        <f t="shared" si="19"/>
        <v>10</v>
      </c>
      <c r="K79" s="13">
        <f t="shared" si="19"/>
        <v>26</v>
      </c>
      <c r="L79" s="13">
        <f t="shared" si="19"/>
        <v>16</v>
      </c>
      <c r="M79" s="13">
        <f t="shared" si="19"/>
        <v>50</v>
      </c>
      <c r="N79" s="13">
        <f t="shared" si="19"/>
        <v>57</v>
      </c>
      <c r="O79" s="13">
        <f t="shared" si="19"/>
        <v>75</v>
      </c>
      <c r="P79" s="13">
        <f t="shared" si="19"/>
        <v>34</v>
      </c>
      <c r="Q79" s="13">
        <f t="shared" si="19"/>
        <v>48</v>
      </c>
      <c r="R79" s="13">
        <f t="shared" si="19"/>
        <v>6</v>
      </c>
      <c r="S79" s="13">
        <f t="shared" si="19"/>
        <v>461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2.0</v>
      </c>
      <c r="G81" s="19">
        <v>2.0</v>
      </c>
      <c r="H81" s="19">
        <v>1.0</v>
      </c>
      <c r="I81" s="19">
        <v>1.0</v>
      </c>
      <c r="J81" s="19">
        <v>2.0</v>
      </c>
      <c r="K81" s="19">
        <v>1.0</v>
      </c>
      <c r="L81" s="19">
        <v>4.0</v>
      </c>
      <c r="M81" s="19">
        <v>3.0</v>
      </c>
      <c r="N81" s="19">
        <v>7.0</v>
      </c>
      <c r="O81" s="19">
        <v>1.0</v>
      </c>
      <c r="P81" s="19">
        <v>2.0</v>
      </c>
      <c r="Q81" s="19">
        <v>4.0</v>
      </c>
      <c r="R81" s="19">
        <v>1.0</v>
      </c>
      <c r="S81" s="13">
        <f t="shared" ref="S81:S90" si="20">SUM(E81:R81)</f>
        <v>32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4.0</v>
      </c>
      <c r="G82" s="19">
        <v>8.0</v>
      </c>
      <c r="H82" s="19">
        <v>1.0</v>
      </c>
      <c r="I82" s="19">
        <v>3.0</v>
      </c>
      <c r="J82" s="19">
        <v>1.0</v>
      </c>
      <c r="K82" s="19">
        <v>6.0</v>
      </c>
      <c r="L82" s="19">
        <v>28.0</v>
      </c>
      <c r="M82" s="19">
        <v>2.0</v>
      </c>
      <c r="N82" s="19">
        <v>16.0</v>
      </c>
      <c r="O82" s="19">
        <v>3.0</v>
      </c>
      <c r="P82" s="19">
        <v>8.0</v>
      </c>
      <c r="Q82" s="19">
        <v>11.0</v>
      </c>
      <c r="R82" s="19">
        <v>4.0</v>
      </c>
      <c r="S82" s="13">
        <f t="shared" si="20"/>
        <v>96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2.0</v>
      </c>
      <c r="G83" s="19">
        <v>1.0</v>
      </c>
      <c r="H83" s="19">
        <v>4.0</v>
      </c>
      <c r="I83" s="19">
        <v>0.0</v>
      </c>
      <c r="J83" s="19">
        <v>0.0</v>
      </c>
      <c r="K83" s="19">
        <v>0.0</v>
      </c>
      <c r="L83" s="19">
        <v>0.0</v>
      </c>
      <c r="M83" s="19">
        <v>1.0</v>
      </c>
      <c r="N83" s="19">
        <v>2.0</v>
      </c>
      <c r="O83" s="19">
        <v>1.0</v>
      </c>
      <c r="P83" s="19">
        <v>5.0</v>
      </c>
      <c r="Q83" s="19">
        <v>4.0</v>
      </c>
      <c r="R83" s="19">
        <v>0.0</v>
      </c>
      <c r="S83" s="13">
        <f t="shared" si="20"/>
        <v>20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0.0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0.0</v>
      </c>
      <c r="H85" s="19">
        <v>0.0</v>
      </c>
      <c r="I85" s="19">
        <v>0.0</v>
      </c>
      <c r="J85" s="19">
        <v>0.0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1.0</v>
      </c>
      <c r="S85" s="13">
        <f t="shared" si="20"/>
        <v>2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1.0</v>
      </c>
      <c r="N86" s="19">
        <v>0.0</v>
      </c>
      <c r="O86" s="19">
        <v>0.0</v>
      </c>
      <c r="P86" s="19">
        <v>5.0</v>
      </c>
      <c r="Q86" s="19">
        <v>0.0</v>
      </c>
      <c r="R86" s="19">
        <v>0.0</v>
      </c>
      <c r="S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SUM(E81:E90)</f>
        <v>2</v>
      </c>
      <c r="F91" s="13">
        <f t="shared" si="21"/>
        <v>8</v>
      </c>
      <c r="G91" s="13">
        <f t="shared" si="21"/>
        <v>12</v>
      </c>
      <c r="H91" s="13">
        <f t="shared" si="21"/>
        <v>6</v>
      </c>
      <c r="I91" s="13">
        <f t="shared" si="21"/>
        <v>4</v>
      </c>
      <c r="J91" s="13">
        <f t="shared" si="21"/>
        <v>3</v>
      </c>
      <c r="K91" s="13">
        <f t="shared" si="21"/>
        <v>7</v>
      </c>
      <c r="L91" s="13">
        <f t="shared" si="21"/>
        <v>32</v>
      </c>
      <c r="M91" s="13">
        <f t="shared" si="21"/>
        <v>7</v>
      </c>
      <c r="N91" s="13">
        <f t="shared" si="21"/>
        <v>27</v>
      </c>
      <c r="O91" s="13">
        <f t="shared" si="21"/>
        <v>5</v>
      </c>
      <c r="P91" s="13">
        <f t="shared" si="21"/>
        <v>20</v>
      </c>
      <c r="Q91" s="13">
        <f t="shared" si="21"/>
        <v>19</v>
      </c>
      <c r="R91" s="13">
        <f t="shared" si="21"/>
        <v>6</v>
      </c>
      <c r="S91" s="13">
        <f t="shared" si="21"/>
        <v>158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3.0</v>
      </c>
      <c r="H93" s="19">
        <v>2.0</v>
      </c>
      <c r="I93" s="19">
        <v>1.0</v>
      </c>
      <c r="J93" s="19">
        <v>0.0</v>
      </c>
      <c r="K93" s="19">
        <v>0.0</v>
      </c>
      <c r="L93" s="19">
        <v>1.0</v>
      </c>
      <c r="M93" s="19">
        <v>0.0</v>
      </c>
      <c r="N93" s="19">
        <v>0.0</v>
      </c>
      <c r="O93" s="19">
        <v>0.0</v>
      </c>
      <c r="P93" s="19">
        <v>0.0</v>
      </c>
      <c r="Q93" s="19">
        <v>1.0</v>
      </c>
      <c r="R93" s="19">
        <v>0.0</v>
      </c>
      <c r="S93" s="13">
        <f t="shared" ref="S93:S102" si="22">SUM(E93:R93)</f>
        <v>9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2.0</v>
      </c>
      <c r="H94" s="19">
        <v>1.0</v>
      </c>
      <c r="I94" s="19">
        <v>0.0</v>
      </c>
      <c r="J94" s="19">
        <v>0.0</v>
      </c>
      <c r="K94" s="19">
        <v>0.0</v>
      </c>
      <c r="L94" s="19">
        <v>0.0</v>
      </c>
      <c r="M94" s="19">
        <v>1.0</v>
      </c>
      <c r="N94" s="19">
        <v>2.0</v>
      </c>
      <c r="O94" s="19">
        <v>0.0</v>
      </c>
      <c r="P94" s="19">
        <v>0.0</v>
      </c>
      <c r="Q94" s="19">
        <v>2.0</v>
      </c>
      <c r="R94" s="19">
        <v>0.0</v>
      </c>
      <c r="S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60"/>
      <c r="E95" s="19">
        <v>12.0</v>
      </c>
      <c r="F95" s="19">
        <v>10.0</v>
      </c>
      <c r="G95" s="19">
        <v>8.0</v>
      </c>
      <c r="H95" s="19">
        <v>2.0</v>
      </c>
      <c r="I95" s="19">
        <v>1.0</v>
      </c>
      <c r="J95" s="19">
        <v>0.0</v>
      </c>
      <c r="K95" s="19">
        <v>0.0</v>
      </c>
      <c r="L95" s="19">
        <v>0.0</v>
      </c>
      <c r="M95" s="19">
        <v>3.0</v>
      </c>
      <c r="N95" s="19">
        <v>2.0</v>
      </c>
      <c r="O95" s="19">
        <v>1.0</v>
      </c>
      <c r="P95" s="19">
        <v>3.0</v>
      </c>
      <c r="Q95" s="19">
        <v>0.0</v>
      </c>
      <c r="R95" s="19">
        <v>0.0</v>
      </c>
      <c r="S95" s="13">
        <f t="shared" si="22"/>
        <v>42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60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9">
        <v>0.0</v>
      </c>
      <c r="R97" s="19">
        <v>0.0</v>
      </c>
      <c r="S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1.0</v>
      </c>
      <c r="N98" s="19">
        <v>0.0</v>
      </c>
      <c r="O98" s="19">
        <v>0.0</v>
      </c>
      <c r="P98" s="19">
        <v>1.0</v>
      </c>
      <c r="Q98" s="19">
        <v>1.0</v>
      </c>
      <c r="R98" s="19">
        <v>0.0</v>
      </c>
      <c r="S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SUM(E93:E102)</f>
        <v>14</v>
      </c>
      <c r="F103" s="13">
        <f t="shared" si="23"/>
        <v>11</v>
      </c>
      <c r="G103" s="13">
        <f t="shared" si="23"/>
        <v>14</v>
      </c>
      <c r="H103" s="13">
        <f t="shared" si="23"/>
        <v>5</v>
      </c>
      <c r="I103" s="13">
        <f t="shared" si="23"/>
        <v>2</v>
      </c>
      <c r="J103" s="13">
        <f t="shared" si="23"/>
        <v>0</v>
      </c>
      <c r="K103" s="13">
        <f t="shared" si="23"/>
        <v>0</v>
      </c>
      <c r="L103" s="13">
        <f t="shared" si="23"/>
        <v>1</v>
      </c>
      <c r="M103" s="13">
        <f t="shared" si="23"/>
        <v>6</v>
      </c>
      <c r="N103" s="13">
        <f t="shared" si="23"/>
        <v>4</v>
      </c>
      <c r="O103" s="13">
        <f t="shared" si="23"/>
        <v>1</v>
      </c>
      <c r="P103" s="13">
        <f t="shared" si="23"/>
        <v>5</v>
      </c>
      <c r="Q103" s="13">
        <f t="shared" si="23"/>
        <v>4</v>
      </c>
      <c r="R103" s="13">
        <f t="shared" si="23"/>
        <v>0</v>
      </c>
      <c r="S103" s="13">
        <f t="shared" si="23"/>
        <v>67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2.0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3">
        <f t="shared" ref="S105:S114" si="24">SUM(E105:R105)</f>
        <v>2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1.0</v>
      </c>
      <c r="K106" s="19">
        <v>1.0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2.0</v>
      </c>
      <c r="P107" s="19">
        <v>1.0</v>
      </c>
      <c r="Q107" s="19">
        <v>0.0</v>
      </c>
      <c r="R107" s="19">
        <v>0.0</v>
      </c>
      <c r="S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2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2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7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1.0</v>
      </c>
      <c r="L117" s="19">
        <v>0.0</v>
      </c>
      <c r="M117" s="19">
        <v>1.0</v>
      </c>
      <c r="N117" s="19">
        <v>0.0</v>
      </c>
      <c r="O117" s="19">
        <v>0.0</v>
      </c>
      <c r="P117" s="19">
        <v>0.0</v>
      </c>
      <c r="Q117" s="19">
        <v>0.0</v>
      </c>
      <c r="R117" s="19"/>
      <c r="S117" s="13">
        <f t="shared" ref="S117:S126" si="26">SUM(E117:R117)</f>
        <v>2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/>
      <c r="S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/>
      <c r="S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/>
      <c r="S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0</v>
      </c>
      <c r="M127" s="13">
        <f t="shared" si="27"/>
        <v>1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1.0</v>
      </c>
      <c r="L129" s="19">
        <v>1.0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/>
      <c r="S129" s="13">
        <f t="shared" ref="S129:S138" si="28">SUM(E129:R129)</f>
        <v>3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1.0</v>
      </c>
      <c r="H130" s="19">
        <v>1.0</v>
      </c>
      <c r="I130" s="19">
        <v>0.0</v>
      </c>
      <c r="J130" s="19">
        <v>0.0</v>
      </c>
      <c r="K130" s="19">
        <v>1.0</v>
      </c>
      <c r="L130" s="19">
        <v>0.0</v>
      </c>
      <c r="M130" s="19">
        <v>0.0</v>
      </c>
      <c r="N130" s="19">
        <v>0.0</v>
      </c>
      <c r="O130" s="19">
        <v>0.0</v>
      </c>
      <c r="P130" s="19">
        <v>0.0</v>
      </c>
      <c r="Q130" s="19">
        <v>0.0</v>
      </c>
      <c r="R130" s="19"/>
      <c r="S130" s="13">
        <f t="shared" si="28"/>
        <v>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2.0</v>
      </c>
      <c r="M131" s="19">
        <v>1.0</v>
      </c>
      <c r="N131" s="19">
        <v>0.0</v>
      </c>
      <c r="O131" s="19">
        <v>0.0</v>
      </c>
      <c r="P131" s="19">
        <v>0.0</v>
      </c>
      <c r="Q131" s="19">
        <v>0.0</v>
      </c>
      <c r="R131" s="19"/>
      <c r="S131" s="13">
        <f t="shared" si="28"/>
        <v>4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/>
      <c r="S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/>
      <c r="S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/>
      <c r="S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/>
      <c r="S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/>
      <c r="S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SUM(E129:E138)</f>
        <v>1</v>
      </c>
      <c r="F139" s="13">
        <f t="shared" si="29"/>
        <v>0</v>
      </c>
      <c r="G139" s="13">
        <f t="shared" si="29"/>
        <v>2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2</v>
      </c>
      <c r="L139" s="13">
        <f t="shared" si="29"/>
        <v>3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10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3">
        <f t="shared" ref="S141:S150" si="30">SUM(E141:R141)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1.0</v>
      </c>
      <c r="Q142" s="19">
        <v>0.0</v>
      </c>
      <c r="R142" s="19">
        <v>0.0</v>
      </c>
      <c r="S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ref="S153:S157" si="32">SUM(E153:R153)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si="32"/>
        <v>1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 t="shared" ref="S158:S162" si="33">SUM(E164:R164)</f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>
        <f t="shared" si="33"/>
        <v>1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3"/>
        <v>1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2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S163" si="34">SUM(E153:E162)</f>
        <v>1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7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1.0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/>
      <c r="S165" s="13">
        <f t="shared" ref="S165:S174" si="35">SUM(E165:R165)</f>
        <v>1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/>
      <c r="S166" s="13">
        <f t="shared" si="35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1.0</v>
      </c>
      <c r="Q167" s="19">
        <v>0.0</v>
      </c>
      <c r="R167" s="19"/>
      <c r="S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1.0</v>
      </c>
      <c r="G168" s="19">
        <v>1.0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/>
      <c r="S168" s="13">
        <f t="shared" si="35"/>
        <v>2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/>
      <c r="S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/>
      <c r="S170" s="13">
        <f t="shared" si="35"/>
        <v>1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/>
      <c r="S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/>
      <c r="S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6">SUM(E165:E174)</f>
        <v>1</v>
      </c>
      <c r="F175" s="13">
        <f t="shared" si="36"/>
        <v>3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6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1.0</v>
      </c>
      <c r="P177" s="19">
        <v>0.0</v>
      </c>
      <c r="Q177" s="19">
        <v>0.0</v>
      </c>
      <c r="R177" s="19"/>
      <c r="S177" s="13">
        <f t="shared" ref="S177:S186" si="37">SUM(E177:R177)</f>
        <v>1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1.0</v>
      </c>
      <c r="Q178" s="19">
        <v>0.0</v>
      </c>
      <c r="R178" s="19"/>
      <c r="S178" s="13">
        <f t="shared" si="37"/>
        <v>1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/>
      <c r="S179" s="13">
        <f t="shared" si="37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/>
      <c r="S180" s="13">
        <f t="shared" si="37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/>
      <c r="S181" s="13">
        <f t="shared" si="37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/>
      <c r="S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/>
      <c r="S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1.0</v>
      </c>
      <c r="Q184" s="19">
        <v>0.0</v>
      </c>
      <c r="R184" s="19"/>
      <c r="S184" s="13">
        <f t="shared" si="37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8">SUM(E177:E186)</f>
        <v>0</v>
      </c>
      <c r="F187" s="13">
        <f t="shared" si="38"/>
        <v>0</v>
      </c>
      <c r="G187" s="13">
        <f t="shared" si="38"/>
        <v>0</v>
      </c>
      <c r="H187" s="13">
        <f t="shared" si="38"/>
        <v>1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1</v>
      </c>
      <c r="P187" s="13">
        <f t="shared" si="38"/>
        <v>3</v>
      </c>
      <c r="Q187" s="13">
        <f t="shared" si="38"/>
        <v>0</v>
      </c>
      <c r="R187" s="13">
        <f t="shared" si="38"/>
        <v>0</v>
      </c>
      <c r="S187" s="13">
        <f t="shared" si="38"/>
        <v>5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R188" s="78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3">
        <f t="shared" ref="S189:S198" si="39">SUM(E189:R189)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1.0</v>
      </c>
      <c r="O191" s="19">
        <v>0.0</v>
      </c>
      <c r="P191" s="19">
        <v>0.0</v>
      </c>
      <c r="Q191" s="19">
        <v>0.0</v>
      </c>
      <c r="R191" s="19">
        <v>0.0</v>
      </c>
      <c r="S191" s="13">
        <f t="shared" si="39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1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4.0</v>
      </c>
      <c r="F201" s="19">
        <v>1.0</v>
      </c>
      <c r="G201" s="19">
        <v>5.0</v>
      </c>
      <c r="H201" s="19">
        <v>4.0</v>
      </c>
      <c r="I201" s="19">
        <v>0.0</v>
      </c>
      <c r="J201" s="19">
        <v>0.0</v>
      </c>
      <c r="K201" s="19">
        <v>0.0</v>
      </c>
      <c r="L201" s="19">
        <v>0.0</v>
      </c>
      <c r="M201" s="19">
        <v>2.0</v>
      </c>
      <c r="N201" s="19">
        <v>1.0</v>
      </c>
      <c r="O201" s="19">
        <v>1.0</v>
      </c>
      <c r="P201" s="19">
        <v>1.0</v>
      </c>
      <c r="Q201" s="19">
        <v>1.0</v>
      </c>
      <c r="R201" s="19">
        <v>1.0</v>
      </c>
      <c r="S201" s="13">
        <f t="shared" ref="S201:S210" si="41">SUM(E201:R201)</f>
        <v>21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7.0</v>
      </c>
      <c r="F202" s="19">
        <v>1.0</v>
      </c>
      <c r="G202" s="19">
        <v>4.0</v>
      </c>
      <c r="H202" s="19">
        <v>6.0</v>
      </c>
      <c r="I202" s="19">
        <v>0.0</v>
      </c>
      <c r="J202" s="19">
        <v>2.0</v>
      </c>
      <c r="K202" s="19">
        <v>0.0</v>
      </c>
      <c r="L202" s="19">
        <v>7.0</v>
      </c>
      <c r="M202" s="19">
        <v>3.0</v>
      </c>
      <c r="N202" s="19">
        <v>2.0</v>
      </c>
      <c r="O202" s="19">
        <v>1.0</v>
      </c>
      <c r="P202" s="19">
        <v>3.0</v>
      </c>
      <c r="Q202" s="19">
        <v>2.0</v>
      </c>
      <c r="R202" s="19">
        <v>2.0</v>
      </c>
      <c r="S202" s="13">
        <f t="shared" si="41"/>
        <v>40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1.0</v>
      </c>
      <c r="G203" s="19">
        <v>1.0</v>
      </c>
      <c r="H203" s="19">
        <v>2.0</v>
      </c>
      <c r="I203" s="19">
        <v>0.0</v>
      </c>
      <c r="J203" s="19">
        <v>0.0</v>
      </c>
      <c r="K203" s="19">
        <v>0.0</v>
      </c>
      <c r="L203" s="19">
        <v>1.0</v>
      </c>
      <c r="M203" s="19">
        <v>0.0</v>
      </c>
      <c r="N203" s="19">
        <v>1.0</v>
      </c>
      <c r="O203" s="19">
        <v>0.0</v>
      </c>
      <c r="P203" s="19">
        <v>0.0</v>
      </c>
      <c r="Q203" s="19">
        <v>2.0</v>
      </c>
      <c r="R203" s="19">
        <v>1.0</v>
      </c>
      <c r="S203" s="13">
        <f t="shared" si="41"/>
        <v>9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1.0</v>
      </c>
      <c r="S204" s="13">
        <f t="shared" si="41"/>
        <v>2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1.0</v>
      </c>
      <c r="M205" s="19">
        <v>0.0</v>
      </c>
      <c r="N205" s="19">
        <v>0.0</v>
      </c>
      <c r="O205" s="19">
        <v>0.0</v>
      </c>
      <c r="P205" s="19">
        <v>1.0</v>
      </c>
      <c r="Q205" s="19">
        <v>0.0</v>
      </c>
      <c r="R205" s="19">
        <v>0.0</v>
      </c>
      <c r="S205" s="13">
        <f t="shared" si="41"/>
        <v>3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1.0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0.0</v>
      </c>
      <c r="R206" s="19">
        <v>0.0</v>
      </c>
      <c r="S206" s="13">
        <f t="shared" si="41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1.0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1.0</v>
      </c>
      <c r="N208" s="19">
        <v>1.0</v>
      </c>
      <c r="O208" s="19">
        <v>0.0</v>
      </c>
      <c r="P208" s="19">
        <v>2.0</v>
      </c>
      <c r="Q208" s="19">
        <v>2.0</v>
      </c>
      <c r="R208" s="19">
        <v>1.0</v>
      </c>
      <c r="S208" s="13">
        <f t="shared" si="41"/>
        <v>8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2">SUM(E201:E210)</f>
        <v>11</v>
      </c>
      <c r="F211" s="13">
        <f t="shared" si="42"/>
        <v>3</v>
      </c>
      <c r="G211" s="13">
        <f t="shared" si="42"/>
        <v>11</v>
      </c>
      <c r="H211" s="13">
        <f t="shared" si="42"/>
        <v>13</v>
      </c>
      <c r="I211" s="13">
        <f t="shared" si="42"/>
        <v>0</v>
      </c>
      <c r="J211" s="13">
        <f t="shared" si="42"/>
        <v>3</v>
      </c>
      <c r="K211" s="13">
        <f t="shared" si="42"/>
        <v>0</v>
      </c>
      <c r="L211" s="13">
        <f t="shared" si="42"/>
        <v>10</v>
      </c>
      <c r="M211" s="13">
        <f t="shared" si="42"/>
        <v>6</v>
      </c>
      <c r="N211" s="13">
        <f t="shared" si="42"/>
        <v>5</v>
      </c>
      <c r="O211" s="13">
        <f t="shared" si="42"/>
        <v>2</v>
      </c>
      <c r="P211" s="13">
        <f t="shared" si="42"/>
        <v>7</v>
      </c>
      <c r="Q211" s="13">
        <f t="shared" si="42"/>
        <v>7</v>
      </c>
      <c r="R211" s="13">
        <f t="shared" si="42"/>
        <v>6</v>
      </c>
      <c r="S211" s="13">
        <f t="shared" si="42"/>
        <v>84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2.0</v>
      </c>
      <c r="I213" s="19">
        <v>1.0</v>
      </c>
      <c r="J213" s="19">
        <v>0.0</v>
      </c>
      <c r="K213" s="19">
        <v>1.0</v>
      </c>
      <c r="L213" s="19">
        <v>0.0</v>
      </c>
      <c r="M213" s="19">
        <v>1.0</v>
      </c>
      <c r="N213" s="19">
        <v>0.0</v>
      </c>
      <c r="O213" s="19">
        <v>0.0</v>
      </c>
      <c r="P213" s="19">
        <v>6.0</v>
      </c>
      <c r="Q213" s="19">
        <v>4.0</v>
      </c>
      <c r="R213" s="19">
        <v>0.0</v>
      </c>
      <c r="S213" s="13">
        <f t="shared" ref="S213:S222" si="43">SUM(E213:R213)</f>
        <v>15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0.0</v>
      </c>
      <c r="G214" s="19">
        <v>0.0</v>
      </c>
      <c r="H214" s="19">
        <v>0.0</v>
      </c>
      <c r="I214" s="19">
        <v>1.0</v>
      </c>
      <c r="J214" s="19">
        <v>0.0</v>
      </c>
      <c r="K214" s="19">
        <v>2.0</v>
      </c>
      <c r="L214" s="19">
        <v>0.0</v>
      </c>
      <c r="M214" s="19">
        <v>0.0</v>
      </c>
      <c r="N214" s="19">
        <v>0.0</v>
      </c>
      <c r="O214" s="19">
        <v>1.0</v>
      </c>
      <c r="P214" s="19">
        <v>1.0</v>
      </c>
      <c r="Q214" s="19">
        <v>2.0</v>
      </c>
      <c r="R214" s="19">
        <v>0.0</v>
      </c>
      <c r="S214" s="13">
        <f t="shared" si="43"/>
        <v>8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1.0</v>
      </c>
      <c r="H215" s="19">
        <v>3.0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1.0</v>
      </c>
      <c r="P215" s="19">
        <v>4.0</v>
      </c>
      <c r="Q215" s="19">
        <v>1.0</v>
      </c>
      <c r="R215" s="19">
        <v>0.0</v>
      </c>
      <c r="S215" s="13">
        <f t="shared" si="43"/>
        <v>10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1.0</v>
      </c>
      <c r="L216" s="19">
        <v>0.0</v>
      </c>
      <c r="M216" s="19">
        <v>0.0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3">
        <f t="shared" si="43"/>
        <v>2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4">SUM(E213:E222)</f>
        <v>1</v>
      </c>
      <c r="F223" s="13">
        <f t="shared" si="44"/>
        <v>0</v>
      </c>
      <c r="G223" s="13">
        <f t="shared" si="44"/>
        <v>1</v>
      </c>
      <c r="H223" s="13">
        <f t="shared" si="44"/>
        <v>5</v>
      </c>
      <c r="I223" s="13">
        <f t="shared" si="44"/>
        <v>2</v>
      </c>
      <c r="J223" s="13">
        <f t="shared" si="44"/>
        <v>0</v>
      </c>
      <c r="K223" s="13">
        <f t="shared" si="44"/>
        <v>4</v>
      </c>
      <c r="L223" s="13">
        <f t="shared" si="44"/>
        <v>0</v>
      </c>
      <c r="M223" s="13">
        <f t="shared" si="44"/>
        <v>1</v>
      </c>
      <c r="N223" s="13">
        <f t="shared" si="44"/>
        <v>0</v>
      </c>
      <c r="O223" s="13">
        <f t="shared" si="44"/>
        <v>2</v>
      </c>
      <c r="P223" s="13">
        <f t="shared" si="44"/>
        <v>12</v>
      </c>
      <c r="Q223" s="13">
        <f t="shared" si="44"/>
        <v>7</v>
      </c>
      <c r="R223" s="13">
        <f t="shared" si="44"/>
        <v>0</v>
      </c>
      <c r="S223" s="13">
        <f t="shared" si="44"/>
        <v>35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1.0</v>
      </c>
      <c r="P225" s="19">
        <v>0.0</v>
      </c>
      <c r="Q225" s="19">
        <v>0.0</v>
      </c>
      <c r="R225" s="19">
        <v>0.0</v>
      </c>
      <c r="S225" s="13">
        <f t="shared" ref="S225:S234" si="45">SUM(E225:R225)</f>
        <v>2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1.0</v>
      </c>
      <c r="F226" s="19">
        <v>0.0</v>
      </c>
      <c r="G226" s="19">
        <v>0.0</v>
      </c>
      <c r="H226" s="19">
        <v>0.0</v>
      </c>
      <c r="I226" s="19">
        <v>5.0</v>
      </c>
      <c r="J226" s="19">
        <v>0.0</v>
      </c>
      <c r="K226" s="19">
        <v>0.0</v>
      </c>
      <c r="L226" s="19">
        <v>1.0</v>
      </c>
      <c r="M226" s="19">
        <v>1.0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3">
        <f t="shared" si="45"/>
        <v>8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1.0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5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5"/>
        <v>1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5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6">SUM(E225:E234)</f>
        <v>1</v>
      </c>
      <c r="F235" s="13">
        <f t="shared" si="46"/>
        <v>0</v>
      </c>
      <c r="G235" s="13">
        <f t="shared" si="46"/>
        <v>1</v>
      </c>
      <c r="H235" s="13">
        <f t="shared" si="46"/>
        <v>1</v>
      </c>
      <c r="I235" s="13">
        <f t="shared" si="46"/>
        <v>5</v>
      </c>
      <c r="J235" s="13">
        <f t="shared" si="46"/>
        <v>0</v>
      </c>
      <c r="K235" s="13">
        <f t="shared" si="46"/>
        <v>0</v>
      </c>
      <c r="L235" s="13">
        <f t="shared" si="46"/>
        <v>2</v>
      </c>
      <c r="M235" s="13">
        <f t="shared" si="46"/>
        <v>1</v>
      </c>
      <c r="N235" s="13">
        <f t="shared" si="46"/>
        <v>0</v>
      </c>
      <c r="O235" s="13">
        <f t="shared" si="46"/>
        <v>1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12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1.0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2.0</v>
      </c>
      <c r="R237" s="19">
        <v>0.0</v>
      </c>
      <c r="S237" s="13">
        <f t="shared" ref="S237:S246" si="47">SUM(E237:R237)</f>
        <v>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0.0</v>
      </c>
      <c r="H238" s="19">
        <v>0.0</v>
      </c>
      <c r="I238" s="19">
        <v>3.0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1.0</v>
      </c>
      <c r="P238" s="19">
        <v>0.0</v>
      </c>
      <c r="Q238" s="19">
        <v>0.0</v>
      </c>
      <c r="R238" s="19">
        <v>0.0</v>
      </c>
      <c r="S238" s="13">
        <f t="shared" si="47"/>
        <v>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0.0</v>
      </c>
      <c r="G239" s="19">
        <v>0.0</v>
      </c>
      <c r="H239" s="19">
        <v>0.0</v>
      </c>
      <c r="I239" s="19">
        <v>2.0</v>
      </c>
      <c r="J239" s="19">
        <v>0.0</v>
      </c>
      <c r="K239" s="19">
        <v>1.0</v>
      </c>
      <c r="L239" s="19">
        <v>0.0</v>
      </c>
      <c r="M239" s="19">
        <v>1.0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3">
        <f t="shared" si="47"/>
        <v>4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1.0</v>
      </c>
      <c r="K240" s="19">
        <v>4.0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3">
        <f t="shared" si="47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7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1.0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7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1.0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7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2.0</v>
      </c>
      <c r="H244" s="19">
        <v>0.0</v>
      </c>
      <c r="I244" s="19">
        <v>0.0</v>
      </c>
      <c r="J244" s="19">
        <v>0.0</v>
      </c>
      <c r="K244" s="19">
        <v>7.0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3">
        <f t="shared" si="47"/>
        <v>9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8">SUM(E237:E246)</f>
        <v>2</v>
      </c>
      <c r="F247" s="13">
        <f t="shared" si="48"/>
        <v>0</v>
      </c>
      <c r="G247" s="13">
        <f t="shared" si="48"/>
        <v>2</v>
      </c>
      <c r="H247" s="13">
        <f t="shared" si="48"/>
        <v>1</v>
      </c>
      <c r="I247" s="13">
        <f t="shared" si="48"/>
        <v>7</v>
      </c>
      <c r="J247" s="13">
        <f t="shared" si="48"/>
        <v>1</v>
      </c>
      <c r="K247" s="13">
        <f t="shared" si="48"/>
        <v>12</v>
      </c>
      <c r="L247" s="13">
        <f t="shared" si="48"/>
        <v>0</v>
      </c>
      <c r="M247" s="13">
        <f t="shared" si="48"/>
        <v>1</v>
      </c>
      <c r="N247" s="13">
        <f t="shared" si="48"/>
        <v>0</v>
      </c>
      <c r="O247" s="13">
        <f t="shared" si="48"/>
        <v>1</v>
      </c>
      <c r="P247" s="13">
        <f t="shared" si="48"/>
        <v>0</v>
      </c>
      <c r="Q247" s="13">
        <f t="shared" si="48"/>
        <v>2</v>
      </c>
      <c r="R247" s="13">
        <f t="shared" si="48"/>
        <v>0</v>
      </c>
      <c r="S247" s="13">
        <f t="shared" si="48"/>
        <v>29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1.0</v>
      </c>
      <c r="I249" s="19">
        <v>0.0</v>
      </c>
      <c r="J249" s="19">
        <v>0.0</v>
      </c>
      <c r="K249" s="19">
        <v>0.0</v>
      </c>
      <c r="L249" s="19">
        <v>1.0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3">
        <f t="shared" ref="S249:S258" si="49">SUM(E249:R249)</f>
        <v>4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9"/>
        <v>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1.0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3">
        <f t="shared" si="49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1.0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9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50">SUM(E249:E258)</f>
        <v>2</v>
      </c>
      <c r="F259" s="13">
        <f t="shared" si="50"/>
        <v>0</v>
      </c>
      <c r="G259" s="13">
        <f t="shared" si="50"/>
        <v>0</v>
      </c>
      <c r="H259" s="13">
        <f t="shared" si="50"/>
        <v>3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1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13"/>
      <c r="S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R262" si="51">E55+E67+E79+E91+E103+E115+E127+E139+E151+E163+E175+E187+E199+E211+E223+E235+E247+E259</f>
        <v>162</v>
      </c>
      <c r="F262" s="19">
        <f t="shared" si="51"/>
        <v>103</v>
      </c>
      <c r="G262" s="19">
        <f t="shared" si="51"/>
        <v>140</v>
      </c>
      <c r="H262" s="19">
        <f t="shared" si="51"/>
        <v>170</v>
      </c>
      <c r="I262" s="19">
        <f t="shared" si="51"/>
        <v>173</v>
      </c>
      <c r="J262" s="19">
        <f t="shared" si="51"/>
        <v>150</v>
      </c>
      <c r="K262" s="19">
        <f t="shared" si="51"/>
        <v>180</v>
      </c>
      <c r="L262" s="19">
        <f t="shared" si="51"/>
        <v>152</v>
      </c>
      <c r="M262" s="19">
        <f t="shared" si="51"/>
        <v>161</v>
      </c>
      <c r="N262" s="19">
        <f t="shared" si="51"/>
        <v>160</v>
      </c>
      <c r="O262" s="19">
        <f t="shared" si="51"/>
        <v>158</v>
      </c>
      <c r="P262" s="19">
        <f t="shared" si="51"/>
        <v>173</v>
      </c>
      <c r="Q262" s="19">
        <f t="shared" si="51"/>
        <v>163</v>
      </c>
      <c r="R262" s="19">
        <f t="shared" si="51"/>
        <v>106</v>
      </c>
      <c r="S262" s="13">
        <f t="shared" ref="S262:S264" si="52">SUM(E262:R262)</f>
        <v>2151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14.0</v>
      </c>
      <c r="F263" s="19">
        <v>25.0</v>
      </c>
      <c r="G263" s="19">
        <v>19.0</v>
      </c>
      <c r="H263" s="19">
        <v>24.0</v>
      </c>
      <c r="I263" s="19">
        <v>31.0</v>
      </c>
      <c r="J263" s="19">
        <v>34.0</v>
      </c>
      <c r="K263" s="19">
        <v>36.0</v>
      </c>
      <c r="L263" s="19">
        <v>27.0</v>
      </c>
      <c r="M263" s="19">
        <v>42.0</v>
      </c>
      <c r="N263" s="19">
        <v>47.0</v>
      </c>
      <c r="O263" s="19">
        <v>59.0</v>
      </c>
      <c r="P263" s="19">
        <v>31.0</v>
      </c>
      <c r="Q263" s="19">
        <v>33.0</v>
      </c>
      <c r="R263" s="19">
        <v>44.0</v>
      </c>
      <c r="S263" s="13">
        <f t="shared" si="52"/>
        <v>466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R264" si="53">SUM(E262:E263)</f>
        <v>176</v>
      </c>
      <c r="F264" s="13">
        <f t="shared" si="53"/>
        <v>128</v>
      </c>
      <c r="G264" s="13">
        <f t="shared" si="53"/>
        <v>159</v>
      </c>
      <c r="H264" s="13">
        <f t="shared" si="53"/>
        <v>194</v>
      </c>
      <c r="I264" s="13">
        <f t="shared" si="53"/>
        <v>204</v>
      </c>
      <c r="J264" s="13">
        <f t="shared" si="53"/>
        <v>184</v>
      </c>
      <c r="K264" s="13">
        <f t="shared" si="53"/>
        <v>216</v>
      </c>
      <c r="L264" s="13">
        <f t="shared" si="53"/>
        <v>179</v>
      </c>
      <c r="M264" s="13">
        <f t="shared" si="53"/>
        <v>203</v>
      </c>
      <c r="N264" s="13">
        <f t="shared" si="53"/>
        <v>207</v>
      </c>
      <c r="O264" s="13">
        <f t="shared" si="53"/>
        <v>217</v>
      </c>
      <c r="P264" s="13">
        <f t="shared" si="53"/>
        <v>204</v>
      </c>
      <c r="Q264" s="13">
        <f t="shared" si="53"/>
        <v>196</v>
      </c>
      <c r="R264" s="13">
        <f t="shared" si="53"/>
        <v>150</v>
      </c>
      <c r="S264" s="13">
        <f t="shared" si="52"/>
        <v>2617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0" width="8.71"/>
    <col customWidth="1" min="21" max="21" width="13.29"/>
    <col customWidth="1" min="22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Q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36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3">
        <f t="shared" ref="U14:U16" si="1">SUM(E14:T14)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T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1"/>
        <v>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5"/>
      <c r="U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5"/>
      <c r="U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3">
        <f t="shared" ref="U19:U30" si="3">SUM(E19:T19)</f>
        <v>0</v>
      </c>
    </row>
    <row r="20" ht="12.75" customHeight="1">
      <c r="A20" s="33"/>
      <c r="B20" s="27"/>
      <c r="C20" s="34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3">
        <f t="shared" si="3"/>
        <v>0</v>
      </c>
    </row>
    <row r="21" ht="12.75" customHeight="1">
      <c r="A21" s="35"/>
      <c r="B21" s="28"/>
      <c r="C21" s="36"/>
      <c r="D21" s="13" t="s">
        <v>14</v>
      </c>
      <c r="E21" s="13">
        <f t="shared" ref="E21:T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3"/>
        <v>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T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3">
        <f t="shared" si="3"/>
        <v>0</v>
      </c>
    </row>
    <row r="26" ht="12.75" customHeight="1">
      <c r="A26" s="33"/>
      <c r="B26" s="27"/>
      <c r="C26" s="34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3">
        <f t="shared" si="3"/>
        <v>0</v>
      </c>
    </row>
    <row r="27" ht="12.75" customHeight="1">
      <c r="A27" s="35"/>
      <c r="B27" s="28"/>
      <c r="C27" s="36"/>
      <c r="D27" s="13" t="s">
        <v>14</v>
      </c>
      <c r="E27" s="13">
        <f t="shared" ref="E27:T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3"/>
        <v>0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T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3"/>
        <v>0</v>
      </c>
    </row>
    <row r="29" ht="12.75" customHeight="1">
      <c r="A29" s="35"/>
      <c r="B29" s="27"/>
      <c r="C29" s="34"/>
      <c r="D29" s="13" t="s">
        <v>13</v>
      </c>
      <c r="E29" s="13">
        <f t="shared" ref="E29:T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3"/>
        <v>0</v>
      </c>
    </row>
    <row r="30" ht="12.75" customHeight="1">
      <c r="A30" s="35"/>
      <c r="B30" s="28"/>
      <c r="C30" s="36"/>
      <c r="D30" s="13" t="s">
        <v>14</v>
      </c>
      <c r="E30" s="13">
        <f t="shared" ref="E30:T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3"/>
        <v>0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5"/>
      <c r="U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7"/>
      <c r="U32" s="76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3">
        <f t="shared" ref="U33:U36" si="10">SUM(E33:T33)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T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0"/>
        <v>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75"/>
      <c r="R37" s="84"/>
      <c r="S37" s="84"/>
      <c r="T37" s="84"/>
      <c r="U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7"/>
      <c r="U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3">
        <f t="shared" ref="U39:U41" si="12">SUM(E39:T39)</f>
        <v>0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T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75"/>
      <c r="R42" s="19"/>
      <c r="S42" s="75"/>
      <c r="T42" s="19"/>
      <c r="U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77"/>
      <c r="R43" s="13"/>
      <c r="S43" s="77"/>
      <c r="T43" s="13"/>
      <c r="U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75"/>
      <c r="R44" s="19"/>
      <c r="S44" s="75"/>
      <c r="T44" s="19"/>
      <c r="U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3">
        <f t="shared" ref="U45:U54" si="14">SUM(E45:T45)</f>
        <v>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3">
        <f t="shared" si="14"/>
        <v>0</v>
      </c>
    </row>
    <row r="47" ht="12.75" customHeight="1">
      <c r="A47" s="18"/>
      <c r="B47" s="55">
        <v>2.0</v>
      </c>
      <c r="C47" s="50" t="s">
        <v>41</v>
      </c>
      <c r="D47" s="16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3">
        <f t="shared" si="14"/>
        <v>0</v>
      </c>
    </row>
    <row r="48" ht="12.75" customHeight="1">
      <c r="A48" s="18"/>
      <c r="B48" s="55">
        <v>3.0</v>
      </c>
      <c r="C48" s="50" t="s">
        <v>42</v>
      </c>
      <c r="D48" s="16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3">
        <f t="shared" si="14"/>
        <v>0</v>
      </c>
    </row>
    <row r="49" ht="12.75" customHeight="1">
      <c r="A49" s="18"/>
      <c r="B49" s="55">
        <v>4.0</v>
      </c>
      <c r="C49" s="50" t="s">
        <v>43</v>
      </c>
      <c r="D49" s="16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3">
        <f t="shared" si="14"/>
        <v>0</v>
      </c>
    </row>
    <row r="50" ht="12.75" customHeight="1">
      <c r="A50" s="18"/>
      <c r="B50" s="55">
        <v>5.0</v>
      </c>
      <c r="C50" s="50" t="s">
        <v>44</v>
      </c>
      <c r="D50" s="16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3">
        <f t="shared" si="14"/>
        <v>0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U55" si="15">SUM(E45:E54)</f>
        <v>0</v>
      </c>
      <c r="F55" s="13">
        <f t="shared" si="15"/>
        <v>0</v>
      </c>
      <c r="G55" s="13">
        <f t="shared" si="15"/>
        <v>0</v>
      </c>
      <c r="H55" s="13">
        <f t="shared" si="15"/>
        <v>0</v>
      </c>
      <c r="I55" s="13">
        <f t="shared" si="15"/>
        <v>0</v>
      </c>
      <c r="J55" s="13">
        <f t="shared" si="15"/>
        <v>0</v>
      </c>
      <c r="K55" s="13">
        <f t="shared" si="15"/>
        <v>0</v>
      </c>
      <c r="L55" s="13">
        <f t="shared" si="15"/>
        <v>0</v>
      </c>
      <c r="M55" s="13">
        <f t="shared" si="15"/>
        <v>0</v>
      </c>
      <c r="N55" s="13">
        <f t="shared" si="15"/>
        <v>0</v>
      </c>
      <c r="O55" s="13">
        <f t="shared" si="15"/>
        <v>0</v>
      </c>
      <c r="P55" s="13">
        <f t="shared" si="15"/>
        <v>0</v>
      </c>
      <c r="Q55" s="13">
        <f t="shared" si="15"/>
        <v>0</v>
      </c>
      <c r="R55" s="13">
        <f t="shared" si="15"/>
        <v>0</v>
      </c>
      <c r="S55" s="13">
        <f t="shared" si="15"/>
        <v>0</v>
      </c>
      <c r="T55" s="13">
        <f t="shared" si="15"/>
        <v>0</v>
      </c>
      <c r="U55" s="13">
        <f t="shared" si="15"/>
        <v>0</v>
      </c>
    </row>
    <row r="56" ht="12.75" customHeight="1">
      <c r="A56" s="45"/>
      <c r="B56" s="44"/>
      <c r="C56" s="44"/>
      <c r="D56" s="44"/>
      <c r="E56" s="44"/>
      <c r="U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3">
        <f t="shared" ref="U57:U66" si="16">SUM(E57:T57)</f>
        <v>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3">
        <f t="shared" si="16"/>
        <v>0</v>
      </c>
    </row>
    <row r="59" ht="12.75" customHeight="1">
      <c r="A59" s="18"/>
      <c r="B59" s="55">
        <v>2.0</v>
      </c>
      <c r="C59" s="50" t="s">
        <v>50</v>
      </c>
      <c r="D59" s="5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3">
        <f t="shared" si="16"/>
        <v>0</v>
      </c>
    </row>
    <row r="60" ht="12.75" customHeight="1">
      <c r="A60" s="18"/>
      <c r="B60" s="55">
        <v>3.0</v>
      </c>
      <c r="C60" s="50" t="s">
        <v>51</v>
      </c>
      <c r="D60" s="5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3">
        <f t="shared" si="16"/>
        <v>0</v>
      </c>
    </row>
    <row r="61" ht="12.75" customHeight="1">
      <c r="A61" s="18"/>
      <c r="B61" s="55">
        <v>4.0</v>
      </c>
      <c r="C61" s="50" t="s">
        <v>52</v>
      </c>
      <c r="D61" s="5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3">
        <f t="shared" si="16"/>
        <v>0</v>
      </c>
    </row>
    <row r="62" ht="12.75" customHeight="1">
      <c r="A62" s="18"/>
      <c r="B62" s="55">
        <v>5.0</v>
      </c>
      <c r="C62" s="50" t="s">
        <v>53</v>
      </c>
      <c r="D62" s="5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60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3">
        <f t="shared" si="16"/>
        <v>0</v>
      </c>
    </row>
    <row r="64" ht="12.75" customHeight="1">
      <c r="A64" s="18"/>
      <c r="B64" s="55">
        <v>7.0</v>
      </c>
      <c r="C64" s="50" t="s">
        <v>55</v>
      </c>
      <c r="D64" s="5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3">
        <f t="shared" si="16"/>
        <v>0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U67" si="17">SUM(E57:E66)</f>
        <v>0</v>
      </c>
      <c r="F67" s="13">
        <f t="shared" si="17"/>
        <v>0</v>
      </c>
      <c r="G67" s="13">
        <f t="shared" si="17"/>
        <v>0</v>
      </c>
      <c r="H67" s="13">
        <f t="shared" si="17"/>
        <v>0</v>
      </c>
      <c r="I67" s="13">
        <f t="shared" si="17"/>
        <v>0</v>
      </c>
      <c r="J67" s="13">
        <f t="shared" si="17"/>
        <v>0</v>
      </c>
      <c r="K67" s="13">
        <f t="shared" si="17"/>
        <v>0</v>
      </c>
      <c r="L67" s="13">
        <f t="shared" si="17"/>
        <v>0</v>
      </c>
      <c r="M67" s="13">
        <f t="shared" si="17"/>
        <v>0</v>
      </c>
      <c r="N67" s="13">
        <f t="shared" si="17"/>
        <v>0</v>
      </c>
      <c r="O67" s="13">
        <f t="shared" si="17"/>
        <v>0</v>
      </c>
      <c r="P67" s="13">
        <f t="shared" si="17"/>
        <v>0</v>
      </c>
      <c r="Q67" s="13">
        <f t="shared" si="17"/>
        <v>0</v>
      </c>
      <c r="R67" s="13">
        <f t="shared" si="17"/>
        <v>0</v>
      </c>
      <c r="S67" s="13">
        <f t="shared" si="17"/>
        <v>0</v>
      </c>
      <c r="T67" s="13">
        <f t="shared" si="17"/>
        <v>0</v>
      </c>
      <c r="U67" s="13">
        <f t="shared" si="17"/>
        <v>0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3">
        <f t="shared" ref="U69:U78" si="18">SUM(E69:T69)</f>
        <v>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3">
        <f t="shared" si="18"/>
        <v>0</v>
      </c>
    </row>
    <row r="71" ht="12.75" customHeight="1">
      <c r="A71" s="18"/>
      <c r="B71" s="55">
        <v>2.0</v>
      </c>
      <c r="C71" s="50" t="s">
        <v>58</v>
      </c>
      <c r="D71" s="60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3">
        <f t="shared" si="18"/>
        <v>0</v>
      </c>
    </row>
    <row r="72" ht="12.75" customHeight="1">
      <c r="A72" s="18"/>
      <c r="B72" s="55">
        <v>3.0</v>
      </c>
      <c r="C72" s="50" t="s">
        <v>59</v>
      </c>
      <c r="D72" s="60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3">
        <f t="shared" si="18"/>
        <v>0</v>
      </c>
    </row>
    <row r="73" ht="12.75" customHeight="1">
      <c r="A73" s="18"/>
      <c r="B73" s="55">
        <v>4.0</v>
      </c>
      <c r="C73" s="50" t="s">
        <v>60</v>
      </c>
      <c r="D73" s="60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3">
        <f t="shared" si="18"/>
        <v>0</v>
      </c>
    </row>
    <row r="74" ht="12.75" customHeight="1">
      <c r="A74" s="18"/>
      <c r="B74" s="55">
        <v>5.0</v>
      </c>
      <c r="C74" s="50" t="s">
        <v>61</v>
      </c>
      <c r="D74" s="60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3">
        <f t="shared" si="18"/>
        <v>0</v>
      </c>
    </row>
    <row r="75" ht="12.75" customHeight="1">
      <c r="A75" s="18"/>
      <c r="B75" s="55">
        <v>6.0</v>
      </c>
      <c r="C75" s="50" t="s">
        <v>62</v>
      </c>
      <c r="D75" s="60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3">
        <f t="shared" si="18"/>
        <v>0</v>
      </c>
    </row>
    <row r="76" ht="12.75" customHeight="1">
      <c r="A76" s="18"/>
      <c r="B76" s="55">
        <v>7.0</v>
      </c>
      <c r="C76" s="50" t="s">
        <v>63</v>
      </c>
      <c r="D76" s="60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3">
        <f t="shared" si="18"/>
        <v>0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U79" si="19">SUM(E69:E78)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 t="shared" si="19"/>
        <v>0</v>
      </c>
      <c r="T79" s="13">
        <f t="shared" si="19"/>
        <v>0</v>
      </c>
      <c r="U79" s="13">
        <f t="shared" si="19"/>
        <v>0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3">
        <f t="shared" ref="U81:U90" si="20">SUM(E81:T81)</f>
        <v>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3">
        <f t="shared" si="20"/>
        <v>0</v>
      </c>
    </row>
    <row r="83" ht="12.75" customHeight="1">
      <c r="A83" s="18"/>
      <c r="B83" s="55">
        <v>2.0</v>
      </c>
      <c r="C83" s="50" t="s">
        <v>66</v>
      </c>
      <c r="D83" s="60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3">
        <f t="shared" si="20"/>
        <v>0</v>
      </c>
    </row>
    <row r="84" ht="12.75" customHeight="1">
      <c r="A84" s="18"/>
      <c r="B84" s="55">
        <v>3.0</v>
      </c>
      <c r="C84" s="50" t="s">
        <v>67</v>
      </c>
      <c r="D84" s="60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3">
        <f t="shared" si="20"/>
        <v>0</v>
      </c>
    </row>
    <row r="85" ht="12.75" customHeight="1">
      <c r="A85" s="18"/>
      <c r="B85" s="55">
        <v>4.0</v>
      </c>
      <c r="C85" s="50" t="s">
        <v>68</v>
      </c>
      <c r="D85" s="60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3">
        <f t="shared" si="20"/>
        <v>0</v>
      </c>
    </row>
    <row r="86" ht="12.75" customHeight="1">
      <c r="A86" s="18"/>
      <c r="B86" s="55">
        <v>5.0</v>
      </c>
      <c r="C86" s="50" t="s">
        <v>69</v>
      </c>
      <c r="D86" s="60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3">
        <f t="shared" si="20"/>
        <v>0</v>
      </c>
    </row>
    <row r="87" ht="12.75" customHeight="1">
      <c r="A87" s="18"/>
      <c r="B87" s="55">
        <v>6.0</v>
      </c>
      <c r="C87" s="50" t="s">
        <v>70</v>
      </c>
      <c r="D87" s="60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U91" si="21">SUM(E81:E90)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 t="shared" si="21"/>
        <v>0</v>
      </c>
      <c r="T91" s="13">
        <f t="shared" si="21"/>
        <v>0</v>
      </c>
      <c r="U91" s="13">
        <f t="shared" si="21"/>
        <v>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3">
        <f t="shared" ref="U93:U102" si="22">SUM(E93:T93)</f>
        <v>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3">
        <f t="shared" si="22"/>
        <v>0</v>
      </c>
    </row>
    <row r="95" ht="12.75" customHeight="1">
      <c r="A95" s="18"/>
      <c r="B95" s="55">
        <v>2.0</v>
      </c>
      <c r="C95" s="50" t="s">
        <v>75</v>
      </c>
      <c r="D95" s="60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60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U103" si="23">SUM(E93:E102)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0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0</v>
      </c>
      <c r="S103" s="13">
        <f t="shared" si="23"/>
        <v>0</v>
      </c>
      <c r="T103" s="13">
        <f t="shared" si="23"/>
        <v>0</v>
      </c>
      <c r="U103" s="13">
        <f t="shared" si="23"/>
        <v>0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3">
        <f t="shared" ref="U105:U114" si="24">SUM(E105:T105)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60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7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U115" si="25">SUM(E105:E114)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3">
        <f t="shared" ref="U117:U126" si="26">SUM(E117:T117)</f>
        <v>0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3">
        <f t="shared" si="26"/>
        <v>0</v>
      </c>
    </row>
    <row r="119" ht="12.75" customHeight="1">
      <c r="A119" s="18"/>
      <c r="B119" s="55">
        <v>2.0</v>
      </c>
      <c r="C119" s="50" t="s">
        <v>93</v>
      </c>
      <c r="D119" s="60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U127" si="27">SUM(E117:E126)</f>
        <v>0</v>
      </c>
      <c r="F127" s="13">
        <f t="shared" si="27"/>
        <v>0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0</v>
      </c>
      <c r="P127" s="13">
        <f t="shared" si="27"/>
        <v>0</v>
      </c>
      <c r="Q127" s="13">
        <f t="shared" si="27"/>
        <v>0</v>
      </c>
      <c r="R127" s="13">
        <f t="shared" si="27"/>
        <v>0</v>
      </c>
      <c r="S127" s="13">
        <f t="shared" si="27"/>
        <v>0</v>
      </c>
      <c r="T127" s="13">
        <f t="shared" si="27"/>
        <v>0</v>
      </c>
      <c r="U127" s="13">
        <f t="shared" si="27"/>
        <v>0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3">
        <f t="shared" ref="U129:U138" si="28">SUM(E129:T129)</f>
        <v>0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3">
        <f t="shared" si="28"/>
        <v>0</v>
      </c>
    </row>
    <row r="131" ht="12.75" customHeight="1">
      <c r="A131" s="18"/>
      <c r="B131" s="55">
        <v>2.0</v>
      </c>
      <c r="C131" s="50" t="s">
        <v>98</v>
      </c>
      <c r="D131" s="5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3">
        <f t="shared" si="28"/>
        <v>0</v>
      </c>
    </row>
    <row r="132" ht="12.75" customHeight="1">
      <c r="A132" s="18"/>
      <c r="B132" s="55">
        <v>3.0</v>
      </c>
      <c r="C132" s="50" t="s">
        <v>99</v>
      </c>
      <c r="D132" s="5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U139" si="29">SUM(E129:E138)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3">
        <f t="shared" ref="U141:U150" si="30">SUM(E141:T141)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U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3">
        <f t="shared" ref="U153:U156" si="32">SUM(E154:T154)</f>
        <v>0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3">
        <f t="shared" ref="U157:U162" si="33">SUM(E163:T163)</f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3">
        <f t="shared" si="33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3">
        <f t="shared" si="33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3">
        <f t="shared" si="33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U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3">
        <f t="shared" ref="U165:U174" si="35">SUM(E165:T165)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3">
        <f t="shared" si="35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3">
        <f t="shared" si="35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U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3">
        <f t="shared" ref="U177:U186" si="37">SUM(E177:T177)</f>
        <v>0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3">
        <f t="shared" si="37"/>
        <v>0</v>
      </c>
    </row>
    <row r="179" ht="12.75" customHeight="1">
      <c r="A179" s="18"/>
      <c r="B179" s="55">
        <v>2.0</v>
      </c>
      <c r="C179" s="50" t="s">
        <v>131</v>
      </c>
      <c r="D179" s="60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3">
        <f t="shared" si="37"/>
        <v>0</v>
      </c>
    </row>
    <row r="180" ht="12.75" customHeight="1">
      <c r="A180" s="18"/>
      <c r="B180" s="55">
        <v>3.0</v>
      </c>
      <c r="C180" s="50" t="s">
        <v>132</v>
      </c>
      <c r="D180" s="60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3">
        <f t="shared" si="37"/>
        <v>0</v>
      </c>
    </row>
    <row r="181" ht="12.75" customHeight="1">
      <c r="A181" s="18"/>
      <c r="B181" s="55">
        <v>4.0</v>
      </c>
      <c r="C181" s="50" t="s">
        <v>133</v>
      </c>
      <c r="D181" s="60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3">
        <f t="shared" si="37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U187" si="38">SUM(E177:E186)</f>
        <v>0</v>
      </c>
      <c r="F187" s="13">
        <f t="shared" si="38"/>
        <v>0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0</v>
      </c>
      <c r="T187" s="13">
        <f t="shared" si="38"/>
        <v>0</v>
      </c>
      <c r="U187" s="13">
        <f t="shared" si="38"/>
        <v>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78"/>
      <c r="U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3">
        <f t="shared" ref="U189:U198" si="39">SUM(E189:T189)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U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3">
        <f t="shared" ref="U201:U210" si="41">SUM(E201:T201)</f>
        <v>0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3">
        <f t="shared" si="41"/>
        <v>0</v>
      </c>
    </row>
    <row r="203" ht="12.75" customHeight="1">
      <c r="A203" s="18"/>
      <c r="B203" s="55">
        <v>2.0</v>
      </c>
      <c r="C203" s="50" t="s">
        <v>149</v>
      </c>
      <c r="D203" s="60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3">
        <f t="shared" si="41"/>
        <v>0</v>
      </c>
    </row>
    <row r="204" ht="12.75" customHeight="1">
      <c r="A204" s="18"/>
      <c r="B204" s="55">
        <v>3.0</v>
      </c>
      <c r="C204" s="50" t="s">
        <v>150</v>
      </c>
      <c r="D204" s="60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3">
        <f t="shared" si="41"/>
        <v>0</v>
      </c>
    </row>
    <row r="205" ht="12.75" customHeight="1">
      <c r="A205" s="18"/>
      <c r="B205" s="55">
        <v>4.0</v>
      </c>
      <c r="C205" s="50" t="s">
        <v>151</v>
      </c>
      <c r="D205" s="60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3">
        <f t="shared" si="41"/>
        <v>0</v>
      </c>
    </row>
    <row r="206" ht="12.75" customHeight="1">
      <c r="A206" s="18"/>
      <c r="B206" s="55">
        <v>5.0</v>
      </c>
      <c r="C206" s="50" t="s">
        <v>152</v>
      </c>
      <c r="D206" s="60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3">
        <f t="shared" si="41"/>
        <v>0</v>
      </c>
    </row>
    <row r="207" ht="12.75" customHeight="1">
      <c r="A207" s="18"/>
      <c r="B207" s="55">
        <v>6.0</v>
      </c>
      <c r="C207" s="50" t="s">
        <v>153</v>
      </c>
      <c r="D207" s="60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3">
        <f t="shared" si="41"/>
        <v>0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U211" si="42">SUM(E201:E210)</f>
        <v>0</v>
      </c>
      <c r="F211" s="13">
        <f t="shared" si="42"/>
        <v>0</v>
      </c>
      <c r="G211" s="13">
        <f t="shared" si="42"/>
        <v>0</v>
      </c>
      <c r="H211" s="13">
        <f t="shared" si="42"/>
        <v>0</v>
      </c>
      <c r="I211" s="13">
        <f t="shared" si="42"/>
        <v>0</v>
      </c>
      <c r="J211" s="13">
        <f t="shared" si="42"/>
        <v>0</v>
      </c>
      <c r="K211" s="13">
        <f t="shared" si="42"/>
        <v>0</v>
      </c>
      <c r="L211" s="13">
        <f t="shared" si="42"/>
        <v>0</v>
      </c>
      <c r="M211" s="13">
        <f t="shared" si="42"/>
        <v>0</v>
      </c>
      <c r="N211" s="13">
        <f t="shared" si="42"/>
        <v>0</v>
      </c>
      <c r="O211" s="13">
        <f t="shared" si="42"/>
        <v>0</v>
      </c>
      <c r="P211" s="13">
        <f t="shared" si="42"/>
        <v>0</v>
      </c>
      <c r="Q211" s="13">
        <f t="shared" si="42"/>
        <v>0</v>
      </c>
      <c r="R211" s="13">
        <f t="shared" si="42"/>
        <v>0</v>
      </c>
      <c r="S211" s="13">
        <f t="shared" si="42"/>
        <v>0</v>
      </c>
      <c r="T211" s="13">
        <f t="shared" si="42"/>
        <v>0</v>
      </c>
      <c r="U211" s="13">
        <f t="shared" si="42"/>
        <v>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3">
        <f t="shared" ref="U213:U222" si="43">SUM(E213:T213)</f>
        <v>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3">
        <f t="shared" si="43"/>
        <v>0</v>
      </c>
    </row>
    <row r="215" ht="12.75" customHeight="1">
      <c r="A215" s="18"/>
      <c r="B215" s="55">
        <v>2.0</v>
      </c>
      <c r="C215" s="50" t="s">
        <v>158</v>
      </c>
      <c r="D215" s="5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3">
        <f t="shared" si="43"/>
        <v>0</v>
      </c>
    </row>
    <row r="216" ht="12.75" customHeight="1">
      <c r="A216" s="18"/>
      <c r="B216" s="55">
        <v>3.0</v>
      </c>
      <c r="C216" s="69" t="s">
        <v>159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3">
        <f t="shared" si="43"/>
        <v>0</v>
      </c>
    </row>
    <row r="217" ht="12.75" customHeight="1">
      <c r="A217" s="18"/>
      <c r="B217" s="55">
        <v>4.0</v>
      </c>
      <c r="C217" s="50" t="s">
        <v>160</v>
      </c>
      <c r="D217" s="5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3">
        <f t="shared" si="43"/>
        <v>0</v>
      </c>
    </row>
    <row r="219" ht="12.75" customHeight="1">
      <c r="A219" s="18"/>
      <c r="B219" s="55">
        <v>6.0</v>
      </c>
      <c r="C219" s="50" t="s">
        <v>162</v>
      </c>
      <c r="D219" s="5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U223" si="44">SUM(E213:E222)</f>
        <v>0</v>
      </c>
      <c r="F223" s="13">
        <f t="shared" si="44"/>
        <v>0</v>
      </c>
      <c r="G223" s="13">
        <f t="shared" si="44"/>
        <v>0</v>
      </c>
      <c r="H223" s="13">
        <f t="shared" si="44"/>
        <v>0</v>
      </c>
      <c r="I223" s="13">
        <f t="shared" si="44"/>
        <v>0</v>
      </c>
      <c r="J223" s="13">
        <f t="shared" si="44"/>
        <v>0</v>
      </c>
      <c r="K223" s="13">
        <f t="shared" si="44"/>
        <v>0</v>
      </c>
      <c r="L223" s="13">
        <f t="shared" si="44"/>
        <v>0</v>
      </c>
      <c r="M223" s="13">
        <f t="shared" si="44"/>
        <v>0</v>
      </c>
      <c r="N223" s="13">
        <f t="shared" si="44"/>
        <v>0</v>
      </c>
      <c r="O223" s="13">
        <f t="shared" si="44"/>
        <v>0</v>
      </c>
      <c r="P223" s="13">
        <f t="shared" si="44"/>
        <v>0</v>
      </c>
      <c r="Q223" s="13">
        <f t="shared" si="44"/>
        <v>0</v>
      </c>
      <c r="R223" s="13">
        <f t="shared" si="44"/>
        <v>0</v>
      </c>
      <c r="S223" s="13">
        <f t="shared" si="44"/>
        <v>0</v>
      </c>
      <c r="T223" s="13">
        <f t="shared" si="44"/>
        <v>0</v>
      </c>
      <c r="U223" s="13">
        <f t="shared" si="44"/>
        <v>0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3">
        <f t="shared" ref="U225:U234" si="45">SUM(E225:T225)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3">
        <f t="shared" si="45"/>
        <v>0</v>
      </c>
    </row>
    <row r="227" ht="12.75" customHeight="1">
      <c r="A227" s="18"/>
      <c r="B227" s="55">
        <v>2.0</v>
      </c>
      <c r="C227" s="50" t="s">
        <v>167</v>
      </c>
      <c r="D227" s="60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3">
        <f t="shared" si="45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U235" si="46">SUM(E225:E234)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3">
        <f t="shared" ref="U237:U246" si="47">SUM(E237:T237)</f>
        <v>0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3">
        <f t="shared" si="47"/>
        <v>0</v>
      </c>
    </row>
    <row r="239" ht="12.75" customHeight="1">
      <c r="A239" s="18"/>
      <c r="B239" s="55">
        <v>2.0</v>
      </c>
      <c r="C239" s="50" t="s">
        <v>176</v>
      </c>
      <c r="D239" s="60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3">
        <f t="shared" si="47"/>
        <v>0</v>
      </c>
    </row>
    <row r="240" ht="12.75" customHeight="1">
      <c r="A240" s="18"/>
      <c r="B240" s="55">
        <v>3.0</v>
      </c>
      <c r="C240" s="50" t="s">
        <v>177</v>
      </c>
      <c r="D240" s="60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3">
        <f t="shared" si="47"/>
        <v>0</v>
      </c>
    </row>
    <row r="241" ht="12.75" customHeight="1">
      <c r="A241" s="18"/>
      <c r="B241" s="55">
        <v>4.0</v>
      </c>
      <c r="C241" s="50" t="s">
        <v>178</v>
      </c>
      <c r="D241" s="60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3">
        <f t="shared" si="47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3">
        <f t="shared" si="47"/>
        <v>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U247" si="48">SUM(E237:E246)</f>
        <v>0</v>
      </c>
      <c r="F247" s="13">
        <f t="shared" si="48"/>
        <v>0</v>
      </c>
      <c r="G247" s="13">
        <f t="shared" si="48"/>
        <v>0</v>
      </c>
      <c r="H247" s="13">
        <f t="shared" si="48"/>
        <v>0</v>
      </c>
      <c r="I247" s="13">
        <f t="shared" si="48"/>
        <v>0</v>
      </c>
      <c r="J247" s="13">
        <f t="shared" si="48"/>
        <v>0</v>
      </c>
      <c r="K247" s="13">
        <f t="shared" si="48"/>
        <v>0</v>
      </c>
      <c r="L247" s="13">
        <f t="shared" si="48"/>
        <v>0</v>
      </c>
      <c r="M247" s="13">
        <f t="shared" si="48"/>
        <v>0</v>
      </c>
      <c r="N247" s="13">
        <f t="shared" si="48"/>
        <v>0</v>
      </c>
      <c r="O247" s="13">
        <f t="shared" si="48"/>
        <v>0</v>
      </c>
      <c r="P247" s="13">
        <f t="shared" si="48"/>
        <v>0</v>
      </c>
      <c r="Q247" s="13">
        <f t="shared" si="48"/>
        <v>0</v>
      </c>
      <c r="R247" s="13">
        <f t="shared" si="48"/>
        <v>0</v>
      </c>
      <c r="S247" s="13">
        <f t="shared" si="48"/>
        <v>0</v>
      </c>
      <c r="T247" s="13">
        <f t="shared" si="48"/>
        <v>0</v>
      </c>
      <c r="U247" s="13">
        <f t="shared" si="48"/>
        <v>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3">
        <f t="shared" ref="U249:U258" si="49">SUM(E249:T249)</f>
        <v>0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U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77"/>
      <c r="U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T262" si="51">E55+E67+E79+E91+E103+E115+E127+E139+E151+E163+E175+E187+E199+E211+E223+E235+E247+E259</f>
        <v>0</v>
      </c>
      <c r="F262" s="19">
        <f t="shared" si="51"/>
        <v>0</v>
      </c>
      <c r="G262" s="19">
        <f t="shared" si="51"/>
        <v>0</v>
      </c>
      <c r="H262" s="19">
        <f t="shared" si="51"/>
        <v>0</v>
      </c>
      <c r="I262" s="19">
        <f t="shared" si="51"/>
        <v>0</v>
      </c>
      <c r="J262" s="19">
        <f t="shared" si="51"/>
        <v>0</v>
      </c>
      <c r="K262" s="19">
        <f t="shared" si="51"/>
        <v>0</v>
      </c>
      <c r="L262" s="19">
        <f t="shared" si="51"/>
        <v>0</v>
      </c>
      <c r="M262" s="19">
        <f t="shared" si="51"/>
        <v>0</v>
      </c>
      <c r="N262" s="19">
        <f t="shared" si="51"/>
        <v>0</v>
      </c>
      <c r="O262" s="19">
        <f t="shared" si="51"/>
        <v>0</v>
      </c>
      <c r="P262" s="19">
        <f t="shared" si="51"/>
        <v>0</v>
      </c>
      <c r="Q262" s="19">
        <f t="shared" si="51"/>
        <v>0</v>
      </c>
      <c r="R262" s="19">
        <f t="shared" si="51"/>
        <v>0</v>
      </c>
      <c r="S262" s="19">
        <f t="shared" si="51"/>
        <v>0</v>
      </c>
      <c r="T262" s="19">
        <f t="shared" si="51"/>
        <v>0</v>
      </c>
      <c r="U262" s="13">
        <f t="shared" ref="U262:U264" si="52">SUM(E262:T262)</f>
        <v>0</v>
      </c>
    </row>
    <row r="263" ht="12.75" customHeight="1">
      <c r="A263" s="35"/>
      <c r="B263" s="70" t="s">
        <v>194</v>
      </c>
      <c r="C263" s="71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3">
        <f t="shared" si="52"/>
        <v>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T264" si="53">SUM(E262:E263)</f>
        <v>0</v>
      </c>
      <c r="F264" s="13">
        <f t="shared" si="53"/>
        <v>0</v>
      </c>
      <c r="G264" s="13">
        <f t="shared" si="53"/>
        <v>0</v>
      </c>
      <c r="H264" s="13">
        <f t="shared" si="53"/>
        <v>0</v>
      </c>
      <c r="I264" s="13">
        <f t="shared" si="53"/>
        <v>0</v>
      </c>
      <c r="J264" s="13">
        <f t="shared" si="53"/>
        <v>0</v>
      </c>
      <c r="K264" s="13">
        <f t="shared" si="53"/>
        <v>0</v>
      </c>
      <c r="L264" s="13">
        <f t="shared" si="53"/>
        <v>0</v>
      </c>
      <c r="M264" s="13">
        <f t="shared" si="53"/>
        <v>0</v>
      </c>
      <c r="N264" s="13">
        <f t="shared" si="53"/>
        <v>0</v>
      </c>
      <c r="O264" s="13">
        <f t="shared" si="53"/>
        <v>0</v>
      </c>
      <c r="P264" s="13">
        <f t="shared" si="53"/>
        <v>0</v>
      </c>
      <c r="Q264" s="13">
        <f t="shared" si="53"/>
        <v>0</v>
      </c>
      <c r="R264" s="13">
        <f t="shared" si="53"/>
        <v>0</v>
      </c>
      <c r="S264" s="13">
        <f t="shared" si="53"/>
        <v>0</v>
      </c>
      <c r="T264" s="13">
        <f t="shared" si="53"/>
        <v>0</v>
      </c>
      <c r="U264" s="13">
        <f t="shared" si="52"/>
        <v>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T12"/>
    <mergeCell ref="U12:U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T15">
    <cfRule type="containsBlanks" dxfId="1" priority="1">
      <formula>LEN(TRIM(E14))=0</formula>
    </cfRule>
  </conditionalFormatting>
  <conditionalFormatting sqref="E19:T20">
    <cfRule type="containsBlanks" dxfId="1" priority="2">
      <formula>LEN(TRIM(E19))=0</formula>
    </cfRule>
  </conditionalFormatting>
  <conditionalFormatting sqref="E22:T23 E25:T26 E33:T33 E35:T35 E39:T40">
    <cfRule type="containsBlanks" dxfId="1" priority="3">
      <formula>LEN(TRIM(E22))=0</formula>
    </cfRule>
  </conditionalFormatting>
  <conditionalFormatting sqref="E30:T30">
    <cfRule type="expression" dxfId="0" priority="4">
      <formula>E30&lt;&gt;E47</formula>
    </cfRule>
  </conditionalFormatting>
  <conditionalFormatting sqref="E30:T30">
    <cfRule type="expression" dxfId="0" priority="5">
      <formula>E30&lt;&gt;E34</formula>
    </cfRule>
  </conditionalFormatting>
  <conditionalFormatting sqref="E34:T34">
    <cfRule type="expression" dxfId="2" priority="6">
      <formula>E30&lt;&gt;E34</formula>
    </cfRule>
  </conditionalFormatting>
  <conditionalFormatting sqref="E34:T34">
    <cfRule type="expression" dxfId="3" priority="7">
      <formula>E30=E34</formula>
    </cfRule>
  </conditionalFormatting>
  <conditionalFormatting sqref="E34:T34">
    <cfRule type="expression" dxfId="0" priority="8">
      <formula>E34&lt;&gt;E30</formula>
    </cfRule>
  </conditionalFormatting>
  <conditionalFormatting sqref="E34:T34">
    <cfRule type="expression" dxfId="0" priority="9">
      <formula>E34&lt;&gt;E64</formula>
    </cfRule>
  </conditionalFormatting>
  <conditionalFormatting sqref="E45:T54">
    <cfRule type="containsBlanks" dxfId="1" priority="10">
      <formula>LEN(TRIM(E45))=0</formula>
    </cfRule>
  </conditionalFormatting>
  <conditionalFormatting sqref="E57:T66">
    <cfRule type="containsBlanks" dxfId="1" priority="11">
      <formula>LEN(TRIM(E57))=0</formula>
    </cfRule>
  </conditionalFormatting>
  <conditionalFormatting sqref="E69:T78">
    <cfRule type="containsBlanks" dxfId="1" priority="12">
      <formula>LEN(TRIM(E69))=0</formula>
    </cfRule>
  </conditionalFormatting>
  <conditionalFormatting sqref="E81:T90">
    <cfRule type="containsBlanks" dxfId="1" priority="13">
      <formula>LEN(TRIM(E81))=0</formula>
    </cfRule>
  </conditionalFormatting>
  <conditionalFormatting sqref="E93:T102">
    <cfRule type="containsBlanks" dxfId="1" priority="14">
      <formula>LEN(TRIM(E93))=0</formula>
    </cfRule>
  </conditionalFormatting>
  <conditionalFormatting sqref="E105:T114">
    <cfRule type="containsBlanks" dxfId="1" priority="15">
      <formula>LEN(TRIM(E105))=0</formula>
    </cfRule>
  </conditionalFormatting>
  <conditionalFormatting sqref="E117:T126">
    <cfRule type="containsBlanks" dxfId="1" priority="16">
      <formula>LEN(TRIM(E117))=0</formula>
    </cfRule>
  </conditionalFormatting>
  <conditionalFormatting sqref="E129:T138">
    <cfRule type="containsBlanks" dxfId="1" priority="17">
      <formula>LEN(TRIM(E129))=0</formula>
    </cfRule>
  </conditionalFormatting>
  <conditionalFormatting sqref="E141:T150">
    <cfRule type="containsBlanks" dxfId="1" priority="18">
      <formula>LEN(TRIM(E141))=0</formula>
    </cfRule>
  </conditionalFormatting>
  <conditionalFormatting sqref="E153:T162">
    <cfRule type="containsBlanks" dxfId="1" priority="19">
      <formula>LEN(TRIM(E153))=0</formula>
    </cfRule>
  </conditionalFormatting>
  <conditionalFormatting sqref="E165:T174">
    <cfRule type="containsBlanks" dxfId="1" priority="20">
      <formula>LEN(TRIM(E165))=0</formula>
    </cfRule>
  </conditionalFormatting>
  <conditionalFormatting sqref="E177:T186">
    <cfRule type="containsBlanks" dxfId="1" priority="21">
      <formula>LEN(TRIM(E177))=0</formula>
    </cfRule>
  </conditionalFormatting>
  <conditionalFormatting sqref="E189:T198">
    <cfRule type="containsBlanks" dxfId="1" priority="22">
      <formula>LEN(TRIM(E189))=0</formula>
    </cfRule>
  </conditionalFormatting>
  <conditionalFormatting sqref="E201:T210">
    <cfRule type="containsBlanks" dxfId="1" priority="23">
      <formula>LEN(TRIM(E201))=0</formula>
    </cfRule>
  </conditionalFormatting>
  <conditionalFormatting sqref="E213:T222">
    <cfRule type="containsBlanks" dxfId="1" priority="24">
      <formula>LEN(TRIM(E213))=0</formula>
    </cfRule>
  </conditionalFormatting>
  <conditionalFormatting sqref="E225:T234">
    <cfRule type="containsBlanks" dxfId="1" priority="25">
      <formula>LEN(TRIM(E225))=0</formula>
    </cfRule>
  </conditionalFormatting>
  <conditionalFormatting sqref="E237:T246">
    <cfRule type="containsBlanks" dxfId="1" priority="26">
      <formula>LEN(TRIM(E237))=0</formula>
    </cfRule>
  </conditionalFormatting>
  <conditionalFormatting sqref="E249:T258">
    <cfRule type="containsBlanks" dxfId="1" priority="27">
      <formula>LEN(TRIM(E249))=0</formula>
    </cfRule>
  </conditionalFormatting>
  <conditionalFormatting sqref="E262:T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96.0</v>
      </c>
      <c r="G14" s="19">
        <v>127.0</v>
      </c>
      <c r="H14" s="19">
        <v>128.0</v>
      </c>
      <c r="I14" s="19">
        <v>121.0</v>
      </c>
      <c r="J14" s="19">
        <v>117.0</v>
      </c>
      <c r="K14" s="19">
        <v>127.0</v>
      </c>
      <c r="L14" s="19">
        <v>141.0</v>
      </c>
      <c r="M14" s="19">
        <v>108.0</v>
      </c>
      <c r="N14" s="19">
        <v>125.0</v>
      </c>
      <c r="O14" s="19">
        <v>84.0</v>
      </c>
      <c r="P14" s="19">
        <v>68.0</v>
      </c>
      <c r="Q14" s="13">
        <f t="shared" ref="Q14:Q16" si="1">SUM(E14:P14)</f>
        <v>1366</v>
      </c>
    </row>
    <row r="15" ht="12.75" customHeight="1">
      <c r="A15" s="18"/>
      <c r="B15" s="26"/>
      <c r="C15" s="27"/>
      <c r="D15" s="19" t="s">
        <v>13</v>
      </c>
      <c r="E15" s="19">
        <v>125.0</v>
      </c>
      <c r="F15" s="19">
        <v>98.0</v>
      </c>
      <c r="G15" s="19">
        <v>137.0</v>
      </c>
      <c r="H15" s="19">
        <v>122.0</v>
      </c>
      <c r="I15" s="19">
        <v>141.0</v>
      </c>
      <c r="J15" s="19">
        <v>139.0</v>
      </c>
      <c r="K15" s="19">
        <v>142.0</v>
      </c>
      <c r="L15" s="19">
        <v>138.0</v>
      </c>
      <c r="M15" s="19">
        <v>119.0</v>
      </c>
      <c r="N15" s="19">
        <v>141.0</v>
      </c>
      <c r="O15" s="19">
        <v>99.0</v>
      </c>
      <c r="P15" s="19">
        <v>83.0</v>
      </c>
      <c r="Q15" s="13">
        <f t="shared" si="1"/>
        <v>1484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249</v>
      </c>
      <c r="F16" s="13">
        <f t="shared" si="2"/>
        <v>194</v>
      </c>
      <c r="G16" s="13">
        <f t="shared" si="2"/>
        <v>264</v>
      </c>
      <c r="H16" s="13">
        <f t="shared" si="2"/>
        <v>250</v>
      </c>
      <c r="I16" s="13">
        <f t="shared" si="2"/>
        <v>262</v>
      </c>
      <c r="J16" s="13">
        <f t="shared" si="2"/>
        <v>256</v>
      </c>
      <c r="K16" s="13">
        <f t="shared" si="2"/>
        <v>269</v>
      </c>
      <c r="L16" s="13">
        <f t="shared" si="2"/>
        <v>279</v>
      </c>
      <c r="M16" s="13">
        <f t="shared" si="2"/>
        <v>227</v>
      </c>
      <c r="N16" s="13">
        <f t="shared" si="2"/>
        <v>266</v>
      </c>
      <c r="O16" s="13">
        <f t="shared" si="2"/>
        <v>183</v>
      </c>
      <c r="P16" s="13">
        <f t="shared" si="2"/>
        <v>151</v>
      </c>
      <c r="Q16" s="13">
        <f t="shared" si="1"/>
        <v>2850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85.0</v>
      </c>
      <c r="F19" s="19">
        <v>79.0</v>
      </c>
      <c r="G19" s="19">
        <v>88.0</v>
      </c>
      <c r="H19" s="19">
        <v>86.0</v>
      </c>
      <c r="I19" s="19">
        <v>93.0</v>
      </c>
      <c r="J19" s="19">
        <v>76.0</v>
      </c>
      <c r="K19" s="19">
        <v>105.0</v>
      </c>
      <c r="L19" s="19">
        <v>108.0</v>
      </c>
      <c r="M19" s="19">
        <v>75.0</v>
      </c>
      <c r="N19" s="19">
        <v>94.0</v>
      </c>
      <c r="O19" s="19">
        <v>62.0</v>
      </c>
      <c r="P19" s="19">
        <v>54.0</v>
      </c>
      <c r="Q19" s="13">
        <f t="shared" ref="Q19:Q30" si="3">SUM(E19:P19)</f>
        <v>1005</v>
      </c>
    </row>
    <row r="20" ht="12.75" customHeight="1">
      <c r="A20" s="33"/>
      <c r="B20" s="27"/>
      <c r="C20" s="34"/>
      <c r="D20" s="19" t="s">
        <v>13</v>
      </c>
      <c r="E20" s="19">
        <v>101.0</v>
      </c>
      <c r="F20" s="19">
        <v>79.0</v>
      </c>
      <c r="G20" s="19">
        <v>101.0</v>
      </c>
      <c r="H20" s="19">
        <v>94.0</v>
      </c>
      <c r="I20" s="19">
        <v>110.0</v>
      </c>
      <c r="J20" s="19">
        <v>111.0</v>
      </c>
      <c r="K20" s="19">
        <v>124.0</v>
      </c>
      <c r="L20" s="19">
        <v>105.0</v>
      </c>
      <c r="M20" s="19">
        <v>98.0</v>
      </c>
      <c r="N20" s="19">
        <v>106.0</v>
      </c>
      <c r="O20" s="19">
        <v>80.0</v>
      </c>
      <c r="P20" s="19">
        <v>62.0</v>
      </c>
      <c r="Q20" s="13">
        <f t="shared" si="3"/>
        <v>1171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186</v>
      </c>
      <c r="F21" s="13">
        <f t="shared" si="4"/>
        <v>158</v>
      </c>
      <c r="G21" s="13">
        <f t="shared" si="4"/>
        <v>189</v>
      </c>
      <c r="H21" s="13">
        <f t="shared" si="4"/>
        <v>180</v>
      </c>
      <c r="I21" s="13">
        <f t="shared" si="4"/>
        <v>203</v>
      </c>
      <c r="J21" s="13">
        <f t="shared" si="4"/>
        <v>187</v>
      </c>
      <c r="K21" s="13">
        <f t="shared" si="4"/>
        <v>229</v>
      </c>
      <c r="L21" s="13">
        <f t="shared" si="4"/>
        <v>213</v>
      </c>
      <c r="M21" s="13">
        <f t="shared" si="4"/>
        <v>173</v>
      </c>
      <c r="N21" s="13">
        <f t="shared" si="4"/>
        <v>200</v>
      </c>
      <c r="O21" s="13">
        <f t="shared" si="4"/>
        <v>142</v>
      </c>
      <c r="P21" s="13">
        <f t="shared" si="4"/>
        <v>116</v>
      </c>
      <c r="Q21" s="13">
        <f t="shared" si="3"/>
        <v>2176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1.0</v>
      </c>
      <c r="M22" s="19">
        <v>1.0</v>
      </c>
      <c r="N22" s="19">
        <v>4.0</v>
      </c>
      <c r="O22" s="19">
        <v>0.0</v>
      </c>
      <c r="P22" s="19">
        <v>1.0</v>
      </c>
      <c r="Q22" s="13">
        <f t="shared" si="3"/>
        <v>8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0.0</v>
      </c>
      <c r="N23" s="19">
        <v>3.0</v>
      </c>
      <c r="O23" s="19">
        <v>0.0</v>
      </c>
      <c r="P23" s="19">
        <v>0.0</v>
      </c>
      <c r="Q23" s="13">
        <f t="shared" si="3"/>
        <v>5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0</v>
      </c>
      <c r="F24" s="13">
        <f t="shared" si="5"/>
        <v>1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2</v>
      </c>
      <c r="K24" s="13">
        <f t="shared" si="5"/>
        <v>0</v>
      </c>
      <c r="L24" s="13">
        <f t="shared" si="5"/>
        <v>1</v>
      </c>
      <c r="M24" s="13">
        <f t="shared" si="5"/>
        <v>1</v>
      </c>
      <c r="N24" s="13">
        <f t="shared" si="5"/>
        <v>7</v>
      </c>
      <c r="O24" s="13">
        <f t="shared" si="5"/>
        <v>0</v>
      </c>
      <c r="P24" s="13">
        <f t="shared" si="5"/>
        <v>1</v>
      </c>
      <c r="Q24" s="13">
        <f t="shared" si="3"/>
        <v>13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2.0</v>
      </c>
      <c r="G25" s="19">
        <v>2.0</v>
      </c>
      <c r="H25" s="19">
        <v>1.0</v>
      </c>
      <c r="I25" s="19">
        <v>0.0</v>
      </c>
      <c r="J25" s="19">
        <v>1.0</v>
      </c>
      <c r="K25" s="19">
        <v>0.0</v>
      </c>
      <c r="L25" s="19">
        <v>0.0</v>
      </c>
      <c r="M25" s="19">
        <v>0.0</v>
      </c>
      <c r="N25" s="19">
        <v>0.0</v>
      </c>
      <c r="O25" s="19">
        <v>0.0</v>
      </c>
      <c r="P25" s="19">
        <v>1.0</v>
      </c>
      <c r="Q25" s="13">
        <f t="shared" si="3"/>
        <v>7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2.0</v>
      </c>
      <c r="H26" s="19">
        <v>0.0</v>
      </c>
      <c r="I26" s="19">
        <v>0.0</v>
      </c>
      <c r="J26" s="19">
        <v>1.0</v>
      </c>
      <c r="K26" s="19">
        <v>1.0</v>
      </c>
      <c r="L26" s="19">
        <v>0.0</v>
      </c>
      <c r="M26" s="19">
        <v>1.0</v>
      </c>
      <c r="N26" s="19">
        <v>0.0</v>
      </c>
      <c r="O26" s="19">
        <v>2.0</v>
      </c>
      <c r="P26" s="19">
        <v>1.0</v>
      </c>
      <c r="Q26" s="13">
        <f t="shared" si="3"/>
        <v>8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2</v>
      </c>
      <c r="G27" s="13">
        <f t="shared" si="6"/>
        <v>4</v>
      </c>
      <c r="H27" s="13">
        <f t="shared" si="6"/>
        <v>1</v>
      </c>
      <c r="I27" s="13">
        <f t="shared" si="6"/>
        <v>0</v>
      </c>
      <c r="J27" s="13">
        <f t="shared" si="6"/>
        <v>2</v>
      </c>
      <c r="K27" s="13">
        <f t="shared" si="6"/>
        <v>1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2</v>
      </c>
      <c r="P27" s="13">
        <f t="shared" si="6"/>
        <v>2</v>
      </c>
      <c r="Q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85</v>
      </c>
      <c r="F28" s="13">
        <f t="shared" si="7"/>
        <v>81</v>
      </c>
      <c r="G28" s="13">
        <f t="shared" si="7"/>
        <v>90</v>
      </c>
      <c r="H28" s="13">
        <f t="shared" si="7"/>
        <v>87</v>
      </c>
      <c r="I28" s="13">
        <f t="shared" si="7"/>
        <v>93</v>
      </c>
      <c r="J28" s="13">
        <f t="shared" si="7"/>
        <v>78</v>
      </c>
      <c r="K28" s="13">
        <f t="shared" si="7"/>
        <v>105</v>
      </c>
      <c r="L28" s="13">
        <f t="shared" si="7"/>
        <v>109</v>
      </c>
      <c r="M28" s="13">
        <f t="shared" si="7"/>
        <v>76</v>
      </c>
      <c r="N28" s="13">
        <f t="shared" si="7"/>
        <v>98</v>
      </c>
      <c r="O28" s="13">
        <f t="shared" si="7"/>
        <v>62</v>
      </c>
      <c r="P28" s="13">
        <f t="shared" si="7"/>
        <v>56</v>
      </c>
      <c r="Q28" s="13">
        <f t="shared" si="3"/>
        <v>1020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101</v>
      </c>
      <c r="F29" s="13">
        <f t="shared" si="8"/>
        <v>80</v>
      </c>
      <c r="G29" s="13">
        <f t="shared" si="8"/>
        <v>103</v>
      </c>
      <c r="H29" s="13">
        <f t="shared" si="8"/>
        <v>94</v>
      </c>
      <c r="I29" s="13">
        <f t="shared" si="8"/>
        <v>110</v>
      </c>
      <c r="J29" s="13">
        <f t="shared" si="8"/>
        <v>113</v>
      </c>
      <c r="K29" s="13">
        <f t="shared" si="8"/>
        <v>125</v>
      </c>
      <c r="L29" s="13">
        <f t="shared" si="8"/>
        <v>105</v>
      </c>
      <c r="M29" s="13">
        <f t="shared" si="8"/>
        <v>99</v>
      </c>
      <c r="N29" s="13">
        <f t="shared" si="8"/>
        <v>109</v>
      </c>
      <c r="O29" s="13">
        <f t="shared" si="8"/>
        <v>82</v>
      </c>
      <c r="P29" s="13">
        <f t="shared" si="8"/>
        <v>63</v>
      </c>
      <c r="Q29" s="13">
        <f t="shared" si="3"/>
        <v>1184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186</v>
      </c>
      <c r="F30" s="13">
        <f t="shared" si="9"/>
        <v>161</v>
      </c>
      <c r="G30" s="13">
        <f t="shared" si="9"/>
        <v>193</v>
      </c>
      <c r="H30" s="13">
        <f t="shared" si="9"/>
        <v>181</v>
      </c>
      <c r="I30" s="13">
        <f t="shared" si="9"/>
        <v>203</v>
      </c>
      <c r="J30" s="13">
        <f t="shared" si="9"/>
        <v>191</v>
      </c>
      <c r="K30" s="13">
        <f t="shared" si="9"/>
        <v>230</v>
      </c>
      <c r="L30" s="13">
        <f t="shared" si="9"/>
        <v>214</v>
      </c>
      <c r="M30" s="13">
        <f t="shared" si="9"/>
        <v>175</v>
      </c>
      <c r="N30" s="13">
        <f t="shared" si="9"/>
        <v>207</v>
      </c>
      <c r="O30" s="13">
        <f t="shared" si="9"/>
        <v>144</v>
      </c>
      <c r="P30" s="13">
        <f t="shared" si="9"/>
        <v>119</v>
      </c>
      <c r="Q30" s="13">
        <f t="shared" si="3"/>
        <v>2204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6"/>
    </row>
    <row r="33" ht="12.75" customHeight="1">
      <c r="A33" s="19">
        <v>1.0</v>
      </c>
      <c r="B33" s="20" t="s">
        <v>27</v>
      </c>
      <c r="C33" s="15"/>
      <c r="D33" s="16"/>
      <c r="E33" s="19">
        <v>254.0</v>
      </c>
      <c r="F33" s="19">
        <v>198.0</v>
      </c>
      <c r="G33" s="19">
        <v>270.0</v>
      </c>
      <c r="H33" s="19">
        <v>255.0</v>
      </c>
      <c r="I33" s="19">
        <v>268.0</v>
      </c>
      <c r="J33" s="19">
        <v>262.0</v>
      </c>
      <c r="K33" s="19">
        <v>275.0</v>
      </c>
      <c r="L33" s="19">
        <v>263.0</v>
      </c>
      <c r="M33" s="19">
        <v>232.0</v>
      </c>
      <c r="N33" s="19">
        <v>272.0</v>
      </c>
      <c r="O33" s="19">
        <v>187.0</v>
      </c>
      <c r="P33" s="19">
        <v>155.0</v>
      </c>
      <c r="Q33" s="13">
        <f t="shared" ref="Q33:Q36" si="10">SUM(E33:P33)</f>
        <v>2891</v>
      </c>
    </row>
    <row r="34" ht="12.75" customHeight="1">
      <c r="A34" s="19">
        <v>2.0</v>
      </c>
      <c r="B34" s="20" t="s">
        <v>28</v>
      </c>
      <c r="C34" s="15"/>
      <c r="D34" s="16"/>
      <c r="E34" s="13">
        <v>186.0</v>
      </c>
      <c r="F34" s="13">
        <v>161.0</v>
      </c>
      <c r="G34" s="13">
        <v>193.0</v>
      </c>
      <c r="H34" s="13">
        <v>181.0</v>
      </c>
      <c r="I34" s="13">
        <v>203.0</v>
      </c>
      <c r="J34" s="13">
        <v>191.0</v>
      </c>
      <c r="K34" s="13">
        <v>230.0</v>
      </c>
      <c r="L34" s="13">
        <v>214.0</v>
      </c>
      <c r="M34" s="13">
        <v>175.0</v>
      </c>
      <c r="N34" s="13">
        <v>207.0</v>
      </c>
      <c r="O34" s="13">
        <v>144.0</v>
      </c>
      <c r="P34" s="13">
        <v>119.0</v>
      </c>
      <c r="Q34" s="13">
        <f t="shared" si="10"/>
        <v>2204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1.0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68</v>
      </c>
      <c r="F36" s="13">
        <f t="shared" si="11"/>
        <v>37</v>
      </c>
      <c r="G36" s="13">
        <f t="shared" si="11"/>
        <v>77</v>
      </c>
      <c r="H36" s="13">
        <f t="shared" si="11"/>
        <v>74</v>
      </c>
      <c r="I36" s="13">
        <f t="shared" si="11"/>
        <v>65</v>
      </c>
      <c r="J36" s="13">
        <f t="shared" si="11"/>
        <v>69</v>
      </c>
      <c r="K36" s="13">
        <f t="shared" si="11"/>
        <v>44</v>
      </c>
      <c r="L36" s="13">
        <f t="shared" si="11"/>
        <v>49</v>
      </c>
      <c r="M36" s="13">
        <f t="shared" si="11"/>
        <v>57</v>
      </c>
      <c r="N36" s="13">
        <f t="shared" si="11"/>
        <v>65</v>
      </c>
      <c r="O36" s="13">
        <f t="shared" si="11"/>
        <v>43</v>
      </c>
      <c r="P36" s="13">
        <f t="shared" si="11"/>
        <v>36</v>
      </c>
      <c r="Q36" s="13">
        <f t="shared" si="10"/>
        <v>684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6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2.0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3">
        <f t="shared" ref="Q39:Q41" si="12">SUM(E39:P39)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4.0</v>
      </c>
      <c r="K40" s="19">
        <v>0.0</v>
      </c>
      <c r="L40" s="19">
        <v>0.0</v>
      </c>
      <c r="M40" s="19">
        <v>0.0</v>
      </c>
      <c r="N40" s="19">
        <v>4.0</v>
      </c>
      <c r="O40" s="19">
        <v>0.0</v>
      </c>
      <c r="P40" s="19">
        <v>0.0</v>
      </c>
      <c r="Q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2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4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5</v>
      </c>
      <c r="O41" s="13">
        <f t="shared" si="13"/>
        <v>0</v>
      </c>
      <c r="P41" s="13">
        <f t="shared" si="13"/>
        <v>0</v>
      </c>
      <c r="Q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8.0</v>
      </c>
      <c r="F45" s="19">
        <v>7.0</v>
      </c>
      <c r="G45" s="19">
        <v>3.0</v>
      </c>
      <c r="H45" s="19">
        <v>4.0</v>
      </c>
      <c r="I45" s="19">
        <v>9.0</v>
      </c>
      <c r="J45" s="19">
        <v>6.0</v>
      </c>
      <c r="K45" s="19">
        <v>12.0</v>
      </c>
      <c r="L45" s="19">
        <v>6.0</v>
      </c>
      <c r="M45" s="19">
        <v>13.0</v>
      </c>
      <c r="N45" s="19">
        <v>12.0</v>
      </c>
      <c r="O45" s="19">
        <v>5.0</v>
      </c>
      <c r="P45" s="19">
        <v>9.0</v>
      </c>
      <c r="Q45" s="13">
        <f t="shared" ref="Q45:Q54" si="14">SUM(E45:P45)</f>
        <v>94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14.0</v>
      </c>
      <c r="G46" s="19">
        <v>8.0</v>
      </c>
      <c r="H46" s="19">
        <v>6.0</v>
      </c>
      <c r="I46" s="19">
        <v>19.0</v>
      </c>
      <c r="J46" s="19">
        <v>4.0</v>
      </c>
      <c r="K46" s="19">
        <v>9.0</v>
      </c>
      <c r="L46" s="19">
        <v>10.0</v>
      </c>
      <c r="M46" s="19">
        <v>26.0</v>
      </c>
      <c r="N46" s="19">
        <v>38.0</v>
      </c>
      <c r="O46" s="19">
        <v>2.0</v>
      </c>
      <c r="P46" s="19">
        <v>7.0</v>
      </c>
      <c r="Q46" s="13">
        <f t="shared" si="14"/>
        <v>156</v>
      </c>
    </row>
    <row r="47" ht="12.75" customHeight="1">
      <c r="A47" s="18"/>
      <c r="B47" s="55">
        <v>2.0</v>
      </c>
      <c r="C47" s="50" t="s">
        <v>41</v>
      </c>
      <c r="D47" s="16"/>
      <c r="E47" s="19">
        <v>7.0</v>
      </c>
      <c r="F47" s="19">
        <v>6.0</v>
      </c>
      <c r="G47" s="19">
        <v>2.0</v>
      </c>
      <c r="H47" s="19">
        <v>1.0</v>
      </c>
      <c r="I47" s="19">
        <v>4.0</v>
      </c>
      <c r="J47" s="19">
        <v>2.0</v>
      </c>
      <c r="K47" s="19">
        <v>7.0</v>
      </c>
      <c r="L47" s="19">
        <v>1.0</v>
      </c>
      <c r="M47" s="19">
        <v>0.0</v>
      </c>
      <c r="N47" s="19">
        <v>5.0</v>
      </c>
      <c r="O47" s="19">
        <v>1.0</v>
      </c>
      <c r="P47" s="19">
        <v>1.0</v>
      </c>
      <c r="Q47" s="13">
        <f t="shared" si="14"/>
        <v>37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4.0</v>
      </c>
      <c r="G48" s="19">
        <v>0.0</v>
      </c>
      <c r="H48" s="19">
        <v>0.0</v>
      </c>
      <c r="I48" s="19">
        <v>0.0</v>
      </c>
      <c r="J48" s="19">
        <v>0.0</v>
      </c>
      <c r="K48" s="19">
        <v>0.0</v>
      </c>
      <c r="L48" s="19">
        <v>1.0</v>
      </c>
      <c r="M48" s="19">
        <v>1.0</v>
      </c>
      <c r="N48" s="19">
        <v>2.0</v>
      </c>
      <c r="O48" s="19">
        <v>0.0</v>
      </c>
      <c r="P48" s="19">
        <v>0.0</v>
      </c>
      <c r="Q48" s="13">
        <f t="shared" si="14"/>
        <v>10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2.0</v>
      </c>
      <c r="N49" s="19">
        <v>0.0</v>
      </c>
      <c r="O49" s="19">
        <v>0.0</v>
      </c>
      <c r="P49" s="19">
        <v>2.0</v>
      </c>
      <c r="Q49" s="13">
        <f t="shared" si="14"/>
        <v>7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2.0</v>
      </c>
      <c r="G50" s="19">
        <v>0.0</v>
      </c>
      <c r="H50" s="19">
        <v>0.0</v>
      </c>
      <c r="I50" s="19">
        <v>2.0</v>
      </c>
      <c r="J50" s="19">
        <v>0.0</v>
      </c>
      <c r="K50" s="19">
        <v>1.0</v>
      </c>
      <c r="L50" s="19">
        <v>0.0</v>
      </c>
      <c r="M50" s="19">
        <v>0.0</v>
      </c>
      <c r="N50" s="19">
        <v>1.0</v>
      </c>
      <c r="O50" s="19">
        <v>1.0</v>
      </c>
      <c r="P50" s="19">
        <v>0.0</v>
      </c>
      <c r="Q50" s="13">
        <f t="shared" si="14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1.0</v>
      </c>
      <c r="L51" s="19">
        <v>0.0</v>
      </c>
      <c r="M51" s="19">
        <v>0.0</v>
      </c>
      <c r="N51" s="19">
        <v>0.0</v>
      </c>
      <c r="O51" s="19">
        <v>1.0</v>
      </c>
      <c r="P51" s="19">
        <v>0.0</v>
      </c>
      <c r="Q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1.0</v>
      </c>
      <c r="M52" s="19">
        <v>1.0</v>
      </c>
      <c r="N52" s="19">
        <v>0.0</v>
      </c>
      <c r="O52" s="19">
        <v>0.0</v>
      </c>
      <c r="P52" s="19">
        <v>0.0</v>
      </c>
      <c r="Q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Q55" si="15">SUM(E45:E54)</f>
        <v>32</v>
      </c>
      <c r="F55" s="13">
        <f t="shared" si="15"/>
        <v>34</v>
      </c>
      <c r="G55" s="13">
        <f t="shared" si="15"/>
        <v>14</v>
      </c>
      <c r="H55" s="13">
        <f t="shared" si="15"/>
        <v>11</v>
      </c>
      <c r="I55" s="13">
        <f t="shared" si="15"/>
        <v>35</v>
      </c>
      <c r="J55" s="13">
        <f t="shared" si="15"/>
        <v>12</v>
      </c>
      <c r="K55" s="13">
        <f t="shared" si="15"/>
        <v>30</v>
      </c>
      <c r="L55" s="13">
        <f t="shared" si="15"/>
        <v>19</v>
      </c>
      <c r="M55" s="13">
        <f t="shared" si="15"/>
        <v>43</v>
      </c>
      <c r="N55" s="13">
        <f t="shared" si="15"/>
        <v>58</v>
      </c>
      <c r="O55" s="13">
        <f t="shared" si="15"/>
        <v>10</v>
      </c>
      <c r="P55" s="13">
        <f t="shared" si="15"/>
        <v>19</v>
      </c>
      <c r="Q55" s="13">
        <f t="shared" si="15"/>
        <v>317</v>
      </c>
    </row>
    <row r="56" ht="12.75" customHeight="1">
      <c r="A56" s="45"/>
      <c r="B56" s="44"/>
      <c r="C56" s="44"/>
      <c r="D56" s="44"/>
      <c r="E56" s="44"/>
      <c r="Q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19.0</v>
      </c>
      <c r="G57" s="19">
        <v>12.0</v>
      </c>
      <c r="H57" s="19">
        <v>11.0</v>
      </c>
      <c r="I57" s="19">
        <v>4.0</v>
      </c>
      <c r="J57" s="19">
        <v>18.0</v>
      </c>
      <c r="K57" s="19">
        <v>9.0</v>
      </c>
      <c r="L57" s="19">
        <v>3.0</v>
      </c>
      <c r="M57" s="19">
        <v>11.0</v>
      </c>
      <c r="N57" s="19">
        <v>20.0</v>
      </c>
      <c r="O57" s="19">
        <v>2.0</v>
      </c>
      <c r="P57" s="19">
        <v>5.0</v>
      </c>
      <c r="Q57" s="13">
        <f t="shared" ref="Q57:Q66" si="16">SUM(E57:P57)</f>
        <v>127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3.0</v>
      </c>
      <c r="F58" s="19">
        <v>8.0</v>
      </c>
      <c r="G58" s="19">
        <v>4.0</v>
      </c>
      <c r="H58" s="19">
        <v>5.0</v>
      </c>
      <c r="I58" s="19">
        <v>11.0</v>
      </c>
      <c r="J58" s="19">
        <v>10.0</v>
      </c>
      <c r="K58" s="19">
        <v>17.0</v>
      </c>
      <c r="L58" s="19">
        <v>5.0</v>
      </c>
      <c r="M58" s="19">
        <v>15.0</v>
      </c>
      <c r="N58" s="19">
        <v>8.0</v>
      </c>
      <c r="O58" s="19">
        <v>9.0</v>
      </c>
      <c r="P58" s="19">
        <v>4.0</v>
      </c>
      <c r="Q58" s="13">
        <f t="shared" si="16"/>
        <v>99</v>
      </c>
    </row>
    <row r="59" ht="12.75" customHeight="1">
      <c r="A59" s="18"/>
      <c r="B59" s="55">
        <v>2.0</v>
      </c>
      <c r="C59" s="50" t="s">
        <v>50</v>
      </c>
      <c r="D59" s="59"/>
      <c r="E59" s="19">
        <v>2.0</v>
      </c>
      <c r="F59" s="19">
        <v>5.0</v>
      </c>
      <c r="G59" s="19">
        <v>4.0</v>
      </c>
      <c r="H59" s="19">
        <v>3.0</v>
      </c>
      <c r="I59" s="19">
        <v>5.0</v>
      </c>
      <c r="J59" s="19">
        <v>4.0</v>
      </c>
      <c r="K59" s="19">
        <v>5.0</v>
      </c>
      <c r="L59" s="19">
        <v>3.0</v>
      </c>
      <c r="M59" s="19">
        <v>4.0</v>
      </c>
      <c r="N59" s="19">
        <v>3.0</v>
      </c>
      <c r="O59" s="19">
        <v>1.0</v>
      </c>
      <c r="P59" s="19">
        <v>0.0</v>
      </c>
      <c r="Q59" s="13">
        <f t="shared" si="16"/>
        <v>39</v>
      </c>
    </row>
    <row r="60" ht="12.75" customHeight="1">
      <c r="A60" s="18"/>
      <c r="B60" s="55">
        <v>3.0</v>
      </c>
      <c r="C60" s="50" t="s">
        <v>51</v>
      </c>
      <c r="D60" s="59"/>
      <c r="E60" s="19">
        <v>1.0</v>
      </c>
      <c r="F60" s="19">
        <v>0.0</v>
      </c>
      <c r="G60" s="19">
        <v>2.0</v>
      </c>
      <c r="H60" s="19">
        <v>0.0</v>
      </c>
      <c r="I60" s="19">
        <v>3.0</v>
      </c>
      <c r="J60" s="19">
        <v>0.0</v>
      </c>
      <c r="K60" s="19">
        <v>1.0</v>
      </c>
      <c r="L60" s="19">
        <v>0.0</v>
      </c>
      <c r="M60" s="19">
        <v>3.0</v>
      </c>
      <c r="N60" s="19">
        <v>1.0</v>
      </c>
      <c r="O60" s="19">
        <v>0.0</v>
      </c>
      <c r="P60" s="19">
        <v>0.0</v>
      </c>
      <c r="Q60" s="13">
        <f t="shared" si="16"/>
        <v>11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0.0</v>
      </c>
      <c r="G61" s="19">
        <v>2.0</v>
      </c>
      <c r="H61" s="19">
        <v>0.0</v>
      </c>
      <c r="I61" s="19">
        <v>1.0</v>
      </c>
      <c r="J61" s="19">
        <v>3.0</v>
      </c>
      <c r="K61" s="19">
        <v>1.0</v>
      </c>
      <c r="L61" s="19">
        <v>0.0</v>
      </c>
      <c r="M61" s="19">
        <v>3.0</v>
      </c>
      <c r="N61" s="19">
        <v>1.0</v>
      </c>
      <c r="O61" s="19">
        <v>2.0</v>
      </c>
      <c r="P61" s="19">
        <v>2.0</v>
      </c>
      <c r="Q61" s="13">
        <f t="shared" si="16"/>
        <v>15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1.0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1.0</v>
      </c>
      <c r="G63" s="19">
        <v>0.0</v>
      </c>
      <c r="H63" s="19">
        <v>0.0</v>
      </c>
      <c r="I63" s="19">
        <v>0.0</v>
      </c>
      <c r="J63" s="19">
        <v>3.0</v>
      </c>
      <c r="K63" s="19">
        <v>2.0</v>
      </c>
      <c r="L63" s="19">
        <v>1.0</v>
      </c>
      <c r="M63" s="19">
        <v>0.0</v>
      </c>
      <c r="N63" s="19">
        <v>0.0</v>
      </c>
      <c r="O63" s="19">
        <v>0.0</v>
      </c>
      <c r="P63" s="19">
        <v>2.0</v>
      </c>
      <c r="Q63" s="13">
        <f t="shared" si="16"/>
        <v>10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0.0</v>
      </c>
      <c r="H64" s="19">
        <v>2.0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3">
        <f t="shared" si="16"/>
        <v>2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Q67" si="17">SUM(E57:E66)</f>
        <v>20</v>
      </c>
      <c r="F67" s="13">
        <f t="shared" si="17"/>
        <v>33</v>
      </c>
      <c r="G67" s="13">
        <f t="shared" si="17"/>
        <v>24</v>
      </c>
      <c r="H67" s="13">
        <f t="shared" si="17"/>
        <v>22</v>
      </c>
      <c r="I67" s="13">
        <f t="shared" si="17"/>
        <v>25</v>
      </c>
      <c r="J67" s="13">
        <f t="shared" si="17"/>
        <v>38</v>
      </c>
      <c r="K67" s="13">
        <f t="shared" si="17"/>
        <v>35</v>
      </c>
      <c r="L67" s="13">
        <f t="shared" si="17"/>
        <v>12</v>
      </c>
      <c r="M67" s="13">
        <f t="shared" si="17"/>
        <v>36</v>
      </c>
      <c r="N67" s="13">
        <f t="shared" si="17"/>
        <v>33</v>
      </c>
      <c r="O67" s="13">
        <f t="shared" si="17"/>
        <v>14</v>
      </c>
      <c r="P67" s="13">
        <f t="shared" si="17"/>
        <v>13</v>
      </c>
      <c r="Q67" s="13">
        <f t="shared" si="17"/>
        <v>305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9.0</v>
      </c>
      <c r="F69" s="19">
        <v>7.0</v>
      </c>
      <c r="G69" s="19">
        <v>5.0</v>
      </c>
      <c r="H69" s="19">
        <v>15.0</v>
      </c>
      <c r="I69" s="19">
        <v>6.0</v>
      </c>
      <c r="J69" s="19">
        <v>10.0</v>
      </c>
      <c r="K69" s="19">
        <v>14.0</v>
      </c>
      <c r="L69" s="19">
        <v>14.0</v>
      </c>
      <c r="M69" s="19">
        <v>6.0</v>
      </c>
      <c r="N69" s="19">
        <v>11.0</v>
      </c>
      <c r="O69" s="19">
        <v>11.0</v>
      </c>
      <c r="P69" s="19">
        <v>7.0</v>
      </c>
      <c r="Q69" s="13">
        <f t="shared" ref="Q69:Q78" si="18">SUM(E69:P69)</f>
        <v>115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2.0</v>
      </c>
      <c r="F70" s="19">
        <v>19.0</v>
      </c>
      <c r="G70" s="19">
        <v>18.0</v>
      </c>
      <c r="H70" s="19">
        <v>22.0</v>
      </c>
      <c r="I70" s="19">
        <v>34.0</v>
      </c>
      <c r="J70" s="19">
        <v>27.0</v>
      </c>
      <c r="K70" s="19">
        <v>33.0</v>
      </c>
      <c r="L70" s="19">
        <v>63.0</v>
      </c>
      <c r="M70" s="19">
        <v>13.0</v>
      </c>
      <c r="N70" s="19">
        <v>11.0</v>
      </c>
      <c r="O70" s="19">
        <v>57.0</v>
      </c>
      <c r="P70" s="19">
        <v>16.0</v>
      </c>
      <c r="Q70" s="13">
        <f t="shared" si="18"/>
        <v>315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1.0</v>
      </c>
      <c r="G71" s="19">
        <v>1.0</v>
      </c>
      <c r="H71" s="19">
        <v>4.0</v>
      </c>
      <c r="I71" s="19">
        <v>0.0</v>
      </c>
      <c r="J71" s="19">
        <v>3.0</v>
      </c>
      <c r="K71" s="19">
        <v>4.0</v>
      </c>
      <c r="L71" s="19">
        <v>3.0</v>
      </c>
      <c r="M71" s="19">
        <v>3.0</v>
      </c>
      <c r="N71" s="19">
        <v>4.0</v>
      </c>
      <c r="O71" s="19">
        <v>5.0</v>
      </c>
      <c r="P71" s="19">
        <v>4.0</v>
      </c>
      <c r="Q71" s="13">
        <f t="shared" si="18"/>
        <v>34</v>
      </c>
    </row>
    <row r="72" ht="12.75" customHeight="1">
      <c r="A72" s="18"/>
      <c r="B72" s="55">
        <v>3.0</v>
      </c>
      <c r="C72" s="50" t="s">
        <v>59</v>
      </c>
      <c r="D72" s="60"/>
      <c r="E72" s="19">
        <v>18.0</v>
      </c>
      <c r="F72" s="19">
        <v>2.0</v>
      </c>
      <c r="G72" s="19">
        <v>13.0</v>
      </c>
      <c r="H72" s="19">
        <v>24.0</v>
      </c>
      <c r="I72" s="19">
        <v>4.0</v>
      </c>
      <c r="J72" s="19">
        <v>3.0</v>
      </c>
      <c r="K72" s="19">
        <v>6.0</v>
      </c>
      <c r="L72" s="19">
        <v>13.0</v>
      </c>
      <c r="M72" s="19">
        <v>1.0</v>
      </c>
      <c r="N72" s="19">
        <v>2.0</v>
      </c>
      <c r="O72" s="19">
        <v>8.0</v>
      </c>
      <c r="P72" s="19">
        <v>2.0</v>
      </c>
      <c r="Q72" s="13">
        <f t="shared" si="18"/>
        <v>96</v>
      </c>
    </row>
    <row r="73" ht="12.75" customHeight="1">
      <c r="A73" s="18"/>
      <c r="B73" s="55">
        <v>4.0</v>
      </c>
      <c r="C73" s="50" t="s">
        <v>60</v>
      </c>
      <c r="D73" s="60"/>
      <c r="E73" s="19">
        <v>0.0</v>
      </c>
      <c r="F73" s="19">
        <v>0.0</v>
      </c>
      <c r="G73" s="19">
        <v>1.0</v>
      </c>
      <c r="H73" s="19">
        <v>0.0</v>
      </c>
      <c r="I73" s="19">
        <v>0.0</v>
      </c>
      <c r="J73" s="19">
        <v>1.0</v>
      </c>
      <c r="K73" s="19">
        <v>0.0</v>
      </c>
      <c r="L73" s="19">
        <v>1.0</v>
      </c>
      <c r="M73" s="19">
        <v>0.0</v>
      </c>
      <c r="N73" s="19">
        <v>1.0</v>
      </c>
      <c r="O73" s="19">
        <v>0.0</v>
      </c>
      <c r="P73" s="19">
        <v>0.0</v>
      </c>
      <c r="Q73" s="13">
        <f t="shared" si="18"/>
        <v>4</v>
      </c>
    </row>
    <row r="74" ht="12.75" customHeight="1">
      <c r="A74" s="18"/>
      <c r="B74" s="55">
        <v>5.0</v>
      </c>
      <c r="C74" s="50" t="s">
        <v>61</v>
      </c>
      <c r="D74" s="60"/>
      <c r="E74" s="19">
        <v>3.0</v>
      </c>
      <c r="F74" s="19">
        <v>2.0</v>
      </c>
      <c r="G74" s="19">
        <v>32.0</v>
      </c>
      <c r="H74" s="19">
        <v>8.0</v>
      </c>
      <c r="I74" s="19">
        <v>17.0</v>
      </c>
      <c r="J74" s="19">
        <v>21.0</v>
      </c>
      <c r="K74" s="19">
        <v>31.0</v>
      </c>
      <c r="L74" s="19">
        <v>9.0</v>
      </c>
      <c r="M74" s="19">
        <v>2.0</v>
      </c>
      <c r="N74" s="19">
        <v>6.0</v>
      </c>
      <c r="O74" s="19">
        <v>0.0</v>
      </c>
      <c r="P74" s="19">
        <v>5.0</v>
      </c>
      <c r="Q74" s="13">
        <f t="shared" si="18"/>
        <v>136</v>
      </c>
    </row>
    <row r="75" ht="12.75" customHeight="1">
      <c r="A75" s="18"/>
      <c r="B75" s="55">
        <v>6.0</v>
      </c>
      <c r="C75" s="50" t="s">
        <v>62</v>
      </c>
      <c r="D75" s="60"/>
      <c r="E75" s="19">
        <v>2.0</v>
      </c>
      <c r="F75" s="19">
        <v>0.0</v>
      </c>
      <c r="G75" s="19">
        <v>0.0</v>
      </c>
      <c r="H75" s="19">
        <v>0.0</v>
      </c>
      <c r="I75" s="19">
        <v>3.0</v>
      </c>
      <c r="J75" s="19">
        <v>0.0</v>
      </c>
      <c r="K75" s="19">
        <v>2.0</v>
      </c>
      <c r="L75" s="19">
        <v>0.0</v>
      </c>
      <c r="M75" s="19">
        <v>3.0</v>
      </c>
      <c r="N75" s="19">
        <v>0.0</v>
      </c>
      <c r="O75" s="19">
        <v>3.0</v>
      </c>
      <c r="P75" s="19">
        <v>1.0</v>
      </c>
      <c r="Q75" s="13">
        <f t="shared" si="18"/>
        <v>14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1.0</v>
      </c>
      <c r="I76" s="19">
        <v>0.0</v>
      </c>
      <c r="J76" s="19">
        <v>0.0</v>
      </c>
      <c r="K76" s="19">
        <v>0.0</v>
      </c>
      <c r="L76" s="19">
        <v>0.0</v>
      </c>
      <c r="M76" s="19">
        <v>1.0</v>
      </c>
      <c r="N76" s="19">
        <v>0.0</v>
      </c>
      <c r="O76" s="19">
        <v>0.0</v>
      </c>
      <c r="P76" s="19">
        <v>0.0</v>
      </c>
      <c r="Q76" s="13">
        <f t="shared" si="18"/>
        <v>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Q79" si="19">SUM(E69:E78)</f>
        <v>37</v>
      </c>
      <c r="F79" s="13">
        <f t="shared" si="19"/>
        <v>31</v>
      </c>
      <c r="G79" s="13">
        <f t="shared" si="19"/>
        <v>70</v>
      </c>
      <c r="H79" s="13">
        <f t="shared" si="19"/>
        <v>74</v>
      </c>
      <c r="I79" s="13">
        <f t="shared" si="19"/>
        <v>64</v>
      </c>
      <c r="J79" s="13">
        <f t="shared" si="19"/>
        <v>65</v>
      </c>
      <c r="K79" s="13">
        <f t="shared" si="19"/>
        <v>90</v>
      </c>
      <c r="L79" s="13">
        <f t="shared" si="19"/>
        <v>103</v>
      </c>
      <c r="M79" s="13">
        <f t="shared" si="19"/>
        <v>29</v>
      </c>
      <c r="N79" s="13">
        <f t="shared" si="19"/>
        <v>35</v>
      </c>
      <c r="O79" s="13">
        <f t="shared" si="19"/>
        <v>84</v>
      </c>
      <c r="P79" s="13">
        <f t="shared" si="19"/>
        <v>35</v>
      </c>
      <c r="Q79" s="13">
        <f t="shared" si="19"/>
        <v>717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1.0</v>
      </c>
      <c r="F81" s="19">
        <v>1.0</v>
      </c>
      <c r="G81" s="19">
        <v>2.0</v>
      </c>
      <c r="H81" s="19">
        <v>6.0</v>
      </c>
      <c r="I81" s="19">
        <v>4.0</v>
      </c>
      <c r="J81" s="19">
        <v>7.0</v>
      </c>
      <c r="K81" s="19">
        <v>2.0</v>
      </c>
      <c r="L81" s="19">
        <v>1.0</v>
      </c>
      <c r="M81" s="19">
        <v>3.0</v>
      </c>
      <c r="N81" s="19">
        <v>0.0</v>
      </c>
      <c r="O81" s="19">
        <v>1.0</v>
      </c>
      <c r="P81" s="19">
        <v>2.0</v>
      </c>
      <c r="Q81" s="13">
        <f t="shared" ref="Q81:Q90" si="20">SUM(E81:P81)</f>
        <v>30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28.0</v>
      </c>
      <c r="F82" s="19">
        <v>2.0</v>
      </c>
      <c r="G82" s="19">
        <v>11.0</v>
      </c>
      <c r="H82" s="19">
        <v>22.0</v>
      </c>
      <c r="I82" s="19">
        <v>5.0</v>
      </c>
      <c r="J82" s="19">
        <v>11.0</v>
      </c>
      <c r="K82" s="19">
        <v>0.0</v>
      </c>
      <c r="L82" s="19">
        <v>9.0</v>
      </c>
      <c r="M82" s="19">
        <v>1.0</v>
      </c>
      <c r="N82" s="19">
        <v>5.0</v>
      </c>
      <c r="O82" s="19">
        <v>2.0</v>
      </c>
      <c r="P82" s="19">
        <v>2.0</v>
      </c>
      <c r="Q82" s="13">
        <f t="shared" si="20"/>
        <v>98</v>
      </c>
    </row>
    <row r="83" ht="12.75" customHeight="1">
      <c r="A83" s="18"/>
      <c r="B83" s="55">
        <v>2.0</v>
      </c>
      <c r="C83" s="50" t="s">
        <v>66</v>
      </c>
      <c r="D83" s="60"/>
      <c r="E83" s="19">
        <v>2.0</v>
      </c>
      <c r="F83" s="19">
        <v>1.0</v>
      </c>
      <c r="G83" s="19">
        <v>9.0</v>
      </c>
      <c r="H83" s="19">
        <v>1.0</v>
      </c>
      <c r="I83" s="19">
        <v>1.0</v>
      </c>
      <c r="J83" s="19">
        <v>3.0</v>
      </c>
      <c r="K83" s="19">
        <v>5.0</v>
      </c>
      <c r="L83" s="19">
        <v>6.0</v>
      </c>
      <c r="M83" s="19">
        <v>5.0</v>
      </c>
      <c r="N83" s="19">
        <v>10.0</v>
      </c>
      <c r="O83" s="19">
        <v>2.0</v>
      </c>
      <c r="P83" s="19">
        <v>2.0</v>
      </c>
      <c r="Q83" s="13">
        <f t="shared" si="20"/>
        <v>47</v>
      </c>
    </row>
    <row r="84" ht="12.75" customHeight="1">
      <c r="A84" s="18"/>
      <c r="B84" s="55">
        <v>3.0</v>
      </c>
      <c r="C84" s="50" t="s">
        <v>67</v>
      </c>
      <c r="D84" s="60"/>
      <c r="E84" s="19">
        <v>1.0</v>
      </c>
      <c r="F84" s="19">
        <v>0.0</v>
      </c>
      <c r="G84" s="19">
        <v>1.0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1.0</v>
      </c>
      <c r="N84" s="19">
        <v>0.0</v>
      </c>
      <c r="O84" s="19">
        <v>0.0</v>
      </c>
      <c r="P84" s="19">
        <v>0.0</v>
      </c>
      <c r="Q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60"/>
      <c r="E85" s="19">
        <v>3.0</v>
      </c>
      <c r="F85" s="19">
        <v>0.0</v>
      </c>
      <c r="G85" s="19">
        <v>1.0</v>
      </c>
      <c r="H85" s="19">
        <v>1.0</v>
      </c>
      <c r="I85" s="19">
        <v>2.0</v>
      </c>
      <c r="J85" s="19">
        <v>0.0</v>
      </c>
      <c r="K85" s="19">
        <v>2.0</v>
      </c>
      <c r="L85" s="19">
        <v>1.0</v>
      </c>
      <c r="M85" s="19">
        <v>1.0</v>
      </c>
      <c r="N85" s="19">
        <v>0.0</v>
      </c>
      <c r="O85" s="19">
        <v>0.0</v>
      </c>
      <c r="P85" s="19">
        <v>0.0</v>
      </c>
      <c r="Q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3.0</v>
      </c>
      <c r="K86" s="19">
        <v>0.0</v>
      </c>
      <c r="L86" s="19">
        <v>0.0</v>
      </c>
      <c r="M86" s="19">
        <v>0.0</v>
      </c>
      <c r="N86" s="19">
        <v>0.0</v>
      </c>
      <c r="O86" s="19">
        <v>0.0</v>
      </c>
      <c r="P86" s="19">
        <v>2.0</v>
      </c>
      <c r="Q86" s="13">
        <f t="shared" si="20"/>
        <v>6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Q91" si="21">SUM(E81:E90)</f>
        <v>35</v>
      </c>
      <c r="F91" s="13">
        <f t="shared" si="21"/>
        <v>4</v>
      </c>
      <c r="G91" s="13">
        <f t="shared" si="21"/>
        <v>25</v>
      </c>
      <c r="H91" s="13">
        <f t="shared" si="21"/>
        <v>31</v>
      </c>
      <c r="I91" s="13">
        <f t="shared" si="21"/>
        <v>12</v>
      </c>
      <c r="J91" s="13">
        <f t="shared" si="21"/>
        <v>24</v>
      </c>
      <c r="K91" s="13">
        <f t="shared" si="21"/>
        <v>9</v>
      </c>
      <c r="L91" s="13">
        <f t="shared" si="21"/>
        <v>18</v>
      </c>
      <c r="M91" s="13">
        <f t="shared" si="21"/>
        <v>11</v>
      </c>
      <c r="N91" s="13">
        <f t="shared" si="21"/>
        <v>15</v>
      </c>
      <c r="O91" s="13">
        <f t="shared" si="21"/>
        <v>5</v>
      </c>
      <c r="P91" s="13">
        <f t="shared" si="21"/>
        <v>8</v>
      </c>
      <c r="Q91" s="13">
        <f t="shared" si="21"/>
        <v>197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1.0</v>
      </c>
      <c r="G93" s="19">
        <v>0.0</v>
      </c>
      <c r="H93" s="19">
        <v>1.0</v>
      </c>
      <c r="I93" s="19">
        <v>3.0</v>
      </c>
      <c r="J93" s="19">
        <v>0.0</v>
      </c>
      <c r="K93" s="19">
        <v>0.0</v>
      </c>
      <c r="L93" s="19">
        <v>0.0</v>
      </c>
      <c r="M93" s="19">
        <v>1.0</v>
      </c>
      <c r="N93" s="19">
        <v>1.0</v>
      </c>
      <c r="O93" s="19">
        <v>0.0</v>
      </c>
      <c r="P93" s="19">
        <v>2.0</v>
      </c>
      <c r="Q93" s="13">
        <f t="shared" ref="Q93:Q102" si="22">SUM(E93:P93)</f>
        <v>10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0.0</v>
      </c>
      <c r="H94" s="19">
        <v>0.0</v>
      </c>
      <c r="I94" s="19">
        <v>2.0</v>
      </c>
      <c r="J94" s="19">
        <v>0.0</v>
      </c>
      <c r="K94" s="19">
        <v>3.0</v>
      </c>
      <c r="L94" s="19">
        <v>2.0</v>
      </c>
      <c r="M94" s="19">
        <v>0.0</v>
      </c>
      <c r="N94" s="19">
        <v>1.0</v>
      </c>
      <c r="O94" s="19">
        <v>0.0</v>
      </c>
      <c r="P94" s="19">
        <v>0.0</v>
      </c>
      <c r="Q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1.0</v>
      </c>
      <c r="M95" s="19">
        <v>0.0</v>
      </c>
      <c r="N95" s="19">
        <v>0.0</v>
      </c>
      <c r="O95" s="19">
        <v>0.0</v>
      </c>
      <c r="P95" s="19">
        <v>0.0</v>
      </c>
      <c r="Q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2.0</v>
      </c>
      <c r="K97" s="19">
        <v>2.0</v>
      </c>
      <c r="L97" s="19">
        <v>1.0</v>
      </c>
      <c r="M97" s="19">
        <v>1.0</v>
      </c>
      <c r="N97" s="19">
        <v>5.0</v>
      </c>
      <c r="O97" s="19">
        <v>0.0</v>
      </c>
      <c r="P97" s="19">
        <v>0.0</v>
      </c>
      <c r="Q97" s="13">
        <f t="shared" si="22"/>
        <v>12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3">
        <f t="shared" si="22"/>
        <v>0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Q103" si="23">SUM(E93:E102)</f>
        <v>2</v>
      </c>
      <c r="F103" s="13">
        <f t="shared" si="23"/>
        <v>1</v>
      </c>
      <c r="G103" s="13">
        <f t="shared" si="23"/>
        <v>1</v>
      </c>
      <c r="H103" s="13">
        <f t="shared" si="23"/>
        <v>2</v>
      </c>
      <c r="I103" s="13">
        <f t="shared" si="23"/>
        <v>5</v>
      </c>
      <c r="J103" s="13">
        <f t="shared" si="23"/>
        <v>3</v>
      </c>
      <c r="K103" s="13">
        <f t="shared" si="23"/>
        <v>5</v>
      </c>
      <c r="L103" s="13">
        <f t="shared" si="23"/>
        <v>4</v>
      </c>
      <c r="M103" s="13">
        <f t="shared" si="23"/>
        <v>2</v>
      </c>
      <c r="N103" s="13">
        <f t="shared" si="23"/>
        <v>7</v>
      </c>
      <c r="O103" s="13">
        <f t="shared" si="23"/>
        <v>0</v>
      </c>
      <c r="P103" s="13">
        <f t="shared" si="23"/>
        <v>2</v>
      </c>
      <c r="Q103" s="13">
        <f t="shared" si="23"/>
        <v>34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1.0</v>
      </c>
      <c r="H105" s="19">
        <v>2.0</v>
      </c>
      <c r="I105" s="19">
        <v>1.0</v>
      </c>
      <c r="J105" s="19">
        <v>0.0</v>
      </c>
      <c r="K105" s="19">
        <v>0.0</v>
      </c>
      <c r="L105" s="19">
        <v>0.0</v>
      </c>
      <c r="M105" s="19">
        <v>1.0</v>
      </c>
      <c r="N105" s="19">
        <v>0.0</v>
      </c>
      <c r="O105" s="19">
        <v>0.0</v>
      </c>
      <c r="P105" s="19">
        <v>0.0</v>
      </c>
      <c r="Q105" s="13">
        <f t="shared" ref="Q105:Q114" si="24">SUM(E105:P105)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2.0</v>
      </c>
      <c r="H107" s="19">
        <v>0.0</v>
      </c>
      <c r="I107" s="19">
        <v>1.0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3">
        <f t="shared" si="24"/>
        <v>3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Q115" si="25">SUM(E105:E114)</f>
        <v>1</v>
      </c>
      <c r="F115" s="13">
        <f t="shared" si="25"/>
        <v>1</v>
      </c>
      <c r="G115" s="13">
        <f t="shared" si="25"/>
        <v>3</v>
      </c>
      <c r="H115" s="13">
        <f t="shared" si="25"/>
        <v>2</v>
      </c>
      <c r="I115" s="13">
        <f t="shared" si="25"/>
        <v>2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1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10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1.0</v>
      </c>
      <c r="H117" s="19">
        <v>1.0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1.0</v>
      </c>
      <c r="O117" s="19">
        <v>0.0</v>
      </c>
      <c r="P117" s="19">
        <v>0.0</v>
      </c>
      <c r="Q117" s="13">
        <f t="shared" ref="Q117:Q126" si="26">SUM(E117:P117)</f>
        <v>5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3">
        <f t="shared" si="26"/>
        <v>0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1.0</v>
      </c>
      <c r="Q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Q127" si="27">SUM(E117:E126)</f>
        <v>0</v>
      </c>
      <c r="F127" s="13">
        <f t="shared" si="27"/>
        <v>1</v>
      </c>
      <c r="G127" s="13">
        <f t="shared" si="27"/>
        <v>1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1</v>
      </c>
      <c r="O127" s="13">
        <f t="shared" si="27"/>
        <v>0</v>
      </c>
      <c r="P127" s="13">
        <f t="shared" si="27"/>
        <v>1</v>
      </c>
      <c r="Q127" s="13">
        <f t="shared" si="27"/>
        <v>7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1.0</v>
      </c>
      <c r="H129" s="19">
        <v>0.0</v>
      </c>
      <c r="I129" s="19">
        <v>3.0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1.0</v>
      </c>
      <c r="P129" s="19">
        <v>0.0</v>
      </c>
      <c r="Q129" s="13">
        <f t="shared" ref="Q129:Q138" si="28">SUM(E129:P129)</f>
        <v>6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2.0</v>
      </c>
      <c r="G130" s="19">
        <v>0.0</v>
      </c>
      <c r="H130" s="19">
        <v>1.0</v>
      </c>
      <c r="I130" s="19">
        <v>1.0</v>
      </c>
      <c r="J130" s="19">
        <v>0.0</v>
      </c>
      <c r="K130" s="19">
        <v>0.0</v>
      </c>
      <c r="L130" s="19">
        <v>1.0</v>
      </c>
      <c r="M130" s="19">
        <v>0.0</v>
      </c>
      <c r="N130" s="19">
        <v>2.0</v>
      </c>
      <c r="O130" s="19">
        <v>2.0</v>
      </c>
      <c r="P130" s="19">
        <v>1.0</v>
      </c>
      <c r="Q130" s="13">
        <f t="shared" si="28"/>
        <v>10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1.0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2.0</v>
      </c>
      <c r="M131" s="19">
        <v>0.0</v>
      </c>
      <c r="N131" s="19">
        <v>1.0</v>
      </c>
      <c r="O131" s="19">
        <v>0.0</v>
      </c>
      <c r="P131" s="19">
        <v>2.0</v>
      </c>
      <c r="Q131" s="13">
        <f t="shared" si="28"/>
        <v>8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3">
        <f t="shared" si="28"/>
        <v>0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Q139" si="29">SUM(E129:E138)</f>
        <v>1</v>
      </c>
      <c r="F139" s="13">
        <f t="shared" si="29"/>
        <v>3</v>
      </c>
      <c r="G139" s="13">
        <f t="shared" si="29"/>
        <v>2</v>
      </c>
      <c r="H139" s="13">
        <f t="shared" si="29"/>
        <v>2</v>
      </c>
      <c r="I139" s="13">
        <f t="shared" si="29"/>
        <v>4</v>
      </c>
      <c r="J139" s="13">
        <f t="shared" si="29"/>
        <v>0</v>
      </c>
      <c r="K139" s="13">
        <f t="shared" si="29"/>
        <v>1</v>
      </c>
      <c r="L139" s="13">
        <f t="shared" si="29"/>
        <v>3</v>
      </c>
      <c r="M139" s="13">
        <f t="shared" si="29"/>
        <v>0</v>
      </c>
      <c r="N139" s="13">
        <f t="shared" si="29"/>
        <v>3</v>
      </c>
      <c r="O139" s="13">
        <f t="shared" si="29"/>
        <v>3</v>
      </c>
      <c r="P139" s="13">
        <f t="shared" si="29"/>
        <v>3</v>
      </c>
      <c r="Q139" s="13">
        <f t="shared" si="29"/>
        <v>25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1.0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3">
        <f t="shared" ref="Q141:Q150" si="30">SUM(E141:P141)</f>
        <v>1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1.0</v>
      </c>
      <c r="P147" s="19">
        <v>0.0</v>
      </c>
      <c r="Q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Q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1</v>
      </c>
      <c r="P151" s="13">
        <f t="shared" si="31"/>
        <v>0</v>
      </c>
      <c r="Q151" s="13">
        <f t="shared" si="31"/>
        <v>2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3.0</v>
      </c>
      <c r="P153" s="19">
        <v>0.0</v>
      </c>
      <c r="Q153" s="13">
        <f t="shared" ref="Q153:Q162" si="32">SUM(E153:P153)</f>
        <v>3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1.0</v>
      </c>
      <c r="H154" s="19">
        <v>1.0</v>
      </c>
      <c r="I154" s="19">
        <v>0.0</v>
      </c>
      <c r="J154" s="19">
        <v>2.0</v>
      </c>
      <c r="K154" s="19">
        <v>0.0</v>
      </c>
      <c r="L154" s="19">
        <v>0.0</v>
      </c>
      <c r="M154" s="19">
        <v>2.0</v>
      </c>
      <c r="N154" s="19">
        <v>0.0</v>
      </c>
      <c r="O154" s="19">
        <v>0.0</v>
      </c>
      <c r="P154" s="19">
        <v>0.0</v>
      </c>
      <c r="Q154" s="13">
        <f t="shared" si="32"/>
        <v>6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1.0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3">
        <f t="shared" si="32"/>
        <v>1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3">
        <f t="shared" si="32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Q163" si="33">SUM(E153:E162)</f>
        <v>0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3</v>
      </c>
      <c r="K163" s="13">
        <f t="shared" si="33"/>
        <v>0</v>
      </c>
      <c r="L163" s="13">
        <f t="shared" si="33"/>
        <v>0</v>
      </c>
      <c r="M163" s="13">
        <f t="shared" si="33"/>
        <v>2</v>
      </c>
      <c r="N163" s="13">
        <f t="shared" si="33"/>
        <v>0</v>
      </c>
      <c r="O163" s="13">
        <f t="shared" si="33"/>
        <v>3</v>
      </c>
      <c r="P163" s="13">
        <f t="shared" si="33"/>
        <v>0</v>
      </c>
      <c r="Q163" s="13">
        <f t="shared" si="33"/>
        <v>10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3">
        <f t="shared" ref="Q165:Q174" si="34">SUM(E165:P165)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3">
        <f t="shared" si="34"/>
        <v>0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1.0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3">
        <f t="shared" si="34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Q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0</v>
      </c>
      <c r="K175" s="13">
        <f t="shared" si="35"/>
        <v>1</v>
      </c>
      <c r="L175" s="13">
        <f t="shared" si="35"/>
        <v>0</v>
      </c>
      <c r="M175" s="13">
        <f t="shared" si="35"/>
        <v>0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1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2.0</v>
      </c>
      <c r="K177" s="19">
        <v>0.0</v>
      </c>
      <c r="L177" s="19">
        <v>1.0</v>
      </c>
      <c r="M177" s="19">
        <v>1.0</v>
      </c>
      <c r="N177" s="19">
        <v>0.0</v>
      </c>
      <c r="O177" s="19">
        <v>0.0</v>
      </c>
      <c r="P177" s="19"/>
      <c r="Q177" s="13">
        <f t="shared" ref="Q177:Q186" si="36">SUM(E177:P177)</f>
        <v>5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1.0</v>
      </c>
      <c r="K178" s="19">
        <v>0.0</v>
      </c>
      <c r="L178" s="19">
        <v>0.0</v>
      </c>
      <c r="M178" s="19">
        <v>1.0</v>
      </c>
      <c r="N178" s="19">
        <v>2.0</v>
      </c>
      <c r="O178" s="19">
        <v>0.0</v>
      </c>
      <c r="P178" s="19">
        <v>0.0</v>
      </c>
      <c r="Q178" s="13">
        <f t="shared" si="36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0.0</v>
      </c>
      <c r="L179" s="19">
        <v>0.0</v>
      </c>
      <c r="M179" s="19">
        <v>1.0</v>
      </c>
      <c r="N179" s="19">
        <v>0.0</v>
      </c>
      <c r="O179" s="19">
        <v>0.0</v>
      </c>
      <c r="P179" s="19">
        <v>0.0</v>
      </c>
      <c r="Q179" s="13">
        <f t="shared" si="36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1.0</v>
      </c>
      <c r="O180" s="19">
        <v>0.0</v>
      </c>
      <c r="P180" s="19">
        <v>0.0</v>
      </c>
      <c r="Q180" s="13">
        <f t="shared" si="36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3">
        <f t="shared" si="36"/>
        <v>1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1.0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1.0</v>
      </c>
      <c r="O182" s="19">
        <v>0.0</v>
      </c>
      <c r="P182" s="19">
        <v>0.0</v>
      </c>
      <c r="Q182" s="13">
        <f t="shared" si="36"/>
        <v>2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2.0</v>
      </c>
      <c r="N183" s="19">
        <v>0.0</v>
      </c>
      <c r="O183" s="19">
        <v>0.0</v>
      </c>
      <c r="P183" s="19">
        <v>0.0</v>
      </c>
      <c r="Q183" s="13">
        <f t="shared" si="36"/>
        <v>2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1.0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3">
        <f t="shared" si="36"/>
        <v>1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Q187" si="37">SUM(E177:E186)</f>
        <v>1</v>
      </c>
      <c r="F187" s="13">
        <f t="shared" si="37"/>
        <v>0</v>
      </c>
      <c r="G187" s="13">
        <f t="shared" si="37"/>
        <v>0</v>
      </c>
      <c r="H187" s="13">
        <f t="shared" si="37"/>
        <v>4</v>
      </c>
      <c r="I187" s="13">
        <f t="shared" si="37"/>
        <v>1</v>
      </c>
      <c r="J187" s="13">
        <f t="shared" si="37"/>
        <v>4</v>
      </c>
      <c r="K187" s="13">
        <f t="shared" si="37"/>
        <v>0</v>
      </c>
      <c r="L187" s="13">
        <f t="shared" si="37"/>
        <v>1</v>
      </c>
      <c r="M187" s="13">
        <f t="shared" si="37"/>
        <v>5</v>
      </c>
      <c r="N187" s="13">
        <f t="shared" si="37"/>
        <v>4</v>
      </c>
      <c r="O187" s="13">
        <f t="shared" si="37"/>
        <v>0</v>
      </c>
      <c r="P187" s="13">
        <f t="shared" si="37"/>
        <v>0</v>
      </c>
      <c r="Q187" s="13">
        <f t="shared" si="37"/>
        <v>20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Q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3">
        <f t="shared" ref="Q189:Q198" si="38">SUM(E189:P189)</f>
        <v>2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3">
        <f t="shared" si="38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1.0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3">
        <f t="shared" si="38"/>
        <v>1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3">
        <f t="shared" si="38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Q199" si="39">SUM(E189:E198)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1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1</v>
      </c>
      <c r="Q199" s="13">
        <f t="shared" si="39"/>
        <v>3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3.0</v>
      </c>
      <c r="G201" s="19">
        <v>2.0</v>
      </c>
      <c r="H201" s="19">
        <v>1.0</v>
      </c>
      <c r="I201" s="19">
        <v>2.0</v>
      </c>
      <c r="J201" s="19">
        <v>3.0</v>
      </c>
      <c r="K201" s="19">
        <v>3.0</v>
      </c>
      <c r="L201" s="19">
        <v>0.0</v>
      </c>
      <c r="M201" s="19">
        <v>1.0</v>
      </c>
      <c r="N201" s="19">
        <v>2.0</v>
      </c>
      <c r="O201" s="19">
        <v>2.0</v>
      </c>
      <c r="P201" s="19">
        <v>1.0</v>
      </c>
      <c r="Q201" s="13">
        <f t="shared" ref="Q201:Q210" si="40">SUM(E201:P201)</f>
        <v>21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2.0</v>
      </c>
      <c r="F202" s="19">
        <v>2.0</v>
      </c>
      <c r="G202" s="19">
        <v>2.0</v>
      </c>
      <c r="H202" s="19">
        <v>2.0</v>
      </c>
      <c r="I202" s="19">
        <v>10.0</v>
      </c>
      <c r="J202" s="19">
        <v>2.0</v>
      </c>
      <c r="K202" s="19">
        <v>3.0</v>
      </c>
      <c r="L202" s="19">
        <v>0.0</v>
      </c>
      <c r="M202" s="19">
        <v>3.0</v>
      </c>
      <c r="N202" s="19">
        <v>3.0</v>
      </c>
      <c r="O202" s="19">
        <v>4.0</v>
      </c>
      <c r="P202" s="19">
        <v>9.0</v>
      </c>
      <c r="Q202" s="13">
        <f t="shared" si="40"/>
        <v>42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2.0</v>
      </c>
      <c r="G203" s="19">
        <v>1.0</v>
      </c>
      <c r="H203" s="19">
        <v>0.0</v>
      </c>
      <c r="I203" s="19">
        <v>0.0</v>
      </c>
      <c r="J203" s="19">
        <v>1.0</v>
      </c>
      <c r="K203" s="19">
        <v>0.0</v>
      </c>
      <c r="L203" s="19">
        <v>5.0</v>
      </c>
      <c r="M203" s="19">
        <v>2.0</v>
      </c>
      <c r="N203" s="19">
        <v>0.0</v>
      </c>
      <c r="O203" s="19">
        <v>0.0</v>
      </c>
      <c r="P203" s="19">
        <v>0.0</v>
      </c>
      <c r="Q203" s="13">
        <f t="shared" si="40"/>
        <v>12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3">
        <f t="shared" si="40"/>
        <v>1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3">
        <f t="shared" si="40"/>
        <v>0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1.0</v>
      </c>
      <c r="J206" s="19">
        <v>0.0</v>
      </c>
      <c r="K206" s="19">
        <v>0.0</v>
      </c>
      <c r="L206" s="19">
        <v>0.0</v>
      </c>
      <c r="M206" s="19">
        <v>1.0</v>
      </c>
      <c r="N206" s="19">
        <v>0.0</v>
      </c>
      <c r="O206" s="19">
        <v>1.0</v>
      </c>
      <c r="P206" s="19">
        <v>1.0</v>
      </c>
      <c r="Q206" s="13">
        <f t="shared" si="40"/>
        <v>4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3">
        <f t="shared" si="40"/>
        <v>2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Q211" si="41">SUM(E201:E210)</f>
        <v>4</v>
      </c>
      <c r="F211" s="13">
        <f t="shared" si="41"/>
        <v>7</v>
      </c>
      <c r="G211" s="13">
        <f t="shared" si="41"/>
        <v>5</v>
      </c>
      <c r="H211" s="13">
        <f t="shared" si="41"/>
        <v>3</v>
      </c>
      <c r="I211" s="13">
        <f t="shared" si="41"/>
        <v>13</v>
      </c>
      <c r="J211" s="13">
        <f t="shared" si="41"/>
        <v>6</v>
      </c>
      <c r="K211" s="13">
        <f t="shared" si="41"/>
        <v>7</v>
      </c>
      <c r="L211" s="13">
        <f t="shared" si="41"/>
        <v>6</v>
      </c>
      <c r="M211" s="13">
        <f t="shared" si="41"/>
        <v>8</v>
      </c>
      <c r="N211" s="13">
        <f t="shared" si="41"/>
        <v>5</v>
      </c>
      <c r="O211" s="13">
        <f t="shared" si="41"/>
        <v>7</v>
      </c>
      <c r="P211" s="13">
        <f t="shared" si="41"/>
        <v>11</v>
      </c>
      <c r="Q211" s="13">
        <f t="shared" si="41"/>
        <v>82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2.0</v>
      </c>
      <c r="H213" s="19">
        <v>1.0</v>
      </c>
      <c r="I213" s="19">
        <v>2.0</v>
      </c>
      <c r="J213" s="19">
        <v>4.0</v>
      </c>
      <c r="K213" s="19">
        <v>0.0</v>
      </c>
      <c r="L213" s="19">
        <v>2.0</v>
      </c>
      <c r="M213" s="19">
        <v>3.0</v>
      </c>
      <c r="N213" s="19">
        <v>1.0</v>
      </c>
      <c r="O213" s="19">
        <v>3.0</v>
      </c>
      <c r="P213" s="19">
        <v>0.0</v>
      </c>
      <c r="Q213" s="13">
        <f t="shared" ref="Q213:Q222" si="42">SUM(E213:P213)</f>
        <v>20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1.0</v>
      </c>
      <c r="F214" s="19">
        <v>0.0</v>
      </c>
      <c r="G214" s="19">
        <v>1.0</v>
      </c>
      <c r="H214" s="19">
        <v>1.0</v>
      </c>
      <c r="I214" s="19">
        <v>0.0</v>
      </c>
      <c r="J214" s="19">
        <v>1.0</v>
      </c>
      <c r="K214" s="19">
        <v>1.0</v>
      </c>
      <c r="L214" s="19">
        <v>1.0</v>
      </c>
      <c r="M214" s="19">
        <v>1.0</v>
      </c>
      <c r="N214" s="19">
        <v>2.0</v>
      </c>
      <c r="O214" s="19">
        <v>1.0</v>
      </c>
      <c r="P214" s="19">
        <v>0.0</v>
      </c>
      <c r="Q214" s="13">
        <f t="shared" si="42"/>
        <v>10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2.0</v>
      </c>
      <c r="G215" s="19">
        <v>1.0</v>
      </c>
      <c r="H215" s="19">
        <v>1.0</v>
      </c>
      <c r="I215" s="19">
        <v>0.0</v>
      </c>
      <c r="J215" s="19">
        <v>0.0</v>
      </c>
      <c r="K215" s="19">
        <v>1.0</v>
      </c>
      <c r="L215" s="19">
        <v>1.0</v>
      </c>
      <c r="M215" s="19">
        <v>2.0</v>
      </c>
      <c r="N215" s="19">
        <v>2.0</v>
      </c>
      <c r="O215" s="19">
        <v>2.0</v>
      </c>
      <c r="P215" s="19">
        <v>7.0</v>
      </c>
      <c r="Q215" s="13">
        <f t="shared" si="42"/>
        <v>21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1.0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1.0</v>
      </c>
      <c r="O216" s="19">
        <v>0.0</v>
      </c>
      <c r="P216" s="19">
        <v>0.0</v>
      </c>
      <c r="Q216" s="13">
        <f t="shared" si="42"/>
        <v>3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1.0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3">
        <f t="shared" si="42"/>
        <v>1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1.0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1.0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3">
        <f t="shared" si="42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1.0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3">
        <f t="shared" si="42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Q223" si="43">SUM(E213:E222)</f>
        <v>3</v>
      </c>
      <c r="F223" s="13">
        <f t="shared" si="43"/>
        <v>4</v>
      </c>
      <c r="G223" s="13">
        <f t="shared" si="43"/>
        <v>5</v>
      </c>
      <c r="H223" s="13">
        <f t="shared" si="43"/>
        <v>4</v>
      </c>
      <c r="I223" s="13">
        <f t="shared" si="43"/>
        <v>4</v>
      </c>
      <c r="J223" s="13">
        <f t="shared" si="43"/>
        <v>5</v>
      </c>
      <c r="K223" s="13">
        <f t="shared" si="43"/>
        <v>4</v>
      </c>
      <c r="L223" s="13">
        <f t="shared" si="43"/>
        <v>4</v>
      </c>
      <c r="M223" s="13">
        <f t="shared" si="43"/>
        <v>6</v>
      </c>
      <c r="N223" s="13">
        <f t="shared" si="43"/>
        <v>6</v>
      </c>
      <c r="O223" s="13">
        <f t="shared" si="43"/>
        <v>6</v>
      </c>
      <c r="P223" s="13">
        <f t="shared" si="43"/>
        <v>7</v>
      </c>
      <c r="Q223" s="13">
        <f t="shared" si="43"/>
        <v>58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3">
        <f t="shared" ref="Q225:Q234" si="44">SUM(E225:P225)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1.0</v>
      </c>
      <c r="O226" s="19">
        <v>0.0</v>
      </c>
      <c r="P226" s="19">
        <v>1.0</v>
      </c>
      <c r="Q226" s="13">
        <f t="shared" si="44"/>
        <v>2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3">
        <f t="shared" si="44"/>
        <v>1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3">
        <f t="shared" si="44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Q235" si="45">SUM(E225:E234)</f>
        <v>0</v>
      </c>
      <c r="F235" s="13">
        <f t="shared" si="45"/>
        <v>0</v>
      </c>
      <c r="G235" s="13">
        <f t="shared" si="45"/>
        <v>0</v>
      </c>
      <c r="H235" s="13">
        <f t="shared" si="45"/>
        <v>1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1</v>
      </c>
      <c r="O235" s="13">
        <f t="shared" si="45"/>
        <v>0</v>
      </c>
      <c r="P235" s="13">
        <f t="shared" si="45"/>
        <v>1</v>
      </c>
      <c r="Q235" s="13">
        <f t="shared" si="45"/>
        <v>4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4.0</v>
      </c>
      <c r="G237" s="19">
        <v>0.0</v>
      </c>
      <c r="H237" s="19">
        <v>0.0</v>
      </c>
      <c r="I237" s="19">
        <v>4.0</v>
      </c>
      <c r="J237" s="19">
        <v>1.0</v>
      </c>
      <c r="K237" s="19">
        <v>1.0</v>
      </c>
      <c r="L237" s="19">
        <v>1.0</v>
      </c>
      <c r="M237" s="19">
        <v>1.0</v>
      </c>
      <c r="N237" s="19">
        <v>0.0</v>
      </c>
      <c r="O237" s="19">
        <v>0.0</v>
      </c>
      <c r="P237" s="19">
        <v>0.0</v>
      </c>
      <c r="Q237" s="13">
        <f t="shared" ref="Q237:Q246" si="46">SUM(E237:P237)</f>
        <v>12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1.0</v>
      </c>
      <c r="F238" s="19">
        <v>0.0</v>
      </c>
      <c r="G238" s="19">
        <v>0.0</v>
      </c>
      <c r="H238" s="19">
        <v>1.0</v>
      </c>
      <c r="I238" s="19">
        <v>1.0</v>
      </c>
      <c r="J238" s="19">
        <v>1.0</v>
      </c>
      <c r="K238" s="19">
        <v>0.0</v>
      </c>
      <c r="L238" s="19">
        <v>0.0</v>
      </c>
      <c r="M238" s="19">
        <v>2.0</v>
      </c>
      <c r="N238" s="19">
        <v>0.0</v>
      </c>
      <c r="O238" s="19">
        <v>0.0</v>
      </c>
      <c r="P238" s="19">
        <v>1.0</v>
      </c>
      <c r="Q238" s="13">
        <f t="shared" si="46"/>
        <v>7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0.0</v>
      </c>
      <c r="F239" s="19">
        <v>1.0</v>
      </c>
      <c r="G239" s="19">
        <v>4.0</v>
      </c>
      <c r="H239" s="19">
        <v>1.0</v>
      </c>
      <c r="I239" s="19">
        <v>2.0</v>
      </c>
      <c r="J239" s="19">
        <v>6.0</v>
      </c>
      <c r="K239" s="19">
        <v>3.0</v>
      </c>
      <c r="L239" s="19">
        <v>5.0</v>
      </c>
      <c r="M239" s="19">
        <v>0.0</v>
      </c>
      <c r="N239" s="19">
        <v>0.0</v>
      </c>
      <c r="O239" s="19">
        <v>0.0</v>
      </c>
      <c r="P239" s="19">
        <v>0.0</v>
      </c>
      <c r="Q239" s="13">
        <f t="shared" si="46"/>
        <v>22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3">
        <f t="shared" si="46"/>
        <v>1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1.0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1.0</v>
      </c>
      <c r="H244" s="19">
        <v>0.0</v>
      </c>
      <c r="I244" s="19">
        <v>0.0</v>
      </c>
      <c r="J244" s="19">
        <v>0.0</v>
      </c>
      <c r="K244" s="19">
        <v>1.0</v>
      </c>
      <c r="L244" s="19">
        <v>7.0</v>
      </c>
      <c r="M244" s="19">
        <v>6.0</v>
      </c>
      <c r="N244" s="19">
        <v>5.0</v>
      </c>
      <c r="O244" s="19">
        <v>0.0</v>
      </c>
      <c r="P244" s="19">
        <v>0.0</v>
      </c>
      <c r="Q244" s="13">
        <f t="shared" si="46"/>
        <v>20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Q247" si="47">SUM(E237:E246)</f>
        <v>1</v>
      </c>
      <c r="F247" s="13">
        <f t="shared" si="47"/>
        <v>5</v>
      </c>
      <c r="G247" s="13">
        <f t="shared" si="47"/>
        <v>5</v>
      </c>
      <c r="H247" s="13">
        <f t="shared" si="47"/>
        <v>2</v>
      </c>
      <c r="I247" s="13">
        <f t="shared" si="47"/>
        <v>8</v>
      </c>
      <c r="J247" s="13">
        <f t="shared" si="47"/>
        <v>9</v>
      </c>
      <c r="K247" s="13">
        <f t="shared" si="47"/>
        <v>6</v>
      </c>
      <c r="L247" s="13">
        <f t="shared" si="47"/>
        <v>13</v>
      </c>
      <c r="M247" s="13">
        <f t="shared" si="47"/>
        <v>9</v>
      </c>
      <c r="N247" s="13">
        <f t="shared" si="47"/>
        <v>5</v>
      </c>
      <c r="O247" s="13">
        <f t="shared" si="47"/>
        <v>0</v>
      </c>
      <c r="P247" s="13">
        <f t="shared" si="47"/>
        <v>1</v>
      </c>
      <c r="Q247" s="13">
        <f t="shared" si="47"/>
        <v>64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1.0</v>
      </c>
      <c r="N249" s="19">
        <v>0.0</v>
      </c>
      <c r="O249" s="19">
        <v>0.0</v>
      </c>
      <c r="P249" s="19">
        <v>1.0</v>
      </c>
      <c r="Q249" s="13">
        <f t="shared" ref="Q249:Q258" si="48">SUM(E249:P249)</f>
        <v>2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3">
        <f t="shared" si="48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2.0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3">
        <f t="shared" si="48"/>
        <v>2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1.0</v>
      </c>
      <c r="P254" s="19">
        <v>0.0</v>
      </c>
      <c r="Q254" s="13">
        <f t="shared" si="48"/>
        <v>1</v>
      </c>
    </row>
    <row r="255" ht="12.75" customHeight="1">
      <c r="A255" s="18"/>
      <c r="B255" s="55">
        <v>6.0</v>
      </c>
      <c r="C255" s="66" t="s">
        <v>189</v>
      </c>
      <c r="D255" s="60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3">
        <f t="shared" si="48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Q259" si="49">SUM(E249:E258)</f>
        <v>0</v>
      </c>
      <c r="F259" s="13">
        <f t="shared" si="49"/>
        <v>0</v>
      </c>
      <c r="G259" s="13">
        <f t="shared" si="49"/>
        <v>0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2</v>
      </c>
      <c r="L259" s="13">
        <f t="shared" si="49"/>
        <v>0</v>
      </c>
      <c r="M259" s="13">
        <f t="shared" si="49"/>
        <v>1</v>
      </c>
      <c r="N259" s="13">
        <f t="shared" si="49"/>
        <v>0</v>
      </c>
      <c r="O259" s="13">
        <f t="shared" si="49"/>
        <v>1</v>
      </c>
      <c r="P259" s="13">
        <f t="shared" si="49"/>
        <v>1</v>
      </c>
      <c r="Q259" s="13">
        <f t="shared" si="49"/>
        <v>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P262" si="50">E55+E67+E79+E91+E103+E115+E127+E139+E151+E163+E175+E187+E199+E211+E223+E235+E247+E259</f>
        <v>138</v>
      </c>
      <c r="F262" s="19">
        <f t="shared" si="50"/>
        <v>124</v>
      </c>
      <c r="G262" s="19">
        <f t="shared" si="50"/>
        <v>156</v>
      </c>
      <c r="H262" s="19">
        <f t="shared" si="50"/>
        <v>161</v>
      </c>
      <c r="I262" s="19">
        <f t="shared" si="50"/>
        <v>174</v>
      </c>
      <c r="J262" s="19">
        <f t="shared" si="50"/>
        <v>172</v>
      </c>
      <c r="K262" s="19">
        <f t="shared" si="50"/>
        <v>190</v>
      </c>
      <c r="L262" s="19">
        <f t="shared" si="50"/>
        <v>183</v>
      </c>
      <c r="M262" s="19">
        <f t="shared" si="50"/>
        <v>153</v>
      </c>
      <c r="N262" s="19">
        <f t="shared" si="50"/>
        <v>173</v>
      </c>
      <c r="O262" s="19">
        <f t="shared" si="50"/>
        <v>134</v>
      </c>
      <c r="P262" s="19">
        <f t="shared" si="50"/>
        <v>103</v>
      </c>
      <c r="Q262" s="13">
        <f t="shared" ref="Q262:Q264" si="51">SUM(E262:P262)</f>
        <v>1861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48.0</v>
      </c>
      <c r="F263" s="19">
        <v>37.0</v>
      </c>
      <c r="G263" s="19">
        <v>37.0</v>
      </c>
      <c r="H263" s="19">
        <v>32.0</v>
      </c>
      <c r="I263" s="19">
        <v>39.0</v>
      </c>
      <c r="J263" s="19">
        <v>33.0</v>
      </c>
      <c r="K263" s="19">
        <v>36.0</v>
      </c>
      <c r="L263" s="19">
        <v>31.0</v>
      </c>
      <c r="M263" s="19">
        <v>35.0</v>
      </c>
      <c r="N263" s="19">
        <v>38.0</v>
      </c>
      <c r="O263" s="19">
        <v>30.0</v>
      </c>
      <c r="P263" s="19">
        <v>34.0</v>
      </c>
      <c r="Q263" s="13">
        <f t="shared" si="51"/>
        <v>430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P264" si="52">SUM(E262:E263)</f>
        <v>186</v>
      </c>
      <c r="F264" s="13">
        <f t="shared" si="52"/>
        <v>161</v>
      </c>
      <c r="G264" s="13">
        <f t="shared" si="52"/>
        <v>193</v>
      </c>
      <c r="H264" s="13">
        <f t="shared" si="52"/>
        <v>193</v>
      </c>
      <c r="I264" s="13">
        <f t="shared" si="52"/>
        <v>213</v>
      </c>
      <c r="J264" s="13">
        <f t="shared" si="52"/>
        <v>205</v>
      </c>
      <c r="K264" s="13">
        <f t="shared" si="52"/>
        <v>226</v>
      </c>
      <c r="L264" s="13">
        <f t="shared" si="52"/>
        <v>214</v>
      </c>
      <c r="M264" s="13">
        <f t="shared" si="52"/>
        <v>188</v>
      </c>
      <c r="N264" s="13">
        <f t="shared" si="52"/>
        <v>211</v>
      </c>
      <c r="O264" s="13">
        <f t="shared" si="52"/>
        <v>164</v>
      </c>
      <c r="P264" s="13">
        <f t="shared" si="52"/>
        <v>137</v>
      </c>
      <c r="Q264" s="13">
        <f t="shared" si="51"/>
        <v>2291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P15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E30&lt;&gt;E47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E34&lt;&gt;E64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8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6" width="8.71"/>
    <col customWidth="1" min="17" max="17" width="13.29"/>
    <col customWidth="1" min="18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36"/>
    </row>
    <row r="14" ht="12.75" customHeight="1">
      <c r="A14" s="18"/>
      <c r="B14" s="22" t="s">
        <v>11</v>
      </c>
      <c r="C14" s="23"/>
      <c r="D14" s="19" t="s">
        <v>12</v>
      </c>
      <c r="E14" s="19">
        <v>139.0</v>
      </c>
      <c r="F14" s="19">
        <v>134.0</v>
      </c>
      <c r="G14" s="19">
        <v>138.0</v>
      </c>
      <c r="H14" s="19">
        <v>136.0</v>
      </c>
      <c r="I14" s="19">
        <v>114.0</v>
      </c>
      <c r="J14" s="19">
        <v>128.0</v>
      </c>
      <c r="K14" s="19">
        <v>115.0</v>
      </c>
      <c r="L14" s="19">
        <v>133.0</v>
      </c>
      <c r="M14" s="19">
        <v>112.0</v>
      </c>
      <c r="N14" s="19">
        <v>135.0</v>
      </c>
      <c r="O14" s="19">
        <v>124.0</v>
      </c>
      <c r="P14" s="19">
        <v>119.0</v>
      </c>
      <c r="Q14" s="13">
        <f t="shared" ref="Q14:Q16" si="1">SUM(E14:P14)</f>
        <v>1527</v>
      </c>
    </row>
    <row r="15" ht="12.75" customHeight="1">
      <c r="A15" s="18"/>
      <c r="B15" s="26"/>
      <c r="C15" s="27"/>
      <c r="D15" s="19" t="s">
        <v>13</v>
      </c>
      <c r="E15" s="19">
        <v>140.0</v>
      </c>
      <c r="F15" s="19">
        <v>129.0</v>
      </c>
      <c r="G15" s="19">
        <v>141.0</v>
      </c>
      <c r="H15" s="19">
        <v>137.0</v>
      </c>
      <c r="I15" s="19">
        <v>124.0</v>
      </c>
      <c r="J15" s="19">
        <v>138.0</v>
      </c>
      <c r="K15" s="19">
        <v>118.0</v>
      </c>
      <c r="L15" s="19">
        <v>138.0</v>
      </c>
      <c r="M15" s="19">
        <v>115.0</v>
      </c>
      <c r="N15" s="19">
        <v>146.0</v>
      </c>
      <c r="O15" s="19">
        <v>138.0</v>
      </c>
      <c r="P15" s="19">
        <v>120.0</v>
      </c>
      <c r="Q15" s="13">
        <f t="shared" si="1"/>
        <v>1584</v>
      </c>
    </row>
    <row r="16" ht="12.75" customHeight="1">
      <c r="A16" s="25"/>
      <c r="B16" s="21"/>
      <c r="C16" s="28"/>
      <c r="D16" s="13" t="s">
        <v>14</v>
      </c>
      <c r="E16" s="13">
        <f t="shared" ref="E16:P16" si="2">SUM(E14:E15)</f>
        <v>279</v>
      </c>
      <c r="F16" s="13">
        <f t="shared" si="2"/>
        <v>263</v>
      </c>
      <c r="G16" s="13">
        <f t="shared" si="2"/>
        <v>279</v>
      </c>
      <c r="H16" s="13">
        <f t="shared" si="2"/>
        <v>273</v>
      </c>
      <c r="I16" s="13">
        <f t="shared" si="2"/>
        <v>238</v>
      </c>
      <c r="J16" s="13">
        <f t="shared" si="2"/>
        <v>266</v>
      </c>
      <c r="K16" s="13">
        <f t="shared" si="2"/>
        <v>233</v>
      </c>
      <c r="L16" s="13">
        <f t="shared" si="2"/>
        <v>271</v>
      </c>
      <c r="M16" s="13">
        <f t="shared" si="2"/>
        <v>227</v>
      </c>
      <c r="N16" s="13">
        <f t="shared" si="2"/>
        <v>281</v>
      </c>
      <c r="O16" s="13">
        <f t="shared" si="2"/>
        <v>262</v>
      </c>
      <c r="P16" s="13">
        <f t="shared" si="2"/>
        <v>239</v>
      </c>
      <c r="Q16" s="13">
        <f t="shared" si="1"/>
        <v>3111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120.0</v>
      </c>
      <c r="F19" s="19">
        <v>107.0</v>
      </c>
      <c r="G19" s="19">
        <v>100.0</v>
      </c>
      <c r="H19" s="19">
        <v>100.0</v>
      </c>
      <c r="I19" s="19">
        <v>93.0</v>
      </c>
      <c r="J19" s="19">
        <v>107.0</v>
      </c>
      <c r="K19" s="19">
        <v>90.0</v>
      </c>
      <c r="L19" s="19">
        <v>110.0</v>
      </c>
      <c r="M19" s="19">
        <v>88.0</v>
      </c>
      <c r="N19" s="19">
        <v>100.0</v>
      </c>
      <c r="O19" s="19">
        <v>88.0</v>
      </c>
      <c r="P19" s="19">
        <v>90.0</v>
      </c>
      <c r="Q19" s="13">
        <f t="shared" ref="Q19:Q30" si="3">SUM(E19:P19)</f>
        <v>1193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115.0</v>
      </c>
      <c r="G20" s="19">
        <v>111.0</v>
      </c>
      <c r="H20" s="19">
        <v>109.0</v>
      </c>
      <c r="I20" s="19">
        <v>113.0</v>
      </c>
      <c r="J20" s="19">
        <v>120.0</v>
      </c>
      <c r="K20" s="19">
        <v>102.0</v>
      </c>
      <c r="L20" s="19">
        <v>119.0</v>
      </c>
      <c r="M20" s="19">
        <v>95.0</v>
      </c>
      <c r="N20" s="19">
        <v>107.0</v>
      </c>
      <c r="O20" s="19">
        <v>110.0</v>
      </c>
      <c r="P20" s="19">
        <v>97.0</v>
      </c>
      <c r="Q20" s="13">
        <f t="shared" si="3"/>
        <v>1314</v>
      </c>
    </row>
    <row r="21" ht="12.75" customHeight="1">
      <c r="A21" s="35"/>
      <c r="B21" s="28"/>
      <c r="C21" s="36"/>
      <c r="D21" s="13" t="s">
        <v>14</v>
      </c>
      <c r="E21" s="13">
        <f t="shared" ref="E21:P21" si="4">SUM(E19:E20)</f>
        <v>236</v>
      </c>
      <c r="F21" s="13">
        <f t="shared" si="4"/>
        <v>222</v>
      </c>
      <c r="G21" s="13">
        <f t="shared" si="4"/>
        <v>211</v>
      </c>
      <c r="H21" s="13">
        <f t="shared" si="4"/>
        <v>209</v>
      </c>
      <c r="I21" s="13">
        <f t="shared" si="4"/>
        <v>206</v>
      </c>
      <c r="J21" s="13">
        <f t="shared" si="4"/>
        <v>227</v>
      </c>
      <c r="K21" s="13">
        <f t="shared" si="4"/>
        <v>192</v>
      </c>
      <c r="L21" s="13">
        <f t="shared" si="4"/>
        <v>229</v>
      </c>
      <c r="M21" s="13">
        <f t="shared" si="4"/>
        <v>183</v>
      </c>
      <c r="N21" s="13">
        <f t="shared" si="4"/>
        <v>207</v>
      </c>
      <c r="O21" s="13">
        <f t="shared" si="4"/>
        <v>198</v>
      </c>
      <c r="P21" s="13">
        <f t="shared" si="4"/>
        <v>187</v>
      </c>
      <c r="Q21" s="13">
        <f t="shared" si="3"/>
        <v>2507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2.0</v>
      </c>
      <c r="F22" s="19">
        <v>0.0</v>
      </c>
      <c r="G22" s="19">
        <v>1.0</v>
      </c>
      <c r="H22" s="19">
        <v>0.0</v>
      </c>
      <c r="I22" s="19">
        <v>0.0</v>
      </c>
      <c r="J22" s="19">
        <v>1.0</v>
      </c>
      <c r="K22" s="19">
        <v>1.0</v>
      </c>
      <c r="L22" s="19">
        <v>0.0</v>
      </c>
      <c r="M22" s="19">
        <v>0.0</v>
      </c>
      <c r="N22" s="19">
        <v>0.0</v>
      </c>
      <c r="O22" s="19">
        <v>0.0</v>
      </c>
      <c r="P22" s="19">
        <v>2.0</v>
      </c>
      <c r="Q22" s="13">
        <f t="shared" si="3"/>
        <v>7</v>
      </c>
    </row>
    <row r="23" ht="12.75" customHeight="1">
      <c r="A23" s="33"/>
      <c r="B23" s="27"/>
      <c r="C23" s="34"/>
      <c r="D23" s="19" t="s">
        <v>13</v>
      </c>
      <c r="E23" s="19">
        <v>3.0</v>
      </c>
      <c r="F23" s="19">
        <v>2.0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1.0</v>
      </c>
      <c r="N23" s="19">
        <v>1.0</v>
      </c>
      <c r="O23" s="19">
        <v>0.0</v>
      </c>
      <c r="P23" s="19">
        <v>0.0</v>
      </c>
      <c r="Q23" s="13">
        <f t="shared" si="3"/>
        <v>8</v>
      </c>
    </row>
    <row r="24" ht="12.75" customHeight="1">
      <c r="A24" s="35"/>
      <c r="B24" s="28"/>
      <c r="C24" s="36"/>
      <c r="D24" s="13" t="s">
        <v>14</v>
      </c>
      <c r="E24" s="13">
        <f t="shared" ref="E24:P24" si="5">SUM(E22:E23)</f>
        <v>5</v>
      </c>
      <c r="F24" s="13">
        <f t="shared" si="5"/>
        <v>2</v>
      </c>
      <c r="G24" s="13">
        <f t="shared" si="5"/>
        <v>1</v>
      </c>
      <c r="H24" s="13">
        <f t="shared" si="5"/>
        <v>1</v>
      </c>
      <c r="I24" s="13">
        <f t="shared" si="5"/>
        <v>0</v>
      </c>
      <c r="J24" s="13">
        <f t="shared" si="5"/>
        <v>1</v>
      </c>
      <c r="K24" s="13">
        <f t="shared" si="5"/>
        <v>1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2</v>
      </c>
      <c r="Q24" s="13">
        <f t="shared" si="3"/>
        <v>15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0.0</v>
      </c>
      <c r="H25" s="19">
        <v>1.0</v>
      </c>
      <c r="I25" s="19">
        <v>2.0</v>
      </c>
      <c r="J25" s="19">
        <v>0.0</v>
      </c>
      <c r="K25" s="19">
        <v>1.0</v>
      </c>
      <c r="L25" s="19">
        <v>2.0</v>
      </c>
      <c r="M25" s="19">
        <v>0.0</v>
      </c>
      <c r="N25" s="19">
        <v>2.0</v>
      </c>
      <c r="O25" s="19">
        <v>1.0</v>
      </c>
      <c r="P25" s="19">
        <v>2.0</v>
      </c>
      <c r="Q25" s="13">
        <f t="shared" si="3"/>
        <v>12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2.0</v>
      </c>
      <c r="I26" s="19">
        <v>2.0</v>
      </c>
      <c r="J26" s="19">
        <v>1.0</v>
      </c>
      <c r="K26" s="19">
        <v>3.0</v>
      </c>
      <c r="L26" s="19">
        <v>2.0</v>
      </c>
      <c r="M26" s="19">
        <v>0.0</v>
      </c>
      <c r="N26" s="19">
        <v>1.0</v>
      </c>
      <c r="O26" s="19">
        <v>3.0</v>
      </c>
      <c r="P26" s="19">
        <v>0.0</v>
      </c>
      <c r="Q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P27" si="6">SUM(E25:E26)</f>
        <v>0</v>
      </c>
      <c r="F27" s="13">
        <f t="shared" si="6"/>
        <v>1</v>
      </c>
      <c r="G27" s="13">
        <f t="shared" si="6"/>
        <v>0</v>
      </c>
      <c r="H27" s="13">
        <f t="shared" si="6"/>
        <v>3</v>
      </c>
      <c r="I27" s="13">
        <f t="shared" si="6"/>
        <v>4</v>
      </c>
      <c r="J27" s="13">
        <f t="shared" si="6"/>
        <v>1</v>
      </c>
      <c r="K27" s="13">
        <f t="shared" si="6"/>
        <v>4</v>
      </c>
      <c r="L27" s="13">
        <f t="shared" si="6"/>
        <v>4</v>
      </c>
      <c r="M27" s="13">
        <f t="shared" si="6"/>
        <v>0</v>
      </c>
      <c r="N27" s="13">
        <f t="shared" si="6"/>
        <v>3</v>
      </c>
      <c r="O27" s="13">
        <f t="shared" si="6"/>
        <v>4</v>
      </c>
      <c r="P27" s="13">
        <f t="shared" si="6"/>
        <v>2</v>
      </c>
      <c r="Q27" s="13">
        <f t="shared" si="3"/>
        <v>26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P28" si="7">SUM(E19,E22,E25)</f>
        <v>122</v>
      </c>
      <c r="F28" s="13">
        <f t="shared" si="7"/>
        <v>108</v>
      </c>
      <c r="G28" s="13">
        <f t="shared" si="7"/>
        <v>101</v>
      </c>
      <c r="H28" s="13">
        <f t="shared" si="7"/>
        <v>101</v>
      </c>
      <c r="I28" s="13">
        <f t="shared" si="7"/>
        <v>95</v>
      </c>
      <c r="J28" s="13">
        <f t="shared" si="7"/>
        <v>108</v>
      </c>
      <c r="K28" s="13">
        <f t="shared" si="7"/>
        <v>92</v>
      </c>
      <c r="L28" s="13">
        <f t="shared" si="7"/>
        <v>112</v>
      </c>
      <c r="M28" s="13">
        <f t="shared" si="7"/>
        <v>88</v>
      </c>
      <c r="N28" s="13">
        <f t="shared" si="7"/>
        <v>102</v>
      </c>
      <c r="O28" s="13">
        <f t="shared" si="7"/>
        <v>89</v>
      </c>
      <c r="P28" s="13">
        <f t="shared" si="7"/>
        <v>94</v>
      </c>
      <c r="Q28" s="13">
        <f t="shared" si="3"/>
        <v>1212</v>
      </c>
    </row>
    <row r="29" ht="12.75" customHeight="1">
      <c r="A29" s="35"/>
      <c r="B29" s="27"/>
      <c r="C29" s="34"/>
      <c r="D29" s="13" t="s">
        <v>13</v>
      </c>
      <c r="E29" s="13">
        <f t="shared" ref="E29:P29" si="8">SUM(E20,E23,E26)</f>
        <v>119</v>
      </c>
      <c r="F29" s="13">
        <f t="shared" si="8"/>
        <v>117</v>
      </c>
      <c r="G29" s="13">
        <f t="shared" si="8"/>
        <v>111</v>
      </c>
      <c r="H29" s="13">
        <f t="shared" si="8"/>
        <v>112</v>
      </c>
      <c r="I29" s="13">
        <f t="shared" si="8"/>
        <v>115</v>
      </c>
      <c r="J29" s="13">
        <f t="shared" si="8"/>
        <v>121</v>
      </c>
      <c r="K29" s="13">
        <f t="shared" si="8"/>
        <v>105</v>
      </c>
      <c r="L29" s="13">
        <f t="shared" si="8"/>
        <v>121</v>
      </c>
      <c r="M29" s="13">
        <f t="shared" si="8"/>
        <v>96</v>
      </c>
      <c r="N29" s="13">
        <f t="shared" si="8"/>
        <v>109</v>
      </c>
      <c r="O29" s="13">
        <f t="shared" si="8"/>
        <v>113</v>
      </c>
      <c r="P29" s="13">
        <f t="shared" si="8"/>
        <v>97</v>
      </c>
      <c r="Q29" s="13">
        <f t="shared" si="3"/>
        <v>1336</v>
      </c>
    </row>
    <row r="30" ht="12.75" customHeight="1">
      <c r="A30" s="35"/>
      <c r="B30" s="28"/>
      <c r="C30" s="36"/>
      <c r="D30" s="13" t="s">
        <v>14</v>
      </c>
      <c r="E30" s="13">
        <f t="shared" ref="E30:P30" si="9">SUM(E28:E29)</f>
        <v>241</v>
      </c>
      <c r="F30" s="13">
        <f t="shared" si="9"/>
        <v>225</v>
      </c>
      <c r="G30" s="13">
        <f t="shared" si="9"/>
        <v>212</v>
      </c>
      <c r="H30" s="13">
        <f t="shared" si="9"/>
        <v>213</v>
      </c>
      <c r="I30" s="13">
        <f t="shared" si="9"/>
        <v>210</v>
      </c>
      <c r="J30" s="13">
        <f t="shared" si="9"/>
        <v>229</v>
      </c>
      <c r="K30" s="13">
        <f t="shared" si="9"/>
        <v>197</v>
      </c>
      <c r="L30" s="13">
        <f t="shared" si="9"/>
        <v>233</v>
      </c>
      <c r="M30" s="13">
        <f t="shared" si="9"/>
        <v>184</v>
      </c>
      <c r="N30" s="13">
        <f t="shared" si="9"/>
        <v>211</v>
      </c>
      <c r="O30" s="13">
        <f t="shared" si="9"/>
        <v>202</v>
      </c>
      <c r="P30" s="13">
        <f t="shared" si="9"/>
        <v>191</v>
      </c>
      <c r="Q30" s="13">
        <f t="shared" si="3"/>
        <v>2548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6"/>
    </row>
    <row r="33" ht="12.75" customHeight="1">
      <c r="A33" s="19">
        <v>1.0</v>
      </c>
      <c r="B33" s="20" t="s">
        <v>27</v>
      </c>
      <c r="C33" s="15"/>
      <c r="D33" s="16"/>
      <c r="E33" s="19">
        <v>285.0</v>
      </c>
      <c r="F33" s="19">
        <v>278.0</v>
      </c>
      <c r="G33" s="19">
        <v>284.0</v>
      </c>
      <c r="H33" s="19">
        <v>279.0</v>
      </c>
      <c r="I33" s="19">
        <v>243.0</v>
      </c>
      <c r="J33" s="19">
        <v>272.0</v>
      </c>
      <c r="K33" s="19">
        <v>247.0</v>
      </c>
      <c r="L33" s="19">
        <v>277.0</v>
      </c>
      <c r="M33" s="19">
        <v>235.0</v>
      </c>
      <c r="N33" s="19">
        <v>277.0</v>
      </c>
      <c r="O33" s="19">
        <v>268.0</v>
      </c>
      <c r="P33" s="19">
        <v>244.0</v>
      </c>
      <c r="Q33" s="13">
        <f t="shared" ref="Q33:Q36" si="10">SUM(E33:P33)</f>
        <v>3189</v>
      </c>
    </row>
    <row r="34" ht="12.75" customHeight="1">
      <c r="A34" s="19">
        <v>2.0</v>
      </c>
      <c r="B34" s="20" t="s">
        <v>28</v>
      </c>
      <c r="C34" s="15"/>
      <c r="D34" s="16"/>
      <c r="E34" s="13">
        <v>241.0</v>
      </c>
      <c r="F34" s="13">
        <v>225.0</v>
      </c>
      <c r="G34" s="13">
        <v>212.0</v>
      </c>
      <c r="H34" s="13">
        <v>213.0</v>
      </c>
      <c r="I34" s="13">
        <v>210.0</v>
      </c>
      <c r="J34" s="13">
        <v>229.0</v>
      </c>
      <c r="K34" s="13">
        <v>197.0</v>
      </c>
      <c r="L34" s="13">
        <v>233.0</v>
      </c>
      <c r="M34" s="13">
        <v>184.0</v>
      </c>
      <c r="N34" s="13">
        <v>211.0</v>
      </c>
      <c r="O34" s="13">
        <v>202.0</v>
      </c>
      <c r="P34" s="13">
        <v>191.0</v>
      </c>
      <c r="Q34" s="13">
        <f t="shared" si="10"/>
        <v>2548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1.0</v>
      </c>
      <c r="O35" s="19">
        <v>0.0</v>
      </c>
      <c r="P35" s="19">
        <v>2.0</v>
      </c>
      <c r="Q35" s="13">
        <f t="shared" si="10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P36" si="11">E33-(E34+E35)</f>
        <v>44</v>
      </c>
      <c r="F36" s="13">
        <f t="shared" si="11"/>
        <v>53</v>
      </c>
      <c r="G36" s="13">
        <f t="shared" si="11"/>
        <v>70</v>
      </c>
      <c r="H36" s="13">
        <f t="shared" si="11"/>
        <v>66</v>
      </c>
      <c r="I36" s="13">
        <f t="shared" si="11"/>
        <v>33</v>
      </c>
      <c r="J36" s="13">
        <f t="shared" si="11"/>
        <v>43</v>
      </c>
      <c r="K36" s="13">
        <f t="shared" si="11"/>
        <v>50</v>
      </c>
      <c r="L36" s="13">
        <f t="shared" si="11"/>
        <v>44</v>
      </c>
      <c r="M36" s="13">
        <f t="shared" si="11"/>
        <v>51</v>
      </c>
      <c r="N36" s="13">
        <f t="shared" si="11"/>
        <v>65</v>
      </c>
      <c r="O36" s="13">
        <f t="shared" si="11"/>
        <v>66</v>
      </c>
      <c r="P36" s="13">
        <f t="shared" si="11"/>
        <v>51</v>
      </c>
      <c r="Q36" s="13">
        <f t="shared" si="10"/>
        <v>636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75"/>
      <c r="P37" s="84"/>
      <c r="Q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>
        <v>1.0</v>
      </c>
      <c r="M39" s="19"/>
      <c r="N39" s="19"/>
      <c r="O39" s="19"/>
      <c r="P39" s="19"/>
      <c r="Q39" s="13">
        <f t="shared" ref="Q39:Q41" si="12">SUM(E39:P39)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>
        <v>1.0</v>
      </c>
      <c r="K40" s="19"/>
      <c r="L40" s="19">
        <v>1.0</v>
      </c>
      <c r="M40" s="19"/>
      <c r="N40" s="19"/>
      <c r="O40" s="19"/>
      <c r="P40" s="19"/>
      <c r="Q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P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2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2"/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75"/>
      <c r="P42" s="19"/>
      <c r="Q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77"/>
      <c r="P43" s="13"/>
      <c r="Q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75"/>
      <c r="P44" s="19"/>
      <c r="Q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15.0</v>
      </c>
      <c r="F45" s="19">
        <v>0.0</v>
      </c>
      <c r="G45" s="19">
        <v>7.0</v>
      </c>
      <c r="H45" s="19">
        <v>16.0</v>
      </c>
      <c r="I45" s="19">
        <v>5.0</v>
      </c>
      <c r="J45" s="19">
        <v>11.0</v>
      </c>
      <c r="K45" s="19">
        <v>14.0</v>
      </c>
      <c r="L45" s="19">
        <v>9.0</v>
      </c>
      <c r="M45" s="19">
        <v>6.0</v>
      </c>
      <c r="N45" s="19">
        <v>9.0</v>
      </c>
      <c r="O45" s="19">
        <v>9.0</v>
      </c>
      <c r="P45" s="19">
        <v>5.0</v>
      </c>
      <c r="Q45" s="13">
        <f t="shared" ref="Q45:Q54" si="14">SUM(E45:P45)</f>
        <v>106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12.0</v>
      </c>
      <c r="F46" s="19">
        <v>30.0</v>
      </c>
      <c r="G46" s="19">
        <v>27.0</v>
      </c>
      <c r="H46" s="19">
        <v>26.0</v>
      </c>
      <c r="I46" s="19">
        <v>16.0</v>
      </c>
      <c r="J46" s="19">
        <v>51.0</v>
      </c>
      <c r="K46" s="19">
        <v>8.0</v>
      </c>
      <c r="L46" s="19">
        <v>31.0</v>
      </c>
      <c r="M46" s="19">
        <v>6.0</v>
      </c>
      <c r="N46" s="19">
        <v>21.0</v>
      </c>
      <c r="O46" s="19">
        <v>6.0</v>
      </c>
      <c r="P46" s="19">
        <v>18.0</v>
      </c>
      <c r="Q46" s="13">
        <f t="shared" si="14"/>
        <v>252</v>
      </c>
    </row>
    <row r="47" ht="12.75" customHeight="1">
      <c r="A47" s="18"/>
      <c r="B47" s="55">
        <v>2.0</v>
      </c>
      <c r="C47" s="50" t="s">
        <v>41</v>
      </c>
      <c r="D47" s="16"/>
      <c r="E47" s="19">
        <v>15.0</v>
      </c>
      <c r="F47" s="19">
        <v>3.0</v>
      </c>
      <c r="G47" s="19">
        <v>15.0</v>
      </c>
      <c r="H47" s="19">
        <v>20.0</v>
      </c>
      <c r="I47" s="19">
        <v>8.0</v>
      </c>
      <c r="J47" s="19">
        <v>8.0</v>
      </c>
      <c r="K47" s="19">
        <v>13.0</v>
      </c>
      <c r="L47" s="19">
        <v>11.0</v>
      </c>
      <c r="M47" s="19">
        <v>9.0</v>
      </c>
      <c r="N47" s="19">
        <v>3.0</v>
      </c>
      <c r="O47" s="19">
        <v>8.0</v>
      </c>
      <c r="P47" s="19">
        <v>7.0</v>
      </c>
      <c r="Q47" s="13">
        <f t="shared" si="14"/>
        <v>120</v>
      </c>
    </row>
    <row r="48" ht="12.75" customHeight="1">
      <c r="A48" s="18"/>
      <c r="B48" s="55">
        <v>3.0</v>
      </c>
      <c r="C48" s="50" t="s">
        <v>42</v>
      </c>
      <c r="D48" s="16"/>
      <c r="E48" s="19">
        <v>2.0</v>
      </c>
      <c r="F48" s="19">
        <v>3.0</v>
      </c>
      <c r="G48" s="19">
        <v>1.0</v>
      </c>
      <c r="H48" s="19">
        <v>1.0</v>
      </c>
      <c r="I48" s="19">
        <v>0.0</v>
      </c>
      <c r="J48" s="19">
        <v>0.0</v>
      </c>
      <c r="K48" s="19">
        <v>1.0</v>
      </c>
      <c r="L48" s="19">
        <v>1.0</v>
      </c>
      <c r="M48" s="19">
        <v>2.0</v>
      </c>
      <c r="N48" s="19">
        <v>0.0</v>
      </c>
      <c r="O48" s="19">
        <v>0.0</v>
      </c>
      <c r="P48" s="19">
        <v>0.0</v>
      </c>
      <c r="Q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2.0</v>
      </c>
      <c r="I49" s="19">
        <v>2.0</v>
      </c>
      <c r="J49" s="19">
        <v>1.0</v>
      </c>
      <c r="K49" s="19">
        <v>1.0</v>
      </c>
      <c r="L49" s="19">
        <v>0.0</v>
      </c>
      <c r="M49" s="19">
        <v>0.0</v>
      </c>
      <c r="N49" s="19">
        <v>1.0</v>
      </c>
      <c r="O49" s="19">
        <v>1.0</v>
      </c>
      <c r="P49" s="19">
        <v>0.0</v>
      </c>
      <c r="Q49" s="13">
        <f t="shared" si="14"/>
        <v>10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1.0</v>
      </c>
      <c r="L50" s="19">
        <v>2.0</v>
      </c>
      <c r="M50" s="19">
        <v>0.0</v>
      </c>
      <c r="N50" s="19">
        <v>1.0</v>
      </c>
      <c r="O50" s="19">
        <v>1.0</v>
      </c>
      <c r="P50" s="19">
        <v>0.0</v>
      </c>
      <c r="Q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1.0</v>
      </c>
      <c r="P52" s="19">
        <v>0.0</v>
      </c>
      <c r="Q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Q55" si="15">SUM(E45:E54)</f>
        <v>45</v>
      </c>
      <c r="F55" s="13">
        <f t="shared" si="15"/>
        <v>38</v>
      </c>
      <c r="G55" s="13">
        <f t="shared" si="15"/>
        <v>50</v>
      </c>
      <c r="H55" s="13">
        <f t="shared" si="15"/>
        <v>66</v>
      </c>
      <c r="I55" s="13">
        <f t="shared" si="15"/>
        <v>32</v>
      </c>
      <c r="J55" s="13">
        <f t="shared" si="15"/>
        <v>72</v>
      </c>
      <c r="K55" s="13">
        <f t="shared" si="15"/>
        <v>38</v>
      </c>
      <c r="L55" s="13">
        <f t="shared" si="15"/>
        <v>54</v>
      </c>
      <c r="M55" s="13">
        <f t="shared" si="15"/>
        <v>23</v>
      </c>
      <c r="N55" s="13">
        <f t="shared" si="15"/>
        <v>35</v>
      </c>
      <c r="O55" s="13">
        <f t="shared" si="15"/>
        <v>26</v>
      </c>
      <c r="P55" s="13">
        <f t="shared" si="15"/>
        <v>30</v>
      </c>
      <c r="Q55" s="13">
        <f t="shared" si="15"/>
        <v>509</v>
      </c>
    </row>
    <row r="56" ht="12.75" customHeight="1">
      <c r="A56" s="45"/>
      <c r="B56" s="44"/>
      <c r="C56" s="44"/>
      <c r="D56" s="44"/>
      <c r="E56" s="44"/>
      <c r="Q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0.0</v>
      </c>
      <c r="G57" s="19">
        <v>13.0</v>
      </c>
      <c r="H57" s="19">
        <v>12.0</v>
      </c>
      <c r="I57" s="19">
        <v>4.0</v>
      </c>
      <c r="J57" s="19">
        <v>3.0</v>
      </c>
      <c r="K57" s="19">
        <v>16.0</v>
      </c>
      <c r="L57" s="19">
        <v>5.0</v>
      </c>
      <c r="M57" s="19">
        <v>3.0</v>
      </c>
      <c r="N57" s="19">
        <v>17.0</v>
      </c>
      <c r="O57" s="19">
        <v>18.0</v>
      </c>
      <c r="P57" s="19">
        <v>9.0</v>
      </c>
      <c r="Q57" s="13">
        <f t="shared" ref="Q57:Q66" si="16">SUM(E57:P57)</f>
        <v>111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3.0</v>
      </c>
      <c r="G58" s="19">
        <v>14.0</v>
      </c>
      <c r="H58" s="19">
        <v>10.0</v>
      </c>
      <c r="I58" s="19">
        <v>12.0</v>
      </c>
      <c r="J58" s="19">
        <v>12.0</v>
      </c>
      <c r="K58" s="19">
        <v>7.0</v>
      </c>
      <c r="L58" s="19">
        <v>27.0</v>
      </c>
      <c r="M58" s="19">
        <v>11.0</v>
      </c>
      <c r="N58" s="19">
        <v>24.0</v>
      </c>
      <c r="O58" s="19">
        <v>16.0</v>
      </c>
      <c r="P58" s="19">
        <v>9.0</v>
      </c>
      <c r="Q58" s="13">
        <f t="shared" si="16"/>
        <v>155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8.0</v>
      </c>
      <c r="G59" s="19">
        <v>3.0</v>
      </c>
      <c r="H59" s="19">
        <v>5.0</v>
      </c>
      <c r="I59" s="19">
        <v>3.0</v>
      </c>
      <c r="J59" s="19">
        <v>2.0</v>
      </c>
      <c r="K59" s="19">
        <v>6.0</v>
      </c>
      <c r="L59" s="19">
        <v>4.0</v>
      </c>
      <c r="M59" s="19">
        <v>5.0</v>
      </c>
      <c r="N59" s="19">
        <v>4.0</v>
      </c>
      <c r="O59" s="19">
        <v>5.0</v>
      </c>
      <c r="P59" s="19">
        <v>1.0</v>
      </c>
      <c r="Q59" s="13">
        <f t="shared" si="16"/>
        <v>50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2.0</v>
      </c>
      <c r="H60" s="19">
        <v>1.0</v>
      </c>
      <c r="I60" s="19">
        <v>1.0</v>
      </c>
      <c r="J60" s="19">
        <v>1.0</v>
      </c>
      <c r="K60" s="19">
        <v>1.0</v>
      </c>
      <c r="L60" s="19">
        <v>1.0</v>
      </c>
      <c r="M60" s="19">
        <v>1.0</v>
      </c>
      <c r="N60" s="19">
        <v>4.0</v>
      </c>
      <c r="O60" s="19">
        <v>3.0</v>
      </c>
      <c r="P60" s="19">
        <v>1.0</v>
      </c>
      <c r="Q60" s="13">
        <f t="shared" si="16"/>
        <v>17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3.0</v>
      </c>
      <c r="G61" s="19">
        <v>4.0</v>
      </c>
      <c r="H61" s="19">
        <v>1.0</v>
      </c>
      <c r="I61" s="19">
        <v>0.0</v>
      </c>
      <c r="J61" s="19">
        <v>3.0</v>
      </c>
      <c r="K61" s="19">
        <v>1.0</v>
      </c>
      <c r="L61" s="19">
        <v>1.0</v>
      </c>
      <c r="M61" s="19">
        <v>1.0</v>
      </c>
      <c r="N61" s="19">
        <v>1.0</v>
      </c>
      <c r="O61" s="19">
        <v>0.0</v>
      </c>
      <c r="P61" s="19">
        <v>0.0</v>
      </c>
      <c r="Q61" s="13">
        <f t="shared" si="16"/>
        <v>16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1.0</v>
      </c>
      <c r="O62" s="19">
        <v>0.0</v>
      </c>
      <c r="P62" s="19">
        <v>2.0</v>
      </c>
      <c r="Q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2.0</v>
      </c>
      <c r="P63" s="19">
        <v>0.0</v>
      </c>
      <c r="Q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9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1.0</v>
      </c>
      <c r="L64" s="19">
        <v>0.0</v>
      </c>
      <c r="M64" s="19">
        <v>0.0</v>
      </c>
      <c r="N64" s="19">
        <v>2.0</v>
      </c>
      <c r="O64" s="19">
        <v>0.0</v>
      </c>
      <c r="P64" s="19">
        <v>0.0</v>
      </c>
      <c r="Q64" s="13">
        <f t="shared" si="16"/>
        <v>4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Q67" si="17">SUM(E57:E66)</f>
        <v>28</v>
      </c>
      <c r="F67" s="13">
        <f t="shared" si="17"/>
        <v>15</v>
      </c>
      <c r="G67" s="13">
        <f t="shared" si="17"/>
        <v>36</v>
      </c>
      <c r="H67" s="13">
        <f t="shared" si="17"/>
        <v>29</v>
      </c>
      <c r="I67" s="13">
        <f t="shared" si="17"/>
        <v>20</v>
      </c>
      <c r="J67" s="13">
        <f t="shared" si="17"/>
        <v>21</v>
      </c>
      <c r="K67" s="13">
        <f t="shared" si="17"/>
        <v>32</v>
      </c>
      <c r="L67" s="13">
        <f t="shared" si="17"/>
        <v>38</v>
      </c>
      <c r="M67" s="13">
        <f t="shared" si="17"/>
        <v>21</v>
      </c>
      <c r="N67" s="13">
        <f t="shared" si="17"/>
        <v>53</v>
      </c>
      <c r="O67" s="13">
        <f t="shared" si="17"/>
        <v>44</v>
      </c>
      <c r="P67" s="13">
        <f t="shared" si="17"/>
        <v>22</v>
      </c>
      <c r="Q67" s="13">
        <f t="shared" si="17"/>
        <v>359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6.0</v>
      </c>
      <c r="G69" s="19">
        <v>3.0</v>
      </c>
      <c r="H69" s="19">
        <v>3.0</v>
      </c>
      <c r="I69" s="19">
        <v>4.0</v>
      </c>
      <c r="J69" s="19">
        <v>4.0</v>
      </c>
      <c r="K69" s="19">
        <v>3.0</v>
      </c>
      <c r="L69" s="19">
        <v>2.0</v>
      </c>
      <c r="M69" s="19">
        <v>2.0</v>
      </c>
      <c r="N69" s="19">
        <v>4.0</v>
      </c>
      <c r="O69" s="19">
        <v>19.0</v>
      </c>
      <c r="P69" s="19">
        <v>5.0</v>
      </c>
      <c r="Q69" s="13">
        <f t="shared" ref="Q69:Q78" si="18">SUM(E69:P69)</f>
        <v>60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19.0</v>
      </c>
      <c r="F70" s="19">
        <v>18.0</v>
      </c>
      <c r="G70" s="19">
        <v>14.0</v>
      </c>
      <c r="H70" s="19">
        <v>0.0</v>
      </c>
      <c r="I70" s="19">
        <v>18.0</v>
      </c>
      <c r="J70" s="19">
        <v>4.0</v>
      </c>
      <c r="K70" s="19">
        <v>13.0</v>
      </c>
      <c r="L70" s="19">
        <v>13.0</v>
      </c>
      <c r="M70" s="19">
        <v>4.0</v>
      </c>
      <c r="N70" s="19">
        <v>18.0</v>
      </c>
      <c r="O70" s="19">
        <v>3.0</v>
      </c>
      <c r="P70" s="19">
        <v>9.0</v>
      </c>
      <c r="Q70" s="13">
        <f t="shared" si="18"/>
        <v>133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3.0</v>
      </c>
      <c r="G71" s="19">
        <v>0.0</v>
      </c>
      <c r="H71" s="19">
        <v>4.0</v>
      </c>
      <c r="I71" s="19">
        <v>0.0</v>
      </c>
      <c r="J71" s="19">
        <v>4.0</v>
      </c>
      <c r="K71" s="19">
        <v>2.0</v>
      </c>
      <c r="L71" s="19">
        <v>2.0</v>
      </c>
      <c r="M71" s="19">
        <v>0.0</v>
      </c>
      <c r="N71" s="19">
        <v>2.0</v>
      </c>
      <c r="O71" s="19">
        <v>2.0</v>
      </c>
      <c r="P71" s="19">
        <v>2.0</v>
      </c>
      <c r="Q71" s="13">
        <f t="shared" si="18"/>
        <v>23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1.0</v>
      </c>
      <c r="G72" s="19">
        <v>2.0</v>
      </c>
      <c r="H72" s="19">
        <v>1.0</v>
      </c>
      <c r="I72" s="19">
        <v>1.0</v>
      </c>
      <c r="J72" s="19">
        <v>3.0</v>
      </c>
      <c r="K72" s="19">
        <v>2.0</v>
      </c>
      <c r="L72" s="19">
        <v>0.0</v>
      </c>
      <c r="M72" s="19">
        <v>3.0</v>
      </c>
      <c r="N72" s="19">
        <v>15.0</v>
      </c>
      <c r="O72" s="19">
        <v>50.0</v>
      </c>
      <c r="P72" s="19">
        <v>94.0</v>
      </c>
      <c r="Q72" s="13">
        <f t="shared" si="18"/>
        <v>174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0.0</v>
      </c>
      <c r="G73" s="19">
        <v>0.0</v>
      </c>
      <c r="H73" s="19">
        <v>2.0</v>
      </c>
      <c r="I73" s="19">
        <v>1.0</v>
      </c>
      <c r="J73" s="19">
        <v>1.0</v>
      </c>
      <c r="K73" s="19">
        <v>5.0</v>
      </c>
      <c r="L73" s="19">
        <v>0.0</v>
      </c>
      <c r="M73" s="19">
        <v>0.0</v>
      </c>
      <c r="N73" s="19">
        <v>0.0</v>
      </c>
      <c r="O73" s="19">
        <v>1.0</v>
      </c>
      <c r="P73" s="19">
        <v>0.0</v>
      </c>
      <c r="Q73" s="13">
        <f t="shared" si="18"/>
        <v>11</v>
      </c>
    </row>
    <row r="74" ht="12.75" customHeight="1">
      <c r="A74" s="18"/>
      <c r="B74" s="55">
        <v>5.0</v>
      </c>
      <c r="C74" s="50" t="s">
        <v>61</v>
      </c>
      <c r="D74" s="60"/>
      <c r="E74" s="19">
        <v>15.0</v>
      </c>
      <c r="F74" s="19">
        <v>3.0</v>
      </c>
      <c r="G74" s="19">
        <v>0.0</v>
      </c>
      <c r="H74" s="19">
        <v>2.0</v>
      </c>
      <c r="I74" s="19">
        <v>2.0</v>
      </c>
      <c r="J74" s="19">
        <v>1.0</v>
      </c>
      <c r="K74" s="19">
        <v>0.0</v>
      </c>
      <c r="L74" s="19">
        <v>3.0</v>
      </c>
      <c r="M74" s="19">
        <v>0.0</v>
      </c>
      <c r="N74" s="19">
        <v>3.0</v>
      </c>
      <c r="O74" s="19">
        <v>0.0</v>
      </c>
      <c r="P74" s="19">
        <v>0.0</v>
      </c>
      <c r="Q74" s="13">
        <f t="shared" si="18"/>
        <v>29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1.0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3">
        <f t="shared" si="18"/>
        <v>4</v>
      </c>
    </row>
    <row r="76" ht="12.75" customHeight="1">
      <c r="A76" s="18"/>
      <c r="B76" s="55">
        <v>7.0</v>
      </c>
      <c r="C76" s="50" t="s">
        <v>63</v>
      </c>
      <c r="D76" s="60"/>
      <c r="E76" s="19">
        <v>2.0</v>
      </c>
      <c r="F76" s="19">
        <v>0.0</v>
      </c>
      <c r="G76" s="19">
        <v>0.0</v>
      </c>
      <c r="H76" s="19">
        <v>0.0</v>
      </c>
      <c r="I76" s="19">
        <v>0.0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1.0</v>
      </c>
      <c r="Q76" s="13">
        <f t="shared" si="18"/>
        <v>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Q79" si="19">SUM(E69:E78)</f>
        <v>47</v>
      </c>
      <c r="F79" s="13">
        <f t="shared" si="19"/>
        <v>32</v>
      </c>
      <c r="G79" s="13">
        <f t="shared" si="19"/>
        <v>19</v>
      </c>
      <c r="H79" s="13">
        <f t="shared" si="19"/>
        <v>12</v>
      </c>
      <c r="I79" s="13">
        <f t="shared" si="19"/>
        <v>26</v>
      </c>
      <c r="J79" s="13">
        <f t="shared" si="19"/>
        <v>19</v>
      </c>
      <c r="K79" s="13">
        <f t="shared" si="19"/>
        <v>25</v>
      </c>
      <c r="L79" s="13">
        <f t="shared" si="19"/>
        <v>21</v>
      </c>
      <c r="M79" s="13">
        <f t="shared" si="19"/>
        <v>9</v>
      </c>
      <c r="N79" s="13">
        <f t="shared" si="19"/>
        <v>42</v>
      </c>
      <c r="O79" s="13">
        <f t="shared" si="19"/>
        <v>76</v>
      </c>
      <c r="P79" s="13">
        <f t="shared" si="19"/>
        <v>111</v>
      </c>
      <c r="Q79" s="13">
        <f t="shared" si="19"/>
        <v>439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0.0</v>
      </c>
      <c r="F81" s="19">
        <v>1.0</v>
      </c>
      <c r="G81" s="19">
        <v>0.0</v>
      </c>
      <c r="H81" s="19">
        <v>4.0</v>
      </c>
      <c r="I81" s="19">
        <v>4.0</v>
      </c>
      <c r="J81" s="19">
        <v>3.0</v>
      </c>
      <c r="K81" s="19">
        <v>1.0</v>
      </c>
      <c r="L81" s="19">
        <v>0.0</v>
      </c>
      <c r="M81" s="19">
        <v>2.0</v>
      </c>
      <c r="N81" s="19">
        <v>2.0</v>
      </c>
      <c r="O81" s="19">
        <v>2.0</v>
      </c>
      <c r="P81" s="19">
        <v>0.0</v>
      </c>
      <c r="Q81" s="13">
        <f t="shared" ref="Q81:Q90" si="20">SUM(E81:P81)</f>
        <v>19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1.0</v>
      </c>
      <c r="F82" s="19">
        <v>1.0</v>
      </c>
      <c r="G82" s="19">
        <v>1.0</v>
      </c>
      <c r="H82" s="19">
        <v>14.0</v>
      </c>
      <c r="I82" s="19">
        <v>13.0</v>
      </c>
      <c r="J82" s="19">
        <v>38.0</v>
      </c>
      <c r="K82" s="19">
        <v>16.0</v>
      </c>
      <c r="L82" s="19">
        <v>2.0</v>
      </c>
      <c r="M82" s="19">
        <v>7.0</v>
      </c>
      <c r="N82" s="19">
        <v>4.0</v>
      </c>
      <c r="O82" s="19">
        <v>2.0</v>
      </c>
      <c r="P82" s="19">
        <v>0.0</v>
      </c>
      <c r="Q82" s="13">
        <f t="shared" si="20"/>
        <v>99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0.0</v>
      </c>
      <c r="G83" s="19">
        <v>2.0</v>
      </c>
      <c r="H83" s="19">
        <v>2.0</v>
      </c>
      <c r="I83" s="19">
        <v>2.0</v>
      </c>
      <c r="J83" s="19">
        <v>0.0</v>
      </c>
      <c r="K83" s="19">
        <v>1.0</v>
      </c>
      <c r="L83" s="19">
        <v>0.0</v>
      </c>
      <c r="M83" s="19">
        <v>2.0</v>
      </c>
      <c r="N83" s="19">
        <v>2.0</v>
      </c>
      <c r="O83" s="19">
        <v>0.0</v>
      </c>
      <c r="P83" s="19">
        <v>0.0</v>
      </c>
      <c r="Q83" s="13">
        <f t="shared" si="20"/>
        <v>12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0.0</v>
      </c>
      <c r="J84" s="19">
        <v>0.0</v>
      </c>
      <c r="K84" s="19">
        <v>0.0</v>
      </c>
      <c r="L84" s="19">
        <v>0.0</v>
      </c>
      <c r="M84" s="19">
        <v>0.0</v>
      </c>
      <c r="N84" s="19">
        <v>0.0</v>
      </c>
      <c r="O84" s="19">
        <v>0.0</v>
      </c>
      <c r="P84" s="19">
        <v>0.0</v>
      </c>
      <c r="Q84" s="13">
        <f t="shared" si="20"/>
        <v>2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1.0</v>
      </c>
      <c r="N85" s="19">
        <v>0.0</v>
      </c>
      <c r="O85" s="19">
        <v>0.0</v>
      </c>
      <c r="P85" s="19">
        <v>0.0</v>
      </c>
      <c r="Q85" s="13">
        <f t="shared" si="20"/>
        <v>3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1.0</v>
      </c>
      <c r="G86" s="19">
        <v>1.0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0.0</v>
      </c>
      <c r="P86" s="19">
        <v>0.0</v>
      </c>
      <c r="Q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Q91" si="21">SUM(E81:E90)</f>
        <v>2</v>
      </c>
      <c r="F91" s="13">
        <f t="shared" si="21"/>
        <v>4</v>
      </c>
      <c r="G91" s="13">
        <f t="shared" si="21"/>
        <v>6</v>
      </c>
      <c r="H91" s="13">
        <f t="shared" si="21"/>
        <v>21</v>
      </c>
      <c r="I91" s="13">
        <f t="shared" si="21"/>
        <v>19</v>
      </c>
      <c r="J91" s="13">
        <f t="shared" si="21"/>
        <v>41</v>
      </c>
      <c r="K91" s="13">
        <f t="shared" si="21"/>
        <v>18</v>
      </c>
      <c r="L91" s="13">
        <f t="shared" si="21"/>
        <v>3</v>
      </c>
      <c r="M91" s="13">
        <f t="shared" si="21"/>
        <v>12</v>
      </c>
      <c r="N91" s="13">
        <f t="shared" si="21"/>
        <v>9</v>
      </c>
      <c r="O91" s="13">
        <f t="shared" si="21"/>
        <v>4</v>
      </c>
      <c r="P91" s="13">
        <f t="shared" si="21"/>
        <v>0</v>
      </c>
      <c r="Q91" s="13">
        <f t="shared" si="21"/>
        <v>139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1.0</v>
      </c>
      <c r="G93" s="19">
        <v>1.0</v>
      </c>
      <c r="H93" s="19">
        <v>1.0</v>
      </c>
      <c r="I93" s="19">
        <v>0.0</v>
      </c>
      <c r="J93" s="19">
        <v>0.0</v>
      </c>
      <c r="K93" s="19">
        <v>0.0</v>
      </c>
      <c r="L93" s="19">
        <v>0.0</v>
      </c>
      <c r="M93" s="19">
        <v>2.0</v>
      </c>
      <c r="N93" s="19">
        <v>0.0</v>
      </c>
      <c r="O93" s="19">
        <v>1.0</v>
      </c>
      <c r="P93" s="19">
        <v>0.0</v>
      </c>
      <c r="Q93" s="13">
        <f t="shared" ref="Q93:Q102" si="22">SUM(E93:P93)</f>
        <v>8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1.0</v>
      </c>
      <c r="F94" s="19">
        <v>0.0</v>
      </c>
      <c r="G94" s="19">
        <v>1.0</v>
      </c>
      <c r="H94" s="19">
        <v>2.0</v>
      </c>
      <c r="I94" s="19">
        <v>1.0</v>
      </c>
      <c r="J94" s="19">
        <v>0.0</v>
      </c>
      <c r="K94" s="19">
        <v>0.0</v>
      </c>
      <c r="L94" s="19">
        <v>0.0</v>
      </c>
      <c r="M94" s="19">
        <v>1.0</v>
      </c>
      <c r="N94" s="19">
        <v>3.0</v>
      </c>
      <c r="O94" s="19">
        <v>0.0</v>
      </c>
      <c r="P94" s="19">
        <v>0.0</v>
      </c>
      <c r="Q94" s="13">
        <f t="shared" si="22"/>
        <v>9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0.0</v>
      </c>
      <c r="I97" s="19">
        <v>3.0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3">
        <f t="shared" si="22"/>
        <v>1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Q103" si="23">SUM(E93:E102)</f>
        <v>3</v>
      </c>
      <c r="F103" s="13">
        <f t="shared" si="23"/>
        <v>1</v>
      </c>
      <c r="G103" s="13">
        <f t="shared" si="23"/>
        <v>3</v>
      </c>
      <c r="H103" s="13">
        <f t="shared" si="23"/>
        <v>3</v>
      </c>
      <c r="I103" s="13">
        <f t="shared" si="23"/>
        <v>5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3</v>
      </c>
      <c r="N103" s="13">
        <f t="shared" si="23"/>
        <v>3</v>
      </c>
      <c r="O103" s="13">
        <f t="shared" si="23"/>
        <v>1</v>
      </c>
      <c r="P103" s="13">
        <f t="shared" si="23"/>
        <v>0</v>
      </c>
      <c r="Q103" s="13">
        <f t="shared" si="23"/>
        <v>22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1.0</v>
      </c>
      <c r="M105" s="19">
        <v>0.0</v>
      </c>
      <c r="N105" s="19">
        <v>1.0</v>
      </c>
      <c r="O105" s="19">
        <v>1.0</v>
      </c>
      <c r="P105" s="19">
        <v>0.0</v>
      </c>
      <c r="Q105" s="13">
        <f t="shared" ref="Q105:Q114" si="24">SUM(E105:P105)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1.0</v>
      </c>
      <c r="M106" s="19">
        <v>0.0</v>
      </c>
      <c r="N106" s="19">
        <v>0.0</v>
      </c>
      <c r="O106" s="19">
        <v>0.0</v>
      </c>
      <c r="P106" s="19">
        <v>0.0</v>
      </c>
      <c r="Q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1.0</v>
      </c>
      <c r="O108" s="19">
        <v>0.0</v>
      </c>
      <c r="P108" s="19">
        <v>0.0</v>
      </c>
      <c r="Q108" s="13">
        <f t="shared" si="24"/>
        <v>1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Q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2</v>
      </c>
      <c r="M115" s="13">
        <f t="shared" si="25"/>
        <v>0</v>
      </c>
      <c r="N115" s="13">
        <f t="shared" si="25"/>
        <v>2</v>
      </c>
      <c r="O115" s="13">
        <f t="shared" si="25"/>
        <v>1</v>
      </c>
      <c r="P115" s="13">
        <f t="shared" si="25"/>
        <v>0</v>
      </c>
      <c r="Q115" s="13">
        <f t="shared" si="25"/>
        <v>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2.0</v>
      </c>
      <c r="F117" s="19">
        <v>1.0</v>
      </c>
      <c r="G117" s="19">
        <v>1.0</v>
      </c>
      <c r="H117" s="19">
        <v>1.0</v>
      </c>
      <c r="I117" s="19">
        <v>0.0</v>
      </c>
      <c r="J117" s="19">
        <v>0.0</v>
      </c>
      <c r="K117" s="19">
        <v>1.0</v>
      </c>
      <c r="L117" s="19">
        <v>1.0</v>
      </c>
      <c r="M117" s="19">
        <v>0.0</v>
      </c>
      <c r="N117" s="19">
        <v>3.0</v>
      </c>
      <c r="O117" s="19">
        <v>0.0</v>
      </c>
      <c r="P117" s="19">
        <v>0.0</v>
      </c>
      <c r="Q117" s="13">
        <f t="shared" ref="Q117:Q126" si="26">SUM(E117:P117)</f>
        <v>10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9">
        <v>0.0</v>
      </c>
      <c r="N118" s="19">
        <v>0.0</v>
      </c>
      <c r="O118" s="19">
        <v>1.0</v>
      </c>
      <c r="P118" s="19">
        <v>1.0</v>
      </c>
      <c r="Q118" s="13">
        <f t="shared" si="26"/>
        <v>3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3">
        <f t="shared" si="26"/>
        <v>0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1.0</v>
      </c>
      <c r="F120" s="19">
        <v>0.0</v>
      </c>
      <c r="G120" s="19">
        <v>0.0</v>
      </c>
      <c r="H120" s="19">
        <v>1.0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Q127" si="27">SUM(E117:E126)</f>
        <v>3</v>
      </c>
      <c r="F127" s="13">
        <f t="shared" si="27"/>
        <v>1</v>
      </c>
      <c r="G127" s="13">
        <f t="shared" si="27"/>
        <v>1</v>
      </c>
      <c r="H127" s="13">
        <f t="shared" si="27"/>
        <v>2</v>
      </c>
      <c r="I127" s="13">
        <f t="shared" si="27"/>
        <v>0</v>
      </c>
      <c r="J127" s="13">
        <f t="shared" si="27"/>
        <v>1</v>
      </c>
      <c r="K127" s="13">
        <f t="shared" si="27"/>
        <v>1</v>
      </c>
      <c r="L127" s="13">
        <f t="shared" si="27"/>
        <v>1</v>
      </c>
      <c r="M127" s="13">
        <f t="shared" si="27"/>
        <v>0</v>
      </c>
      <c r="N127" s="13">
        <f t="shared" si="27"/>
        <v>3</v>
      </c>
      <c r="O127" s="13">
        <f t="shared" si="27"/>
        <v>1</v>
      </c>
      <c r="P127" s="13">
        <f t="shared" si="27"/>
        <v>1</v>
      </c>
      <c r="Q127" s="13">
        <f t="shared" si="27"/>
        <v>15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1.0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3">
        <f t="shared" ref="Q129:Q138" si="28">SUM(E129:P129)</f>
        <v>3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0.0</v>
      </c>
      <c r="H130" s="19">
        <v>1.0</v>
      </c>
      <c r="I130" s="19">
        <v>0.0</v>
      </c>
      <c r="J130" s="19">
        <v>1.0</v>
      </c>
      <c r="K130" s="19">
        <v>0.0</v>
      </c>
      <c r="L130" s="19">
        <v>0.0</v>
      </c>
      <c r="M130" s="19">
        <v>1.0</v>
      </c>
      <c r="N130" s="19">
        <v>1.0</v>
      </c>
      <c r="O130" s="19">
        <v>1.0</v>
      </c>
      <c r="P130" s="19">
        <v>0.0</v>
      </c>
      <c r="Q130" s="13">
        <f t="shared" si="28"/>
        <v>6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3.0</v>
      </c>
      <c r="F131" s="19">
        <v>0.0</v>
      </c>
      <c r="G131" s="19">
        <v>0.0</v>
      </c>
      <c r="H131" s="19">
        <v>2.0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3">
        <f t="shared" si="28"/>
        <v>5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1.0</v>
      </c>
      <c r="I134" s="19">
        <v>1.0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Q139" si="29">SUM(E129:E138)</f>
        <v>4</v>
      </c>
      <c r="F139" s="13">
        <f t="shared" si="29"/>
        <v>1</v>
      </c>
      <c r="G139" s="13">
        <f t="shared" si="29"/>
        <v>1</v>
      </c>
      <c r="H139" s="13">
        <f t="shared" si="29"/>
        <v>4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1</v>
      </c>
      <c r="P139" s="13">
        <f t="shared" si="29"/>
        <v>0</v>
      </c>
      <c r="Q139" s="13">
        <f t="shared" si="29"/>
        <v>17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3">
        <f t="shared" ref="Q141:Q150" si="30">SUM(E141:P141)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1.0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3">
        <f t="shared" si="30"/>
        <v>1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Q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1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1.0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3">
        <f t="shared" ref="Q153:Q162" si="32">SUM(E153:P153)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3">
        <f t="shared" si="32"/>
        <v>0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3">
        <f t="shared" si="32"/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3">
        <f t="shared" si="32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3">
        <f t="shared" si="32"/>
        <v>0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3">
        <f t="shared" si="32"/>
        <v>0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3">
        <f t="shared" si="32"/>
        <v>0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3">
        <f t="shared" si="32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Q163" si="33">SUM(E153:E162)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0</v>
      </c>
      <c r="J163" s="13">
        <f t="shared" si="33"/>
        <v>1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0</v>
      </c>
      <c r="O163" s="13">
        <f t="shared" si="33"/>
        <v>0</v>
      </c>
      <c r="P163" s="13">
        <f t="shared" si="33"/>
        <v>0</v>
      </c>
      <c r="Q163" s="13">
        <f t="shared" si="33"/>
        <v>1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3">
        <f t="shared" ref="Q165:Q174" si="34">SUM(E165:P165)</f>
        <v>0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1.0</v>
      </c>
      <c r="N166" s="19">
        <v>0.0</v>
      </c>
      <c r="O166" s="19">
        <v>0.0</v>
      </c>
      <c r="P166" s="19">
        <v>0.0</v>
      </c>
      <c r="Q166" s="13">
        <f t="shared" si="34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3">
        <f t="shared" si="34"/>
        <v>0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3">
        <f t="shared" si="34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3">
        <f t="shared" si="34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3">
        <f t="shared" si="34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3">
        <f t="shared" si="34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3">
        <f t="shared" si="34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3">
        <f t="shared" si="34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3">
        <f t="shared" si="34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Q175" si="35">SUM(E165:E174)</f>
        <v>0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1</v>
      </c>
      <c r="N175" s="13">
        <f t="shared" si="35"/>
        <v>0</v>
      </c>
      <c r="O175" s="13">
        <f t="shared" si="35"/>
        <v>0</v>
      </c>
      <c r="P175" s="13">
        <f t="shared" si="35"/>
        <v>0</v>
      </c>
      <c r="Q175" s="13">
        <f t="shared" si="35"/>
        <v>2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1.0</v>
      </c>
      <c r="N177" s="19">
        <v>0.0</v>
      </c>
      <c r="O177" s="19">
        <v>0.0</v>
      </c>
      <c r="P177" s="19">
        <v>1.0</v>
      </c>
      <c r="Q177" s="13">
        <f t="shared" ref="Q177:Q186" si="36">SUM(E177:P177)</f>
        <v>4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1.0</v>
      </c>
      <c r="F178" s="19">
        <v>0.0</v>
      </c>
      <c r="G178" s="19">
        <v>0.0</v>
      </c>
      <c r="H178" s="19">
        <v>0.0</v>
      </c>
      <c r="I178" s="19">
        <v>1.0</v>
      </c>
      <c r="J178" s="19">
        <v>0.0</v>
      </c>
      <c r="K178" s="19">
        <v>0.0</v>
      </c>
      <c r="L178" s="19">
        <v>0.0</v>
      </c>
      <c r="M178" s="19">
        <v>1.0</v>
      </c>
      <c r="N178" s="19">
        <v>0.0</v>
      </c>
      <c r="O178" s="19">
        <v>0.0</v>
      </c>
      <c r="P178" s="19">
        <v>0.0</v>
      </c>
      <c r="Q178" s="13">
        <f t="shared" si="36"/>
        <v>3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3">
        <f t="shared" si="36"/>
        <v>0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1.0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3">
        <f t="shared" si="36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3">
        <f t="shared" si="36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3">
        <f t="shared" si="36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3">
        <f t="shared" si="36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/>
      <c r="F184" s="19"/>
      <c r="G184" s="19"/>
      <c r="H184" s="19"/>
      <c r="I184" s="19"/>
      <c r="J184" s="19">
        <v>2.0</v>
      </c>
      <c r="K184" s="19"/>
      <c r="L184" s="19"/>
      <c r="M184" s="19"/>
      <c r="N184" s="19"/>
      <c r="O184" s="19"/>
      <c r="P184" s="19"/>
      <c r="Q184" s="13">
        <f t="shared" si="36"/>
        <v>2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3">
        <f t="shared" si="36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3">
        <f t="shared" si="36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Q187" si="37">SUM(E177:E186)</f>
        <v>4</v>
      </c>
      <c r="F187" s="13">
        <f t="shared" si="37"/>
        <v>0</v>
      </c>
      <c r="G187" s="13">
        <f t="shared" si="37"/>
        <v>0</v>
      </c>
      <c r="H187" s="13">
        <f t="shared" si="37"/>
        <v>0</v>
      </c>
      <c r="I187" s="13">
        <f t="shared" si="37"/>
        <v>1</v>
      </c>
      <c r="J187" s="13">
        <f t="shared" si="37"/>
        <v>2</v>
      </c>
      <c r="K187" s="13">
        <f t="shared" si="37"/>
        <v>0</v>
      </c>
      <c r="L187" s="13">
        <f t="shared" si="37"/>
        <v>0</v>
      </c>
      <c r="M187" s="13">
        <f t="shared" si="37"/>
        <v>2</v>
      </c>
      <c r="N187" s="13">
        <f t="shared" si="37"/>
        <v>0</v>
      </c>
      <c r="O187" s="13">
        <f t="shared" si="37"/>
        <v>0</v>
      </c>
      <c r="P187" s="13">
        <f t="shared" si="37"/>
        <v>1</v>
      </c>
      <c r="Q187" s="13">
        <f t="shared" si="37"/>
        <v>10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Q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3">
        <f t="shared" ref="Q189:Q198" si="38">SUM(E189:P189)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1.0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1.0</v>
      </c>
      <c r="N190" s="19">
        <v>1.0</v>
      </c>
      <c r="O190" s="19">
        <v>0.0</v>
      </c>
      <c r="P190" s="19">
        <v>0.0</v>
      </c>
      <c r="Q190" s="13">
        <f t="shared" si="38"/>
        <v>4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3">
        <f t="shared" si="38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3">
        <f t="shared" si="38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1.0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3">
        <f t="shared" si="38"/>
        <v>1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3">
        <f t="shared" si="38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3">
        <f t="shared" si="38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3">
        <f t="shared" si="38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3">
        <f t="shared" si="38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3">
        <f t="shared" si="38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Q199" si="39">SUM(E189:E198)</f>
        <v>0</v>
      </c>
      <c r="F199" s="13">
        <f t="shared" si="39"/>
        <v>2</v>
      </c>
      <c r="G199" s="13">
        <f t="shared" si="39"/>
        <v>1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1</v>
      </c>
      <c r="N199" s="13">
        <f t="shared" si="39"/>
        <v>1</v>
      </c>
      <c r="O199" s="13">
        <f t="shared" si="39"/>
        <v>0</v>
      </c>
      <c r="P199" s="13">
        <f t="shared" si="39"/>
        <v>0</v>
      </c>
      <c r="Q199" s="13">
        <f t="shared" si="39"/>
        <v>5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2.0</v>
      </c>
      <c r="G201" s="19">
        <v>1.0</v>
      </c>
      <c r="H201" s="19">
        <v>2.0</v>
      </c>
      <c r="I201" s="19">
        <v>1.0</v>
      </c>
      <c r="J201" s="19">
        <v>3.0</v>
      </c>
      <c r="K201" s="19">
        <v>2.0</v>
      </c>
      <c r="L201" s="19">
        <v>7.0</v>
      </c>
      <c r="M201" s="19">
        <v>4.0</v>
      </c>
      <c r="N201" s="19">
        <v>1.0</v>
      </c>
      <c r="O201" s="19">
        <v>1.0</v>
      </c>
      <c r="P201" s="19">
        <v>2.0</v>
      </c>
      <c r="Q201" s="13">
        <f t="shared" ref="Q201:Q210" si="40">SUM(E201:P201)</f>
        <v>29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1.0</v>
      </c>
      <c r="G202" s="19">
        <v>0.0</v>
      </c>
      <c r="H202" s="19">
        <v>3.0</v>
      </c>
      <c r="I202" s="19">
        <v>1.0</v>
      </c>
      <c r="J202" s="19">
        <v>0.0</v>
      </c>
      <c r="K202" s="19">
        <v>12.0</v>
      </c>
      <c r="L202" s="19">
        <v>7.0</v>
      </c>
      <c r="M202" s="19">
        <v>18.0</v>
      </c>
      <c r="N202" s="19">
        <v>11.0</v>
      </c>
      <c r="O202" s="19">
        <v>4.0</v>
      </c>
      <c r="P202" s="19">
        <v>1.0</v>
      </c>
      <c r="Q202" s="13">
        <f t="shared" si="40"/>
        <v>58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2.0</v>
      </c>
      <c r="F203" s="19">
        <v>1.0</v>
      </c>
      <c r="G203" s="19">
        <v>0.0</v>
      </c>
      <c r="H203" s="19">
        <v>0.0</v>
      </c>
      <c r="I203" s="19">
        <v>0.0</v>
      </c>
      <c r="J203" s="19">
        <v>0.0</v>
      </c>
      <c r="K203" s="19">
        <v>0.0</v>
      </c>
      <c r="L203" s="19">
        <v>1.0</v>
      </c>
      <c r="M203" s="19">
        <v>1.0</v>
      </c>
      <c r="N203" s="19">
        <v>2.0</v>
      </c>
      <c r="O203" s="19">
        <v>1.0</v>
      </c>
      <c r="P203" s="19">
        <v>0.0</v>
      </c>
      <c r="Q203" s="13">
        <f t="shared" si="40"/>
        <v>8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2.0</v>
      </c>
      <c r="N204" s="19">
        <v>1.0</v>
      </c>
      <c r="O204" s="19">
        <v>0.0</v>
      </c>
      <c r="P204" s="19">
        <v>0.0</v>
      </c>
      <c r="Q204" s="13">
        <f t="shared" si="40"/>
        <v>3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2.0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1.0</v>
      </c>
      <c r="L205" s="19">
        <v>0.0</v>
      </c>
      <c r="M205" s="19">
        <v>1.0</v>
      </c>
      <c r="N205" s="19">
        <v>0.0</v>
      </c>
      <c r="O205" s="19">
        <v>0.0</v>
      </c>
      <c r="P205" s="19">
        <v>1.0</v>
      </c>
      <c r="Q205" s="13">
        <f t="shared" si="40"/>
        <v>6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1.0</v>
      </c>
      <c r="O206" s="19">
        <v>0.0</v>
      </c>
      <c r="P206" s="19">
        <v>0.0</v>
      </c>
      <c r="Q206" s="13">
        <f t="shared" si="40"/>
        <v>2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/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3">
        <f t="shared" si="40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/>
      <c r="F208" s="19"/>
      <c r="G208" s="19"/>
      <c r="H208" s="19"/>
      <c r="I208" s="19"/>
      <c r="J208" s="19">
        <v>1.0</v>
      </c>
      <c r="K208" s="19"/>
      <c r="L208" s="19"/>
      <c r="M208" s="19"/>
      <c r="N208" s="19"/>
      <c r="O208" s="19"/>
      <c r="P208" s="19"/>
      <c r="Q208" s="13">
        <f t="shared" si="40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3">
        <f t="shared" si="40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3">
        <f t="shared" si="40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Q211" si="41">SUM(E201:E210)</f>
        <v>7</v>
      </c>
      <c r="F211" s="13">
        <f t="shared" si="41"/>
        <v>5</v>
      </c>
      <c r="G211" s="13">
        <f t="shared" si="41"/>
        <v>1</v>
      </c>
      <c r="H211" s="13">
        <f t="shared" si="41"/>
        <v>5</v>
      </c>
      <c r="I211" s="13">
        <f t="shared" si="41"/>
        <v>2</v>
      </c>
      <c r="J211" s="13">
        <f t="shared" si="41"/>
        <v>5</v>
      </c>
      <c r="K211" s="13">
        <f t="shared" si="41"/>
        <v>15</v>
      </c>
      <c r="L211" s="13">
        <f t="shared" si="41"/>
        <v>15</v>
      </c>
      <c r="M211" s="13">
        <f t="shared" si="41"/>
        <v>26</v>
      </c>
      <c r="N211" s="13">
        <f t="shared" si="41"/>
        <v>16</v>
      </c>
      <c r="O211" s="13">
        <f t="shared" si="41"/>
        <v>6</v>
      </c>
      <c r="P211" s="13">
        <f t="shared" si="41"/>
        <v>4</v>
      </c>
      <c r="Q211" s="13">
        <f t="shared" si="41"/>
        <v>107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0.0</v>
      </c>
      <c r="I213" s="19">
        <v>1.0</v>
      </c>
      <c r="J213" s="19">
        <v>0.0</v>
      </c>
      <c r="K213" s="19">
        <v>2.0</v>
      </c>
      <c r="L213" s="19">
        <v>0.0</v>
      </c>
      <c r="M213" s="19">
        <v>0.0</v>
      </c>
      <c r="N213" s="19">
        <v>0.0</v>
      </c>
      <c r="O213" s="19">
        <v>0.0</v>
      </c>
      <c r="P213" s="19">
        <v>0.0</v>
      </c>
      <c r="Q213" s="13">
        <f t="shared" ref="Q213:Q222" si="42">SUM(E213:P213)</f>
        <v>3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1.0</v>
      </c>
      <c r="G214" s="19">
        <v>0.0</v>
      </c>
      <c r="H214" s="19">
        <v>1.0</v>
      </c>
      <c r="I214" s="19">
        <v>0.0</v>
      </c>
      <c r="J214" s="19">
        <v>1.0</v>
      </c>
      <c r="K214" s="19">
        <v>0.0</v>
      </c>
      <c r="L214" s="19">
        <v>0.0</v>
      </c>
      <c r="M214" s="19">
        <v>2.0</v>
      </c>
      <c r="N214" s="19">
        <v>0.0</v>
      </c>
      <c r="O214" s="19">
        <v>1.0</v>
      </c>
      <c r="P214" s="19">
        <v>1.0</v>
      </c>
      <c r="Q214" s="13">
        <f t="shared" si="42"/>
        <v>7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2.0</v>
      </c>
      <c r="F215" s="19">
        <v>1.0</v>
      </c>
      <c r="G215" s="19">
        <v>3.0</v>
      </c>
      <c r="H215" s="19">
        <v>7.0</v>
      </c>
      <c r="I215" s="19">
        <v>11.0</v>
      </c>
      <c r="J215" s="19">
        <v>12.0</v>
      </c>
      <c r="K215" s="19">
        <v>6.0</v>
      </c>
      <c r="L215" s="19">
        <v>35.0</v>
      </c>
      <c r="M215" s="19">
        <v>20.0</v>
      </c>
      <c r="N215" s="19">
        <v>2.0</v>
      </c>
      <c r="O215" s="19">
        <v>1.0</v>
      </c>
      <c r="P215" s="19">
        <v>1.0</v>
      </c>
      <c r="Q215" s="13">
        <f t="shared" si="42"/>
        <v>101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3">
        <f t="shared" si="42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3">
        <f t="shared" si="42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1.0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3">
        <f t="shared" si="42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3">
        <f t="shared" si="42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3">
        <f t="shared" si="42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3">
        <f t="shared" si="42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3">
        <f t="shared" si="42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Q223" si="43">SUM(E213:E222)</f>
        <v>3</v>
      </c>
      <c r="F223" s="13">
        <f t="shared" si="43"/>
        <v>2</v>
      </c>
      <c r="G223" s="13">
        <f t="shared" si="43"/>
        <v>3</v>
      </c>
      <c r="H223" s="13">
        <f t="shared" si="43"/>
        <v>8</v>
      </c>
      <c r="I223" s="13">
        <f t="shared" si="43"/>
        <v>13</v>
      </c>
      <c r="J223" s="13">
        <f t="shared" si="43"/>
        <v>13</v>
      </c>
      <c r="K223" s="13">
        <f t="shared" si="43"/>
        <v>8</v>
      </c>
      <c r="L223" s="13">
        <f t="shared" si="43"/>
        <v>35</v>
      </c>
      <c r="M223" s="13">
        <f t="shared" si="43"/>
        <v>22</v>
      </c>
      <c r="N223" s="13">
        <f t="shared" si="43"/>
        <v>2</v>
      </c>
      <c r="O223" s="13">
        <f t="shared" si="43"/>
        <v>2</v>
      </c>
      <c r="P223" s="13">
        <f t="shared" si="43"/>
        <v>2</v>
      </c>
      <c r="Q223" s="13">
        <f t="shared" si="43"/>
        <v>113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3">
        <f t="shared" ref="Q225:Q234" si="44">SUM(E225:P225)</f>
        <v>0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1.0</v>
      </c>
      <c r="H226" s="19">
        <v>0.0</v>
      </c>
      <c r="I226" s="19">
        <v>1.0</v>
      </c>
      <c r="J226" s="19">
        <v>0.0</v>
      </c>
      <c r="K226" s="19">
        <v>0.0</v>
      </c>
      <c r="L226" s="19">
        <v>0.0</v>
      </c>
      <c r="M226" s="19">
        <v>1.0</v>
      </c>
      <c r="N226" s="19">
        <v>4.0</v>
      </c>
      <c r="O226" s="19">
        <v>0.0</v>
      </c>
      <c r="P226" s="19">
        <v>0.0</v>
      </c>
      <c r="Q226" s="13">
        <f t="shared" si="44"/>
        <v>7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3">
        <f t="shared" si="44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3">
        <f t="shared" si="44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3">
        <f t="shared" si="44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3">
        <f t="shared" si="44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3">
        <f t="shared" si="44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1.0</v>
      </c>
      <c r="M232" s="19">
        <v>0.0</v>
      </c>
      <c r="N232" s="19">
        <v>0.0</v>
      </c>
      <c r="O232" s="19">
        <v>0.0</v>
      </c>
      <c r="P232" s="19">
        <v>0.0</v>
      </c>
      <c r="Q232" s="13">
        <f t="shared" si="44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3">
        <f t="shared" si="44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3">
        <f t="shared" si="44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Q235" si="45">SUM(E225:E234)</f>
        <v>1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1</v>
      </c>
      <c r="J235" s="13">
        <f t="shared" si="45"/>
        <v>0</v>
      </c>
      <c r="K235" s="13">
        <f t="shared" si="45"/>
        <v>0</v>
      </c>
      <c r="L235" s="13">
        <f t="shared" si="45"/>
        <v>1</v>
      </c>
      <c r="M235" s="13">
        <f t="shared" si="45"/>
        <v>1</v>
      </c>
      <c r="N235" s="13">
        <f t="shared" si="45"/>
        <v>4</v>
      </c>
      <c r="O235" s="13">
        <f t="shared" si="45"/>
        <v>0</v>
      </c>
      <c r="P235" s="13">
        <f t="shared" si="45"/>
        <v>0</v>
      </c>
      <c r="Q235" s="13">
        <f t="shared" si="45"/>
        <v>9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6.0</v>
      </c>
      <c r="F237" s="19">
        <v>2.0</v>
      </c>
      <c r="G237" s="19">
        <v>4.0</v>
      </c>
      <c r="H237" s="19">
        <v>4.0</v>
      </c>
      <c r="I237" s="19">
        <v>7.0</v>
      </c>
      <c r="J237" s="19">
        <v>3.0</v>
      </c>
      <c r="K237" s="19">
        <v>1.0</v>
      </c>
      <c r="L237" s="19">
        <v>7.0</v>
      </c>
      <c r="M237" s="19">
        <v>4.0</v>
      </c>
      <c r="N237" s="19">
        <v>4.0</v>
      </c>
      <c r="O237" s="19">
        <v>2.0</v>
      </c>
      <c r="P237" s="19">
        <v>0.0</v>
      </c>
      <c r="Q237" s="13">
        <f t="shared" ref="Q237:Q246" si="46">SUM(E237:P237)</f>
        <v>44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9.0</v>
      </c>
      <c r="F238" s="19">
        <v>5.0</v>
      </c>
      <c r="G238" s="19">
        <v>3.0</v>
      </c>
      <c r="H238" s="19">
        <v>2.0</v>
      </c>
      <c r="I238" s="19">
        <v>11.0</v>
      </c>
      <c r="J238" s="19">
        <v>6.0</v>
      </c>
      <c r="K238" s="19">
        <v>3.0</v>
      </c>
      <c r="L238" s="19">
        <v>9.0</v>
      </c>
      <c r="M238" s="19">
        <v>3.0</v>
      </c>
      <c r="N238" s="19">
        <v>0.0</v>
      </c>
      <c r="O238" s="19">
        <v>4.0</v>
      </c>
      <c r="P238" s="19">
        <v>0.0</v>
      </c>
      <c r="Q238" s="13">
        <f t="shared" si="46"/>
        <v>55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5.0</v>
      </c>
      <c r="F239" s="19">
        <v>5.0</v>
      </c>
      <c r="G239" s="19">
        <v>2.0</v>
      </c>
      <c r="H239" s="19">
        <v>5.0</v>
      </c>
      <c r="I239" s="19">
        <v>6.0</v>
      </c>
      <c r="J239" s="19">
        <v>6.0</v>
      </c>
      <c r="K239" s="19">
        <v>0.0</v>
      </c>
      <c r="L239" s="19">
        <v>3.0</v>
      </c>
      <c r="M239" s="19">
        <v>0.0</v>
      </c>
      <c r="N239" s="19">
        <v>4.0</v>
      </c>
      <c r="O239" s="19">
        <v>1.0</v>
      </c>
      <c r="P239" s="19">
        <v>1.0</v>
      </c>
      <c r="Q239" s="13">
        <f t="shared" si="46"/>
        <v>38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2.0</v>
      </c>
      <c r="F240" s="19">
        <v>1.0</v>
      </c>
      <c r="G240" s="19">
        <v>0.0</v>
      </c>
      <c r="H240" s="19">
        <v>3.0</v>
      </c>
      <c r="I240" s="19">
        <v>1.0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3">
        <f t="shared" si="46"/>
        <v>7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2.0</v>
      </c>
      <c r="G241" s="19">
        <v>0.0</v>
      </c>
      <c r="H241" s="19">
        <v>0.0</v>
      </c>
      <c r="I241" s="19">
        <v>0.0</v>
      </c>
      <c r="J241" s="19">
        <v>0.0</v>
      </c>
      <c r="K241" s="19">
        <v>1.0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1.0</v>
      </c>
      <c r="I243" s="19">
        <v>0.0</v>
      </c>
      <c r="J243" s="19">
        <v>0.0</v>
      </c>
      <c r="K243" s="19">
        <v>0.0</v>
      </c>
      <c r="L243" s="19">
        <v>0.0</v>
      </c>
      <c r="M243" s="19">
        <v>1.0</v>
      </c>
      <c r="N243" s="19">
        <v>0.0</v>
      </c>
      <c r="O243" s="19">
        <v>0.0</v>
      </c>
      <c r="P243" s="19">
        <v>0.0</v>
      </c>
      <c r="Q243" s="13">
        <f t="shared" si="46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36.0</v>
      </c>
      <c r="F244" s="19">
        <v>23.0</v>
      </c>
      <c r="G244" s="19">
        <v>25.0</v>
      </c>
      <c r="H244" s="19">
        <v>5.0</v>
      </c>
      <c r="I244" s="19">
        <v>40.0</v>
      </c>
      <c r="J244" s="19">
        <v>7.0</v>
      </c>
      <c r="K244" s="19">
        <v>23.0</v>
      </c>
      <c r="L244" s="19">
        <v>31.0</v>
      </c>
      <c r="M244" s="19">
        <v>19.0</v>
      </c>
      <c r="N244" s="19">
        <v>4.0</v>
      </c>
      <c r="O244" s="19">
        <v>1.0</v>
      </c>
      <c r="P244" s="19">
        <v>3.0</v>
      </c>
      <c r="Q244" s="13">
        <f t="shared" si="46"/>
        <v>217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3">
        <f t="shared" si="46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Q247" si="47">SUM(E237:E246)</f>
        <v>59</v>
      </c>
      <c r="F247" s="13">
        <f t="shared" si="47"/>
        <v>38</v>
      </c>
      <c r="G247" s="13">
        <f t="shared" si="47"/>
        <v>34</v>
      </c>
      <c r="H247" s="13">
        <f t="shared" si="47"/>
        <v>20</v>
      </c>
      <c r="I247" s="13">
        <f t="shared" si="47"/>
        <v>65</v>
      </c>
      <c r="J247" s="13">
        <f t="shared" si="47"/>
        <v>22</v>
      </c>
      <c r="K247" s="13">
        <f t="shared" si="47"/>
        <v>28</v>
      </c>
      <c r="L247" s="13">
        <f t="shared" si="47"/>
        <v>50</v>
      </c>
      <c r="M247" s="13">
        <f t="shared" si="47"/>
        <v>27</v>
      </c>
      <c r="N247" s="13">
        <f t="shared" si="47"/>
        <v>12</v>
      </c>
      <c r="O247" s="13">
        <f t="shared" si="47"/>
        <v>8</v>
      </c>
      <c r="P247" s="13">
        <f t="shared" si="47"/>
        <v>4</v>
      </c>
      <c r="Q247" s="13">
        <f t="shared" si="47"/>
        <v>367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1.0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3">
        <f t="shared" ref="Q249:Q258" si="48">SUM(E249:P249)</f>
        <v>1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1.0</v>
      </c>
      <c r="F250" s="19">
        <v>0.0</v>
      </c>
      <c r="G250" s="19">
        <v>1.0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3">
        <f t="shared" si="48"/>
        <v>2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1.0</v>
      </c>
      <c r="P251" s="19">
        <v>0.0</v>
      </c>
      <c r="Q251" s="13">
        <f t="shared" si="48"/>
        <v>1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3">
        <f t="shared" si="48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3">
        <f t="shared" si="48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3">
        <f t="shared" si="48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1.0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1.0</v>
      </c>
      <c r="Q255" s="13">
        <f t="shared" si="48"/>
        <v>2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3">
        <f t="shared" si="48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3">
        <f t="shared" si="48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3">
        <f t="shared" si="48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Q259" si="49">SUM(E249:E258)</f>
        <v>2</v>
      </c>
      <c r="F259" s="13">
        <f t="shared" si="49"/>
        <v>0</v>
      </c>
      <c r="G259" s="13">
        <f t="shared" si="49"/>
        <v>2</v>
      </c>
      <c r="H259" s="13">
        <f t="shared" si="49"/>
        <v>0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0</v>
      </c>
      <c r="O259" s="13">
        <f t="shared" si="49"/>
        <v>1</v>
      </c>
      <c r="P259" s="13">
        <f t="shared" si="49"/>
        <v>1</v>
      </c>
      <c r="Q259" s="13">
        <f t="shared" si="49"/>
        <v>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P262" si="50">E55+E67+E79+E91+E103+E115+E127+E139+E151+E163+E175+E187+E199+E211+E223+E235+E247+E259</f>
        <v>209</v>
      </c>
      <c r="F262" s="19">
        <f t="shared" si="50"/>
        <v>140</v>
      </c>
      <c r="G262" s="19">
        <f t="shared" si="50"/>
        <v>158</v>
      </c>
      <c r="H262" s="19">
        <f t="shared" si="50"/>
        <v>170</v>
      </c>
      <c r="I262" s="19">
        <f t="shared" si="50"/>
        <v>186</v>
      </c>
      <c r="J262" s="19">
        <f t="shared" si="50"/>
        <v>199</v>
      </c>
      <c r="K262" s="19">
        <f t="shared" si="50"/>
        <v>166</v>
      </c>
      <c r="L262" s="19">
        <f t="shared" si="50"/>
        <v>220</v>
      </c>
      <c r="M262" s="19">
        <f t="shared" si="50"/>
        <v>149</v>
      </c>
      <c r="N262" s="19">
        <f t="shared" si="50"/>
        <v>183</v>
      </c>
      <c r="O262" s="19">
        <f t="shared" si="50"/>
        <v>171</v>
      </c>
      <c r="P262" s="19">
        <f t="shared" si="50"/>
        <v>176</v>
      </c>
      <c r="Q262" s="13">
        <f t="shared" ref="Q262:Q264" si="51">SUM(E262:P262)</f>
        <v>2127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32.0</v>
      </c>
      <c r="F263" s="19">
        <v>45.0</v>
      </c>
      <c r="G263" s="19">
        <v>54.0</v>
      </c>
      <c r="H263" s="19">
        <v>33.0</v>
      </c>
      <c r="I263" s="19">
        <v>24.0</v>
      </c>
      <c r="J263" s="19">
        <v>30.0</v>
      </c>
      <c r="K263" s="19">
        <v>31.0</v>
      </c>
      <c r="L263" s="19">
        <v>23.0</v>
      </c>
      <c r="M263" s="19">
        <v>35.0</v>
      </c>
      <c r="N263" s="19">
        <v>28.0</v>
      </c>
      <c r="O263" s="19">
        <v>31.0</v>
      </c>
      <c r="P263" s="19">
        <v>14.0</v>
      </c>
      <c r="Q263" s="13">
        <f t="shared" si="51"/>
        <v>380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P264" si="52">SUM(E262:E263)</f>
        <v>241</v>
      </c>
      <c r="F264" s="13">
        <f t="shared" si="52"/>
        <v>185</v>
      </c>
      <c r="G264" s="13">
        <f t="shared" si="52"/>
        <v>212</v>
      </c>
      <c r="H264" s="13">
        <f t="shared" si="52"/>
        <v>203</v>
      </c>
      <c r="I264" s="13">
        <f t="shared" si="52"/>
        <v>210</v>
      </c>
      <c r="J264" s="13">
        <f t="shared" si="52"/>
        <v>229</v>
      </c>
      <c r="K264" s="13">
        <f t="shared" si="52"/>
        <v>197</v>
      </c>
      <c r="L264" s="13">
        <f t="shared" si="52"/>
        <v>243</v>
      </c>
      <c r="M264" s="13">
        <f t="shared" si="52"/>
        <v>184</v>
      </c>
      <c r="N264" s="13">
        <f t="shared" si="52"/>
        <v>211</v>
      </c>
      <c r="O264" s="13">
        <f t="shared" si="52"/>
        <v>202</v>
      </c>
      <c r="P264" s="13">
        <f t="shared" si="52"/>
        <v>190</v>
      </c>
      <c r="Q264" s="13">
        <f t="shared" si="51"/>
        <v>2507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P12"/>
    <mergeCell ref="Q12:Q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P15">
    <cfRule type="containsBlanks" dxfId="1" priority="1">
      <formula>LEN(TRIM(E14))=0</formula>
    </cfRule>
  </conditionalFormatting>
  <conditionalFormatting sqref="E19:P20">
    <cfRule type="containsBlanks" dxfId="1" priority="2">
      <formula>LEN(TRIM(E19))=0</formula>
    </cfRule>
  </conditionalFormatting>
  <conditionalFormatting sqref="E22:P23 E25:P26 E33:P33 E35:P35 E39:P40">
    <cfRule type="containsBlanks" dxfId="1" priority="3">
      <formula>LEN(TRIM(E22))=0</formula>
    </cfRule>
  </conditionalFormatting>
  <conditionalFormatting sqref="E30:P30">
    <cfRule type="expression" dxfId="0" priority="4">
      <formula>E30&lt;&gt;E47</formula>
    </cfRule>
  </conditionalFormatting>
  <conditionalFormatting sqref="E30:P30">
    <cfRule type="expression" dxfId="0" priority="5">
      <formula>E30&lt;&gt;E34</formula>
    </cfRule>
  </conditionalFormatting>
  <conditionalFormatting sqref="E34:P34">
    <cfRule type="expression" dxfId="2" priority="6">
      <formula>E30&lt;&gt;E34</formula>
    </cfRule>
  </conditionalFormatting>
  <conditionalFormatting sqref="E34:P34">
    <cfRule type="expression" dxfId="3" priority="7">
      <formula>E30=E34</formula>
    </cfRule>
  </conditionalFormatting>
  <conditionalFormatting sqref="E34:P34">
    <cfRule type="expression" dxfId="0" priority="8">
      <formula>E34&lt;&gt;E30</formula>
    </cfRule>
  </conditionalFormatting>
  <conditionalFormatting sqref="E34:P34">
    <cfRule type="expression" dxfId="0" priority="9">
      <formula>E34&lt;&gt;E64</formula>
    </cfRule>
  </conditionalFormatting>
  <conditionalFormatting sqref="E45:P54">
    <cfRule type="containsBlanks" dxfId="1" priority="10">
      <formula>LEN(TRIM(E45))=0</formula>
    </cfRule>
  </conditionalFormatting>
  <conditionalFormatting sqref="E57:P66">
    <cfRule type="containsBlanks" dxfId="1" priority="11">
      <formula>LEN(TRIM(E57))=0</formula>
    </cfRule>
  </conditionalFormatting>
  <conditionalFormatting sqref="E69:P78">
    <cfRule type="containsBlanks" dxfId="1" priority="12">
      <formula>LEN(TRIM(E69))=0</formula>
    </cfRule>
  </conditionalFormatting>
  <conditionalFormatting sqref="E81:P90">
    <cfRule type="containsBlanks" dxfId="1" priority="13">
      <formula>LEN(TRIM(E81))=0</formula>
    </cfRule>
  </conditionalFormatting>
  <conditionalFormatting sqref="E93:P102">
    <cfRule type="containsBlanks" dxfId="1" priority="14">
      <formula>LEN(TRIM(E93))=0</formula>
    </cfRule>
  </conditionalFormatting>
  <conditionalFormatting sqref="E105:P114">
    <cfRule type="containsBlanks" dxfId="1" priority="15">
      <formula>LEN(TRIM(E105))=0</formula>
    </cfRule>
  </conditionalFormatting>
  <conditionalFormatting sqref="E117:P126">
    <cfRule type="containsBlanks" dxfId="1" priority="16">
      <formula>LEN(TRIM(E117))=0</formula>
    </cfRule>
  </conditionalFormatting>
  <conditionalFormatting sqref="E129:P138">
    <cfRule type="containsBlanks" dxfId="1" priority="17">
      <formula>LEN(TRIM(E129))=0</formula>
    </cfRule>
  </conditionalFormatting>
  <conditionalFormatting sqref="E141:P150">
    <cfRule type="containsBlanks" dxfId="1" priority="18">
      <formula>LEN(TRIM(E141))=0</formula>
    </cfRule>
  </conditionalFormatting>
  <conditionalFormatting sqref="E153:P162">
    <cfRule type="containsBlanks" dxfId="1" priority="19">
      <formula>LEN(TRIM(E153))=0</formula>
    </cfRule>
  </conditionalFormatting>
  <conditionalFormatting sqref="E165:P174">
    <cfRule type="containsBlanks" dxfId="1" priority="20">
      <formula>LEN(TRIM(E165))=0</formula>
    </cfRule>
  </conditionalFormatting>
  <conditionalFormatting sqref="E177:P186">
    <cfRule type="containsBlanks" dxfId="1" priority="21">
      <formula>LEN(TRIM(E177))=0</formula>
    </cfRule>
  </conditionalFormatting>
  <conditionalFormatting sqref="E189:P198">
    <cfRule type="containsBlanks" dxfId="1" priority="22">
      <formula>LEN(TRIM(E189))=0</formula>
    </cfRule>
  </conditionalFormatting>
  <conditionalFormatting sqref="E201:P210">
    <cfRule type="containsBlanks" dxfId="1" priority="23">
      <formula>LEN(TRIM(E201))=0</formula>
    </cfRule>
  </conditionalFormatting>
  <conditionalFormatting sqref="E213:P222">
    <cfRule type="containsBlanks" dxfId="1" priority="24">
      <formula>LEN(TRIM(E213))=0</formula>
    </cfRule>
  </conditionalFormatting>
  <conditionalFormatting sqref="E225:P234">
    <cfRule type="containsBlanks" dxfId="1" priority="25">
      <formula>LEN(TRIM(E225))=0</formula>
    </cfRule>
  </conditionalFormatting>
  <conditionalFormatting sqref="E237:P246">
    <cfRule type="containsBlanks" dxfId="1" priority="26">
      <formula>LEN(TRIM(E237))=0</formula>
    </cfRule>
  </conditionalFormatting>
  <conditionalFormatting sqref="E249:P258">
    <cfRule type="containsBlanks" dxfId="1" priority="27">
      <formula>LEN(TRIM(E249))=0</formula>
    </cfRule>
  </conditionalFormatting>
  <conditionalFormatting sqref="E262:P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224</v>
      </c>
      <c r="W13" s="13" t="s">
        <v>225</v>
      </c>
      <c r="X13" s="13" t="s">
        <v>226</v>
      </c>
      <c r="Y13" s="13" t="s">
        <v>227</v>
      </c>
      <c r="Z13" s="13" t="s">
        <v>228</v>
      </c>
      <c r="AA13" s="13" t="s">
        <v>229</v>
      </c>
      <c r="AB13" s="13" t="s">
        <v>230</v>
      </c>
      <c r="AC13" s="36"/>
    </row>
    <row r="14" ht="12.75" customHeight="1">
      <c r="A14" s="18"/>
      <c r="B14" s="22" t="s">
        <v>11</v>
      </c>
      <c r="C14" s="23"/>
      <c r="D14" s="19" t="s">
        <v>12</v>
      </c>
      <c r="E14" s="19">
        <v>113.0</v>
      </c>
      <c r="F14" s="19">
        <v>121.0</v>
      </c>
      <c r="G14" s="19">
        <v>91.0</v>
      </c>
      <c r="H14" s="19">
        <v>122.0</v>
      </c>
      <c r="I14" s="19">
        <v>102.0</v>
      </c>
      <c r="J14" s="19">
        <v>114.0</v>
      </c>
      <c r="K14" s="19">
        <v>129.0</v>
      </c>
      <c r="L14" s="19">
        <v>144.0</v>
      </c>
      <c r="M14" s="19">
        <v>144.0</v>
      </c>
      <c r="N14" s="19">
        <v>115.0</v>
      </c>
      <c r="O14" s="19">
        <v>145.0</v>
      </c>
      <c r="P14" s="19">
        <v>132.0</v>
      </c>
      <c r="Q14" s="19">
        <v>129.0</v>
      </c>
      <c r="R14" s="19">
        <v>131.0</v>
      </c>
      <c r="S14" s="19">
        <v>129.0</v>
      </c>
      <c r="T14" s="19">
        <v>129.0</v>
      </c>
      <c r="U14" s="19">
        <v>131.0</v>
      </c>
      <c r="V14" s="19">
        <v>138.0</v>
      </c>
      <c r="W14" s="19">
        <v>133.0</v>
      </c>
      <c r="X14" s="19">
        <v>132.0</v>
      </c>
      <c r="Y14" s="19">
        <v>138.0</v>
      </c>
      <c r="Z14" s="19">
        <v>131.0</v>
      </c>
      <c r="AA14" s="19">
        <v>137.0</v>
      </c>
      <c r="AB14" s="19">
        <v>116.0</v>
      </c>
      <c r="AC14" s="13">
        <f t="shared" ref="AC14:AC16" si="1">SUM(E14:AB14)</f>
        <v>3046</v>
      </c>
    </row>
    <row r="15" ht="12.75" customHeight="1">
      <c r="A15" s="18"/>
      <c r="B15" s="26"/>
      <c r="C15" s="27"/>
      <c r="D15" s="19" t="s">
        <v>13</v>
      </c>
      <c r="E15" s="19">
        <v>126.0</v>
      </c>
      <c r="F15" s="19">
        <v>138.0</v>
      </c>
      <c r="G15" s="19">
        <v>107.0</v>
      </c>
      <c r="H15" s="19">
        <v>117.0</v>
      </c>
      <c r="I15" s="19">
        <v>125.0</v>
      </c>
      <c r="J15" s="19">
        <v>119.0</v>
      </c>
      <c r="K15" s="19">
        <v>144.0</v>
      </c>
      <c r="L15" s="19">
        <v>142.0</v>
      </c>
      <c r="M15" s="19">
        <v>147.0</v>
      </c>
      <c r="N15" s="19">
        <v>126.0</v>
      </c>
      <c r="O15" s="19">
        <v>143.0</v>
      </c>
      <c r="P15" s="19">
        <v>148.0</v>
      </c>
      <c r="Q15" s="19">
        <v>139.0</v>
      </c>
      <c r="R15" s="19">
        <v>144.0</v>
      </c>
      <c r="S15" s="19">
        <v>138.0</v>
      </c>
      <c r="T15" s="19">
        <v>125.0</v>
      </c>
      <c r="U15" s="19">
        <v>131.0</v>
      </c>
      <c r="V15" s="19">
        <v>142.0</v>
      </c>
      <c r="W15" s="19">
        <v>138.0</v>
      </c>
      <c r="X15" s="19">
        <v>127.0</v>
      </c>
      <c r="Y15" s="19">
        <v>128.0</v>
      </c>
      <c r="Z15" s="19">
        <v>136.0</v>
      </c>
      <c r="AA15" s="19">
        <v>126.0</v>
      </c>
      <c r="AB15" s="19">
        <v>112.0</v>
      </c>
      <c r="AC15" s="13">
        <f t="shared" si="1"/>
        <v>3168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239</v>
      </c>
      <c r="F16" s="13">
        <f t="shared" si="2"/>
        <v>259</v>
      </c>
      <c r="G16" s="13">
        <f t="shared" si="2"/>
        <v>198</v>
      </c>
      <c r="H16" s="13">
        <f t="shared" si="2"/>
        <v>239</v>
      </c>
      <c r="I16" s="13">
        <f t="shared" si="2"/>
        <v>227</v>
      </c>
      <c r="J16" s="13">
        <f t="shared" si="2"/>
        <v>233</v>
      </c>
      <c r="K16" s="13">
        <f t="shared" si="2"/>
        <v>273</v>
      </c>
      <c r="L16" s="13">
        <f t="shared" si="2"/>
        <v>286</v>
      </c>
      <c r="M16" s="13">
        <f t="shared" si="2"/>
        <v>291</v>
      </c>
      <c r="N16" s="13">
        <f t="shared" si="2"/>
        <v>241</v>
      </c>
      <c r="O16" s="13">
        <f t="shared" si="2"/>
        <v>288</v>
      </c>
      <c r="P16" s="13">
        <f t="shared" si="2"/>
        <v>280</v>
      </c>
      <c r="Q16" s="13">
        <f t="shared" si="2"/>
        <v>268</v>
      </c>
      <c r="R16" s="13">
        <f t="shared" si="2"/>
        <v>275</v>
      </c>
      <c r="S16" s="13">
        <f t="shared" si="2"/>
        <v>267</v>
      </c>
      <c r="T16" s="13">
        <f t="shared" si="2"/>
        <v>254</v>
      </c>
      <c r="U16" s="13">
        <f t="shared" si="2"/>
        <v>262</v>
      </c>
      <c r="V16" s="13">
        <f t="shared" si="2"/>
        <v>280</v>
      </c>
      <c r="W16" s="13">
        <f t="shared" si="2"/>
        <v>271</v>
      </c>
      <c r="X16" s="13">
        <f t="shared" si="2"/>
        <v>259</v>
      </c>
      <c r="Y16" s="13">
        <f t="shared" si="2"/>
        <v>266</v>
      </c>
      <c r="Z16" s="13">
        <f t="shared" si="2"/>
        <v>267</v>
      </c>
      <c r="AA16" s="13">
        <f t="shared" si="2"/>
        <v>263</v>
      </c>
      <c r="AB16" s="13">
        <f t="shared" si="2"/>
        <v>228</v>
      </c>
      <c r="AC16" s="13">
        <f t="shared" si="1"/>
        <v>6214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76.0</v>
      </c>
      <c r="F19" s="19">
        <v>93.0</v>
      </c>
      <c r="G19" s="19">
        <v>61.0</v>
      </c>
      <c r="H19" s="19">
        <v>98.0</v>
      </c>
      <c r="I19" s="19">
        <v>76.0</v>
      </c>
      <c r="J19" s="19">
        <v>84.0</v>
      </c>
      <c r="K19" s="19">
        <v>88.0</v>
      </c>
      <c r="L19" s="19">
        <v>138.0</v>
      </c>
      <c r="M19" s="19">
        <v>123.0</v>
      </c>
      <c r="N19" s="19">
        <v>95.0</v>
      </c>
      <c r="O19" s="19">
        <v>113.0</v>
      </c>
      <c r="P19" s="19">
        <v>95.0</v>
      </c>
      <c r="Q19" s="19">
        <v>90.0</v>
      </c>
      <c r="R19" s="19">
        <v>103.0</v>
      </c>
      <c r="S19" s="19">
        <v>96.0</v>
      </c>
      <c r="T19" s="19">
        <v>94.0</v>
      </c>
      <c r="U19" s="19">
        <v>96.0</v>
      </c>
      <c r="V19" s="19">
        <v>104.0</v>
      </c>
      <c r="W19" s="19">
        <v>99.0</v>
      </c>
      <c r="X19" s="19">
        <v>93.0</v>
      </c>
      <c r="Y19" s="19">
        <v>93.0</v>
      </c>
      <c r="Z19" s="19">
        <v>86.0</v>
      </c>
      <c r="AA19" s="19">
        <v>91.0</v>
      </c>
      <c r="AB19" s="19">
        <v>95.0</v>
      </c>
      <c r="AC19" s="13">
        <f t="shared" ref="AC19:AC30" si="3">SUM(E19:AB19)</f>
        <v>2280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115.0</v>
      </c>
      <c r="G20" s="19">
        <v>83.0</v>
      </c>
      <c r="H20" s="19">
        <v>106.0</v>
      </c>
      <c r="I20" s="19">
        <v>104.0</v>
      </c>
      <c r="J20" s="19">
        <v>92.0</v>
      </c>
      <c r="K20" s="19">
        <v>104.0</v>
      </c>
      <c r="L20" s="19">
        <v>96.0</v>
      </c>
      <c r="M20" s="19">
        <v>129.0</v>
      </c>
      <c r="N20" s="19">
        <v>107.0</v>
      </c>
      <c r="O20" s="19">
        <v>124.0</v>
      </c>
      <c r="P20" s="19">
        <v>118.0</v>
      </c>
      <c r="Q20" s="19">
        <v>106.0</v>
      </c>
      <c r="R20" s="19">
        <v>117.0</v>
      </c>
      <c r="S20" s="19">
        <v>100.0</v>
      </c>
      <c r="T20" s="19">
        <v>106.0</v>
      </c>
      <c r="U20" s="19">
        <v>102.0</v>
      </c>
      <c r="V20" s="19">
        <v>108.0</v>
      </c>
      <c r="W20" s="19">
        <v>94.0</v>
      </c>
      <c r="X20" s="19">
        <v>106.0</v>
      </c>
      <c r="Y20" s="19">
        <v>100.0</v>
      </c>
      <c r="Z20" s="19">
        <v>109.0</v>
      </c>
      <c r="AA20" s="19">
        <v>101.0</v>
      </c>
      <c r="AB20" s="19">
        <v>94.0</v>
      </c>
      <c r="AC20" s="13">
        <f t="shared" si="3"/>
        <v>2521</v>
      </c>
    </row>
    <row r="21" ht="12.75" customHeight="1">
      <c r="A21" s="35"/>
      <c r="B21" s="28"/>
      <c r="C21" s="36"/>
      <c r="D21" s="13" t="s">
        <v>14</v>
      </c>
      <c r="E21" s="13">
        <f t="shared" ref="E21:AB21" si="4">SUM(E19:E20)</f>
        <v>176</v>
      </c>
      <c r="F21" s="13">
        <f t="shared" si="4"/>
        <v>208</v>
      </c>
      <c r="G21" s="13">
        <f t="shared" si="4"/>
        <v>144</v>
      </c>
      <c r="H21" s="13">
        <f t="shared" si="4"/>
        <v>204</v>
      </c>
      <c r="I21" s="13">
        <f t="shared" si="4"/>
        <v>180</v>
      </c>
      <c r="J21" s="13">
        <f t="shared" si="4"/>
        <v>176</v>
      </c>
      <c r="K21" s="13">
        <f t="shared" si="4"/>
        <v>192</v>
      </c>
      <c r="L21" s="13">
        <f t="shared" si="4"/>
        <v>234</v>
      </c>
      <c r="M21" s="13">
        <f t="shared" si="4"/>
        <v>252</v>
      </c>
      <c r="N21" s="13">
        <f t="shared" si="4"/>
        <v>202</v>
      </c>
      <c r="O21" s="13">
        <f t="shared" si="4"/>
        <v>237</v>
      </c>
      <c r="P21" s="13">
        <f t="shared" si="4"/>
        <v>213</v>
      </c>
      <c r="Q21" s="13">
        <f t="shared" si="4"/>
        <v>196</v>
      </c>
      <c r="R21" s="13">
        <f t="shared" si="4"/>
        <v>220</v>
      </c>
      <c r="S21" s="13">
        <f t="shared" si="4"/>
        <v>196</v>
      </c>
      <c r="T21" s="13">
        <f t="shared" si="4"/>
        <v>200</v>
      </c>
      <c r="U21" s="13">
        <f t="shared" si="4"/>
        <v>198</v>
      </c>
      <c r="V21" s="13">
        <f t="shared" si="4"/>
        <v>212</v>
      </c>
      <c r="W21" s="13">
        <f t="shared" si="4"/>
        <v>193</v>
      </c>
      <c r="X21" s="13">
        <f t="shared" si="4"/>
        <v>199</v>
      </c>
      <c r="Y21" s="13">
        <f t="shared" si="4"/>
        <v>193</v>
      </c>
      <c r="Z21" s="13">
        <f t="shared" si="4"/>
        <v>195</v>
      </c>
      <c r="AA21" s="13">
        <f t="shared" si="4"/>
        <v>192</v>
      </c>
      <c r="AB21" s="13">
        <f t="shared" si="4"/>
        <v>189</v>
      </c>
      <c r="AC21" s="13">
        <f t="shared" si="3"/>
        <v>4801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1.0</v>
      </c>
      <c r="J22" s="19">
        <v>1.0</v>
      </c>
      <c r="K22" s="19">
        <v>0.0</v>
      </c>
      <c r="L22" s="19">
        <v>0.0</v>
      </c>
      <c r="M22" s="19">
        <v>1.0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1.0</v>
      </c>
      <c r="X22" s="19">
        <v>1.0</v>
      </c>
      <c r="Y22" s="19">
        <v>0.0</v>
      </c>
      <c r="Z22" s="19">
        <v>0.0</v>
      </c>
      <c r="AA22" s="19">
        <v>0.0</v>
      </c>
      <c r="AB22" s="19">
        <v>0.0</v>
      </c>
      <c r="AC22" s="13">
        <f t="shared" si="3"/>
        <v>5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1.0</v>
      </c>
      <c r="K23" s="19">
        <v>0.0</v>
      </c>
      <c r="L23" s="19">
        <v>0.0</v>
      </c>
      <c r="M23" s="19">
        <v>1.0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1.0</v>
      </c>
      <c r="X23" s="19">
        <v>0.0</v>
      </c>
      <c r="Y23" s="19">
        <v>0.0</v>
      </c>
      <c r="Z23" s="19">
        <v>0.0</v>
      </c>
      <c r="AA23" s="19">
        <v>1.0</v>
      </c>
      <c r="AB23" s="19">
        <v>0.0</v>
      </c>
      <c r="AC23" s="13">
        <f t="shared" si="3"/>
        <v>4</v>
      </c>
    </row>
    <row r="24" ht="12.75" customHeight="1">
      <c r="A24" s="35"/>
      <c r="B24" s="28"/>
      <c r="C24" s="36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1</v>
      </c>
      <c r="J24" s="13">
        <f t="shared" si="5"/>
        <v>2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2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1</v>
      </c>
      <c r="AB24" s="13">
        <f t="shared" si="5"/>
        <v>0</v>
      </c>
      <c r="AC24" s="13">
        <f t="shared" si="3"/>
        <v>9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2.0</v>
      </c>
      <c r="L25" s="19">
        <v>2.0</v>
      </c>
      <c r="M25" s="19">
        <v>1.0</v>
      </c>
      <c r="N25" s="19">
        <v>0.0</v>
      </c>
      <c r="O25" s="19">
        <v>2.0</v>
      </c>
      <c r="P25" s="19">
        <v>1.0</v>
      </c>
      <c r="Q25" s="19">
        <v>0.0</v>
      </c>
      <c r="R25" s="19">
        <v>0.0</v>
      </c>
      <c r="S25" s="19">
        <v>0.0</v>
      </c>
      <c r="T25" s="19">
        <v>0.0</v>
      </c>
      <c r="U25" s="19">
        <v>0.0</v>
      </c>
      <c r="V25" s="19">
        <v>2.0</v>
      </c>
      <c r="W25" s="19">
        <v>1.0</v>
      </c>
      <c r="X25" s="19">
        <v>2.0</v>
      </c>
      <c r="Y25" s="19">
        <v>1.0</v>
      </c>
      <c r="Z25" s="19">
        <v>0.0</v>
      </c>
      <c r="AA25" s="19">
        <v>1.0</v>
      </c>
      <c r="AB25" s="19">
        <v>0.0</v>
      </c>
      <c r="AC25" s="13">
        <f t="shared" si="3"/>
        <v>15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1.0</v>
      </c>
      <c r="J26" s="19">
        <v>0.0</v>
      </c>
      <c r="K26" s="19">
        <v>1.0</v>
      </c>
      <c r="L26" s="19">
        <v>3.0</v>
      </c>
      <c r="M26" s="19">
        <v>0.0</v>
      </c>
      <c r="N26" s="19">
        <v>0.0</v>
      </c>
      <c r="O26" s="19">
        <v>1.0</v>
      </c>
      <c r="P26" s="19">
        <v>0.0</v>
      </c>
      <c r="Q26" s="19">
        <v>1.0</v>
      </c>
      <c r="R26" s="19">
        <v>0.0</v>
      </c>
      <c r="S26" s="19">
        <v>0.0</v>
      </c>
      <c r="T26" s="19">
        <v>0.0</v>
      </c>
      <c r="U26" s="19">
        <v>0.0</v>
      </c>
      <c r="V26" s="19">
        <v>1.0</v>
      </c>
      <c r="W26" s="19">
        <v>1.0</v>
      </c>
      <c r="X26" s="19">
        <v>1.0</v>
      </c>
      <c r="Y26" s="19">
        <v>0.0</v>
      </c>
      <c r="Z26" s="19">
        <v>1.0</v>
      </c>
      <c r="AA26" s="19">
        <v>3.0</v>
      </c>
      <c r="AB26" s="19">
        <v>0.0</v>
      </c>
      <c r="AC26" s="13">
        <f t="shared" si="3"/>
        <v>14</v>
      </c>
    </row>
    <row r="27" ht="12.75" customHeight="1">
      <c r="A27" s="35"/>
      <c r="B27" s="28"/>
      <c r="C27" s="36"/>
      <c r="D27" s="13" t="s">
        <v>14</v>
      </c>
      <c r="E27" s="13">
        <f t="shared" ref="E27:AB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3</v>
      </c>
      <c r="L27" s="13">
        <f t="shared" si="6"/>
        <v>5</v>
      </c>
      <c r="M27" s="13">
        <f t="shared" si="6"/>
        <v>1</v>
      </c>
      <c r="N27" s="13">
        <f t="shared" si="6"/>
        <v>0</v>
      </c>
      <c r="O27" s="13">
        <f t="shared" si="6"/>
        <v>3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3</v>
      </c>
      <c r="W27" s="13">
        <f t="shared" si="6"/>
        <v>2</v>
      </c>
      <c r="X27" s="13">
        <f t="shared" si="6"/>
        <v>3</v>
      </c>
      <c r="Y27" s="13">
        <f t="shared" si="6"/>
        <v>1</v>
      </c>
      <c r="Z27" s="13">
        <f t="shared" si="6"/>
        <v>1</v>
      </c>
      <c r="AA27" s="13">
        <f t="shared" si="6"/>
        <v>4</v>
      </c>
      <c r="AB27" s="13">
        <f t="shared" si="6"/>
        <v>0</v>
      </c>
      <c r="AC27" s="13">
        <f t="shared" si="3"/>
        <v>29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B28" si="7">SUM(E19,E22,E25)</f>
        <v>76</v>
      </c>
      <c r="F28" s="13">
        <f t="shared" si="7"/>
        <v>93</v>
      </c>
      <c r="G28" s="13">
        <f t="shared" si="7"/>
        <v>61</v>
      </c>
      <c r="H28" s="13">
        <f t="shared" si="7"/>
        <v>98</v>
      </c>
      <c r="I28" s="13">
        <f t="shared" si="7"/>
        <v>77</v>
      </c>
      <c r="J28" s="13">
        <f t="shared" si="7"/>
        <v>85</v>
      </c>
      <c r="K28" s="13">
        <f t="shared" si="7"/>
        <v>90</v>
      </c>
      <c r="L28" s="13">
        <f t="shared" si="7"/>
        <v>140</v>
      </c>
      <c r="M28" s="13">
        <f t="shared" si="7"/>
        <v>125</v>
      </c>
      <c r="N28" s="13">
        <f t="shared" si="7"/>
        <v>95</v>
      </c>
      <c r="O28" s="13">
        <f t="shared" si="7"/>
        <v>115</v>
      </c>
      <c r="P28" s="13">
        <f t="shared" si="7"/>
        <v>96</v>
      </c>
      <c r="Q28" s="13">
        <f t="shared" si="7"/>
        <v>90</v>
      </c>
      <c r="R28" s="13">
        <f t="shared" si="7"/>
        <v>103</v>
      </c>
      <c r="S28" s="13">
        <f t="shared" si="7"/>
        <v>96</v>
      </c>
      <c r="T28" s="13">
        <f t="shared" si="7"/>
        <v>94</v>
      </c>
      <c r="U28" s="13">
        <f t="shared" si="7"/>
        <v>96</v>
      </c>
      <c r="V28" s="13">
        <f t="shared" si="7"/>
        <v>106</v>
      </c>
      <c r="W28" s="13">
        <f t="shared" si="7"/>
        <v>101</v>
      </c>
      <c r="X28" s="13">
        <f t="shared" si="7"/>
        <v>96</v>
      </c>
      <c r="Y28" s="13">
        <f t="shared" si="7"/>
        <v>94</v>
      </c>
      <c r="Z28" s="13">
        <f t="shared" si="7"/>
        <v>86</v>
      </c>
      <c r="AA28" s="13">
        <f t="shared" si="7"/>
        <v>92</v>
      </c>
      <c r="AB28" s="13">
        <f t="shared" si="7"/>
        <v>95</v>
      </c>
      <c r="AC28" s="13">
        <f t="shared" si="3"/>
        <v>2300</v>
      </c>
    </row>
    <row r="29" ht="12.75" customHeight="1">
      <c r="A29" s="35"/>
      <c r="B29" s="27"/>
      <c r="C29" s="34"/>
      <c r="D29" s="13" t="s">
        <v>13</v>
      </c>
      <c r="E29" s="13">
        <f t="shared" ref="E29:AB29" si="8">SUM(E20,E23,E26)</f>
        <v>100</v>
      </c>
      <c r="F29" s="13">
        <f t="shared" si="8"/>
        <v>115</v>
      </c>
      <c r="G29" s="13">
        <f t="shared" si="8"/>
        <v>83</v>
      </c>
      <c r="H29" s="13">
        <f t="shared" si="8"/>
        <v>106</v>
      </c>
      <c r="I29" s="13">
        <f t="shared" si="8"/>
        <v>105</v>
      </c>
      <c r="J29" s="13">
        <f t="shared" si="8"/>
        <v>93</v>
      </c>
      <c r="K29" s="13">
        <f t="shared" si="8"/>
        <v>105</v>
      </c>
      <c r="L29" s="13">
        <f t="shared" si="8"/>
        <v>99</v>
      </c>
      <c r="M29" s="13">
        <f t="shared" si="8"/>
        <v>130</v>
      </c>
      <c r="N29" s="13">
        <f t="shared" si="8"/>
        <v>107</v>
      </c>
      <c r="O29" s="13">
        <f t="shared" si="8"/>
        <v>125</v>
      </c>
      <c r="P29" s="13">
        <f t="shared" si="8"/>
        <v>118</v>
      </c>
      <c r="Q29" s="13">
        <f t="shared" si="8"/>
        <v>107</v>
      </c>
      <c r="R29" s="13">
        <f t="shared" si="8"/>
        <v>117</v>
      </c>
      <c r="S29" s="13">
        <f t="shared" si="8"/>
        <v>100</v>
      </c>
      <c r="T29" s="13">
        <f t="shared" si="8"/>
        <v>106</v>
      </c>
      <c r="U29" s="13">
        <f t="shared" si="8"/>
        <v>102</v>
      </c>
      <c r="V29" s="13">
        <f t="shared" si="8"/>
        <v>109</v>
      </c>
      <c r="W29" s="13">
        <f t="shared" si="8"/>
        <v>96</v>
      </c>
      <c r="X29" s="13">
        <f t="shared" si="8"/>
        <v>107</v>
      </c>
      <c r="Y29" s="13">
        <f t="shared" si="8"/>
        <v>100</v>
      </c>
      <c r="Z29" s="13">
        <f t="shared" si="8"/>
        <v>110</v>
      </c>
      <c r="AA29" s="13">
        <f t="shared" si="8"/>
        <v>105</v>
      </c>
      <c r="AB29" s="13">
        <f t="shared" si="8"/>
        <v>94</v>
      </c>
      <c r="AC29" s="13">
        <f t="shared" si="3"/>
        <v>2539</v>
      </c>
    </row>
    <row r="30" ht="12.75" customHeight="1">
      <c r="A30" s="35"/>
      <c r="B30" s="28"/>
      <c r="C30" s="36"/>
      <c r="D30" s="13" t="s">
        <v>14</v>
      </c>
      <c r="E30" s="13">
        <f t="shared" ref="E30:AB30" si="9">SUM(E28:E29)</f>
        <v>176</v>
      </c>
      <c r="F30" s="13">
        <f t="shared" si="9"/>
        <v>208</v>
      </c>
      <c r="G30" s="13">
        <f t="shared" si="9"/>
        <v>144</v>
      </c>
      <c r="H30" s="13">
        <f t="shared" si="9"/>
        <v>204</v>
      </c>
      <c r="I30" s="13">
        <f t="shared" si="9"/>
        <v>182</v>
      </c>
      <c r="J30" s="13">
        <f t="shared" si="9"/>
        <v>178</v>
      </c>
      <c r="K30" s="13">
        <f t="shared" si="9"/>
        <v>195</v>
      </c>
      <c r="L30" s="13">
        <f t="shared" si="9"/>
        <v>239</v>
      </c>
      <c r="M30" s="13">
        <f t="shared" si="9"/>
        <v>255</v>
      </c>
      <c r="N30" s="13">
        <f t="shared" si="9"/>
        <v>202</v>
      </c>
      <c r="O30" s="13">
        <f t="shared" si="9"/>
        <v>240</v>
      </c>
      <c r="P30" s="13">
        <f t="shared" si="9"/>
        <v>214</v>
      </c>
      <c r="Q30" s="13">
        <f t="shared" si="9"/>
        <v>197</v>
      </c>
      <c r="R30" s="13">
        <f t="shared" si="9"/>
        <v>220</v>
      </c>
      <c r="S30" s="13">
        <f t="shared" si="9"/>
        <v>196</v>
      </c>
      <c r="T30" s="13">
        <f t="shared" si="9"/>
        <v>200</v>
      </c>
      <c r="U30" s="13">
        <f t="shared" si="9"/>
        <v>198</v>
      </c>
      <c r="V30" s="13">
        <f t="shared" si="9"/>
        <v>215</v>
      </c>
      <c r="W30" s="13">
        <f t="shared" si="9"/>
        <v>197</v>
      </c>
      <c r="X30" s="13">
        <f t="shared" si="9"/>
        <v>203</v>
      </c>
      <c r="Y30" s="13">
        <f t="shared" si="9"/>
        <v>194</v>
      </c>
      <c r="Z30" s="13">
        <f t="shared" si="9"/>
        <v>196</v>
      </c>
      <c r="AA30" s="13">
        <f t="shared" si="9"/>
        <v>197</v>
      </c>
      <c r="AB30" s="13">
        <f t="shared" si="9"/>
        <v>189</v>
      </c>
      <c r="AC30" s="13">
        <f t="shared" si="3"/>
        <v>4839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76"/>
    </row>
    <row r="33" ht="12.75" customHeight="1">
      <c r="A33" s="19">
        <v>1.0</v>
      </c>
      <c r="B33" s="20" t="s">
        <v>27</v>
      </c>
      <c r="C33" s="15"/>
      <c r="D33" s="16"/>
      <c r="E33" s="19">
        <v>234.0</v>
      </c>
      <c r="F33" s="19">
        <v>265.0</v>
      </c>
      <c r="G33" s="19">
        <v>202.0</v>
      </c>
      <c r="H33" s="19">
        <v>243.0</v>
      </c>
      <c r="I33" s="19">
        <v>233.0</v>
      </c>
      <c r="J33" s="19">
        <v>238.0</v>
      </c>
      <c r="K33" s="19">
        <v>279.0</v>
      </c>
      <c r="L33" s="19">
        <v>292.0</v>
      </c>
      <c r="M33" s="19">
        <v>287.0</v>
      </c>
      <c r="N33" s="19">
        <v>246.0</v>
      </c>
      <c r="O33" s="19">
        <v>295.0</v>
      </c>
      <c r="P33" s="19">
        <v>286.0</v>
      </c>
      <c r="Q33" s="19">
        <v>273.0</v>
      </c>
      <c r="R33" s="19">
        <v>272.0</v>
      </c>
      <c r="S33" s="19">
        <v>263.0</v>
      </c>
      <c r="T33" s="19">
        <v>260.0</v>
      </c>
      <c r="U33" s="19">
        <v>268.0</v>
      </c>
      <c r="V33" s="19">
        <v>286.0</v>
      </c>
      <c r="W33" s="19">
        <v>268.0</v>
      </c>
      <c r="X33" s="19">
        <v>265.0</v>
      </c>
      <c r="Y33" s="19">
        <v>272.0</v>
      </c>
      <c r="Z33" s="19">
        <v>273.0</v>
      </c>
      <c r="AA33" s="19">
        <v>269.0</v>
      </c>
      <c r="AB33" s="19">
        <v>233.0</v>
      </c>
      <c r="AC33" s="13">
        <f t="shared" ref="AC33:AC36" si="10">SUM(E33:AB33)</f>
        <v>6302</v>
      </c>
    </row>
    <row r="34" ht="12.75" customHeight="1">
      <c r="A34" s="19">
        <v>2.0</v>
      </c>
      <c r="B34" s="20" t="s">
        <v>28</v>
      </c>
      <c r="C34" s="15"/>
      <c r="D34" s="16"/>
      <c r="E34" s="13">
        <v>176.0</v>
      </c>
      <c r="F34" s="13">
        <v>208.0</v>
      </c>
      <c r="G34" s="13">
        <v>144.0</v>
      </c>
      <c r="H34" s="13">
        <v>204.0</v>
      </c>
      <c r="I34" s="13">
        <v>182.0</v>
      </c>
      <c r="J34" s="13">
        <v>178.0</v>
      </c>
      <c r="K34" s="13">
        <v>195.0</v>
      </c>
      <c r="L34" s="13">
        <v>239.0</v>
      </c>
      <c r="M34" s="13">
        <v>255.0</v>
      </c>
      <c r="N34" s="13">
        <v>202.0</v>
      </c>
      <c r="O34" s="13">
        <v>240.0</v>
      </c>
      <c r="P34" s="13">
        <v>214.0</v>
      </c>
      <c r="Q34" s="13">
        <v>197.0</v>
      </c>
      <c r="R34" s="13">
        <v>220.0</v>
      </c>
      <c r="S34" s="13">
        <v>196.0</v>
      </c>
      <c r="T34" s="13">
        <v>200.0</v>
      </c>
      <c r="U34" s="13">
        <v>198.0</v>
      </c>
      <c r="V34" s="13">
        <v>215.0</v>
      </c>
      <c r="W34" s="13">
        <v>197.0</v>
      </c>
      <c r="X34" s="13">
        <v>203.0</v>
      </c>
      <c r="Y34" s="13">
        <v>194.0</v>
      </c>
      <c r="Z34" s="13">
        <v>196.0</v>
      </c>
      <c r="AA34" s="13">
        <v>197.0</v>
      </c>
      <c r="AB34" s="13">
        <v>189.0</v>
      </c>
      <c r="AC34" s="13">
        <f t="shared" si="10"/>
        <v>4839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1.0</v>
      </c>
      <c r="K35" s="19">
        <v>4.0</v>
      </c>
      <c r="L35" s="19">
        <v>0.0</v>
      </c>
      <c r="M35" s="19">
        <v>0.0</v>
      </c>
      <c r="N35" s="19">
        <v>1.0</v>
      </c>
      <c r="O35" s="19">
        <v>0.0</v>
      </c>
      <c r="P35" s="19">
        <v>0.0</v>
      </c>
      <c r="Q35" s="19">
        <v>0.0</v>
      </c>
      <c r="R35" s="19">
        <v>2.0</v>
      </c>
      <c r="S35" s="19">
        <v>2.0</v>
      </c>
      <c r="T35" s="19">
        <v>0.0</v>
      </c>
      <c r="U35" s="19">
        <v>1.0</v>
      </c>
      <c r="V35" s="19">
        <v>0.0</v>
      </c>
      <c r="W35" s="19">
        <v>0.0</v>
      </c>
      <c r="X35" s="19">
        <v>0.0</v>
      </c>
      <c r="Y35" s="19">
        <v>1.0</v>
      </c>
      <c r="Z35" s="19">
        <v>0.0</v>
      </c>
      <c r="AA35" s="19">
        <v>0.0</v>
      </c>
      <c r="AB35" s="19">
        <v>1.0</v>
      </c>
      <c r="AC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58</v>
      </c>
      <c r="F36" s="13">
        <f t="shared" si="11"/>
        <v>57</v>
      </c>
      <c r="G36" s="13">
        <f t="shared" si="11"/>
        <v>58</v>
      </c>
      <c r="H36" s="13">
        <f t="shared" si="11"/>
        <v>39</v>
      </c>
      <c r="I36" s="13">
        <f t="shared" si="11"/>
        <v>50</v>
      </c>
      <c r="J36" s="13">
        <f t="shared" si="11"/>
        <v>59</v>
      </c>
      <c r="K36" s="13">
        <f t="shared" si="11"/>
        <v>80</v>
      </c>
      <c r="L36" s="13">
        <f t="shared" si="11"/>
        <v>53</v>
      </c>
      <c r="M36" s="13">
        <f t="shared" si="11"/>
        <v>32</v>
      </c>
      <c r="N36" s="13">
        <f t="shared" si="11"/>
        <v>43</v>
      </c>
      <c r="O36" s="13">
        <f t="shared" si="11"/>
        <v>55</v>
      </c>
      <c r="P36" s="13">
        <f t="shared" si="11"/>
        <v>72</v>
      </c>
      <c r="Q36" s="13">
        <f t="shared" si="11"/>
        <v>76</v>
      </c>
      <c r="R36" s="13">
        <f t="shared" si="11"/>
        <v>50</v>
      </c>
      <c r="S36" s="13">
        <f t="shared" si="11"/>
        <v>65</v>
      </c>
      <c r="T36" s="13">
        <f t="shared" si="11"/>
        <v>60</v>
      </c>
      <c r="U36" s="13">
        <f t="shared" si="11"/>
        <v>69</v>
      </c>
      <c r="V36" s="13">
        <f t="shared" si="11"/>
        <v>71</v>
      </c>
      <c r="W36" s="13">
        <f t="shared" si="11"/>
        <v>71</v>
      </c>
      <c r="X36" s="13">
        <f t="shared" si="11"/>
        <v>62</v>
      </c>
      <c r="Y36" s="13">
        <f t="shared" si="11"/>
        <v>77</v>
      </c>
      <c r="Z36" s="13">
        <f t="shared" si="11"/>
        <v>77</v>
      </c>
      <c r="AA36" s="13">
        <f t="shared" si="11"/>
        <v>72</v>
      </c>
      <c r="AB36" s="13">
        <f t="shared" si="11"/>
        <v>43</v>
      </c>
      <c r="AC36" s="13">
        <f t="shared" si="10"/>
        <v>1449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6"/>
      <c r="X37" s="19"/>
      <c r="Y37" s="19"/>
      <c r="Z37" s="19"/>
      <c r="AA37" s="19"/>
      <c r="AB37" s="19"/>
      <c r="AC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>
        <v>4.0</v>
      </c>
      <c r="P39" s="19"/>
      <c r="Q39" s="19"/>
      <c r="R39" s="19">
        <v>1.0</v>
      </c>
      <c r="S39" s="19"/>
      <c r="T39" s="19"/>
      <c r="U39" s="19">
        <v>1.0</v>
      </c>
      <c r="V39" s="19"/>
      <c r="W39" s="19"/>
      <c r="X39" s="19">
        <v>1.0</v>
      </c>
      <c r="Y39" s="19"/>
      <c r="Z39" s="19"/>
      <c r="AA39" s="19"/>
      <c r="AB39" s="19"/>
      <c r="AC39" s="13">
        <f t="shared" ref="AC39:AC41" si="12">SUM(E39:AB39)</f>
        <v>7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>
        <v>7.0</v>
      </c>
      <c r="P40" s="19"/>
      <c r="Q40" s="19"/>
      <c r="R40" s="19">
        <v>1.0</v>
      </c>
      <c r="S40" s="19"/>
      <c r="T40" s="19"/>
      <c r="U40" s="19">
        <v>3.0</v>
      </c>
      <c r="V40" s="19"/>
      <c r="W40" s="19"/>
      <c r="X40" s="19">
        <v>1.0</v>
      </c>
      <c r="Y40" s="19"/>
      <c r="Z40" s="19"/>
      <c r="AA40" s="19"/>
      <c r="AB40" s="19"/>
      <c r="AC40" s="13">
        <f t="shared" si="12"/>
        <v>12</v>
      </c>
    </row>
    <row r="41" ht="12.75" customHeight="1">
      <c r="A41" s="41"/>
      <c r="B41" s="44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11</v>
      </c>
      <c r="P41" s="13">
        <f t="shared" si="13"/>
        <v>0</v>
      </c>
      <c r="Q41" s="13">
        <f t="shared" si="13"/>
        <v>0</v>
      </c>
      <c r="R41" s="13">
        <f t="shared" si="13"/>
        <v>2</v>
      </c>
      <c r="S41" s="13">
        <f t="shared" si="13"/>
        <v>0</v>
      </c>
      <c r="T41" s="13">
        <f t="shared" si="13"/>
        <v>0</v>
      </c>
      <c r="U41" s="13">
        <f t="shared" si="13"/>
        <v>4</v>
      </c>
      <c r="V41" s="13">
        <f t="shared" si="13"/>
        <v>0</v>
      </c>
      <c r="W41" s="13">
        <f t="shared" si="13"/>
        <v>0</v>
      </c>
      <c r="X41" s="13">
        <f t="shared" si="13"/>
        <v>2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19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6"/>
      <c r="X42" s="19"/>
      <c r="Y42" s="19"/>
      <c r="Z42" s="19"/>
      <c r="AA42" s="19"/>
      <c r="AB42" s="19"/>
      <c r="AC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6.0</v>
      </c>
      <c r="F45" s="19">
        <v>6.0</v>
      </c>
      <c r="G45" s="19">
        <v>3.0</v>
      </c>
      <c r="H45" s="19">
        <v>4.0</v>
      </c>
      <c r="I45" s="19">
        <v>7.0</v>
      </c>
      <c r="J45" s="19">
        <v>8.0</v>
      </c>
      <c r="K45" s="19">
        <v>3.0</v>
      </c>
      <c r="L45" s="19">
        <v>8.0</v>
      </c>
      <c r="M45" s="19">
        <v>1.0</v>
      </c>
      <c r="N45" s="19">
        <v>4.0</v>
      </c>
      <c r="O45" s="19">
        <v>3.0</v>
      </c>
      <c r="P45" s="19">
        <v>1.0</v>
      </c>
      <c r="Q45" s="19">
        <v>0.0</v>
      </c>
      <c r="R45" s="19">
        <v>4.0</v>
      </c>
      <c r="S45" s="19">
        <v>2.0</v>
      </c>
      <c r="T45" s="19">
        <v>1.0</v>
      </c>
      <c r="U45" s="19">
        <v>4.0</v>
      </c>
      <c r="V45" s="19">
        <v>7.0</v>
      </c>
      <c r="W45" s="19">
        <v>8.0</v>
      </c>
      <c r="X45" s="19">
        <v>18.0</v>
      </c>
      <c r="Y45" s="19">
        <v>12.0</v>
      </c>
      <c r="Z45" s="19">
        <v>13.0</v>
      </c>
      <c r="AA45" s="19">
        <v>13.0</v>
      </c>
      <c r="AB45" s="19">
        <v>3.0</v>
      </c>
      <c r="AC45" s="13">
        <f t="shared" ref="AC45:AC54" si="14">SUM(E45:AB45)</f>
        <v>139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3.0</v>
      </c>
      <c r="F46" s="19">
        <v>11.0</v>
      </c>
      <c r="G46" s="19">
        <v>2.0</v>
      </c>
      <c r="H46" s="19">
        <v>8.0</v>
      </c>
      <c r="I46" s="19">
        <v>4.0</v>
      </c>
      <c r="J46" s="19">
        <v>5.0</v>
      </c>
      <c r="K46" s="19">
        <v>8.0</v>
      </c>
      <c r="L46" s="19">
        <v>11.0</v>
      </c>
      <c r="M46" s="19">
        <v>3.0</v>
      </c>
      <c r="N46" s="19">
        <v>0.0</v>
      </c>
      <c r="O46" s="19">
        <v>1.0</v>
      </c>
      <c r="P46" s="19">
        <v>4.0</v>
      </c>
      <c r="Q46" s="19">
        <v>2.0</v>
      </c>
      <c r="R46" s="19">
        <v>2.0</v>
      </c>
      <c r="S46" s="19">
        <v>5.0</v>
      </c>
      <c r="T46" s="19">
        <v>6.0</v>
      </c>
      <c r="U46" s="19">
        <v>6.0</v>
      </c>
      <c r="V46" s="19">
        <v>9.0</v>
      </c>
      <c r="W46" s="19">
        <v>16.0</v>
      </c>
      <c r="X46" s="19">
        <v>34.0</v>
      </c>
      <c r="Y46" s="19">
        <v>50.0</v>
      </c>
      <c r="Z46" s="19">
        <v>33.0</v>
      </c>
      <c r="AA46" s="19">
        <v>38.0</v>
      </c>
      <c r="AB46" s="19">
        <v>9.0</v>
      </c>
      <c r="AC46" s="13">
        <f t="shared" si="14"/>
        <v>270</v>
      </c>
    </row>
    <row r="47" ht="12.75" customHeight="1">
      <c r="A47" s="18"/>
      <c r="B47" s="55">
        <v>2.0</v>
      </c>
      <c r="C47" s="50" t="s">
        <v>41</v>
      </c>
      <c r="D47" s="16"/>
      <c r="E47" s="19">
        <v>5.0</v>
      </c>
      <c r="F47" s="19">
        <v>7.0</v>
      </c>
      <c r="G47" s="19">
        <v>3.0</v>
      </c>
      <c r="H47" s="19">
        <v>1.0</v>
      </c>
      <c r="I47" s="19">
        <v>6.0</v>
      </c>
      <c r="J47" s="19">
        <v>11.0</v>
      </c>
      <c r="K47" s="19">
        <v>3.0</v>
      </c>
      <c r="L47" s="19">
        <v>2.0</v>
      </c>
      <c r="M47" s="19">
        <v>2.0</v>
      </c>
      <c r="N47" s="19">
        <v>6.0</v>
      </c>
      <c r="O47" s="19">
        <v>0.0</v>
      </c>
      <c r="P47" s="19">
        <v>0.0</v>
      </c>
      <c r="Q47" s="19">
        <v>3.0</v>
      </c>
      <c r="R47" s="19">
        <v>4.0</v>
      </c>
      <c r="S47" s="19">
        <v>2.0</v>
      </c>
      <c r="T47" s="19">
        <v>2.0</v>
      </c>
      <c r="U47" s="19">
        <v>4.0</v>
      </c>
      <c r="V47" s="19">
        <v>4.0</v>
      </c>
      <c r="W47" s="19">
        <v>5.0</v>
      </c>
      <c r="X47" s="19">
        <v>6.0</v>
      </c>
      <c r="Y47" s="19">
        <v>3.0</v>
      </c>
      <c r="Z47" s="19">
        <v>9.0</v>
      </c>
      <c r="AA47" s="19">
        <v>4.0</v>
      </c>
      <c r="AB47" s="19">
        <v>0.0</v>
      </c>
      <c r="AC47" s="13">
        <f t="shared" si="14"/>
        <v>92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1.0</v>
      </c>
      <c r="G48" s="19">
        <v>0.0</v>
      </c>
      <c r="H48" s="19">
        <v>0.0</v>
      </c>
      <c r="I48" s="19">
        <v>1.0</v>
      </c>
      <c r="J48" s="19">
        <v>1.0</v>
      </c>
      <c r="K48" s="19">
        <v>0.0</v>
      </c>
      <c r="L48" s="19">
        <v>0.0</v>
      </c>
      <c r="M48" s="19">
        <v>0.0</v>
      </c>
      <c r="N48" s="19">
        <v>2.0</v>
      </c>
      <c r="O48" s="19">
        <v>0.0</v>
      </c>
      <c r="P48" s="19">
        <v>0.0</v>
      </c>
      <c r="Q48" s="19">
        <v>0.0</v>
      </c>
      <c r="R48" s="19">
        <v>0.0</v>
      </c>
      <c r="S48" s="19">
        <v>0.0</v>
      </c>
      <c r="T48" s="19">
        <v>1.0</v>
      </c>
      <c r="U48" s="19">
        <v>1.0</v>
      </c>
      <c r="V48" s="19">
        <v>0.0</v>
      </c>
      <c r="W48" s="19">
        <v>0.0</v>
      </c>
      <c r="X48" s="19">
        <v>0.0</v>
      </c>
      <c r="Y48" s="19">
        <v>2.0</v>
      </c>
      <c r="Z48" s="19">
        <v>1.0</v>
      </c>
      <c r="AA48" s="19">
        <v>0.0</v>
      </c>
      <c r="AB48" s="19">
        <v>0.0</v>
      </c>
      <c r="AC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0.0</v>
      </c>
      <c r="H49" s="19">
        <v>0.0</v>
      </c>
      <c r="I49" s="19">
        <v>0.0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1.0</v>
      </c>
      <c r="S49" s="19">
        <v>0.0</v>
      </c>
      <c r="T49" s="19">
        <v>0.0</v>
      </c>
      <c r="U49" s="19">
        <v>0.0</v>
      </c>
      <c r="V49" s="19">
        <v>1.0</v>
      </c>
      <c r="W49" s="19">
        <v>0.0</v>
      </c>
      <c r="X49" s="19">
        <v>0.0</v>
      </c>
      <c r="Y49" s="19">
        <v>1.0</v>
      </c>
      <c r="Z49" s="19">
        <v>0.0</v>
      </c>
      <c r="AA49" s="19">
        <v>0.0</v>
      </c>
      <c r="AB49" s="19">
        <v>1.0</v>
      </c>
      <c r="AC49" s="13">
        <f t="shared" si="14"/>
        <v>8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2.0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2.0</v>
      </c>
      <c r="R50" s="19">
        <v>2.0</v>
      </c>
      <c r="S50" s="19">
        <v>0.0</v>
      </c>
      <c r="T50" s="19">
        <v>0.0</v>
      </c>
      <c r="U50" s="19">
        <v>0.0</v>
      </c>
      <c r="V50" s="19">
        <v>1.0</v>
      </c>
      <c r="W50" s="19">
        <v>2.0</v>
      </c>
      <c r="X50" s="19">
        <v>1.0</v>
      </c>
      <c r="Y50" s="19">
        <v>0.0</v>
      </c>
      <c r="Z50" s="19">
        <v>0.0</v>
      </c>
      <c r="AA50" s="19">
        <v>0.0</v>
      </c>
      <c r="AB50" s="19">
        <v>0.0</v>
      </c>
      <c r="AC50" s="13">
        <f t="shared" si="14"/>
        <v>11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1.0</v>
      </c>
      <c r="W51" s="19">
        <v>0.0</v>
      </c>
      <c r="X51" s="19">
        <v>0.0</v>
      </c>
      <c r="Y51" s="19">
        <v>0.0</v>
      </c>
      <c r="Z51" s="19">
        <v>0.0</v>
      </c>
      <c r="AA51" s="19">
        <v>0.0</v>
      </c>
      <c r="AB51" s="19">
        <v>0.0</v>
      </c>
      <c r="AC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1.0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1.0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1.0</v>
      </c>
      <c r="AA52" s="19">
        <v>0.0</v>
      </c>
      <c r="AB52" s="19">
        <v>0.0</v>
      </c>
      <c r="AC52" s="13">
        <f t="shared" si="14"/>
        <v>3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AC55" si="15">SUM(E45:E54)</f>
        <v>15</v>
      </c>
      <c r="F55" s="13">
        <f t="shared" si="15"/>
        <v>28</v>
      </c>
      <c r="G55" s="13">
        <f t="shared" si="15"/>
        <v>8</v>
      </c>
      <c r="H55" s="13">
        <f t="shared" si="15"/>
        <v>13</v>
      </c>
      <c r="I55" s="13">
        <f t="shared" si="15"/>
        <v>18</v>
      </c>
      <c r="J55" s="13">
        <f t="shared" si="15"/>
        <v>27</v>
      </c>
      <c r="K55" s="13">
        <f t="shared" si="15"/>
        <v>17</v>
      </c>
      <c r="L55" s="13">
        <f t="shared" si="15"/>
        <v>21</v>
      </c>
      <c r="M55" s="13">
        <f t="shared" si="15"/>
        <v>7</v>
      </c>
      <c r="N55" s="13">
        <f t="shared" si="15"/>
        <v>12</v>
      </c>
      <c r="O55" s="13">
        <f t="shared" si="15"/>
        <v>4</v>
      </c>
      <c r="P55" s="13">
        <f t="shared" si="15"/>
        <v>5</v>
      </c>
      <c r="Q55" s="13">
        <f t="shared" si="15"/>
        <v>7</v>
      </c>
      <c r="R55" s="13">
        <f t="shared" si="15"/>
        <v>13</v>
      </c>
      <c r="S55" s="13">
        <f t="shared" si="15"/>
        <v>9</v>
      </c>
      <c r="T55" s="13">
        <f t="shared" si="15"/>
        <v>10</v>
      </c>
      <c r="U55" s="13">
        <f t="shared" si="15"/>
        <v>15</v>
      </c>
      <c r="V55" s="13">
        <f t="shared" si="15"/>
        <v>23</v>
      </c>
      <c r="W55" s="13">
        <f t="shared" si="15"/>
        <v>31</v>
      </c>
      <c r="X55" s="13">
        <f t="shared" si="15"/>
        <v>59</v>
      </c>
      <c r="Y55" s="13">
        <f t="shared" si="15"/>
        <v>68</v>
      </c>
      <c r="Z55" s="13">
        <f t="shared" si="15"/>
        <v>57</v>
      </c>
      <c r="AA55" s="13">
        <f t="shared" si="15"/>
        <v>55</v>
      </c>
      <c r="AB55" s="13">
        <f t="shared" si="15"/>
        <v>13</v>
      </c>
      <c r="AC55" s="13">
        <f t="shared" si="15"/>
        <v>535</v>
      </c>
    </row>
    <row r="56" ht="12.75" customHeight="1">
      <c r="A56" s="45"/>
      <c r="B56" s="44"/>
      <c r="C56" s="44"/>
      <c r="D56" s="44"/>
      <c r="E56" s="44"/>
      <c r="AC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11.0</v>
      </c>
      <c r="G57" s="19">
        <v>5.0</v>
      </c>
      <c r="H57" s="19">
        <v>13.0</v>
      </c>
      <c r="I57" s="19">
        <v>10.0</v>
      </c>
      <c r="J57" s="19">
        <v>14.0</v>
      </c>
      <c r="K57" s="19">
        <v>16.0</v>
      </c>
      <c r="L57" s="19">
        <v>10.0</v>
      </c>
      <c r="M57" s="19">
        <v>11.0</v>
      </c>
      <c r="N57" s="19">
        <v>14.0</v>
      </c>
      <c r="O57" s="19">
        <v>23.0</v>
      </c>
      <c r="P57" s="19">
        <v>16.0</v>
      </c>
      <c r="Q57" s="19">
        <v>15.0</v>
      </c>
      <c r="R57" s="19">
        <v>17.0</v>
      </c>
      <c r="S57" s="19">
        <v>39.0</v>
      </c>
      <c r="T57" s="19">
        <v>22.0</v>
      </c>
      <c r="U57" s="19">
        <v>19.0</v>
      </c>
      <c r="V57" s="19">
        <v>18.0</v>
      </c>
      <c r="W57" s="19">
        <v>19.0</v>
      </c>
      <c r="X57" s="19">
        <v>19.0</v>
      </c>
      <c r="Y57" s="19">
        <v>13.0</v>
      </c>
      <c r="Z57" s="19">
        <v>13.0</v>
      </c>
      <c r="AA57" s="19">
        <v>20.0</v>
      </c>
      <c r="AB57" s="19">
        <v>10.0</v>
      </c>
      <c r="AC57" s="13">
        <f t="shared" ref="AC57:AC66" si="16">SUM(E57:AB57)</f>
        <v>380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15.0</v>
      </c>
      <c r="F58" s="19">
        <v>11.0</v>
      </c>
      <c r="G58" s="19">
        <v>5.0</v>
      </c>
      <c r="H58" s="19">
        <v>11.0</v>
      </c>
      <c r="I58" s="19">
        <v>5.0</v>
      </c>
      <c r="J58" s="19">
        <v>9.0</v>
      </c>
      <c r="K58" s="19">
        <v>13.0</v>
      </c>
      <c r="L58" s="19">
        <v>27.0</v>
      </c>
      <c r="M58" s="19">
        <v>6.0</v>
      </c>
      <c r="N58" s="19">
        <v>12.0</v>
      </c>
      <c r="O58" s="19">
        <v>32.0</v>
      </c>
      <c r="P58" s="19">
        <v>23.0</v>
      </c>
      <c r="Q58" s="19">
        <v>37.0</v>
      </c>
      <c r="R58" s="19">
        <v>35.0</v>
      </c>
      <c r="S58" s="19">
        <v>36.0</v>
      </c>
      <c r="T58" s="19">
        <v>28.0</v>
      </c>
      <c r="U58" s="19">
        <v>33.0</v>
      </c>
      <c r="V58" s="19">
        <v>27.0</v>
      </c>
      <c r="W58" s="19">
        <v>29.0</v>
      </c>
      <c r="X58" s="19">
        <v>12.0</v>
      </c>
      <c r="Y58" s="19">
        <v>8.0</v>
      </c>
      <c r="Z58" s="19">
        <v>19.0</v>
      </c>
      <c r="AA58" s="19">
        <v>5.0</v>
      </c>
      <c r="AB58" s="19">
        <v>15.0</v>
      </c>
      <c r="AC58" s="13">
        <f t="shared" si="16"/>
        <v>453</v>
      </c>
    </row>
    <row r="59" ht="12.75" customHeight="1">
      <c r="A59" s="18"/>
      <c r="B59" s="55">
        <v>2.0</v>
      </c>
      <c r="C59" s="50" t="s">
        <v>50</v>
      </c>
      <c r="D59" s="59"/>
      <c r="E59" s="19">
        <v>13.0</v>
      </c>
      <c r="F59" s="19">
        <v>4.0</v>
      </c>
      <c r="G59" s="19">
        <v>0.0</v>
      </c>
      <c r="H59" s="19">
        <v>3.0</v>
      </c>
      <c r="I59" s="19">
        <v>2.0</v>
      </c>
      <c r="J59" s="19">
        <v>3.0</v>
      </c>
      <c r="K59" s="19">
        <v>6.0</v>
      </c>
      <c r="L59" s="19">
        <v>6.0</v>
      </c>
      <c r="M59" s="19">
        <v>6.0</v>
      </c>
      <c r="N59" s="19">
        <v>7.0</v>
      </c>
      <c r="O59" s="19">
        <v>11.0</v>
      </c>
      <c r="P59" s="19">
        <v>10.0</v>
      </c>
      <c r="Q59" s="19">
        <v>8.0</v>
      </c>
      <c r="R59" s="19">
        <v>6.0</v>
      </c>
      <c r="S59" s="19">
        <v>6.0</v>
      </c>
      <c r="T59" s="19">
        <v>7.0</v>
      </c>
      <c r="U59" s="19">
        <v>15.0</v>
      </c>
      <c r="V59" s="19">
        <v>9.0</v>
      </c>
      <c r="W59" s="19">
        <v>8.0</v>
      </c>
      <c r="X59" s="19">
        <v>10.0</v>
      </c>
      <c r="Y59" s="19">
        <v>3.0</v>
      </c>
      <c r="Z59" s="19">
        <v>6.0</v>
      </c>
      <c r="AA59" s="19">
        <v>5.0</v>
      </c>
      <c r="AB59" s="19">
        <v>11.0</v>
      </c>
      <c r="AC59" s="13">
        <f t="shared" si="16"/>
        <v>165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1.0</v>
      </c>
      <c r="G60" s="19">
        <v>1.0</v>
      </c>
      <c r="H60" s="19">
        <v>1.0</v>
      </c>
      <c r="I60" s="19">
        <v>2.0</v>
      </c>
      <c r="J60" s="19">
        <v>1.0</v>
      </c>
      <c r="K60" s="19">
        <v>1.0</v>
      </c>
      <c r="L60" s="19">
        <v>0.0</v>
      </c>
      <c r="M60" s="19">
        <v>2.0</v>
      </c>
      <c r="N60" s="19">
        <v>0.0</v>
      </c>
      <c r="O60" s="19">
        <v>1.0</v>
      </c>
      <c r="P60" s="19">
        <v>3.0</v>
      </c>
      <c r="Q60" s="19">
        <v>0.0</v>
      </c>
      <c r="R60" s="19">
        <v>1.0</v>
      </c>
      <c r="S60" s="19">
        <v>2.0</v>
      </c>
      <c r="T60" s="19">
        <v>3.0</v>
      </c>
      <c r="U60" s="19">
        <v>2.0</v>
      </c>
      <c r="V60" s="19">
        <v>1.0</v>
      </c>
      <c r="W60" s="19">
        <v>1.0</v>
      </c>
      <c r="X60" s="19">
        <v>0.0</v>
      </c>
      <c r="Y60" s="19">
        <v>0.0</v>
      </c>
      <c r="Z60" s="19">
        <v>0.0</v>
      </c>
      <c r="AA60" s="19">
        <v>0.0</v>
      </c>
      <c r="AB60" s="19">
        <v>1.0</v>
      </c>
      <c r="AC60" s="13">
        <f t="shared" si="16"/>
        <v>24</v>
      </c>
    </row>
    <row r="61" ht="12.75" customHeight="1">
      <c r="A61" s="18"/>
      <c r="B61" s="55">
        <v>4.0</v>
      </c>
      <c r="C61" s="50" t="s">
        <v>52</v>
      </c>
      <c r="D61" s="59"/>
      <c r="E61" s="19">
        <v>3.0</v>
      </c>
      <c r="F61" s="19">
        <v>0.0</v>
      </c>
      <c r="G61" s="19">
        <v>3.0</v>
      </c>
      <c r="H61" s="19">
        <v>2.0</v>
      </c>
      <c r="I61" s="19">
        <v>2.0</v>
      </c>
      <c r="J61" s="19">
        <v>0.0</v>
      </c>
      <c r="K61" s="19">
        <v>2.0</v>
      </c>
      <c r="L61" s="19">
        <v>1.0</v>
      </c>
      <c r="M61" s="19">
        <v>2.0</v>
      </c>
      <c r="N61" s="19">
        <v>3.0</v>
      </c>
      <c r="O61" s="19">
        <v>1.0</v>
      </c>
      <c r="P61" s="19">
        <v>0.0</v>
      </c>
      <c r="Q61" s="19">
        <v>2.0</v>
      </c>
      <c r="R61" s="19">
        <v>2.0</v>
      </c>
      <c r="S61" s="19">
        <v>1.0</v>
      </c>
      <c r="T61" s="19">
        <v>8.0</v>
      </c>
      <c r="U61" s="19">
        <v>4.0</v>
      </c>
      <c r="V61" s="19">
        <v>5.0</v>
      </c>
      <c r="W61" s="19">
        <v>2.0</v>
      </c>
      <c r="X61" s="19">
        <v>1.0</v>
      </c>
      <c r="Y61" s="19">
        <v>2.0</v>
      </c>
      <c r="Z61" s="19">
        <v>2.0</v>
      </c>
      <c r="AA61" s="19">
        <v>1.0</v>
      </c>
      <c r="AB61" s="19">
        <v>1.0</v>
      </c>
      <c r="AC61" s="13">
        <f t="shared" si="16"/>
        <v>50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1.0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9">
        <v>1.0</v>
      </c>
      <c r="X62" s="19">
        <v>0.0</v>
      </c>
      <c r="Y62" s="19">
        <v>0.0</v>
      </c>
      <c r="Z62" s="19">
        <v>1.0</v>
      </c>
      <c r="AA62" s="19">
        <v>0.0</v>
      </c>
      <c r="AB62" s="19">
        <v>0.0</v>
      </c>
      <c r="AC62" s="13">
        <f t="shared" si="16"/>
        <v>4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2.0</v>
      </c>
      <c r="K63" s="19">
        <v>2.0</v>
      </c>
      <c r="L63" s="19">
        <v>0.0</v>
      </c>
      <c r="M63" s="19">
        <v>0.0</v>
      </c>
      <c r="N63" s="19">
        <v>0.0</v>
      </c>
      <c r="O63" s="19">
        <v>1.0</v>
      </c>
      <c r="P63" s="19">
        <v>2.0</v>
      </c>
      <c r="Q63" s="19">
        <v>2.0</v>
      </c>
      <c r="R63" s="19">
        <v>1.0</v>
      </c>
      <c r="S63" s="19">
        <v>0.0</v>
      </c>
      <c r="T63" s="19">
        <v>2.0</v>
      </c>
      <c r="U63" s="19">
        <v>2.0</v>
      </c>
      <c r="V63" s="19">
        <v>2.0</v>
      </c>
      <c r="W63" s="19">
        <v>1.0</v>
      </c>
      <c r="X63" s="19">
        <v>1.0</v>
      </c>
      <c r="Y63" s="19">
        <v>2.0</v>
      </c>
      <c r="Z63" s="19">
        <v>0.0</v>
      </c>
      <c r="AA63" s="19">
        <v>0.0</v>
      </c>
      <c r="AB63" s="19">
        <v>0.0</v>
      </c>
      <c r="AC63" s="13">
        <f t="shared" si="16"/>
        <v>21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1.0</v>
      </c>
      <c r="G64" s="19">
        <v>0.0</v>
      </c>
      <c r="H64" s="19">
        <v>1.0</v>
      </c>
      <c r="I64" s="19">
        <v>0.0</v>
      </c>
      <c r="J64" s="19">
        <v>0.0</v>
      </c>
      <c r="K64" s="19">
        <v>0.0</v>
      </c>
      <c r="L64" s="19">
        <v>1.0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2.0</v>
      </c>
      <c r="U64" s="19">
        <v>0.0</v>
      </c>
      <c r="V64" s="19">
        <v>0.0</v>
      </c>
      <c r="W64" s="19">
        <v>1.0</v>
      </c>
      <c r="X64" s="19">
        <v>0.0</v>
      </c>
      <c r="Y64" s="19">
        <v>0.0</v>
      </c>
      <c r="Z64" s="19">
        <v>0.0</v>
      </c>
      <c r="AA64" s="19">
        <v>0.0</v>
      </c>
      <c r="AB64" s="19">
        <v>0.0</v>
      </c>
      <c r="AC64" s="13">
        <f t="shared" si="16"/>
        <v>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AC67" si="17">SUM(E57:E66)</f>
        <v>44</v>
      </c>
      <c r="F67" s="13">
        <f t="shared" si="17"/>
        <v>29</v>
      </c>
      <c r="G67" s="13">
        <f t="shared" si="17"/>
        <v>14</v>
      </c>
      <c r="H67" s="13">
        <f t="shared" si="17"/>
        <v>31</v>
      </c>
      <c r="I67" s="13">
        <f t="shared" si="17"/>
        <v>22</v>
      </c>
      <c r="J67" s="13">
        <f t="shared" si="17"/>
        <v>29</v>
      </c>
      <c r="K67" s="13">
        <f t="shared" si="17"/>
        <v>40</v>
      </c>
      <c r="L67" s="13">
        <f t="shared" si="17"/>
        <v>45</v>
      </c>
      <c r="M67" s="13">
        <f t="shared" si="17"/>
        <v>27</v>
      </c>
      <c r="N67" s="13">
        <f t="shared" si="17"/>
        <v>36</v>
      </c>
      <c r="O67" s="13">
        <f t="shared" si="17"/>
        <v>69</v>
      </c>
      <c r="P67" s="13">
        <f t="shared" si="17"/>
        <v>55</v>
      </c>
      <c r="Q67" s="13">
        <f t="shared" si="17"/>
        <v>64</v>
      </c>
      <c r="R67" s="13">
        <f t="shared" si="17"/>
        <v>62</v>
      </c>
      <c r="S67" s="13">
        <f t="shared" si="17"/>
        <v>84</v>
      </c>
      <c r="T67" s="13">
        <f t="shared" si="17"/>
        <v>72</v>
      </c>
      <c r="U67" s="13">
        <f t="shared" si="17"/>
        <v>75</v>
      </c>
      <c r="V67" s="13">
        <f t="shared" si="17"/>
        <v>62</v>
      </c>
      <c r="W67" s="13">
        <f t="shared" si="17"/>
        <v>62</v>
      </c>
      <c r="X67" s="13">
        <f t="shared" si="17"/>
        <v>43</v>
      </c>
      <c r="Y67" s="13">
        <f t="shared" si="17"/>
        <v>28</v>
      </c>
      <c r="Z67" s="13">
        <f t="shared" si="17"/>
        <v>41</v>
      </c>
      <c r="AA67" s="13">
        <f t="shared" si="17"/>
        <v>31</v>
      </c>
      <c r="AB67" s="13">
        <f t="shared" si="17"/>
        <v>38</v>
      </c>
      <c r="AC67" s="13">
        <f t="shared" si="17"/>
        <v>1103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3.0</v>
      </c>
      <c r="F69" s="19">
        <v>12.0</v>
      </c>
      <c r="G69" s="19">
        <v>4.0</v>
      </c>
      <c r="H69" s="19">
        <v>9.0</v>
      </c>
      <c r="I69" s="19">
        <v>4.0</v>
      </c>
      <c r="J69" s="19">
        <v>5.0</v>
      </c>
      <c r="K69" s="19">
        <v>5.0</v>
      </c>
      <c r="L69" s="19">
        <v>7.0</v>
      </c>
      <c r="M69" s="19">
        <v>16.0</v>
      </c>
      <c r="N69" s="19">
        <v>3.0</v>
      </c>
      <c r="O69" s="19">
        <v>21.0</v>
      </c>
      <c r="P69" s="19">
        <v>37.0</v>
      </c>
      <c r="Q69" s="19">
        <v>9.0</v>
      </c>
      <c r="R69" s="19">
        <v>24.0</v>
      </c>
      <c r="S69" s="19">
        <v>19.0</v>
      </c>
      <c r="T69" s="19">
        <v>13.0</v>
      </c>
      <c r="U69" s="19">
        <v>21.0</v>
      </c>
      <c r="V69" s="19">
        <v>15.0</v>
      </c>
      <c r="W69" s="19">
        <v>8.0</v>
      </c>
      <c r="X69" s="19">
        <v>3.0</v>
      </c>
      <c r="Y69" s="19">
        <v>2.0</v>
      </c>
      <c r="Z69" s="19">
        <v>12.0</v>
      </c>
      <c r="AA69" s="19">
        <v>15.0</v>
      </c>
      <c r="AB69" s="19">
        <v>7.0</v>
      </c>
      <c r="AC69" s="13">
        <f t="shared" ref="AC69:AC78" si="18">SUM(E69:AB69)</f>
        <v>274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13.0</v>
      </c>
      <c r="F70" s="19">
        <v>21.0</v>
      </c>
      <c r="G70" s="19">
        <v>21.0</v>
      </c>
      <c r="H70" s="19">
        <v>27.0</v>
      </c>
      <c r="I70" s="19">
        <v>16.0</v>
      </c>
      <c r="J70" s="19">
        <v>14.0</v>
      </c>
      <c r="K70" s="19">
        <v>9.0</v>
      </c>
      <c r="L70" s="19">
        <v>24.0</v>
      </c>
      <c r="M70" s="19">
        <v>9.0</v>
      </c>
      <c r="N70" s="19">
        <v>13.0</v>
      </c>
      <c r="O70" s="19">
        <v>41.0</v>
      </c>
      <c r="P70" s="19">
        <v>22.0</v>
      </c>
      <c r="Q70" s="19">
        <v>11.0</v>
      </c>
      <c r="R70" s="19">
        <v>18.0</v>
      </c>
      <c r="S70" s="19">
        <v>6.0</v>
      </c>
      <c r="T70" s="19">
        <v>31.0</v>
      </c>
      <c r="U70" s="19">
        <v>16.0</v>
      </c>
      <c r="V70" s="19">
        <v>13.0</v>
      </c>
      <c r="W70" s="19">
        <v>20.0</v>
      </c>
      <c r="X70" s="19">
        <v>16.0</v>
      </c>
      <c r="Y70" s="19">
        <v>21.0</v>
      </c>
      <c r="Z70" s="19">
        <v>22.0</v>
      </c>
      <c r="AA70" s="19">
        <v>10.0</v>
      </c>
      <c r="AB70" s="19">
        <v>15.0</v>
      </c>
      <c r="AC70" s="13">
        <f t="shared" si="18"/>
        <v>429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4.0</v>
      </c>
      <c r="G71" s="19">
        <v>0.0</v>
      </c>
      <c r="H71" s="19">
        <v>2.0</v>
      </c>
      <c r="I71" s="19">
        <v>0.0</v>
      </c>
      <c r="J71" s="19">
        <v>1.0</v>
      </c>
      <c r="K71" s="19">
        <v>1.0</v>
      </c>
      <c r="L71" s="19">
        <v>4.0</v>
      </c>
      <c r="M71" s="19">
        <v>4.0</v>
      </c>
      <c r="N71" s="19">
        <v>0.0</v>
      </c>
      <c r="O71" s="19">
        <v>1.0</v>
      </c>
      <c r="P71" s="19">
        <v>5.0</v>
      </c>
      <c r="Q71" s="19">
        <v>8.0</v>
      </c>
      <c r="R71" s="19">
        <v>8.0</v>
      </c>
      <c r="S71" s="19">
        <v>1.0</v>
      </c>
      <c r="T71" s="19">
        <v>1.0</v>
      </c>
      <c r="U71" s="19">
        <v>3.0</v>
      </c>
      <c r="V71" s="19">
        <v>6.0</v>
      </c>
      <c r="W71" s="19">
        <v>3.0</v>
      </c>
      <c r="X71" s="19">
        <v>4.0</v>
      </c>
      <c r="Y71" s="19">
        <v>2.0</v>
      </c>
      <c r="Z71" s="19">
        <v>5.0</v>
      </c>
      <c r="AA71" s="19">
        <v>8.0</v>
      </c>
      <c r="AB71" s="19">
        <v>5.0</v>
      </c>
      <c r="AC71" s="13">
        <f t="shared" si="18"/>
        <v>78</v>
      </c>
    </row>
    <row r="72" ht="12.75" customHeight="1">
      <c r="A72" s="18"/>
      <c r="B72" s="55">
        <v>3.0</v>
      </c>
      <c r="C72" s="50" t="s">
        <v>59</v>
      </c>
      <c r="D72" s="60"/>
      <c r="E72" s="19">
        <v>2.0</v>
      </c>
      <c r="F72" s="19">
        <v>6.0</v>
      </c>
      <c r="G72" s="19">
        <v>2.0</v>
      </c>
      <c r="H72" s="19">
        <v>7.0</v>
      </c>
      <c r="I72" s="19">
        <v>1.0</v>
      </c>
      <c r="J72" s="19">
        <v>0.0</v>
      </c>
      <c r="K72" s="19">
        <v>1.0</v>
      </c>
      <c r="L72" s="19">
        <v>3.0</v>
      </c>
      <c r="M72" s="19">
        <v>107.0</v>
      </c>
      <c r="N72" s="19">
        <v>0.0</v>
      </c>
      <c r="O72" s="19">
        <v>1.0</v>
      </c>
      <c r="P72" s="19">
        <v>14.0</v>
      </c>
      <c r="Q72" s="19">
        <v>7.0</v>
      </c>
      <c r="R72" s="19">
        <v>15.0</v>
      </c>
      <c r="S72" s="19">
        <v>14.0</v>
      </c>
      <c r="T72" s="19">
        <v>4.0</v>
      </c>
      <c r="U72" s="19">
        <v>7.0</v>
      </c>
      <c r="V72" s="19">
        <v>6.0</v>
      </c>
      <c r="W72" s="19">
        <v>2.0</v>
      </c>
      <c r="X72" s="19">
        <v>1.0</v>
      </c>
      <c r="Y72" s="19">
        <v>0.0</v>
      </c>
      <c r="Z72" s="19">
        <v>2.0</v>
      </c>
      <c r="AA72" s="19">
        <v>2.0</v>
      </c>
      <c r="AB72" s="19">
        <v>7.0</v>
      </c>
      <c r="AC72" s="13">
        <f t="shared" si="18"/>
        <v>211</v>
      </c>
    </row>
    <row r="73" ht="12.75" customHeight="1">
      <c r="A73" s="18"/>
      <c r="B73" s="55">
        <v>4.0</v>
      </c>
      <c r="C73" s="50" t="s">
        <v>60</v>
      </c>
      <c r="D73" s="60"/>
      <c r="E73" s="19">
        <v>3.0</v>
      </c>
      <c r="F73" s="19">
        <v>1.0</v>
      </c>
      <c r="G73" s="19">
        <v>1.0</v>
      </c>
      <c r="H73" s="19">
        <v>0.0</v>
      </c>
      <c r="I73" s="19">
        <v>0.0</v>
      </c>
      <c r="J73" s="19">
        <v>0.0</v>
      </c>
      <c r="K73" s="19">
        <v>1.0</v>
      </c>
      <c r="L73" s="19">
        <v>1.0</v>
      </c>
      <c r="M73" s="19">
        <v>0.0</v>
      </c>
      <c r="N73" s="19">
        <v>0.0</v>
      </c>
      <c r="O73" s="19">
        <v>0.0</v>
      </c>
      <c r="P73" s="19">
        <v>1.0</v>
      </c>
      <c r="Q73" s="19">
        <v>1.0</v>
      </c>
      <c r="R73" s="19">
        <v>2.0</v>
      </c>
      <c r="S73" s="19">
        <v>1.0</v>
      </c>
      <c r="T73" s="19">
        <v>1.0</v>
      </c>
      <c r="U73" s="19">
        <v>2.0</v>
      </c>
      <c r="V73" s="19">
        <v>0.0</v>
      </c>
      <c r="W73" s="19">
        <v>0.0</v>
      </c>
      <c r="X73" s="19">
        <v>1.0</v>
      </c>
      <c r="Y73" s="19">
        <v>0.0</v>
      </c>
      <c r="Z73" s="19">
        <v>1.0</v>
      </c>
      <c r="AA73" s="19">
        <v>1.0</v>
      </c>
      <c r="AB73" s="19">
        <v>1.0</v>
      </c>
      <c r="AC73" s="13">
        <f t="shared" si="18"/>
        <v>19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5.0</v>
      </c>
      <c r="G74" s="19">
        <v>4.0</v>
      </c>
      <c r="H74" s="19">
        <v>1.0</v>
      </c>
      <c r="I74" s="19">
        <v>4.0</v>
      </c>
      <c r="J74" s="19">
        <v>2.0</v>
      </c>
      <c r="K74" s="19">
        <v>5.0</v>
      </c>
      <c r="L74" s="19">
        <v>7.0</v>
      </c>
      <c r="M74" s="19">
        <v>2.0</v>
      </c>
      <c r="N74" s="19">
        <v>2.0</v>
      </c>
      <c r="O74" s="19">
        <v>11.0</v>
      </c>
      <c r="P74" s="19">
        <v>12.0</v>
      </c>
      <c r="Q74" s="19">
        <v>11.0</v>
      </c>
      <c r="R74" s="19">
        <v>6.0</v>
      </c>
      <c r="S74" s="19">
        <v>4.0</v>
      </c>
      <c r="T74" s="19">
        <v>6.0</v>
      </c>
      <c r="U74" s="19">
        <v>2.0</v>
      </c>
      <c r="V74" s="19">
        <v>6.0</v>
      </c>
      <c r="W74" s="19">
        <v>3.0</v>
      </c>
      <c r="X74" s="19">
        <v>0.0</v>
      </c>
      <c r="Y74" s="19">
        <v>0.0</v>
      </c>
      <c r="Z74" s="19">
        <v>1.0</v>
      </c>
      <c r="AA74" s="19">
        <v>2.0</v>
      </c>
      <c r="AB74" s="19">
        <v>2.0</v>
      </c>
      <c r="AC74" s="13">
        <f t="shared" si="18"/>
        <v>100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1.0</v>
      </c>
      <c r="K75" s="19">
        <v>0.0</v>
      </c>
      <c r="L75" s="19">
        <v>1.0</v>
      </c>
      <c r="M75" s="19">
        <v>0.0</v>
      </c>
      <c r="N75" s="19">
        <v>0.0</v>
      </c>
      <c r="O75" s="19">
        <v>1.0</v>
      </c>
      <c r="P75" s="19">
        <v>0.0</v>
      </c>
      <c r="Q75" s="19">
        <v>2.0</v>
      </c>
      <c r="R75" s="19">
        <v>3.0</v>
      </c>
      <c r="S75" s="19">
        <v>1.0</v>
      </c>
      <c r="T75" s="19">
        <v>1.0</v>
      </c>
      <c r="U75" s="19">
        <v>0.0</v>
      </c>
      <c r="V75" s="19">
        <v>0.0</v>
      </c>
      <c r="W75" s="19">
        <v>1.0</v>
      </c>
      <c r="X75" s="19">
        <v>0.0</v>
      </c>
      <c r="Y75" s="19">
        <v>1.0</v>
      </c>
      <c r="Z75" s="19">
        <v>1.0</v>
      </c>
      <c r="AA75" s="19">
        <v>1.0</v>
      </c>
      <c r="AB75" s="19">
        <v>0.0</v>
      </c>
      <c r="AC75" s="13">
        <f t="shared" si="18"/>
        <v>15</v>
      </c>
    </row>
    <row r="76" ht="12.75" customHeight="1">
      <c r="A76" s="18"/>
      <c r="B76" s="55">
        <v>7.0</v>
      </c>
      <c r="C76" s="50" t="s">
        <v>63</v>
      </c>
      <c r="D76" s="60"/>
      <c r="E76" s="19">
        <v>0.0</v>
      </c>
      <c r="F76" s="19">
        <v>0.0</v>
      </c>
      <c r="G76" s="19">
        <v>0.0</v>
      </c>
      <c r="H76" s="19">
        <v>0.0</v>
      </c>
      <c r="I76" s="19">
        <v>1.0</v>
      </c>
      <c r="J76" s="19">
        <v>1.0</v>
      </c>
      <c r="K76" s="19">
        <v>0.0</v>
      </c>
      <c r="L76" s="19">
        <v>0.0</v>
      </c>
      <c r="M76" s="19">
        <v>0.0</v>
      </c>
      <c r="N76" s="19">
        <v>0.0</v>
      </c>
      <c r="O76" s="19">
        <v>1.0</v>
      </c>
      <c r="P76" s="19">
        <v>0.0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0.0</v>
      </c>
      <c r="W76" s="19">
        <v>0.0</v>
      </c>
      <c r="X76" s="19">
        <v>1.0</v>
      </c>
      <c r="Y76" s="19">
        <v>0.0</v>
      </c>
      <c r="Z76" s="19">
        <v>0.0</v>
      </c>
      <c r="AA76" s="19">
        <v>0.0</v>
      </c>
      <c r="AB76" s="19">
        <v>0.0</v>
      </c>
      <c r="AC76" s="13">
        <f t="shared" si="18"/>
        <v>5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AC79" si="19">SUM(E69:E78)</f>
        <v>25</v>
      </c>
      <c r="F79" s="13">
        <f t="shared" si="19"/>
        <v>50</v>
      </c>
      <c r="G79" s="13">
        <f t="shared" si="19"/>
        <v>32</v>
      </c>
      <c r="H79" s="13">
        <f t="shared" si="19"/>
        <v>46</v>
      </c>
      <c r="I79" s="13">
        <f t="shared" si="19"/>
        <v>26</v>
      </c>
      <c r="J79" s="13">
        <f t="shared" si="19"/>
        <v>24</v>
      </c>
      <c r="K79" s="13">
        <f t="shared" si="19"/>
        <v>22</v>
      </c>
      <c r="L79" s="13">
        <f t="shared" si="19"/>
        <v>47</v>
      </c>
      <c r="M79" s="13">
        <f t="shared" si="19"/>
        <v>138</v>
      </c>
      <c r="N79" s="13">
        <f t="shared" si="19"/>
        <v>18</v>
      </c>
      <c r="O79" s="13">
        <f t="shared" si="19"/>
        <v>77</v>
      </c>
      <c r="P79" s="13">
        <f t="shared" si="19"/>
        <v>91</v>
      </c>
      <c r="Q79" s="13">
        <f t="shared" si="19"/>
        <v>49</v>
      </c>
      <c r="R79" s="13">
        <f t="shared" si="19"/>
        <v>77</v>
      </c>
      <c r="S79" s="13">
        <f t="shared" si="19"/>
        <v>46</v>
      </c>
      <c r="T79" s="13">
        <f t="shared" si="19"/>
        <v>57</v>
      </c>
      <c r="U79" s="13">
        <f t="shared" si="19"/>
        <v>51</v>
      </c>
      <c r="V79" s="13">
        <f t="shared" si="19"/>
        <v>46</v>
      </c>
      <c r="W79" s="13">
        <f t="shared" si="19"/>
        <v>37</v>
      </c>
      <c r="X79" s="13">
        <f t="shared" si="19"/>
        <v>26</v>
      </c>
      <c r="Y79" s="13">
        <f t="shared" si="19"/>
        <v>26</v>
      </c>
      <c r="Z79" s="13">
        <f t="shared" si="19"/>
        <v>44</v>
      </c>
      <c r="AA79" s="13">
        <f t="shared" si="19"/>
        <v>39</v>
      </c>
      <c r="AB79" s="13">
        <f t="shared" si="19"/>
        <v>37</v>
      </c>
      <c r="AC79" s="13">
        <f t="shared" si="19"/>
        <v>1131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8.0</v>
      </c>
      <c r="G81" s="19">
        <v>5.0</v>
      </c>
      <c r="H81" s="19">
        <v>6.0</v>
      </c>
      <c r="I81" s="19">
        <v>9.0</v>
      </c>
      <c r="J81" s="19">
        <v>6.0</v>
      </c>
      <c r="K81" s="19">
        <v>2.0</v>
      </c>
      <c r="L81" s="19">
        <v>3.0</v>
      </c>
      <c r="M81" s="19">
        <v>2.0</v>
      </c>
      <c r="N81" s="19">
        <v>5.0</v>
      </c>
      <c r="O81" s="19">
        <v>1.0</v>
      </c>
      <c r="P81" s="19">
        <v>1.0</v>
      </c>
      <c r="Q81" s="19">
        <v>2.0</v>
      </c>
      <c r="R81" s="19">
        <v>0.0</v>
      </c>
      <c r="S81" s="19">
        <v>3.0</v>
      </c>
      <c r="T81" s="19">
        <v>3.0</v>
      </c>
      <c r="U81" s="19">
        <v>3.0</v>
      </c>
      <c r="V81" s="19">
        <v>8.0</v>
      </c>
      <c r="W81" s="19">
        <v>1.0</v>
      </c>
      <c r="X81" s="19">
        <v>1.0</v>
      </c>
      <c r="Y81" s="19">
        <v>3.0</v>
      </c>
      <c r="Z81" s="19">
        <v>0.0</v>
      </c>
      <c r="AA81" s="19">
        <v>2.0</v>
      </c>
      <c r="AB81" s="19">
        <v>15.0</v>
      </c>
      <c r="AC81" s="13">
        <f t="shared" ref="AC81:AC90" si="20">SUM(E81:AB81)</f>
        <v>96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9.0</v>
      </c>
      <c r="F82" s="19">
        <v>14.0</v>
      </c>
      <c r="G82" s="19">
        <v>22.0</v>
      </c>
      <c r="H82" s="19">
        <v>56.0</v>
      </c>
      <c r="I82" s="19">
        <v>5.0</v>
      </c>
      <c r="J82" s="19">
        <v>2.0</v>
      </c>
      <c r="K82" s="19">
        <v>29.0</v>
      </c>
      <c r="L82" s="19">
        <v>15.0</v>
      </c>
      <c r="M82" s="19">
        <v>35.0</v>
      </c>
      <c r="N82" s="19">
        <v>15.0</v>
      </c>
      <c r="O82" s="19">
        <v>8.0</v>
      </c>
      <c r="P82" s="19">
        <v>2.0</v>
      </c>
      <c r="Q82" s="19">
        <v>5.0</v>
      </c>
      <c r="R82" s="19">
        <v>9.0</v>
      </c>
      <c r="S82" s="19">
        <v>4.0</v>
      </c>
      <c r="T82" s="19">
        <v>7.0</v>
      </c>
      <c r="U82" s="19">
        <v>4.0</v>
      </c>
      <c r="V82" s="19">
        <v>6.0</v>
      </c>
      <c r="W82" s="19">
        <v>6.0</v>
      </c>
      <c r="X82" s="19">
        <v>5.0</v>
      </c>
      <c r="Y82" s="19">
        <v>9.0</v>
      </c>
      <c r="Z82" s="19">
        <v>2.0</v>
      </c>
      <c r="AA82" s="19">
        <v>1.0</v>
      </c>
      <c r="AB82" s="19">
        <v>16.0</v>
      </c>
      <c r="AC82" s="13">
        <f t="shared" si="20"/>
        <v>286</v>
      </c>
    </row>
    <row r="83" ht="12.75" customHeight="1">
      <c r="A83" s="18"/>
      <c r="B83" s="55">
        <v>2.0</v>
      </c>
      <c r="C83" s="50" t="s">
        <v>66</v>
      </c>
      <c r="D83" s="60"/>
      <c r="E83" s="19">
        <v>1.0</v>
      </c>
      <c r="F83" s="19">
        <v>7.0</v>
      </c>
      <c r="G83" s="19">
        <v>7.0</v>
      </c>
      <c r="H83" s="19">
        <v>2.0</v>
      </c>
      <c r="I83" s="19">
        <v>5.0</v>
      </c>
      <c r="J83" s="19">
        <v>6.0</v>
      </c>
      <c r="K83" s="19">
        <v>1.0</v>
      </c>
      <c r="L83" s="19">
        <v>10.0</v>
      </c>
      <c r="M83" s="19">
        <v>4.0</v>
      </c>
      <c r="N83" s="19">
        <v>5.0</v>
      </c>
      <c r="O83" s="19">
        <v>1.0</v>
      </c>
      <c r="P83" s="19">
        <v>4.0</v>
      </c>
      <c r="Q83" s="19">
        <v>2.0</v>
      </c>
      <c r="R83" s="19">
        <v>5.0</v>
      </c>
      <c r="S83" s="19">
        <v>0.0</v>
      </c>
      <c r="T83" s="19">
        <v>2.0</v>
      </c>
      <c r="U83" s="19">
        <v>5.0</v>
      </c>
      <c r="V83" s="19">
        <v>4.0</v>
      </c>
      <c r="W83" s="19">
        <v>1.0</v>
      </c>
      <c r="X83" s="19">
        <v>4.0</v>
      </c>
      <c r="Y83" s="19">
        <v>7.0</v>
      </c>
      <c r="Z83" s="19">
        <v>0.0</v>
      </c>
      <c r="AA83" s="19">
        <v>1.0</v>
      </c>
      <c r="AB83" s="19">
        <v>39.0</v>
      </c>
      <c r="AC83" s="13">
        <f t="shared" si="20"/>
        <v>123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1.0</v>
      </c>
      <c r="H84" s="19">
        <v>1.0</v>
      </c>
      <c r="I84" s="19">
        <v>0.0</v>
      </c>
      <c r="J84" s="19">
        <v>2.0</v>
      </c>
      <c r="K84" s="19">
        <v>1.0</v>
      </c>
      <c r="L84" s="19">
        <v>0.0</v>
      </c>
      <c r="M84" s="19">
        <v>0.0</v>
      </c>
      <c r="N84" s="19">
        <v>1.0</v>
      </c>
      <c r="O84" s="19">
        <v>0.0</v>
      </c>
      <c r="P84" s="19">
        <v>0.0</v>
      </c>
      <c r="Q84" s="19">
        <v>0.0</v>
      </c>
      <c r="R84" s="19">
        <v>0.0</v>
      </c>
      <c r="S84" s="19">
        <v>0.0</v>
      </c>
      <c r="T84" s="19">
        <v>2.0</v>
      </c>
      <c r="U84" s="19">
        <v>0.0</v>
      </c>
      <c r="V84" s="19">
        <v>1.0</v>
      </c>
      <c r="W84" s="19">
        <v>1.0</v>
      </c>
      <c r="X84" s="19">
        <v>0.0</v>
      </c>
      <c r="Y84" s="19">
        <v>0.0</v>
      </c>
      <c r="Z84" s="19">
        <v>0.0</v>
      </c>
      <c r="AA84" s="19">
        <v>0.0</v>
      </c>
      <c r="AB84" s="19">
        <v>2.0</v>
      </c>
      <c r="AC84" s="13">
        <f t="shared" si="20"/>
        <v>12</v>
      </c>
    </row>
    <row r="85" ht="12.75" customHeight="1">
      <c r="A85" s="18"/>
      <c r="B85" s="55">
        <v>4.0</v>
      </c>
      <c r="C85" s="50" t="s">
        <v>68</v>
      </c>
      <c r="D85" s="60"/>
      <c r="E85" s="19">
        <v>0.0</v>
      </c>
      <c r="F85" s="19">
        <v>1.0</v>
      </c>
      <c r="G85" s="19">
        <v>2.0</v>
      </c>
      <c r="H85" s="19">
        <v>0.0</v>
      </c>
      <c r="I85" s="19">
        <v>2.0</v>
      </c>
      <c r="J85" s="19">
        <v>0.0</v>
      </c>
      <c r="K85" s="19">
        <v>1.0</v>
      </c>
      <c r="L85" s="19">
        <v>2.0</v>
      </c>
      <c r="M85" s="19">
        <v>1.0</v>
      </c>
      <c r="N85" s="19">
        <v>0.0</v>
      </c>
      <c r="O85" s="19">
        <v>0.0</v>
      </c>
      <c r="P85" s="19">
        <v>0.0</v>
      </c>
      <c r="Q85" s="19">
        <v>1.0</v>
      </c>
      <c r="R85" s="19">
        <v>0.0</v>
      </c>
      <c r="S85" s="19">
        <v>0.0</v>
      </c>
      <c r="T85" s="19">
        <v>0.0</v>
      </c>
      <c r="U85" s="19">
        <v>0.0</v>
      </c>
      <c r="V85" s="19">
        <v>0.0</v>
      </c>
      <c r="W85" s="19">
        <v>0.0</v>
      </c>
      <c r="X85" s="19">
        <v>0.0</v>
      </c>
      <c r="Y85" s="19">
        <v>0.0</v>
      </c>
      <c r="Z85" s="19">
        <v>0.0</v>
      </c>
      <c r="AA85" s="19">
        <v>3.0</v>
      </c>
      <c r="AB85" s="19">
        <v>12.0</v>
      </c>
      <c r="AC85" s="13">
        <f t="shared" si="20"/>
        <v>25</v>
      </c>
    </row>
    <row r="86" ht="12.75" customHeight="1">
      <c r="A86" s="18"/>
      <c r="B86" s="55">
        <v>5.0</v>
      </c>
      <c r="C86" s="50" t="s">
        <v>69</v>
      </c>
      <c r="D86" s="60"/>
      <c r="E86" s="19">
        <v>4.0</v>
      </c>
      <c r="F86" s="19">
        <v>2.0</v>
      </c>
      <c r="G86" s="19">
        <v>0.0</v>
      </c>
      <c r="H86" s="19">
        <v>0.0</v>
      </c>
      <c r="I86" s="19">
        <v>0.0</v>
      </c>
      <c r="J86" s="19">
        <v>4.0</v>
      </c>
      <c r="K86" s="19">
        <v>1.0</v>
      </c>
      <c r="L86" s="19">
        <v>0.0</v>
      </c>
      <c r="M86" s="19">
        <v>0.0</v>
      </c>
      <c r="N86" s="19">
        <v>0.0</v>
      </c>
      <c r="O86" s="19">
        <v>0.0</v>
      </c>
      <c r="P86" s="19">
        <v>3.0</v>
      </c>
      <c r="Q86" s="19">
        <v>0.0</v>
      </c>
      <c r="R86" s="19">
        <v>0.0</v>
      </c>
      <c r="S86" s="19">
        <v>1.0</v>
      </c>
      <c r="T86" s="19">
        <v>0.0</v>
      </c>
      <c r="U86" s="19">
        <v>0.0</v>
      </c>
      <c r="V86" s="19">
        <v>1.0</v>
      </c>
      <c r="W86" s="19">
        <v>0.0</v>
      </c>
      <c r="X86" s="19">
        <v>1.0</v>
      </c>
      <c r="Y86" s="19">
        <v>0.0</v>
      </c>
      <c r="Z86" s="19">
        <v>1.0</v>
      </c>
      <c r="AA86" s="19">
        <v>1.0</v>
      </c>
      <c r="AB86" s="19">
        <v>0.0</v>
      </c>
      <c r="AC86" s="13">
        <f t="shared" si="20"/>
        <v>19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1.0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1.0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0.0</v>
      </c>
      <c r="AC88" s="13">
        <f t="shared" si="20"/>
        <v>3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AC91" si="21">SUM(E81:E90)</f>
        <v>22</v>
      </c>
      <c r="F91" s="13">
        <f t="shared" si="21"/>
        <v>32</v>
      </c>
      <c r="G91" s="13">
        <f t="shared" si="21"/>
        <v>37</v>
      </c>
      <c r="H91" s="13">
        <f t="shared" si="21"/>
        <v>65</v>
      </c>
      <c r="I91" s="13">
        <f t="shared" si="21"/>
        <v>22</v>
      </c>
      <c r="J91" s="13">
        <f t="shared" si="21"/>
        <v>20</v>
      </c>
      <c r="K91" s="13">
        <f t="shared" si="21"/>
        <v>35</v>
      </c>
      <c r="L91" s="13">
        <f t="shared" si="21"/>
        <v>30</v>
      </c>
      <c r="M91" s="13">
        <f t="shared" si="21"/>
        <v>42</v>
      </c>
      <c r="N91" s="13">
        <f t="shared" si="21"/>
        <v>27</v>
      </c>
      <c r="O91" s="13">
        <f t="shared" si="21"/>
        <v>10</v>
      </c>
      <c r="P91" s="13">
        <f t="shared" si="21"/>
        <v>10</v>
      </c>
      <c r="Q91" s="13">
        <f t="shared" si="21"/>
        <v>10</v>
      </c>
      <c r="R91" s="13">
        <f t="shared" si="21"/>
        <v>15</v>
      </c>
      <c r="S91" s="13">
        <f t="shared" si="21"/>
        <v>8</v>
      </c>
      <c r="T91" s="13">
        <f t="shared" si="21"/>
        <v>14</v>
      </c>
      <c r="U91" s="13">
        <f t="shared" si="21"/>
        <v>12</v>
      </c>
      <c r="V91" s="13">
        <f t="shared" si="21"/>
        <v>20</v>
      </c>
      <c r="W91" s="13">
        <f t="shared" si="21"/>
        <v>9</v>
      </c>
      <c r="X91" s="13">
        <f t="shared" si="21"/>
        <v>11</v>
      </c>
      <c r="Y91" s="13">
        <f t="shared" si="21"/>
        <v>19</v>
      </c>
      <c r="Z91" s="13">
        <f t="shared" si="21"/>
        <v>3</v>
      </c>
      <c r="AA91" s="13">
        <f t="shared" si="21"/>
        <v>8</v>
      </c>
      <c r="AB91" s="13">
        <f t="shared" si="21"/>
        <v>84</v>
      </c>
      <c r="AC91" s="13">
        <f t="shared" si="21"/>
        <v>565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3.0</v>
      </c>
      <c r="F93" s="19">
        <v>1.0</v>
      </c>
      <c r="G93" s="19">
        <v>2.0</v>
      </c>
      <c r="H93" s="19">
        <v>0.0</v>
      </c>
      <c r="I93" s="19">
        <v>1.0</v>
      </c>
      <c r="J93" s="19">
        <v>1.0</v>
      </c>
      <c r="K93" s="19">
        <v>3.0</v>
      </c>
      <c r="L93" s="19">
        <v>1.0</v>
      </c>
      <c r="M93" s="19">
        <v>1.0</v>
      </c>
      <c r="N93" s="19">
        <v>5.0</v>
      </c>
      <c r="O93" s="19">
        <v>9.0</v>
      </c>
      <c r="P93" s="19">
        <v>3.0</v>
      </c>
      <c r="Q93" s="19">
        <v>6.0</v>
      </c>
      <c r="R93" s="19">
        <v>5.0</v>
      </c>
      <c r="S93" s="19">
        <v>3.0</v>
      </c>
      <c r="T93" s="19">
        <v>4.0</v>
      </c>
      <c r="U93" s="19">
        <v>6.0</v>
      </c>
      <c r="V93" s="19">
        <v>2.0</v>
      </c>
      <c r="W93" s="19">
        <v>1.0</v>
      </c>
      <c r="X93" s="19">
        <v>4.0</v>
      </c>
      <c r="Y93" s="19">
        <v>2.0</v>
      </c>
      <c r="Z93" s="19">
        <v>8.0</v>
      </c>
      <c r="AA93" s="19">
        <v>1.0</v>
      </c>
      <c r="AB93" s="19">
        <v>0.0</v>
      </c>
      <c r="AC93" s="13">
        <f t="shared" ref="AC93:AC102" si="22">SUM(E93:AB93)</f>
        <v>72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2.0</v>
      </c>
      <c r="F94" s="19">
        <v>2.0</v>
      </c>
      <c r="G94" s="19">
        <v>0.0</v>
      </c>
      <c r="H94" s="19">
        <v>2.0</v>
      </c>
      <c r="I94" s="19">
        <v>1.0</v>
      </c>
      <c r="J94" s="19">
        <v>0.0</v>
      </c>
      <c r="K94" s="19">
        <v>2.0</v>
      </c>
      <c r="L94" s="19">
        <v>0.0</v>
      </c>
      <c r="M94" s="19">
        <v>0.0</v>
      </c>
      <c r="N94" s="19">
        <v>1.0</v>
      </c>
      <c r="O94" s="19">
        <v>0.0</v>
      </c>
      <c r="P94" s="19">
        <v>0.0</v>
      </c>
      <c r="Q94" s="19">
        <v>0.0</v>
      </c>
      <c r="R94" s="19">
        <v>1.0</v>
      </c>
      <c r="S94" s="19">
        <v>1.0</v>
      </c>
      <c r="T94" s="19">
        <v>1.0</v>
      </c>
      <c r="U94" s="19">
        <v>1.0</v>
      </c>
      <c r="V94" s="19">
        <v>0.0</v>
      </c>
      <c r="W94" s="19">
        <v>0.0</v>
      </c>
      <c r="X94" s="19">
        <v>2.0</v>
      </c>
      <c r="Y94" s="19">
        <v>1.0</v>
      </c>
      <c r="Z94" s="19">
        <v>0.0</v>
      </c>
      <c r="AA94" s="19">
        <v>1.0</v>
      </c>
      <c r="AB94" s="19">
        <v>0.0</v>
      </c>
      <c r="AC94" s="13">
        <f t="shared" si="22"/>
        <v>18</v>
      </c>
    </row>
    <row r="95" ht="12.75" customHeight="1">
      <c r="A95" s="18"/>
      <c r="B95" s="55">
        <v>2.0</v>
      </c>
      <c r="C95" s="50" t="s">
        <v>75</v>
      </c>
      <c r="D95" s="60"/>
      <c r="E95" s="19">
        <v>15.0</v>
      </c>
      <c r="F95" s="19">
        <v>23.0</v>
      </c>
      <c r="G95" s="19">
        <v>8.0</v>
      </c>
      <c r="H95" s="19">
        <v>0.0</v>
      </c>
      <c r="I95" s="19">
        <v>23.0</v>
      </c>
      <c r="J95" s="19">
        <v>14.0</v>
      </c>
      <c r="K95" s="19">
        <v>19.0</v>
      </c>
      <c r="L95" s="19">
        <v>2.0</v>
      </c>
      <c r="M95" s="19">
        <v>0.0</v>
      </c>
      <c r="N95" s="19">
        <v>34.0</v>
      </c>
      <c r="O95" s="19">
        <v>7.0</v>
      </c>
      <c r="P95" s="19">
        <v>5.0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1.0</v>
      </c>
      <c r="W95" s="19">
        <v>1.0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3">
        <f t="shared" si="22"/>
        <v>152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1.0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1.0</v>
      </c>
      <c r="Q96" s="19">
        <v>0.0</v>
      </c>
      <c r="R96" s="19">
        <v>1.0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60"/>
      <c r="E97" s="19">
        <v>2.0</v>
      </c>
      <c r="F97" s="19">
        <v>0.0</v>
      </c>
      <c r="G97" s="19">
        <v>0.0</v>
      </c>
      <c r="H97" s="19">
        <v>0.0</v>
      </c>
      <c r="I97" s="19">
        <v>4.0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1.0</v>
      </c>
      <c r="P97" s="19">
        <v>0.0</v>
      </c>
      <c r="Q97" s="19">
        <v>2.0</v>
      </c>
      <c r="R97" s="19">
        <v>0.0</v>
      </c>
      <c r="S97" s="19">
        <v>0.0</v>
      </c>
      <c r="T97" s="19">
        <v>0.0</v>
      </c>
      <c r="U97" s="19">
        <v>1.0</v>
      </c>
      <c r="V97" s="19">
        <v>2.0</v>
      </c>
      <c r="W97" s="19">
        <v>3.0</v>
      </c>
      <c r="X97" s="19">
        <v>0.0</v>
      </c>
      <c r="Y97" s="19">
        <v>3.0</v>
      </c>
      <c r="Z97" s="19">
        <v>2.0</v>
      </c>
      <c r="AA97" s="19">
        <v>2.0</v>
      </c>
      <c r="AB97" s="19">
        <v>0.0</v>
      </c>
      <c r="AC97" s="13">
        <f t="shared" si="22"/>
        <v>22</v>
      </c>
    </row>
    <row r="98" ht="12.75" customHeight="1">
      <c r="A98" s="18"/>
      <c r="B98" s="55">
        <v>5.0</v>
      </c>
      <c r="C98" s="50" t="s">
        <v>78</v>
      </c>
      <c r="D98" s="60"/>
      <c r="E98" s="19">
        <v>1.0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1.0</v>
      </c>
      <c r="M98" s="19">
        <v>0.0</v>
      </c>
      <c r="N98" s="19">
        <v>0.0</v>
      </c>
      <c r="O98" s="19">
        <v>2.0</v>
      </c>
      <c r="P98" s="19">
        <v>3.0</v>
      </c>
      <c r="Q98" s="19">
        <v>0.0</v>
      </c>
      <c r="R98" s="19">
        <v>4.0</v>
      </c>
      <c r="S98" s="19">
        <v>0.0</v>
      </c>
      <c r="T98" s="19">
        <v>0.0</v>
      </c>
      <c r="U98" s="19">
        <v>1.0</v>
      </c>
      <c r="V98" s="19">
        <v>2.0</v>
      </c>
      <c r="W98" s="19">
        <v>1.0</v>
      </c>
      <c r="X98" s="19">
        <v>2.0</v>
      </c>
      <c r="Y98" s="19">
        <v>3.0</v>
      </c>
      <c r="Z98" s="19">
        <v>2.0</v>
      </c>
      <c r="AA98" s="19">
        <v>1.0</v>
      </c>
      <c r="AB98" s="19">
        <v>1.0</v>
      </c>
      <c r="AC98" s="13">
        <f t="shared" si="22"/>
        <v>25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1.0</v>
      </c>
      <c r="R99" s="19">
        <v>0.0</v>
      </c>
      <c r="S99" s="19">
        <v>0.0</v>
      </c>
      <c r="T99" s="19">
        <v>0.0</v>
      </c>
      <c r="U99" s="19">
        <v>0.0</v>
      </c>
      <c r="V99" s="19">
        <v>0.0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3">
        <f t="shared" si="22"/>
        <v>2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AC103" si="23">SUM(E93:E102)</f>
        <v>23</v>
      </c>
      <c r="F103" s="13">
        <f t="shared" si="23"/>
        <v>26</v>
      </c>
      <c r="G103" s="13">
        <f t="shared" si="23"/>
        <v>11</v>
      </c>
      <c r="H103" s="13">
        <f t="shared" si="23"/>
        <v>3</v>
      </c>
      <c r="I103" s="13">
        <f t="shared" si="23"/>
        <v>29</v>
      </c>
      <c r="J103" s="13">
        <f t="shared" si="23"/>
        <v>15</v>
      </c>
      <c r="K103" s="13">
        <f t="shared" si="23"/>
        <v>25</v>
      </c>
      <c r="L103" s="13">
        <f t="shared" si="23"/>
        <v>4</v>
      </c>
      <c r="M103" s="13">
        <f t="shared" si="23"/>
        <v>1</v>
      </c>
      <c r="N103" s="13">
        <f t="shared" si="23"/>
        <v>40</v>
      </c>
      <c r="O103" s="13">
        <f t="shared" si="23"/>
        <v>19</v>
      </c>
      <c r="P103" s="13">
        <f t="shared" si="23"/>
        <v>12</v>
      </c>
      <c r="Q103" s="13">
        <f t="shared" si="23"/>
        <v>9</v>
      </c>
      <c r="R103" s="13">
        <f t="shared" si="23"/>
        <v>11</v>
      </c>
      <c r="S103" s="13">
        <f t="shared" si="23"/>
        <v>4</v>
      </c>
      <c r="T103" s="13">
        <f t="shared" si="23"/>
        <v>5</v>
      </c>
      <c r="U103" s="13">
        <f t="shared" si="23"/>
        <v>9</v>
      </c>
      <c r="V103" s="13">
        <f t="shared" si="23"/>
        <v>7</v>
      </c>
      <c r="W103" s="13">
        <f t="shared" si="23"/>
        <v>6</v>
      </c>
      <c r="X103" s="13">
        <f t="shared" si="23"/>
        <v>8</v>
      </c>
      <c r="Y103" s="13">
        <f t="shared" si="23"/>
        <v>9</v>
      </c>
      <c r="Z103" s="13">
        <f t="shared" si="23"/>
        <v>12</v>
      </c>
      <c r="AA103" s="13">
        <f t="shared" si="23"/>
        <v>5</v>
      </c>
      <c r="AB103" s="13">
        <f t="shared" si="23"/>
        <v>1</v>
      </c>
      <c r="AC103" s="13">
        <f t="shared" si="23"/>
        <v>294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1.0</v>
      </c>
      <c r="J105" s="19">
        <v>1.0</v>
      </c>
      <c r="K105" s="19">
        <v>0.0</v>
      </c>
      <c r="L105" s="19">
        <v>0.0</v>
      </c>
      <c r="M105" s="19">
        <v>0.0</v>
      </c>
      <c r="N105" s="19">
        <v>0.0</v>
      </c>
      <c r="O105" s="19">
        <v>0.0</v>
      </c>
      <c r="P105" s="19">
        <v>0.0</v>
      </c>
      <c r="Q105" s="19">
        <v>1.0</v>
      </c>
      <c r="R105" s="19">
        <v>0.0</v>
      </c>
      <c r="S105" s="19">
        <v>0.0</v>
      </c>
      <c r="T105" s="19">
        <v>2.0</v>
      </c>
      <c r="U105" s="19">
        <v>0.0</v>
      </c>
      <c r="V105" s="19">
        <v>1.0</v>
      </c>
      <c r="W105" s="19">
        <v>0.0</v>
      </c>
      <c r="X105" s="19">
        <v>0.0</v>
      </c>
      <c r="Y105" s="19">
        <v>0.0</v>
      </c>
      <c r="Z105" s="19">
        <v>1.0</v>
      </c>
      <c r="AA105" s="19">
        <v>0.0</v>
      </c>
      <c r="AB105" s="19">
        <v>0.0</v>
      </c>
      <c r="AC105" s="13">
        <f t="shared" ref="AC105:AC114" si="24">SUM(E105:AB105)</f>
        <v>7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1.0</v>
      </c>
      <c r="G106" s="19">
        <v>0.0</v>
      </c>
      <c r="H106" s="19">
        <v>0.0</v>
      </c>
      <c r="I106" s="19">
        <v>0.0</v>
      </c>
      <c r="J106" s="19">
        <v>1.0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9">
        <v>0.0</v>
      </c>
      <c r="X106" s="19">
        <v>0.0</v>
      </c>
      <c r="Y106" s="19">
        <v>0.0</v>
      </c>
      <c r="Z106" s="19">
        <v>1.0</v>
      </c>
      <c r="AA106" s="19">
        <v>0.0</v>
      </c>
      <c r="AB106" s="19">
        <v>0.0</v>
      </c>
      <c r="AC106" s="13">
        <f t="shared" si="24"/>
        <v>4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1.0</v>
      </c>
      <c r="AA107" s="19">
        <v>0.0</v>
      </c>
      <c r="AB107" s="19">
        <v>0.0</v>
      </c>
      <c r="AC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1.0</v>
      </c>
      <c r="W109" s="19">
        <v>0.0</v>
      </c>
      <c r="X109" s="19">
        <v>1.0</v>
      </c>
      <c r="Y109" s="19">
        <v>0.0</v>
      </c>
      <c r="Z109" s="19">
        <v>0.0</v>
      </c>
      <c r="AA109" s="19">
        <v>0.0</v>
      </c>
      <c r="AB109" s="19">
        <v>0.0</v>
      </c>
      <c r="AC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1.0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3">
        <f t="shared" si="24"/>
        <v>1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0.0</v>
      </c>
      <c r="AB111" s="19">
        <v>0.0</v>
      </c>
      <c r="AC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5">SUM(E105:E114)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1</v>
      </c>
      <c r="J115" s="13">
        <f t="shared" si="25"/>
        <v>2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2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3</v>
      </c>
      <c r="AA115" s="13">
        <f t="shared" si="25"/>
        <v>0</v>
      </c>
      <c r="AB115" s="13">
        <f t="shared" si="25"/>
        <v>0</v>
      </c>
      <c r="AC115" s="13">
        <f t="shared" si="25"/>
        <v>16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  <c r="V116" s="78"/>
      <c r="W116" s="78"/>
      <c r="X116" s="78"/>
      <c r="Y116" s="78"/>
      <c r="Z116" s="78"/>
      <c r="AA116" s="78"/>
      <c r="AB116" s="78"/>
      <c r="AC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0.0</v>
      </c>
      <c r="J117" s="19">
        <v>0.0</v>
      </c>
      <c r="K117" s="19">
        <v>1.0</v>
      </c>
      <c r="L117" s="19">
        <v>1.0</v>
      </c>
      <c r="M117" s="19">
        <v>0.0</v>
      </c>
      <c r="N117" s="19">
        <v>0.0</v>
      </c>
      <c r="O117" s="19">
        <v>2.0</v>
      </c>
      <c r="P117" s="19">
        <v>0.0</v>
      </c>
      <c r="Q117" s="19">
        <v>1.0</v>
      </c>
      <c r="R117" s="19">
        <v>1.0</v>
      </c>
      <c r="S117" s="19">
        <v>7.0</v>
      </c>
      <c r="T117" s="19">
        <v>1.0</v>
      </c>
      <c r="U117" s="19">
        <v>0.0</v>
      </c>
      <c r="V117" s="19">
        <v>0.0</v>
      </c>
      <c r="W117" s="19">
        <v>1.0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0.0</v>
      </c>
      <c r="AC117" s="13">
        <f t="shared" ref="AC117:AC126" si="26">SUM(E117:AB117)</f>
        <v>16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1.0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1.0</v>
      </c>
      <c r="M118" s="19">
        <v>0.0</v>
      </c>
      <c r="N118" s="19">
        <v>1.0</v>
      </c>
      <c r="O118" s="19">
        <v>2.0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3">
        <f t="shared" si="26"/>
        <v>5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0.0</v>
      </c>
      <c r="Y119" s="19">
        <v>1.0</v>
      </c>
      <c r="Z119" s="19">
        <v>0.0</v>
      </c>
      <c r="AA119" s="19">
        <v>0.0</v>
      </c>
      <c r="AB119" s="19">
        <v>0.0</v>
      </c>
      <c r="AC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1.0</v>
      </c>
      <c r="S120" s="19">
        <v>1.0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0.0</v>
      </c>
      <c r="AA120" s="19">
        <v>0.0</v>
      </c>
      <c r="AB120" s="19">
        <v>0.0</v>
      </c>
      <c r="AC120" s="13">
        <f t="shared" si="26"/>
        <v>2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AC127" si="27">SUM(E117:E126)</f>
        <v>0</v>
      </c>
      <c r="F127" s="13">
        <f t="shared" si="27"/>
        <v>1</v>
      </c>
      <c r="G127" s="13">
        <f t="shared" si="27"/>
        <v>0</v>
      </c>
      <c r="H127" s="13">
        <f t="shared" si="27"/>
        <v>0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2</v>
      </c>
      <c r="M127" s="13">
        <f t="shared" si="27"/>
        <v>0</v>
      </c>
      <c r="N127" s="13">
        <f t="shared" si="27"/>
        <v>1</v>
      </c>
      <c r="O127" s="13">
        <f t="shared" si="27"/>
        <v>4</v>
      </c>
      <c r="P127" s="13">
        <f t="shared" si="27"/>
        <v>0</v>
      </c>
      <c r="Q127" s="13">
        <f t="shared" si="27"/>
        <v>1</v>
      </c>
      <c r="R127" s="13">
        <f t="shared" si="27"/>
        <v>2</v>
      </c>
      <c r="S127" s="13">
        <f t="shared" si="27"/>
        <v>8</v>
      </c>
      <c r="T127" s="13">
        <f t="shared" si="27"/>
        <v>1</v>
      </c>
      <c r="U127" s="13">
        <f t="shared" si="27"/>
        <v>0</v>
      </c>
      <c r="V127" s="13">
        <f t="shared" si="27"/>
        <v>0</v>
      </c>
      <c r="W127" s="13">
        <f t="shared" si="27"/>
        <v>1</v>
      </c>
      <c r="X127" s="13">
        <f t="shared" si="27"/>
        <v>0</v>
      </c>
      <c r="Y127" s="13">
        <f t="shared" si="27"/>
        <v>1</v>
      </c>
      <c r="Z127" s="13">
        <f t="shared" si="27"/>
        <v>1</v>
      </c>
      <c r="AA127" s="13">
        <f t="shared" si="27"/>
        <v>0</v>
      </c>
      <c r="AB127" s="13">
        <f t="shared" si="27"/>
        <v>0</v>
      </c>
      <c r="AC127" s="13">
        <f t="shared" si="27"/>
        <v>24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78"/>
      <c r="W128" s="78"/>
      <c r="X128" s="78"/>
      <c r="Y128" s="78"/>
      <c r="Z128" s="78"/>
      <c r="AA128" s="78"/>
      <c r="AB128" s="78"/>
      <c r="AC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0.0</v>
      </c>
      <c r="H129" s="19">
        <v>0.0</v>
      </c>
      <c r="I129" s="19">
        <v>1.0</v>
      </c>
      <c r="J129" s="19">
        <v>0.0</v>
      </c>
      <c r="K129" s="19">
        <v>0.0</v>
      </c>
      <c r="L129" s="19">
        <v>0.0</v>
      </c>
      <c r="M129" s="19">
        <v>1.0</v>
      </c>
      <c r="N129" s="19">
        <v>0.0</v>
      </c>
      <c r="O129" s="19">
        <v>0.0</v>
      </c>
      <c r="P129" s="19">
        <v>0.0</v>
      </c>
      <c r="Q129" s="19">
        <v>0.0</v>
      </c>
      <c r="R129" s="19">
        <v>0.0</v>
      </c>
      <c r="S129" s="19">
        <v>0.0</v>
      </c>
      <c r="T129" s="19">
        <v>0.0</v>
      </c>
      <c r="U129" s="19">
        <v>1.0</v>
      </c>
      <c r="V129" s="19">
        <v>2.0</v>
      </c>
      <c r="W129" s="19">
        <v>0.0</v>
      </c>
      <c r="X129" s="19">
        <v>0.0</v>
      </c>
      <c r="Y129" s="19">
        <v>1.0</v>
      </c>
      <c r="Z129" s="19">
        <v>0.0</v>
      </c>
      <c r="AA129" s="19">
        <v>0.0</v>
      </c>
      <c r="AB129" s="19">
        <v>0.0</v>
      </c>
      <c r="AC129" s="13">
        <f t="shared" ref="AC129:AC138" si="28">SUM(E129:AB129)</f>
        <v>7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0.0</v>
      </c>
      <c r="G130" s="19">
        <v>0.0</v>
      </c>
      <c r="H130" s="19">
        <v>1.0</v>
      </c>
      <c r="I130" s="19">
        <v>0.0</v>
      </c>
      <c r="J130" s="19">
        <v>1.0</v>
      </c>
      <c r="K130" s="19">
        <v>0.0</v>
      </c>
      <c r="L130" s="19">
        <v>0.0</v>
      </c>
      <c r="M130" s="19">
        <v>1.0</v>
      </c>
      <c r="N130" s="19">
        <v>0.0</v>
      </c>
      <c r="O130" s="19">
        <v>1.0</v>
      </c>
      <c r="P130" s="19">
        <v>4.0</v>
      </c>
      <c r="Q130" s="19">
        <v>1.0</v>
      </c>
      <c r="R130" s="19">
        <v>0.0</v>
      </c>
      <c r="S130" s="19">
        <v>0.0</v>
      </c>
      <c r="T130" s="19">
        <v>0.0</v>
      </c>
      <c r="U130" s="19">
        <v>0.0</v>
      </c>
      <c r="V130" s="19">
        <v>1.0</v>
      </c>
      <c r="W130" s="19">
        <v>0.0</v>
      </c>
      <c r="X130" s="19">
        <v>1.0</v>
      </c>
      <c r="Y130" s="19">
        <v>1.0</v>
      </c>
      <c r="Z130" s="19">
        <v>0.0</v>
      </c>
      <c r="AA130" s="19">
        <v>1.0</v>
      </c>
      <c r="AB130" s="19">
        <v>0.0</v>
      </c>
      <c r="AC130" s="13">
        <f t="shared" si="28"/>
        <v>13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0.0</v>
      </c>
      <c r="G131" s="19">
        <v>1.0</v>
      </c>
      <c r="H131" s="19">
        <v>0.0</v>
      </c>
      <c r="I131" s="19">
        <v>0.0</v>
      </c>
      <c r="J131" s="19">
        <v>2.0</v>
      </c>
      <c r="K131" s="19">
        <v>1.0</v>
      </c>
      <c r="L131" s="19">
        <v>0.0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0.0</v>
      </c>
      <c r="W131" s="19">
        <v>0.0</v>
      </c>
      <c r="X131" s="19">
        <v>0.0</v>
      </c>
      <c r="Y131" s="19">
        <v>0.0</v>
      </c>
      <c r="Z131" s="19">
        <v>0.0</v>
      </c>
      <c r="AA131" s="19">
        <v>0.0</v>
      </c>
      <c r="AB131" s="19">
        <v>0.0</v>
      </c>
      <c r="AC131" s="13">
        <f t="shared" si="28"/>
        <v>7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1.0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1.0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3">
        <f t="shared" si="28"/>
        <v>3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1.0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0.0</v>
      </c>
      <c r="AB133" s="19">
        <v>0.0</v>
      </c>
      <c r="AC133" s="13">
        <f t="shared" si="28"/>
        <v>1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1.0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3">
        <f t="shared" si="28"/>
        <v>1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AC139" si="29">SUM(E129:E138)</f>
        <v>2</v>
      </c>
      <c r="F139" s="13">
        <f t="shared" si="29"/>
        <v>0</v>
      </c>
      <c r="G139" s="13">
        <f t="shared" si="29"/>
        <v>3</v>
      </c>
      <c r="H139" s="13">
        <f t="shared" si="29"/>
        <v>1</v>
      </c>
      <c r="I139" s="13">
        <f t="shared" si="29"/>
        <v>1</v>
      </c>
      <c r="J139" s="13">
        <f t="shared" si="29"/>
        <v>6</v>
      </c>
      <c r="K139" s="13">
        <f t="shared" si="29"/>
        <v>1</v>
      </c>
      <c r="L139" s="13">
        <f t="shared" si="29"/>
        <v>0</v>
      </c>
      <c r="M139" s="13">
        <f t="shared" si="29"/>
        <v>2</v>
      </c>
      <c r="N139" s="13">
        <f t="shared" si="29"/>
        <v>1</v>
      </c>
      <c r="O139" s="13">
        <f t="shared" si="29"/>
        <v>1</v>
      </c>
      <c r="P139" s="13">
        <f t="shared" si="29"/>
        <v>4</v>
      </c>
      <c r="Q139" s="13">
        <f t="shared" si="29"/>
        <v>1</v>
      </c>
      <c r="R139" s="13">
        <f t="shared" si="29"/>
        <v>1</v>
      </c>
      <c r="S139" s="13">
        <f t="shared" si="29"/>
        <v>0</v>
      </c>
      <c r="T139" s="13">
        <f t="shared" si="29"/>
        <v>0</v>
      </c>
      <c r="U139" s="13">
        <f t="shared" si="29"/>
        <v>1</v>
      </c>
      <c r="V139" s="13">
        <f t="shared" si="29"/>
        <v>3</v>
      </c>
      <c r="W139" s="13">
        <f t="shared" si="29"/>
        <v>1</v>
      </c>
      <c r="X139" s="13">
        <f t="shared" si="29"/>
        <v>1</v>
      </c>
      <c r="Y139" s="13">
        <f t="shared" si="29"/>
        <v>2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33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  <c r="U140" s="78"/>
      <c r="V140" s="78"/>
      <c r="W140" s="78"/>
      <c r="X140" s="78"/>
      <c r="Y140" s="78"/>
      <c r="Z140" s="78"/>
      <c r="AA140" s="78"/>
      <c r="AB140" s="78"/>
      <c r="AC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1.0</v>
      </c>
      <c r="N141" s="19">
        <v>0.0</v>
      </c>
      <c r="O141" s="19">
        <v>0.0</v>
      </c>
      <c r="P141" s="19">
        <v>1.0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1.0</v>
      </c>
      <c r="X141" s="19">
        <v>0.0</v>
      </c>
      <c r="Y141" s="19">
        <v>0.0</v>
      </c>
      <c r="Z141" s="19">
        <v>0.0</v>
      </c>
      <c r="AA141" s="19">
        <v>0.0</v>
      </c>
      <c r="AB141" s="19"/>
      <c r="AC141" s="13">
        <f t="shared" ref="AC141:AC150" si="30">SUM(E141:AB141)</f>
        <v>3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/>
      <c r="AC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1.0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0.0</v>
      </c>
      <c r="Z143" s="19">
        <v>0.0</v>
      </c>
      <c r="AA143" s="19">
        <v>0.0</v>
      </c>
      <c r="AB143" s="19"/>
      <c r="AC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/>
      <c r="AC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/>
      <c r="AC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0.0</v>
      </c>
      <c r="Z146" s="19">
        <v>0.0</v>
      </c>
      <c r="AA146" s="19">
        <v>0.0</v>
      </c>
      <c r="AB146" s="19"/>
      <c r="AC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/>
      <c r="AC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/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/>
      <c r="AC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C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1"/>
        <v>1</v>
      </c>
      <c r="O151" s="13">
        <f t="shared" si="31"/>
        <v>0</v>
      </c>
      <c r="P151" s="13">
        <f t="shared" si="31"/>
        <v>1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1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4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78"/>
      <c r="W152" s="78"/>
      <c r="X152" s="78"/>
      <c r="Y152" s="78"/>
      <c r="Z152" s="78"/>
      <c r="AA152" s="78"/>
      <c r="AB152" s="78"/>
      <c r="AC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2.0</v>
      </c>
      <c r="J153" s="19">
        <v>1.0</v>
      </c>
      <c r="K153" s="19">
        <v>1.0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/>
      <c r="AC153" s="13">
        <f t="shared" ref="AC153:AC157" si="32">SUM(E153:AB153)</f>
        <v>4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4.0</v>
      </c>
      <c r="F154" s="19">
        <v>0.0</v>
      </c>
      <c r="G154" s="19">
        <v>0.0</v>
      </c>
      <c r="H154" s="19">
        <v>0.0</v>
      </c>
      <c r="I154" s="19">
        <v>5.0</v>
      </c>
      <c r="J154" s="19">
        <v>1.0</v>
      </c>
      <c r="K154" s="19">
        <v>1.0</v>
      </c>
      <c r="L154" s="19">
        <v>0.0</v>
      </c>
      <c r="M154" s="19">
        <v>1.0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1.0</v>
      </c>
      <c r="X154" s="19">
        <v>0.0</v>
      </c>
      <c r="Y154" s="19">
        <v>0.0</v>
      </c>
      <c r="Z154" s="19">
        <v>1.0</v>
      </c>
      <c r="AA154" s="19">
        <v>0.0</v>
      </c>
      <c r="AB154" s="19"/>
      <c r="AC154" s="13">
        <f t="shared" si="32"/>
        <v>14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2.0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1.0</v>
      </c>
      <c r="M155" s="19">
        <v>1.0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0.0</v>
      </c>
      <c r="T155" s="19">
        <v>0.0</v>
      </c>
      <c r="U155" s="19">
        <v>0.0</v>
      </c>
      <c r="V155" s="19">
        <v>1.0</v>
      </c>
      <c r="W155" s="19">
        <v>0.0</v>
      </c>
      <c r="X155" s="19">
        <v>0.0</v>
      </c>
      <c r="Y155" s="19">
        <v>0.0</v>
      </c>
      <c r="Z155" s="19">
        <v>0.0</v>
      </c>
      <c r="AA155" s="19">
        <v>0.0</v>
      </c>
      <c r="AB155" s="19"/>
      <c r="AC155" s="13">
        <f t="shared" si="32"/>
        <v>5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1.0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1.0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/>
      <c r="AC156" s="13">
        <f t="shared" si="32"/>
        <v>2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/>
      <c r="AC157" s="13">
        <f t="shared" si="32"/>
        <v>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3">
        <f t="shared" ref="AC158:AC162" si="33">SUM(E164:AB164)</f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3">
        <f t="shared" si="33"/>
        <v>3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3">
        <f t="shared" si="33"/>
        <v>1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AC163" si="34">SUM(E153:E162)</f>
        <v>7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7</v>
      </c>
      <c r="J163" s="13">
        <f t="shared" si="34"/>
        <v>2</v>
      </c>
      <c r="K163" s="13">
        <f t="shared" si="34"/>
        <v>2</v>
      </c>
      <c r="L163" s="13">
        <f t="shared" si="34"/>
        <v>1</v>
      </c>
      <c r="M163" s="13">
        <f t="shared" si="34"/>
        <v>3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0</v>
      </c>
      <c r="AB163" s="13">
        <f t="shared" si="34"/>
        <v>0</v>
      </c>
      <c r="AC163" s="13">
        <f t="shared" si="34"/>
        <v>30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  <c r="U164" s="78"/>
      <c r="V164" s="78"/>
      <c r="W164" s="78"/>
      <c r="X164" s="78"/>
      <c r="Y164" s="78"/>
      <c r="Z164" s="78"/>
      <c r="AA164" s="78"/>
      <c r="AB164" s="78"/>
      <c r="AC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1.0</v>
      </c>
      <c r="R165" s="19">
        <v>1.0</v>
      </c>
      <c r="S165" s="19">
        <v>0.0</v>
      </c>
      <c r="T165" s="19">
        <v>0.0</v>
      </c>
      <c r="U165" s="19">
        <v>0.0</v>
      </c>
      <c r="V165" s="19">
        <v>0.0</v>
      </c>
      <c r="W165" s="19">
        <v>0.0</v>
      </c>
      <c r="X165" s="19">
        <v>0.0</v>
      </c>
      <c r="Y165" s="19">
        <v>0.0</v>
      </c>
      <c r="Z165" s="19">
        <v>1.0</v>
      </c>
      <c r="AA165" s="19">
        <v>0.0</v>
      </c>
      <c r="AB165" s="19">
        <v>0.0</v>
      </c>
      <c r="AC165" s="13">
        <f t="shared" ref="AC165:AC174" si="35">SUM(E165:AB165)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3">
        <f t="shared" si="35"/>
        <v>1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1.0</v>
      </c>
      <c r="V167" s="19">
        <v>0.0</v>
      </c>
      <c r="W167" s="19">
        <v>0.0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1.0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3">
        <f t="shared" si="35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1.0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3">
        <f t="shared" si="35"/>
        <v>1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AC175" si="36">SUM(E165:E174)</f>
        <v>1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2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1</v>
      </c>
      <c r="AA175" s="13">
        <f t="shared" si="36"/>
        <v>0</v>
      </c>
      <c r="AB175" s="13">
        <f t="shared" si="36"/>
        <v>0</v>
      </c>
      <c r="AC175" s="13">
        <f t="shared" si="36"/>
        <v>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  <c r="U176" s="78"/>
      <c r="V176" s="78"/>
      <c r="W176" s="78"/>
      <c r="X176" s="78"/>
      <c r="Y176" s="78"/>
      <c r="Z176" s="78"/>
      <c r="AA176" s="78"/>
      <c r="AB176" s="78"/>
      <c r="AC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1.0</v>
      </c>
      <c r="K177" s="19">
        <v>1.0</v>
      </c>
      <c r="L177" s="19">
        <v>0.0</v>
      </c>
      <c r="M177" s="19">
        <v>0.0</v>
      </c>
      <c r="N177" s="19">
        <v>2.0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9">
        <v>0.0</v>
      </c>
      <c r="U177" s="19">
        <v>0.0</v>
      </c>
      <c r="V177" s="19">
        <v>1.0</v>
      </c>
      <c r="W177" s="19">
        <v>1.0</v>
      </c>
      <c r="X177" s="19">
        <v>0.0</v>
      </c>
      <c r="Y177" s="19">
        <v>0.0</v>
      </c>
      <c r="Z177" s="19">
        <v>0.0</v>
      </c>
      <c r="AA177" s="19">
        <v>1.0</v>
      </c>
      <c r="AB177" s="19">
        <v>1.0</v>
      </c>
      <c r="AC177" s="13">
        <f t="shared" ref="AC177:AC186" si="37">SUM(E177:AB177)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1.0</v>
      </c>
      <c r="I178" s="19">
        <v>0.0</v>
      </c>
      <c r="J178" s="19">
        <v>1.0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1.0</v>
      </c>
      <c r="W178" s="19">
        <v>0.0</v>
      </c>
      <c r="X178" s="19">
        <v>0.0</v>
      </c>
      <c r="Y178" s="19">
        <v>0.0</v>
      </c>
      <c r="Z178" s="19">
        <v>0.0</v>
      </c>
      <c r="AA178" s="19">
        <v>1.0</v>
      </c>
      <c r="AB178" s="19">
        <v>1.0</v>
      </c>
      <c r="AC178" s="13">
        <f t="shared" si="37"/>
        <v>8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1.0</v>
      </c>
      <c r="P179" s="19">
        <v>0.0</v>
      </c>
      <c r="Q179" s="19">
        <v>0.0</v>
      </c>
      <c r="R179" s="19">
        <v>0.0</v>
      </c>
      <c r="S179" s="19">
        <v>1.0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0.0</v>
      </c>
      <c r="Z179" s="19">
        <v>0.0</v>
      </c>
      <c r="AA179" s="19">
        <v>0.0</v>
      </c>
      <c r="AB179" s="19">
        <v>0.0</v>
      </c>
      <c r="AC179" s="13">
        <f t="shared" si="37"/>
        <v>2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1.0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0.0</v>
      </c>
      <c r="V180" s="19">
        <v>1.0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3">
        <f t="shared" si="37"/>
        <v>3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1.0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0.0</v>
      </c>
      <c r="X181" s="19">
        <v>1.0</v>
      </c>
      <c r="Y181" s="19">
        <v>0.0</v>
      </c>
      <c r="Z181" s="19">
        <v>0.0</v>
      </c>
      <c r="AA181" s="19">
        <v>0.0</v>
      </c>
      <c r="AB181" s="19">
        <v>0.0</v>
      </c>
      <c r="AC181" s="13">
        <f t="shared" si="37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0.0</v>
      </c>
      <c r="Y182" s="19">
        <v>0.0</v>
      </c>
      <c r="Z182" s="19">
        <v>0.0</v>
      </c>
      <c r="AA182" s="19">
        <v>0.0</v>
      </c>
      <c r="AB182" s="19">
        <v>0.0</v>
      </c>
      <c r="AC182" s="13">
        <f t="shared" si="37"/>
        <v>1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3">
        <f t="shared" si="37"/>
        <v>0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38">SUM(E177:E186)</f>
        <v>0</v>
      </c>
      <c r="F187" s="13">
        <f t="shared" si="38"/>
        <v>0</v>
      </c>
      <c r="G187" s="13">
        <f t="shared" si="38"/>
        <v>2</v>
      </c>
      <c r="H187" s="13">
        <f t="shared" si="38"/>
        <v>1</v>
      </c>
      <c r="I187" s="13">
        <f t="shared" si="38"/>
        <v>0</v>
      </c>
      <c r="J187" s="13">
        <f t="shared" si="38"/>
        <v>3</v>
      </c>
      <c r="K187" s="13">
        <f t="shared" si="38"/>
        <v>1</v>
      </c>
      <c r="L187" s="13">
        <f t="shared" si="38"/>
        <v>0</v>
      </c>
      <c r="M187" s="13">
        <f t="shared" si="38"/>
        <v>1</v>
      </c>
      <c r="N187" s="13">
        <f t="shared" si="38"/>
        <v>2</v>
      </c>
      <c r="O187" s="13">
        <f t="shared" si="38"/>
        <v>1</v>
      </c>
      <c r="P187" s="13">
        <f t="shared" si="38"/>
        <v>0</v>
      </c>
      <c r="Q187" s="13">
        <f t="shared" si="38"/>
        <v>1</v>
      </c>
      <c r="R187" s="13">
        <f t="shared" si="38"/>
        <v>0</v>
      </c>
      <c r="S187" s="13">
        <f t="shared" si="38"/>
        <v>2</v>
      </c>
      <c r="T187" s="13">
        <f t="shared" si="38"/>
        <v>1</v>
      </c>
      <c r="U187" s="13">
        <f t="shared" si="38"/>
        <v>0</v>
      </c>
      <c r="V187" s="13">
        <f t="shared" si="38"/>
        <v>3</v>
      </c>
      <c r="W187" s="13">
        <f t="shared" si="38"/>
        <v>1</v>
      </c>
      <c r="X187" s="13">
        <f t="shared" si="38"/>
        <v>1</v>
      </c>
      <c r="Y187" s="13">
        <f t="shared" si="38"/>
        <v>0</v>
      </c>
      <c r="Z187" s="13">
        <f t="shared" si="38"/>
        <v>0</v>
      </c>
      <c r="AA187" s="13">
        <f t="shared" si="38"/>
        <v>2</v>
      </c>
      <c r="AB187" s="13">
        <f t="shared" si="38"/>
        <v>2</v>
      </c>
      <c r="AC187" s="13">
        <f t="shared" si="38"/>
        <v>24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O188" s="78"/>
      <c r="P188" s="78"/>
      <c r="Q188" s="78"/>
      <c r="R188" s="78"/>
      <c r="S188" s="78"/>
      <c r="T188" s="78"/>
      <c r="U188" s="78"/>
      <c r="V188" s="78"/>
      <c r="W188" s="78"/>
      <c r="X188" s="78"/>
      <c r="Y188" s="78"/>
      <c r="Z188" s="78"/>
      <c r="AA188" s="78"/>
      <c r="AB188" s="78"/>
      <c r="AC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1.0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1.0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3">
        <f t="shared" ref="AC189:AC198" si="39">SUM(E189:AB189)</f>
        <v>4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0.0</v>
      </c>
      <c r="AA190" s="19">
        <v>2.0</v>
      </c>
      <c r="AB190" s="19">
        <v>0.0</v>
      </c>
      <c r="AC190" s="13">
        <f t="shared" si="39"/>
        <v>2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1.0</v>
      </c>
      <c r="Y191" s="19">
        <v>0.0</v>
      </c>
      <c r="Z191" s="19">
        <v>1.0</v>
      </c>
      <c r="AA191" s="19">
        <v>0.0</v>
      </c>
      <c r="AB191" s="19">
        <v>0.0</v>
      </c>
      <c r="AC191" s="13">
        <f t="shared" si="39"/>
        <v>2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0.0</v>
      </c>
      <c r="Z193" s="19">
        <v>0.0</v>
      </c>
      <c r="AA193" s="19">
        <v>0.0</v>
      </c>
      <c r="AB193" s="19">
        <v>0.0</v>
      </c>
      <c r="AC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1.0</v>
      </c>
      <c r="Y196" s="19">
        <v>0.0</v>
      </c>
      <c r="Z196" s="19">
        <v>0.0</v>
      </c>
      <c r="AA196" s="19">
        <v>0.0</v>
      </c>
      <c r="AB196" s="19">
        <v>0.0</v>
      </c>
      <c r="AC196" s="13">
        <f t="shared" si="39"/>
        <v>1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AC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1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0</v>
      </c>
      <c r="X199" s="13">
        <f t="shared" si="40"/>
        <v>2</v>
      </c>
      <c r="Y199" s="13">
        <f t="shared" si="40"/>
        <v>1</v>
      </c>
      <c r="Z199" s="13">
        <f t="shared" si="40"/>
        <v>1</v>
      </c>
      <c r="AA199" s="13">
        <f t="shared" si="40"/>
        <v>2</v>
      </c>
      <c r="AB199" s="13">
        <f t="shared" si="40"/>
        <v>0</v>
      </c>
      <c r="AC199" s="13">
        <f t="shared" si="40"/>
        <v>9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  <c r="U200" s="78"/>
      <c r="V200" s="78"/>
      <c r="W200" s="78"/>
      <c r="X200" s="78"/>
      <c r="Y200" s="78"/>
      <c r="Z200" s="78"/>
      <c r="AA200" s="78"/>
      <c r="AB200" s="78"/>
      <c r="AC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3.0</v>
      </c>
      <c r="G201" s="19">
        <v>2.0</v>
      </c>
      <c r="H201" s="19">
        <v>1.0</v>
      </c>
      <c r="I201" s="19">
        <v>3.0</v>
      </c>
      <c r="J201" s="19">
        <v>4.0</v>
      </c>
      <c r="K201" s="19">
        <v>5.0</v>
      </c>
      <c r="L201" s="19">
        <v>6.0</v>
      </c>
      <c r="M201" s="19">
        <v>1.0</v>
      </c>
      <c r="N201" s="19">
        <v>4.0</v>
      </c>
      <c r="O201" s="19">
        <v>0.0</v>
      </c>
      <c r="P201" s="19">
        <v>1.0</v>
      </c>
      <c r="Q201" s="19">
        <v>1.0</v>
      </c>
      <c r="R201" s="19">
        <v>1.0</v>
      </c>
      <c r="S201" s="19">
        <v>4.0</v>
      </c>
      <c r="T201" s="19">
        <v>3.0</v>
      </c>
      <c r="U201" s="19">
        <v>3.0</v>
      </c>
      <c r="V201" s="19">
        <v>1.0</v>
      </c>
      <c r="W201" s="19">
        <v>1.0</v>
      </c>
      <c r="X201" s="19">
        <v>3.0</v>
      </c>
      <c r="Y201" s="19">
        <v>0.0</v>
      </c>
      <c r="Z201" s="19">
        <v>3.0</v>
      </c>
      <c r="AA201" s="19">
        <v>2.0</v>
      </c>
      <c r="AB201" s="19">
        <v>1.0</v>
      </c>
      <c r="AC201" s="13">
        <f t="shared" ref="AC201:AC210" si="41">SUM(E201:AB201)</f>
        <v>54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4.0</v>
      </c>
      <c r="G202" s="19">
        <v>2.0</v>
      </c>
      <c r="H202" s="19">
        <v>9.0</v>
      </c>
      <c r="I202" s="19">
        <v>4.0</v>
      </c>
      <c r="J202" s="19">
        <v>1.0</v>
      </c>
      <c r="K202" s="19">
        <v>8.0</v>
      </c>
      <c r="L202" s="19">
        <v>7.0</v>
      </c>
      <c r="M202" s="19">
        <v>3.0</v>
      </c>
      <c r="N202" s="19">
        <v>7.0</v>
      </c>
      <c r="O202" s="19">
        <v>3.0</v>
      </c>
      <c r="P202" s="19">
        <v>1.0</v>
      </c>
      <c r="Q202" s="19">
        <v>0.0</v>
      </c>
      <c r="R202" s="19">
        <v>2.0</v>
      </c>
      <c r="S202" s="19">
        <v>3.0</v>
      </c>
      <c r="T202" s="19">
        <v>2.0</v>
      </c>
      <c r="U202" s="19">
        <v>0.0</v>
      </c>
      <c r="V202" s="19">
        <v>8.0</v>
      </c>
      <c r="W202" s="19">
        <v>3.0</v>
      </c>
      <c r="X202" s="19">
        <v>6.0</v>
      </c>
      <c r="Y202" s="19">
        <v>1.0</v>
      </c>
      <c r="Z202" s="19">
        <v>4.0</v>
      </c>
      <c r="AA202" s="19">
        <v>1.0</v>
      </c>
      <c r="AB202" s="19">
        <v>0.0</v>
      </c>
      <c r="AC202" s="13">
        <f t="shared" si="41"/>
        <v>79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0.0</v>
      </c>
      <c r="I203" s="19">
        <v>10.0</v>
      </c>
      <c r="J203" s="19">
        <v>3.0</v>
      </c>
      <c r="K203" s="19">
        <v>9.0</v>
      </c>
      <c r="L203" s="19">
        <v>1.0</v>
      </c>
      <c r="M203" s="19">
        <v>0.0</v>
      </c>
      <c r="N203" s="19">
        <v>0.0</v>
      </c>
      <c r="O203" s="19">
        <v>0.0</v>
      </c>
      <c r="P203" s="19">
        <v>0.0</v>
      </c>
      <c r="Q203" s="19">
        <v>2.0</v>
      </c>
      <c r="R203" s="19">
        <v>0.0</v>
      </c>
      <c r="S203" s="19">
        <v>0.0</v>
      </c>
      <c r="T203" s="19">
        <v>0.0</v>
      </c>
      <c r="U203" s="19">
        <v>1.0</v>
      </c>
      <c r="V203" s="19">
        <v>0.0</v>
      </c>
      <c r="W203" s="19">
        <v>1.0</v>
      </c>
      <c r="X203" s="19">
        <v>1.0</v>
      </c>
      <c r="Y203" s="19">
        <v>1.0</v>
      </c>
      <c r="Z203" s="19">
        <v>2.0</v>
      </c>
      <c r="AA203" s="19">
        <v>0.0</v>
      </c>
      <c r="AB203" s="19">
        <v>0.0</v>
      </c>
      <c r="AC203" s="13">
        <f t="shared" si="41"/>
        <v>31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3.0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1.0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0.0</v>
      </c>
      <c r="Y204" s="19">
        <v>0.0</v>
      </c>
      <c r="Z204" s="19">
        <v>0.0</v>
      </c>
      <c r="AA204" s="19">
        <v>0.0</v>
      </c>
      <c r="AB204" s="19">
        <v>0.0</v>
      </c>
      <c r="AC204" s="13">
        <f t="shared" si="41"/>
        <v>5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1.0</v>
      </c>
      <c r="N205" s="19">
        <v>0.0</v>
      </c>
      <c r="O205" s="19">
        <v>0.0</v>
      </c>
      <c r="P205" s="19">
        <v>0.0</v>
      </c>
      <c r="Q205" s="19">
        <v>0.0</v>
      </c>
      <c r="R205" s="19">
        <v>0.0</v>
      </c>
      <c r="S205" s="19">
        <v>0.0</v>
      </c>
      <c r="T205" s="19">
        <v>0.0</v>
      </c>
      <c r="U205" s="19">
        <v>0.0</v>
      </c>
      <c r="V205" s="19">
        <v>1.0</v>
      </c>
      <c r="W205" s="19">
        <v>0.0</v>
      </c>
      <c r="X205" s="19">
        <v>0.0</v>
      </c>
      <c r="Y205" s="19">
        <v>0.0</v>
      </c>
      <c r="Z205" s="19">
        <v>0.0</v>
      </c>
      <c r="AA205" s="19">
        <v>1.0</v>
      </c>
      <c r="AB205" s="19">
        <v>0.0</v>
      </c>
      <c r="AC205" s="13">
        <f t="shared" si="41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1.0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9">
        <v>0.0</v>
      </c>
      <c r="T206" s="19">
        <v>0.0</v>
      </c>
      <c r="U206" s="19">
        <v>2.0</v>
      </c>
      <c r="V206" s="19">
        <v>0.0</v>
      </c>
      <c r="W206" s="19">
        <v>0.0</v>
      </c>
      <c r="X206" s="19">
        <v>1.0</v>
      </c>
      <c r="Y206" s="19">
        <v>0.0</v>
      </c>
      <c r="Z206" s="19">
        <v>0.0</v>
      </c>
      <c r="AA206" s="19">
        <v>0.0</v>
      </c>
      <c r="AB206" s="19">
        <v>0.0</v>
      </c>
      <c r="AC206" s="13">
        <f t="shared" si="41"/>
        <v>5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1.0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3">
        <f t="shared" si="41"/>
        <v>1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2.0</v>
      </c>
      <c r="K208" s="19">
        <v>0.0</v>
      </c>
      <c r="L208" s="19">
        <v>0.0</v>
      </c>
      <c r="M208" s="19">
        <v>1.0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9">
        <v>0.0</v>
      </c>
      <c r="X208" s="19">
        <v>1.0</v>
      </c>
      <c r="Y208" s="19">
        <v>0.0</v>
      </c>
      <c r="Z208" s="19">
        <v>0.0</v>
      </c>
      <c r="AA208" s="19">
        <v>0.0</v>
      </c>
      <c r="AB208" s="19">
        <v>0.0</v>
      </c>
      <c r="AC208" s="13">
        <f t="shared" si="41"/>
        <v>4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AC211" si="42">SUM(E201:E210)</f>
        <v>4</v>
      </c>
      <c r="F211" s="13">
        <f t="shared" si="42"/>
        <v>7</v>
      </c>
      <c r="G211" s="13">
        <f t="shared" si="42"/>
        <v>4</v>
      </c>
      <c r="H211" s="13">
        <f t="shared" si="42"/>
        <v>10</v>
      </c>
      <c r="I211" s="13">
        <f t="shared" si="42"/>
        <v>17</v>
      </c>
      <c r="J211" s="13">
        <f t="shared" si="42"/>
        <v>12</v>
      </c>
      <c r="K211" s="13">
        <f t="shared" si="42"/>
        <v>23</v>
      </c>
      <c r="L211" s="13">
        <f t="shared" si="42"/>
        <v>15</v>
      </c>
      <c r="M211" s="13">
        <f t="shared" si="42"/>
        <v>6</v>
      </c>
      <c r="N211" s="13">
        <f t="shared" si="42"/>
        <v>11</v>
      </c>
      <c r="O211" s="13">
        <f t="shared" si="42"/>
        <v>4</v>
      </c>
      <c r="P211" s="13">
        <f t="shared" si="42"/>
        <v>3</v>
      </c>
      <c r="Q211" s="13">
        <f t="shared" si="42"/>
        <v>3</v>
      </c>
      <c r="R211" s="13">
        <f t="shared" si="42"/>
        <v>3</v>
      </c>
      <c r="S211" s="13">
        <f t="shared" si="42"/>
        <v>7</v>
      </c>
      <c r="T211" s="13">
        <f t="shared" si="42"/>
        <v>5</v>
      </c>
      <c r="U211" s="13">
        <f t="shared" si="42"/>
        <v>6</v>
      </c>
      <c r="V211" s="13">
        <f t="shared" si="42"/>
        <v>10</v>
      </c>
      <c r="W211" s="13">
        <f t="shared" si="42"/>
        <v>5</v>
      </c>
      <c r="X211" s="13">
        <f t="shared" si="42"/>
        <v>12</v>
      </c>
      <c r="Y211" s="13">
        <f t="shared" si="42"/>
        <v>2</v>
      </c>
      <c r="Z211" s="13">
        <f t="shared" si="42"/>
        <v>9</v>
      </c>
      <c r="AA211" s="13">
        <f t="shared" si="42"/>
        <v>4</v>
      </c>
      <c r="AB211" s="13">
        <f t="shared" si="42"/>
        <v>1</v>
      </c>
      <c r="AC211" s="13">
        <f t="shared" si="42"/>
        <v>183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  <c r="U212" s="78"/>
      <c r="V212" s="78"/>
      <c r="W212" s="78"/>
      <c r="X212" s="78"/>
      <c r="Y212" s="78"/>
      <c r="Z212" s="78"/>
      <c r="AA212" s="78"/>
      <c r="AB212" s="78"/>
      <c r="AC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3.0</v>
      </c>
      <c r="G213" s="19">
        <v>1.0</v>
      </c>
      <c r="H213" s="19">
        <v>1.0</v>
      </c>
      <c r="I213" s="19">
        <v>0.0</v>
      </c>
      <c r="J213" s="19">
        <v>0.0</v>
      </c>
      <c r="K213" s="19">
        <v>1.0</v>
      </c>
      <c r="L213" s="19">
        <v>0.0</v>
      </c>
      <c r="M213" s="19">
        <v>1.0</v>
      </c>
      <c r="N213" s="19">
        <v>2.0</v>
      </c>
      <c r="O213" s="19">
        <v>0.0</v>
      </c>
      <c r="P213" s="19">
        <v>0.0</v>
      </c>
      <c r="Q213" s="19">
        <v>1.0</v>
      </c>
      <c r="R213" s="19">
        <v>0.0</v>
      </c>
      <c r="S213" s="19">
        <v>0.0</v>
      </c>
      <c r="T213" s="19">
        <v>2.0</v>
      </c>
      <c r="U213" s="19">
        <v>1.0</v>
      </c>
      <c r="V213" s="19">
        <v>4.0</v>
      </c>
      <c r="W213" s="19">
        <v>5.0</v>
      </c>
      <c r="X213" s="19">
        <v>0.0</v>
      </c>
      <c r="Y213" s="19">
        <v>0.0</v>
      </c>
      <c r="Z213" s="19">
        <v>0.0</v>
      </c>
      <c r="AA213" s="19">
        <v>2.0</v>
      </c>
      <c r="AB213" s="19">
        <v>0.0</v>
      </c>
      <c r="AC213" s="13">
        <f t="shared" ref="AC213:AC222" si="43">SUM(E213:AB213)</f>
        <v>24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1.0</v>
      </c>
      <c r="G214" s="19">
        <v>1.0</v>
      </c>
      <c r="H214" s="19">
        <v>0.0</v>
      </c>
      <c r="I214" s="19">
        <v>2.0</v>
      </c>
      <c r="J214" s="19">
        <v>0.0</v>
      </c>
      <c r="K214" s="19">
        <v>0.0</v>
      </c>
      <c r="L214" s="19">
        <v>2.0</v>
      </c>
      <c r="M214" s="19">
        <v>2.0</v>
      </c>
      <c r="N214" s="19">
        <v>0.0</v>
      </c>
      <c r="O214" s="19">
        <v>0.0</v>
      </c>
      <c r="P214" s="19">
        <v>0.0</v>
      </c>
      <c r="Q214" s="19">
        <v>0.0</v>
      </c>
      <c r="R214" s="19">
        <v>1.0</v>
      </c>
      <c r="S214" s="19">
        <v>0.0</v>
      </c>
      <c r="T214" s="19">
        <v>0.0</v>
      </c>
      <c r="U214" s="19">
        <v>1.0</v>
      </c>
      <c r="V214" s="19">
        <v>0.0</v>
      </c>
      <c r="W214" s="19">
        <v>0.0</v>
      </c>
      <c r="X214" s="19">
        <v>0.0</v>
      </c>
      <c r="Y214" s="19">
        <v>0.0</v>
      </c>
      <c r="Z214" s="19">
        <v>0.0</v>
      </c>
      <c r="AA214" s="19">
        <v>1.0</v>
      </c>
      <c r="AB214" s="19">
        <v>1.0</v>
      </c>
      <c r="AC214" s="13">
        <f t="shared" si="43"/>
        <v>12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8.0</v>
      </c>
      <c r="F215" s="19">
        <v>8.0</v>
      </c>
      <c r="G215" s="19">
        <v>7.0</v>
      </c>
      <c r="H215" s="19">
        <v>12.0</v>
      </c>
      <c r="I215" s="19">
        <v>15.0</v>
      </c>
      <c r="J215" s="19">
        <v>18.0</v>
      </c>
      <c r="K215" s="19">
        <v>0.0</v>
      </c>
      <c r="L215" s="19">
        <v>1.0</v>
      </c>
      <c r="M215" s="19">
        <v>1.0</v>
      </c>
      <c r="N215" s="19">
        <v>3.0</v>
      </c>
      <c r="O215" s="19">
        <v>0.0</v>
      </c>
      <c r="P215" s="19">
        <v>1.0</v>
      </c>
      <c r="Q215" s="19">
        <v>0.0</v>
      </c>
      <c r="R215" s="19">
        <v>3.0</v>
      </c>
      <c r="S215" s="19">
        <v>4.0</v>
      </c>
      <c r="T215" s="19">
        <v>1.0</v>
      </c>
      <c r="U215" s="19">
        <v>3.0</v>
      </c>
      <c r="V215" s="19">
        <v>3.0</v>
      </c>
      <c r="W215" s="19">
        <v>0.0</v>
      </c>
      <c r="X215" s="19">
        <v>0.0</v>
      </c>
      <c r="Y215" s="19">
        <v>0.0</v>
      </c>
      <c r="Z215" s="19">
        <v>0.0</v>
      </c>
      <c r="AA215" s="19">
        <v>1.0</v>
      </c>
      <c r="AB215" s="19">
        <v>0.0</v>
      </c>
      <c r="AC215" s="13">
        <f t="shared" si="43"/>
        <v>89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1.0</v>
      </c>
      <c r="H216" s="19">
        <v>0.0</v>
      </c>
      <c r="I216" s="19">
        <v>0.0</v>
      </c>
      <c r="J216" s="19">
        <v>0.0</v>
      </c>
      <c r="K216" s="19">
        <v>0.0</v>
      </c>
      <c r="L216" s="19">
        <v>2.0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9">
        <v>0.0</v>
      </c>
      <c r="U216" s="19">
        <v>0.0</v>
      </c>
      <c r="V216" s="19">
        <v>0.0</v>
      </c>
      <c r="W216" s="19">
        <v>0.0</v>
      </c>
      <c r="X216" s="19">
        <v>1.0</v>
      </c>
      <c r="Y216" s="19">
        <v>0.0</v>
      </c>
      <c r="Z216" s="19">
        <v>0.0</v>
      </c>
      <c r="AA216" s="19">
        <v>0.0</v>
      </c>
      <c r="AB216" s="19">
        <v>0.0</v>
      </c>
      <c r="AC216" s="13">
        <f t="shared" si="43"/>
        <v>4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1.0</v>
      </c>
      <c r="F217" s="19">
        <v>0.0</v>
      </c>
      <c r="G217" s="19">
        <v>1.0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3">
        <f t="shared" si="43"/>
        <v>3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1.0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1.0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3">
        <f t="shared" si="43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1.0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3">
        <f t="shared" si="43"/>
        <v>1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AC223" si="44">SUM(E213:E222)</f>
        <v>9</v>
      </c>
      <c r="F223" s="13">
        <f t="shared" si="44"/>
        <v>12</v>
      </c>
      <c r="G223" s="13">
        <f t="shared" si="44"/>
        <v>11</v>
      </c>
      <c r="H223" s="13">
        <f t="shared" si="44"/>
        <v>13</v>
      </c>
      <c r="I223" s="13">
        <f t="shared" si="44"/>
        <v>17</v>
      </c>
      <c r="J223" s="13">
        <f t="shared" si="44"/>
        <v>19</v>
      </c>
      <c r="K223" s="13">
        <f t="shared" si="44"/>
        <v>1</v>
      </c>
      <c r="L223" s="13">
        <f t="shared" si="44"/>
        <v>6</v>
      </c>
      <c r="M223" s="13">
        <f t="shared" si="44"/>
        <v>4</v>
      </c>
      <c r="N223" s="13">
        <f t="shared" si="44"/>
        <v>5</v>
      </c>
      <c r="O223" s="13">
        <f t="shared" si="44"/>
        <v>0</v>
      </c>
      <c r="P223" s="13">
        <f t="shared" si="44"/>
        <v>1</v>
      </c>
      <c r="Q223" s="13">
        <f t="shared" si="44"/>
        <v>1</v>
      </c>
      <c r="R223" s="13">
        <f t="shared" si="44"/>
        <v>4</v>
      </c>
      <c r="S223" s="13">
        <f t="shared" si="44"/>
        <v>6</v>
      </c>
      <c r="T223" s="13">
        <f t="shared" si="44"/>
        <v>3</v>
      </c>
      <c r="U223" s="13">
        <f t="shared" si="44"/>
        <v>5</v>
      </c>
      <c r="V223" s="13">
        <f t="shared" si="44"/>
        <v>7</v>
      </c>
      <c r="W223" s="13">
        <f t="shared" si="44"/>
        <v>5</v>
      </c>
      <c r="X223" s="13">
        <f t="shared" si="44"/>
        <v>1</v>
      </c>
      <c r="Y223" s="13">
        <f t="shared" si="44"/>
        <v>0</v>
      </c>
      <c r="Z223" s="13">
        <f t="shared" si="44"/>
        <v>0</v>
      </c>
      <c r="AA223" s="13">
        <f t="shared" si="44"/>
        <v>4</v>
      </c>
      <c r="AB223" s="13">
        <f t="shared" si="44"/>
        <v>1</v>
      </c>
      <c r="AC223" s="13">
        <f t="shared" si="44"/>
        <v>135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  <c r="U224" s="78"/>
      <c r="V224" s="78"/>
      <c r="W224" s="78"/>
      <c r="X224" s="78"/>
      <c r="Y224" s="78"/>
      <c r="Z224" s="78"/>
      <c r="AA224" s="78"/>
      <c r="AB224" s="78"/>
      <c r="AC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1.0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2.0</v>
      </c>
      <c r="O225" s="19">
        <v>0.0</v>
      </c>
      <c r="P225" s="19">
        <v>0.0</v>
      </c>
      <c r="Q225" s="19">
        <v>0.0</v>
      </c>
      <c r="R225" s="19">
        <v>0.0</v>
      </c>
      <c r="S225" s="19">
        <v>1.0</v>
      </c>
      <c r="T225" s="19">
        <v>0.0</v>
      </c>
      <c r="U225" s="19">
        <v>1.0</v>
      </c>
      <c r="V225" s="19">
        <v>1.0</v>
      </c>
      <c r="W225" s="19">
        <v>0.0</v>
      </c>
      <c r="X225" s="19">
        <v>0.0</v>
      </c>
      <c r="Y225" s="19">
        <v>0.0</v>
      </c>
      <c r="Z225" s="19">
        <v>0.0</v>
      </c>
      <c r="AA225" s="19">
        <v>0.0</v>
      </c>
      <c r="AB225" s="19">
        <v>1.0</v>
      </c>
      <c r="AC225" s="13">
        <f t="shared" ref="AC225:AC234" si="45">SUM(E225:AB225)</f>
        <v>8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1.0</v>
      </c>
      <c r="G226" s="19">
        <v>0.0</v>
      </c>
      <c r="H226" s="19">
        <v>0.0</v>
      </c>
      <c r="I226" s="19">
        <v>0.0</v>
      </c>
      <c r="J226" s="19">
        <v>4.0</v>
      </c>
      <c r="K226" s="19">
        <v>0.0</v>
      </c>
      <c r="L226" s="19">
        <v>0.0</v>
      </c>
      <c r="M226" s="19">
        <v>0.0</v>
      </c>
      <c r="N226" s="19">
        <v>5.0</v>
      </c>
      <c r="O226" s="19">
        <v>0.0</v>
      </c>
      <c r="P226" s="19">
        <v>0.0</v>
      </c>
      <c r="Q226" s="19">
        <v>2.0</v>
      </c>
      <c r="R226" s="19">
        <v>1.0</v>
      </c>
      <c r="S226" s="19">
        <v>1.0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3">
        <f t="shared" si="45"/>
        <v>14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1.0</v>
      </c>
      <c r="P227" s="19">
        <v>0.0</v>
      </c>
      <c r="Q227" s="19">
        <v>0.0</v>
      </c>
      <c r="R227" s="19">
        <v>0.0</v>
      </c>
      <c r="S227" s="19">
        <v>1.0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3">
        <f t="shared" si="45"/>
        <v>2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1.0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1.0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0.0</v>
      </c>
      <c r="Y228" s="19">
        <v>0.0</v>
      </c>
      <c r="Z228" s="19">
        <v>0.0</v>
      </c>
      <c r="AA228" s="19">
        <v>0.0</v>
      </c>
      <c r="AB228" s="19">
        <v>0.0</v>
      </c>
      <c r="AC228" s="13">
        <f t="shared" si="45"/>
        <v>2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1.0</v>
      </c>
      <c r="F232" s="19">
        <v>0.0</v>
      </c>
      <c r="G232" s="19">
        <v>1.0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1.0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3">
        <f t="shared" si="45"/>
        <v>3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AC235" si="46">SUM(E225:E234)</f>
        <v>2</v>
      </c>
      <c r="F235" s="13">
        <f t="shared" si="46"/>
        <v>2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4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7</v>
      </c>
      <c r="O235" s="13">
        <f t="shared" si="46"/>
        <v>1</v>
      </c>
      <c r="P235" s="13">
        <f t="shared" si="46"/>
        <v>0</v>
      </c>
      <c r="Q235" s="13">
        <f t="shared" si="46"/>
        <v>3</v>
      </c>
      <c r="R235" s="13">
        <f t="shared" si="46"/>
        <v>1</v>
      </c>
      <c r="S235" s="13">
        <f t="shared" si="46"/>
        <v>3</v>
      </c>
      <c r="T235" s="13">
        <f t="shared" si="46"/>
        <v>0</v>
      </c>
      <c r="U235" s="13">
        <f t="shared" si="46"/>
        <v>1</v>
      </c>
      <c r="V235" s="13">
        <f t="shared" si="46"/>
        <v>2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1</v>
      </c>
      <c r="AC235" s="13">
        <f t="shared" si="46"/>
        <v>29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  <c r="U236" s="78"/>
      <c r="V236" s="78"/>
      <c r="W236" s="78"/>
      <c r="X236" s="78"/>
      <c r="Y236" s="78"/>
      <c r="Z236" s="78"/>
      <c r="AA236" s="78"/>
      <c r="AB236" s="78"/>
      <c r="AC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1.0</v>
      </c>
      <c r="I237" s="19">
        <v>1.0</v>
      </c>
      <c r="J237" s="19">
        <v>0.0</v>
      </c>
      <c r="K237" s="19">
        <v>1.0</v>
      </c>
      <c r="L237" s="19">
        <v>1.0</v>
      </c>
      <c r="M237" s="19">
        <v>0.0</v>
      </c>
      <c r="N237" s="19">
        <v>0.0</v>
      </c>
      <c r="O237" s="19">
        <v>3.0</v>
      </c>
      <c r="P237" s="19">
        <v>0.0</v>
      </c>
      <c r="Q237" s="19">
        <v>1.0</v>
      </c>
      <c r="R237" s="19">
        <v>0.0</v>
      </c>
      <c r="S237" s="19">
        <v>1.0</v>
      </c>
      <c r="T237" s="19">
        <v>0.0</v>
      </c>
      <c r="U237" s="19">
        <v>0.0</v>
      </c>
      <c r="V237" s="19">
        <v>2.0</v>
      </c>
      <c r="W237" s="19">
        <v>0.0</v>
      </c>
      <c r="X237" s="19">
        <v>8.0</v>
      </c>
      <c r="Y237" s="19">
        <v>8.0</v>
      </c>
      <c r="Z237" s="19">
        <v>1.0</v>
      </c>
      <c r="AA237" s="19">
        <v>6.0</v>
      </c>
      <c r="AB237" s="19">
        <v>1.0</v>
      </c>
      <c r="AC237" s="13">
        <f t="shared" ref="AC237:AC246" si="47">SUM(E237:AB237)</f>
        <v>36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1.0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1.0</v>
      </c>
      <c r="M238" s="19">
        <v>0.0</v>
      </c>
      <c r="N238" s="19">
        <v>0.0</v>
      </c>
      <c r="O238" s="19">
        <v>2.0</v>
      </c>
      <c r="P238" s="19">
        <v>1.0</v>
      </c>
      <c r="Q238" s="19">
        <v>0.0</v>
      </c>
      <c r="R238" s="19">
        <v>0.0</v>
      </c>
      <c r="S238" s="19">
        <v>0.0</v>
      </c>
      <c r="T238" s="19">
        <v>0.0</v>
      </c>
      <c r="U238" s="19">
        <v>0.0</v>
      </c>
      <c r="V238" s="19">
        <v>1.0</v>
      </c>
      <c r="W238" s="19">
        <v>1.0</v>
      </c>
      <c r="X238" s="19">
        <v>3.0</v>
      </c>
      <c r="Y238" s="19">
        <v>5.0</v>
      </c>
      <c r="Z238" s="19">
        <v>4.0</v>
      </c>
      <c r="AA238" s="19">
        <v>5.0</v>
      </c>
      <c r="AB238" s="19">
        <v>0.0</v>
      </c>
      <c r="AC238" s="13">
        <f t="shared" si="47"/>
        <v>25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2.0</v>
      </c>
      <c r="F239" s="19">
        <v>2.0</v>
      </c>
      <c r="G239" s="19">
        <v>0.0</v>
      </c>
      <c r="H239" s="19">
        <v>0.0</v>
      </c>
      <c r="I239" s="19">
        <v>1.0</v>
      </c>
      <c r="J239" s="19">
        <v>1.0</v>
      </c>
      <c r="K239" s="19">
        <v>0.0</v>
      </c>
      <c r="L239" s="19">
        <v>5.0</v>
      </c>
      <c r="M239" s="19">
        <v>0.0</v>
      </c>
      <c r="N239" s="19">
        <v>1.0</v>
      </c>
      <c r="O239" s="19">
        <v>3.0</v>
      </c>
      <c r="P239" s="19">
        <v>1.0</v>
      </c>
      <c r="Q239" s="19">
        <v>0.0</v>
      </c>
      <c r="R239" s="19">
        <v>0.0</v>
      </c>
      <c r="S239" s="19">
        <v>4.0</v>
      </c>
      <c r="T239" s="19">
        <v>3.0</v>
      </c>
      <c r="U239" s="19">
        <v>0.0</v>
      </c>
      <c r="V239" s="19">
        <v>3.0</v>
      </c>
      <c r="W239" s="19">
        <v>2.0</v>
      </c>
      <c r="X239" s="19">
        <v>2.0</v>
      </c>
      <c r="Y239" s="19">
        <v>4.0</v>
      </c>
      <c r="Z239" s="19">
        <v>0.0</v>
      </c>
      <c r="AA239" s="19">
        <v>7.0</v>
      </c>
      <c r="AB239" s="19">
        <v>0.0</v>
      </c>
      <c r="AC239" s="13">
        <f t="shared" si="47"/>
        <v>41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0.0</v>
      </c>
      <c r="U240" s="19">
        <v>1.0</v>
      </c>
      <c r="V240" s="19">
        <v>0.0</v>
      </c>
      <c r="W240" s="19">
        <v>1.0</v>
      </c>
      <c r="X240" s="19">
        <v>1.0</v>
      </c>
      <c r="Y240" s="19">
        <v>0.0</v>
      </c>
      <c r="Z240" s="19">
        <v>0.0</v>
      </c>
      <c r="AA240" s="19">
        <v>1.0</v>
      </c>
      <c r="AB240" s="19">
        <v>1.0</v>
      </c>
      <c r="AC240" s="13">
        <f t="shared" si="47"/>
        <v>5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2.0</v>
      </c>
      <c r="L241" s="19">
        <v>1.0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9">
        <v>1.0</v>
      </c>
      <c r="U241" s="19">
        <v>0.0</v>
      </c>
      <c r="V241" s="19">
        <v>0.0</v>
      </c>
      <c r="W241" s="19">
        <v>0.0</v>
      </c>
      <c r="X241" s="19">
        <v>0.0</v>
      </c>
      <c r="Y241" s="19">
        <v>2.0</v>
      </c>
      <c r="Z241" s="19">
        <v>3.0</v>
      </c>
      <c r="AA241" s="19">
        <v>0.0</v>
      </c>
      <c r="AB241" s="19">
        <v>0.0</v>
      </c>
      <c r="AC241" s="13">
        <f t="shared" si="47"/>
        <v>9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4.0</v>
      </c>
      <c r="F243" s="19">
        <v>6.0</v>
      </c>
      <c r="G243" s="19">
        <v>2.0</v>
      </c>
      <c r="H243" s="19">
        <v>0.0</v>
      </c>
      <c r="I243" s="19">
        <v>0.0</v>
      </c>
      <c r="J243" s="19">
        <v>1.0</v>
      </c>
      <c r="K243" s="19">
        <v>0.0</v>
      </c>
      <c r="L243" s="19">
        <v>0.0</v>
      </c>
      <c r="M243" s="19">
        <v>0.0</v>
      </c>
      <c r="N243" s="19">
        <v>8.0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3">
        <f t="shared" si="47"/>
        <v>21</v>
      </c>
    </row>
    <row r="244" ht="12.75" customHeight="1">
      <c r="A244" s="18"/>
      <c r="B244" s="55">
        <v>7.0</v>
      </c>
      <c r="C244" s="50" t="s">
        <v>181</v>
      </c>
      <c r="D244" s="60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1.0</v>
      </c>
      <c r="Z244" s="19">
        <v>0.0</v>
      </c>
      <c r="AA244" s="19">
        <v>0.0</v>
      </c>
      <c r="AB244" s="19">
        <v>0.0</v>
      </c>
      <c r="AC244" s="13">
        <f t="shared" si="47"/>
        <v>1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48">SUM(E237:E246)</f>
        <v>7</v>
      </c>
      <c r="F247" s="13">
        <f t="shared" si="48"/>
        <v>9</v>
      </c>
      <c r="G247" s="13">
        <f t="shared" si="48"/>
        <v>2</v>
      </c>
      <c r="H247" s="13">
        <f t="shared" si="48"/>
        <v>1</v>
      </c>
      <c r="I247" s="13">
        <f t="shared" si="48"/>
        <v>2</v>
      </c>
      <c r="J247" s="13">
        <f t="shared" si="48"/>
        <v>2</v>
      </c>
      <c r="K247" s="13">
        <f t="shared" si="48"/>
        <v>4</v>
      </c>
      <c r="L247" s="13">
        <f t="shared" si="48"/>
        <v>8</v>
      </c>
      <c r="M247" s="13">
        <f t="shared" si="48"/>
        <v>0</v>
      </c>
      <c r="N247" s="13">
        <f t="shared" si="48"/>
        <v>9</v>
      </c>
      <c r="O247" s="13">
        <f t="shared" si="48"/>
        <v>8</v>
      </c>
      <c r="P247" s="13">
        <f t="shared" si="48"/>
        <v>2</v>
      </c>
      <c r="Q247" s="13">
        <f t="shared" si="48"/>
        <v>1</v>
      </c>
      <c r="R247" s="13">
        <f t="shared" si="48"/>
        <v>0</v>
      </c>
      <c r="S247" s="13">
        <f t="shared" si="48"/>
        <v>5</v>
      </c>
      <c r="T247" s="13">
        <f t="shared" si="48"/>
        <v>4</v>
      </c>
      <c r="U247" s="13">
        <f t="shared" si="48"/>
        <v>1</v>
      </c>
      <c r="V247" s="13">
        <f t="shared" si="48"/>
        <v>6</v>
      </c>
      <c r="W247" s="13">
        <f t="shared" si="48"/>
        <v>4</v>
      </c>
      <c r="X247" s="13">
        <f t="shared" si="48"/>
        <v>14</v>
      </c>
      <c r="Y247" s="13">
        <f t="shared" si="48"/>
        <v>20</v>
      </c>
      <c r="Z247" s="13">
        <f t="shared" si="48"/>
        <v>8</v>
      </c>
      <c r="AA247" s="13">
        <f t="shared" si="48"/>
        <v>19</v>
      </c>
      <c r="AB247" s="13">
        <f t="shared" si="48"/>
        <v>2</v>
      </c>
      <c r="AC247" s="13">
        <f t="shared" si="48"/>
        <v>138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1.0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9">
        <v>0.0</v>
      </c>
      <c r="U249" s="19">
        <v>0.0</v>
      </c>
      <c r="V249" s="19">
        <v>0.0</v>
      </c>
      <c r="W249" s="19">
        <v>0.0</v>
      </c>
      <c r="X249" s="19">
        <v>0.0</v>
      </c>
      <c r="Y249" s="19">
        <v>0.0</v>
      </c>
      <c r="Z249" s="19">
        <v>1.0</v>
      </c>
      <c r="AA249" s="19">
        <v>0.0</v>
      </c>
      <c r="AB249" s="19">
        <v>0.0</v>
      </c>
      <c r="AC249" s="13">
        <f t="shared" ref="AC249:AC258" si="49">SUM(E249:AB249)</f>
        <v>2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3">
        <f t="shared" si="49"/>
        <v>0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8.0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3">
        <f t="shared" si="49"/>
        <v>8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3">
        <f t="shared" si="49"/>
        <v>0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3">
        <f t="shared" si="49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AC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9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1</v>
      </c>
      <c r="AA259" s="13">
        <f t="shared" si="50"/>
        <v>0</v>
      </c>
      <c r="AB259" s="13">
        <f t="shared" si="50"/>
        <v>0</v>
      </c>
      <c r="AC259" s="13">
        <f t="shared" si="50"/>
        <v>11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AB262" si="51">E55+E67+E79+E91+E103+E115+E127+E139+E151+E163+E175+E187+E199+E211+E223+E235+E247+E259</f>
        <v>161</v>
      </c>
      <c r="F262" s="19">
        <f t="shared" si="51"/>
        <v>197</v>
      </c>
      <c r="G262" s="19">
        <f t="shared" si="51"/>
        <v>125</v>
      </c>
      <c r="H262" s="19">
        <f t="shared" si="51"/>
        <v>185</v>
      </c>
      <c r="I262" s="19">
        <f t="shared" si="51"/>
        <v>162</v>
      </c>
      <c r="J262" s="19">
        <f t="shared" si="51"/>
        <v>167</v>
      </c>
      <c r="K262" s="19">
        <f t="shared" si="51"/>
        <v>172</v>
      </c>
      <c r="L262" s="19">
        <f t="shared" si="51"/>
        <v>181</v>
      </c>
      <c r="M262" s="19">
        <f t="shared" si="51"/>
        <v>233</v>
      </c>
      <c r="N262" s="19">
        <f t="shared" si="51"/>
        <v>179</v>
      </c>
      <c r="O262" s="19">
        <f t="shared" si="51"/>
        <v>198</v>
      </c>
      <c r="P262" s="19">
        <f t="shared" si="51"/>
        <v>185</v>
      </c>
      <c r="Q262" s="19">
        <f t="shared" si="51"/>
        <v>154</v>
      </c>
      <c r="R262" s="19">
        <f t="shared" si="51"/>
        <v>190</v>
      </c>
      <c r="S262" s="19">
        <f t="shared" si="51"/>
        <v>182</v>
      </c>
      <c r="T262" s="19">
        <f t="shared" si="51"/>
        <v>174</v>
      </c>
      <c r="U262" s="19">
        <f t="shared" si="51"/>
        <v>177</v>
      </c>
      <c r="V262" s="19">
        <f t="shared" si="51"/>
        <v>193</v>
      </c>
      <c r="W262" s="19">
        <f t="shared" si="51"/>
        <v>164</v>
      </c>
      <c r="X262" s="19">
        <f t="shared" si="51"/>
        <v>179</v>
      </c>
      <c r="Y262" s="19">
        <f t="shared" si="51"/>
        <v>176</v>
      </c>
      <c r="Z262" s="19">
        <f t="shared" si="51"/>
        <v>182</v>
      </c>
      <c r="AA262" s="19">
        <f t="shared" si="51"/>
        <v>170</v>
      </c>
      <c r="AB262" s="19">
        <f t="shared" si="51"/>
        <v>180</v>
      </c>
      <c r="AC262" s="13">
        <f t="shared" ref="AC262:AC264" si="52">SUM(E262:AB262)</f>
        <v>4266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15.0</v>
      </c>
      <c r="F263" s="19">
        <v>13.0</v>
      </c>
      <c r="G263" s="19">
        <v>19.0</v>
      </c>
      <c r="H263" s="19">
        <v>19.0</v>
      </c>
      <c r="I263" s="19">
        <v>20.0</v>
      </c>
      <c r="J263" s="19">
        <v>11.0</v>
      </c>
      <c r="K263" s="19">
        <v>23.0</v>
      </c>
      <c r="L263" s="19">
        <v>58.0</v>
      </c>
      <c r="M263" s="19">
        <v>22.0</v>
      </c>
      <c r="N263" s="19">
        <v>23.0</v>
      </c>
      <c r="O263" s="19">
        <v>32.0</v>
      </c>
      <c r="P263" s="19">
        <v>29.0</v>
      </c>
      <c r="Q263" s="19">
        <v>43.0</v>
      </c>
      <c r="R263" s="19">
        <v>30.0</v>
      </c>
      <c r="S263" s="19">
        <v>13.0</v>
      </c>
      <c r="T263" s="19">
        <v>26.0</v>
      </c>
      <c r="U263" s="19">
        <v>21.0</v>
      </c>
      <c r="V263" s="19">
        <v>24.0</v>
      </c>
      <c r="W263" s="19">
        <v>15.0</v>
      </c>
      <c r="X263" s="19">
        <v>24.0</v>
      </c>
      <c r="Y263" s="19">
        <v>20.0</v>
      </c>
      <c r="Z263" s="19">
        <v>14.0</v>
      </c>
      <c r="AA263" s="19">
        <v>27.0</v>
      </c>
      <c r="AB263" s="19">
        <v>9.0</v>
      </c>
      <c r="AC263" s="13">
        <f t="shared" si="52"/>
        <v>550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AB264" si="53">SUM(E262:E263)</f>
        <v>176</v>
      </c>
      <c r="F264" s="13">
        <f t="shared" si="53"/>
        <v>210</v>
      </c>
      <c r="G264" s="13">
        <f t="shared" si="53"/>
        <v>144</v>
      </c>
      <c r="H264" s="13">
        <f t="shared" si="53"/>
        <v>204</v>
      </c>
      <c r="I264" s="13">
        <f t="shared" si="53"/>
        <v>182</v>
      </c>
      <c r="J264" s="13">
        <f t="shared" si="53"/>
        <v>178</v>
      </c>
      <c r="K264" s="13">
        <f t="shared" si="53"/>
        <v>195</v>
      </c>
      <c r="L264" s="13">
        <f t="shared" si="53"/>
        <v>239</v>
      </c>
      <c r="M264" s="13">
        <f t="shared" si="53"/>
        <v>255</v>
      </c>
      <c r="N264" s="13">
        <f t="shared" si="53"/>
        <v>202</v>
      </c>
      <c r="O264" s="13">
        <f t="shared" si="53"/>
        <v>230</v>
      </c>
      <c r="P264" s="13">
        <f t="shared" si="53"/>
        <v>214</v>
      </c>
      <c r="Q264" s="13">
        <f t="shared" si="53"/>
        <v>197</v>
      </c>
      <c r="R264" s="13">
        <f t="shared" si="53"/>
        <v>220</v>
      </c>
      <c r="S264" s="13">
        <f t="shared" si="53"/>
        <v>195</v>
      </c>
      <c r="T264" s="13">
        <f t="shared" si="53"/>
        <v>200</v>
      </c>
      <c r="U264" s="13">
        <f t="shared" si="53"/>
        <v>198</v>
      </c>
      <c r="V264" s="13">
        <f t="shared" si="53"/>
        <v>217</v>
      </c>
      <c r="W264" s="13">
        <f t="shared" si="53"/>
        <v>179</v>
      </c>
      <c r="X264" s="13">
        <f t="shared" si="53"/>
        <v>203</v>
      </c>
      <c r="Y264" s="13">
        <f t="shared" si="53"/>
        <v>196</v>
      </c>
      <c r="Z264" s="13">
        <f t="shared" si="53"/>
        <v>196</v>
      </c>
      <c r="AA264" s="13">
        <f t="shared" si="53"/>
        <v>197</v>
      </c>
      <c r="AB264" s="13">
        <f t="shared" si="53"/>
        <v>189</v>
      </c>
      <c r="AC264" s="13">
        <f t="shared" si="52"/>
        <v>4816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W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W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B15">
    <cfRule type="containsBlanks" dxfId="1" priority="1">
      <formula>LEN(TRIM(E14))=0</formula>
    </cfRule>
  </conditionalFormatting>
  <conditionalFormatting sqref="E19:AB20">
    <cfRule type="containsBlanks" dxfId="1" priority="2">
      <formula>LEN(TRIM(E19))=0</formula>
    </cfRule>
  </conditionalFormatting>
  <conditionalFormatting sqref="E22:AB23 E25:AB26 E33:AB33 E35:AB35 E39:AB40">
    <cfRule type="containsBlanks" dxfId="1" priority="3">
      <formula>LEN(TRIM(E22))=0</formula>
    </cfRule>
  </conditionalFormatting>
  <conditionalFormatting sqref="E30:AB30">
    <cfRule type="expression" dxfId="0" priority="4">
      <formula>E30&lt;&gt;E47</formula>
    </cfRule>
  </conditionalFormatting>
  <conditionalFormatting sqref="E30:AB30">
    <cfRule type="expression" dxfId="0" priority="5">
      <formula>E30&lt;&gt;E34</formula>
    </cfRule>
  </conditionalFormatting>
  <conditionalFormatting sqref="E34:AB34">
    <cfRule type="expression" dxfId="2" priority="6">
      <formula>E30&lt;&gt;E34</formula>
    </cfRule>
  </conditionalFormatting>
  <conditionalFormatting sqref="E34:AB34">
    <cfRule type="expression" dxfId="3" priority="7">
      <formula>E30=E34</formula>
    </cfRule>
  </conditionalFormatting>
  <conditionalFormatting sqref="E34:AB34">
    <cfRule type="expression" dxfId="0" priority="8">
      <formula>E34&lt;&gt;E30</formula>
    </cfRule>
  </conditionalFormatting>
  <conditionalFormatting sqref="E34:AB34">
    <cfRule type="expression" dxfId="0" priority="9">
      <formula>E34&lt;&gt;E64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8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132.0</v>
      </c>
      <c r="G14" s="19">
        <v>130.0</v>
      </c>
      <c r="H14" s="19">
        <v>127.0</v>
      </c>
      <c r="I14" s="19">
        <v>133.0</v>
      </c>
      <c r="J14" s="19">
        <v>115.0</v>
      </c>
      <c r="K14" s="19">
        <v>140.0</v>
      </c>
      <c r="L14" s="19">
        <v>127.0</v>
      </c>
      <c r="M14" s="19">
        <v>130.0</v>
      </c>
      <c r="N14" s="19">
        <v>111.0</v>
      </c>
      <c r="O14" s="19">
        <v>118.0</v>
      </c>
      <c r="P14" s="19">
        <v>108.0</v>
      </c>
      <c r="Q14" s="19">
        <v>114.0</v>
      </c>
      <c r="R14" s="19">
        <v>130.0</v>
      </c>
      <c r="S14" s="19">
        <v>81.0</v>
      </c>
      <c r="T14" s="13">
        <f t="shared" ref="T14:T16" si="1">SUM(E14:S14)</f>
        <v>1820</v>
      </c>
    </row>
    <row r="15" ht="12.75" customHeight="1">
      <c r="A15" s="18"/>
      <c r="B15" s="26"/>
      <c r="C15" s="27"/>
      <c r="D15" s="19" t="s">
        <v>13</v>
      </c>
      <c r="E15" s="19">
        <v>119.0</v>
      </c>
      <c r="F15" s="19">
        <v>123.0</v>
      </c>
      <c r="G15" s="19">
        <v>121.0</v>
      </c>
      <c r="H15" s="19">
        <v>125.0</v>
      </c>
      <c r="I15" s="19">
        <v>128.0</v>
      </c>
      <c r="J15" s="19">
        <v>126.0</v>
      </c>
      <c r="K15" s="19">
        <v>135.0</v>
      </c>
      <c r="L15" s="19">
        <v>133.0</v>
      </c>
      <c r="M15" s="19">
        <v>134.0</v>
      </c>
      <c r="N15" s="19">
        <v>121.0</v>
      </c>
      <c r="O15" s="19">
        <v>124.0</v>
      </c>
      <c r="P15" s="19">
        <v>118.0</v>
      </c>
      <c r="Q15" s="19">
        <v>121.0</v>
      </c>
      <c r="R15" s="19">
        <v>129.0</v>
      </c>
      <c r="S15" s="19">
        <v>80.0</v>
      </c>
      <c r="T15" s="13">
        <f t="shared" si="1"/>
        <v>1837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243</v>
      </c>
      <c r="F16" s="13">
        <f t="shared" si="2"/>
        <v>255</v>
      </c>
      <c r="G16" s="13">
        <f t="shared" si="2"/>
        <v>251</v>
      </c>
      <c r="H16" s="13">
        <f t="shared" si="2"/>
        <v>252</v>
      </c>
      <c r="I16" s="13">
        <f t="shared" si="2"/>
        <v>261</v>
      </c>
      <c r="J16" s="13">
        <f t="shared" si="2"/>
        <v>241</v>
      </c>
      <c r="K16" s="13">
        <f t="shared" si="2"/>
        <v>275</v>
      </c>
      <c r="L16" s="13">
        <f t="shared" si="2"/>
        <v>260</v>
      </c>
      <c r="M16" s="13">
        <f t="shared" si="2"/>
        <v>264</v>
      </c>
      <c r="N16" s="13">
        <f t="shared" si="2"/>
        <v>232</v>
      </c>
      <c r="O16" s="13">
        <f t="shared" si="2"/>
        <v>242</v>
      </c>
      <c r="P16" s="13">
        <f t="shared" si="2"/>
        <v>226</v>
      </c>
      <c r="Q16" s="13">
        <f t="shared" si="2"/>
        <v>235</v>
      </c>
      <c r="R16" s="13">
        <f t="shared" si="2"/>
        <v>259</v>
      </c>
      <c r="S16" s="13">
        <f t="shared" si="2"/>
        <v>161</v>
      </c>
      <c r="T16" s="13">
        <f t="shared" si="1"/>
        <v>3657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5"/>
      <c r="T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5"/>
      <c r="T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97.0</v>
      </c>
      <c r="F19" s="19">
        <v>88.0</v>
      </c>
      <c r="G19" s="19">
        <v>110.0</v>
      </c>
      <c r="H19" s="19">
        <v>104.0</v>
      </c>
      <c r="I19" s="19">
        <v>111.0</v>
      </c>
      <c r="J19" s="19">
        <v>94.0</v>
      </c>
      <c r="K19" s="19">
        <v>112.0</v>
      </c>
      <c r="L19" s="19">
        <v>92.0</v>
      </c>
      <c r="M19" s="19">
        <v>95.0</v>
      </c>
      <c r="N19" s="19">
        <v>90.0</v>
      </c>
      <c r="O19" s="19">
        <v>87.0</v>
      </c>
      <c r="P19" s="19">
        <v>87.0</v>
      </c>
      <c r="Q19" s="19">
        <v>96.0</v>
      </c>
      <c r="R19" s="19">
        <v>89.0</v>
      </c>
      <c r="S19" s="19">
        <v>53.0</v>
      </c>
      <c r="T19" s="13">
        <f t="shared" ref="T19:T30" si="3">SUM(E19:S19)</f>
        <v>1405</v>
      </c>
    </row>
    <row r="20" ht="12.75" customHeight="1">
      <c r="A20" s="33"/>
      <c r="B20" s="27"/>
      <c r="C20" s="34"/>
      <c r="D20" s="19" t="s">
        <v>13</v>
      </c>
      <c r="E20" s="19">
        <v>100.0</v>
      </c>
      <c r="F20" s="19">
        <v>89.0</v>
      </c>
      <c r="G20" s="19">
        <v>99.0</v>
      </c>
      <c r="H20" s="19">
        <v>115.0</v>
      </c>
      <c r="I20" s="19">
        <v>109.0</v>
      </c>
      <c r="J20" s="19">
        <v>105.0</v>
      </c>
      <c r="K20" s="19">
        <v>114.0</v>
      </c>
      <c r="L20" s="19">
        <v>110.0</v>
      </c>
      <c r="M20" s="19">
        <v>103.0</v>
      </c>
      <c r="N20" s="19">
        <v>103.0</v>
      </c>
      <c r="O20" s="19">
        <v>106.0</v>
      </c>
      <c r="P20" s="19">
        <v>107.0</v>
      </c>
      <c r="Q20" s="19">
        <v>111.0</v>
      </c>
      <c r="R20" s="19">
        <v>105.0</v>
      </c>
      <c r="S20" s="19">
        <v>58.0</v>
      </c>
      <c r="T20" s="13">
        <f t="shared" si="3"/>
        <v>1534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197</v>
      </c>
      <c r="F21" s="13">
        <f t="shared" si="4"/>
        <v>177</v>
      </c>
      <c r="G21" s="13">
        <f t="shared" si="4"/>
        <v>209</v>
      </c>
      <c r="H21" s="13">
        <f t="shared" si="4"/>
        <v>219</v>
      </c>
      <c r="I21" s="13">
        <f t="shared" si="4"/>
        <v>220</v>
      </c>
      <c r="J21" s="13">
        <f t="shared" si="4"/>
        <v>199</v>
      </c>
      <c r="K21" s="13">
        <f t="shared" si="4"/>
        <v>226</v>
      </c>
      <c r="L21" s="13">
        <f t="shared" si="4"/>
        <v>202</v>
      </c>
      <c r="M21" s="13">
        <f t="shared" si="4"/>
        <v>198</v>
      </c>
      <c r="N21" s="13">
        <f t="shared" si="4"/>
        <v>193</v>
      </c>
      <c r="O21" s="13">
        <f t="shared" si="4"/>
        <v>193</v>
      </c>
      <c r="P21" s="13">
        <f t="shared" si="4"/>
        <v>194</v>
      </c>
      <c r="Q21" s="13">
        <f t="shared" si="4"/>
        <v>207</v>
      </c>
      <c r="R21" s="13">
        <f t="shared" si="4"/>
        <v>194</v>
      </c>
      <c r="S21" s="13">
        <f t="shared" si="4"/>
        <v>111</v>
      </c>
      <c r="T21" s="13">
        <f t="shared" si="3"/>
        <v>2939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1.0</v>
      </c>
      <c r="M22" s="19">
        <v>0.0</v>
      </c>
      <c r="N22" s="19">
        <v>1.0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2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9">
        <v>1.0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2</v>
      </c>
      <c r="M24" s="13">
        <f t="shared" si="5"/>
        <v>0</v>
      </c>
      <c r="N24" s="13">
        <f t="shared" si="5"/>
        <v>2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4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3.0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2.0</v>
      </c>
      <c r="M25" s="19">
        <v>0.0</v>
      </c>
      <c r="N25" s="19">
        <v>0.0</v>
      </c>
      <c r="O25" s="19">
        <v>3.0</v>
      </c>
      <c r="P25" s="19">
        <v>0.0</v>
      </c>
      <c r="Q25" s="19">
        <v>0.0</v>
      </c>
      <c r="R25" s="19">
        <v>0.0</v>
      </c>
      <c r="S25" s="19">
        <v>1.0</v>
      </c>
      <c r="T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3.0</v>
      </c>
      <c r="G26" s="19">
        <v>2.0</v>
      </c>
      <c r="H26" s="19">
        <v>0.0</v>
      </c>
      <c r="I26" s="19">
        <v>0.0</v>
      </c>
      <c r="J26" s="19">
        <v>1.0</v>
      </c>
      <c r="K26" s="19">
        <v>2.0</v>
      </c>
      <c r="L26" s="19">
        <v>2.0</v>
      </c>
      <c r="M26" s="19">
        <v>0.0</v>
      </c>
      <c r="N26" s="19">
        <v>1.0</v>
      </c>
      <c r="O26" s="19">
        <v>4.0</v>
      </c>
      <c r="P26" s="19">
        <v>0.0</v>
      </c>
      <c r="Q26" s="19">
        <v>0.0</v>
      </c>
      <c r="R26" s="19">
        <v>1.0</v>
      </c>
      <c r="S26" s="19">
        <v>0.0</v>
      </c>
      <c r="T26" s="13">
        <f t="shared" si="3"/>
        <v>18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3</v>
      </c>
      <c r="F27" s="13">
        <f t="shared" si="6"/>
        <v>6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1</v>
      </c>
      <c r="K27" s="13">
        <f t="shared" si="6"/>
        <v>2</v>
      </c>
      <c r="L27" s="13">
        <f t="shared" si="6"/>
        <v>4</v>
      </c>
      <c r="M27" s="13">
        <f t="shared" si="6"/>
        <v>0</v>
      </c>
      <c r="N27" s="13">
        <f t="shared" si="6"/>
        <v>1</v>
      </c>
      <c r="O27" s="13">
        <f t="shared" si="6"/>
        <v>7</v>
      </c>
      <c r="P27" s="13">
        <f t="shared" si="6"/>
        <v>0</v>
      </c>
      <c r="Q27" s="13">
        <f t="shared" si="6"/>
        <v>0</v>
      </c>
      <c r="R27" s="13">
        <f t="shared" si="6"/>
        <v>1</v>
      </c>
      <c r="S27" s="13">
        <f t="shared" si="6"/>
        <v>1</v>
      </c>
      <c r="T27" s="13">
        <f t="shared" si="3"/>
        <v>29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98</v>
      </c>
      <c r="F28" s="13">
        <f t="shared" si="7"/>
        <v>91</v>
      </c>
      <c r="G28" s="13">
        <f t="shared" si="7"/>
        <v>110</v>
      </c>
      <c r="H28" s="13">
        <f t="shared" si="7"/>
        <v>104</v>
      </c>
      <c r="I28" s="13">
        <f t="shared" si="7"/>
        <v>112</v>
      </c>
      <c r="J28" s="13">
        <f t="shared" si="7"/>
        <v>94</v>
      </c>
      <c r="K28" s="13">
        <f t="shared" si="7"/>
        <v>112</v>
      </c>
      <c r="L28" s="13">
        <f t="shared" si="7"/>
        <v>95</v>
      </c>
      <c r="M28" s="13">
        <f t="shared" si="7"/>
        <v>95</v>
      </c>
      <c r="N28" s="13">
        <f t="shared" si="7"/>
        <v>91</v>
      </c>
      <c r="O28" s="13">
        <f t="shared" si="7"/>
        <v>90</v>
      </c>
      <c r="P28" s="13">
        <f t="shared" si="7"/>
        <v>87</v>
      </c>
      <c r="Q28" s="13">
        <f t="shared" si="7"/>
        <v>96</v>
      </c>
      <c r="R28" s="13">
        <f t="shared" si="7"/>
        <v>89</v>
      </c>
      <c r="S28" s="13">
        <f t="shared" si="7"/>
        <v>54</v>
      </c>
      <c r="T28" s="13">
        <f t="shared" si="3"/>
        <v>1418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102</v>
      </c>
      <c r="F29" s="13">
        <f t="shared" si="8"/>
        <v>92</v>
      </c>
      <c r="G29" s="13">
        <f t="shared" si="8"/>
        <v>101</v>
      </c>
      <c r="H29" s="13">
        <f t="shared" si="8"/>
        <v>115</v>
      </c>
      <c r="I29" s="13">
        <f t="shared" si="8"/>
        <v>109</v>
      </c>
      <c r="J29" s="13">
        <f t="shared" si="8"/>
        <v>106</v>
      </c>
      <c r="K29" s="13">
        <f t="shared" si="8"/>
        <v>116</v>
      </c>
      <c r="L29" s="13">
        <f t="shared" si="8"/>
        <v>113</v>
      </c>
      <c r="M29" s="13">
        <f t="shared" si="8"/>
        <v>103</v>
      </c>
      <c r="N29" s="13">
        <f t="shared" si="8"/>
        <v>105</v>
      </c>
      <c r="O29" s="13">
        <f t="shared" si="8"/>
        <v>110</v>
      </c>
      <c r="P29" s="13">
        <f t="shared" si="8"/>
        <v>107</v>
      </c>
      <c r="Q29" s="13">
        <f t="shared" si="8"/>
        <v>111</v>
      </c>
      <c r="R29" s="13">
        <f t="shared" si="8"/>
        <v>106</v>
      </c>
      <c r="S29" s="13">
        <f t="shared" si="8"/>
        <v>58</v>
      </c>
      <c r="T29" s="13">
        <f t="shared" si="3"/>
        <v>1554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200</v>
      </c>
      <c r="F30" s="13">
        <f t="shared" si="9"/>
        <v>183</v>
      </c>
      <c r="G30" s="13">
        <f t="shared" si="9"/>
        <v>211</v>
      </c>
      <c r="H30" s="13">
        <f t="shared" si="9"/>
        <v>219</v>
      </c>
      <c r="I30" s="13">
        <f t="shared" si="9"/>
        <v>221</v>
      </c>
      <c r="J30" s="13">
        <f t="shared" si="9"/>
        <v>200</v>
      </c>
      <c r="K30" s="13">
        <f t="shared" si="9"/>
        <v>228</v>
      </c>
      <c r="L30" s="13">
        <f t="shared" si="9"/>
        <v>208</v>
      </c>
      <c r="M30" s="13">
        <f t="shared" si="9"/>
        <v>198</v>
      </c>
      <c r="N30" s="13">
        <f t="shared" si="9"/>
        <v>196</v>
      </c>
      <c r="O30" s="13">
        <f t="shared" si="9"/>
        <v>200</v>
      </c>
      <c r="P30" s="13">
        <f t="shared" si="9"/>
        <v>194</v>
      </c>
      <c r="Q30" s="13">
        <f t="shared" si="9"/>
        <v>207</v>
      </c>
      <c r="R30" s="13">
        <f t="shared" si="9"/>
        <v>195</v>
      </c>
      <c r="S30" s="13">
        <f t="shared" si="9"/>
        <v>112</v>
      </c>
      <c r="T30" s="13">
        <f t="shared" si="3"/>
        <v>2972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5"/>
      <c r="T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7"/>
      <c r="T32" s="76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271.0</v>
      </c>
      <c r="G33" s="19">
        <v>257.0</v>
      </c>
      <c r="H33" s="19">
        <v>250.0</v>
      </c>
      <c r="I33" s="19">
        <v>266.0</v>
      </c>
      <c r="J33" s="19">
        <v>347.0</v>
      </c>
      <c r="K33" s="19">
        <v>282.0</v>
      </c>
      <c r="L33" s="19">
        <v>267.0</v>
      </c>
      <c r="M33" s="19">
        <v>269.0</v>
      </c>
      <c r="N33" s="19">
        <v>237.0</v>
      </c>
      <c r="O33" s="19">
        <v>267.0</v>
      </c>
      <c r="P33" s="19">
        <v>230.0</v>
      </c>
      <c r="Q33" s="19">
        <v>340.0</v>
      </c>
      <c r="R33" s="19">
        <v>265.0</v>
      </c>
      <c r="S33" s="19">
        <v>165.0</v>
      </c>
      <c r="T33" s="13">
        <f t="shared" ref="T33:T36" si="10">SUM(E33:S33)</f>
        <v>3961</v>
      </c>
    </row>
    <row r="34" ht="12.75" customHeight="1">
      <c r="A34" s="19">
        <v>2.0</v>
      </c>
      <c r="B34" s="20" t="s">
        <v>28</v>
      </c>
      <c r="C34" s="15"/>
      <c r="D34" s="16"/>
      <c r="E34" s="13">
        <v>200.0</v>
      </c>
      <c r="F34" s="13">
        <v>183.0</v>
      </c>
      <c r="G34" s="13">
        <v>211.0</v>
      </c>
      <c r="H34" s="13">
        <v>219.0</v>
      </c>
      <c r="I34" s="13">
        <v>221.0</v>
      </c>
      <c r="J34" s="13">
        <v>200.0</v>
      </c>
      <c r="K34" s="13">
        <v>228.0</v>
      </c>
      <c r="L34" s="13">
        <v>208.0</v>
      </c>
      <c r="M34" s="13">
        <v>198.0</v>
      </c>
      <c r="N34" s="13">
        <v>196.0</v>
      </c>
      <c r="O34" s="13">
        <v>200.0</v>
      </c>
      <c r="P34" s="13">
        <v>194.0</v>
      </c>
      <c r="Q34" s="13">
        <v>207.0</v>
      </c>
      <c r="R34" s="13">
        <v>195.0</v>
      </c>
      <c r="S34" s="13">
        <v>112.0</v>
      </c>
      <c r="T34" s="13">
        <f t="shared" si="10"/>
        <v>2972</v>
      </c>
    </row>
    <row r="35" ht="12.75" customHeight="1">
      <c r="A35" s="19">
        <v>3.0</v>
      </c>
      <c r="B35" s="20" t="s">
        <v>29</v>
      </c>
      <c r="C35" s="15"/>
      <c r="D35" s="16"/>
      <c r="E35" s="19">
        <v>2.0</v>
      </c>
      <c r="F35" s="19">
        <v>3.0</v>
      </c>
      <c r="G35" s="19">
        <v>0.0</v>
      </c>
      <c r="H35" s="19">
        <v>2.0</v>
      </c>
      <c r="I35" s="19">
        <v>3.0</v>
      </c>
      <c r="J35" s="19">
        <v>0.0</v>
      </c>
      <c r="K35" s="19">
        <v>0.0</v>
      </c>
      <c r="L35" s="19">
        <v>0.0</v>
      </c>
      <c r="M35" s="19">
        <v>3.0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0.0</v>
      </c>
      <c r="T35" s="13">
        <f t="shared" si="10"/>
        <v>14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46</v>
      </c>
      <c r="F36" s="13">
        <f t="shared" si="11"/>
        <v>85</v>
      </c>
      <c r="G36" s="13">
        <f t="shared" si="11"/>
        <v>46</v>
      </c>
      <c r="H36" s="13">
        <f t="shared" si="11"/>
        <v>29</v>
      </c>
      <c r="I36" s="13">
        <f t="shared" si="11"/>
        <v>42</v>
      </c>
      <c r="J36" s="13">
        <f t="shared" si="11"/>
        <v>147</v>
      </c>
      <c r="K36" s="13">
        <f t="shared" si="11"/>
        <v>54</v>
      </c>
      <c r="L36" s="13">
        <f t="shared" si="11"/>
        <v>59</v>
      </c>
      <c r="M36" s="13">
        <f t="shared" si="11"/>
        <v>68</v>
      </c>
      <c r="N36" s="13">
        <f t="shared" si="11"/>
        <v>41</v>
      </c>
      <c r="O36" s="13">
        <f t="shared" si="11"/>
        <v>67</v>
      </c>
      <c r="P36" s="13">
        <f t="shared" si="11"/>
        <v>36</v>
      </c>
      <c r="Q36" s="13">
        <f t="shared" si="11"/>
        <v>133</v>
      </c>
      <c r="R36" s="13">
        <f t="shared" si="11"/>
        <v>69</v>
      </c>
      <c r="S36" s="13">
        <f t="shared" si="11"/>
        <v>53</v>
      </c>
      <c r="T36" s="13">
        <f t="shared" si="10"/>
        <v>975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84"/>
      <c r="R37" s="84"/>
      <c r="S37" s="84"/>
      <c r="T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7"/>
      <c r="T38" s="76"/>
    </row>
    <row r="39" ht="12.75" customHeight="1">
      <c r="A39" s="30"/>
      <c r="B39" s="43" t="s">
        <v>33</v>
      </c>
      <c r="C39" s="23"/>
      <c r="D39" s="19" t="s">
        <v>12</v>
      </c>
      <c r="E39" s="19">
        <v>2.0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0.0</v>
      </c>
      <c r="L39" s="19">
        <v>1.0</v>
      </c>
      <c r="M39" s="19">
        <v>0.0</v>
      </c>
      <c r="N39" s="19">
        <v>0.0</v>
      </c>
      <c r="O39" s="19">
        <v>0.0</v>
      </c>
      <c r="P39" s="19">
        <v>0.0</v>
      </c>
      <c r="Q39" s="19">
        <v>0.0</v>
      </c>
      <c r="R39" s="19">
        <v>0.0</v>
      </c>
      <c r="S39" s="19">
        <v>0.0</v>
      </c>
      <c r="T39" s="13">
        <f t="shared" ref="T39:T41" si="12">SUM(E39:S39)</f>
        <v>4</v>
      </c>
    </row>
    <row r="40" ht="12.75" customHeight="1">
      <c r="A40" s="33"/>
      <c r="C40" s="27"/>
      <c r="D40" s="19" t="s">
        <v>13</v>
      </c>
      <c r="E40" s="19">
        <v>3.0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4.0</v>
      </c>
      <c r="M40" s="19">
        <v>0.0</v>
      </c>
      <c r="N40" s="19">
        <v>0.0</v>
      </c>
      <c r="O40" s="19">
        <v>1.0</v>
      </c>
      <c r="P40" s="19">
        <v>0.0</v>
      </c>
      <c r="Q40" s="19">
        <v>0.0</v>
      </c>
      <c r="R40" s="19">
        <v>0.0</v>
      </c>
      <c r="S40" s="19">
        <v>0.0</v>
      </c>
      <c r="T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5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1</v>
      </c>
      <c r="K41" s="13">
        <f t="shared" si="13"/>
        <v>0</v>
      </c>
      <c r="L41" s="13">
        <f t="shared" si="13"/>
        <v>5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2"/>
        <v>12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9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9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1.0</v>
      </c>
      <c r="G45" s="19">
        <v>3.0</v>
      </c>
      <c r="H45" s="19">
        <v>4.0</v>
      </c>
      <c r="I45" s="19">
        <v>11.0</v>
      </c>
      <c r="J45" s="19">
        <v>9.0</v>
      </c>
      <c r="K45" s="19">
        <v>6.0</v>
      </c>
      <c r="L45" s="19">
        <v>7.0</v>
      </c>
      <c r="M45" s="19">
        <v>7.0</v>
      </c>
      <c r="N45" s="19">
        <v>1.0</v>
      </c>
      <c r="O45" s="19">
        <v>5.0</v>
      </c>
      <c r="P45" s="19">
        <v>12.0</v>
      </c>
      <c r="Q45" s="19">
        <v>1.0</v>
      </c>
      <c r="R45" s="19">
        <v>9.0</v>
      </c>
      <c r="S45" s="19">
        <v>1.0</v>
      </c>
      <c r="T45" s="13">
        <f t="shared" ref="T45:T54" si="14">SUM(E45:S45)</f>
        <v>80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4.0</v>
      </c>
      <c r="G46" s="19">
        <v>5.0</v>
      </c>
      <c r="H46" s="19">
        <v>6.0</v>
      </c>
      <c r="I46" s="19">
        <v>28.0</v>
      </c>
      <c r="J46" s="19">
        <v>13.0</v>
      </c>
      <c r="K46" s="19">
        <v>7.0</v>
      </c>
      <c r="L46" s="19">
        <v>10.0</v>
      </c>
      <c r="M46" s="19">
        <v>7.0</v>
      </c>
      <c r="N46" s="19">
        <v>45.0</v>
      </c>
      <c r="O46" s="19">
        <v>27.0</v>
      </c>
      <c r="P46" s="19">
        <v>22.0</v>
      </c>
      <c r="Q46" s="19">
        <v>25.0</v>
      </c>
      <c r="R46" s="19">
        <v>16.0</v>
      </c>
      <c r="S46" s="19">
        <v>2.0</v>
      </c>
      <c r="T46" s="13">
        <f t="shared" si="14"/>
        <v>221</v>
      </c>
    </row>
    <row r="47" ht="12.75" customHeight="1">
      <c r="A47" s="18"/>
      <c r="B47" s="55">
        <v>2.0</v>
      </c>
      <c r="C47" s="50" t="s">
        <v>41</v>
      </c>
      <c r="D47" s="16"/>
      <c r="E47" s="19">
        <v>4.0</v>
      </c>
      <c r="F47" s="19">
        <v>4.0</v>
      </c>
      <c r="G47" s="19">
        <v>6.0</v>
      </c>
      <c r="H47" s="19">
        <v>1.0</v>
      </c>
      <c r="I47" s="19">
        <v>14.0</v>
      </c>
      <c r="J47" s="19">
        <v>7.0</v>
      </c>
      <c r="K47" s="19">
        <v>3.0</v>
      </c>
      <c r="L47" s="19">
        <v>5.0</v>
      </c>
      <c r="M47" s="19">
        <v>5.0</v>
      </c>
      <c r="N47" s="19">
        <v>1.0</v>
      </c>
      <c r="O47" s="19">
        <v>3.0</v>
      </c>
      <c r="P47" s="19">
        <v>4.0</v>
      </c>
      <c r="Q47" s="19">
        <v>3.0</v>
      </c>
      <c r="R47" s="19">
        <v>3.0</v>
      </c>
      <c r="S47" s="19">
        <v>2.0</v>
      </c>
      <c r="T47" s="13">
        <f t="shared" si="14"/>
        <v>65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0.0</v>
      </c>
      <c r="I48" s="19">
        <v>1.0</v>
      </c>
      <c r="J48" s="19">
        <v>1.0</v>
      </c>
      <c r="K48" s="19">
        <v>0.0</v>
      </c>
      <c r="L48" s="19">
        <v>2.0</v>
      </c>
      <c r="M48" s="19">
        <v>0.0</v>
      </c>
      <c r="N48" s="19">
        <v>1.0</v>
      </c>
      <c r="O48" s="19">
        <v>0.0</v>
      </c>
      <c r="P48" s="19">
        <v>1.0</v>
      </c>
      <c r="Q48" s="19">
        <v>0.0</v>
      </c>
      <c r="R48" s="19">
        <v>1.0</v>
      </c>
      <c r="S48" s="19">
        <v>0.0</v>
      </c>
      <c r="T48" s="13">
        <f t="shared" si="14"/>
        <v>9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1.0</v>
      </c>
      <c r="G49" s="19">
        <v>1.0</v>
      </c>
      <c r="H49" s="19">
        <v>1.0</v>
      </c>
      <c r="I49" s="19">
        <v>0.0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2.0</v>
      </c>
      <c r="Q49" s="19">
        <v>0.0</v>
      </c>
      <c r="R49" s="19">
        <v>1.0</v>
      </c>
      <c r="S49" s="19">
        <v>0.0</v>
      </c>
      <c r="T49" s="13">
        <f t="shared" si="14"/>
        <v>8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1.0</v>
      </c>
      <c r="L50" s="19">
        <v>2.0</v>
      </c>
      <c r="M50" s="19">
        <v>2.0</v>
      </c>
      <c r="N50" s="19">
        <v>1.0</v>
      </c>
      <c r="O50" s="19">
        <v>1.0</v>
      </c>
      <c r="P50" s="19">
        <v>0.0</v>
      </c>
      <c r="Q50" s="19">
        <v>1.0</v>
      </c>
      <c r="R50" s="19">
        <v>2.0</v>
      </c>
      <c r="S50" s="19">
        <v>0.0</v>
      </c>
      <c r="T50" s="13">
        <f t="shared" si="14"/>
        <v>10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2.0</v>
      </c>
      <c r="G51" s="19">
        <v>1.0</v>
      </c>
      <c r="H51" s="19">
        <v>0.0</v>
      </c>
      <c r="I51" s="19">
        <v>0.0</v>
      </c>
      <c r="J51" s="19">
        <v>0.0</v>
      </c>
      <c r="K51" s="19">
        <v>0.0</v>
      </c>
      <c r="L51" s="19">
        <v>1.0</v>
      </c>
      <c r="M51" s="19">
        <v>0.0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9">
        <v>0.0</v>
      </c>
      <c r="T51" s="13">
        <f t="shared" si="14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1.0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1.0</v>
      </c>
      <c r="R52" s="19">
        <v>0.0</v>
      </c>
      <c r="S52" s="19">
        <v>0.0</v>
      </c>
      <c r="T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T55" si="15">SUM(E45:E54)</f>
        <v>12</v>
      </c>
      <c r="F55" s="13">
        <f t="shared" si="15"/>
        <v>12</v>
      </c>
      <c r="G55" s="13">
        <f t="shared" si="15"/>
        <v>17</v>
      </c>
      <c r="H55" s="13">
        <f t="shared" si="15"/>
        <v>12</v>
      </c>
      <c r="I55" s="13">
        <f t="shared" si="15"/>
        <v>54</v>
      </c>
      <c r="J55" s="13">
        <f t="shared" si="15"/>
        <v>31</v>
      </c>
      <c r="K55" s="13">
        <f t="shared" si="15"/>
        <v>19</v>
      </c>
      <c r="L55" s="13">
        <f t="shared" si="15"/>
        <v>27</v>
      </c>
      <c r="M55" s="13">
        <f t="shared" si="15"/>
        <v>21</v>
      </c>
      <c r="N55" s="13">
        <f t="shared" si="15"/>
        <v>49</v>
      </c>
      <c r="O55" s="13">
        <f t="shared" si="15"/>
        <v>36</v>
      </c>
      <c r="P55" s="13">
        <f t="shared" si="15"/>
        <v>41</v>
      </c>
      <c r="Q55" s="13">
        <f t="shared" si="15"/>
        <v>32</v>
      </c>
      <c r="R55" s="13">
        <f t="shared" si="15"/>
        <v>32</v>
      </c>
      <c r="S55" s="13">
        <f t="shared" si="15"/>
        <v>5</v>
      </c>
      <c r="T55" s="13">
        <f t="shared" si="15"/>
        <v>400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12.0</v>
      </c>
      <c r="F57" s="19">
        <v>15.0</v>
      </c>
      <c r="G57" s="19">
        <v>11.0</v>
      </c>
      <c r="H57" s="19">
        <v>16.0</v>
      </c>
      <c r="I57" s="19">
        <v>9.0</v>
      </c>
      <c r="J57" s="19">
        <v>9.0</v>
      </c>
      <c r="K57" s="19">
        <v>13.0</v>
      </c>
      <c r="L57" s="19">
        <v>4.0</v>
      </c>
      <c r="M57" s="19">
        <v>11.0</v>
      </c>
      <c r="N57" s="19">
        <v>14.0</v>
      </c>
      <c r="O57" s="19">
        <v>12.0</v>
      </c>
      <c r="P57" s="19">
        <v>10.0</v>
      </c>
      <c r="Q57" s="19">
        <v>11.0</v>
      </c>
      <c r="R57" s="19">
        <v>2.0</v>
      </c>
      <c r="S57" s="19">
        <v>6.0</v>
      </c>
      <c r="T57" s="13">
        <f t="shared" ref="T57:T66" si="16">SUM(E57:S57)</f>
        <v>155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7.0</v>
      </c>
      <c r="G58" s="19">
        <v>8.0</v>
      </c>
      <c r="H58" s="19">
        <v>11.0</v>
      </c>
      <c r="I58" s="19">
        <v>20.0</v>
      </c>
      <c r="J58" s="19">
        <v>11.0</v>
      </c>
      <c r="K58" s="19">
        <v>9.0</v>
      </c>
      <c r="L58" s="19">
        <v>20.0</v>
      </c>
      <c r="M58" s="19">
        <v>18.0</v>
      </c>
      <c r="N58" s="19">
        <v>27.0</v>
      </c>
      <c r="O58" s="19">
        <v>50.0</v>
      </c>
      <c r="P58" s="19">
        <v>9.0</v>
      </c>
      <c r="Q58" s="19">
        <v>11.0</v>
      </c>
      <c r="R58" s="19">
        <v>22.0</v>
      </c>
      <c r="S58" s="19">
        <v>14.0</v>
      </c>
      <c r="T58" s="13">
        <f t="shared" si="16"/>
        <v>247</v>
      </c>
    </row>
    <row r="59" ht="12.75" customHeight="1">
      <c r="A59" s="18"/>
      <c r="B59" s="55">
        <v>2.0</v>
      </c>
      <c r="C59" s="50" t="s">
        <v>50</v>
      </c>
      <c r="D59" s="59"/>
      <c r="E59" s="19">
        <v>6.0</v>
      </c>
      <c r="F59" s="19">
        <v>7.0</v>
      </c>
      <c r="G59" s="19">
        <v>6.0</v>
      </c>
      <c r="H59" s="19">
        <v>1.0</v>
      </c>
      <c r="I59" s="19">
        <v>3.0</v>
      </c>
      <c r="J59" s="19">
        <v>2.0</v>
      </c>
      <c r="K59" s="19">
        <v>5.0</v>
      </c>
      <c r="L59" s="19">
        <v>11.0</v>
      </c>
      <c r="M59" s="19">
        <v>6.0</v>
      </c>
      <c r="N59" s="19">
        <v>4.0</v>
      </c>
      <c r="O59" s="19">
        <v>12.0</v>
      </c>
      <c r="P59" s="19">
        <v>4.0</v>
      </c>
      <c r="Q59" s="19">
        <v>1.0</v>
      </c>
      <c r="R59" s="19">
        <v>1.0</v>
      </c>
      <c r="S59" s="19">
        <v>5.0</v>
      </c>
      <c r="T59" s="13">
        <f t="shared" si="16"/>
        <v>74</v>
      </c>
    </row>
    <row r="60" ht="12.75" customHeight="1">
      <c r="A60" s="18"/>
      <c r="B60" s="55">
        <v>3.0</v>
      </c>
      <c r="C60" s="50" t="s">
        <v>51</v>
      </c>
      <c r="D60" s="59"/>
      <c r="E60" s="19">
        <v>3.0</v>
      </c>
      <c r="F60" s="19">
        <v>0.0</v>
      </c>
      <c r="G60" s="19">
        <v>1.0</v>
      </c>
      <c r="H60" s="19">
        <v>0.0</v>
      </c>
      <c r="I60" s="19">
        <v>0.0</v>
      </c>
      <c r="J60" s="19">
        <v>0.0</v>
      </c>
      <c r="K60" s="19">
        <v>1.0</v>
      </c>
      <c r="L60" s="19">
        <v>1.0</v>
      </c>
      <c r="M60" s="19">
        <v>0.0</v>
      </c>
      <c r="N60" s="19">
        <v>1.0</v>
      </c>
      <c r="O60" s="19">
        <v>1.0</v>
      </c>
      <c r="P60" s="19">
        <v>2.0</v>
      </c>
      <c r="Q60" s="19">
        <v>1.0</v>
      </c>
      <c r="R60" s="19">
        <v>1.0</v>
      </c>
      <c r="S60" s="19">
        <v>0.0</v>
      </c>
      <c r="T60" s="13">
        <f t="shared" si="16"/>
        <v>12</v>
      </c>
    </row>
    <row r="61" ht="12.75" customHeight="1">
      <c r="A61" s="18"/>
      <c r="B61" s="55">
        <v>4.0</v>
      </c>
      <c r="C61" s="50" t="s">
        <v>52</v>
      </c>
      <c r="D61" s="59"/>
      <c r="E61" s="19">
        <v>1.0</v>
      </c>
      <c r="F61" s="19">
        <v>3.0</v>
      </c>
      <c r="G61" s="19">
        <v>3.0</v>
      </c>
      <c r="H61" s="19">
        <v>9.0</v>
      </c>
      <c r="I61" s="19">
        <v>0.0</v>
      </c>
      <c r="J61" s="19">
        <v>1.0</v>
      </c>
      <c r="K61" s="19">
        <v>1.0</v>
      </c>
      <c r="L61" s="19">
        <v>0.0</v>
      </c>
      <c r="M61" s="19">
        <v>2.0</v>
      </c>
      <c r="N61" s="19">
        <v>0.0</v>
      </c>
      <c r="O61" s="19">
        <v>3.0</v>
      </c>
      <c r="P61" s="19">
        <v>2.0</v>
      </c>
      <c r="Q61" s="19">
        <v>2.0</v>
      </c>
      <c r="R61" s="19">
        <v>2.0</v>
      </c>
      <c r="S61" s="19">
        <v>0.0</v>
      </c>
      <c r="T61" s="13">
        <f t="shared" si="16"/>
        <v>29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3">
        <f t="shared" si="16"/>
        <v>2</v>
      </c>
    </row>
    <row r="63" ht="12.75" customHeight="1">
      <c r="A63" s="18"/>
      <c r="B63" s="55">
        <v>6.0</v>
      </c>
      <c r="C63" s="50" t="s">
        <v>54</v>
      </c>
      <c r="D63" s="60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2.0</v>
      </c>
      <c r="L63" s="19">
        <v>1.0</v>
      </c>
      <c r="M63" s="19">
        <v>1.0</v>
      </c>
      <c r="N63" s="19">
        <v>0.0</v>
      </c>
      <c r="O63" s="19">
        <v>1.0</v>
      </c>
      <c r="P63" s="19">
        <v>1.0</v>
      </c>
      <c r="Q63" s="19">
        <v>0.0</v>
      </c>
      <c r="R63" s="19">
        <v>1.0</v>
      </c>
      <c r="S63" s="19">
        <v>0.0</v>
      </c>
      <c r="T63" s="13">
        <f t="shared" si="16"/>
        <v>7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2.0</v>
      </c>
      <c r="G64" s="19">
        <v>2.0</v>
      </c>
      <c r="H64" s="19">
        <v>0.0</v>
      </c>
      <c r="I64" s="19">
        <v>1.0</v>
      </c>
      <c r="J64" s="19">
        <v>0.0</v>
      </c>
      <c r="K64" s="19">
        <v>0.0</v>
      </c>
      <c r="L64" s="19">
        <v>0.0</v>
      </c>
      <c r="M64" s="19">
        <v>1.0</v>
      </c>
      <c r="N64" s="19">
        <v>0.0</v>
      </c>
      <c r="O64" s="19">
        <v>0.0</v>
      </c>
      <c r="P64" s="19">
        <v>1.0</v>
      </c>
      <c r="Q64" s="19">
        <v>0.0</v>
      </c>
      <c r="R64" s="19">
        <v>0.0</v>
      </c>
      <c r="S64" s="19">
        <v>0.0</v>
      </c>
      <c r="T64" s="13">
        <f t="shared" si="16"/>
        <v>7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T67" si="17">SUM(E57:E66)</f>
        <v>32</v>
      </c>
      <c r="F67" s="13">
        <f t="shared" si="17"/>
        <v>34</v>
      </c>
      <c r="G67" s="13">
        <f t="shared" si="17"/>
        <v>32</v>
      </c>
      <c r="H67" s="13">
        <f t="shared" si="17"/>
        <v>37</v>
      </c>
      <c r="I67" s="13">
        <f t="shared" si="17"/>
        <v>33</v>
      </c>
      <c r="J67" s="13">
        <f t="shared" si="17"/>
        <v>23</v>
      </c>
      <c r="K67" s="13">
        <f t="shared" si="17"/>
        <v>31</v>
      </c>
      <c r="L67" s="13">
        <f t="shared" si="17"/>
        <v>37</v>
      </c>
      <c r="M67" s="13">
        <f t="shared" si="17"/>
        <v>40</v>
      </c>
      <c r="N67" s="13">
        <f t="shared" si="17"/>
        <v>46</v>
      </c>
      <c r="O67" s="13">
        <f t="shared" si="17"/>
        <v>79</v>
      </c>
      <c r="P67" s="13">
        <f t="shared" si="17"/>
        <v>29</v>
      </c>
      <c r="Q67" s="13">
        <f t="shared" si="17"/>
        <v>26</v>
      </c>
      <c r="R67" s="13">
        <f t="shared" si="17"/>
        <v>29</v>
      </c>
      <c r="S67" s="13">
        <f t="shared" si="17"/>
        <v>25</v>
      </c>
      <c r="T67" s="13">
        <f t="shared" si="17"/>
        <v>533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15.0</v>
      </c>
      <c r="F69" s="19">
        <v>14.0</v>
      </c>
      <c r="G69" s="19">
        <v>17.0</v>
      </c>
      <c r="H69" s="19">
        <v>7.0</v>
      </c>
      <c r="I69" s="19">
        <v>8.0</v>
      </c>
      <c r="J69" s="19">
        <v>4.0</v>
      </c>
      <c r="K69" s="19">
        <v>7.0</v>
      </c>
      <c r="L69" s="19">
        <v>3.0</v>
      </c>
      <c r="M69" s="19">
        <v>8.0</v>
      </c>
      <c r="N69" s="19">
        <v>1.0</v>
      </c>
      <c r="O69" s="19">
        <v>0.0</v>
      </c>
      <c r="P69" s="19">
        <v>12.0</v>
      </c>
      <c r="Q69" s="19">
        <v>6.0</v>
      </c>
      <c r="R69" s="19">
        <v>4.0</v>
      </c>
      <c r="S69" s="19">
        <v>2.0</v>
      </c>
      <c r="T69" s="13">
        <f t="shared" ref="T69:T78" si="18">SUM(E69:S69)</f>
        <v>108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36.0</v>
      </c>
      <c r="F70" s="19">
        <v>18.0</v>
      </c>
      <c r="G70" s="19">
        <v>15.0</v>
      </c>
      <c r="H70" s="19">
        <v>27.0</v>
      </c>
      <c r="I70" s="19">
        <v>23.0</v>
      </c>
      <c r="J70" s="19">
        <v>32.0</v>
      </c>
      <c r="K70" s="19">
        <v>8.0</v>
      </c>
      <c r="L70" s="19">
        <v>7.0</v>
      </c>
      <c r="M70" s="19">
        <v>7.0</v>
      </c>
      <c r="N70" s="19">
        <v>8.0</v>
      </c>
      <c r="O70" s="19">
        <v>4.0</v>
      </c>
      <c r="P70" s="19">
        <v>39.0</v>
      </c>
      <c r="Q70" s="19">
        <v>32.0</v>
      </c>
      <c r="R70" s="19">
        <v>5.0</v>
      </c>
      <c r="S70" s="19">
        <v>3.0</v>
      </c>
      <c r="T70" s="13">
        <f t="shared" si="18"/>
        <v>264</v>
      </c>
    </row>
    <row r="71" ht="12.75" customHeight="1">
      <c r="A71" s="18"/>
      <c r="B71" s="55">
        <v>2.0</v>
      </c>
      <c r="C71" s="50" t="s">
        <v>58</v>
      </c>
      <c r="D71" s="60"/>
      <c r="E71" s="19">
        <v>8.0</v>
      </c>
      <c r="F71" s="19">
        <v>7.0</v>
      </c>
      <c r="G71" s="19">
        <v>8.0</v>
      </c>
      <c r="H71" s="19">
        <v>9.0</v>
      </c>
      <c r="I71" s="19">
        <v>2.0</v>
      </c>
      <c r="J71" s="19">
        <v>0.0</v>
      </c>
      <c r="K71" s="19">
        <v>7.0</v>
      </c>
      <c r="L71" s="19">
        <v>4.0</v>
      </c>
      <c r="M71" s="19">
        <v>3.0</v>
      </c>
      <c r="N71" s="19">
        <v>3.0</v>
      </c>
      <c r="O71" s="19">
        <v>4.0</v>
      </c>
      <c r="P71" s="19">
        <v>0.0</v>
      </c>
      <c r="Q71" s="19">
        <v>9.0</v>
      </c>
      <c r="R71" s="19">
        <v>2.0</v>
      </c>
      <c r="S71" s="19">
        <v>0.0</v>
      </c>
      <c r="T71" s="13">
        <f t="shared" si="18"/>
        <v>66</v>
      </c>
    </row>
    <row r="72" ht="12.75" customHeight="1">
      <c r="A72" s="18"/>
      <c r="B72" s="55">
        <v>3.0</v>
      </c>
      <c r="C72" s="50" t="s">
        <v>59</v>
      </c>
      <c r="D72" s="60"/>
      <c r="E72" s="19">
        <v>7.0</v>
      </c>
      <c r="F72" s="19">
        <v>16.0</v>
      </c>
      <c r="G72" s="19">
        <v>11.0</v>
      </c>
      <c r="H72" s="19">
        <v>11.0</v>
      </c>
      <c r="I72" s="19">
        <v>4.0</v>
      </c>
      <c r="J72" s="19">
        <v>0.0</v>
      </c>
      <c r="K72" s="19">
        <v>2.0</v>
      </c>
      <c r="L72" s="19">
        <v>1.0</v>
      </c>
      <c r="M72" s="19">
        <v>6.0</v>
      </c>
      <c r="N72" s="19">
        <v>4.0</v>
      </c>
      <c r="O72" s="19">
        <v>7.0</v>
      </c>
      <c r="P72" s="19">
        <v>0.0</v>
      </c>
      <c r="Q72" s="19">
        <v>0.0</v>
      </c>
      <c r="R72" s="19">
        <v>49.0</v>
      </c>
      <c r="S72" s="19">
        <v>4.0</v>
      </c>
      <c r="T72" s="13">
        <f t="shared" si="18"/>
        <v>122</v>
      </c>
    </row>
    <row r="73" ht="12.75" customHeight="1">
      <c r="A73" s="18"/>
      <c r="B73" s="55">
        <v>4.0</v>
      </c>
      <c r="C73" s="50" t="s">
        <v>60</v>
      </c>
      <c r="D73" s="60"/>
      <c r="E73" s="19">
        <v>1.0</v>
      </c>
      <c r="F73" s="19">
        <v>1.0</v>
      </c>
      <c r="G73" s="19">
        <v>1.0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9">
        <v>3.0</v>
      </c>
      <c r="O73" s="19">
        <v>0.0</v>
      </c>
      <c r="P73" s="19">
        <v>0.0</v>
      </c>
      <c r="Q73" s="19">
        <v>0.0</v>
      </c>
      <c r="R73" s="19">
        <v>0.0</v>
      </c>
      <c r="S73" s="19">
        <v>0.0</v>
      </c>
      <c r="T73" s="13">
        <f t="shared" si="18"/>
        <v>7</v>
      </c>
    </row>
    <row r="74" ht="12.75" customHeight="1">
      <c r="A74" s="18"/>
      <c r="B74" s="55">
        <v>5.0</v>
      </c>
      <c r="C74" s="50" t="s">
        <v>61</v>
      </c>
      <c r="D74" s="60"/>
      <c r="E74" s="19">
        <v>21.0</v>
      </c>
      <c r="F74" s="19">
        <v>8.0</v>
      </c>
      <c r="G74" s="19">
        <v>21.0</v>
      </c>
      <c r="H74" s="19">
        <v>5.0</v>
      </c>
      <c r="I74" s="19">
        <v>20.0</v>
      </c>
      <c r="J74" s="19">
        <v>36.0</v>
      </c>
      <c r="K74" s="19">
        <v>11.0</v>
      </c>
      <c r="L74" s="19">
        <v>21.0</v>
      </c>
      <c r="M74" s="19">
        <v>34.0</v>
      </c>
      <c r="N74" s="19">
        <v>1.0</v>
      </c>
      <c r="O74" s="19">
        <v>2.0</v>
      </c>
      <c r="P74" s="19">
        <v>2.0</v>
      </c>
      <c r="Q74" s="19">
        <v>5.0</v>
      </c>
      <c r="R74" s="19">
        <v>15.0</v>
      </c>
      <c r="S74" s="19">
        <v>3.0</v>
      </c>
      <c r="T74" s="13">
        <f t="shared" si="18"/>
        <v>205</v>
      </c>
    </row>
    <row r="75" ht="12.75" customHeight="1">
      <c r="A75" s="18"/>
      <c r="B75" s="55">
        <v>6.0</v>
      </c>
      <c r="C75" s="50" t="s">
        <v>62</v>
      </c>
      <c r="D75" s="60"/>
      <c r="E75" s="19">
        <v>0.0</v>
      </c>
      <c r="F75" s="19">
        <v>1.0</v>
      </c>
      <c r="G75" s="19">
        <v>0.0</v>
      </c>
      <c r="H75" s="19">
        <v>1.0</v>
      </c>
      <c r="I75" s="19">
        <v>0.0</v>
      </c>
      <c r="J75" s="19">
        <v>1.0</v>
      </c>
      <c r="K75" s="19">
        <v>1.0</v>
      </c>
      <c r="L75" s="19">
        <v>2.0</v>
      </c>
      <c r="M75" s="19">
        <v>0.0</v>
      </c>
      <c r="N75" s="19">
        <v>0.0</v>
      </c>
      <c r="O75" s="19">
        <v>0.0</v>
      </c>
      <c r="P75" s="19">
        <v>1.0</v>
      </c>
      <c r="Q75" s="19">
        <v>0.0</v>
      </c>
      <c r="R75" s="19">
        <v>0.0</v>
      </c>
      <c r="S75" s="19">
        <v>0.0</v>
      </c>
      <c r="T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1.0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9">
        <v>0.0</v>
      </c>
      <c r="T76" s="13">
        <f t="shared" si="18"/>
        <v>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T79" si="19">SUM(E69:E78)</f>
        <v>89</v>
      </c>
      <c r="F79" s="13">
        <f t="shared" si="19"/>
        <v>65</v>
      </c>
      <c r="G79" s="13">
        <f t="shared" si="19"/>
        <v>73</v>
      </c>
      <c r="H79" s="13">
        <f t="shared" si="19"/>
        <v>61</v>
      </c>
      <c r="I79" s="13">
        <f t="shared" si="19"/>
        <v>57</v>
      </c>
      <c r="J79" s="13">
        <f t="shared" si="19"/>
        <v>73</v>
      </c>
      <c r="K79" s="13">
        <f t="shared" si="19"/>
        <v>36</v>
      </c>
      <c r="L79" s="13">
        <f t="shared" si="19"/>
        <v>39</v>
      </c>
      <c r="M79" s="13">
        <f t="shared" si="19"/>
        <v>58</v>
      </c>
      <c r="N79" s="13">
        <f t="shared" si="19"/>
        <v>20</v>
      </c>
      <c r="O79" s="13">
        <f t="shared" si="19"/>
        <v>17</v>
      </c>
      <c r="P79" s="13">
        <f t="shared" si="19"/>
        <v>54</v>
      </c>
      <c r="Q79" s="13">
        <f t="shared" si="19"/>
        <v>53</v>
      </c>
      <c r="R79" s="13">
        <f t="shared" si="19"/>
        <v>75</v>
      </c>
      <c r="S79" s="13">
        <f t="shared" si="19"/>
        <v>12</v>
      </c>
      <c r="T79" s="13">
        <f t="shared" si="19"/>
        <v>782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2.0</v>
      </c>
      <c r="F81" s="19">
        <v>1.0</v>
      </c>
      <c r="G81" s="19">
        <v>0.0</v>
      </c>
      <c r="H81" s="19">
        <v>4.0</v>
      </c>
      <c r="I81" s="19">
        <v>1.0</v>
      </c>
      <c r="J81" s="19">
        <v>5.0</v>
      </c>
      <c r="K81" s="19">
        <v>3.0</v>
      </c>
      <c r="L81" s="19">
        <v>6.0</v>
      </c>
      <c r="M81" s="19">
        <v>4.0</v>
      </c>
      <c r="N81" s="19">
        <v>1.0</v>
      </c>
      <c r="O81" s="19">
        <v>0.0</v>
      </c>
      <c r="P81" s="19">
        <v>2.0</v>
      </c>
      <c r="Q81" s="19">
        <v>5.0</v>
      </c>
      <c r="R81" s="19">
        <v>1.0</v>
      </c>
      <c r="S81" s="19">
        <v>2.0</v>
      </c>
      <c r="T81" s="13">
        <f t="shared" ref="T81:T90" si="20">SUM(E81:S81)</f>
        <v>37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11.0</v>
      </c>
      <c r="F82" s="19">
        <v>5.0</v>
      </c>
      <c r="G82" s="19">
        <v>5.0</v>
      </c>
      <c r="H82" s="19">
        <v>16.0</v>
      </c>
      <c r="I82" s="19">
        <v>6.0</v>
      </c>
      <c r="J82" s="19">
        <v>20.0</v>
      </c>
      <c r="K82" s="19">
        <v>7.0</v>
      </c>
      <c r="L82" s="19">
        <v>13.0</v>
      </c>
      <c r="M82" s="19">
        <v>5.0</v>
      </c>
      <c r="N82" s="19">
        <v>10.0</v>
      </c>
      <c r="O82" s="19">
        <v>9.0</v>
      </c>
      <c r="P82" s="19">
        <v>2.0</v>
      </c>
      <c r="Q82" s="19">
        <v>6.0</v>
      </c>
      <c r="R82" s="19">
        <v>6.0</v>
      </c>
      <c r="S82" s="19">
        <v>2.0</v>
      </c>
      <c r="T82" s="13">
        <f t="shared" si="20"/>
        <v>123</v>
      </c>
    </row>
    <row r="83" ht="12.75" customHeight="1">
      <c r="A83" s="18"/>
      <c r="B83" s="55">
        <v>2.0</v>
      </c>
      <c r="C83" s="50" t="s">
        <v>66</v>
      </c>
      <c r="D83" s="60"/>
      <c r="E83" s="19">
        <v>0.0</v>
      </c>
      <c r="F83" s="19">
        <v>1.0</v>
      </c>
      <c r="G83" s="19">
        <v>1.0</v>
      </c>
      <c r="H83" s="19">
        <v>5.0</v>
      </c>
      <c r="I83" s="19">
        <v>1.0</v>
      </c>
      <c r="J83" s="19">
        <v>0.0</v>
      </c>
      <c r="K83" s="19">
        <v>6.0</v>
      </c>
      <c r="L83" s="19">
        <v>6.0</v>
      </c>
      <c r="M83" s="19">
        <v>5.0</v>
      </c>
      <c r="N83" s="19">
        <v>1.0</v>
      </c>
      <c r="O83" s="19">
        <v>2.0</v>
      </c>
      <c r="P83" s="19">
        <v>2.0</v>
      </c>
      <c r="Q83" s="19">
        <v>3.0</v>
      </c>
      <c r="R83" s="19">
        <v>3.0</v>
      </c>
      <c r="S83" s="19">
        <v>3.0</v>
      </c>
      <c r="T83" s="13">
        <f t="shared" si="20"/>
        <v>39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0.0</v>
      </c>
      <c r="K84" s="19">
        <v>1.0</v>
      </c>
      <c r="L84" s="19">
        <v>1.0</v>
      </c>
      <c r="M84" s="19">
        <v>0.0</v>
      </c>
      <c r="N84" s="19">
        <v>0.0</v>
      </c>
      <c r="O84" s="19">
        <v>0.0</v>
      </c>
      <c r="P84" s="19">
        <v>1.0</v>
      </c>
      <c r="Q84" s="19">
        <v>0.0</v>
      </c>
      <c r="R84" s="19">
        <v>1.0</v>
      </c>
      <c r="S84" s="19">
        <v>0.0</v>
      </c>
      <c r="T84" s="13">
        <f t="shared" si="20"/>
        <v>4</v>
      </c>
    </row>
    <row r="85" ht="12.75" customHeight="1">
      <c r="A85" s="18"/>
      <c r="B85" s="55">
        <v>4.0</v>
      </c>
      <c r="C85" s="50" t="s">
        <v>68</v>
      </c>
      <c r="D85" s="60"/>
      <c r="E85" s="19">
        <v>1.0</v>
      </c>
      <c r="F85" s="19">
        <v>0.0</v>
      </c>
      <c r="G85" s="19">
        <v>1.0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0.0</v>
      </c>
      <c r="N85" s="19">
        <v>1.0</v>
      </c>
      <c r="O85" s="19">
        <v>0.0</v>
      </c>
      <c r="P85" s="19">
        <v>0.0</v>
      </c>
      <c r="Q85" s="19">
        <v>0.0</v>
      </c>
      <c r="R85" s="19">
        <v>2.0</v>
      </c>
      <c r="S85" s="19">
        <v>0.0</v>
      </c>
      <c r="T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2.0</v>
      </c>
      <c r="G86" s="19">
        <v>0.0</v>
      </c>
      <c r="H86" s="19">
        <v>1.0</v>
      </c>
      <c r="I86" s="19">
        <v>2.0</v>
      </c>
      <c r="J86" s="19">
        <v>0.0</v>
      </c>
      <c r="K86" s="19">
        <v>1.0</v>
      </c>
      <c r="L86" s="19">
        <v>2.0</v>
      </c>
      <c r="M86" s="19">
        <v>5.0</v>
      </c>
      <c r="N86" s="19">
        <v>0.0</v>
      </c>
      <c r="O86" s="19">
        <v>0.0</v>
      </c>
      <c r="P86" s="19">
        <v>0.0</v>
      </c>
      <c r="Q86" s="19">
        <v>1.0</v>
      </c>
      <c r="R86" s="19">
        <v>0.0</v>
      </c>
      <c r="S86" s="19">
        <v>0.0</v>
      </c>
      <c r="T86" s="13">
        <f t="shared" si="20"/>
        <v>14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1.0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1.0</v>
      </c>
      <c r="M87" s="19">
        <v>0.0</v>
      </c>
      <c r="N87" s="19">
        <v>0.0</v>
      </c>
      <c r="O87" s="19">
        <v>0.0</v>
      </c>
      <c r="P87" s="19">
        <v>0.0</v>
      </c>
      <c r="Q87" s="19">
        <v>1.0</v>
      </c>
      <c r="R87" s="19">
        <v>0.0</v>
      </c>
      <c r="S87" s="19">
        <v>0.0</v>
      </c>
      <c r="T87" s="13">
        <f t="shared" si="20"/>
        <v>3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3">
        <f t="shared" si="20"/>
        <v>1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T91" si="21">SUM(E81:E90)</f>
        <v>14</v>
      </c>
      <c r="F91" s="13">
        <f t="shared" si="21"/>
        <v>10</v>
      </c>
      <c r="G91" s="13">
        <f t="shared" si="21"/>
        <v>7</v>
      </c>
      <c r="H91" s="13">
        <f t="shared" si="21"/>
        <v>26</v>
      </c>
      <c r="I91" s="13">
        <f t="shared" si="21"/>
        <v>10</v>
      </c>
      <c r="J91" s="13">
        <f t="shared" si="21"/>
        <v>25</v>
      </c>
      <c r="K91" s="13">
        <f t="shared" si="21"/>
        <v>18</v>
      </c>
      <c r="L91" s="13">
        <f t="shared" si="21"/>
        <v>30</v>
      </c>
      <c r="M91" s="13">
        <f t="shared" si="21"/>
        <v>19</v>
      </c>
      <c r="N91" s="13">
        <f t="shared" si="21"/>
        <v>13</v>
      </c>
      <c r="O91" s="13">
        <f t="shared" si="21"/>
        <v>11</v>
      </c>
      <c r="P91" s="13">
        <f t="shared" si="21"/>
        <v>7</v>
      </c>
      <c r="Q91" s="13">
        <f t="shared" si="21"/>
        <v>16</v>
      </c>
      <c r="R91" s="13">
        <f t="shared" si="21"/>
        <v>14</v>
      </c>
      <c r="S91" s="13">
        <f t="shared" si="21"/>
        <v>7</v>
      </c>
      <c r="T91" s="13">
        <f t="shared" si="21"/>
        <v>227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0.0</v>
      </c>
      <c r="I93" s="19">
        <v>0.0</v>
      </c>
      <c r="J93" s="19">
        <v>0.0</v>
      </c>
      <c r="K93" s="19">
        <v>1.0</v>
      </c>
      <c r="L93" s="19">
        <v>2.0</v>
      </c>
      <c r="M93" s="19">
        <v>3.0</v>
      </c>
      <c r="N93" s="19">
        <v>0.0</v>
      </c>
      <c r="O93" s="19">
        <v>1.0</v>
      </c>
      <c r="P93" s="19">
        <v>0.0</v>
      </c>
      <c r="Q93" s="19">
        <v>0.0</v>
      </c>
      <c r="R93" s="19">
        <v>0.0</v>
      </c>
      <c r="S93" s="19">
        <v>0.0</v>
      </c>
      <c r="T93" s="13">
        <f t="shared" ref="T93:T102" si="22">SUM(E93:S93)</f>
        <v>8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0.0</v>
      </c>
      <c r="I94" s="19">
        <v>21.0</v>
      </c>
      <c r="J94" s="19">
        <v>6.0</v>
      </c>
      <c r="K94" s="19">
        <v>1.0</v>
      </c>
      <c r="L94" s="19">
        <v>0.0</v>
      </c>
      <c r="M94" s="19">
        <v>0.0</v>
      </c>
      <c r="N94" s="19">
        <v>4.0</v>
      </c>
      <c r="O94" s="19">
        <v>1.0</v>
      </c>
      <c r="P94" s="19">
        <v>2.0</v>
      </c>
      <c r="Q94" s="19">
        <v>4.0</v>
      </c>
      <c r="R94" s="19">
        <v>1.0</v>
      </c>
      <c r="S94" s="19">
        <v>1.0</v>
      </c>
      <c r="T94" s="13">
        <f t="shared" si="22"/>
        <v>41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1.0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3">
        <f t="shared" si="22"/>
        <v>2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1.0</v>
      </c>
      <c r="H97" s="19">
        <v>0.0</v>
      </c>
      <c r="I97" s="19">
        <v>0.0</v>
      </c>
      <c r="J97" s="19">
        <v>0.0</v>
      </c>
      <c r="K97" s="19">
        <v>3.0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3">
        <f t="shared" si="22"/>
        <v>4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1.0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1.0</v>
      </c>
      <c r="Q98" s="19">
        <v>0.0</v>
      </c>
      <c r="R98" s="19">
        <v>0.0</v>
      </c>
      <c r="S98" s="19">
        <v>1.0</v>
      </c>
      <c r="T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T103" si="23">SUM(E93:E102)</f>
        <v>1</v>
      </c>
      <c r="F103" s="13">
        <f t="shared" si="23"/>
        <v>1</v>
      </c>
      <c r="G103" s="13">
        <f t="shared" si="23"/>
        <v>2</v>
      </c>
      <c r="H103" s="13">
        <f t="shared" si="23"/>
        <v>0</v>
      </c>
      <c r="I103" s="13">
        <f t="shared" si="23"/>
        <v>22</v>
      </c>
      <c r="J103" s="13">
        <f t="shared" si="23"/>
        <v>6</v>
      </c>
      <c r="K103" s="13">
        <f t="shared" si="23"/>
        <v>5</v>
      </c>
      <c r="L103" s="13">
        <f t="shared" si="23"/>
        <v>2</v>
      </c>
      <c r="M103" s="13">
        <f t="shared" si="23"/>
        <v>3</v>
      </c>
      <c r="N103" s="13">
        <f t="shared" si="23"/>
        <v>4</v>
      </c>
      <c r="O103" s="13">
        <f t="shared" si="23"/>
        <v>2</v>
      </c>
      <c r="P103" s="13">
        <f t="shared" si="23"/>
        <v>3</v>
      </c>
      <c r="Q103" s="13">
        <f t="shared" si="23"/>
        <v>4</v>
      </c>
      <c r="R103" s="13">
        <f t="shared" si="23"/>
        <v>1</v>
      </c>
      <c r="S103" s="13">
        <f t="shared" si="23"/>
        <v>2</v>
      </c>
      <c r="T103" s="13">
        <f t="shared" si="23"/>
        <v>58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0.0</v>
      </c>
      <c r="R105" s="19">
        <v>2.0</v>
      </c>
      <c r="S105" s="19">
        <v>0.0</v>
      </c>
      <c r="T105" s="13">
        <f t="shared" ref="T105:T114" si="24">SUM(E105:S105)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3">
        <f t="shared" si="24"/>
        <v>1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T115" si="25">SUM(E105:E114)</f>
        <v>0</v>
      </c>
      <c r="F115" s="13">
        <f t="shared" si="25"/>
        <v>1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1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5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2.0</v>
      </c>
      <c r="H117" s="19">
        <v>1.0</v>
      </c>
      <c r="I117" s="19">
        <v>0.0</v>
      </c>
      <c r="J117" s="19">
        <v>0.0</v>
      </c>
      <c r="K117" s="19">
        <v>1.0</v>
      </c>
      <c r="L117" s="19">
        <v>3.0</v>
      </c>
      <c r="M117" s="19">
        <v>1.0</v>
      </c>
      <c r="N117" s="19">
        <v>0.0</v>
      </c>
      <c r="O117" s="19">
        <v>0.0</v>
      </c>
      <c r="P117" s="19">
        <v>1.0</v>
      </c>
      <c r="Q117" s="19">
        <v>0.0</v>
      </c>
      <c r="R117" s="19">
        <v>0.0</v>
      </c>
      <c r="S117" s="19">
        <v>0.0</v>
      </c>
      <c r="T117" s="13">
        <f t="shared" ref="T117:T126" si="26">SUM(E117:S117)</f>
        <v>10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1.0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3">
        <f t="shared" si="26"/>
        <v>2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1.0</v>
      </c>
      <c r="R119" s="19">
        <v>0.0</v>
      </c>
      <c r="S119" s="19">
        <v>0.0</v>
      </c>
      <c r="T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T127" si="27">SUM(E117:E126)</f>
        <v>0</v>
      </c>
      <c r="F127" s="13">
        <f t="shared" si="27"/>
        <v>1</v>
      </c>
      <c r="G127" s="13">
        <f t="shared" si="27"/>
        <v>2</v>
      </c>
      <c r="H127" s="13">
        <f t="shared" si="27"/>
        <v>2</v>
      </c>
      <c r="I127" s="13">
        <f t="shared" si="27"/>
        <v>0</v>
      </c>
      <c r="J127" s="13">
        <f t="shared" si="27"/>
        <v>0</v>
      </c>
      <c r="K127" s="13">
        <f t="shared" si="27"/>
        <v>1</v>
      </c>
      <c r="L127" s="13">
        <f t="shared" si="27"/>
        <v>3</v>
      </c>
      <c r="M127" s="13">
        <f t="shared" si="27"/>
        <v>2</v>
      </c>
      <c r="N127" s="13">
        <f t="shared" si="27"/>
        <v>0</v>
      </c>
      <c r="O127" s="13">
        <f t="shared" si="27"/>
        <v>0</v>
      </c>
      <c r="P127" s="13">
        <f t="shared" si="27"/>
        <v>1</v>
      </c>
      <c r="Q127" s="13">
        <f t="shared" si="27"/>
        <v>1</v>
      </c>
      <c r="R127" s="13">
        <f t="shared" si="27"/>
        <v>0</v>
      </c>
      <c r="S127" s="13">
        <f t="shared" si="27"/>
        <v>0</v>
      </c>
      <c r="T127" s="13">
        <f t="shared" si="27"/>
        <v>13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1.0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0.0</v>
      </c>
      <c r="O129" s="19">
        <v>0.0</v>
      </c>
      <c r="P129" s="19">
        <v>0.0</v>
      </c>
      <c r="Q129" s="19">
        <v>0.0</v>
      </c>
      <c r="R129" s="19">
        <v>3.0</v>
      </c>
      <c r="S129" s="19">
        <v>2.0</v>
      </c>
      <c r="T129" s="13">
        <f t="shared" ref="T129:T138" si="28">SUM(E129:S129)</f>
        <v>8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1.0</v>
      </c>
      <c r="G130" s="19">
        <v>0.0</v>
      </c>
      <c r="H130" s="19">
        <v>0.0</v>
      </c>
      <c r="I130" s="19">
        <v>0.0</v>
      </c>
      <c r="J130" s="19">
        <v>1.0</v>
      </c>
      <c r="K130" s="19">
        <v>0.0</v>
      </c>
      <c r="L130" s="19">
        <v>1.0</v>
      </c>
      <c r="M130" s="19">
        <v>0.0</v>
      </c>
      <c r="N130" s="19">
        <v>1.0</v>
      </c>
      <c r="O130" s="19">
        <v>0.0</v>
      </c>
      <c r="P130" s="19">
        <v>1.0</v>
      </c>
      <c r="Q130" s="19">
        <v>0.0</v>
      </c>
      <c r="R130" s="19">
        <v>0.0</v>
      </c>
      <c r="S130" s="19">
        <v>0.0</v>
      </c>
      <c r="T130" s="13">
        <f t="shared" si="28"/>
        <v>5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0.0</v>
      </c>
      <c r="F131" s="19">
        <v>3.0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3">
        <f t="shared" si="28"/>
        <v>4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0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1.0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0.0</v>
      </c>
      <c r="T134" s="13">
        <f t="shared" si="28"/>
        <v>2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0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T139" si="29">SUM(E129:E138)</f>
        <v>0</v>
      </c>
      <c r="F139" s="13">
        <f t="shared" si="29"/>
        <v>6</v>
      </c>
      <c r="G139" s="13">
        <f t="shared" si="29"/>
        <v>0</v>
      </c>
      <c r="H139" s="13">
        <f t="shared" si="29"/>
        <v>1</v>
      </c>
      <c r="I139" s="13">
        <f t="shared" si="29"/>
        <v>0</v>
      </c>
      <c r="J139" s="13">
        <f t="shared" si="29"/>
        <v>2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1</v>
      </c>
      <c r="Q139" s="13">
        <f t="shared" si="29"/>
        <v>0</v>
      </c>
      <c r="R139" s="13">
        <f t="shared" si="29"/>
        <v>5</v>
      </c>
      <c r="S139" s="13">
        <f t="shared" si="29"/>
        <v>2</v>
      </c>
      <c r="T139" s="13">
        <f t="shared" si="29"/>
        <v>19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  <c r="T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/>
      <c r="T141" s="13">
        <f t="shared" ref="T141:T150" si="30">SUM(E141:S141)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/>
      <c r="T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>
        <v>1.0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/>
      <c r="T143" s="13">
        <f t="shared" si="30"/>
        <v>1</v>
      </c>
    </row>
    <row r="144" ht="12.75" customHeight="1">
      <c r="A144" s="18"/>
      <c r="B144" s="55">
        <v>3.0</v>
      </c>
      <c r="C144" s="50" t="s">
        <v>108</v>
      </c>
      <c r="D144" s="60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/>
      <c r="T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1.0</v>
      </c>
      <c r="R145" s="19">
        <v>0.0</v>
      </c>
      <c r="S145" s="19"/>
      <c r="T145" s="13">
        <f t="shared" si="30"/>
        <v>1</v>
      </c>
    </row>
    <row r="146" ht="12.75" customHeight="1">
      <c r="A146" s="18"/>
      <c r="B146" s="55">
        <v>5.0</v>
      </c>
      <c r="C146" s="50" t="s">
        <v>110</v>
      </c>
      <c r="D146" s="60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/>
      <c r="T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1.0</v>
      </c>
      <c r="R147" s="19">
        <v>0.0</v>
      </c>
      <c r="S147" s="19"/>
      <c r="T147" s="13">
        <f t="shared" si="30"/>
        <v>1</v>
      </c>
    </row>
    <row r="148" ht="12.75" customHeight="1">
      <c r="A148" s="18"/>
      <c r="B148" s="55">
        <v>7.0</v>
      </c>
      <c r="C148" s="50" t="s">
        <v>112</v>
      </c>
      <c r="D148" s="60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/>
      <c r="T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T151" si="31">SUM(E141:E150)</f>
        <v>1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2</v>
      </c>
      <c r="R151" s="13">
        <f t="shared" si="31"/>
        <v>0</v>
      </c>
      <c r="S151" s="13">
        <f t="shared" si="31"/>
        <v>0</v>
      </c>
      <c r="T151" s="13">
        <f t="shared" si="31"/>
        <v>3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1.0</v>
      </c>
      <c r="F153" s="19">
        <v>1.0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9"/>
      <c r="T153" s="13">
        <f t="shared" ref="T153:T156" si="32">SUM(E154:S154)</f>
        <v>1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1.0</v>
      </c>
      <c r="R154" s="19">
        <v>0.0</v>
      </c>
      <c r="S154" s="19"/>
      <c r="T154" s="13">
        <f t="shared" si="32"/>
        <v>2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1.0</v>
      </c>
      <c r="Q155" s="19">
        <v>0.0</v>
      </c>
      <c r="R155" s="19">
        <v>1.0</v>
      </c>
      <c r="S155" s="19"/>
      <c r="T155" s="13">
        <f t="shared" si="32"/>
        <v>0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/>
      <c r="T156" s="13">
        <f t="shared" si="32"/>
        <v>1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1.0</v>
      </c>
      <c r="R157" s="19">
        <v>0.0</v>
      </c>
      <c r="S157" s="19"/>
      <c r="T157" s="13">
        <f t="shared" ref="T157:T162" si="33">SUM(E163:S163)</f>
        <v>7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3"/>
        <v>5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3"/>
        <v>3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3"/>
        <v>0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T163" si="34">SUM(E153:E162)</f>
        <v>1</v>
      </c>
      <c r="F163" s="13">
        <f t="shared" si="34"/>
        <v>1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2</v>
      </c>
      <c r="R163" s="13">
        <f t="shared" si="34"/>
        <v>1</v>
      </c>
      <c r="S163" s="13">
        <f t="shared" si="34"/>
        <v>0</v>
      </c>
      <c r="T163" s="13">
        <f t="shared" si="34"/>
        <v>20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  <c r="T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2.0</v>
      </c>
      <c r="I165" s="19">
        <v>0.0</v>
      </c>
      <c r="J165" s="19">
        <v>0.0</v>
      </c>
      <c r="K165" s="19">
        <v>0.0</v>
      </c>
      <c r="L165" s="19">
        <v>1.0</v>
      </c>
      <c r="M165" s="19">
        <v>2.0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3">
        <f t="shared" ref="T165:T174" si="35">SUM(E165:S165)</f>
        <v>5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0.0</v>
      </c>
      <c r="H166" s="19">
        <v>0.0</v>
      </c>
      <c r="I166" s="19">
        <v>1.0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1.0</v>
      </c>
      <c r="T166" s="13">
        <f t="shared" si="35"/>
        <v>3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5"/>
        <v>0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1.0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5"/>
        <v>1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T175" si="36">SUM(E165:E174)</f>
        <v>0</v>
      </c>
      <c r="F175" s="13">
        <f t="shared" si="36"/>
        <v>0</v>
      </c>
      <c r="G175" s="13">
        <f t="shared" si="36"/>
        <v>0</v>
      </c>
      <c r="H175" s="13">
        <f t="shared" si="36"/>
        <v>3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2</v>
      </c>
      <c r="M175" s="13">
        <f t="shared" si="36"/>
        <v>2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1</v>
      </c>
      <c r="S175" s="13">
        <f t="shared" si="36"/>
        <v>1</v>
      </c>
      <c r="T175" s="13">
        <f t="shared" si="36"/>
        <v>10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  <c r="T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6" si="37">SUM(E177:S177)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2.0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1.0</v>
      </c>
      <c r="R178" s="19">
        <v>0.0</v>
      </c>
      <c r="S178" s="19">
        <v>0.0</v>
      </c>
      <c r="T178" s="13">
        <f t="shared" si="37"/>
        <v>5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1.0</v>
      </c>
      <c r="L179" s="19">
        <v>1.0</v>
      </c>
      <c r="M179" s="19">
        <v>0.0</v>
      </c>
      <c r="N179" s="19">
        <v>1.0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3">
        <f t="shared" si="37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1.0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7"/>
        <v>1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1.0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7"/>
        <v>2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0.0</v>
      </c>
      <c r="G184" s="19">
        <v>1.0</v>
      </c>
      <c r="H184" s="19">
        <v>0.0</v>
      </c>
      <c r="I184" s="19">
        <v>0.0</v>
      </c>
      <c r="J184" s="19">
        <v>0.0</v>
      </c>
      <c r="K184" s="19">
        <v>34.0</v>
      </c>
      <c r="L184" s="19">
        <v>2.0</v>
      </c>
      <c r="M184" s="19">
        <v>0.0</v>
      </c>
      <c r="N184" s="19">
        <v>0.0</v>
      </c>
      <c r="O184" s="19">
        <v>0.0</v>
      </c>
      <c r="P184" s="19">
        <v>0.0</v>
      </c>
      <c r="Q184" s="19">
        <v>1.0</v>
      </c>
      <c r="R184" s="19">
        <v>0.0</v>
      </c>
      <c r="S184" s="19">
        <v>0.0</v>
      </c>
      <c r="T184" s="13">
        <f t="shared" si="37"/>
        <v>38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T187" si="38">SUM(E177:E186)</f>
        <v>0</v>
      </c>
      <c r="F187" s="13">
        <f t="shared" si="38"/>
        <v>0</v>
      </c>
      <c r="G187" s="13">
        <f t="shared" si="38"/>
        <v>2</v>
      </c>
      <c r="H187" s="13">
        <f t="shared" si="38"/>
        <v>1</v>
      </c>
      <c r="I187" s="13">
        <f t="shared" si="38"/>
        <v>0</v>
      </c>
      <c r="J187" s="13">
        <f t="shared" si="38"/>
        <v>1</v>
      </c>
      <c r="K187" s="13">
        <f t="shared" si="38"/>
        <v>39</v>
      </c>
      <c r="L187" s="13">
        <f t="shared" si="38"/>
        <v>4</v>
      </c>
      <c r="M187" s="13">
        <f t="shared" si="38"/>
        <v>1</v>
      </c>
      <c r="N187" s="13">
        <f t="shared" si="38"/>
        <v>1</v>
      </c>
      <c r="O187" s="13">
        <f t="shared" si="38"/>
        <v>0</v>
      </c>
      <c r="P187" s="13">
        <f t="shared" si="38"/>
        <v>0</v>
      </c>
      <c r="Q187" s="13">
        <f t="shared" si="38"/>
        <v>2</v>
      </c>
      <c r="R187" s="13">
        <f t="shared" si="38"/>
        <v>0</v>
      </c>
      <c r="S187" s="13">
        <f t="shared" si="38"/>
        <v>0</v>
      </c>
      <c r="T187" s="13">
        <f t="shared" si="38"/>
        <v>51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1.0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3">
        <f t="shared" ref="T189:T198" si="39">SUM(E189:S189)</f>
        <v>1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T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1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  <c r="T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2.0</v>
      </c>
      <c r="H201" s="19">
        <v>0.0</v>
      </c>
      <c r="I201" s="19">
        <v>2.0</v>
      </c>
      <c r="J201" s="19">
        <v>0.0</v>
      </c>
      <c r="K201" s="19">
        <v>6.0</v>
      </c>
      <c r="L201" s="19">
        <v>13.0</v>
      </c>
      <c r="M201" s="19">
        <v>4.0</v>
      </c>
      <c r="N201" s="19">
        <v>0.0</v>
      </c>
      <c r="O201" s="19">
        <v>6.0</v>
      </c>
      <c r="P201" s="19">
        <v>3.0</v>
      </c>
      <c r="Q201" s="19">
        <v>2.0</v>
      </c>
      <c r="R201" s="19">
        <v>1.0</v>
      </c>
      <c r="S201" s="19">
        <v>2.0</v>
      </c>
      <c r="T201" s="13">
        <f t="shared" ref="T201:T210" si="41">SUM(E201:S201)</f>
        <v>41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2.0</v>
      </c>
      <c r="G202" s="19">
        <v>2.0</v>
      </c>
      <c r="H202" s="19">
        <v>2.0</v>
      </c>
      <c r="I202" s="19">
        <v>1.0</v>
      </c>
      <c r="J202" s="19">
        <v>3.0</v>
      </c>
      <c r="K202" s="19">
        <v>1.0</v>
      </c>
      <c r="L202" s="19">
        <v>12.0</v>
      </c>
      <c r="M202" s="19">
        <v>5.0</v>
      </c>
      <c r="N202" s="19">
        <v>3.0</v>
      </c>
      <c r="O202" s="19">
        <v>3.0</v>
      </c>
      <c r="P202" s="19">
        <v>2.0</v>
      </c>
      <c r="Q202" s="19">
        <v>6.0</v>
      </c>
      <c r="R202" s="19">
        <v>5.0</v>
      </c>
      <c r="S202" s="19">
        <v>1.0</v>
      </c>
      <c r="T202" s="13">
        <f t="shared" si="41"/>
        <v>48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0.0</v>
      </c>
      <c r="F203" s="19">
        <v>0.0</v>
      </c>
      <c r="G203" s="19">
        <v>0.0</v>
      </c>
      <c r="H203" s="19">
        <v>1.0</v>
      </c>
      <c r="I203" s="19">
        <v>0.0</v>
      </c>
      <c r="J203" s="19">
        <v>1.0</v>
      </c>
      <c r="K203" s="19">
        <v>0.0</v>
      </c>
      <c r="L203" s="19">
        <v>1.0</v>
      </c>
      <c r="M203" s="19">
        <v>2.0</v>
      </c>
      <c r="N203" s="19">
        <v>1.0</v>
      </c>
      <c r="O203" s="19">
        <v>3.0</v>
      </c>
      <c r="P203" s="19">
        <v>0.0</v>
      </c>
      <c r="Q203" s="19">
        <v>1.0</v>
      </c>
      <c r="R203" s="19">
        <v>1.0</v>
      </c>
      <c r="S203" s="19">
        <v>2.0</v>
      </c>
      <c r="T203" s="13">
        <f t="shared" si="41"/>
        <v>13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2.0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1.0</v>
      </c>
      <c r="M204" s="19">
        <v>1.0</v>
      </c>
      <c r="N204" s="19">
        <v>0.0</v>
      </c>
      <c r="O204" s="19">
        <v>1.0</v>
      </c>
      <c r="P204" s="19">
        <v>0.0</v>
      </c>
      <c r="Q204" s="19">
        <v>1.0</v>
      </c>
      <c r="R204" s="19">
        <v>1.0</v>
      </c>
      <c r="S204" s="19">
        <v>1.0</v>
      </c>
      <c r="T204" s="13">
        <f t="shared" si="41"/>
        <v>9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0.0</v>
      </c>
      <c r="G205" s="19">
        <v>0.0</v>
      </c>
      <c r="H205" s="19">
        <v>0.0</v>
      </c>
      <c r="I205" s="19">
        <v>1.0</v>
      </c>
      <c r="J205" s="19">
        <v>0.0</v>
      </c>
      <c r="K205" s="19">
        <v>0.0</v>
      </c>
      <c r="L205" s="19">
        <v>4.0</v>
      </c>
      <c r="M205" s="19">
        <v>4.0</v>
      </c>
      <c r="N205" s="19">
        <v>0.0</v>
      </c>
      <c r="O205" s="19">
        <v>1.0</v>
      </c>
      <c r="P205" s="19">
        <v>1.0</v>
      </c>
      <c r="Q205" s="19">
        <v>0.0</v>
      </c>
      <c r="R205" s="19">
        <v>0.0</v>
      </c>
      <c r="S205" s="19">
        <v>0.0</v>
      </c>
      <c r="T205" s="13">
        <f t="shared" si="41"/>
        <v>11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1.0</v>
      </c>
      <c r="M206" s="19">
        <v>0.0</v>
      </c>
      <c r="N206" s="19">
        <v>0.0</v>
      </c>
      <c r="O206" s="19">
        <v>1.0</v>
      </c>
      <c r="P206" s="19">
        <v>0.0</v>
      </c>
      <c r="Q206" s="19">
        <v>1.0</v>
      </c>
      <c r="R206" s="19">
        <v>0.0</v>
      </c>
      <c r="S206" s="19">
        <v>0.0</v>
      </c>
      <c r="T206" s="13">
        <f t="shared" si="41"/>
        <v>3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1.0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1"/>
        <v>2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1.0</v>
      </c>
      <c r="L208" s="19">
        <v>0.0</v>
      </c>
      <c r="M208" s="19">
        <v>2.0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1"/>
        <v>3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T211" si="42">SUM(E201:E210)</f>
        <v>0</v>
      </c>
      <c r="F211" s="13">
        <f t="shared" si="42"/>
        <v>4</v>
      </c>
      <c r="G211" s="13">
        <f t="shared" si="42"/>
        <v>4</v>
      </c>
      <c r="H211" s="13">
        <f t="shared" si="42"/>
        <v>3</v>
      </c>
      <c r="I211" s="13">
        <f t="shared" si="42"/>
        <v>5</v>
      </c>
      <c r="J211" s="13">
        <f t="shared" si="42"/>
        <v>4</v>
      </c>
      <c r="K211" s="13">
        <f t="shared" si="42"/>
        <v>9</v>
      </c>
      <c r="L211" s="13">
        <f t="shared" si="42"/>
        <v>32</v>
      </c>
      <c r="M211" s="13">
        <f t="shared" si="42"/>
        <v>18</v>
      </c>
      <c r="N211" s="13">
        <f t="shared" si="42"/>
        <v>5</v>
      </c>
      <c r="O211" s="13">
        <f t="shared" si="42"/>
        <v>15</v>
      </c>
      <c r="P211" s="13">
        <f t="shared" si="42"/>
        <v>6</v>
      </c>
      <c r="Q211" s="13">
        <f t="shared" si="42"/>
        <v>11</v>
      </c>
      <c r="R211" s="13">
        <f t="shared" si="42"/>
        <v>8</v>
      </c>
      <c r="S211" s="13">
        <f t="shared" si="42"/>
        <v>6</v>
      </c>
      <c r="T211" s="13">
        <f t="shared" si="42"/>
        <v>130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  <c r="T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1.0</v>
      </c>
      <c r="G213" s="19">
        <v>1.0</v>
      </c>
      <c r="H213" s="19">
        <v>1.0</v>
      </c>
      <c r="I213" s="19">
        <v>0.0</v>
      </c>
      <c r="J213" s="19">
        <v>0.0</v>
      </c>
      <c r="K213" s="19">
        <v>5.0</v>
      </c>
      <c r="L213" s="19">
        <v>1.0</v>
      </c>
      <c r="M213" s="19">
        <v>0.0</v>
      </c>
      <c r="N213" s="19">
        <v>0.0</v>
      </c>
      <c r="O213" s="19">
        <v>0.0</v>
      </c>
      <c r="P213" s="19">
        <v>3.0</v>
      </c>
      <c r="Q213" s="19">
        <v>0.0</v>
      </c>
      <c r="R213" s="19">
        <v>0.0</v>
      </c>
      <c r="S213" s="19">
        <v>0.0</v>
      </c>
      <c r="T213" s="13">
        <f t="shared" ref="T213:T222" si="43">SUM(E213:S213)</f>
        <v>12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0.0</v>
      </c>
      <c r="H214" s="19">
        <v>1.0</v>
      </c>
      <c r="I214" s="19">
        <v>1.0</v>
      </c>
      <c r="J214" s="19">
        <v>0.0</v>
      </c>
      <c r="K214" s="19">
        <v>3.0</v>
      </c>
      <c r="L214" s="19">
        <v>2.0</v>
      </c>
      <c r="M214" s="19">
        <v>0.0</v>
      </c>
      <c r="N214" s="19">
        <v>3.0</v>
      </c>
      <c r="O214" s="19">
        <v>1.0</v>
      </c>
      <c r="P214" s="19">
        <v>0.0</v>
      </c>
      <c r="Q214" s="19">
        <v>1.0</v>
      </c>
      <c r="R214" s="19">
        <v>0.0</v>
      </c>
      <c r="S214" s="19">
        <v>0.0</v>
      </c>
      <c r="T214" s="13">
        <f t="shared" si="43"/>
        <v>12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10.0</v>
      </c>
      <c r="F215" s="19">
        <v>3.0</v>
      </c>
      <c r="G215" s="19">
        <v>25.0</v>
      </c>
      <c r="H215" s="19">
        <v>16.0</v>
      </c>
      <c r="I215" s="19">
        <v>0.0</v>
      </c>
      <c r="J215" s="19">
        <v>3.0</v>
      </c>
      <c r="K215" s="19">
        <v>27.0</v>
      </c>
      <c r="L215" s="19">
        <v>1.0</v>
      </c>
      <c r="M215" s="19">
        <v>0.0</v>
      </c>
      <c r="N215" s="19">
        <v>19.0</v>
      </c>
      <c r="O215" s="19">
        <v>4.0</v>
      </c>
      <c r="P215" s="19">
        <v>0.0</v>
      </c>
      <c r="Q215" s="19">
        <v>3.0</v>
      </c>
      <c r="R215" s="19">
        <v>19.0</v>
      </c>
      <c r="S215" s="19">
        <v>0.0</v>
      </c>
      <c r="T215" s="13">
        <f t="shared" si="43"/>
        <v>130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9">
        <v>0.0</v>
      </c>
      <c r="T216" s="13">
        <f t="shared" si="43"/>
        <v>0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1.0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3"/>
        <v>0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T223" si="44">SUM(E213:E222)</f>
        <v>10</v>
      </c>
      <c r="F223" s="13">
        <f t="shared" si="44"/>
        <v>4</v>
      </c>
      <c r="G223" s="13">
        <f t="shared" si="44"/>
        <v>26</v>
      </c>
      <c r="H223" s="13">
        <f t="shared" si="44"/>
        <v>18</v>
      </c>
      <c r="I223" s="13">
        <f t="shared" si="44"/>
        <v>1</v>
      </c>
      <c r="J223" s="13">
        <f t="shared" si="44"/>
        <v>3</v>
      </c>
      <c r="K223" s="13">
        <f t="shared" si="44"/>
        <v>35</v>
      </c>
      <c r="L223" s="13">
        <f t="shared" si="44"/>
        <v>4</v>
      </c>
      <c r="M223" s="13">
        <f t="shared" si="44"/>
        <v>0</v>
      </c>
      <c r="N223" s="13">
        <f t="shared" si="44"/>
        <v>22</v>
      </c>
      <c r="O223" s="13">
        <f t="shared" si="44"/>
        <v>6</v>
      </c>
      <c r="P223" s="13">
        <f t="shared" si="44"/>
        <v>3</v>
      </c>
      <c r="Q223" s="13">
        <f t="shared" si="44"/>
        <v>4</v>
      </c>
      <c r="R223" s="13">
        <f t="shared" si="44"/>
        <v>19</v>
      </c>
      <c r="S223" s="13">
        <f t="shared" si="44"/>
        <v>0</v>
      </c>
      <c r="T223" s="13">
        <f t="shared" si="44"/>
        <v>155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  <c r="T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0.0</v>
      </c>
      <c r="L225" s="19">
        <v>1.0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4" si="45">SUM(E225:S225)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1.0</v>
      </c>
      <c r="K226" s="19">
        <v>1.0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5"/>
        <v>2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1.0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9">
        <v>1.0</v>
      </c>
      <c r="T232" s="13">
        <f t="shared" si="45"/>
        <v>2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T235" si="46">SUM(E225:E234)</f>
        <v>0</v>
      </c>
      <c r="F235" s="13">
        <f t="shared" si="46"/>
        <v>1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1</v>
      </c>
      <c r="L235" s="13">
        <f t="shared" si="46"/>
        <v>1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1</v>
      </c>
      <c r="T235" s="13">
        <f t="shared" si="46"/>
        <v>5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  <c r="T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0.0</v>
      </c>
      <c r="G237" s="19">
        <v>0.0</v>
      </c>
      <c r="H237" s="19">
        <v>0.0</v>
      </c>
      <c r="I237" s="19">
        <v>5.0</v>
      </c>
      <c r="J237" s="19">
        <v>0.0</v>
      </c>
      <c r="K237" s="19">
        <v>1.0</v>
      </c>
      <c r="L237" s="19">
        <v>1.0</v>
      </c>
      <c r="M237" s="19">
        <v>0.0</v>
      </c>
      <c r="N237" s="19">
        <v>0.0</v>
      </c>
      <c r="O237" s="19">
        <v>0.0</v>
      </c>
      <c r="P237" s="19">
        <v>1.0</v>
      </c>
      <c r="Q237" s="19">
        <v>1.0</v>
      </c>
      <c r="R237" s="19">
        <v>0.0</v>
      </c>
      <c r="S237" s="19">
        <v>3.0</v>
      </c>
      <c r="T237" s="13">
        <f t="shared" ref="T237:T246" si="47">SUM(E237:S237)</f>
        <v>13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2.0</v>
      </c>
      <c r="F238" s="19">
        <v>4.0</v>
      </c>
      <c r="G238" s="19">
        <v>5.0</v>
      </c>
      <c r="H238" s="19">
        <v>0.0</v>
      </c>
      <c r="I238" s="19">
        <v>0.0</v>
      </c>
      <c r="J238" s="19">
        <v>0.0</v>
      </c>
      <c r="K238" s="19">
        <v>0.0</v>
      </c>
      <c r="L238" s="19">
        <v>1.0</v>
      </c>
      <c r="M238" s="19">
        <v>2.0</v>
      </c>
      <c r="N238" s="19">
        <v>0.0</v>
      </c>
      <c r="O238" s="19">
        <v>0.0</v>
      </c>
      <c r="P238" s="19">
        <v>1.0</v>
      </c>
      <c r="Q238" s="19">
        <v>4.0</v>
      </c>
      <c r="R238" s="19">
        <v>0.0</v>
      </c>
      <c r="S238" s="19">
        <v>0.0</v>
      </c>
      <c r="T238" s="13">
        <f t="shared" si="47"/>
        <v>19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3.0</v>
      </c>
      <c r="F239" s="19">
        <v>0.0</v>
      </c>
      <c r="G239" s="19">
        <v>2.0</v>
      </c>
      <c r="H239" s="19">
        <v>1.0</v>
      </c>
      <c r="I239" s="19">
        <v>3.0</v>
      </c>
      <c r="J239" s="19">
        <v>2.0</v>
      </c>
      <c r="K239" s="19">
        <v>1.0</v>
      </c>
      <c r="L239" s="19">
        <v>0.0</v>
      </c>
      <c r="M239" s="19">
        <v>0.0</v>
      </c>
      <c r="N239" s="19">
        <v>0.0</v>
      </c>
      <c r="O239" s="19">
        <v>0.0</v>
      </c>
      <c r="P239" s="19">
        <v>2.0</v>
      </c>
      <c r="Q239" s="19">
        <v>1.0</v>
      </c>
      <c r="R239" s="19">
        <v>0.0</v>
      </c>
      <c r="S239" s="19">
        <v>2.0</v>
      </c>
      <c r="T239" s="13">
        <f t="shared" si="47"/>
        <v>17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8.0</v>
      </c>
      <c r="F240" s="19">
        <v>0.0</v>
      </c>
      <c r="G240" s="19">
        <v>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7"/>
        <v>10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7"/>
        <v>0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7"/>
        <v>0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3.0</v>
      </c>
      <c r="F244" s="19">
        <v>0.0</v>
      </c>
      <c r="G244" s="19">
        <v>4.0</v>
      </c>
      <c r="H244" s="19">
        <v>3.0</v>
      </c>
      <c r="I244" s="19">
        <v>3.0</v>
      </c>
      <c r="J244" s="19">
        <v>0.0</v>
      </c>
      <c r="K244" s="19">
        <v>3.0</v>
      </c>
      <c r="L244" s="19">
        <v>2.0</v>
      </c>
      <c r="M244" s="19">
        <v>0.0</v>
      </c>
      <c r="N244" s="19">
        <v>0.0</v>
      </c>
      <c r="O244" s="19">
        <v>0.0</v>
      </c>
      <c r="P244" s="19">
        <v>0.0</v>
      </c>
      <c r="Q244" s="19">
        <v>0.0</v>
      </c>
      <c r="R244" s="19">
        <v>1.0</v>
      </c>
      <c r="S244" s="19">
        <v>19.0</v>
      </c>
      <c r="T244" s="13">
        <f t="shared" si="47"/>
        <v>38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T247" si="48">SUM(E237:E246)</f>
        <v>17</v>
      </c>
      <c r="F247" s="13">
        <f t="shared" si="48"/>
        <v>4</v>
      </c>
      <c r="G247" s="13">
        <f t="shared" si="48"/>
        <v>12</v>
      </c>
      <c r="H247" s="13">
        <f t="shared" si="48"/>
        <v>4</v>
      </c>
      <c r="I247" s="13">
        <f t="shared" si="48"/>
        <v>11</v>
      </c>
      <c r="J247" s="13">
        <f t="shared" si="48"/>
        <v>2</v>
      </c>
      <c r="K247" s="13">
        <f t="shared" si="48"/>
        <v>5</v>
      </c>
      <c r="L247" s="13">
        <f t="shared" si="48"/>
        <v>5</v>
      </c>
      <c r="M247" s="13">
        <f t="shared" si="48"/>
        <v>2</v>
      </c>
      <c r="N247" s="13">
        <f t="shared" si="48"/>
        <v>0</v>
      </c>
      <c r="O247" s="13">
        <f t="shared" si="48"/>
        <v>0</v>
      </c>
      <c r="P247" s="13">
        <f t="shared" si="48"/>
        <v>4</v>
      </c>
      <c r="Q247" s="13">
        <f t="shared" si="48"/>
        <v>6</v>
      </c>
      <c r="R247" s="13">
        <f t="shared" si="48"/>
        <v>1</v>
      </c>
      <c r="S247" s="13">
        <f t="shared" si="48"/>
        <v>24</v>
      </c>
      <c r="T247" s="13">
        <f t="shared" si="48"/>
        <v>97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8" si="49">SUM(E249:S249)</f>
        <v>0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1.0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9"/>
        <v>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9"/>
        <v>0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9"/>
        <v>0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1.0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9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9"/>
        <v>0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T259" si="50">SUM(E249:E258)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1</v>
      </c>
      <c r="M259" s="13">
        <f t="shared" si="50"/>
        <v>0</v>
      </c>
      <c r="N259" s="13">
        <f t="shared" si="50"/>
        <v>0</v>
      </c>
      <c r="O259" s="13">
        <f t="shared" si="50"/>
        <v>1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77"/>
      <c r="T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S262" si="51">E55+E67+E79+E91+E103+E115+E127+E139+E151+E163+E175+E187+E199+E211+E223+E235+E247+E259</f>
        <v>177</v>
      </c>
      <c r="F262" s="19">
        <f t="shared" si="51"/>
        <v>144</v>
      </c>
      <c r="G262" s="19">
        <f t="shared" si="51"/>
        <v>178</v>
      </c>
      <c r="H262" s="19">
        <f t="shared" si="51"/>
        <v>169</v>
      </c>
      <c r="I262" s="19">
        <f t="shared" si="51"/>
        <v>194</v>
      </c>
      <c r="J262" s="19">
        <f t="shared" si="51"/>
        <v>171</v>
      </c>
      <c r="K262" s="19">
        <f t="shared" si="51"/>
        <v>200</v>
      </c>
      <c r="L262" s="19">
        <f t="shared" si="51"/>
        <v>188</v>
      </c>
      <c r="M262" s="19">
        <f t="shared" si="51"/>
        <v>166</v>
      </c>
      <c r="N262" s="19">
        <f t="shared" si="51"/>
        <v>162</v>
      </c>
      <c r="O262" s="19">
        <f t="shared" si="51"/>
        <v>167</v>
      </c>
      <c r="P262" s="19">
        <f t="shared" si="51"/>
        <v>150</v>
      </c>
      <c r="Q262" s="19">
        <f t="shared" si="51"/>
        <v>159</v>
      </c>
      <c r="R262" s="19">
        <f t="shared" si="51"/>
        <v>188</v>
      </c>
      <c r="S262" s="19">
        <f t="shared" si="51"/>
        <v>85</v>
      </c>
      <c r="T262" s="13">
        <f t="shared" ref="T262:T264" si="52">SUM(E262:S262)</f>
        <v>2498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31.0</v>
      </c>
      <c r="F263" s="19">
        <v>42.0</v>
      </c>
      <c r="G263" s="19">
        <v>32.0</v>
      </c>
      <c r="H263" s="19">
        <v>51.0</v>
      </c>
      <c r="I263" s="19">
        <v>26.0</v>
      </c>
      <c r="J263" s="19">
        <v>31.0</v>
      </c>
      <c r="K263" s="19">
        <v>27.0</v>
      </c>
      <c r="L263" s="19">
        <v>30.0</v>
      </c>
      <c r="M263" s="19">
        <v>32.0</v>
      </c>
      <c r="N263" s="19">
        <v>13.0</v>
      </c>
      <c r="O263" s="19">
        <v>34.0</v>
      </c>
      <c r="P263" s="19">
        <v>44.0</v>
      </c>
      <c r="Q263" s="19">
        <v>46.0</v>
      </c>
      <c r="R263" s="19">
        <v>8.0</v>
      </c>
      <c r="S263" s="19">
        <v>7.0</v>
      </c>
      <c r="T263" s="13">
        <f t="shared" si="52"/>
        <v>454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S264" si="53">SUM(E262:E263)</f>
        <v>208</v>
      </c>
      <c r="F264" s="13">
        <f t="shared" si="53"/>
        <v>186</v>
      </c>
      <c r="G264" s="13">
        <f t="shared" si="53"/>
        <v>210</v>
      </c>
      <c r="H264" s="13">
        <f t="shared" si="53"/>
        <v>220</v>
      </c>
      <c r="I264" s="13">
        <f t="shared" si="53"/>
        <v>220</v>
      </c>
      <c r="J264" s="13">
        <f t="shared" si="53"/>
        <v>202</v>
      </c>
      <c r="K264" s="13">
        <f t="shared" si="53"/>
        <v>227</v>
      </c>
      <c r="L264" s="13">
        <f t="shared" si="53"/>
        <v>218</v>
      </c>
      <c r="M264" s="13">
        <f t="shared" si="53"/>
        <v>198</v>
      </c>
      <c r="N264" s="13">
        <f t="shared" si="53"/>
        <v>175</v>
      </c>
      <c r="O264" s="13">
        <f t="shared" si="53"/>
        <v>201</v>
      </c>
      <c r="P264" s="13">
        <f t="shared" si="53"/>
        <v>194</v>
      </c>
      <c r="Q264" s="13">
        <f t="shared" si="53"/>
        <v>205</v>
      </c>
      <c r="R264" s="13">
        <f t="shared" si="53"/>
        <v>196</v>
      </c>
      <c r="S264" s="13">
        <f t="shared" si="53"/>
        <v>92</v>
      </c>
      <c r="T264" s="13">
        <f t="shared" si="52"/>
        <v>2952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8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8" width="8.71"/>
    <col customWidth="1" min="19" max="19" width="13.29"/>
    <col customWidth="1" min="20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232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74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36"/>
    </row>
    <row r="14" ht="12.75" customHeight="1">
      <c r="A14" s="18"/>
      <c r="B14" s="22" t="s">
        <v>11</v>
      </c>
      <c r="C14" s="23"/>
      <c r="D14" s="19" t="s">
        <v>12</v>
      </c>
      <c r="E14" s="19">
        <v>103.0</v>
      </c>
      <c r="F14" s="19">
        <v>111.0</v>
      </c>
      <c r="G14" s="19">
        <v>96.0</v>
      </c>
      <c r="H14" s="19">
        <v>144.0</v>
      </c>
      <c r="I14" s="19">
        <v>133.0</v>
      </c>
      <c r="J14" s="19">
        <v>119.0</v>
      </c>
      <c r="K14" s="19">
        <v>134.0</v>
      </c>
      <c r="L14" s="19">
        <v>141.0</v>
      </c>
      <c r="M14" s="19">
        <v>133.0</v>
      </c>
      <c r="N14" s="19">
        <v>118.0</v>
      </c>
      <c r="O14" s="19">
        <v>130.0</v>
      </c>
      <c r="P14" s="19">
        <v>141.0</v>
      </c>
      <c r="Q14" s="19">
        <v>119.0</v>
      </c>
      <c r="R14" s="19">
        <v>110.0</v>
      </c>
      <c r="S14" s="13">
        <f t="shared" ref="S14:S16" si="1">SUM(E14:R14)</f>
        <v>1732</v>
      </c>
    </row>
    <row r="15" ht="12.75" customHeight="1">
      <c r="A15" s="18"/>
      <c r="B15" s="26"/>
      <c r="C15" s="27"/>
      <c r="D15" s="19" t="s">
        <v>13</v>
      </c>
      <c r="E15" s="19">
        <v>91.0</v>
      </c>
      <c r="F15" s="19">
        <v>95.0</v>
      </c>
      <c r="G15" s="19">
        <v>103.0</v>
      </c>
      <c r="H15" s="19">
        <v>139.0</v>
      </c>
      <c r="I15" s="19">
        <v>142.0</v>
      </c>
      <c r="J15" s="19">
        <v>110.0</v>
      </c>
      <c r="K15" s="19">
        <v>139.0</v>
      </c>
      <c r="L15" s="19">
        <v>136.0</v>
      </c>
      <c r="M15" s="19">
        <v>135.0</v>
      </c>
      <c r="N15" s="19">
        <v>114.0</v>
      </c>
      <c r="O15" s="19">
        <v>125.0</v>
      </c>
      <c r="P15" s="19">
        <v>129.0</v>
      </c>
      <c r="Q15" s="19">
        <v>135.0</v>
      </c>
      <c r="R15" s="19">
        <v>95.0</v>
      </c>
      <c r="S15" s="13">
        <f t="shared" si="1"/>
        <v>1688</v>
      </c>
    </row>
    <row r="16" ht="12.75" customHeight="1">
      <c r="A16" s="25"/>
      <c r="B16" s="21"/>
      <c r="C16" s="28"/>
      <c r="D16" s="13" t="s">
        <v>14</v>
      </c>
      <c r="E16" s="13">
        <f t="shared" ref="E16:R16" si="2">SUM(E14:E15)</f>
        <v>194</v>
      </c>
      <c r="F16" s="13">
        <f t="shared" si="2"/>
        <v>206</v>
      </c>
      <c r="G16" s="13">
        <f t="shared" si="2"/>
        <v>199</v>
      </c>
      <c r="H16" s="13">
        <f t="shared" si="2"/>
        <v>283</v>
      </c>
      <c r="I16" s="13">
        <f t="shared" si="2"/>
        <v>275</v>
      </c>
      <c r="J16" s="13">
        <f t="shared" si="2"/>
        <v>229</v>
      </c>
      <c r="K16" s="13">
        <f t="shared" si="2"/>
        <v>273</v>
      </c>
      <c r="L16" s="13">
        <f t="shared" si="2"/>
        <v>277</v>
      </c>
      <c r="M16" s="13">
        <f t="shared" si="2"/>
        <v>268</v>
      </c>
      <c r="N16" s="13">
        <f t="shared" si="2"/>
        <v>232</v>
      </c>
      <c r="O16" s="13">
        <f t="shared" si="2"/>
        <v>255</v>
      </c>
      <c r="P16" s="13">
        <f t="shared" si="2"/>
        <v>270</v>
      </c>
      <c r="Q16" s="13">
        <f t="shared" si="2"/>
        <v>254</v>
      </c>
      <c r="R16" s="13">
        <f t="shared" si="2"/>
        <v>205</v>
      </c>
      <c r="S16" s="13">
        <f t="shared" si="1"/>
        <v>3420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5"/>
      <c r="O17" s="75"/>
      <c r="P17" s="75"/>
      <c r="Q17" s="75"/>
      <c r="R17" s="75"/>
      <c r="S17" s="76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5"/>
      <c r="O18" s="75"/>
      <c r="P18" s="75"/>
      <c r="Q18" s="75"/>
      <c r="R18" s="75"/>
      <c r="S18" s="76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71.0</v>
      </c>
      <c r="F19" s="19">
        <v>78.0</v>
      </c>
      <c r="G19" s="19">
        <v>73.0</v>
      </c>
      <c r="H19" s="19">
        <v>107.0</v>
      </c>
      <c r="I19" s="19">
        <v>103.0</v>
      </c>
      <c r="J19" s="19">
        <v>91.0</v>
      </c>
      <c r="K19" s="19">
        <v>109.0</v>
      </c>
      <c r="L19" s="19">
        <v>103.0</v>
      </c>
      <c r="M19" s="19">
        <v>83.0</v>
      </c>
      <c r="N19" s="19">
        <v>102.0</v>
      </c>
      <c r="O19" s="19">
        <v>100.0</v>
      </c>
      <c r="P19" s="19">
        <v>94.0</v>
      </c>
      <c r="Q19" s="19">
        <v>84.0</v>
      </c>
      <c r="R19" s="19">
        <v>76.0</v>
      </c>
      <c r="S19" s="13">
        <f t="shared" ref="S19:S30" si="3">SUM(E19:R19)</f>
        <v>1274</v>
      </c>
    </row>
    <row r="20" ht="12.75" customHeight="1">
      <c r="A20" s="33"/>
      <c r="B20" s="27"/>
      <c r="C20" s="34"/>
      <c r="D20" s="19" t="s">
        <v>13</v>
      </c>
      <c r="E20" s="19">
        <v>69.0</v>
      </c>
      <c r="F20" s="19">
        <v>75.0</v>
      </c>
      <c r="G20" s="19">
        <v>80.0</v>
      </c>
      <c r="H20" s="19">
        <v>105.0</v>
      </c>
      <c r="I20" s="19">
        <v>119.0</v>
      </c>
      <c r="J20" s="19">
        <v>101.0</v>
      </c>
      <c r="K20" s="19">
        <v>113.0</v>
      </c>
      <c r="L20" s="19">
        <v>115.0</v>
      </c>
      <c r="M20" s="19">
        <v>106.0</v>
      </c>
      <c r="N20" s="19">
        <v>99.0</v>
      </c>
      <c r="O20" s="19">
        <v>102.0</v>
      </c>
      <c r="P20" s="19">
        <v>88.0</v>
      </c>
      <c r="Q20" s="19">
        <v>102.0</v>
      </c>
      <c r="R20" s="19">
        <v>76.0</v>
      </c>
      <c r="S20" s="13">
        <f t="shared" si="3"/>
        <v>1350</v>
      </c>
    </row>
    <row r="21" ht="12.75" customHeight="1">
      <c r="A21" s="35"/>
      <c r="B21" s="28"/>
      <c r="C21" s="36"/>
      <c r="D21" s="13" t="s">
        <v>14</v>
      </c>
      <c r="E21" s="13">
        <f t="shared" ref="E21:R21" si="4">SUM(E19:E20)</f>
        <v>140</v>
      </c>
      <c r="F21" s="13">
        <f t="shared" si="4"/>
        <v>153</v>
      </c>
      <c r="G21" s="13">
        <f t="shared" si="4"/>
        <v>153</v>
      </c>
      <c r="H21" s="13">
        <f t="shared" si="4"/>
        <v>212</v>
      </c>
      <c r="I21" s="13">
        <f t="shared" si="4"/>
        <v>222</v>
      </c>
      <c r="J21" s="13">
        <f t="shared" si="4"/>
        <v>192</v>
      </c>
      <c r="K21" s="13">
        <f t="shared" si="4"/>
        <v>222</v>
      </c>
      <c r="L21" s="13">
        <f t="shared" si="4"/>
        <v>218</v>
      </c>
      <c r="M21" s="13">
        <f t="shared" si="4"/>
        <v>189</v>
      </c>
      <c r="N21" s="13">
        <f t="shared" si="4"/>
        <v>201</v>
      </c>
      <c r="O21" s="13">
        <f t="shared" si="4"/>
        <v>202</v>
      </c>
      <c r="P21" s="13">
        <f t="shared" si="4"/>
        <v>182</v>
      </c>
      <c r="Q21" s="13">
        <f t="shared" si="4"/>
        <v>186</v>
      </c>
      <c r="R21" s="13">
        <f t="shared" si="4"/>
        <v>152</v>
      </c>
      <c r="S21" s="13">
        <f t="shared" si="3"/>
        <v>2624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2.0</v>
      </c>
      <c r="H22" s="19">
        <v>1.0</v>
      </c>
      <c r="I22" s="19">
        <v>1.0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3">
        <f t="shared" si="3"/>
        <v>4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1.0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R24" si="5">SUM(E22:E23)</f>
        <v>0</v>
      </c>
      <c r="F24" s="13">
        <f t="shared" si="5"/>
        <v>1</v>
      </c>
      <c r="G24" s="13">
        <f t="shared" si="5"/>
        <v>2</v>
      </c>
      <c r="H24" s="13">
        <f t="shared" si="5"/>
        <v>2</v>
      </c>
      <c r="I24" s="13">
        <f t="shared" si="5"/>
        <v>1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3"/>
        <v>6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2.0</v>
      </c>
      <c r="H25" s="19">
        <v>0.0</v>
      </c>
      <c r="I25" s="19">
        <v>0.0</v>
      </c>
      <c r="J25" s="19">
        <v>1.0</v>
      </c>
      <c r="K25" s="19">
        <v>2.0</v>
      </c>
      <c r="L25" s="19">
        <v>0.0</v>
      </c>
      <c r="M25" s="19">
        <v>1.0</v>
      </c>
      <c r="N25" s="19">
        <v>0.0</v>
      </c>
      <c r="O25" s="19">
        <v>0.0</v>
      </c>
      <c r="P25" s="19">
        <v>3.0</v>
      </c>
      <c r="Q25" s="19">
        <v>0.0</v>
      </c>
      <c r="R25" s="19">
        <v>1.0</v>
      </c>
      <c r="S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0.0</v>
      </c>
      <c r="G26" s="19">
        <v>3.0</v>
      </c>
      <c r="H26" s="19">
        <v>0.0</v>
      </c>
      <c r="I26" s="19">
        <v>1.0</v>
      </c>
      <c r="J26" s="19">
        <v>3.0</v>
      </c>
      <c r="K26" s="19">
        <v>1.0</v>
      </c>
      <c r="L26" s="19">
        <v>2.0</v>
      </c>
      <c r="M26" s="19">
        <v>2.0</v>
      </c>
      <c r="N26" s="19">
        <v>1.0</v>
      </c>
      <c r="O26" s="19">
        <v>2.0</v>
      </c>
      <c r="P26" s="19">
        <v>0.0</v>
      </c>
      <c r="Q26" s="19">
        <v>0.0</v>
      </c>
      <c r="R26" s="19">
        <v>1.0</v>
      </c>
      <c r="S26" s="13">
        <f t="shared" si="3"/>
        <v>17</v>
      </c>
    </row>
    <row r="27" ht="12.75" customHeight="1">
      <c r="A27" s="35"/>
      <c r="B27" s="28"/>
      <c r="C27" s="36"/>
      <c r="D27" s="13" t="s">
        <v>14</v>
      </c>
      <c r="E27" s="13">
        <f t="shared" ref="E27:R27" si="6">SUM(E25:E26)</f>
        <v>2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1</v>
      </c>
      <c r="J27" s="13">
        <f t="shared" si="6"/>
        <v>4</v>
      </c>
      <c r="K27" s="13">
        <f t="shared" si="6"/>
        <v>3</v>
      </c>
      <c r="L27" s="13">
        <f t="shared" si="6"/>
        <v>2</v>
      </c>
      <c r="M27" s="13">
        <f t="shared" si="6"/>
        <v>3</v>
      </c>
      <c r="N27" s="13">
        <f t="shared" si="6"/>
        <v>1</v>
      </c>
      <c r="O27" s="13">
        <f t="shared" si="6"/>
        <v>2</v>
      </c>
      <c r="P27" s="13">
        <f t="shared" si="6"/>
        <v>3</v>
      </c>
      <c r="Q27" s="13">
        <f t="shared" si="6"/>
        <v>0</v>
      </c>
      <c r="R27" s="13">
        <f t="shared" si="6"/>
        <v>2</v>
      </c>
      <c r="S27" s="13">
        <f t="shared" si="3"/>
        <v>28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R28" si="7">SUM(E19,E22,E25)</f>
        <v>72</v>
      </c>
      <c r="F28" s="13">
        <f t="shared" si="7"/>
        <v>78</v>
      </c>
      <c r="G28" s="13">
        <f t="shared" si="7"/>
        <v>77</v>
      </c>
      <c r="H28" s="13">
        <f t="shared" si="7"/>
        <v>108</v>
      </c>
      <c r="I28" s="13">
        <f t="shared" si="7"/>
        <v>104</v>
      </c>
      <c r="J28" s="13">
        <f t="shared" si="7"/>
        <v>92</v>
      </c>
      <c r="K28" s="13">
        <f t="shared" si="7"/>
        <v>111</v>
      </c>
      <c r="L28" s="13">
        <f t="shared" si="7"/>
        <v>103</v>
      </c>
      <c r="M28" s="13">
        <f t="shared" si="7"/>
        <v>84</v>
      </c>
      <c r="N28" s="13">
        <f t="shared" si="7"/>
        <v>102</v>
      </c>
      <c r="O28" s="13">
        <f t="shared" si="7"/>
        <v>100</v>
      </c>
      <c r="P28" s="13">
        <f t="shared" si="7"/>
        <v>97</v>
      </c>
      <c r="Q28" s="13">
        <f t="shared" si="7"/>
        <v>84</v>
      </c>
      <c r="R28" s="13">
        <f t="shared" si="7"/>
        <v>77</v>
      </c>
      <c r="S28" s="13">
        <f t="shared" si="3"/>
        <v>1289</v>
      </c>
    </row>
    <row r="29" ht="12.75" customHeight="1">
      <c r="A29" s="35"/>
      <c r="B29" s="27"/>
      <c r="C29" s="34"/>
      <c r="D29" s="13" t="s">
        <v>13</v>
      </c>
      <c r="E29" s="13">
        <f t="shared" ref="E29:R29" si="8">SUM(E20,E23,E26)</f>
        <v>70</v>
      </c>
      <c r="F29" s="13">
        <f t="shared" si="8"/>
        <v>76</v>
      </c>
      <c r="G29" s="13">
        <f t="shared" si="8"/>
        <v>83</v>
      </c>
      <c r="H29" s="13">
        <f t="shared" si="8"/>
        <v>106</v>
      </c>
      <c r="I29" s="13">
        <f t="shared" si="8"/>
        <v>120</v>
      </c>
      <c r="J29" s="13">
        <f t="shared" si="8"/>
        <v>104</v>
      </c>
      <c r="K29" s="13">
        <f t="shared" si="8"/>
        <v>114</v>
      </c>
      <c r="L29" s="13">
        <f t="shared" si="8"/>
        <v>117</v>
      </c>
      <c r="M29" s="13">
        <f t="shared" si="8"/>
        <v>108</v>
      </c>
      <c r="N29" s="13">
        <f t="shared" si="8"/>
        <v>100</v>
      </c>
      <c r="O29" s="13">
        <f t="shared" si="8"/>
        <v>104</v>
      </c>
      <c r="P29" s="13">
        <f t="shared" si="8"/>
        <v>88</v>
      </c>
      <c r="Q29" s="13">
        <f t="shared" si="8"/>
        <v>102</v>
      </c>
      <c r="R29" s="13">
        <f t="shared" si="8"/>
        <v>77</v>
      </c>
      <c r="S29" s="13">
        <f t="shared" si="3"/>
        <v>1369</v>
      </c>
    </row>
    <row r="30" ht="12.75" customHeight="1">
      <c r="A30" s="35"/>
      <c r="B30" s="28"/>
      <c r="C30" s="36"/>
      <c r="D30" s="13" t="s">
        <v>14</v>
      </c>
      <c r="E30" s="13">
        <f t="shared" ref="E30:R30" si="9">SUM(E28:E29)</f>
        <v>142</v>
      </c>
      <c r="F30" s="13">
        <f t="shared" si="9"/>
        <v>154</v>
      </c>
      <c r="G30" s="13">
        <f t="shared" si="9"/>
        <v>160</v>
      </c>
      <c r="H30" s="13">
        <f t="shared" si="9"/>
        <v>214</v>
      </c>
      <c r="I30" s="13">
        <f t="shared" si="9"/>
        <v>224</v>
      </c>
      <c r="J30" s="13">
        <f t="shared" si="9"/>
        <v>196</v>
      </c>
      <c r="K30" s="13">
        <f t="shared" si="9"/>
        <v>225</v>
      </c>
      <c r="L30" s="13">
        <f t="shared" si="9"/>
        <v>220</v>
      </c>
      <c r="M30" s="13">
        <f t="shared" si="9"/>
        <v>192</v>
      </c>
      <c r="N30" s="13">
        <f t="shared" si="9"/>
        <v>202</v>
      </c>
      <c r="O30" s="13">
        <f t="shared" si="9"/>
        <v>204</v>
      </c>
      <c r="P30" s="13">
        <f t="shared" si="9"/>
        <v>185</v>
      </c>
      <c r="Q30" s="13">
        <f t="shared" si="9"/>
        <v>186</v>
      </c>
      <c r="R30" s="13">
        <f t="shared" si="9"/>
        <v>154</v>
      </c>
      <c r="S30" s="13">
        <f t="shared" si="3"/>
        <v>2658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5"/>
      <c r="O31" s="75"/>
      <c r="P31" s="75"/>
      <c r="Q31" s="75"/>
      <c r="R31" s="75"/>
      <c r="S31" s="76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77"/>
      <c r="P32" s="77"/>
      <c r="Q32" s="77"/>
      <c r="R32" s="77"/>
      <c r="S32" s="76"/>
    </row>
    <row r="33" ht="12.75" customHeight="1">
      <c r="A33" s="19">
        <v>1.0</v>
      </c>
      <c r="B33" s="20" t="s">
        <v>27</v>
      </c>
      <c r="C33" s="15"/>
      <c r="D33" s="16"/>
      <c r="E33" s="19">
        <v>198.0</v>
      </c>
      <c r="F33" s="19">
        <v>221.0</v>
      </c>
      <c r="G33" s="19">
        <v>203.0</v>
      </c>
      <c r="H33" s="19">
        <v>289.0</v>
      </c>
      <c r="I33" s="19">
        <v>281.0</v>
      </c>
      <c r="J33" s="19">
        <v>233.0</v>
      </c>
      <c r="K33" s="19">
        <v>279.0</v>
      </c>
      <c r="L33" s="19">
        <v>287.0</v>
      </c>
      <c r="M33" s="19">
        <v>264.0</v>
      </c>
      <c r="N33" s="19">
        <v>258.0</v>
      </c>
      <c r="O33" s="19">
        <v>261.0</v>
      </c>
      <c r="P33" s="19">
        <v>276.0</v>
      </c>
      <c r="Q33" s="19">
        <v>250.0</v>
      </c>
      <c r="R33" s="19">
        <v>200.0</v>
      </c>
      <c r="S33" s="13">
        <f t="shared" ref="S33:S36" si="10">SUM(E33:R33)</f>
        <v>3500</v>
      </c>
    </row>
    <row r="34" ht="12.75" customHeight="1">
      <c r="A34" s="19">
        <v>2.0</v>
      </c>
      <c r="B34" s="20" t="s">
        <v>28</v>
      </c>
      <c r="C34" s="15"/>
      <c r="D34" s="16"/>
      <c r="E34" s="13">
        <v>142.0</v>
      </c>
      <c r="F34" s="13">
        <v>154.0</v>
      </c>
      <c r="G34" s="13">
        <v>160.0</v>
      </c>
      <c r="H34" s="13">
        <v>214.0</v>
      </c>
      <c r="I34" s="13">
        <v>224.0</v>
      </c>
      <c r="J34" s="13">
        <v>196.0</v>
      </c>
      <c r="K34" s="13">
        <v>225.0</v>
      </c>
      <c r="L34" s="13">
        <v>220.0</v>
      </c>
      <c r="M34" s="13">
        <v>192.0</v>
      </c>
      <c r="N34" s="13">
        <v>202.0</v>
      </c>
      <c r="O34" s="13">
        <v>204.0</v>
      </c>
      <c r="P34" s="13">
        <v>185.0</v>
      </c>
      <c r="Q34" s="13">
        <v>186.0</v>
      </c>
      <c r="R34" s="13">
        <v>154.0</v>
      </c>
      <c r="S34" s="13">
        <f t="shared" si="10"/>
        <v>2658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3.0</v>
      </c>
      <c r="O35" s="19">
        <v>4.0</v>
      </c>
      <c r="P35" s="19">
        <v>0.0</v>
      </c>
      <c r="Q35" s="19">
        <v>1.0</v>
      </c>
      <c r="R35" s="19">
        <v>1.0</v>
      </c>
      <c r="S35" s="13">
        <f t="shared" si="10"/>
        <v>9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R36" si="11">E33-(E34+E35)</f>
        <v>56</v>
      </c>
      <c r="F36" s="13">
        <f t="shared" si="11"/>
        <v>67</v>
      </c>
      <c r="G36" s="13">
        <f t="shared" si="11"/>
        <v>43</v>
      </c>
      <c r="H36" s="13">
        <f t="shared" si="11"/>
        <v>75</v>
      </c>
      <c r="I36" s="13">
        <f t="shared" si="11"/>
        <v>57</v>
      </c>
      <c r="J36" s="13">
        <f t="shared" si="11"/>
        <v>37</v>
      </c>
      <c r="K36" s="13">
        <f t="shared" si="11"/>
        <v>54</v>
      </c>
      <c r="L36" s="13">
        <f t="shared" si="11"/>
        <v>67</v>
      </c>
      <c r="M36" s="13">
        <f t="shared" si="11"/>
        <v>72</v>
      </c>
      <c r="N36" s="13">
        <f t="shared" si="11"/>
        <v>53</v>
      </c>
      <c r="O36" s="13">
        <f t="shared" si="11"/>
        <v>53</v>
      </c>
      <c r="P36" s="13">
        <f t="shared" si="11"/>
        <v>91</v>
      </c>
      <c r="Q36" s="13">
        <f t="shared" si="11"/>
        <v>63</v>
      </c>
      <c r="R36" s="13">
        <f t="shared" si="11"/>
        <v>45</v>
      </c>
      <c r="S36" s="13">
        <f t="shared" si="10"/>
        <v>833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5"/>
      <c r="O37" s="84"/>
      <c r="P37" s="84"/>
      <c r="Q37" s="84"/>
      <c r="R37" s="84"/>
      <c r="S37" s="76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77"/>
      <c r="P38" s="77"/>
      <c r="Q38" s="77"/>
      <c r="R38" s="77"/>
      <c r="S38" s="76"/>
    </row>
    <row r="39" ht="12.75" customHeight="1">
      <c r="A39" s="30"/>
      <c r="B39" s="43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>
        <v>1.0</v>
      </c>
      <c r="N39" s="19"/>
      <c r="O39" s="19"/>
      <c r="P39" s="19"/>
      <c r="Q39" s="19"/>
      <c r="R39" s="19"/>
      <c r="S39" s="13">
        <f t="shared" ref="S39:S41" si="12">SUM(E39:R39)</f>
        <v>1</v>
      </c>
    </row>
    <row r="40" ht="12.75" customHeight="1">
      <c r="A40" s="33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R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2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5"/>
      <c r="O42" s="19"/>
      <c r="P42" s="75"/>
      <c r="Q42" s="19"/>
      <c r="R42" s="75"/>
      <c r="S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77"/>
      <c r="Q43" s="13"/>
      <c r="R43" s="77"/>
      <c r="S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5"/>
      <c r="O44" s="19"/>
      <c r="P44" s="75"/>
      <c r="Q44" s="19"/>
      <c r="R44" s="75"/>
      <c r="S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3.0</v>
      </c>
      <c r="G45" s="19">
        <v>2.0</v>
      </c>
      <c r="H45" s="19">
        <v>8.0</v>
      </c>
      <c r="I45" s="19">
        <v>2.0</v>
      </c>
      <c r="J45" s="19">
        <v>2.0</v>
      </c>
      <c r="K45" s="19">
        <v>7.0</v>
      </c>
      <c r="L45" s="19">
        <v>6.0</v>
      </c>
      <c r="M45" s="19">
        <v>11.0</v>
      </c>
      <c r="N45" s="19">
        <v>4.0</v>
      </c>
      <c r="O45" s="19">
        <v>12.0</v>
      </c>
      <c r="P45" s="19">
        <v>6.0</v>
      </c>
      <c r="Q45" s="19">
        <v>5.0</v>
      </c>
      <c r="R45" s="19">
        <v>6.0</v>
      </c>
      <c r="S45" s="13">
        <f t="shared" ref="S45:S54" si="14">SUM(E45:R45)</f>
        <v>77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5.0</v>
      </c>
      <c r="G46" s="19">
        <v>10.0</v>
      </c>
      <c r="H46" s="19">
        <v>38.0</v>
      </c>
      <c r="I46" s="19">
        <v>10.0</v>
      </c>
      <c r="J46" s="19">
        <v>9.0</v>
      </c>
      <c r="K46" s="19">
        <v>19.0</v>
      </c>
      <c r="L46" s="19">
        <v>16.0</v>
      </c>
      <c r="M46" s="19">
        <v>92.0</v>
      </c>
      <c r="N46" s="19">
        <v>27.0</v>
      </c>
      <c r="O46" s="19">
        <v>50.0</v>
      </c>
      <c r="P46" s="19">
        <v>5.0</v>
      </c>
      <c r="Q46" s="19">
        <v>8.0</v>
      </c>
      <c r="R46" s="19">
        <v>12.0</v>
      </c>
      <c r="S46" s="13">
        <f t="shared" si="14"/>
        <v>305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2.0</v>
      </c>
      <c r="G47" s="19">
        <v>1.0</v>
      </c>
      <c r="H47" s="19">
        <v>0.0</v>
      </c>
      <c r="I47" s="19">
        <v>0.0</v>
      </c>
      <c r="J47" s="19">
        <v>1.0</v>
      </c>
      <c r="K47" s="19">
        <v>1.0</v>
      </c>
      <c r="L47" s="19">
        <v>3.0</v>
      </c>
      <c r="M47" s="19">
        <v>4.0</v>
      </c>
      <c r="N47" s="19">
        <v>4.0</v>
      </c>
      <c r="O47" s="19">
        <v>1.0</v>
      </c>
      <c r="P47" s="19">
        <v>2.0</v>
      </c>
      <c r="Q47" s="19">
        <v>0.0</v>
      </c>
      <c r="R47" s="19">
        <v>3.0</v>
      </c>
      <c r="S47" s="13">
        <f t="shared" si="14"/>
        <v>22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1.0</v>
      </c>
      <c r="I48" s="19">
        <v>0.0</v>
      </c>
      <c r="J48" s="19">
        <v>1.0</v>
      </c>
      <c r="K48" s="19">
        <v>0.0</v>
      </c>
      <c r="L48" s="19">
        <v>1.0</v>
      </c>
      <c r="M48" s="19">
        <v>1.0</v>
      </c>
      <c r="N48" s="19">
        <v>1.0</v>
      </c>
      <c r="O48" s="19">
        <v>2.0</v>
      </c>
      <c r="P48" s="19">
        <v>2.0</v>
      </c>
      <c r="Q48" s="19">
        <v>1.0</v>
      </c>
      <c r="R48" s="19">
        <v>0.0</v>
      </c>
      <c r="S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2.0</v>
      </c>
      <c r="G49" s="19">
        <v>1.0</v>
      </c>
      <c r="H49" s="19">
        <v>0.0</v>
      </c>
      <c r="I49" s="19">
        <v>0.0</v>
      </c>
      <c r="J49" s="19">
        <v>1.0</v>
      </c>
      <c r="K49" s="19">
        <v>1.0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3">
        <f t="shared" si="14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2.0</v>
      </c>
      <c r="L50" s="19">
        <v>0.0</v>
      </c>
      <c r="M50" s="19">
        <v>1.0</v>
      </c>
      <c r="N50" s="19">
        <v>0.0</v>
      </c>
      <c r="O50" s="19">
        <v>1.0</v>
      </c>
      <c r="P50" s="19">
        <v>1.0</v>
      </c>
      <c r="Q50" s="19">
        <v>1.0</v>
      </c>
      <c r="R50" s="19">
        <v>0.0</v>
      </c>
      <c r="S50" s="13">
        <f t="shared" si="14"/>
        <v>7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1.0</v>
      </c>
      <c r="J51" s="19">
        <v>0.0</v>
      </c>
      <c r="K51" s="19">
        <v>0.0</v>
      </c>
      <c r="L51" s="19">
        <v>0.0</v>
      </c>
      <c r="M51" s="19">
        <v>1.0</v>
      </c>
      <c r="N51" s="19">
        <v>0.0</v>
      </c>
      <c r="O51" s="19">
        <v>0.0</v>
      </c>
      <c r="P51" s="19">
        <v>0.0</v>
      </c>
      <c r="Q51" s="19">
        <v>1.0</v>
      </c>
      <c r="R51" s="19">
        <v>0.0</v>
      </c>
      <c r="S51" s="13">
        <f t="shared" si="14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1.0</v>
      </c>
      <c r="Q52" s="19">
        <v>0.0</v>
      </c>
      <c r="R52" s="19">
        <v>1.0</v>
      </c>
      <c r="S52" s="13">
        <f t="shared" si="14"/>
        <v>2</v>
      </c>
    </row>
    <row r="53" ht="12.75" customHeight="1">
      <c r="A53" s="18"/>
      <c r="B53" s="56"/>
      <c r="C53" s="57"/>
      <c r="D53" s="57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3">
        <f t="shared" si="14"/>
        <v>0</v>
      </c>
    </row>
    <row r="54" ht="12.75" customHeight="1">
      <c r="A54" s="18"/>
      <c r="B54" s="56"/>
      <c r="C54" s="57"/>
      <c r="D54" s="57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3">
        <f t="shared" si="14"/>
        <v>0</v>
      </c>
    </row>
    <row r="55" ht="12.75" customHeight="1">
      <c r="A55" s="19" t="s">
        <v>15</v>
      </c>
      <c r="B55" s="47" t="s">
        <v>47</v>
      </c>
      <c r="C55" s="15"/>
      <c r="D55" s="16"/>
      <c r="E55" s="13">
        <f t="shared" ref="E55:S55" si="15">SUM(E45:E54)</f>
        <v>7</v>
      </c>
      <c r="F55" s="13">
        <f t="shared" si="15"/>
        <v>13</v>
      </c>
      <c r="G55" s="13">
        <f t="shared" si="15"/>
        <v>14</v>
      </c>
      <c r="H55" s="13">
        <f t="shared" si="15"/>
        <v>47</v>
      </c>
      <c r="I55" s="13">
        <f t="shared" si="15"/>
        <v>14</v>
      </c>
      <c r="J55" s="13">
        <f t="shared" si="15"/>
        <v>14</v>
      </c>
      <c r="K55" s="13">
        <f t="shared" si="15"/>
        <v>30</v>
      </c>
      <c r="L55" s="13">
        <f t="shared" si="15"/>
        <v>26</v>
      </c>
      <c r="M55" s="13">
        <f t="shared" si="15"/>
        <v>110</v>
      </c>
      <c r="N55" s="13">
        <f t="shared" si="15"/>
        <v>36</v>
      </c>
      <c r="O55" s="13">
        <f t="shared" si="15"/>
        <v>66</v>
      </c>
      <c r="P55" s="13">
        <f t="shared" si="15"/>
        <v>17</v>
      </c>
      <c r="Q55" s="13">
        <f t="shared" si="15"/>
        <v>16</v>
      </c>
      <c r="R55" s="13">
        <f t="shared" si="15"/>
        <v>22</v>
      </c>
      <c r="S55" s="13">
        <f t="shared" si="15"/>
        <v>432</v>
      </c>
    </row>
    <row r="56" ht="12.75" customHeight="1">
      <c r="A56" s="45"/>
      <c r="B56" s="44"/>
      <c r="C56" s="44"/>
      <c r="D56" s="44"/>
      <c r="E56" s="44"/>
      <c r="S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8.0</v>
      </c>
      <c r="G57" s="19">
        <v>15.0</v>
      </c>
      <c r="H57" s="19">
        <v>14.0</v>
      </c>
      <c r="I57" s="19">
        <v>7.0</v>
      </c>
      <c r="J57" s="19">
        <v>6.0</v>
      </c>
      <c r="K57" s="19">
        <v>5.0</v>
      </c>
      <c r="L57" s="19">
        <v>9.0</v>
      </c>
      <c r="M57" s="19">
        <v>15.0</v>
      </c>
      <c r="N57" s="19">
        <v>17.0</v>
      </c>
      <c r="O57" s="19">
        <v>6.0</v>
      </c>
      <c r="P57" s="19">
        <v>10.0</v>
      </c>
      <c r="Q57" s="19">
        <v>15.0</v>
      </c>
      <c r="R57" s="19">
        <v>10.0</v>
      </c>
      <c r="S57" s="13">
        <f t="shared" ref="S57:S66" si="16">SUM(E57:R57)</f>
        <v>150</v>
      </c>
    </row>
    <row r="58" ht="12.75" customHeight="1">
      <c r="A58" s="30" t="s">
        <v>39</v>
      </c>
      <c r="B58" s="55">
        <v>1.0</v>
      </c>
      <c r="C58" s="50" t="s">
        <v>49</v>
      </c>
      <c r="D58" s="59"/>
      <c r="E58" s="19">
        <v>10.0</v>
      </c>
      <c r="F58" s="19">
        <v>5.0</v>
      </c>
      <c r="G58" s="19">
        <v>1.0</v>
      </c>
      <c r="H58" s="19">
        <v>22.0</v>
      </c>
      <c r="I58" s="19">
        <v>3.0</v>
      </c>
      <c r="J58" s="19">
        <v>3.0</v>
      </c>
      <c r="K58" s="19">
        <v>13.0</v>
      </c>
      <c r="L58" s="19">
        <v>22.0</v>
      </c>
      <c r="M58" s="19">
        <v>11.0</v>
      </c>
      <c r="N58" s="19">
        <v>24.0</v>
      </c>
      <c r="O58" s="19">
        <v>11.0</v>
      </c>
      <c r="P58" s="19">
        <v>16.0</v>
      </c>
      <c r="Q58" s="19">
        <v>41.0</v>
      </c>
      <c r="R58" s="19">
        <v>11.0</v>
      </c>
      <c r="S58" s="13">
        <f t="shared" si="16"/>
        <v>193</v>
      </c>
    </row>
    <row r="59" ht="12.75" customHeight="1">
      <c r="A59" s="18"/>
      <c r="B59" s="55">
        <v>2.0</v>
      </c>
      <c r="C59" s="50" t="s">
        <v>50</v>
      </c>
      <c r="D59" s="59"/>
      <c r="E59" s="19">
        <v>4.0</v>
      </c>
      <c r="F59" s="19">
        <v>11.0</v>
      </c>
      <c r="G59" s="19">
        <v>7.0</v>
      </c>
      <c r="H59" s="19">
        <v>9.0</v>
      </c>
      <c r="I59" s="19">
        <v>3.0</v>
      </c>
      <c r="J59" s="19">
        <v>2.0</v>
      </c>
      <c r="K59" s="19">
        <v>1.0</v>
      </c>
      <c r="L59" s="19">
        <v>1.0</v>
      </c>
      <c r="M59" s="19">
        <v>9.0</v>
      </c>
      <c r="N59" s="19">
        <v>12.0</v>
      </c>
      <c r="O59" s="19">
        <v>1.0</v>
      </c>
      <c r="P59" s="19">
        <v>6.0</v>
      </c>
      <c r="Q59" s="19">
        <v>8.0</v>
      </c>
      <c r="R59" s="19">
        <v>8.0</v>
      </c>
      <c r="S59" s="13">
        <f t="shared" si="16"/>
        <v>82</v>
      </c>
    </row>
    <row r="60" ht="12.75" customHeight="1">
      <c r="A60" s="18"/>
      <c r="B60" s="55">
        <v>3.0</v>
      </c>
      <c r="C60" s="50" t="s">
        <v>51</v>
      </c>
      <c r="D60" s="59"/>
      <c r="E60" s="19">
        <v>0.0</v>
      </c>
      <c r="F60" s="19">
        <v>5.0</v>
      </c>
      <c r="G60" s="19">
        <v>0.0</v>
      </c>
      <c r="H60" s="19">
        <v>3.0</v>
      </c>
      <c r="I60" s="19">
        <v>1.0</v>
      </c>
      <c r="J60" s="19">
        <v>1.0</v>
      </c>
      <c r="K60" s="19">
        <v>2.0</v>
      </c>
      <c r="L60" s="19">
        <v>1.0</v>
      </c>
      <c r="M60" s="19">
        <v>3.0</v>
      </c>
      <c r="N60" s="19">
        <v>2.0</v>
      </c>
      <c r="O60" s="19">
        <v>0.0</v>
      </c>
      <c r="P60" s="19">
        <v>0.0</v>
      </c>
      <c r="Q60" s="19">
        <v>1.0</v>
      </c>
      <c r="R60" s="19">
        <v>1.0</v>
      </c>
      <c r="S60" s="13">
        <f t="shared" si="16"/>
        <v>20</v>
      </c>
    </row>
    <row r="61" ht="12.75" customHeight="1">
      <c r="A61" s="18"/>
      <c r="B61" s="55">
        <v>4.0</v>
      </c>
      <c r="C61" s="50" t="s">
        <v>52</v>
      </c>
      <c r="D61" s="59"/>
      <c r="E61" s="19">
        <v>0.0</v>
      </c>
      <c r="F61" s="19">
        <v>1.0</v>
      </c>
      <c r="G61" s="19">
        <v>0.0</v>
      </c>
      <c r="H61" s="19">
        <v>2.0</v>
      </c>
      <c r="I61" s="19">
        <v>2.0</v>
      </c>
      <c r="J61" s="19">
        <v>0.0</v>
      </c>
      <c r="K61" s="19">
        <v>1.0</v>
      </c>
      <c r="L61" s="19">
        <v>0.0</v>
      </c>
      <c r="M61" s="19">
        <v>1.0</v>
      </c>
      <c r="N61" s="19">
        <v>1.0</v>
      </c>
      <c r="O61" s="19">
        <v>0.0</v>
      </c>
      <c r="P61" s="19">
        <v>1.0</v>
      </c>
      <c r="Q61" s="19">
        <v>1.0</v>
      </c>
      <c r="R61" s="19">
        <v>0.0</v>
      </c>
      <c r="S61" s="13">
        <f t="shared" si="16"/>
        <v>10</v>
      </c>
    </row>
    <row r="62" ht="12.75" customHeight="1">
      <c r="A62" s="18"/>
      <c r="B62" s="55">
        <v>5.0</v>
      </c>
      <c r="C62" s="50" t="s">
        <v>53</v>
      </c>
      <c r="D62" s="59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1.0</v>
      </c>
      <c r="Q62" s="19">
        <v>0.0</v>
      </c>
      <c r="R62" s="19">
        <v>0.0</v>
      </c>
      <c r="S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60"/>
      <c r="E63" s="19">
        <v>1.0</v>
      </c>
      <c r="F63" s="19">
        <v>0.0</v>
      </c>
      <c r="G63" s="19">
        <v>1.0</v>
      </c>
      <c r="H63" s="19">
        <v>0.0</v>
      </c>
      <c r="I63" s="19">
        <v>0.0</v>
      </c>
      <c r="J63" s="19">
        <v>1.0</v>
      </c>
      <c r="K63" s="19">
        <v>0.0</v>
      </c>
      <c r="L63" s="19">
        <v>2.0</v>
      </c>
      <c r="M63" s="19">
        <v>0.0</v>
      </c>
      <c r="N63" s="19">
        <v>1.0</v>
      </c>
      <c r="O63" s="19">
        <v>0.0</v>
      </c>
      <c r="P63" s="19">
        <v>0.0</v>
      </c>
      <c r="Q63" s="19">
        <v>0.0</v>
      </c>
      <c r="R63" s="19">
        <v>0.0</v>
      </c>
      <c r="S63" s="13">
        <f t="shared" si="16"/>
        <v>6</v>
      </c>
    </row>
    <row r="64" ht="12.75" customHeight="1">
      <c r="A64" s="18"/>
      <c r="B64" s="55">
        <v>7.0</v>
      </c>
      <c r="C64" s="50" t="s">
        <v>55</v>
      </c>
      <c r="D64" s="59"/>
      <c r="E64" s="19">
        <v>0.0</v>
      </c>
      <c r="F64" s="19">
        <v>0.0</v>
      </c>
      <c r="G64" s="19">
        <v>1.0</v>
      </c>
      <c r="H64" s="19">
        <v>0.0</v>
      </c>
      <c r="I64" s="19">
        <v>0.0</v>
      </c>
      <c r="J64" s="19">
        <v>0.0</v>
      </c>
      <c r="K64" s="19">
        <v>2.0</v>
      </c>
      <c r="L64" s="19">
        <v>0.0</v>
      </c>
      <c r="M64" s="19">
        <v>0.0</v>
      </c>
      <c r="N64" s="19">
        <v>1.0</v>
      </c>
      <c r="O64" s="19">
        <v>1.0</v>
      </c>
      <c r="P64" s="19">
        <v>1.0</v>
      </c>
      <c r="Q64" s="19">
        <v>0.0</v>
      </c>
      <c r="R64" s="19">
        <v>0.0</v>
      </c>
      <c r="S64" s="13">
        <f t="shared" si="16"/>
        <v>6</v>
      </c>
    </row>
    <row r="65" ht="12.75" customHeight="1">
      <c r="A65" s="18"/>
      <c r="B65" s="56"/>
      <c r="C65" s="57"/>
      <c r="D65" s="6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3">
        <f t="shared" si="16"/>
        <v>0</v>
      </c>
    </row>
    <row r="66" ht="12.75" customHeight="1">
      <c r="A66" s="18"/>
      <c r="B66" s="56"/>
      <c r="C66" s="57"/>
      <c r="D66" s="61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3">
        <f t="shared" si="16"/>
        <v>0</v>
      </c>
    </row>
    <row r="67" ht="12.75" customHeight="1">
      <c r="A67" s="19" t="s">
        <v>15</v>
      </c>
      <c r="B67" s="47" t="s">
        <v>47</v>
      </c>
      <c r="C67" s="15"/>
      <c r="D67" s="16"/>
      <c r="E67" s="13">
        <f t="shared" ref="E67:S67" si="17">SUM(E57:E66)</f>
        <v>28</v>
      </c>
      <c r="F67" s="13">
        <f t="shared" si="17"/>
        <v>30</v>
      </c>
      <c r="G67" s="13">
        <f t="shared" si="17"/>
        <v>25</v>
      </c>
      <c r="H67" s="13">
        <f t="shared" si="17"/>
        <v>50</v>
      </c>
      <c r="I67" s="13">
        <f t="shared" si="17"/>
        <v>16</v>
      </c>
      <c r="J67" s="13">
        <f t="shared" si="17"/>
        <v>13</v>
      </c>
      <c r="K67" s="13">
        <f t="shared" si="17"/>
        <v>24</v>
      </c>
      <c r="L67" s="13">
        <f t="shared" si="17"/>
        <v>35</v>
      </c>
      <c r="M67" s="13">
        <f t="shared" si="17"/>
        <v>39</v>
      </c>
      <c r="N67" s="13">
        <f t="shared" si="17"/>
        <v>58</v>
      </c>
      <c r="O67" s="13">
        <f t="shared" si="17"/>
        <v>19</v>
      </c>
      <c r="P67" s="13">
        <f t="shared" si="17"/>
        <v>35</v>
      </c>
      <c r="Q67" s="13">
        <f t="shared" si="17"/>
        <v>66</v>
      </c>
      <c r="R67" s="13">
        <f t="shared" si="17"/>
        <v>30</v>
      </c>
      <c r="S67" s="13">
        <f t="shared" si="17"/>
        <v>468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2.0</v>
      </c>
      <c r="F69" s="19">
        <v>4.0</v>
      </c>
      <c r="G69" s="19">
        <v>7.0</v>
      </c>
      <c r="H69" s="19">
        <v>3.0</v>
      </c>
      <c r="I69" s="19">
        <v>21.0</v>
      </c>
      <c r="J69" s="19">
        <v>5.0</v>
      </c>
      <c r="K69" s="19">
        <v>13.0</v>
      </c>
      <c r="L69" s="19">
        <v>7.0</v>
      </c>
      <c r="M69" s="19">
        <v>5.0</v>
      </c>
      <c r="N69" s="19">
        <v>6.0</v>
      </c>
      <c r="O69" s="19">
        <v>6.0</v>
      </c>
      <c r="P69" s="19">
        <v>3.0</v>
      </c>
      <c r="Q69" s="19">
        <v>6.0</v>
      </c>
      <c r="R69" s="19">
        <v>4.0</v>
      </c>
      <c r="S69" s="13">
        <f t="shared" ref="S69:S78" si="18">SUM(E69:R69)</f>
        <v>92</v>
      </c>
    </row>
    <row r="70" ht="12.75" customHeight="1">
      <c r="A70" s="30" t="s">
        <v>39</v>
      </c>
      <c r="B70" s="55">
        <v>1.0</v>
      </c>
      <c r="C70" s="50" t="s">
        <v>57</v>
      </c>
      <c r="D70" s="60"/>
      <c r="E70" s="19">
        <v>12.0</v>
      </c>
      <c r="F70" s="19">
        <v>13.0</v>
      </c>
      <c r="G70" s="19">
        <v>12.0</v>
      </c>
      <c r="H70" s="19">
        <v>3.0</v>
      </c>
      <c r="I70" s="19">
        <v>4.0</v>
      </c>
      <c r="J70" s="19">
        <v>2.0</v>
      </c>
      <c r="K70" s="19">
        <v>6.0</v>
      </c>
      <c r="L70" s="19">
        <v>2.0</v>
      </c>
      <c r="M70" s="19">
        <v>3.0</v>
      </c>
      <c r="N70" s="19">
        <v>8.0</v>
      </c>
      <c r="O70" s="19">
        <v>12.0</v>
      </c>
      <c r="P70" s="19">
        <v>6.0</v>
      </c>
      <c r="Q70" s="19">
        <v>3.0</v>
      </c>
      <c r="R70" s="19">
        <v>11.0</v>
      </c>
      <c r="S70" s="13">
        <f t="shared" si="18"/>
        <v>97</v>
      </c>
    </row>
    <row r="71" ht="12.75" customHeight="1">
      <c r="A71" s="18"/>
      <c r="B71" s="55">
        <v>2.0</v>
      </c>
      <c r="C71" s="50" t="s">
        <v>58</v>
      </c>
      <c r="D71" s="60"/>
      <c r="E71" s="19">
        <v>2.0</v>
      </c>
      <c r="F71" s="19">
        <v>3.0</v>
      </c>
      <c r="G71" s="19">
        <v>4.0</v>
      </c>
      <c r="H71" s="19">
        <v>0.0</v>
      </c>
      <c r="I71" s="19">
        <v>6.0</v>
      </c>
      <c r="J71" s="19">
        <v>4.0</v>
      </c>
      <c r="K71" s="19">
        <v>3.0</v>
      </c>
      <c r="L71" s="19">
        <v>1.0</v>
      </c>
      <c r="M71" s="19">
        <v>1.0</v>
      </c>
      <c r="N71" s="19">
        <v>0.0</v>
      </c>
      <c r="O71" s="19">
        <v>3.0</v>
      </c>
      <c r="P71" s="19">
        <v>4.0</v>
      </c>
      <c r="Q71" s="19">
        <v>6.0</v>
      </c>
      <c r="R71" s="19">
        <v>5.0</v>
      </c>
      <c r="S71" s="13">
        <f t="shared" si="18"/>
        <v>42</v>
      </c>
    </row>
    <row r="72" ht="12.75" customHeight="1">
      <c r="A72" s="18"/>
      <c r="B72" s="55">
        <v>3.0</v>
      </c>
      <c r="C72" s="50" t="s">
        <v>59</v>
      </c>
      <c r="D72" s="60"/>
      <c r="E72" s="19">
        <v>1.0</v>
      </c>
      <c r="F72" s="19">
        <v>2.0</v>
      </c>
      <c r="G72" s="19">
        <v>5.0</v>
      </c>
      <c r="H72" s="19">
        <v>5.0</v>
      </c>
      <c r="I72" s="19">
        <v>101.0</v>
      </c>
      <c r="J72" s="19">
        <v>125.0</v>
      </c>
      <c r="K72" s="19">
        <v>28.0</v>
      </c>
      <c r="L72" s="19">
        <v>4.0</v>
      </c>
      <c r="M72" s="19">
        <v>0.0</v>
      </c>
      <c r="N72" s="19">
        <v>8.0</v>
      </c>
      <c r="O72" s="19">
        <v>2.0</v>
      </c>
      <c r="P72" s="19">
        <v>18.0</v>
      </c>
      <c r="Q72" s="19">
        <v>3.0</v>
      </c>
      <c r="R72" s="19">
        <v>2.0</v>
      </c>
      <c r="S72" s="13">
        <f t="shared" si="18"/>
        <v>304</v>
      </c>
    </row>
    <row r="73" ht="12.75" customHeight="1">
      <c r="A73" s="18"/>
      <c r="B73" s="55">
        <v>4.0</v>
      </c>
      <c r="C73" s="50" t="s">
        <v>60</v>
      </c>
      <c r="D73" s="60"/>
      <c r="E73" s="19">
        <v>2.0</v>
      </c>
      <c r="F73" s="19">
        <v>4.0</v>
      </c>
      <c r="G73" s="19">
        <v>0.0</v>
      </c>
      <c r="H73" s="19">
        <v>0.0</v>
      </c>
      <c r="I73" s="19">
        <v>1.0</v>
      </c>
      <c r="J73" s="19">
        <v>2.0</v>
      </c>
      <c r="K73" s="19">
        <v>1.0</v>
      </c>
      <c r="L73" s="19">
        <v>3.0</v>
      </c>
      <c r="M73" s="19">
        <v>1.0</v>
      </c>
      <c r="N73" s="19">
        <v>1.0</v>
      </c>
      <c r="O73" s="19">
        <v>1.0</v>
      </c>
      <c r="P73" s="19">
        <v>2.0</v>
      </c>
      <c r="Q73" s="19">
        <v>0.0</v>
      </c>
      <c r="R73" s="19">
        <v>2.0</v>
      </c>
      <c r="S73" s="13">
        <f t="shared" si="18"/>
        <v>20</v>
      </c>
    </row>
    <row r="74" ht="12.75" customHeight="1">
      <c r="A74" s="18"/>
      <c r="B74" s="55">
        <v>5.0</v>
      </c>
      <c r="C74" s="50" t="s">
        <v>61</v>
      </c>
      <c r="D74" s="60"/>
      <c r="E74" s="19">
        <v>2.0</v>
      </c>
      <c r="F74" s="19">
        <v>1.0</v>
      </c>
      <c r="G74" s="19">
        <v>0.0</v>
      </c>
      <c r="H74" s="19">
        <v>2.0</v>
      </c>
      <c r="I74" s="19">
        <v>0.0</v>
      </c>
      <c r="J74" s="19">
        <v>1.0</v>
      </c>
      <c r="K74" s="19">
        <v>1.0</v>
      </c>
      <c r="L74" s="19">
        <v>3.0</v>
      </c>
      <c r="M74" s="19">
        <v>0.0</v>
      </c>
      <c r="N74" s="19">
        <v>0.0</v>
      </c>
      <c r="O74" s="19">
        <v>0.0</v>
      </c>
      <c r="P74" s="19">
        <v>2.0</v>
      </c>
      <c r="Q74" s="19">
        <v>1.0</v>
      </c>
      <c r="R74" s="19">
        <v>0.0</v>
      </c>
      <c r="S74" s="13">
        <f t="shared" si="18"/>
        <v>13</v>
      </c>
    </row>
    <row r="75" ht="12.75" customHeight="1">
      <c r="A75" s="18"/>
      <c r="B75" s="55">
        <v>6.0</v>
      </c>
      <c r="C75" s="50" t="s">
        <v>62</v>
      </c>
      <c r="D75" s="60"/>
      <c r="E75" s="19">
        <v>1.0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1.0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3">
        <f t="shared" si="18"/>
        <v>2</v>
      </c>
    </row>
    <row r="76" ht="12.75" customHeight="1">
      <c r="A76" s="18"/>
      <c r="B76" s="55">
        <v>7.0</v>
      </c>
      <c r="C76" s="50" t="s">
        <v>63</v>
      </c>
      <c r="D76" s="60"/>
      <c r="E76" s="19">
        <v>1.0</v>
      </c>
      <c r="F76" s="19">
        <v>0.0</v>
      </c>
      <c r="G76" s="19">
        <v>0.0</v>
      </c>
      <c r="H76" s="19">
        <v>0.0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0.0</v>
      </c>
      <c r="Q76" s="19">
        <v>1.0</v>
      </c>
      <c r="R76" s="19">
        <v>0.0</v>
      </c>
      <c r="S76" s="13">
        <f t="shared" si="18"/>
        <v>3</v>
      </c>
    </row>
    <row r="77" ht="12.75" customHeight="1">
      <c r="A77" s="18"/>
      <c r="B77" s="56"/>
      <c r="C77" s="57"/>
      <c r="D77" s="62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3">
        <f t="shared" si="18"/>
        <v>0</v>
      </c>
    </row>
    <row r="78" ht="12.75" customHeight="1">
      <c r="A78" s="18"/>
      <c r="B78" s="56"/>
      <c r="C78" s="57"/>
      <c r="D78" s="62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3">
        <f t="shared" si="18"/>
        <v>0</v>
      </c>
    </row>
    <row r="79" ht="12.75" customHeight="1">
      <c r="A79" s="19" t="s">
        <v>15</v>
      </c>
      <c r="B79" s="47" t="s">
        <v>47</v>
      </c>
      <c r="C79" s="15"/>
      <c r="D79" s="16"/>
      <c r="E79" s="13">
        <f t="shared" ref="E79:S79" si="19">SUM(E69:E78)</f>
        <v>23</v>
      </c>
      <c r="F79" s="13">
        <f t="shared" si="19"/>
        <v>27</v>
      </c>
      <c r="G79" s="13">
        <f t="shared" si="19"/>
        <v>28</v>
      </c>
      <c r="H79" s="13">
        <f t="shared" si="19"/>
        <v>13</v>
      </c>
      <c r="I79" s="13">
        <f t="shared" si="19"/>
        <v>134</v>
      </c>
      <c r="J79" s="13">
        <f t="shared" si="19"/>
        <v>139</v>
      </c>
      <c r="K79" s="13">
        <f t="shared" si="19"/>
        <v>52</v>
      </c>
      <c r="L79" s="13">
        <f t="shared" si="19"/>
        <v>21</v>
      </c>
      <c r="M79" s="13">
        <f t="shared" si="19"/>
        <v>10</v>
      </c>
      <c r="N79" s="13">
        <f t="shared" si="19"/>
        <v>23</v>
      </c>
      <c r="O79" s="13">
        <f t="shared" si="19"/>
        <v>24</v>
      </c>
      <c r="P79" s="13">
        <f t="shared" si="19"/>
        <v>35</v>
      </c>
      <c r="Q79" s="13">
        <f t="shared" si="19"/>
        <v>20</v>
      </c>
      <c r="R79" s="13">
        <f t="shared" si="19"/>
        <v>24</v>
      </c>
      <c r="S79" s="13">
        <f t="shared" si="19"/>
        <v>573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10.0</v>
      </c>
      <c r="F81" s="19">
        <v>2.0</v>
      </c>
      <c r="G81" s="19">
        <v>4.0</v>
      </c>
      <c r="H81" s="19">
        <v>3.0</v>
      </c>
      <c r="I81" s="19">
        <v>4.0</v>
      </c>
      <c r="J81" s="19">
        <v>0.0</v>
      </c>
      <c r="K81" s="19">
        <v>6.0</v>
      </c>
      <c r="L81" s="19">
        <v>4.0</v>
      </c>
      <c r="M81" s="19">
        <v>1.0</v>
      </c>
      <c r="N81" s="19">
        <v>1.0</v>
      </c>
      <c r="O81" s="19">
        <v>1.0</v>
      </c>
      <c r="P81" s="19">
        <v>2.0</v>
      </c>
      <c r="Q81" s="19">
        <v>6.0</v>
      </c>
      <c r="R81" s="19">
        <v>1.0</v>
      </c>
      <c r="S81" s="13">
        <f t="shared" ref="S81:S90" si="20">SUM(E81:R81)</f>
        <v>45</v>
      </c>
    </row>
    <row r="82" ht="12.75" customHeight="1">
      <c r="A82" s="30" t="s">
        <v>39</v>
      </c>
      <c r="B82" s="55">
        <v>1.0</v>
      </c>
      <c r="C82" s="50" t="s">
        <v>65</v>
      </c>
      <c r="D82" s="60"/>
      <c r="E82" s="19">
        <v>37.0</v>
      </c>
      <c r="F82" s="19">
        <v>28.0</v>
      </c>
      <c r="G82" s="19">
        <v>36.0</v>
      </c>
      <c r="H82" s="19">
        <v>4.0</v>
      </c>
      <c r="I82" s="19">
        <v>9.0</v>
      </c>
      <c r="J82" s="19">
        <v>0.0</v>
      </c>
      <c r="K82" s="19">
        <v>10.0</v>
      </c>
      <c r="L82" s="19">
        <v>11.0</v>
      </c>
      <c r="M82" s="19">
        <v>3.0</v>
      </c>
      <c r="N82" s="19">
        <v>12.0</v>
      </c>
      <c r="O82" s="19">
        <v>1.0</v>
      </c>
      <c r="P82" s="19">
        <v>15.0</v>
      </c>
      <c r="Q82" s="19">
        <v>9.0</v>
      </c>
      <c r="R82" s="19">
        <v>7.0</v>
      </c>
      <c r="S82" s="13">
        <f t="shared" si="20"/>
        <v>182</v>
      </c>
    </row>
    <row r="83" ht="12.75" customHeight="1">
      <c r="A83" s="18"/>
      <c r="B83" s="55">
        <v>2.0</v>
      </c>
      <c r="C83" s="50" t="s">
        <v>66</v>
      </c>
      <c r="D83" s="60"/>
      <c r="E83" s="19">
        <v>11.0</v>
      </c>
      <c r="F83" s="19">
        <v>15.0</v>
      </c>
      <c r="G83" s="19">
        <v>12.0</v>
      </c>
      <c r="H83" s="19">
        <v>16.0</v>
      </c>
      <c r="I83" s="19">
        <v>5.0</v>
      </c>
      <c r="J83" s="19">
        <v>4.0</v>
      </c>
      <c r="K83" s="19">
        <v>9.0</v>
      </c>
      <c r="L83" s="19">
        <v>1.0</v>
      </c>
      <c r="M83" s="19">
        <v>6.0</v>
      </c>
      <c r="N83" s="19">
        <v>17.0</v>
      </c>
      <c r="O83" s="19">
        <v>34.0</v>
      </c>
      <c r="P83" s="19">
        <v>12.0</v>
      </c>
      <c r="Q83" s="19">
        <v>13.0</v>
      </c>
      <c r="R83" s="19">
        <v>14.0</v>
      </c>
      <c r="S83" s="13">
        <f t="shared" si="20"/>
        <v>169</v>
      </c>
    </row>
    <row r="84" ht="12.75" customHeight="1">
      <c r="A84" s="18"/>
      <c r="B84" s="55">
        <v>3.0</v>
      </c>
      <c r="C84" s="50" t="s">
        <v>67</v>
      </c>
      <c r="D84" s="60"/>
      <c r="E84" s="19">
        <v>0.0</v>
      </c>
      <c r="F84" s="19">
        <v>0.0</v>
      </c>
      <c r="G84" s="19">
        <v>0.0</v>
      </c>
      <c r="H84" s="19">
        <v>1.0</v>
      </c>
      <c r="I84" s="19">
        <v>1.0</v>
      </c>
      <c r="J84" s="19">
        <v>0.0</v>
      </c>
      <c r="K84" s="19">
        <v>0.0</v>
      </c>
      <c r="L84" s="19">
        <v>4.0</v>
      </c>
      <c r="M84" s="19">
        <v>0.0</v>
      </c>
      <c r="N84" s="19">
        <v>0.0</v>
      </c>
      <c r="O84" s="19">
        <v>2.0</v>
      </c>
      <c r="P84" s="19">
        <v>0.0</v>
      </c>
      <c r="Q84" s="19">
        <v>0.0</v>
      </c>
      <c r="R84" s="19">
        <v>1.0</v>
      </c>
      <c r="S84" s="13">
        <f t="shared" si="20"/>
        <v>9</v>
      </c>
    </row>
    <row r="85" ht="12.75" customHeight="1">
      <c r="A85" s="18"/>
      <c r="B85" s="55">
        <v>4.0</v>
      </c>
      <c r="C85" s="50" t="s">
        <v>68</v>
      </c>
      <c r="D85" s="60"/>
      <c r="E85" s="19">
        <v>2.0</v>
      </c>
      <c r="F85" s="19">
        <v>1.0</v>
      </c>
      <c r="G85" s="19">
        <v>2.0</v>
      </c>
      <c r="H85" s="19">
        <v>0.0</v>
      </c>
      <c r="I85" s="19">
        <v>0.0</v>
      </c>
      <c r="J85" s="19">
        <v>0.0</v>
      </c>
      <c r="K85" s="19">
        <v>0.0</v>
      </c>
      <c r="L85" s="19">
        <v>1.0</v>
      </c>
      <c r="M85" s="19">
        <v>1.0</v>
      </c>
      <c r="N85" s="19">
        <v>0.0</v>
      </c>
      <c r="O85" s="19">
        <v>1.0</v>
      </c>
      <c r="P85" s="19">
        <v>1.0</v>
      </c>
      <c r="Q85" s="19">
        <v>1.0</v>
      </c>
      <c r="R85" s="19">
        <v>1.0</v>
      </c>
      <c r="S85" s="13">
        <f t="shared" si="20"/>
        <v>11</v>
      </c>
    </row>
    <row r="86" ht="12.75" customHeight="1">
      <c r="A86" s="18"/>
      <c r="B86" s="55">
        <v>5.0</v>
      </c>
      <c r="C86" s="50" t="s">
        <v>69</v>
      </c>
      <c r="D86" s="60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0.0</v>
      </c>
      <c r="M86" s="19">
        <v>0.0</v>
      </c>
      <c r="N86" s="19">
        <v>1.0</v>
      </c>
      <c r="O86" s="19">
        <v>1.0</v>
      </c>
      <c r="P86" s="19">
        <v>1.0</v>
      </c>
      <c r="Q86" s="19">
        <v>0.0</v>
      </c>
      <c r="R86" s="19">
        <v>0.0</v>
      </c>
      <c r="S86" s="13">
        <f t="shared" si="20"/>
        <v>3</v>
      </c>
    </row>
    <row r="87" ht="12.75" customHeight="1">
      <c r="A87" s="18"/>
      <c r="B87" s="55">
        <v>6.0</v>
      </c>
      <c r="C87" s="50" t="s">
        <v>70</v>
      </c>
      <c r="D87" s="60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1.0</v>
      </c>
      <c r="S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60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3">
        <f t="shared" si="20"/>
        <v>0</v>
      </c>
    </row>
    <row r="89" ht="12.75" customHeight="1">
      <c r="A89" s="18"/>
      <c r="B89" s="56"/>
      <c r="C89" s="57"/>
      <c r="D89" s="62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3">
        <f t="shared" si="20"/>
        <v>0</v>
      </c>
    </row>
    <row r="90" ht="12.75" customHeight="1">
      <c r="A90" s="18"/>
      <c r="B90" s="56"/>
      <c r="C90" s="57"/>
      <c r="D90" s="62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3">
        <f t="shared" si="20"/>
        <v>0</v>
      </c>
    </row>
    <row r="91" ht="12.75" customHeight="1">
      <c r="A91" s="19" t="s">
        <v>15</v>
      </c>
      <c r="B91" s="47" t="s">
        <v>47</v>
      </c>
      <c r="C91" s="15"/>
      <c r="D91" s="16"/>
      <c r="E91" s="13">
        <f t="shared" ref="E91:S91" si="21">SUM(E81:E90)</f>
        <v>60</v>
      </c>
      <c r="F91" s="13">
        <f t="shared" si="21"/>
        <v>46</v>
      </c>
      <c r="G91" s="13">
        <f t="shared" si="21"/>
        <v>54</v>
      </c>
      <c r="H91" s="13">
        <f t="shared" si="21"/>
        <v>24</v>
      </c>
      <c r="I91" s="13">
        <f t="shared" si="21"/>
        <v>19</v>
      </c>
      <c r="J91" s="13">
        <f t="shared" si="21"/>
        <v>4</v>
      </c>
      <c r="K91" s="13">
        <f t="shared" si="21"/>
        <v>25</v>
      </c>
      <c r="L91" s="13">
        <f t="shared" si="21"/>
        <v>21</v>
      </c>
      <c r="M91" s="13">
        <f t="shared" si="21"/>
        <v>11</v>
      </c>
      <c r="N91" s="13">
        <f t="shared" si="21"/>
        <v>31</v>
      </c>
      <c r="O91" s="13">
        <f t="shared" si="21"/>
        <v>40</v>
      </c>
      <c r="P91" s="13">
        <f t="shared" si="21"/>
        <v>31</v>
      </c>
      <c r="Q91" s="13">
        <f t="shared" si="21"/>
        <v>29</v>
      </c>
      <c r="R91" s="13">
        <f t="shared" si="21"/>
        <v>25</v>
      </c>
      <c r="S91" s="13">
        <f t="shared" si="21"/>
        <v>420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1.0</v>
      </c>
      <c r="G93" s="19">
        <v>0.0</v>
      </c>
      <c r="H93" s="19">
        <v>1.0</v>
      </c>
      <c r="I93" s="19">
        <v>3.0</v>
      </c>
      <c r="J93" s="19">
        <v>0.0</v>
      </c>
      <c r="K93" s="19">
        <v>1.0</v>
      </c>
      <c r="L93" s="19">
        <v>4.0</v>
      </c>
      <c r="M93" s="19">
        <v>0.0</v>
      </c>
      <c r="N93" s="19">
        <v>0.0</v>
      </c>
      <c r="O93" s="19">
        <v>2.0</v>
      </c>
      <c r="P93" s="19">
        <v>2.0</v>
      </c>
      <c r="Q93" s="19">
        <v>0.0</v>
      </c>
      <c r="R93" s="19">
        <v>0.0</v>
      </c>
      <c r="S93" s="13">
        <f t="shared" ref="S93:S102" si="22">SUM(E93:R93)</f>
        <v>14</v>
      </c>
    </row>
    <row r="94" ht="12.75" customHeight="1">
      <c r="A94" s="30" t="s">
        <v>39</v>
      </c>
      <c r="B94" s="55">
        <v>1.0</v>
      </c>
      <c r="C94" s="50" t="s">
        <v>74</v>
      </c>
      <c r="D94" s="60"/>
      <c r="E94" s="19">
        <v>0.0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1.0</v>
      </c>
      <c r="L94" s="19">
        <v>0.0</v>
      </c>
      <c r="M94" s="19">
        <v>0.0</v>
      </c>
      <c r="N94" s="19">
        <v>0.0</v>
      </c>
      <c r="O94" s="19">
        <v>0.0</v>
      </c>
      <c r="P94" s="19">
        <v>0.0</v>
      </c>
      <c r="Q94" s="19">
        <v>0.0</v>
      </c>
      <c r="R94" s="19">
        <v>0.0</v>
      </c>
      <c r="S94" s="13">
        <f t="shared" si="22"/>
        <v>1</v>
      </c>
    </row>
    <row r="95" ht="12.75" customHeight="1">
      <c r="A95" s="18"/>
      <c r="B95" s="55">
        <v>2.0</v>
      </c>
      <c r="C95" s="50" t="s">
        <v>75</v>
      </c>
      <c r="D95" s="60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2.0</v>
      </c>
      <c r="N95" s="19">
        <v>11.0</v>
      </c>
      <c r="O95" s="19">
        <v>0.0</v>
      </c>
      <c r="P95" s="19">
        <v>1.0</v>
      </c>
      <c r="Q95" s="19">
        <v>0.0</v>
      </c>
      <c r="R95" s="19">
        <v>0.0</v>
      </c>
      <c r="S95" s="13">
        <f t="shared" si="22"/>
        <v>14</v>
      </c>
    </row>
    <row r="96" ht="12.75" customHeight="1">
      <c r="A96" s="18"/>
      <c r="B96" s="55">
        <v>3.0</v>
      </c>
      <c r="C96" s="50" t="s">
        <v>76</v>
      </c>
      <c r="D96" s="60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1.0</v>
      </c>
      <c r="O96" s="19">
        <v>0.0</v>
      </c>
      <c r="P96" s="19">
        <v>0.0</v>
      </c>
      <c r="Q96" s="19">
        <v>0.0</v>
      </c>
      <c r="R96" s="19">
        <v>0.0</v>
      </c>
      <c r="S96" s="13">
        <f t="shared" si="22"/>
        <v>1</v>
      </c>
    </row>
    <row r="97" ht="12.75" customHeight="1">
      <c r="A97" s="18"/>
      <c r="B97" s="55">
        <v>4.0</v>
      </c>
      <c r="C97" s="50" t="s">
        <v>77</v>
      </c>
      <c r="D97" s="60"/>
      <c r="E97" s="19">
        <v>0.0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1.0</v>
      </c>
      <c r="Q97" s="19">
        <v>0.0</v>
      </c>
      <c r="R97" s="19">
        <v>1.0</v>
      </c>
      <c r="S97" s="13">
        <f t="shared" si="22"/>
        <v>3</v>
      </c>
    </row>
    <row r="98" ht="12.75" customHeight="1">
      <c r="A98" s="18"/>
      <c r="B98" s="55">
        <v>5.0</v>
      </c>
      <c r="C98" s="50" t="s">
        <v>78</v>
      </c>
      <c r="D98" s="60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1.0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0.0</v>
      </c>
      <c r="S98" s="13">
        <f t="shared" si="22"/>
        <v>1</v>
      </c>
    </row>
    <row r="99" ht="12.75" customHeight="1">
      <c r="A99" s="18"/>
      <c r="B99" s="55">
        <v>6.0</v>
      </c>
      <c r="C99" s="50" t="s">
        <v>79</v>
      </c>
      <c r="D99" s="60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60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3">
        <f t="shared" si="22"/>
        <v>0</v>
      </c>
    </row>
    <row r="101" ht="12.75" customHeight="1">
      <c r="A101" s="18"/>
      <c r="B101" s="56"/>
      <c r="C101" s="57"/>
      <c r="D101" s="62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3">
        <f t="shared" si="22"/>
        <v>0</v>
      </c>
    </row>
    <row r="102" ht="12.75" customHeight="1">
      <c r="A102" s="18"/>
      <c r="B102" s="56"/>
      <c r="C102" s="57"/>
      <c r="D102" s="62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3">
        <f t="shared" si="22"/>
        <v>0</v>
      </c>
    </row>
    <row r="103" ht="12.75" customHeight="1">
      <c r="A103" s="19" t="s">
        <v>15</v>
      </c>
      <c r="B103" s="47" t="s">
        <v>47</v>
      </c>
      <c r="C103" s="15"/>
      <c r="D103" s="16"/>
      <c r="E103" s="13">
        <f t="shared" ref="E103:S103" si="23">SUM(E93:E102)</f>
        <v>0</v>
      </c>
      <c r="F103" s="13">
        <f t="shared" si="23"/>
        <v>1</v>
      </c>
      <c r="G103" s="13">
        <f t="shared" si="23"/>
        <v>0</v>
      </c>
      <c r="H103" s="13">
        <f t="shared" si="23"/>
        <v>2</v>
      </c>
      <c r="I103" s="13">
        <f t="shared" si="23"/>
        <v>3</v>
      </c>
      <c r="J103" s="13">
        <f t="shared" si="23"/>
        <v>0</v>
      </c>
      <c r="K103" s="13">
        <f t="shared" si="23"/>
        <v>3</v>
      </c>
      <c r="L103" s="13">
        <f t="shared" si="23"/>
        <v>4</v>
      </c>
      <c r="M103" s="13">
        <f t="shared" si="23"/>
        <v>2</v>
      </c>
      <c r="N103" s="13">
        <f t="shared" si="23"/>
        <v>12</v>
      </c>
      <c r="O103" s="13">
        <f t="shared" si="23"/>
        <v>2</v>
      </c>
      <c r="P103" s="13">
        <f t="shared" si="23"/>
        <v>4</v>
      </c>
      <c r="Q103" s="13">
        <f t="shared" si="23"/>
        <v>0</v>
      </c>
      <c r="R103" s="13">
        <f t="shared" si="23"/>
        <v>1</v>
      </c>
      <c r="S103" s="13">
        <f t="shared" si="23"/>
        <v>34</v>
      </c>
    </row>
    <row r="104" ht="12.75" customHeight="1">
      <c r="A104" s="45"/>
      <c r="B104" s="44"/>
      <c r="C104" s="44"/>
      <c r="D104" s="44"/>
      <c r="E104" s="44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1.0</v>
      </c>
      <c r="F105" s="19">
        <v>0.0</v>
      </c>
      <c r="G105" s="19">
        <v>0.0</v>
      </c>
      <c r="H105" s="19">
        <v>0.0</v>
      </c>
      <c r="I105" s="19">
        <v>1.0</v>
      </c>
      <c r="J105" s="19">
        <v>0.0</v>
      </c>
      <c r="K105" s="19">
        <v>0.0</v>
      </c>
      <c r="L105" s="19">
        <v>0.0</v>
      </c>
      <c r="M105" s="19">
        <v>0.0</v>
      </c>
      <c r="N105" s="19">
        <v>0.0</v>
      </c>
      <c r="O105" s="19">
        <v>1.0</v>
      </c>
      <c r="P105" s="19">
        <v>0.0</v>
      </c>
      <c r="Q105" s="19">
        <v>1.0</v>
      </c>
      <c r="R105" s="19">
        <v>0.0</v>
      </c>
      <c r="S105" s="13">
        <f t="shared" ref="S105:S114" si="24">SUM(E105:R105)</f>
        <v>4</v>
      </c>
    </row>
    <row r="106" ht="12.75" customHeight="1">
      <c r="A106" s="30" t="s">
        <v>39</v>
      </c>
      <c r="B106" s="55">
        <v>1.0</v>
      </c>
      <c r="C106" s="50" t="s">
        <v>83</v>
      </c>
      <c r="D106" s="60"/>
      <c r="E106" s="19">
        <v>1.0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0.0</v>
      </c>
      <c r="Q106" s="19">
        <v>0.0</v>
      </c>
      <c r="R106" s="19">
        <v>1.0</v>
      </c>
      <c r="S106" s="13">
        <f t="shared" si="24"/>
        <v>2</v>
      </c>
    </row>
    <row r="107" ht="12.75" customHeight="1">
      <c r="A107" s="18"/>
      <c r="B107" s="55">
        <v>2.0</v>
      </c>
      <c r="C107" s="50" t="s">
        <v>84</v>
      </c>
      <c r="D107" s="60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3">
        <f t="shared" si="24"/>
        <v>1</v>
      </c>
    </row>
    <row r="108" ht="12.75" customHeight="1">
      <c r="A108" s="18"/>
      <c r="B108" s="55">
        <v>3.0</v>
      </c>
      <c r="C108" s="50" t="s">
        <v>85</v>
      </c>
      <c r="D108" s="60"/>
      <c r="E108" s="7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60"/>
      <c r="E109" s="7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1.0</v>
      </c>
      <c r="Q109" s="19">
        <v>0.0</v>
      </c>
      <c r="R109" s="19">
        <v>0.0</v>
      </c>
      <c r="S109" s="13">
        <f t="shared" si="24"/>
        <v>1</v>
      </c>
    </row>
    <row r="110" ht="12.75" customHeight="1">
      <c r="A110" s="18"/>
      <c r="B110" s="55">
        <v>5.0</v>
      </c>
      <c r="C110" s="50" t="s">
        <v>87</v>
      </c>
      <c r="D110" s="60"/>
      <c r="E110" s="7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60"/>
      <c r="E111" s="79">
        <v>0.0</v>
      </c>
      <c r="F111" s="19">
        <v>1.0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60"/>
      <c r="E112" s="7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3">
        <f t="shared" si="24"/>
        <v>0</v>
      </c>
    </row>
    <row r="113" ht="12.75" customHeight="1">
      <c r="A113" s="18"/>
      <c r="B113" s="56"/>
      <c r="C113" s="57"/>
      <c r="D113" s="62"/>
      <c r="E113" s="7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">
        <f t="shared" si="24"/>
        <v>0</v>
      </c>
    </row>
    <row r="114" ht="12.75" customHeight="1">
      <c r="A114" s="18"/>
      <c r="B114" s="56"/>
      <c r="C114" s="57"/>
      <c r="D114" s="62"/>
      <c r="E114" s="7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SUM(E105:E114)</f>
        <v>2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1</v>
      </c>
      <c r="S115" s="13">
        <f t="shared" si="25"/>
        <v>9</v>
      </c>
    </row>
    <row r="116" ht="12.75" customHeight="1">
      <c r="A116" s="24"/>
      <c r="B116" s="15"/>
      <c r="C116" s="15"/>
      <c r="D116" s="15"/>
      <c r="E116" s="16"/>
      <c r="F116" s="78"/>
      <c r="G116" s="78"/>
      <c r="H116" s="78"/>
      <c r="I116" s="78"/>
      <c r="J116" s="78"/>
      <c r="K116" s="78"/>
      <c r="L116" s="78"/>
      <c r="M116" s="78"/>
      <c r="N116" s="78"/>
      <c r="O116" s="78"/>
      <c r="P116" s="78"/>
      <c r="Q116" s="78"/>
      <c r="R116" s="78"/>
      <c r="S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1.0</v>
      </c>
      <c r="Q117" s="19">
        <v>0.0</v>
      </c>
      <c r="R117" s="19">
        <v>0.0</v>
      </c>
      <c r="S117" s="13">
        <f t="shared" ref="S117:S126" si="26">SUM(E117:R117)</f>
        <v>4</v>
      </c>
    </row>
    <row r="118" ht="12.75" customHeight="1">
      <c r="A118" s="30" t="s">
        <v>39</v>
      </c>
      <c r="B118" s="55">
        <v>1.0</v>
      </c>
      <c r="C118" s="50" t="s">
        <v>92</v>
      </c>
      <c r="D118" s="60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3">
        <f t="shared" si="26"/>
        <v>1</v>
      </c>
    </row>
    <row r="119" ht="12.75" customHeight="1">
      <c r="A119" s="18"/>
      <c r="B119" s="55">
        <v>2.0</v>
      </c>
      <c r="C119" s="50" t="s">
        <v>93</v>
      </c>
      <c r="D119" s="60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1.0</v>
      </c>
      <c r="Q119" s="19">
        <v>0.0</v>
      </c>
      <c r="R119" s="19">
        <v>0.0</v>
      </c>
      <c r="S119" s="13">
        <f t="shared" si="26"/>
        <v>1</v>
      </c>
    </row>
    <row r="120" ht="12.75" customHeight="1">
      <c r="A120" s="18"/>
      <c r="B120" s="55">
        <v>3.0</v>
      </c>
      <c r="C120" s="50" t="s">
        <v>94</v>
      </c>
      <c r="D120" s="60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3">
        <f t="shared" si="26"/>
        <v>0</v>
      </c>
    </row>
    <row r="121" ht="12.75" customHeight="1">
      <c r="A121" s="18"/>
      <c r="B121" s="56"/>
      <c r="C121" s="57"/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3">
        <f t="shared" si="26"/>
        <v>0</v>
      </c>
    </row>
    <row r="122" ht="12.75" customHeight="1">
      <c r="A122" s="18"/>
      <c r="B122" s="56"/>
      <c r="C122" s="57"/>
      <c r="D122" s="62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3">
        <f t="shared" si="26"/>
        <v>0</v>
      </c>
    </row>
    <row r="123" ht="12.75" customHeight="1">
      <c r="A123" s="18"/>
      <c r="B123" s="56"/>
      <c r="C123" s="57"/>
      <c r="D123" s="62"/>
      <c r="E123" s="63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13">
        <f t="shared" si="26"/>
        <v>0</v>
      </c>
    </row>
    <row r="124" ht="12.75" customHeight="1">
      <c r="A124" s="18"/>
      <c r="B124" s="56"/>
      <c r="C124" s="57"/>
      <c r="D124" s="62"/>
      <c r="E124" s="63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13">
        <f t="shared" si="26"/>
        <v>0</v>
      </c>
    </row>
    <row r="125" ht="12.75" customHeight="1">
      <c r="A125" s="18"/>
      <c r="B125" s="56"/>
      <c r="C125" s="57"/>
      <c r="D125" s="62"/>
      <c r="E125" s="63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13">
        <f t="shared" si="26"/>
        <v>0</v>
      </c>
    </row>
    <row r="126" ht="12.75" customHeight="1">
      <c r="A126" s="18"/>
      <c r="B126" s="56"/>
      <c r="C126" s="57"/>
      <c r="D126" s="62"/>
      <c r="E126" s="63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13">
        <f t="shared" si="26"/>
        <v>0</v>
      </c>
    </row>
    <row r="127" ht="12.75" customHeight="1">
      <c r="A127" s="19" t="s">
        <v>15</v>
      </c>
      <c r="B127" s="47" t="s">
        <v>47</v>
      </c>
      <c r="C127" s="15"/>
      <c r="D127" s="16"/>
      <c r="E127" s="13">
        <f t="shared" ref="E127:S127" si="27">SUM(E117:E126)</f>
        <v>0</v>
      </c>
      <c r="F127" s="13">
        <f t="shared" si="27"/>
        <v>0</v>
      </c>
      <c r="G127" s="13">
        <f t="shared" si="27"/>
        <v>1</v>
      </c>
      <c r="H127" s="13">
        <f t="shared" si="27"/>
        <v>0</v>
      </c>
      <c r="I127" s="13">
        <f t="shared" si="27"/>
        <v>0</v>
      </c>
      <c r="J127" s="13">
        <f t="shared" si="27"/>
        <v>1</v>
      </c>
      <c r="K127" s="13">
        <f t="shared" si="27"/>
        <v>0</v>
      </c>
      <c r="L127" s="13">
        <f t="shared" si="27"/>
        <v>0</v>
      </c>
      <c r="M127" s="13">
        <f t="shared" si="27"/>
        <v>0</v>
      </c>
      <c r="N127" s="13">
        <f t="shared" si="27"/>
        <v>0</v>
      </c>
      <c r="O127" s="13">
        <f t="shared" si="27"/>
        <v>1</v>
      </c>
      <c r="P127" s="13">
        <f t="shared" si="27"/>
        <v>2</v>
      </c>
      <c r="Q127" s="13">
        <f t="shared" si="27"/>
        <v>1</v>
      </c>
      <c r="R127" s="13">
        <f t="shared" si="27"/>
        <v>0</v>
      </c>
      <c r="S127" s="13">
        <f t="shared" si="27"/>
        <v>6</v>
      </c>
    </row>
    <row r="128" ht="12.75" customHeight="1">
      <c r="A128" s="24"/>
      <c r="B128" s="15"/>
      <c r="C128" s="15"/>
      <c r="D128" s="15"/>
      <c r="E128" s="16"/>
      <c r="F128" s="78"/>
      <c r="G128" s="78"/>
      <c r="H128" s="78"/>
      <c r="I128" s="78"/>
      <c r="J128" s="78"/>
      <c r="K128" s="78"/>
      <c r="L128" s="78"/>
      <c r="M128" s="78"/>
      <c r="N128" s="78"/>
      <c r="O128" s="78"/>
      <c r="P128" s="78"/>
      <c r="Q128" s="78"/>
      <c r="R128" s="78"/>
      <c r="S128" s="78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3.0</v>
      </c>
      <c r="H129" s="19">
        <v>4.0</v>
      </c>
      <c r="I129" s="19">
        <v>0.0</v>
      </c>
      <c r="J129" s="19">
        <v>1.0</v>
      </c>
      <c r="K129" s="19">
        <v>0.0</v>
      </c>
      <c r="L129" s="19">
        <v>0.0</v>
      </c>
      <c r="M129" s="19">
        <v>0.0</v>
      </c>
      <c r="N129" s="19">
        <v>1.0</v>
      </c>
      <c r="O129" s="19">
        <v>0.0</v>
      </c>
      <c r="P129" s="19">
        <v>0.0</v>
      </c>
      <c r="Q129" s="19">
        <v>0.0</v>
      </c>
      <c r="R129" s="19">
        <v>1.0</v>
      </c>
      <c r="S129" s="13">
        <f t="shared" ref="S129:S138" si="28">SUM(E129:R129)</f>
        <v>11</v>
      </c>
    </row>
    <row r="130" ht="12.75" customHeight="1">
      <c r="A130" s="30" t="s">
        <v>39</v>
      </c>
      <c r="B130" s="55">
        <v>1.0</v>
      </c>
      <c r="C130" s="50" t="s">
        <v>97</v>
      </c>
      <c r="D130" s="59"/>
      <c r="E130" s="19">
        <v>0.0</v>
      </c>
      <c r="F130" s="19">
        <v>3.0</v>
      </c>
      <c r="G130" s="19">
        <v>5.0</v>
      </c>
      <c r="H130" s="19">
        <v>1.0</v>
      </c>
      <c r="I130" s="19">
        <v>0.0</v>
      </c>
      <c r="J130" s="19">
        <v>1.0</v>
      </c>
      <c r="K130" s="19">
        <v>1.0</v>
      </c>
      <c r="L130" s="19">
        <v>0.0</v>
      </c>
      <c r="M130" s="19">
        <v>0.0</v>
      </c>
      <c r="N130" s="19">
        <v>0.0</v>
      </c>
      <c r="O130" s="19">
        <v>1.0</v>
      </c>
      <c r="P130" s="19">
        <v>1.0</v>
      </c>
      <c r="Q130" s="19">
        <v>1.0</v>
      </c>
      <c r="R130" s="19">
        <v>6.0</v>
      </c>
      <c r="S130" s="13">
        <f t="shared" si="28"/>
        <v>20</v>
      </c>
    </row>
    <row r="131" ht="12.75" customHeight="1">
      <c r="A131" s="18"/>
      <c r="B131" s="55">
        <v>2.0</v>
      </c>
      <c r="C131" s="50" t="s">
        <v>98</v>
      </c>
      <c r="D131" s="59"/>
      <c r="E131" s="19">
        <v>1.0</v>
      </c>
      <c r="F131" s="19">
        <v>5.0</v>
      </c>
      <c r="G131" s="19">
        <v>0.0</v>
      </c>
      <c r="H131" s="19">
        <v>0.0</v>
      </c>
      <c r="I131" s="19">
        <v>1.0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3">
        <f t="shared" si="28"/>
        <v>8</v>
      </c>
    </row>
    <row r="132" ht="12.75" customHeight="1">
      <c r="A132" s="18"/>
      <c r="B132" s="55">
        <v>3.0</v>
      </c>
      <c r="C132" s="50" t="s">
        <v>99</v>
      </c>
      <c r="D132" s="59"/>
      <c r="E132" s="19">
        <v>0.0</v>
      </c>
      <c r="F132" s="19">
        <v>0.0</v>
      </c>
      <c r="G132" s="19">
        <v>1.0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3">
        <f t="shared" si="28"/>
        <v>1</v>
      </c>
    </row>
    <row r="133" ht="12.75" customHeight="1">
      <c r="A133" s="18"/>
      <c r="B133" s="55">
        <v>4.0</v>
      </c>
      <c r="C133" s="50" t="s">
        <v>100</v>
      </c>
      <c r="D133" s="59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3">
        <f t="shared" si="28"/>
        <v>0</v>
      </c>
    </row>
    <row r="134" ht="12.75" customHeight="1">
      <c r="A134" s="18"/>
      <c r="B134" s="55">
        <v>5.0</v>
      </c>
      <c r="C134" s="50" t="s">
        <v>101</v>
      </c>
      <c r="D134" s="59"/>
      <c r="E134" s="19">
        <v>0.0</v>
      </c>
      <c r="F134" s="19">
        <v>0.0</v>
      </c>
      <c r="G134" s="19">
        <v>0.0</v>
      </c>
      <c r="H134" s="19">
        <v>1.0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3">
        <f t="shared" si="28"/>
        <v>1</v>
      </c>
    </row>
    <row r="135" ht="12.75" customHeight="1">
      <c r="A135" s="18"/>
      <c r="B135" s="55">
        <v>6.0</v>
      </c>
      <c r="C135" s="50" t="s">
        <v>102</v>
      </c>
      <c r="D135" s="60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1.0</v>
      </c>
      <c r="S135" s="13">
        <f t="shared" si="28"/>
        <v>2</v>
      </c>
    </row>
    <row r="136" ht="12.75" customHeight="1">
      <c r="A136" s="18"/>
      <c r="B136" s="55">
        <v>7.0</v>
      </c>
      <c r="C136" s="50" t="s">
        <v>103</v>
      </c>
      <c r="D136" s="59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3">
        <f t="shared" si="28"/>
        <v>0</v>
      </c>
    </row>
    <row r="137" ht="12.75" customHeight="1">
      <c r="A137" s="18"/>
      <c r="B137" s="56"/>
      <c r="C137" s="57"/>
      <c r="D137" s="61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3">
        <f t="shared" si="28"/>
        <v>0</v>
      </c>
    </row>
    <row r="138" ht="12.75" customHeight="1">
      <c r="A138" s="18"/>
      <c r="B138" s="56"/>
      <c r="C138" s="57"/>
      <c r="D138" s="61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3">
        <f t="shared" si="28"/>
        <v>0</v>
      </c>
    </row>
    <row r="139" ht="12.75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SUM(E129:E138)</f>
        <v>2</v>
      </c>
      <c r="F139" s="13">
        <f t="shared" si="29"/>
        <v>8</v>
      </c>
      <c r="G139" s="13">
        <f t="shared" si="29"/>
        <v>9</v>
      </c>
      <c r="H139" s="13">
        <f t="shared" si="29"/>
        <v>6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0</v>
      </c>
      <c r="M139" s="13">
        <f t="shared" si="29"/>
        <v>1</v>
      </c>
      <c r="N139" s="13">
        <f t="shared" si="29"/>
        <v>1</v>
      </c>
      <c r="O139" s="13">
        <f t="shared" si="29"/>
        <v>2</v>
      </c>
      <c r="P139" s="13">
        <f t="shared" si="29"/>
        <v>1</v>
      </c>
      <c r="Q139" s="13">
        <f t="shared" si="29"/>
        <v>1</v>
      </c>
      <c r="R139" s="13">
        <f t="shared" si="29"/>
        <v>8</v>
      </c>
      <c r="S139" s="13">
        <f t="shared" si="29"/>
        <v>43</v>
      </c>
    </row>
    <row r="140" ht="12.75" customHeight="1">
      <c r="A140" s="24"/>
      <c r="B140" s="15"/>
      <c r="C140" s="15"/>
      <c r="D140" s="15"/>
      <c r="E140" s="16"/>
      <c r="F140" s="78"/>
      <c r="G140" s="78"/>
      <c r="H140" s="78"/>
      <c r="I140" s="78"/>
      <c r="J140" s="78"/>
      <c r="K140" s="78"/>
      <c r="L140" s="78"/>
      <c r="M140" s="78"/>
      <c r="N140" s="78"/>
      <c r="O140" s="78"/>
      <c r="P140" s="78"/>
      <c r="Q140" s="78"/>
      <c r="R140" s="78"/>
      <c r="S140" s="78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3">
        <f t="shared" ref="S141:S150" si="30">SUM(E141:R141)</f>
        <v>0</v>
      </c>
    </row>
    <row r="142" ht="12.75" customHeight="1">
      <c r="A142" s="30" t="s">
        <v>39</v>
      </c>
      <c r="B142" s="55">
        <v>1.0</v>
      </c>
      <c r="C142" s="50" t="s">
        <v>106</v>
      </c>
      <c r="D142" s="60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3">
        <f t="shared" si="30"/>
        <v>0</v>
      </c>
    </row>
    <row r="143" ht="12.75" customHeight="1">
      <c r="A143" s="18"/>
      <c r="B143" s="55">
        <v>2.0</v>
      </c>
      <c r="C143" s="50" t="s">
        <v>107</v>
      </c>
      <c r="D143" s="60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3">
        <f t="shared" si="30"/>
        <v>0</v>
      </c>
    </row>
    <row r="144" ht="12.75" customHeight="1">
      <c r="A144" s="18"/>
      <c r="B144" s="55">
        <v>3.0</v>
      </c>
      <c r="C144" s="50" t="s">
        <v>108</v>
      </c>
      <c r="D144" s="60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3">
        <f t="shared" si="30"/>
        <v>0</v>
      </c>
    </row>
    <row r="145" ht="12.75" customHeight="1">
      <c r="A145" s="18"/>
      <c r="B145" s="55">
        <v>4.0</v>
      </c>
      <c r="C145" s="50" t="s">
        <v>109</v>
      </c>
      <c r="D145" s="60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3">
        <f t="shared" si="30"/>
        <v>0</v>
      </c>
    </row>
    <row r="146" ht="12.75" customHeight="1">
      <c r="A146" s="18"/>
      <c r="B146" s="55">
        <v>5.0</v>
      </c>
      <c r="C146" s="50" t="s">
        <v>110</v>
      </c>
      <c r="D146" s="60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3">
        <f t="shared" si="30"/>
        <v>0</v>
      </c>
    </row>
    <row r="147" ht="12.75" customHeight="1">
      <c r="A147" s="18"/>
      <c r="B147" s="55">
        <v>6.0</v>
      </c>
      <c r="C147" s="50" t="s">
        <v>111</v>
      </c>
      <c r="D147" s="60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3">
        <f t="shared" si="30"/>
        <v>0</v>
      </c>
    </row>
    <row r="148" ht="12.75" customHeight="1">
      <c r="A148" s="18"/>
      <c r="B148" s="55">
        <v>7.0</v>
      </c>
      <c r="C148" s="50" t="s">
        <v>112</v>
      </c>
      <c r="D148" s="60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3">
        <f t="shared" si="30"/>
        <v>0</v>
      </c>
    </row>
    <row r="149" ht="12.75" customHeight="1">
      <c r="A149" s="18"/>
      <c r="B149" s="56"/>
      <c r="C149" s="57"/>
      <c r="D149" s="62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3">
        <f t="shared" si="30"/>
        <v>0</v>
      </c>
    </row>
    <row r="150" ht="12.75" customHeight="1">
      <c r="A150" s="18"/>
      <c r="B150" s="56"/>
      <c r="C150" s="57"/>
      <c r="D150" s="62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3">
        <f t="shared" si="30"/>
        <v>0</v>
      </c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SUM(E141:E150)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</row>
    <row r="152" ht="12.75" customHeight="1">
      <c r="A152" s="24"/>
      <c r="B152" s="15"/>
      <c r="C152" s="15"/>
      <c r="D152" s="15"/>
      <c r="E152" s="16"/>
      <c r="F152" s="78"/>
      <c r="G152" s="78"/>
      <c r="H152" s="78"/>
      <c r="I152" s="78"/>
      <c r="J152" s="78"/>
      <c r="K152" s="78"/>
      <c r="L152" s="78"/>
      <c r="M152" s="78"/>
      <c r="N152" s="78"/>
      <c r="O152" s="78"/>
      <c r="P152" s="78"/>
      <c r="Q152" s="78"/>
      <c r="R152" s="78"/>
      <c r="S152" s="13"/>
    </row>
    <row r="153" ht="12.75" customHeight="1">
      <c r="A153" s="30" t="s">
        <v>37</v>
      </c>
      <c r="B153" s="17" t="s">
        <v>113</v>
      </c>
      <c r="C153" s="64" t="s">
        <v>114</v>
      </c>
      <c r="D153" s="23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2.0</v>
      </c>
      <c r="K153" s="19">
        <v>0.0</v>
      </c>
      <c r="L153" s="19">
        <v>1.0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0.0</v>
      </c>
      <c r="S153" s="13">
        <f t="shared" ref="S153:S156" si="32">SUM(E154:R154)</f>
        <v>2</v>
      </c>
    </row>
    <row r="154" ht="12.75" customHeight="1">
      <c r="A154" s="65" t="s">
        <v>39</v>
      </c>
      <c r="B154" s="55">
        <v>1.0</v>
      </c>
      <c r="C154" s="66" t="s">
        <v>115</v>
      </c>
      <c r="D154" s="60"/>
      <c r="E154" s="80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1.0</v>
      </c>
      <c r="K154" s="19">
        <v>1.0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3">
        <f t="shared" si="32"/>
        <v>1</v>
      </c>
    </row>
    <row r="155" ht="12.75" customHeight="1">
      <c r="A155" s="18"/>
      <c r="B155" s="55">
        <v>2.0</v>
      </c>
      <c r="C155" s="66" t="s">
        <v>116</v>
      </c>
      <c r="D155" s="60"/>
      <c r="E155" s="80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3">
        <f t="shared" si="32"/>
        <v>4</v>
      </c>
    </row>
    <row r="156" ht="12.75" customHeight="1">
      <c r="A156" s="18"/>
      <c r="B156" s="55">
        <v>3.0</v>
      </c>
      <c r="C156" s="66" t="s">
        <v>117</v>
      </c>
      <c r="D156" s="60"/>
      <c r="E156" s="80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2.0</v>
      </c>
      <c r="K156" s="19">
        <v>1.0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3">
        <f t="shared" si="32"/>
        <v>0</v>
      </c>
    </row>
    <row r="157" ht="12.75" customHeight="1">
      <c r="A157" s="18"/>
      <c r="B157" s="55">
        <v>4.0</v>
      </c>
      <c r="C157" s="66" t="s">
        <v>118</v>
      </c>
      <c r="D157" s="60"/>
      <c r="E157" s="80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3">
        <f t="shared" ref="S157:S162" si="33">SUM(E163:R163)</f>
        <v>10</v>
      </c>
    </row>
    <row r="158" ht="12.75" customHeight="1">
      <c r="A158" s="18"/>
      <c r="B158" s="56"/>
      <c r="C158" s="57"/>
      <c r="D158" s="61"/>
      <c r="E158" s="8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3">
        <f t="shared" si="33"/>
        <v>0</v>
      </c>
    </row>
    <row r="159" ht="12.75" customHeight="1">
      <c r="A159" s="18"/>
      <c r="B159" s="56"/>
      <c r="C159" s="57"/>
      <c r="D159" s="61"/>
      <c r="E159" s="8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3">
        <f t="shared" si="33"/>
        <v>3</v>
      </c>
    </row>
    <row r="160" ht="12.75" customHeight="1">
      <c r="A160" s="18"/>
      <c r="B160" s="56"/>
      <c r="C160" s="57"/>
      <c r="D160" s="62"/>
      <c r="E160" s="8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3">
        <f t="shared" si="33"/>
        <v>2</v>
      </c>
    </row>
    <row r="161" ht="12.75" customHeight="1">
      <c r="A161" s="18"/>
      <c r="B161" s="56"/>
      <c r="C161" s="67"/>
      <c r="D161" s="62"/>
      <c r="E161" s="8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3">
        <f t="shared" si="33"/>
        <v>1</v>
      </c>
    </row>
    <row r="162" ht="12.75" customHeight="1">
      <c r="A162" s="18"/>
      <c r="B162" s="56"/>
      <c r="C162" s="67"/>
      <c r="D162" s="62"/>
      <c r="E162" s="8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3">
        <f t="shared" si="33"/>
        <v>1</v>
      </c>
    </row>
    <row r="163" ht="12.75" customHeight="1">
      <c r="A163" s="19" t="s">
        <v>15</v>
      </c>
      <c r="B163" s="68" t="s">
        <v>47</v>
      </c>
      <c r="C163" s="44"/>
      <c r="D163" s="28"/>
      <c r="E163" s="13">
        <f t="shared" ref="E163:S163" si="34">SUM(E153:E162)</f>
        <v>0</v>
      </c>
      <c r="F163" s="13">
        <f t="shared" si="34"/>
        <v>0</v>
      </c>
      <c r="G163" s="13">
        <f t="shared" si="34"/>
        <v>0</v>
      </c>
      <c r="H163" s="13">
        <f t="shared" si="34"/>
        <v>1</v>
      </c>
      <c r="I163" s="13">
        <f t="shared" si="34"/>
        <v>0</v>
      </c>
      <c r="J163" s="13">
        <f t="shared" si="34"/>
        <v>6</v>
      </c>
      <c r="K163" s="13">
        <f t="shared" si="34"/>
        <v>2</v>
      </c>
      <c r="L163" s="13">
        <f t="shared" si="34"/>
        <v>1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24</v>
      </c>
    </row>
    <row r="164" ht="12.75" customHeight="1">
      <c r="A164" s="24"/>
      <c r="B164" s="15"/>
      <c r="C164" s="15"/>
      <c r="D164" s="15"/>
      <c r="E164" s="16"/>
      <c r="F164" s="78"/>
      <c r="G164" s="78"/>
      <c r="H164" s="78"/>
      <c r="I164" s="78"/>
      <c r="J164" s="78"/>
      <c r="K164" s="78"/>
      <c r="L164" s="78"/>
      <c r="M164" s="78"/>
      <c r="N164" s="78"/>
      <c r="O164" s="78"/>
      <c r="P164" s="78"/>
      <c r="Q164" s="78"/>
      <c r="R164" s="78"/>
      <c r="S164" s="78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1.0</v>
      </c>
      <c r="Q165" s="19">
        <v>0.0</v>
      </c>
      <c r="R165" s="19">
        <v>0.0</v>
      </c>
      <c r="S165" s="13">
        <f t="shared" ref="S165:S174" si="35">SUM(E165:R165)</f>
        <v>3</v>
      </c>
    </row>
    <row r="166" ht="12.75" customHeight="1">
      <c r="A166" s="30" t="s">
        <v>39</v>
      </c>
      <c r="B166" s="55">
        <v>1.0</v>
      </c>
      <c r="C166" s="50" t="s">
        <v>121</v>
      </c>
      <c r="D166" s="60"/>
      <c r="E166" s="19">
        <v>0.0</v>
      </c>
      <c r="F166" s="19">
        <v>0.0</v>
      </c>
      <c r="G166" s="19">
        <v>1.0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1.0</v>
      </c>
      <c r="R166" s="19">
        <v>0.0</v>
      </c>
      <c r="S166" s="13">
        <f t="shared" si="35"/>
        <v>2</v>
      </c>
    </row>
    <row r="167" ht="12.75" customHeight="1">
      <c r="A167" s="18"/>
      <c r="B167" s="55">
        <v>2.0</v>
      </c>
      <c r="C167" s="50" t="s">
        <v>122</v>
      </c>
      <c r="D167" s="60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1.0</v>
      </c>
      <c r="O167" s="19">
        <v>0.0</v>
      </c>
      <c r="P167" s="19">
        <v>0.0</v>
      </c>
      <c r="Q167" s="19">
        <v>0.0</v>
      </c>
      <c r="R167" s="19">
        <v>0.0</v>
      </c>
      <c r="S167" s="13">
        <f t="shared" si="35"/>
        <v>1</v>
      </c>
    </row>
    <row r="168" ht="12.75" customHeight="1">
      <c r="A168" s="18"/>
      <c r="B168" s="55">
        <v>3.0</v>
      </c>
      <c r="C168" s="50" t="s">
        <v>123</v>
      </c>
      <c r="D168" s="60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3">
        <f t="shared" si="35"/>
        <v>1</v>
      </c>
    </row>
    <row r="169" ht="12.75" customHeight="1">
      <c r="A169" s="18"/>
      <c r="B169" s="55">
        <v>4.0</v>
      </c>
      <c r="C169" s="50" t="s">
        <v>124</v>
      </c>
      <c r="D169" s="60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3">
        <f t="shared" si="35"/>
        <v>0</v>
      </c>
    </row>
    <row r="170" ht="12.75" customHeight="1">
      <c r="A170" s="18"/>
      <c r="B170" s="55">
        <v>5.0</v>
      </c>
      <c r="C170" s="50" t="s">
        <v>125</v>
      </c>
      <c r="D170" s="60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3">
        <f t="shared" si="35"/>
        <v>0</v>
      </c>
    </row>
    <row r="171" ht="12.75" customHeight="1">
      <c r="A171" s="18"/>
      <c r="B171" s="55">
        <v>6.0</v>
      </c>
      <c r="C171" s="50" t="s">
        <v>126</v>
      </c>
      <c r="D171" s="60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3">
        <f t="shared" si="35"/>
        <v>0</v>
      </c>
    </row>
    <row r="172" ht="12.75" customHeight="1">
      <c r="A172" s="18"/>
      <c r="B172" s="55">
        <v>7.0</v>
      </c>
      <c r="C172" s="50" t="s">
        <v>127</v>
      </c>
      <c r="D172" s="60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3">
        <f t="shared" si="35"/>
        <v>0</v>
      </c>
    </row>
    <row r="173" ht="12.75" customHeight="1">
      <c r="A173" s="18"/>
      <c r="B173" s="56"/>
      <c r="C173" s="57"/>
      <c r="D173" s="62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3">
        <f t="shared" si="35"/>
        <v>0</v>
      </c>
    </row>
    <row r="174" ht="12.75" customHeight="1">
      <c r="A174" s="18"/>
      <c r="B174" s="56"/>
      <c r="C174" s="57"/>
      <c r="D174" s="62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3">
        <f t="shared" si="35"/>
        <v>0</v>
      </c>
    </row>
    <row r="175" ht="12.75" customHeight="1">
      <c r="A175" s="19" t="s">
        <v>15</v>
      </c>
      <c r="B175" s="47" t="s">
        <v>47</v>
      </c>
      <c r="C175" s="15"/>
      <c r="D175" s="16"/>
      <c r="E175" s="13">
        <f t="shared" ref="E175:S175" si="36">SUM(E165:E174)</f>
        <v>1</v>
      </c>
      <c r="F175" s="13">
        <f t="shared" si="36"/>
        <v>0</v>
      </c>
      <c r="G175" s="13">
        <f t="shared" si="36"/>
        <v>1</v>
      </c>
      <c r="H175" s="13">
        <f t="shared" si="36"/>
        <v>1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2</v>
      </c>
      <c r="O175" s="13">
        <f t="shared" si="36"/>
        <v>0</v>
      </c>
      <c r="P175" s="13">
        <f t="shared" si="36"/>
        <v>1</v>
      </c>
      <c r="Q175" s="13">
        <f t="shared" si="36"/>
        <v>1</v>
      </c>
      <c r="R175" s="13">
        <f t="shared" si="36"/>
        <v>0</v>
      </c>
      <c r="S175" s="13">
        <f t="shared" si="36"/>
        <v>7</v>
      </c>
    </row>
    <row r="176" ht="12.75" customHeight="1">
      <c r="A176" s="24"/>
      <c r="B176" s="15"/>
      <c r="C176" s="15"/>
      <c r="D176" s="15"/>
      <c r="E176" s="16"/>
      <c r="F176" s="78"/>
      <c r="G176" s="78"/>
      <c r="H176" s="78"/>
      <c r="I176" s="78"/>
      <c r="J176" s="78"/>
      <c r="K176" s="78"/>
      <c r="L176" s="78"/>
      <c r="M176" s="78"/>
      <c r="N176" s="78"/>
      <c r="O176" s="78"/>
      <c r="P176" s="78"/>
      <c r="Q176" s="78"/>
      <c r="R176" s="78"/>
      <c r="S176" s="78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0.0</v>
      </c>
      <c r="I177" s="19">
        <v>0.0</v>
      </c>
      <c r="J177" s="19">
        <v>0.0</v>
      </c>
      <c r="K177" s="19">
        <v>0.0</v>
      </c>
      <c r="L177" s="19">
        <v>0.0</v>
      </c>
      <c r="M177" s="19">
        <v>0.0</v>
      </c>
      <c r="N177" s="19">
        <v>0.0</v>
      </c>
      <c r="O177" s="19">
        <v>0.0</v>
      </c>
      <c r="P177" s="19">
        <v>0.0</v>
      </c>
      <c r="Q177" s="19">
        <v>2.0</v>
      </c>
      <c r="R177" s="19">
        <v>0.0</v>
      </c>
      <c r="S177" s="13">
        <f t="shared" ref="S177:S186" si="37">SUM(E177:R177)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60"/>
      <c r="E178" s="19">
        <v>0.0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1.0</v>
      </c>
      <c r="S178" s="13">
        <f t="shared" si="37"/>
        <v>1</v>
      </c>
    </row>
    <row r="179" ht="12.75" customHeight="1">
      <c r="A179" s="18"/>
      <c r="B179" s="55">
        <v>2.0</v>
      </c>
      <c r="C179" s="50" t="s">
        <v>131</v>
      </c>
      <c r="D179" s="60"/>
      <c r="E179" s="19">
        <v>1.0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1.0</v>
      </c>
      <c r="R179" s="19">
        <v>0.0</v>
      </c>
      <c r="S179" s="13">
        <f t="shared" si="37"/>
        <v>3</v>
      </c>
    </row>
    <row r="180" ht="12.75" customHeight="1">
      <c r="A180" s="18"/>
      <c r="B180" s="55">
        <v>3.0</v>
      </c>
      <c r="C180" s="50" t="s">
        <v>132</v>
      </c>
      <c r="D180" s="60"/>
      <c r="E180" s="19">
        <v>0.0</v>
      </c>
      <c r="F180" s="19">
        <v>1.0</v>
      </c>
      <c r="G180" s="19">
        <v>0.0</v>
      </c>
      <c r="H180" s="19">
        <v>1.0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3">
        <f t="shared" si="37"/>
        <v>2</v>
      </c>
    </row>
    <row r="181" ht="12.75" customHeight="1">
      <c r="A181" s="18"/>
      <c r="B181" s="55">
        <v>4.0</v>
      </c>
      <c r="C181" s="50" t="s">
        <v>133</v>
      </c>
      <c r="D181" s="60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3">
        <f t="shared" si="37"/>
        <v>0</v>
      </c>
    </row>
    <row r="182" ht="12.75" customHeight="1">
      <c r="A182" s="18"/>
      <c r="B182" s="55">
        <v>5.0</v>
      </c>
      <c r="C182" s="50" t="s">
        <v>134</v>
      </c>
      <c r="D182" s="60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3">
        <f t="shared" si="37"/>
        <v>0</v>
      </c>
    </row>
    <row r="183" ht="12.75" customHeight="1">
      <c r="A183" s="18"/>
      <c r="B183" s="55">
        <v>6.0</v>
      </c>
      <c r="C183" s="50" t="s">
        <v>135</v>
      </c>
      <c r="D183" s="60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3">
        <f t="shared" si="37"/>
        <v>0</v>
      </c>
    </row>
    <row r="184" ht="12.75" customHeight="1">
      <c r="A184" s="18"/>
      <c r="B184" s="55">
        <v>7.0</v>
      </c>
      <c r="C184" s="50" t="s">
        <v>136</v>
      </c>
      <c r="D184" s="60"/>
      <c r="E184" s="19">
        <v>0.0</v>
      </c>
      <c r="F184" s="19">
        <v>3.0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3">
        <f t="shared" si="37"/>
        <v>3</v>
      </c>
    </row>
    <row r="185" ht="12.75" customHeight="1">
      <c r="A185" s="18"/>
      <c r="B185" s="56"/>
      <c r="C185" s="57"/>
      <c r="D185" s="62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3">
        <f t="shared" si="37"/>
        <v>0</v>
      </c>
    </row>
    <row r="186" ht="12.75" customHeight="1">
      <c r="A186" s="18"/>
      <c r="B186" s="56"/>
      <c r="C186" s="57"/>
      <c r="D186" s="62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3">
        <f t="shared" si="37"/>
        <v>0</v>
      </c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8">SUM(E177:E186)</f>
        <v>1</v>
      </c>
      <c r="F187" s="13">
        <f t="shared" si="38"/>
        <v>4</v>
      </c>
      <c r="G187" s="13">
        <f t="shared" si="38"/>
        <v>0</v>
      </c>
      <c r="H187" s="13">
        <f t="shared" si="38"/>
        <v>2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3</v>
      </c>
      <c r="R187" s="13">
        <f t="shared" si="38"/>
        <v>1</v>
      </c>
      <c r="S187" s="13">
        <f t="shared" si="38"/>
        <v>11</v>
      </c>
    </row>
    <row r="188" ht="12.75" customHeight="1">
      <c r="A188" s="24"/>
      <c r="B188" s="15"/>
      <c r="C188" s="15"/>
      <c r="D188" s="15"/>
      <c r="E188" s="16"/>
      <c r="F188" s="78"/>
      <c r="G188" s="78"/>
      <c r="H188" s="78"/>
      <c r="I188" s="78"/>
      <c r="J188" s="78"/>
      <c r="K188" s="78"/>
      <c r="L188" s="78"/>
      <c r="M188" s="78"/>
      <c r="N188" s="78"/>
      <c r="S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3">
        <f t="shared" ref="S189:S198" si="39">SUM(E189:R189)</f>
        <v>0</v>
      </c>
    </row>
    <row r="190" ht="12.75" customHeight="1">
      <c r="A190" s="30" t="s">
        <v>39</v>
      </c>
      <c r="B190" s="55">
        <v>1.0</v>
      </c>
      <c r="C190" s="50" t="s">
        <v>139</v>
      </c>
      <c r="D190" s="60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3">
        <f t="shared" si="39"/>
        <v>0</v>
      </c>
    </row>
    <row r="191" ht="12.75" customHeight="1">
      <c r="A191" s="18"/>
      <c r="B191" s="55">
        <v>2.0</v>
      </c>
      <c r="C191" s="50" t="s">
        <v>140</v>
      </c>
      <c r="D191" s="60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3">
        <f t="shared" si="39"/>
        <v>0</v>
      </c>
    </row>
    <row r="192" ht="12.75" customHeight="1">
      <c r="A192" s="18"/>
      <c r="B192" s="55">
        <v>3.0</v>
      </c>
      <c r="C192" s="50" t="s">
        <v>141</v>
      </c>
      <c r="D192" s="60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3">
        <f t="shared" si="39"/>
        <v>0</v>
      </c>
    </row>
    <row r="193" ht="12.75" customHeight="1">
      <c r="A193" s="18"/>
      <c r="B193" s="55">
        <v>4.0</v>
      </c>
      <c r="C193" s="50" t="s">
        <v>142</v>
      </c>
      <c r="D193" s="60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3">
        <f t="shared" si="39"/>
        <v>0</v>
      </c>
    </row>
    <row r="194" ht="12.75" customHeight="1">
      <c r="A194" s="18"/>
      <c r="B194" s="55">
        <v>5.0</v>
      </c>
      <c r="C194" s="50" t="s">
        <v>143</v>
      </c>
      <c r="D194" s="60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3">
        <f t="shared" si="39"/>
        <v>0</v>
      </c>
    </row>
    <row r="195" ht="12.75" customHeight="1">
      <c r="A195" s="18"/>
      <c r="B195" s="55">
        <v>6.0</v>
      </c>
      <c r="C195" s="50" t="s">
        <v>144</v>
      </c>
      <c r="D195" s="60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3">
        <f t="shared" si="39"/>
        <v>0</v>
      </c>
    </row>
    <row r="196" ht="12.75" customHeight="1">
      <c r="A196" s="18"/>
      <c r="B196" s="55">
        <v>7.0</v>
      </c>
      <c r="C196" s="50" t="s">
        <v>145</v>
      </c>
      <c r="D196" s="60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3">
        <f t="shared" si="39"/>
        <v>0</v>
      </c>
    </row>
    <row r="197" ht="12.75" customHeight="1">
      <c r="A197" s="18"/>
      <c r="B197" s="56"/>
      <c r="C197" s="57"/>
      <c r="D197" s="62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3">
        <f t="shared" si="39"/>
        <v>0</v>
      </c>
    </row>
    <row r="198" ht="12.75" customHeight="1">
      <c r="A198" s="18"/>
      <c r="B198" s="56"/>
      <c r="C198" s="57"/>
      <c r="D198" s="62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3">
        <f t="shared" si="39"/>
        <v>0</v>
      </c>
    </row>
    <row r="199" ht="12.75" customHeight="1">
      <c r="A199" s="19" t="s">
        <v>15</v>
      </c>
      <c r="B199" s="47" t="s">
        <v>47</v>
      </c>
      <c r="C199" s="15"/>
      <c r="D199" s="16"/>
      <c r="E199" s="13">
        <f t="shared" ref="E199:S199" si="40">SUM(E189:E198)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</row>
    <row r="200" ht="12.75" customHeight="1">
      <c r="A200" s="24"/>
      <c r="B200" s="15"/>
      <c r="C200" s="15"/>
      <c r="D200" s="15"/>
      <c r="E200" s="16"/>
      <c r="F200" s="78"/>
      <c r="G200" s="78"/>
      <c r="H200" s="78"/>
      <c r="I200" s="78"/>
      <c r="J200" s="78"/>
      <c r="K200" s="78"/>
      <c r="L200" s="78"/>
      <c r="M200" s="78"/>
      <c r="N200" s="78"/>
      <c r="O200" s="78"/>
      <c r="P200" s="78"/>
      <c r="Q200" s="78"/>
      <c r="R200" s="78"/>
      <c r="S200" s="78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2.0</v>
      </c>
      <c r="H201" s="19">
        <v>3.0</v>
      </c>
      <c r="I201" s="19">
        <v>2.0</v>
      </c>
      <c r="J201" s="19">
        <v>0.0</v>
      </c>
      <c r="K201" s="19">
        <v>0.0</v>
      </c>
      <c r="L201" s="19">
        <v>3.0</v>
      </c>
      <c r="M201" s="19">
        <v>3.0</v>
      </c>
      <c r="N201" s="19">
        <v>1.0</v>
      </c>
      <c r="O201" s="19">
        <v>4.0</v>
      </c>
      <c r="P201" s="19">
        <v>5.0</v>
      </c>
      <c r="Q201" s="19">
        <v>12.0</v>
      </c>
      <c r="R201" s="19">
        <v>5.0</v>
      </c>
      <c r="S201" s="13">
        <f t="shared" ref="S201:S210" si="41">SUM(E201:R201)</f>
        <v>41</v>
      </c>
    </row>
    <row r="202" ht="12.75" customHeight="1">
      <c r="A202" s="30" t="s">
        <v>39</v>
      </c>
      <c r="B202" s="55">
        <v>1.0</v>
      </c>
      <c r="C202" s="50" t="s">
        <v>148</v>
      </c>
      <c r="D202" s="60"/>
      <c r="E202" s="19">
        <v>0.0</v>
      </c>
      <c r="F202" s="19">
        <v>1.0</v>
      </c>
      <c r="G202" s="19">
        <v>3.0</v>
      </c>
      <c r="H202" s="19">
        <v>2.0</v>
      </c>
      <c r="I202" s="19">
        <v>1.0</v>
      </c>
      <c r="J202" s="19">
        <v>0.0</v>
      </c>
      <c r="K202" s="19">
        <v>2.0</v>
      </c>
      <c r="L202" s="19">
        <v>0.0</v>
      </c>
      <c r="M202" s="19">
        <v>1.0</v>
      </c>
      <c r="N202" s="19">
        <v>8.0</v>
      </c>
      <c r="O202" s="19">
        <v>11.0</v>
      </c>
      <c r="P202" s="19">
        <v>5.0</v>
      </c>
      <c r="Q202" s="19">
        <v>6.0</v>
      </c>
      <c r="R202" s="19">
        <v>5.0</v>
      </c>
      <c r="S202" s="13">
        <f t="shared" si="41"/>
        <v>45</v>
      </c>
    </row>
    <row r="203" ht="12.75" customHeight="1">
      <c r="A203" s="18"/>
      <c r="B203" s="55">
        <v>2.0</v>
      </c>
      <c r="C203" s="50" t="s">
        <v>149</v>
      </c>
      <c r="D203" s="60"/>
      <c r="E203" s="19">
        <v>1.0</v>
      </c>
      <c r="F203" s="19">
        <v>0.0</v>
      </c>
      <c r="G203" s="19">
        <v>1.0</v>
      </c>
      <c r="H203" s="19">
        <v>3.0</v>
      </c>
      <c r="I203" s="19">
        <v>1.0</v>
      </c>
      <c r="J203" s="19">
        <v>0.0</v>
      </c>
      <c r="K203" s="19">
        <v>0.0</v>
      </c>
      <c r="L203" s="19">
        <v>0.0</v>
      </c>
      <c r="M203" s="19">
        <v>0.0</v>
      </c>
      <c r="N203" s="19">
        <v>1.0</v>
      </c>
      <c r="O203" s="19">
        <v>2.0</v>
      </c>
      <c r="P203" s="19">
        <v>0.0</v>
      </c>
      <c r="Q203" s="19">
        <v>2.0</v>
      </c>
      <c r="R203" s="19">
        <v>1.0</v>
      </c>
      <c r="S203" s="13">
        <f t="shared" si="41"/>
        <v>12</v>
      </c>
    </row>
    <row r="204" ht="12.75" customHeight="1">
      <c r="A204" s="18"/>
      <c r="B204" s="55">
        <v>3.0</v>
      </c>
      <c r="C204" s="50" t="s">
        <v>150</v>
      </c>
      <c r="D204" s="60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9">
        <v>0.0</v>
      </c>
      <c r="N204" s="19">
        <v>1.0</v>
      </c>
      <c r="O204" s="19">
        <v>0.0</v>
      </c>
      <c r="P204" s="19">
        <v>1.0</v>
      </c>
      <c r="Q204" s="19">
        <v>1.0</v>
      </c>
      <c r="R204" s="19">
        <v>0.0</v>
      </c>
      <c r="S204" s="13">
        <f t="shared" si="41"/>
        <v>4</v>
      </c>
    </row>
    <row r="205" ht="12.75" customHeight="1">
      <c r="A205" s="18"/>
      <c r="B205" s="55">
        <v>4.0</v>
      </c>
      <c r="C205" s="50" t="s">
        <v>151</v>
      </c>
      <c r="D205" s="60"/>
      <c r="E205" s="19">
        <v>0.0</v>
      </c>
      <c r="F205" s="19">
        <v>1.0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1.0</v>
      </c>
      <c r="N205" s="19">
        <v>0.0</v>
      </c>
      <c r="O205" s="19">
        <v>1.0</v>
      </c>
      <c r="P205" s="19">
        <v>0.0</v>
      </c>
      <c r="Q205" s="19">
        <v>1.0</v>
      </c>
      <c r="R205" s="19">
        <v>0.0</v>
      </c>
      <c r="S205" s="13">
        <f t="shared" si="41"/>
        <v>4</v>
      </c>
    </row>
    <row r="206" ht="12.75" customHeight="1">
      <c r="A206" s="18"/>
      <c r="B206" s="55">
        <v>5.0</v>
      </c>
      <c r="C206" s="50" t="s">
        <v>152</v>
      </c>
      <c r="D206" s="60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1.0</v>
      </c>
      <c r="P206" s="19">
        <v>0.0</v>
      </c>
      <c r="Q206" s="19">
        <v>0.0</v>
      </c>
      <c r="R206" s="19">
        <v>0.0</v>
      </c>
      <c r="S206" s="13">
        <f t="shared" si="41"/>
        <v>1</v>
      </c>
    </row>
    <row r="207" ht="12.75" customHeight="1">
      <c r="A207" s="18"/>
      <c r="B207" s="55">
        <v>6.0</v>
      </c>
      <c r="C207" s="50" t="s">
        <v>153</v>
      </c>
      <c r="D207" s="60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3">
        <f t="shared" si="41"/>
        <v>0</v>
      </c>
    </row>
    <row r="208" ht="12.75" customHeight="1">
      <c r="A208" s="18"/>
      <c r="B208" s="55">
        <v>7.0</v>
      </c>
      <c r="C208" s="50" t="s">
        <v>154</v>
      </c>
      <c r="D208" s="60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1.0</v>
      </c>
      <c r="P208" s="19">
        <v>0.0</v>
      </c>
      <c r="Q208" s="19">
        <v>0.0</v>
      </c>
      <c r="R208" s="19">
        <v>0.0</v>
      </c>
      <c r="S208" s="13">
        <f t="shared" si="41"/>
        <v>1</v>
      </c>
    </row>
    <row r="209" ht="12.75" customHeight="1">
      <c r="A209" s="18"/>
      <c r="B209" s="56"/>
      <c r="C209" s="57"/>
      <c r="D209" s="62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3">
        <f t="shared" si="41"/>
        <v>0</v>
      </c>
    </row>
    <row r="210" ht="12.75" customHeight="1">
      <c r="A210" s="18"/>
      <c r="B210" s="56"/>
      <c r="C210" s="57"/>
      <c r="D210" s="62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3">
        <f t="shared" si="41"/>
        <v>0</v>
      </c>
    </row>
    <row r="211" ht="12.75" customHeight="1">
      <c r="A211" s="19" t="s">
        <v>15</v>
      </c>
      <c r="B211" s="47" t="s">
        <v>47</v>
      </c>
      <c r="C211" s="15"/>
      <c r="D211" s="16"/>
      <c r="E211" s="13">
        <f t="shared" ref="E211:S211" si="42">SUM(E201:E210)</f>
        <v>1</v>
      </c>
      <c r="F211" s="13">
        <f t="shared" si="42"/>
        <v>3</v>
      </c>
      <c r="G211" s="13">
        <f t="shared" si="42"/>
        <v>6</v>
      </c>
      <c r="H211" s="13">
        <f t="shared" si="42"/>
        <v>8</v>
      </c>
      <c r="I211" s="13">
        <f t="shared" si="42"/>
        <v>5</v>
      </c>
      <c r="J211" s="13">
        <f t="shared" si="42"/>
        <v>0</v>
      </c>
      <c r="K211" s="13">
        <f t="shared" si="42"/>
        <v>2</v>
      </c>
      <c r="L211" s="13">
        <f t="shared" si="42"/>
        <v>3</v>
      </c>
      <c r="M211" s="13">
        <f t="shared" si="42"/>
        <v>5</v>
      </c>
      <c r="N211" s="13">
        <f t="shared" si="42"/>
        <v>11</v>
      </c>
      <c r="O211" s="13">
        <f t="shared" si="42"/>
        <v>20</v>
      </c>
      <c r="P211" s="13">
        <f t="shared" si="42"/>
        <v>11</v>
      </c>
      <c r="Q211" s="13">
        <f t="shared" si="42"/>
        <v>22</v>
      </c>
      <c r="R211" s="13">
        <f t="shared" si="42"/>
        <v>11</v>
      </c>
      <c r="S211" s="13">
        <f t="shared" si="42"/>
        <v>108</v>
      </c>
    </row>
    <row r="212" ht="12.75" customHeight="1">
      <c r="A212" s="24"/>
      <c r="B212" s="15"/>
      <c r="C212" s="15"/>
      <c r="D212" s="15"/>
      <c r="E212" s="16"/>
      <c r="F212" s="78"/>
      <c r="G212" s="78"/>
      <c r="H212" s="78"/>
      <c r="I212" s="78"/>
      <c r="J212" s="78"/>
      <c r="K212" s="78"/>
      <c r="L212" s="78"/>
      <c r="M212" s="78"/>
      <c r="N212" s="78"/>
      <c r="O212" s="78"/>
      <c r="P212" s="78"/>
      <c r="Q212" s="78"/>
      <c r="R212" s="78"/>
      <c r="S212" s="78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1.0</v>
      </c>
      <c r="I213" s="19">
        <v>0.0</v>
      </c>
      <c r="J213" s="19">
        <v>0.0</v>
      </c>
      <c r="K213" s="19">
        <v>2.0</v>
      </c>
      <c r="L213" s="19">
        <v>4.0</v>
      </c>
      <c r="M213" s="19">
        <v>0.0</v>
      </c>
      <c r="N213" s="19">
        <v>2.0</v>
      </c>
      <c r="O213" s="19">
        <v>0.0</v>
      </c>
      <c r="P213" s="19">
        <v>0.0</v>
      </c>
      <c r="Q213" s="19">
        <v>0.0</v>
      </c>
      <c r="R213" s="19">
        <v>1.0</v>
      </c>
      <c r="S213" s="13">
        <f t="shared" ref="S213:S222" si="43">SUM(E213:R213)</f>
        <v>11</v>
      </c>
    </row>
    <row r="214" ht="12.75" customHeight="1">
      <c r="A214" s="30" t="s">
        <v>39</v>
      </c>
      <c r="B214" s="55">
        <v>1.0</v>
      </c>
      <c r="C214" s="50" t="s">
        <v>157</v>
      </c>
      <c r="D214" s="59"/>
      <c r="E214" s="19">
        <v>0.0</v>
      </c>
      <c r="F214" s="19">
        <v>0.0</v>
      </c>
      <c r="G214" s="19">
        <v>1.0</v>
      </c>
      <c r="H214" s="19">
        <v>0.0</v>
      </c>
      <c r="I214" s="19">
        <v>0.0</v>
      </c>
      <c r="J214" s="19">
        <v>0.0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0.0</v>
      </c>
      <c r="Q214" s="19">
        <v>0.0</v>
      </c>
      <c r="R214" s="19">
        <v>0.0</v>
      </c>
      <c r="S214" s="13">
        <f t="shared" si="43"/>
        <v>1</v>
      </c>
    </row>
    <row r="215" ht="12.75" customHeight="1">
      <c r="A215" s="18"/>
      <c r="B215" s="55">
        <v>2.0</v>
      </c>
      <c r="C215" s="50" t="s">
        <v>158</v>
      </c>
      <c r="D215" s="59"/>
      <c r="E215" s="19">
        <v>0.0</v>
      </c>
      <c r="F215" s="19">
        <v>0.0</v>
      </c>
      <c r="G215" s="19">
        <v>0.0</v>
      </c>
      <c r="H215" s="19">
        <v>5.0</v>
      </c>
      <c r="I215" s="19">
        <v>6.0</v>
      </c>
      <c r="J215" s="19">
        <v>0.0</v>
      </c>
      <c r="K215" s="19">
        <v>36.0</v>
      </c>
      <c r="L215" s="19">
        <v>59.0</v>
      </c>
      <c r="M215" s="19">
        <v>0.0</v>
      </c>
      <c r="N215" s="19">
        <v>1.0</v>
      </c>
      <c r="O215" s="19">
        <v>0.0</v>
      </c>
      <c r="P215" s="19">
        <v>0.0</v>
      </c>
      <c r="Q215" s="19">
        <v>0.0</v>
      </c>
      <c r="R215" s="19">
        <v>0.0</v>
      </c>
      <c r="S215" s="13">
        <f t="shared" si="43"/>
        <v>107</v>
      </c>
    </row>
    <row r="216" ht="12.75" customHeight="1">
      <c r="A216" s="18"/>
      <c r="B216" s="55">
        <v>3.0</v>
      </c>
      <c r="C216" s="69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9">
        <v>0.0</v>
      </c>
      <c r="N216" s="19">
        <v>0.0</v>
      </c>
      <c r="O216" s="19">
        <v>0.0</v>
      </c>
      <c r="P216" s="19">
        <v>0.0</v>
      </c>
      <c r="Q216" s="19">
        <v>0.0</v>
      </c>
      <c r="R216" s="19">
        <v>0.0</v>
      </c>
      <c r="S216" s="13">
        <f t="shared" si="43"/>
        <v>1</v>
      </c>
    </row>
    <row r="217" ht="12.75" customHeight="1">
      <c r="A217" s="18"/>
      <c r="B217" s="55">
        <v>4.0</v>
      </c>
      <c r="C217" s="50" t="s">
        <v>160</v>
      </c>
      <c r="D217" s="59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3">
        <f t="shared" si="43"/>
        <v>0</v>
      </c>
    </row>
    <row r="218" ht="12.75" customHeight="1">
      <c r="A218" s="18"/>
      <c r="B218" s="55">
        <v>5.0</v>
      </c>
      <c r="C218" s="50" t="s">
        <v>161</v>
      </c>
      <c r="D218" s="59"/>
      <c r="E218" s="19">
        <v>0.0</v>
      </c>
      <c r="F218" s="19">
        <v>0.0</v>
      </c>
      <c r="G218" s="19">
        <v>0.0</v>
      </c>
      <c r="H218" s="19">
        <v>1.0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3">
        <f t="shared" si="43"/>
        <v>1</v>
      </c>
    </row>
    <row r="219" ht="12.75" customHeight="1">
      <c r="A219" s="18"/>
      <c r="B219" s="55">
        <v>6.0</v>
      </c>
      <c r="C219" s="50" t="s">
        <v>162</v>
      </c>
      <c r="D219" s="59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1.0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3">
        <f t="shared" si="43"/>
        <v>1</v>
      </c>
    </row>
    <row r="220" ht="12.75" customHeight="1">
      <c r="A220" s="18"/>
      <c r="B220" s="55">
        <v>7.0</v>
      </c>
      <c r="C220" s="50" t="s">
        <v>163</v>
      </c>
      <c r="D220" s="59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3">
        <f t="shared" si="43"/>
        <v>0</v>
      </c>
    </row>
    <row r="221" ht="12.75" customHeight="1">
      <c r="A221" s="18"/>
      <c r="B221" s="56"/>
      <c r="C221" s="57"/>
      <c r="D221" s="61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3">
        <f t="shared" si="43"/>
        <v>0</v>
      </c>
    </row>
    <row r="222" ht="12.75" customHeight="1">
      <c r="A222" s="18"/>
      <c r="B222" s="56"/>
      <c r="C222" s="57"/>
      <c r="D222" s="61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3">
        <f t="shared" si="43"/>
        <v>0</v>
      </c>
    </row>
    <row r="223" ht="12.75" customHeight="1">
      <c r="A223" s="19" t="s">
        <v>15</v>
      </c>
      <c r="B223" s="47" t="s">
        <v>47</v>
      </c>
      <c r="C223" s="15"/>
      <c r="D223" s="16"/>
      <c r="E223" s="13">
        <f t="shared" ref="E223:S223" si="44">SUM(E213:E222)</f>
        <v>1</v>
      </c>
      <c r="F223" s="13">
        <f t="shared" si="44"/>
        <v>0</v>
      </c>
      <c r="G223" s="13">
        <f t="shared" si="44"/>
        <v>1</v>
      </c>
      <c r="H223" s="13">
        <f t="shared" si="44"/>
        <v>7</v>
      </c>
      <c r="I223" s="13">
        <f t="shared" si="44"/>
        <v>6</v>
      </c>
      <c r="J223" s="13">
        <f t="shared" si="44"/>
        <v>0</v>
      </c>
      <c r="K223" s="13">
        <f t="shared" si="44"/>
        <v>38</v>
      </c>
      <c r="L223" s="13">
        <f t="shared" si="44"/>
        <v>65</v>
      </c>
      <c r="M223" s="13">
        <f t="shared" si="44"/>
        <v>0</v>
      </c>
      <c r="N223" s="13">
        <f t="shared" si="44"/>
        <v>3</v>
      </c>
      <c r="O223" s="13">
        <f t="shared" si="44"/>
        <v>0</v>
      </c>
      <c r="P223" s="13">
        <f t="shared" si="44"/>
        <v>0</v>
      </c>
      <c r="Q223" s="13">
        <f t="shared" si="44"/>
        <v>0</v>
      </c>
      <c r="R223" s="13">
        <f t="shared" si="44"/>
        <v>1</v>
      </c>
      <c r="S223" s="13">
        <f t="shared" si="44"/>
        <v>122</v>
      </c>
    </row>
    <row r="224" ht="12.75" customHeight="1">
      <c r="A224" s="24"/>
      <c r="B224" s="15"/>
      <c r="C224" s="15"/>
      <c r="D224" s="15"/>
      <c r="E224" s="16"/>
      <c r="F224" s="78"/>
      <c r="G224" s="78"/>
      <c r="H224" s="78"/>
      <c r="I224" s="78"/>
      <c r="J224" s="78"/>
      <c r="K224" s="78"/>
      <c r="L224" s="78"/>
      <c r="M224" s="78"/>
      <c r="N224" s="78"/>
      <c r="O224" s="78"/>
      <c r="P224" s="78"/>
      <c r="Q224" s="78"/>
      <c r="R224" s="78"/>
      <c r="S224" s="78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9">
        <v>0.0</v>
      </c>
      <c r="N225" s="19">
        <v>0.0</v>
      </c>
      <c r="O225" s="19">
        <v>0.0</v>
      </c>
      <c r="P225" s="19">
        <v>0.0</v>
      </c>
      <c r="Q225" s="19">
        <v>0.0</v>
      </c>
      <c r="R225" s="19">
        <v>0.0</v>
      </c>
      <c r="S225" s="13">
        <f t="shared" ref="S225:S234" si="45">SUM(E225:R225)</f>
        <v>1</v>
      </c>
    </row>
    <row r="226" ht="12.75" customHeight="1">
      <c r="A226" s="30" t="s">
        <v>39</v>
      </c>
      <c r="B226" s="55">
        <v>1.0</v>
      </c>
      <c r="C226" s="50" t="s">
        <v>166</v>
      </c>
      <c r="D226" s="60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0.0</v>
      </c>
      <c r="P226" s="19">
        <v>0.0</v>
      </c>
      <c r="Q226" s="19">
        <v>1.0</v>
      </c>
      <c r="R226" s="19">
        <v>0.0</v>
      </c>
      <c r="S226" s="13">
        <f t="shared" si="45"/>
        <v>1</v>
      </c>
    </row>
    <row r="227" ht="12.75" customHeight="1">
      <c r="A227" s="18"/>
      <c r="B227" s="55">
        <v>2.0</v>
      </c>
      <c r="C227" s="50" t="s">
        <v>167</v>
      </c>
      <c r="D227" s="60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3">
        <f t="shared" si="45"/>
        <v>0</v>
      </c>
    </row>
    <row r="228" ht="12.75" customHeight="1">
      <c r="A228" s="18"/>
      <c r="B228" s="55">
        <v>3.0</v>
      </c>
      <c r="C228" s="50" t="s">
        <v>168</v>
      </c>
      <c r="D228" s="60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3">
        <f t="shared" si="45"/>
        <v>0</v>
      </c>
    </row>
    <row r="229" ht="12.75" customHeight="1">
      <c r="A229" s="18"/>
      <c r="B229" s="55">
        <v>4.0</v>
      </c>
      <c r="C229" s="50" t="s">
        <v>169</v>
      </c>
      <c r="D229" s="60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3">
        <f t="shared" si="45"/>
        <v>0</v>
      </c>
    </row>
    <row r="230" ht="12.75" customHeight="1">
      <c r="A230" s="18"/>
      <c r="B230" s="55">
        <v>5.0</v>
      </c>
      <c r="C230" s="50" t="s">
        <v>170</v>
      </c>
      <c r="D230" s="60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3">
        <f t="shared" si="45"/>
        <v>0</v>
      </c>
    </row>
    <row r="231" ht="12.75" customHeight="1">
      <c r="A231" s="18"/>
      <c r="B231" s="55">
        <v>6.0</v>
      </c>
      <c r="C231" s="50" t="s">
        <v>171</v>
      </c>
      <c r="D231" s="60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3">
        <f t="shared" si="45"/>
        <v>0</v>
      </c>
    </row>
    <row r="232" ht="12.75" customHeight="1">
      <c r="A232" s="18"/>
      <c r="B232" s="55">
        <v>7.0</v>
      </c>
      <c r="C232" s="50" t="s">
        <v>172</v>
      </c>
      <c r="D232" s="60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0.0</v>
      </c>
      <c r="P232" s="19">
        <v>0.0</v>
      </c>
      <c r="Q232" s="19">
        <v>0.0</v>
      </c>
      <c r="R232" s="19">
        <v>0.0</v>
      </c>
      <c r="S232" s="13">
        <f t="shared" si="45"/>
        <v>0</v>
      </c>
    </row>
    <row r="233" ht="12.75" customHeight="1">
      <c r="A233" s="18"/>
      <c r="B233" s="56"/>
      <c r="C233" s="57"/>
      <c r="D233" s="62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3">
        <f t="shared" si="45"/>
        <v>0</v>
      </c>
    </row>
    <row r="234" ht="12.75" customHeight="1">
      <c r="A234" s="18"/>
      <c r="B234" s="56"/>
      <c r="C234" s="57"/>
      <c r="D234" s="62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3">
        <f t="shared" si="45"/>
        <v>0</v>
      </c>
    </row>
    <row r="235" ht="12.75" customHeight="1">
      <c r="A235" s="19" t="s">
        <v>15</v>
      </c>
      <c r="B235" s="47" t="s">
        <v>47</v>
      </c>
      <c r="C235" s="15"/>
      <c r="D235" s="16"/>
      <c r="E235" s="13">
        <f t="shared" ref="E235:S235" si="46">SUM(E225:E234)</f>
        <v>0</v>
      </c>
      <c r="F235" s="13">
        <f t="shared" si="46"/>
        <v>0</v>
      </c>
      <c r="G235" s="13">
        <f t="shared" si="46"/>
        <v>1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1</v>
      </c>
      <c r="R235" s="13">
        <f t="shared" si="46"/>
        <v>0</v>
      </c>
      <c r="S235" s="13">
        <f t="shared" si="46"/>
        <v>2</v>
      </c>
    </row>
    <row r="236" ht="12.75" customHeight="1">
      <c r="A236" s="24"/>
      <c r="B236" s="15"/>
      <c r="C236" s="15"/>
      <c r="D236" s="15"/>
      <c r="E236" s="16"/>
      <c r="F236" s="78"/>
      <c r="G236" s="78"/>
      <c r="H236" s="78"/>
      <c r="I236" s="78"/>
      <c r="J236" s="78"/>
      <c r="K236" s="78"/>
      <c r="L236" s="78"/>
      <c r="M236" s="78"/>
      <c r="N236" s="78"/>
      <c r="O236" s="78"/>
      <c r="P236" s="78"/>
      <c r="Q236" s="78"/>
      <c r="R236" s="78"/>
      <c r="S236" s="78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0.0</v>
      </c>
      <c r="K237" s="19">
        <v>0.0</v>
      </c>
      <c r="L237" s="19">
        <v>1.0</v>
      </c>
      <c r="M237" s="19">
        <v>0.0</v>
      </c>
      <c r="N237" s="19">
        <v>0.0</v>
      </c>
      <c r="O237" s="19">
        <v>0.0</v>
      </c>
      <c r="P237" s="19">
        <v>0.0</v>
      </c>
      <c r="Q237" s="19">
        <v>3.0</v>
      </c>
      <c r="R237" s="19">
        <v>1.0</v>
      </c>
      <c r="S237" s="13">
        <f t="shared" ref="S237:S246" si="47">SUM(E237:R237)</f>
        <v>6</v>
      </c>
    </row>
    <row r="238" ht="12.75" customHeight="1">
      <c r="A238" s="30" t="s">
        <v>39</v>
      </c>
      <c r="B238" s="55">
        <v>1.0</v>
      </c>
      <c r="C238" s="50" t="s">
        <v>175</v>
      </c>
      <c r="D238" s="60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1.0</v>
      </c>
      <c r="Q238" s="19">
        <v>0.0</v>
      </c>
      <c r="R238" s="19">
        <v>0.0</v>
      </c>
      <c r="S238" s="13">
        <f t="shared" si="47"/>
        <v>1</v>
      </c>
    </row>
    <row r="239" ht="12.75" customHeight="1">
      <c r="A239" s="18"/>
      <c r="B239" s="55">
        <v>2.0</v>
      </c>
      <c r="C239" s="50" t="s">
        <v>176</v>
      </c>
      <c r="D239" s="60"/>
      <c r="E239" s="19">
        <v>1.0</v>
      </c>
      <c r="F239" s="19">
        <v>0.0</v>
      </c>
      <c r="G239" s="19">
        <v>1.0</v>
      </c>
      <c r="H239" s="19">
        <v>0.0</v>
      </c>
      <c r="I239" s="19">
        <v>3.0</v>
      </c>
      <c r="J239" s="19">
        <v>0.0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3">
        <f t="shared" si="47"/>
        <v>5</v>
      </c>
    </row>
    <row r="240" ht="12.75" customHeight="1">
      <c r="A240" s="18"/>
      <c r="B240" s="55">
        <v>3.0</v>
      </c>
      <c r="C240" s="50" t="s">
        <v>177</v>
      </c>
      <c r="D240" s="60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2.0</v>
      </c>
      <c r="S240" s="13">
        <f t="shared" si="47"/>
        <v>2</v>
      </c>
    </row>
    <row r="241" ht="12.75" customHeight="1">
      <c r="A241" s="18"/>
      <c r="B241" s="55">
        <v>4.0</v>
      </c>
      <c r="C241" s="50" t="s">
        <v>178</v>
      </c>
      <c r="D241" s="60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3">
        <f t="shared" si="47"/>
        <v>1</v>
      </c>
    </row>
    <row r="242" ht="12.75" customHeight="1">
      <c r="A242" s="18"/>
      <c r="B242" s="55">
        <v>5.0</v>
      </c>
      <c r="C242" s="50" t="s">
        <v>179</v>
      </c>
      <c r="D242" s="60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3">
        <f t="shared" si="47"/>
        <v>0</v>
      </c>
    </row>
    <row r="243" ht="12.75" customHeight="1">
      <c r="A243" s="18"/>
      <c r="B243" s="55">
        <v>6.0</v>
      </c>
      <c r="C243" s="50" t="s">
        <v>180</v>
      </c>
      <c r="D243" s="60"/>
      <c r="E243" s="19">
        <v>0.0</v>
      </c>
      <c r="F243" s="19">
        <v>0.0</v>
      </c>
      <c r="G243" s="19">
        <v>1.0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3">
        <f t="shared" si="47"/>
        <v>2</v>
      </c>
    </row>
    <row r="244" ht="12.75" customHeight="1">
      <c r="A244" s="18"/>
      <c r="B244" s="55">
        <v>7.0</v>
      </c>
      <c r="C244" s="50" t="s">
        <v>181</v>
      </c>
      <c r="D244" s="60"/>
      <c r="E244" s="19">
        <v>0.0</v>
      </c>
      <c r="F244" s="19">
        <v>0.0</v>
      </c>
      <c r="G244" s="19">
        <v>0.0</v>
      </c>
      <c r="H244" s="19">
        <v>2.0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0.0</v>
      </c>
      <c r="Q244" s="19">
        <v>1.0</v>
      </c>
      <c r="R244" s="19">
        <v>0.0</v>
      </c>
      <c r="S244" s="13">
        <f t="shared" si="47"/>
        <v>3</v>
      </c>
    </row>
    <row r="245" ht="12.75" customHeight="1">
      <c r="A245" s="18"/>
      <c r="B245" s="56"/>
      <c r="C245" s="57"/>
      <c r="D245" s="62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3">
        <f t="shared" si="47"/>
        <v>0</v>
      </c>
    </row>
    <row r="246" ht="12.75" customHeight="1">
      <c r="A246" s="18"/>
      <c r="B246" s="56"/>
      <c r="C246" s="57"/>
      <c r="D246" s="62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3">
        <f t="shared" si="47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8">SUM(E237:E246)</f>
        <v>2</v>
      </c>
      <c r="F247" s="13">
        <f t="shared" si="48"/>
        <v>0</v>
      </c>
      <c r="G247" s="13">
        <f t="shared" si="48"/>
        <v>2</v>
      </c>
      <c r="H247" s="13">
        <f t="shared" si="48"/>
        <v>3</v>
      </c>
      <c r="I247" s="13">
        <f t="shared" si="48"/>
        <v>3</v>
      </c>
      <c r="J247" s="13">
        <f t="shared" si="48"/>
        <v>0</v>
      </c>
      <c r="K247" s="13">
        <f t="shared" si="48"/>
        <v>0</v>
      </c>
      <c r="L247" s="13">
        <f t="shared" si="48"/>
        <v>1</v>
      </c>
      <c r="M247" s="13">
        <f t="shared" si="48"/>
        <v>0</v>
      </c>
      <c r="N247" s="13">
        <f t="shared" si="48"/>
        <v>1</v>
      </c>
      <c r="O247" s="13">
        <f t="shared" si="48"/>
        <v>0</v>
      </c>
      <c r="P247" s="13">
        <f t="shared" si="48"/>
        <v>1</v>
      </c>
      <c r="Q247" s="13">
        <f t="shared" si="48"/>
        <v>4</v>
      </c>
      <c r="R247" s="13">
        <f t="shared" si="48"/>
        <v>3</v>
      </c>
      <c r="S247" s="13">
        <f t="shared" si="48"/>
        <v>20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1.0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4.0</v>
      </c>
      <c r="Q249" s="19">
        <v>0.0</v>
      </c>
      <c r="R249" s="19">
        <v>1.0</v>
      </c>
      <c r="S249" s="13">
        <f t="shared" ref="S249:S258" si="49">SUM(E249:R249)</f>
        <v>6</v>
      </c>
    </row>
    <row r="250" ht="12.75" customHeight="1">
      <c r="A250" s="30" t="s">
        <v>39</v>
      </c>
      <c r="B250" s="55">
        <v>1.0</v>
      </c>
      <c r="C250" s="66" t="s">
        <v>184</v>
      </c>
      <c r="D250" s="60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3">
        <f t="shared" si="49"/>
        <v>1</v>
      </c>
    </row>
    <row r="251" ht="12.75" customHeight="1">
      <c r="A251" s="18"/>
      <c r="B251" s="55">
        <v>2.0</v>
      </c>
      <c r="C251" s="66" t="s">
        <v>185</v>
      </c>
      <c r="D251" s="60"/>
      <c r="E251" s="19">
        <v>0.0</v>
      </c>
      <c r="F251" s="19">
        <v>0.0</v>
      </c>
      <c r="G251" s="19">
        <v>0.0</v>
      </c>
      <c r="H251" s="19">
        <v>2.0</v>
      </c>
      <c r="I251" s="19">
        <v>1.0</v>
      </c>
      <c r="J251" s="19">
        <v>12.0</v>
      </c>
      <c r="K251" s="19">
        <v>3.0</v>
      </c>
      <c r="L251" s="19">
        <v>0.0</v>
      </c>
      <c r="M251" s="19">
        <v>0.0</v>
      </c>
      <c r="N251" s="19">
        <v>0.0</v>
      </c>
      <c r="O251" s="19">
        <v>2.0</v>
      </c>
      <c r="P251" s="19">
        <v>22.0</v>
      </c>
      <c r="Q251" s="19">
        <v>9.0</v>
      </c>
      <c r="R251" s="19">
        <v>4.0</v>
      </c>
      <c r="S251" s="13">
        <f t="shared" si="49"/>
        <v>55</v>
      </c>
    </row>
    <row r="252" ht="12.75" customHeight="1">
      <c r="A252" s="18"/>
      <c r="B252" s="55">
        <v>3.0</v>
      </c>
      <c r="C252" s="66" t="s">
        <v>186</v>
      </c>
      <c r="D252" s="60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1.0</v>
      </c>
      <c r="R252" s="19">
        <v>0.0</v>
      </c>
      <c r="S252" s="13">
        <f t="shared" si="49"/>
        <v>1</v>
      </c>
    </row>
    <row r="253" ht="12.75" customHeight="1">
      <c r="A253" s="18"/>
      <c r="B253" s="55">
        <v>4.0</v>
      </c>
      <c r="C253" s="66" t="s">
        <v>187</v>
      </c>
      <c r="D253" s="60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1.0</v>
      </c>
      <c r="S253" s="13">
        <f t="shared" si="49"/>
        <v>1</v>
      </c>
    </row>
    <row r="254" ht="12.75" customHeight="1">
      <c r="A254" s="18"/>
      <c r="B254" s="55">
        <v>5.0</v>
      </c>
      <c r="C254" s="66" t="s">
        <v>188</v>
      </c>
      <c r="D254" s="60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3">
        <f t="shared" si="49"/>
        <v>0</v>
      </c>
    </row>
    <row r="255" ht="12.75" customHeight="1">
      <c r="A255" s="18"/>
      <c r="B255" s="55">
        <v>6.0</v>
      </c>
      <c r="C255" s="66" t="s">
        <v>189</v>
      </c>
      <c r="D255" s="60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1.0</v>
      </c>
      <c r="S255" s="13">
        <f t="shared" si="49"/>
        <v>1</v>
      </c>
    </row>
    <row r="256" ht="12.75" customHeight="1">
      <c r="A256" s="18"/>
      <c r="B256" s="56"/>
      <c r="C256" s="67"/>
      <c r="D256" s="62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3">
        <f t="shared" si="49"/>
        <v>0</v>
      </c>
    </row>
    <row r="257" ht="12.75" customHeight="1">
      <c r="A257" s="18"/>
      <c r="B257" s="56"/>
      <c r="C257" s="67"/>
      <c r="D257" s="62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3">
        <f t="shared" si="49"/>
        <v>0</v>
      </c>
    </row>
    <row r="258" ht="12.75" customHeight="1">
      <c r="A258" s="18"/>
      <c r="B258" s="56"/>
      <c r="C258" s="67"/>
      <c r="D258" s="62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3">
        <f t="shared" si="49"/>
        <v>0</v>
      </c>
    </row>
    <row r="259" ht="12.75" customHeight="1">
      <c r="A259" s="19" t="s">
        <v>15</v>
      </c>
      <c r="B259" s="47" t="s">
        <v>47</v>
      </c>
      <c r="C259" s="15"/>
      <c r="D259" s="16"/>
      <c r="E259" s="13">
        <f t="shared" ref="E259:S259" si="50">SUM(E249:E258)</f>
        <v>1</v>
      </c>
      <c r="F259" s="13">
        <f t="shared" si="50"/>
        <v>0</v>
      </c>
      <c r="G259" s="13">
        <f t="shared" si="50"/>
        <v>0</v>
      </c>
      <c r="H259" s="13">
        <f t="shared" si="50"/>
        <v>2</v>
      </c>
      <c r="I259" s="13">
        <f t="shared" si="50"/>
        <v>1</v>
      </c>
      <c r="J259" s="13">
        <f t="shared" si="50"/>
        <v>13</v>
      </c>
      <c r="K259" s="13">
        <f t="shared" si="50"/>
        <v>3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2</v>
      </c>
      <c r="P259" s="13">
        <f t="shared" si="50"/>
        <v>26</v>
      </c>
      <c r="Q259" s="13">
        <f t="shared" si="50"/>
        <v>10</v>
      </c>
      <c r="R259" s="13">
        <f t="shared" si="50"/>
        <v>7</v>
      </c>
      <c r="S259" s="13">
        <f t="shared" si="50"/>
        <v>65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77"/>
      <c r="P261" s="77"/>
      <c r="Q261" s="77"/>
      <c r="R261" s="77"/>
      <c r="S261" s="13"/>
    </row>
    <row r="262" ht="12.75" customHeight="1">
      <c r="A262" s="42"/>
      <c r="B262" s="70" t="s">
        <v>192</v>
      </c>
      <c r="C262" s="71" t="s">
        <v>193</v>
      </c>
      <c r="D262" s="16"/>
      <c r="E262" s="19">
        <f t="shared" ref="E262:R262" si="51">E55+E67+E79+E91+E103+E115+E127+E139+E151+E163+E175+E187+E199+E211+E223+E235+E247+E259</f>
        <v>129</v>
      </c>
      <c r="F262" s="19">
        <f t="shared" si="51"/>
        <v>133</v>
      </c>
      <c r="G262" s="19">
        <f t="shared" si="51"/>
        <v>142</v>
      </c>
      <c r="H262" s="19">
        <f t="shared" si="51"/>
        <v>167</v>
      </c>
      <c r="I262" s="19">
        <f t="shared" si="51"/>
        <v>203</v>
      </c>
      <c r="J262" s="19">
        <f t="shared" si="51"/>
        <v>192</v>
      </c>
      <c r="K262" s="19">
        <f t="shared" si="51"/>
        <v>180</v>
      </c>
      <c r="L262" s="19">
        <f t="shared" si="51"/>
        <v>177</v>
      </c>
      <c r="M262" s="19">
        <f t="shared" si="51"/>
        <v>178</v>
      </c>
      <c r="N262" s="19">
        <f t="shared" si="51"/>
        <v>178</v>
      </c>
      <c r="O262" s="19">
        <f t="shared" si="51"/>
        <v>177</v>
      </c>
      <c r="P262" s="19">
        <f t="shared" si="51"/>
        <v>165</v>
      </c>
      <c r="Q262" s="19">
        <f t="shared" si="51"/>
        <v>175</v>
      </c>
      <c r="R262" s="19">
        <f t="shared" si="51"/>
        <v>134</v>
      </c>
      <c r="S262" s="13">
        <f t="shared" ref="S262:S264" si="52">SUM(E262:R262)</f>
        <v>2330</v>
      </c>
    </row>
    <row r="263" ht="12.75" customHeight="1">
      <c r="A263" s="35"/>
      <c r="B263" s="70" t="s">
        <v>194</v>
      </c>
      <c r="C263" s="71" t="s">
        <v>195</v>
      </c>
      <c r="D263" s="16"/>
      <c r="E263" s="19">
        <v>13.0</v>
      </c>
      <c r="F263" s="19">
        <v>14.0</v>
      </c>
      <c r="G263" s="19">
        <v>18.0</v>
      </c>
      <c r="H263" s="19">
        <v>47.0</v>
      </c>
      <c r="I263" s="19">
        <v>21.0</v>
      </c>
      <c r="J263" s="19">
        <v>4.0</v>
      </c>
      <c r="K263" s="19">
        <v>45.0</v>
      </c>
      <c r="L263" s="19">
        <v>43.0</v>
      </c>
      <c r="M263" s="19">
        <v>14.0</v>
      </c>
      <c r="N263" s="19">
        <v>27.0</v>
      </c>
      <c r="O263" s="19">
        <v>27.0</v>
      </c>
      <c r="P263" s="19">
        <v>20.0</v>
      </c>
      <c r="Q263" s="19">
        <v>11.0</v>
      </c>
      <c r="R263" s="19">
        <v>20.0</v>
      </c>
      <c r="S263" s="13">
        <f t="shared" si="52"/>
        <v>324</v>
      </c>
    </row>
    <row r="264" ht="12.75" customHeight="1">
      <c r="A264" s="41"/>
      <c r="B264" s="70" t="s">
        <v>196</v>
      </c>
      <c r="C264" s="71" t="s">
        <v>197</v>
      </c>
      <c r="D264" s="16"/>
      <c r="E264" s="13">
        <f t="shared" ref="E264:R264" si="53">SUM(E262:E263)</f>
        <v>142</v>
      </c>
      <c r="F264" s="13">
        <f t="shared" si="53"/>
        <v>147</v>
      </c>
      <c r="G264" s="13">
        <f t="shared" si="53"/>
        <v>160</v>
      </c>
      <c r="H264" s="13">
        <f t="shared" si="53"/>
        <v>214</v>
      </c>
      <c r="I264" s="13">
        <f t="shared" si="53"/>
        <v>224</v>
      </c>
      <c r="J264" s="13">
        <f t="shared" si="53"/>
        <v>196</v>
      </c>
      <c r="K264" s="13">
        <f t="shared" si="53"/>
        <v>225</v>
      </c>
      <c r="L264" s="13">
        <f t="shared" si="53"/>
        <v>220</v>
      </c>
      <c r="M264" s="13">
        <f t="shared" si="53"/>
        <v>192</v>
      </c>
      <c r="N264" s="13">
        <f t="shared" si="53"/>
        <v>205</v>
      </c>
      <c r="O264" s="13">
        <f t="shared" si="53"/>
        <v>204</v>
      </c>
      <c r="P264" s="13">
        <f t="shared" si="53"/>
        <v>185</v>
      </c>
      <c r="Q264" s="13">
        <f t="shared" si="53"/>
        <v>186</v>
      </c>
      <c r="R264" s="13">
        <f t="shared" si="53"/>
        <v>154</v>
      </c>
      <c r="S264" s="13">
        <f t="shared" si="52"/>
        <v>2654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R12"/>
    <mergeCell ref="S12:S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R15">
    <cfRule type="containsBlanks" dxfId="1" priority="1">
      <formula>LEN(TRIM(E14))=0</formula>
    </cfRule>
  </conditionalFormatting>
  <conditionalFormatting sqref="E19:R20">
    <cfRule type="containsBlanks" dxfId="1" priority="2">
      <formula>LEN(TRIM(E19))=0</formula>
    </cfRule>
  </conditionalFormatting>
  <conditionalFormatting sqref="E22:R23 E25:R26 E33:R33 E35:R35 E39:R40">
    <cfRule type="containsBlanks" dxfId="1" priority="3">
      <formula>LEN(TRIM(E22))=0</formula>
    </cfRule>
  </conditionalFormatting>
  <conditionalFormatting sqref="E30:R30">
    <cfRule type="expression" dxfId="0" priority="4">
      <formula>E30&lt;&gt;E47</formula>
    </cfRule>
  </conditionalFormatting>
  <conditionalFormatting sqref="E30:R30">
    <cfRule type="expression" dxfId="0" priority="5">
      <formula>E30&lt;&gt;E34</formula>
    </cfRule>
  </conditionalFormatting>
  <conditionalFormatting sqref="E34:R34">
    <cfRule type="expression" dxfId="2" priority="6">
      <formula>E30&lt;&gt;E34</formula>
    </cfRule>
  </conditionalFormatting>
  <conditionalFormatting sqref="E34:R34">
    <cfRule type="expression" dxfId="3" priority="7">
      <formula>E30=E34</formula>
    </cfRule>
  </conditionalFormatting>
  <conditionalFormatting sqref="E34:R34">
    <cfRule type="expression" dxfId="0" priority="8">
      <formula>E34&lt;&gt;E30</formula>
    </cfRule>
  </conditionalFormatting>
  <conditionalFormatting sqref="E34:R34">
    <cfRule type="expression" dxfId="0" priority="9">
      <formula>E34&lt;&gt;E64</formula>
    </cfRule>
  </conditionalFormatting>
  <conditionalFormatting sqref="E45:R54">
    <cfRule type="containsBlanks" dxfId="1" priority="10">
      <formula>LEN(TRIM(E45))=0</formula>
    </cfRule>
  </conditionalFormatting>
  <conditionalFormatting sqref="E57:R66">
    <cfRule type="containsBlanks" dxfId="1" priority="11">
      <formula>LEN(TRIM(E57))=0</formula>
    </cfRule>
  </conditionalFormatting>
  <conditionalFormatting sqref="E69:R78">
    <cfRule type="containsBlanks" dxfId="1" priority="12">
      <formula>LEN(TRIM(E69))=0</formula>
    </cfRule>
  </conditionalFormatting>
  <conditionalFormatting sqref="E81:R90">
    <cfRule type="containsBlanks" dxfId="1" priority="13">
      <formula>LEN(TRIM(E81))=0</formula>
    </cfRule>
  </conditionalFormatting>
  <conditionalFormatting sqref="E93:R102">
    <cfRule type="containsBlanks" dxfId="1" priority="14">
      <formula>LEN(TRIM(E93))=0</formula>
    </cfRule>
  </conditionalFormatting>
  <conditionalFormatting sqref="E105:R114">
    <cfRule type="containsBlanks" dxfId="1" priority="15">
      <formula>LEN(TRIM(E105))=0</formula>
    </cfRule>
  </conditionalFormatting>
  <conditionalFormatting sqref="E117:R126">
    <cfRule type="containsBlanks" dxfId="1" priority="16">
      <formula>LEN(TRIM(E117))=0</formula>
    </cfRule>
  </conditionalFormatting>
  <conditionalFormatting sqref="E129:R138">
    <cfRule type="containsBlanks" dxfId="1" priority="17">
      <formula>LEN(TRIM(E129))=0</formula>
    </cfRule>
  </conditionalFormatting>
  <conditionalFormatting sqref="E141:R150">
    <cfRule type="containsBlanks" dxfId="1" priority="18">
      <formula>LEN(TRIM(E141))=0</formula>
    </cfRule>
  </conditionalFormatting>
  <conditionalFormatting sqref="E153:R162">
    <cfRule type="containsBlanks" dxfId="1" priority="19">
      <formula>LEN(TRIM(E153))=0</formula>
    </cfRule>
  </conditionalFormatting>
  <conditionalFormatting sqref="E165:R174">
    <cfRule type="containsBlanks" dxfId="1" priority="20">
      <formula>LEN(TRIM(E165))=0</formula>
    </cfRule>
  </conditionalFormatting>
  <conditionalFormatting sqref="E177:R186">
    <cfRule type="containsBlanks" dxfId="1" priority="21">
      <formula>LEN(TRIM(E177))=0</formula>
    </cfRule>
  </conditionalFormatting>
  <conditionalFormatting sqref="E189:R198">
    <cfRule type="containsBlanks" dxfId="1" priority="22">
      <formula>LEN(TRIM(E189))=0</formula>
    </cfRule>
  </conditionalFormatting>
  <conditionalFormatting sqref="E201:R210">
    <cfRule type="containsBlanks" dxfId="1" priority="23">
      <formula>LEN(TRIM(E201))=0</formula>
    </cfRule>
  </conditionalFormatting>
  <conditionalFormatting sqref="E213:R222">
    <cfRule type="containsBlanks" dxfId="1" priority="24">
      <formula>LEN(TRIM(E213))=0</formula>
    </cfRule>
  </conditionalFormatting>
  <conditionalFormatting sqref="E225:R234">
    <cfRule type="containsBlanks" dxfId="1" priority="25">
      <formula>LEN(TRIM(E225))=0</formula>
    </cfRule>
  </conditionalFormatting>
  <conditionalFormatting sqref="E237:R246">
    <cfRule type="containsBlanks" dxfId="1" priority="26">
      <formula>LEN(TRIM(E237))=0</formula>
    </cfRule>
  </conditionalFormatting>
  <conditionalFormatting sqref="E249:R258">
    <cfRule type="containsBlanks" dxfId="1" priority="27">
      <formula>LEN(TRIM(E249))=0</formula>
    </cfRule>
  </conditionalFormatting>
  <conditionalFormatting sqref="E262:R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