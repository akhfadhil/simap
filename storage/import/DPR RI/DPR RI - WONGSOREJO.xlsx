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DPR" sheetId="1" r:id="rId4"/>
    <sheet state="visible" name="BANGSRING" sheetId="2" r:id="rId5"/>
    <sheet state="visible" name="BENGKAK" sheetId="3" r:id="rId6"/>
    <sheet state="visible" name="ALASBULUH" sheetId="4" r:id="rId7"/>
    <sheet state="visible" name="WONGSOREJO" sheetId="5" r:id="rId8"/>
    <sheet state="visible" name="SUMBERKENCONO" sheetId="6" r:id="rId9"/>
    <sheet state="visible" name="SIDODADI" sheetId="7" r:id="rId10"/>
    <sheet state="visible" name="BAJULMATI" sheetId="8" r:id="rId11"/>
    <sheet state="visible" name="WATUKEBO" sheetId="9" r:id="rId12"/>
    <sheet state="visible" name="ALASREJO" sheetId="10" r:id="rId13"/>
    <sheet state="visible" name="SIDOWANGI" sheetId="11" r:id="rId14"/>
    <sheet state="visible" name="SUMBERANYAR" sheetId="12" r:id="rId15"/>
    <sheet state="visible" name="BIMOREJO" sheetId="13" r:id="rId16"/>
  </sheets>
  <definedNames/>
  <calcPr/>
  <extLst>
    <ext uri="GoogleSheetsCustomDataVersion2">
      <go:sheetsCustomData xmlns:go="http://customooxmlschemas.google.com/" r:id="rId17" roundtripDataChecksum="LS58u2f2xK7es1cMh6xqiFHzNdqtdocFMiiwpi9VE6w="/>
    </ext>
  </extLst>
</workbook>
</file>

<file path=xl/sharedStrings.xml><?xml version="1.0" encoding="utf-8"?>
<sst xmlns="http://schemas.openxmlformats.org/spreadsheetml/2006/main" count="3967" uniqueCount="244">
  <si>
    <t>Kecamatan</t>
  </si>
  <si>
    <t>WONGSOREJO</t>
  </si>
  <si>
    <t>Kabupaten</t>
  </si>
  <si>
    <t>BANYUWANGI</t>
  </si>
  <si>
    <t>Provinsi</t>
  </si>
  <si>
    <t>JAWA TIMUR</t>
  </si>
  <si>
    <t>I</t>
  </si>
  <si>
    <t>DATA PEMILIH DAN PENGGUNAAN HAK PILIH</t>
  </si>
  <si>
    <t>JUMLAH AKHIR</t>
  </si>
  <si>
    <t>A</t>
  </si>
  <si>
    <t xml:space="preserve">DATA PEMILIH  </t>
  </si>
  <si>
    <t>Jumlah Pemilih dalam Daftar Pemilih Tetap (DPT)</t>
  </si>
  <si>
    <t>LK</t>
  </si>
  <si>
    <t>PR</t>
  </si>
  <si>
    <t>JML</t>
  </si>
  <si>
    <t>B</t>
  </si>
  <si>
    <t>PENGGUNA HAK PILIH</t>
  </si>
  <si>
    <t>1.</t>
  </si>
  <si>
    <t>Jumlah pengguna hak pilih dalam Daftar Pemilih Tetap (DPT)</t>
  </si>
  <si>
    <t>2.</t>
  </si>
  <si>
    <t>Jumlah pengguna hak pilih dalam Daftar Pemilih Tambahan (DPTb)</t>
  </si>
  <si>
    <t>3.</t>
  </si>
  <si>
    <t>Jumlah pengguna hak pilih dalam Daftar Pemilih Khusus (DPK)</t>
  </si>
  <si>
    <t>4.</t>
  </si>
  <si>
    <t>Jumlah Pengguna Hak Pilih (B.1+B.2+B.3)</t>
  </si>
  <si>
    <t>II</t>
  </si>
  <si>
    <t>DATA PENGGUNAAN SURAT SUARA</t>
  </si>
  <si>
    <t>Jumlah surat suara yang diterima, termasuk surat suara cadangan 2,5% dari DPT</t>
  </si>
  <si>
    <t>Jumlah surat suara yang digunakan</t>
  </si>
  <si>
    <t>Jumlah surat suara dikembalikan oleh pemilih (karena rusak atau keliru coblos)</t>
  </si>
  <si>
    <t>Jumlah surat suara yang tidak digunakan/tidak terpakai, termasuk sisa surat suara cadangan</t>
  </si>
  <si>
    <t>III</t>
  </si>
  <si>
    <t>DATA PEMILIH DISABILITAS</t>
  </si>
  <si>
    <t>Jumlah seluruh Pemilih disabilitas yang menggunakan hak pilih</t>
  </si>
  <si>
    <t>IV</t>
  </si>
  <si>
    <t>DATA RINCIAN PEROLEHAN SUARA PASANGAN CALON BUPATI DAN WAKIL BUPATI</t>
  </si>
  <si>
    <t>NOMOR DAN NAMA CALON</t>
  </si>
  <si>
    <t>A.1</t>
  </si>
  <si>
    <t>Partai Kebangkitan Bangsa</t>
  </si>
  <si>
    <t>A.2</t>
  </si>
  <si>
    <t>1. Dr. Hj. NIHAYATUL WAFIROH, M.A.</t>
  </si>
  <si>
    <t>2. H. M. NASIM KHAN</t>
  </si>
  <si>
    <t>3. Dr. H. AKIK ZAMAN, M.Pd.I.</t>
  </si>
  <si>
    <t>4. AHMAD RIFA'I, S.H.</t>
  </si>
  <si>
    <t>5. Drs. H. MAHFUD M.N.</t>
  </si>
  <si>
    <t>6. NURHAYATI, S.Pd.</t>
  </si>
  <si>
    <t>7. MAFTUHA KISWAH</t>
  </si>
  <si>
    <t>JUMLAH SUARA SAH PARTAI POLITIK DAN CALON (A1 + A2)</t>
  </si>
  <si>
    <t>Partai Gerakan Indonesia Raya</t>
  </si>
  <si>
    <t>1. SUMAIL ABDULLAH</t>
  </si>
  <si>
    <t>2. MUHAMMAD ALI ADRIAN SALEH</t>
  </si>
  <si>
    <t>3. DURROTUN NAFISAH</t>
  </si>
  <si>
    <t>4. H. EKO SUSILO NURHIDAYAT</t>
  </si>
  <si>
    <t>5. KARNADI HARIJANTO, S.S.</t>
  </si>
  <si>
    <t>6. NURHAYATI</t>
  </si>
  <si>
    <t>7. MASHUDI</t>
  </si>
  <si>
    <t>Partai Demokrasi Indonesia Perjuangan</t>
  </si>
  <si>
    <t>1. SONNY TRI DANAPARAMITA, S.H., M.H.</t>
  </si>
  <si>
    <t>2. H. MOHAMAD GUNTUR ROMLI</t>
  </si>
  <si>
    <t>3. INA AMMANIA</t>
  </si>
  <si>
    <t>4. IRWAN BACHTIAR RACHMAT, M.Si.</t>
  </si>
  <si>
    <t>5. LUCKY PERDANA</t>
  </si>
  <si>
    <t>6. WIWIK PUJIYATI</t>
  </si>
  <si>
    <t>7. CHANDRA ASTAN, S.T.</t>
  </si>
  <si>
    <t>Partai Golongan Karya</t>
  </si>
  <si>
    <t>1. ZULFIKAR ARSE SADIKIN, S.I.P., M.Si.</t>
  </si>
  <si>
    <t>2. HANDOKO</t>
  </si>
  <si>
    <t>3. Hj. OVI DEWI YANTI</t>
  </si>
  <si>
    <t>4. Ir. AZAM AZMAN NATAWIJANA</t>
  </si>
  <si>
    <t>5. UBAIDILLAH AMIN, S.Kom.</t>
  </si>
  <si>
    <t>6. DENNY YUNIANDARI, S.H., M.Kn.</t>
  </si>
  <si>
    <t>7. ERNADI, S.H.I.</t>
  </si>
  <si>
    <t>5.</t>
  </si>
  <si>
    <t>Partai NasDem</t>
  </si>
  <si>
    <t>1. ACH. FADIL MUZAKKI SYAH</t>
  </si>
  <si>
    <t>2. BENY</t>
  </si>
  <si>
    <t>3. VINA VERONIKA</t>
  </si>
  <si>
    <t>4. TEDDY ANUGRIANTO</t>
  </si>
  <si>
    <t>5. INSAN KAMIL</t>
  </si>
  <si>
    <t>6. LILIK LINDARWATI</t>
  </si>
  <si>
    <t>7. YULI ANITA</t>
  </si>
  <si>
    <t>6.</t>
  </si>
  <si>
    <t>Partai Buruh</t>
  </si>
  <si>
    <t>1. KHOIRUL ANAM</t>
  </si>
  <si>
    <t>2. INA KURNIA</t>
  </si>
  <si>
    <t>3. JIBRAL TAROUK</t>
  </si>
  <si>
    <t>4. ASTUTI DAENG PUJI</t>
  </si>
  <si>
    <t>5. ASDARMAWAN</t>
  </si>
  <si>
    <t>6. RIFQI MUBAROK</t>
  </si>
  <si>
    <t>7. FIRNANDA ALTA MEGA</t>
  </si>
  <si>
    <t>7.</t>
  </si>
  <si>
    <t>Partai Gelombang Rakyat Indonesia</t>
  </si>
  <si>
    <t>1. TITI WIDORETNO WARISMAN</t>
  </si>
  <si>
    <t>2. MAMIEK SETYANINGSIH</t>
  </si>
  <si>
    <t>3. ROMIL AZIZEN</t>
  </si>
  <si>
    <t>8.</t>
  </si>
  <si>
    <t>Partai Keadilan Sejahtera</t>
  </si>
  <si>
    <t>1. H. SAIMI SALEH, S.E., M.M.</t>
  </si>
  <si>
    <t>2. Prof. Dr. H. EGGI SUDJANA, S.H., M.Si.</t>
  </si>
  <si>
    <t>3. NURUL KHOTIMAH</t>
  </si>
  <si>
    <t>4. AKHMAD SUYANTO, S.T., M.T.</t>
  </si>
  <si>
    <t>5. PUJIYATNI</t>
  </si>
  <si>
    <t>6. HENI PURWATININGSIH</t>
  </si>
  <si>
    <t>7. MUHADI</t>
  </si>
  <si>
    <t>9.</t>
  </si>
  <si>
    <t>Partai Kebangkitan Nusantara</t>
  </si>
  <si>
    <t>1. ARIEF PRIHARDONO DARMAWAN</t>
  </si>
  <si>
    <t>2. MUSLIMIN</t>
  </si>
  <si>
    <t>3. ANDARINI RIEKE LESTINA H.</t>
  </si>
  <si>
    <t>4. CHARLES ADIKURNIA NARA HIDA</t>
  </si>
  <si>
    <t>5. FARADILLA ZAEINATH KALAKE</t>
  </si>
  <si>
    <t>6. TONY</t>
  </si>
  <si>
    <t>7. ADOLFRIN YUNIARTO KALA</t>
  </si>
  <si>
    <t>10.</t>
  </si>
  <si>
    <t>Partai Hati Nurani Rakyat</t>
  </si>
  <si>
    <t>1. Ir. H. A. BAMBANG IRIANTO</t>
  </si>
  <si>
    <t>2. EKO SUWARNO</t>
  </si>
  <si>
    <t>3. Dra. MIRTHA LISTIAYU ETTY TEDJA ADIYANTI</t>
  </si>
  <si>
    <t>4. SITI SOLIKHA</t>
  </si>
  <si>
    <t>11.</t>
  </si>
  <si>
    <t>Partai Garda Republik Indonesia</t>
  </si>
  <si>
    <t>1. TAUFIKUR RAHMAN, S.Kom.</t>
  </si>
  <si>
    <t>2. ELIN CHAERNURELINAH</t>
  </si>
  <si>
    <t>3. ARI NUROHMAN</t>
  </si>
  <si>
    <t>4. SAEFUL BAHRI</t>
  </si>
  <si>
    <t>5. NINDA HERAWATI</t>
  </si>
  <si>
    <t>6. UJANG IHWANUDIN</t>
  </si>
  <si>
    <t>7. MUHAMMAD ABDUL ROHMAN</t>
  </si>
  <si>
    <t>12.</t>
  </si>
  <si>
    <t>Partai Amanat Nasional</t>
  </si>
  <si>
    <t>1. Dr. ACH. RUBAIE, S.H., M.H.</t>
  </si>
  <si>
    <t>2. Brigjen. TNI (Purn.) SYUKRAN HAMBALI, S.H.</t>
  </si>
  <si>
    <t>3. Dra. Hj. MUSFIROH S BADRIE, M.Si.</t>
  </si>
  <si>
    <t>4. SITI ZULEHA</t>
  </si>
  <si>
    <t>5. GHOZI ZAINUDDIN, S.Ag.</t>
  </si>
  <si>
    <t>6. MUHAMMAD</t>
  </si>
  <si>
    <t>7. Drs. H. IMAM NGAQOIB, M.H.</t>
  </si>
  <si>
    <t>13.</t>
  </si>
  <si>
    <t>Partai Bulan Bintang</t>
  </si>
  <si>
    <t>1. MOHAMAD AFIFFILAH SAID</t>
  </si>
  <si>
    <t>2. AHMAD LUTFIANTO</t>
  </si>
  <si>
    <t>3. RUFINA LAILY KURNIATI</t>
  </si>
  <si>
    <t>4. WIWIK WAHYUNI, S.T.</t>
  </si>
  <si>
    <t>5. MAHFUD</t>
  </si>
  <si>
    <t>6. MARYAM CHOIRUN NISA</t>
  </si>
  <si>
    <t>7. ABU HASAN</t>
  </si>
  <si>
    <t>14.</t>
  </si>
  <si>
    <t>Partai Demokrat</t>
  </si>
  <si>
    <t>1. Dina Lorenza Audria</t>
  </si>
  <si>
    <t>2. Bobby B. Batubara, S.T., M.B.A.</t>
  </si>
  <si>
    <t>3. YUYON ALI FAHMI</t>
  </si>
  <si>
    <t>4. Mirda Rasyid, S.E., M.M.</t>
  </si>
  <si>
    <t>5. FAKHRI MUHAMMAD NOVENDRA</t>
  </si>
  <si>
    <t>6. Papang Sapari</t>
  </si>
  <si>
    <t>7. RIFKY MIFTAHUL ACHMAD</t>
  </si>
  <si>
    <t>15.</t>
  </si>
  <si>
    <t>Partai Solidaritas Indonesia</t>
  </si>
  <si>
    <t>1. IKHWAN ARIEF, S.H.I.</t>
  </si>
  <si>
    <t>2. ABDUL GHONI</t>
  </si>
  <si>
    <t>3. RAHAYU</t>
  </si>
  <si>
    <t>4. Muchamat Zainal Muzani</t>
  </si>
  <si>
    <t>5. WAHYU RAMADHAN</t>
  </si>
  <si>
    <t>6. ULFIA CAHAYANI</t>
  </si>
  <si>
    <t>7. YULIA SAFITRI</t>
  </si>
  <si>
    <t>16.</t>
  </si>
  <si>
    <t>PARTAI PERINDO</t>
  </si>
  <si>
    <t>1. ALFEN FAFIRLY, S.T.</t>
  </si>
  <si>
    <t>2. MOH. SUKRI</t>
  </si>
  <si>
    <t>3. ERFINA</t>
  </si>
  <si>
    <t>4. BEBY FAUZIANA</t>
  </si>
  <si>
    <t>5. GURITNO HIMANTORO. S.T.P., M.Si.</t>
  </si>
  <si>
    <t>6. HABSARI SUKMAYANTI</t>
  </si>
  <si>
    <t>7. EMILIA CONTESSA</t>
  </si>
  <si>
    <t>17.</t>
  </si>
  <si>
    <t>Partai Persatuan Pembangunan</t>
  </si>
  <si>
    <t>1. NORMAN ZEIN NAHDI, S.E.</t>
  </si>
  <si>
    <t>2. BASIR, S.Ag.</t>
  </si>
  <si>
    <t>3. NUR AZIZAH</t>
  </si>
  <si>
    <t>4. H. MOCH. MAHFUDH</t>
  </si>
  <si>
    <t>5. DWI SETYO EFENDI</t>
  </si>
  <si>
    <t>6. LULUK AVIYA</t>
  </si>
  <si>
    <t>7. SY. ANAS THAHIR</t>
  </si>
  <si>
    <t>18.</t>
  </si>
  <si>
    <t>Partai Ummat</t>
  </si>
  <si>
    <t>1. Ir. H. ABDUL RASYID</t>
  </si>
  <si>
    <t>2. NUR AINI, S.T.P.</t>
  </si>
  <si>
    <t>3. ERFIN SOFIA ASTUTI, S.Pd.</t>
  </si>
  <si>
    <t>4. SARIYANTO</t>
  </si>
  <si>
    <t>5. PURNOMO</t>
  </si>
  <si>
    <t>6. TRI SETYORINI</t>
  </si>
  <si>
    <t>V</t>
  </si>
  <si>
    <t>DATA SUARA SAH DAN TIDAK SAH</t>
  </si>
  <si>
    <t>A.</t>
  </si>
  <si>
    <t>JUMLAH SELURUH SUARA SAH</t>
  </si>
  <si>
    <t>B.</t>
  </si>
  <si>
    <t>JUMLAH SUARA TIDAK SAH</t>
  </si>
  <si>
    <t>C.</t>
  </si>
  <si>
    <t>JUMLAH SELURUH SUARA SAH DAN SUARA TIDAK SAH (V.A + V.B)</t>
  </si>
  <si>
    <t>Kelurahan</t>
  </si>
  <si>
    <t>BANGSRING</t>
  </si>
  <si>
    <t>TPS 001</t>
  </si>
  <si>
    <t>TPS 002</t>
  </si>
  <si>
    <t>TPS 003</t>
  </si>
  <si>
    <t>TPS 004</t>
  </si>
  <si>
    <t>TPS 005</t>
  </si>
  <si>
    <t>TPS 006</t>
  </si>
  <si>
    <t>TPS 007</t>
  </si>
  <si>
    <t>TPS 008</t>
  </si>
  <si>
    <t>TPS 009</t>
  </si>
  <si>
    <t>TPS 010</t>
  </si>
  <si>
    <t>TPS 011</t>
  </si>
  <si>
    <t>TPS 012</t>
  </si>
  <si>
    <t>TPS 013</t>
  </si>
  <si>
    <t>TPS 014</t>
  </si>
  <si>
    <t>TPS 015</t>
  </si>
  <si>
    <t>TPS 016</t>
  </si>
  <si>
    <t>TPS 017</t>
  </si>
  <si>
    <t>TPS 018</t>
  </si>
  <si>
    <t>BENGKAK</t>
  </si>
  <si>
    <t>TPS 019</t>
  </si>
  <si>
    <t>TPS 020</t>
  </si>
  <si>
    <t>ALASBULUH</t>
  </si>
  <si>
    <t>TPS 021</t>
  </si>
  <si>
    <t>TPS 022</t>
  </si>
  <si>
    <t>TPS 023</t>
  </si>
  <si>
    <t>TPS 024</t>
  </si>
  <si>
    <t>TPS 025</t>
  </si>
  <si>
    <t>TPS 026</t>
  </si>
  <si>
    <t>TPS 027</t>
  </si>
  <si>
    <t>TPS 028</t>
  </si>
  <si>
    <t>TPS 029</t>
  </si>
  <si>
    <t>TPS 030</t>
  </si>
  <si>
    <t>TPS 031</t>
  </si>
  <si>
    <t>TPS 032</t>
  </si>
  <si>
    <t>TPS 033</t>
  </si>
  <si>
    <t>TPS 034</t>
  </si>
  <si>
    <t>SUMBERKENCONO</t>
  </si>
  <si>
    <t>SIDODADI</t>
  </si>
  <si>
    <t>BAJULMATI</t>
  </si>
  <si>
    <t>WATUKEBO</t>
  </si>
  <si>
    <t>ALASREJO</t>
  </si>
  <si>
    <t>SIDOWANGI</t>
  </si>
  <si>
    <t>SUMBERANYAR</t>
  </si>
  <si>
    <t>BIMOREJO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</si>
</sst>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Calibri"/>
      <scheme val="minor"/>
    </font>
    <font>
      <b/>
      <sz val="10.0"/>
      <color theme="1"/>
      <name val="Bookman Old Style"/>
    </font>
    <font>
      <sz val="10.0"/>
      <color theme="1"/>
      <name val="Arial"/>
    </font>
    <font>
      <sz val="10.0"/>
      <color theme="1"/>
      <name val="Bookman Old Style"/>
    </font>
    <font>
      <sz val="10.0"/>
      <color rgb="FF000000"/>
      <name val="Bookman Old Style"/>
    </font>
    <font/>
    <font>
      <sz val="10.0"/>
      <color theme="1"/>
      <name val="Cambria"/>
    </font>
    <font>
      <color theme="1"/>
      <name val="Calibri"/>
      <scheme val="minor"/>
    </font>
    <font>
      <b/>
      <sz val="10.0"/>
      <color rgb="FF000000"/>
      <name val="Bookman Old Style"/>
    </font>
    <font>
      <sz val="10.0"/>
      <color rgb="FF000000"/>
      <name val="Calibri"/>
    </font>
    <font>
      <sz val="11.0"/>
      <color rgb="FF000000"/>
      <name val="Aptos Narrow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</fills>
  <borders count="2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/>
      <top/>
      <bottom/>
    </border>
    <border>
      <left/>
      <right/>
      <top/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</border>
  </borders>
  <cellStyleXfs count="1">
    <xf borderId="0" fillId="0" fontId="0" numFmtId="0" applyAlignment="1" applyFont="1"/>
  </cellStyleXfs>
  <cellXfs count="8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vertical="center"/>
    </xf>
    <xf borderId="0" fillId="0" fontId="2" numFmtId="0" xfId="0" applyFont="1"/>
    <xf borderId="0" fillId="0" fontId="1" numFmtId="0" xfId="0" applyAlignment="1" applyFont="1">
      <alignment horizontal="center"/>
    </xf>
    <xf borderId="0" fillId="0" fontId="3" numFmtId="0" xfId="0" applyAlignment="1" applyFont="1">
      <alignment horizontal="center" vertical="center"/>
    </xf>
    <xf borderId="0" fillId="0" fontId="3" numFmtId="3" xfId="0" applyAlignment="1" applyFont="1" applyNumberFormat="1">
      <alignment horizontal="center"/>
    </xf>
    <xf borderId="0" fillId="0" fontId="3" numFmtId="0" xfId="0" applyAlignment="1" applyFont="1">
      <alignment horizontal="center"/>
    </xf>
    <xf borderId="0" fillId="0" fontId="4" numFmtId="0" xfId="0" applyFont="1"/>
    <xf borderId="0" fillId="0" fontId="1" numFmtId="3" xfId="0" applyAlignment="1" applyFont="1" applyNumberFormat="1">
      <alignment horizontal="center"/>
    </xf>
    <xf borderId="0" fillId="0" fontId="3" numFmtId="0" xfId="0" applyAlignment="1" applyFont="1">
      <alignment vertical="center"/>
    </xf>
    <xf borderId="0" fillId="0" fontId="2" numFmtId="3" xfId="0" applyFont="1" applyNumberFormat="1"/>
    <xf borderId="0" fillId="0" fontId="1" numFmtId="0" xfId="0" applyAlignment="1" applyFont="1">
      <alignment horizontal="left" shrinkToFit="0" vertical="center" wrapText="1"/>
    </xf>
    <xf borderId="1" fillId="0" fontId="1" numFmtId="0" xfId="0" applyAlignment="1" applyBorder="1" applyFont="1">
      <alignment horizontal="center" vertical="center"/>
    </xf>
    <xf borderId="2" fillId="0" fontId="1" numFmtId="0" xfId="0" applyAlignment="1" applyBorder="1" applyFont="1">
      <alignment horizontal="left" shrinkToFit="0" vertical="center" wrapText="1"/>
    </xf>
    <xf borderId="3" fillId="0" fontId="5" numFmtId="0" xfId="0" applyBorder="1" applyFont="1"/>
    <xf borderId="4" fillId="0" fontId="5" numFmtId="0" xfId="0" applyBorder="1" applyFont="1"/>
    <xf borderId="5" fillId="0" fontId="1" numFmtId="0" xfId="0" applyAlignment="1" applyBorder="1" applyFont="1">
      <alignment horizontal="center" shrinkToFit="0" vertical="center" wrapText="1"/>
    </xf>
    <xf borderId="6" fillId="0" fontId="3" numFmtId="0" xfId="0" applyAlignment="1" applyBorder="1" applyFont="1">
      <alignment horizontal="center" vertical="center"/>
    </xf>
    <xf borderId="1" fillId="0" fontId="3" numFmtId="0" xfId="0" applyAlignment="1" applyBorder="1" applyFont="1">
      <alignment horizontal="center" vertical="center"/>
    </xf>
    <xf borderId="2" fillId="0" fontId="3" numFmtId="0" xfId="0" applyAlignment="1" applyBorder="1" applyFont="1">
      <alignment horizontal="left" shrinkToFit="0" vertical="center" wrapText="1"/>
    </xf>
    <xf borderId="7" fillId="0" fontId="5" numFmtId="0" xfId="0" applyBorder="1" applyFont="1"/>
    <xf borderId="5" fillId="0" fontId="3" numFmtId="0" xfId="0" applyAlignment="1" applyBorder="1" applyFont="1">
      <alignment horizontal="left" shrinkToFit="0" vertical="center" wrapText="1"/>
    </xf>
    <xf borderId="8" fillId="0" fontId="5" numFmtId="0" xfId="0" applyBorder="1" applyFont="1"/>
    <xf borderId="2" fillId="0" fontId="3" numFmtId="0" xfId="0" applyAlignment="1" applyBorder="1" applyFont="1">
      <alignment horizontal="center" vertical="center"/>
    </xf>
    <xf borderId="6" fillId="0" fontId="1" numFmtId="0" xfId="0" applyAlignment="1" applyBorder="1" applyFont="1">
      <alignment horizontal="center" vertical="center"/>
    </xf>
    <xf borderId="6" fillId="0" fontId="5" numFmtId="0" xfId="0" applyBorder="1" applyFont="1"/>
    <xf borderId="9" fillId="0" fontId="5" numFmtId="0" xfId="0" applyBorder="1" applyFont="1"/>
    <xf borderId="10" fillId="0" fontId="5" numFmtId="0" xfId="0" applyBorder="1" applyFont="1"/>
    <xf borderId="2" fillId="0" fontId="1" numFmtId="0" xfId="0" applyAlignment="1" applyBorder="1" applyFont="1">
      <alignment horizontal="center" vertical="center"/>
    </xf>
    <xf borderId="11" fillId="0" fontId="3" numFmtId="0" xfId="0" applyAlignment="1" applyBorder="1" applyFont="1">
      <alignment horizontal="center" vertical="center"/>
    </xf>
    <xf borderId="8" fillId="0" fontId="3" numFmtId="0" xfId="0" applyAlignment="1" applyBorder="1" applyFont="1">
      <alignment horizontal="center" shrinkToFit="0" vertical="center" wrapText="1"/>
    </xf>
    <xf borderId="11" fillId="0" fontId="3" numFmtId="0" xfId="0" applyAlignment="1" applyBorder="1" applyFont="1">
      <alignment shrinkToFit="0" vertical="center" wrapText="1"/>
    </xf>
    <xf borderId="12" fillId="0" fontId="3" numFmtId="0" xfId="0" applyAlignment="1" applyBorder="1" applyFont="1">
      <alignment horizontal="center" vertical="center"/>
    </xf>
    <xf borderId="12" fillId="0" fontId="5" numFmtId="0" xfId="0" applyBorder="1" applyFont="1"/>
    <xf borderId="12" fillId="0" fontId="1" numFmtId="0" xfId="0" applyAlignment="1" applyBorder="1" applyFont="1">
      <alignment horizontal="center" vertical="center"/>
    </xf>
    <xf borderId="13" fillId="0" fontId="5" numFmtId="0" xfId="0" applyBorder="1" applyFont="1"/>
    <xf borderId="8" fillId="0" fontId="1" numFmtId="0" xfId="0" applyAlignment="1" applyBorder="1" applyFont="1">
      <alignment horizontal="center" shrinkToFit="0" vertical="center" wrapText="1"/>
    </xf>
    <xf borderId="11" fillId="0" fontId="1" numFmtId="0" xfId="0" applyAlignment="1" applyBorder="1" applyFont="1">
      <alignment shrinkToFit="0" vertical="center" wrapText="1"/>
    </xf>
    <xf borderId="6" fillId="0" fontId="3" numFmtId="0" xfId="0" applyAlignment="1" applyBorder="1" applyFont="1">
      <alignment vertical="center"/>
    </xf>
    <xf borderId="3" fillId="0" fontId="3" numFmtId="0" xfId="0" applyAlignment="1" applyBorder="1" applyFont="1">
      <alignment horizontal="center" vertical="center"/>
    </xf>
    <xf borderId="13" fillId="0" fontId="1" numFmtId="0" xfId="0" applyAlignment="1" applyBorder="1" applyFont="1">
      <alignment horizontal="center" vertical="center"/>
    </xf>
    <xf borderId="11" fillId="0" fontId="1" numFmtId="0" xfId="0" applyAlignment="1" applyBorder="1" applyFont="1">
      <alignment horizontal="center" vertical="center"/>
    </xf>
    <xf borderId="14" fillId="0" fontId="3" numFmtId="0" xfId="0" applyAlignment="1" applyBorder="1" applyFont="1">
      <alignment horizontal="left" shrinkToFit="0" vertical="center" wrapText="1"/>
    </xf>
    <xf borderId="15" fillId="0" fontId="5" numFmtId="0" xfId="0" applyBorder="1" applyFont="1"/>
    <xf borderId="7" fillId="0" fontId="3" numFmtId="0" xfId="0" applyAlignment="1" applyBorder="1" applyFont="1">
      <alignment horizontal="center" vertical="center"/>
    </xf>
    <xf borderId="14" fillId="0" fontId="5" numFmtId="0" xfId="0" applyBorder="1" applyFont="1"/>
    <xf borderId="2" fillId="0" fontId="1" numFmtId="0" xfId="0" applyAlignment="1" applyBorder="1" applyFont="1">
      <alignment horizontal="center" shrinkToFit="0" vertical="center" wrapText="1"/>
    </xf>
    <xf borderId="3" fillId="0" fontId="1" numFmtId="0" xfId="0" applyAlignment="1" applyBorder="1" applyFont="1">
      <alignment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shrinkToFit="0" vertical="center" wrapText="1"/>
    </xf>
    <xf borderId="16" fillId="2" fontId="3" numFmtId="0" xfId="0" applyAlignment="1" applyBorder="1" applyFill="1" applyFont="1">
      <alignment horizontal="center" vertical="center"/>
    </xf>
    <xf borderId="17" fillId="2" fontId="3" numFmtId="0" xfId="0" applyAlignment="1" applyBorder="1" applyFont="1">
      <alignment horizontal="center" vertical="center"/>
    </xf>
    <xf borderId="17" fillId="2" fontId="2" numFmtId="3" xfId="0" applyBorder="1" applyFont="1" applyNumberFormat="1"/>
    <xf borderId="17" fillId="2" fontId="2" numFmtId="0" xfId="0" applyBorder="1" applyFont="1"/>
    <xf borderId="2" fillId="0" fontId="3" numFmtId="0" xfId="0" applyAlignment="1" applyBorder="1" applyFont="1">
      <alignment horizontal="center" shrinkToFit="0" vertical="center" wrapText="1"/>
    </xf>
    <xf borderId="18" fillId="3" fontId="3" numFmtId="0" xfId="0" applyAlignment="1" applyBorder="1" applyFill="1" applyFont="1">
      <alignment horizontal="center" shrinkToFit="0" vertical="center" wrapText="1"/>
    </xf>
    <xf borderId="19" fillId="3" fontId="3" numFmtId="0" xfId="0" applyAlignment="1" applyBorder="1" applyFont="1">
      <alignment shrinkToFit="0" vertical="center" wrapText="1"/>
    </xf>
    <xf borderId="18" fillId="3" fontId="3" numFmtId="0" xfId="0" applyAlignment="1" applyBorder="1" applyFont="1">
      <alignment horizontal="center" vertical="center"/>
    </xf>
    <xf borderId="4" fillId="0" fontId="3" numFmtId="0" xfId="0" applyAlignment="1" applyBorder="1" applyFont="1">
      <alignment shrinkToFit="0" vertical="center" wrapText="1"/>
    </xf>
    <xf borderId="4" fillId="0" fontId="2" numFmtId="0" xfId="0" applyBorder="1" applyFont="1"/>
    <xf borderId="20" fillId="3" fontId="3" numFmtId="0" xfId="0" applyAlignment="1" applyBorder="1" applyFont="1">
      <alignment shrinkToFit="0" vertical="center" wrapText="1"/>
    </xf>
    <xf borderId="20" fillId="3" fontId="2" numFmtId="0" xfId="0" applyBorder="1" applyFont="1"/>
    <xf borderId="19" fillId="3" fontId="3" numFmtId="0" xfId="0" applyAlignment="1" applyBorder="1" applyFont="1">
      <alignment horizontal="center" vertical="center"/>
    </xf>
    <xf borderId="3" fillId="0" fontId="1" numFmtId="0" xfId="0" applyAlignment="1" applyBorder="1" applyFont="1">
      <alignment horizontal="center" vertical="center"/>
    </xf>
    <xf borderId="14" fillId="0" fontId="1" numFmtId="0" xfId="0" applyAlignment="1" applyBorder="1" applyFont="1">
      <alignment shrinkToFit="0" vertical="center" wrapText="1"/>
    </xf>
    <xf borderId="5" fillId="0" fontId="3" numFmtId="0" xfId="0" applyAlignment="1" applyBorder="1" applyFont="1">
      <alignment horizontal="center" vertical="center"/>
    </xf>
    <xf borderId="21" fillId="0" fontId="6" numFmtId="0" xfId="0" applyAlignment="1" applyBorder="1" applyFont="1">
      <alignment horizontal="left" shrinkToFit="0" vertical="top" wrapText="1"/>
    </xf>
    <xf borderId="19" fillId="3" fontId="6" numFmtId="0" xfId="0" applyAlignment="1" applyBorder="1" applyFont="1">
      <alignment horizontal="left" shrinkToFit="0" vertical="top" wrapText="1"/>
    </xf>
    <xf borderId="7" fillId="0" fontId="1" numFmtId="0" xfId="0" applyAlignment="1" applyBorder="1" applyFont="1">
      <alignment horizontal="center" shrinkToFit="0" vertical="center" wrapText="1"/>
    </xf>
    <xf borderId="0" fillId="0" fontId="7" numFmtId="0" xfId="0" applyFont="1"/>
    <xf borderId="4" fillId="0" fontId="1" numFmtId="0" xfId="0" applyAlignment="1" applyBorder="1" applyFont="1">
      <alignment horizontal="center" shrinkToFit="0" vertical="center" wrapText="1"/>
    </xf>
    <xf borderId="2" fillId="0" fontId="1" numFmtId="0" xfId="0" applyAlignment="1" applyBorder="1" applyFont="1">
      <alignment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3" numFmtId="0" xfId="0" applyAlignment="1" applyFont="1">
      <alignment shrinkToFit="0" vertical="center" wrapText="1"/>
    </xf>
    <xf borderId="11" fillId="0" fontId="8" numFmtId="0" xfId="0" applyAlignment="1" applyBorder="1" applyFont="1">
      <alignment horizontal="center" shrinkToFit="0" wrapText="1"/>
    </xf>
    <xf borderId="1" fillId="0" fontId="3" numFmtId="0" xfId="0" applyAlignment="1" applyBorder="1" applyFont="1">
      <alignment vertical="center"/>
    </xf>
    <xf borderId="1" fillId="0" fontId="9" numFmtId="0" xfId="0" applyBorder="1" applyFont="1"/>
    <xf borderId="1" fillId="0" fontId="1" numFmtId="0" xfId="0" applyAlignment="1" applyBorder="1" applyFont="1">
      <alignment vertical="center"/>
    </xf>
    <xf borderId="2" fillId="0" fontId="3" numFmtId="0" xfId="0" applyAlignment="1" applyBorder="1" applyFont="1">
      <alignment vertical="center"/>
    </xf>
    <xf borderId="4" fillId="0" fontId="1" numFmtId="0" xfId="0" applyAlignment="1" applyBorder="1" applyFont="1">
      <alignment horizontal="center" vertical="center"/>
    </xf>
    <xf borderId="3" fillId="0" fontId="2" numFmtId="0" xfId="0" applyBorder="1" applyFont="1"/>
    <xf borderId="13" fillId="0" fontId="3" numFmtId="0" xfId="0" applyAlignment="1" applyBorder="1" applyFont="1">
      <alignment horizontal="center" vertical="center"/>
    </xf>
    <xf borderId="1" fillId="0" fontId="10" numFmtId="0" xfId="0" applyBorder="1" applyFont="1"/>
    <xf borderId="19" fillId="2" fontId="3" numFmtId="0" xfId="0" applyAlignment="1" applyBorder="1" applyFont="1">
      <alignment horizontal="center" vertical="center"/>
    </xf>
    <xf borderId="1" fillId="3" fontId="3" numFmtId="0" xfId="0" applyAlignment="1" applyBorder="1" applyFont="1">
      <alignment horizontal="center" vertical="center"/>
    </xf>
    <xf borderId="4" fillId="0" fontId="3" numFmtId="0" xfId="0" applyAlignment="1" applyBorder="1" applyFont="1">
      <alignment horizontal="center" vertical="center"/>
    </xf>
  </cellXfs>
  <cellStyles count="1">
    <cellStyle xfId="0" name="Normal" builtinId="0"/>
  </cellStyles>
  <dxfs count="4"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D9D9D9"/>
          <bgColor rgb="FFD9D9D9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00B050"/>
          <bgColor rgb="FF00B05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customschemas.google.com/relationships/workbookmetadata" Target="metadata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3.57"/>
    <col customWidth="1" min="2" max="2" width="4.0"/>
    <col customWidth="1" min="3" max="3" width="64.57"/>
    <col customWidth="1" min="4" max="4" width="6.57"/>
    <col customWidth="1" min="5" max="5" width="18.86"/>
    <col customWidth="1" min="6" max="7" width="10.14"/>
    <col customWidth="1" hidden="1" min="8" max="16" width="10.14"/>
    <col customWidth="1" hidden="1" min="17" max="25" width="8.71"/>
    <col customWidth="1" min="26" max="26" width="8.71"/>
  </cols>
  <sheetData>
    <row r="1" ht="15.0" customHeight="1"/>
    <row r="2" ht="15.0" customHeight="1"/>
    <row r="3" ht="15.0" customHeight="1"/>
    <row r="4" ht="15.0" customHeight="1"/>
    <row r="5" ht="15.75" customHeight="1">
      <c r="F5" s="1"/>
      <c r="G5" s="1"/>
      <c r="H5" s="1"/>
      <c r="I5" s="1"/>
      <c r="J5" s="1"/>
      <c r="K5" s="1"/>
      <c r="L5" s="1"/>
      <c r="M5" s="1"/>
      <c r="N5" s="1"/>
      <c r="O5" s="2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5.75" customHeight="1">
      <c r="F6" s="1"/>
      <c r="G6" s="1"/>
      <c r="H6" s="1"/>
      <c r="I6" s="1"/>
      <c r="J6" s="1"/>
      <c r="K6" s="1"/>
      <c r="L6" s="1"/>
      <c r="M6" s="1"/>
      <c r="N6" s="1"/>
      <c r="O6" s="1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5.75" customHeight="1">
      <c r="F7" s="5"/>
      <c r="G7" s="5"/>
      <c r="H7" s="5"/>
      <c r="I7" s="5"/>
      <c r="J7" s="5"/>
      <c r="K7" s="5"/>
      <c r="L7" s="5"/>
      <c r="M7" s="5"/>
      <c r="N7" s="5"/>
      <c r="O7" s="5"/>
      <c r="P7" s="6"/>
      <c r="Q7" s="7"/>
      <c r="R7" s="7"/>
      <c r="S7" s="7"/>
      <c r="T7" s="7"/>
      <c r="U7" s="7"/>
      <c r="V7" s="7"/>
      <c r="W7" s="7"/>
      <c r="X7" s="7"/>
      <c r="Y7" s="7"/>
      <c r="Z7" s="7"/>
    </row>
    <row r="8" ht="15.75" customHeight="1">
      <c r="C8" s="8" t="s">
        <v>0</v>
      </c>
      <c r="D8" s="8" t="s">
        <v>1</v>
      </c>
      <c r="F8" s="5"/>
      <c r="G8" s="5"/>
      <c r="H8" s="5"/>
      <c r="I8" s="5"/>
      <c r="J8" s="5"/>
      <c r="K8" s="5"/>
      <c r="L8" s="5"/>
      <c r="M8" s="5"/>
      <c r="N8" s="5"/>
      <c r="O8" s="5"/>
      <c r="P8" s="6"/>
      <c r="Q8" s="7"/>
      <c r="R8" s="7"/>
      <c r="S8" s="7"/>
      <c r="T8" s="7"/>
      <c r="U8" s="7"/>
      <c r="V8" s="7"/>
      <c r="W8" s="7"/>
      <c r="X8" s="7"/>
      <c r="Y8" s="7"/>
      <c r="Z8" s="7"/>
    </row>
    <row r="9" ht="15.75" customHeight="1">
      <c r="C9" s="8" t="s">
        <v>2</v>
      </c>
      <c r="D9" s="8" t="s">
        <v>3</v>
      </c>
      <c r="F9" s="1"/>
      <c r="G9" s="1"/>
      <c r="H9" s="1"/>
      <c r="I9" s="1"/>
      <c r="J9" s="1"/>
      <c r="K9" s="1"/>
      <c r="L9" s="1"/>
      <c r="M9" s="1"/>
      <c r="N9" s="1"/>
      <c r="O9" s="1"/>
      <c r="P9" s="9"/>
      <c r="Q9" s="4"/>
      <c r="R9" s="4"/>
      <c r="S9" s="4"/>
      <c r="T9" s="4"/>
      <c r="U9" s="4"/>
      <c r="V9" s="4"/>
      <c r="W9" s="4"/>
      <c r="X9" s="4"/>
      <c r="Y9" s="4"/>
      <c r="Z9" s="4"/>
    </row>
    <row r="10" ht="15.75" customHeight="1">
      <c r="C10" s="8" t="s">
        <v>4</v>
      </c>
      <c r="D10" s="8" t="s">
        <v>5</v>
      </c>
      <c r="F10" s="5"/>
      <c r="G10" s="5"/>
      <c r="H10" s="5"/>
      <c r="I10" s="5"/>
      <c r="J10" s="5"/>
      <c r="K10" s="5"/>
      <c r="L10" s="5"/>
      <c r="M10" s="5"/>
      <c r="N10" s="5"/>
      <c r="O10" s="10"/>
      <c r="P10" s="11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5.75" customHeight="1">
      <c r="A11" s="1"/>
      <c r="B11" s="12"/>
      <c r="C11" s="12"/>
      <c r="D11" s="12"/>
      <c r="E11" s="1"/>
      <c r="F11" s="5"/>
      <c r="G11" s="5"/>
      <c r="H11" s="5"/>
      <c r="I11" s="5"/>
      <c r="J11" s="5"/>
      <c r="K11" s="5"/>
      <c r="L11" s="5"/>
      <c r="M11" s="5"/>
      <c r="N11" s="5"/>
      <c r="O11" s="10"/>
      <c r="P11" s="11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5.75" customHeight="1">
      <c r="A12" s="13" t="s">
        <v>6</v>
      </c>
      <c r="B12" s="14" t="s">
        <v>7</v>
      </c>
      <c r="C12" s="15"/>
      <c r="D12" s="16"/>
      <c r="E12" s="17" t="s">
        <v>8</v>
      </c>
      <c r="F12" s="18"/>
      <c r="G12" s="5"/>
      <c r="H12" s="5"/>
      <c r="I12" s="5"/>
      <c r="J12" s="5"/>
      <c r="K12" s="5"/>
      <c r="L12" s="5"/>
      <c r="M12" s="5"/>
      <c r="N12" s="5"/>
      <c r="O12" s="5"/>
      <c r="P12" s="6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5.75" customHeight="1">
      <c r="A13" s="19" t="s">
        <v>9</v>
      </c>
      <c r="B13" s="20" t="s">
        <v>10</v>
      </c>
      <c r="C13" s="15"/>
      <c r="D13" s="16"/>
      <c r="E13" s="21"/>
      <c r="F13" s="18"/>
      <c r="G13" s="5"/>
      <c r="H13" s="5"/>
      <c r="I13" s="5"/>
      <c r="J13" s="5"/>
      <c r="K13" s="5"/>
      <c r="L13" s="5"/>
      <c r="M13" s="5"/>
      <c r="N13" s="5"/>
      <c r="O13" s="5"/>
      <c r="P13" s="6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5.75" customHeight="1">
      <c r="A14" s="18"/>
      <c r="B14" s="22" t="s">
        <v>11</v>
      </c>
      <c r="C14" s="23"/>
      <c r="D14" s="19" t="s">
        <v>12</v>
      </c>
      <c r="E14" s="24">
        <f>ALASBULUH!AG14+ALASREJO!U14+BAJULMATI!AD14+BANGSRING!W14+BENGKAK!Y14+BIMOREJO!R14+SIDODADI!U14+SIDOWANGI!P14+SUMBERANYAR!N14+SUMBERKENCONO!T14+WATUKEBO!Y14+WONGSOREJO!AM14</f>
        <v>29810</v>
      </c>
      <c r="F14" s="25"/>
      <c r="G14" s="1"/>
      <c r="H14" s="1"/>
      <c r="I14" s="1"/>
      <c r="J14" s="1"/>
      <c r="K14" s="1"/>
      <c r="L14" s="1"/>
      <c r="M14" s="1"/>
      <c r="N14" s="1"/>
      <c r="O14" s="1"/>
      <c r="P14" s="9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5.75" customHeight="1">
      <c r="A15" s="18"/>
      <c r="B15" s="26"/>
      <c r="C15" s="27"/>
      <c r="D15" s="19" t="s">
        <v>13</v>
      </c>
      <c r="E15" s="24">
        <f>ALASBULUH!AG15+ALASREJO!U15+BAJULMATI!AD15+BANGSRING!W15+BENGKAK!Y15+BIMOREJO!R15+SIDODADI!U15+SIDOWANGI!P15+SUMBERANYAR!N15+SUMBERKENCONO!T15+WATUKEBO!Y15+WONGSOREJO!AM15</f>
        <v>30473</v>
      </c>
      <c r="F15" s="18"/>
      <c r="G15" s="5"/>
      <c r="H15" s="5"/>
      <c r="I15" s="5"/>
      <c r="J15" s="5"/>
      <c r="K15" s="5"/>
      <c r="L15" s="5"/>
      <c r="M15" s="5"/>
      <c r="N15" s="5"/>
      <c r="O15" s="5"/>
      <c r="P15" s="6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5.75" customHeight="1">
      <c r="A16" s="25"/>
      <c r="B16" s="21"/>
      <c r="C16" s="28"/>
      <c r="D16" s="13" t="s">
        <v>14</v>
      </c>
      <c r="E16" s="29">
        <f>SUM(E14:E15)</f>
        <v>60283</v>
      </c>
      <c r="F16" s="18"/>
      <c r="G16" s="5"/>
      <c r="H16" s="5"/>
      <c r="I16" s="5"/>
      <c r="J16" s="5"/>
      <c r="K16" s="5"/>
      <c r="L16" s="5"/>
      <c r="M16" s="5"/>
      <c r="N16" s="5"/>
      <c r="O16" s="5"/>
      <c r="P16" s="6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5.75" customHeight="1">
      <c r="A17" s="24"/>
      <c r="B17" s="15"/>
      <c r="C17" s="15"/>
      <c r="D17" s="16"/>
      <c r="E17" s="24"/>
      <c r="F17" s="25"/>
      <c r="G17" s="1"/>
      <c r="H17" s="1"/>
      <c r="I17" s="1"/>
      <c r="J17" s="1"/>
      <c r="K17" s="1"/>
      <c r="L17" s="1"/>
      <c r="M17" s="1"/>
      <c r="N17" s="1"/>
      <c r="O17" s="1"/>
      <c r="P17" s="9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5.75" customHeight="1">
      <c r="A18" s="30" t="s">
        <v>15</v>
      </c>
      <c r="B18" s="20" t="s">
        <v>16</v>
      </c>
      <c r="C18" s="15"/>
      <c r="D18" s="16"/>
      <c r="E18" s="24"/>
      <c r="F18" s="18"/>
      <c r="G18" s="5"/>
      <c r="H18" s="5"/>
      <c r="I18" s="5"/>
      <c r="J18" s="5"/>
      <c r="K18" s="5"/>
      <c r="L18" s="5"/>
      <c r="M18" s="5"/>
      <c r="N18" s="5"/>
      <c r="O18" s="5"/>
      <c r="P18" s="6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5.75" customHeight="1">
      <c r="A19" s="30"/>
      <c r="B19" s="31" t="s">
        <v>17</v>
      </c>
      <c r="C19" s="32" t="s">
        <v>18</v>
      </c>
      <c r="D19" s="19" t="s">
        <v>12</v>
      </c>
      <c r="E19" s="24">
        <f>ALASBULUH!AG19+ALASREJO!U19+BAJULMATI!AD19+BANGSRING!W19+BENGKAK!Y19+BIMOREJO!R19+SIDODADI!U19+SIDOWANGI!P19+SUMBERANYAR!N19+SUMBERKENCONO!T19+WATUKEBO!Y19+WONGSOREJO!AM19</f>
        <v>22313</v>
      </c>
      <c r="F19" s="18"/>
      <c r="G19" s="5"/>
      <c r="H19" s="5"/>
      <c r="I19" s="5"/>
      <c r="J19" s="5"/>
      <c r="K19" s="5"/>
      <c r="L19" s="5"/>
      <c r="M19" s="5"/>
      <c r="N19" s="5"/>
      <c r="O19" s="5"/>
      <c r="P19" s="6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5.75" customHeight="1">
      <c r="A20" s="33"/>
      <c r="B20" s="27"/>
      <c r="C20" s="34"/>
      <c r="D20" s="19" t="s">
        <v>13</v>
      </c>
      <c r="E20" s="24">
        <f>ALASBULUH!AG20+ALASREJO!U20+BAJULMATI!AD20+BANGSRING!W20+BENGKAK!Y20+BIMOREJO!R20+SIDODADI!U20+SIDOWANGI!P20+SUMBERANYAR!N20+SUMBERKENCONO!T20+WATUKEBO!Y20+WONGSOREJO!AM20</f>
        <v>24225</v>
      </c>
      <c r="F20" s="25"/>
      <c r="G20" s="1"/>
      <c r="H20" s="1"/>
      <c r="I20" s="1"/>
      <c r="J20" s="1"/>
      <c r="K20" s="1"/>
      <c r="L20" s="1"/>
      <c r="M20" s="1"/>
      <c r="N20" s="1"/>
      <c r="O20" s="1"/>
      <c r="P20" s="9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35"/>
      <c r="B21" s="28"/>
      <c r="C21" s="36"/>
      <c r="D21" s="13" t="s">
        <v>14</v>
      </c>
      <c r="E21" s="29">
        <f>SUM(E19:E20)</f>
        <v>46538</v>
      </c>
      <c r="F21" s="25"/>
      <c r="G21" s="1"/>
      <c r="H21" s="1"/>
      <c r="I21" s="1"/>
      <c r="J21" s="1"/>
      <c r="K21" s="1"/>
      <c r="L21" s="1"/>
      <c r="M21" s="1"/>
      <c r="N21" s="1"/>
      <c r="O21" s="1"/>
      <c r="P21" s="9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33"/>
      <c r="B22" s="31" t="s">
        <v>19</v>
      </c>
      <c r="C22" s="32" t="s">
        <v>20</v>
      </c>
      <c r="D22" s="19" t="s">
        <v>12</v>
      </c>
      <c r="E22" s="24">
        <f>ALASBULUH!AG22+ALASREJO!U22+BAJULMATI!AD22+BANGSRING!W22+BENGKAK!Y22+BIMOREJO!R22+SIDODADI!U22+SIDOWANGI!P22+SUMBERANYAR!N22+SUMBERKENCONO!T22+WATUKEBO!Y22+WONGSOREJO!AM22</f>
        <v>40</v>
      </c>
      <c r="F22" s="25"/>
      <c r="G22" s="1"/>
      <c r="H22" s="1"/>
      <c r="I22" s="1"/>
      <c r="J22" s="1"/>
      <c r="K22" s="1"/>
      <c r="L22" s="1"/>
      <c r="M22" s="1"/>
      <c r="N22" s="1"/>
      <c r="O22" s="1"/>
      <c r="P22" s="9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33"/>
      <c r="B23" s="27"/>
      <c r="C23" s="34"/>
      <c r="D23" s="19" t="s">
        <v>13</v>
      </c>
      <c r="E23" s="24">
        <f>ALASBULUH!AG23+ALASREJO!U23+BAJULMATI!AD23+BANGSRING!W23+BENGKAK!Y23+BIMOREJO!R23+SIDODADI!U23+SIDOWANGI!P23+SUMBERANYAR!N23+SUMBERKENCONO!T23+WATUKEBO!Y23+WONGSOREJO!AM23</f>
        <v>28</v>
      </c>
      <c r="F23" s="25"/>
      <c r="G23" s="1"/>
      <c r="H23" s="1"/>
      <c r="I23" s="1"/>
      <c r="J23" s="1"/>
      <c r="K23" s="1"/>
      <c r="L23" s="1"/>
      <c r="M23" s="1"/>
      <c r="N23" s="1"/>
      <c r="O23" s="1"/>
      <c r="P23" s="9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35"/>
      <c r="B24" s="28"/>
      <c r="C24" s="36"/>
      <c r="D24" s="13" t="s">
        <v>14</v>
      </c>
      <c r="E24" s="29">
        <f>SUM(E22:E23)</f>
        <v>68</v>
      </c>
      <c r="F24" s="18"/>
      <c r="G24" s="5"/>
      <c r="H24" s="5"/>
      <c r="I24" s="5"/>
      <c r="J24" s="5"/>
      <c r="K24" s="5"/>
      <c r="L24" s="5"/>
      <c r="M24" s="5"/>
      <c r="N24" s="5"/>
      <c r="O24" s="10"/>
      <c r="P24" s="11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3"/>
      <c r="B25" s="31" t="s">
        <v>21</v>
      </c>
      <c r="C25" s="32" t="s">
        <v>22</v>
      </c>
      <c r="D25" s="19" t="s">
        <v>12</v>
      </c>
      <c r="E25" s="24">
        <f>ALASBULUH!AG25+ALASREJO!U25+BAJULMATI!AD25+BANGSRING!W25+BENGKAK!Y25+BIMOREJO!R25+SIDODADI!U25+SIDOWANGI!P25+SUMBERANYAR!N25+SUMBERKENCONO!T25+WATUKEBO!Y25+WONGSOREJO!AM25</f>
        <v>160</v>
      </c>
      <c r="F25" s="25"/>
      <c r="G25" s="1"/>
      <c r="H25" s="1"/>
      <c r="I25" s="1"/>
      <c r="J25" s="1"/>
      <c r="K25" s="1"/>
      <c r="L25" s="1"/>
      <c r="M25" s="1"/>
      <c r="N25" s="1"/>
      <c r="O25" s="2"/>
      <c r="P25" s="11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3"/>
      <c r="B26" s="27"/>
      <c r="C26" s="34"/>
      <c r="D26" s="19" t="s">
        <v>13</v>
      </c>
      <c r="E26" s="24">
        <f>ALASBULUH!AG26+ALASREJO!U26+BAJULMATI!AD26+BANGSRING!W26+BENGKAK!Y26+BIMOREJO!R26+SIDODADI!U26+SIDOWANGI!P26+SUMBERANYAR!N26+SUMBERKENCONO!T26+WATUKEBO!Y26+WONGSOREJO!AM26</f>
        <v>196</v>
      </c>
      <c r="F26" s="18"/>
      <c r="G26" s="5"/>
      <c r="H26" s="5"/>
      <c r="I26" s="5"/>
      <c r="J26" s="5"/>
      <c r="K26" s="5"/>
      <c r="L26" s="5"/>
      <c r="M26" s="5"/>
      <c r="N26" s="5"/>
      <c r="O26" s="5"/>
      <c r="P26" s="6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5.75" customHeight="1">
      <c r="A27" s="35"/>
      <c r="B27" s="28"/>
      <c r="C27" s="36"/>
      <c r="D27" s="13" t="s">
        <v>14</v>
      </c>
      <c r="E27" s="29">
        <f>SUM(E25:E26)</f>
        <v>356</v>
      </c>
      <c r="F27" s="25"/>
      <c r="G27" s="1"/>
      <c r="H27" s="1"/>
      <c r="I27" s="1"/>
      <c r="J27" s="1"/>
      <c r="K27" s="1"/>
      <c r="L27" s="1"/>
      <c r="M27" s="1"/>
      <c r="N27" s="1"/>
      <c r="O27" s="1"/>
      <c r="P27" s="9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35"/>
      <c r="B28" s="37" t="s">
        <v>23</v>
      </c>
      <c r="C28" s="38" t="s">
        <v>24</v>
      </c>
      <c r="D28" s="13" t="s">
        <v>12</v>
      </c>
      <c r="E28" s="29">
        <f t="shared" ref="E28:E29" si="1">E19+E22+E25</f>
        <v>22513</v>
      </c>
      <c r="F28" s="18"/>
      <c r="G28" s="5"/>
      <c r="H28" s="5"/>
      <c r="I28" s="5"/>
      <c r="J28" s="5"/>
      <c r="K28" s="5"/>
      <c r="L28" s="5"/>
      <c r="M28" s="5"/>
      <c r="N28" s="5"/>
      <c r="O28" s="5"/>
      <c r="P28" s="6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5.75" customHeight="1">
      <c r="A29" s="35"/>
      <c r="B29" s="27"/>
      <c r="C29" s="34"/>
      <c r="D29" s="13" t="s">
        <v>13</v>
      </c>
      <c r="E29" s="29">
        <f t="shared" si="1"/>
        <v>24449</v>
      </c>
      <c r="F29" s="25"/>
      <c r="G29" s="1"/>
      <c r="H29" s="1"/>
      <c r="I29" s="1"/>
      <c r="J29" s="1"/>
      <c r="K29" s="1"/>
      <c r="L29" s="1"/>
      <c r="M29" s="1"/>
      <c r="N29" s="1"/>
      <c r="O29" s="1"/>
      <c r="P29" s="9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35"/>
      <c r="B30" s="28"/>
      <c r="C30" s="36"/>
      <c r="D30" s="13" t="s">
        <v>14</v>
      </c>
      <c r="E30" s="29">
        <f>SUM(E28:E29)</f>
        <v>46962</v>
      </c>
      <c r="F30" s="39"/>
      <c r="G30" s="3"/>
      <c r="H30" s="3"/>
      <c r="I30" s="3"/>
      <c r="J30" s="3"/>
      <c r="K30" s="5"/>
      <c r="L30" s="5"/>
      <c r="M30" s="5"/>
      <c r="N30" s="5"/>
      <c r="O30" s="10"/>
      <c r="P30" s="11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24"/>
      <c r="B31" s="15"/>
      <c r="C31" s="15"/>
      <c r="D31" s="16"/>
      <c r="E31" s="40"/>
      <c r="F31" s="25"/>
      <c r="G31" s="1"/>
      <c r="H31" s="1"/>
      <c r="I31" s="1"/>
      <c r="J31" s="1"/>
      <c r="K31" s="1"/>
      <c r="L31" s="1"/>
      <c r="M31" s="1"/>
      <c r="N31" s="1"/>
      <c r="O31" s="2"/>
      <c r="P31" s="11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41" t="s">
        <v>25</v>
      </c>
      <c r="B32" s="14" t="s">
        <v>26</v>
      </c>
      <c r="C32" s="15"/>
      <c r="D32" s="16"/>
      <c r="E32" s="29"/>
      <c r="F32" s="18"/>
      <c r="G32" s="5"/>
      <c r="H32" s="5"/>
      <c r="I32" s="5"/>
      <c r="J32" s="5"/>
      <c r="K32" s="5"/>
      <c r="L32" s="5"/>
      <c r="M32" s="5"/>
      <c r="N32" s="5"/>
      <c r="O32" s="5"/>
      <c r="P32" s="6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5.75" customHeight="1">
      <c r="A33" s="19">
        <v>1.0</v>
      </c>
      <c r="B33" s="20" t="s">
        <v>27</v>
      </c>
      <c r="C33" s="15"/>
      <c r="D33" s="16"/>
      <c r="E33" s="24">
        <f>ALASBULUH!AG33+ALASREJO!U33+BAJULMATI!AD33+BANGSRING!W33+BENGKAK!Y33+BIMOREJO!R33+SIDODADI!U33+SIDOWANGI!P33+SUMBERANYAR!N33+SUMBERKENCONO!T33+WATUKEBO!Y33+WONGSOREJO!AM33</f>
        <v>61519</v>
      </c>
      <c r="F33" s="18"/>
      <c r="G33" s="5"/>
      <c r="H33" s="5"/>
      <c r="I33" s="5"/>
      <c r="J33" s="5"/>
      <c r="K33" s="5"/>
      <c r="L33" s="5"/>
      <c r="M33" s="5"/>
      <c r="N33" s="5"/>
      <c r="O33" s="5"/>
      <c r="P33" s="6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5.75" customHeight="1">
      <c r="A34" s="19">
        <v>2.0</v>
      </c>
      <c r="B34" s="20" t="s">
        <v>28</v>
      </c>
      <c r="C34" s="15"/>
      <c r="D34" s="16"/>
      <c r="E34" s="24">
        <f>ALASBULUH!AG34+ALASREJO!U34+BAJULMATI!AD34+BANGSRING!W34+BENGKAK!Y34+BIMOREJO!R34+SIDODADI!U34+SIDOWANGI!P34+SUMBERANYAR!N34+SUMBERKENCONO!T34+WATUKEBO!Y34+WONGSOREJO!AM34</f>
        <v>46962</v>
      </c>
      <c r="F34" s="25"/>
      <c r="G34" s="1"/>
      <c r="H34" s="1"/>
      <c r="I34" s="1"/>
      <c r="J34" s="1"/>
      <c r="K34" s="1"/>
      <c r="L34" s="1"/>
      <c r="M34" s="1"/>
      <c r="N34" s="1"/>
      <c r="O34" s="1"/>
      <c r="P34" s="9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19">
        <v>3.0</v>
      </c>
      <c r="B35" s="20" t="s">
        <v>29</v>
      </c>
      <c r="C35" s="15"/>
      <c r="D35" s="16"/>
      <c r="E35" s="24">
        <f>ALASBULUH!AG35+ALASREJO!U35+BAJULMATI!AD35+BANGSRING!W35+BENGKAK!Y35+BIMOREJO!R35+SIDODADI!U35+SIDOWANGI!P35+SUMBERANYAR!N35+SUMBERKENCONO!T35+WATUKEBO!Y35+WONGSOREJO!AM35</f>
        <v>92</v>
      </c>
      <c r="F35" s="39"/>
      <c r="G35" s="3"/>
      <c r="H35" s="3"/>
      <c r="I35" s="3"/>
      <c r="J35" s="3"/>
      <c r="K35" s="5"/>
      <c r="L35" s="5"/>
      <c r="M35" s="5"/>
      <c r="N35" s="5"/>
      <c r="O35" s="10"/>
      <c r="P35" s="11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19">
        <v>4.0</v>
      </c>
      <c r="B36" s="20" t="s">
        <v>30</v>
      </c>
      <c r="C36" s="15"/>
      <c r="D36" s="16"/>
      <c r="E36" s="29">
        <f>E33-(E34+E35)</f>
        <v>14465</v>
      </c>
      <c r="F36" s="25"/>
      <c r="G36" s="1"/>
      <c r="H36" s="1"/>
      <c r="I36" s="1"/>
      <c r="J36" s="1"/>
      <c r="K36" s="1"/>
      <c r="L36" s="1"/>
      <c r="M36" s="1"/>
      <c r="N36" s="1"/>
      <c r="O36" s="2"/>
      <c r="P36" s="11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24"/>
      <c r="B37" s="15"/>
      <c r="C37" s="15"/>
      <c r="D37" s="15"/>
      <c r="E37" s="15"/>
      <c r="F37" s="18"/>
      <c r="G37" s="5"/>
      <c r="H37" s="5"/>
      <c r="I37" s="5"/>
      <c r="J37" s="5"/>
      <c r="K37" s="5"/>
      <c r="L37" s="5"/>
      <c r="M37" s="5"/>
      <c r="N37" s="5"/>
      <c r="O37" s="10"/>
      <c r="P37" s="11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42" t="s">
        <v>31</v>
      </c>
      <c r="B38" s="14" t="s">
        <v>32</v>
      </c>
      <c r="C38" s="15"/>
      <c r="D38" s="16"/>
      <c r="E38" s="29"/>
      <c r="F38" s="18"/>
      <c r="G38" s="5"/>
      <c r="H38" s="5"/>
      <c r="I38" s="5"/>
      <c r="J38" s="5"/>
      <c r="K38" s="5"/>
      <c r="L38" s="5"/>
      <c r="M38" s="5"/>
      <c r="N38" s="5"/>
      <c r="O38" s="5"/>
      <c r="P38" s="6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5.75" customHeight="1">
      <c r="A39" s="30"/>
      <c r="B39" s="43" t="s">
        <v>33</v>
      </c>
      <c r="C39" s="23"/>
      <c r="D39" s="19" t="s">
        <v>12</v>
      </c>
      <c r="E39" s="24">
        <f>ALASBULUH!AG39+ALASREJO!U39+BAJULMATI!AD39+BANGSRING!W39+BENGKAK!Y39+BIMOREJO!R39+SIDODADI!U39+SIDOWANGI!P39+SUMBERANYAR!N39+SUMBERKENCONO!T39+WATUKEBO!Y39+WONGSOREJO!AM39</f>
        <v>10</v>
      </c>
      <c r="F39" s="18"/>
      <c r="G39" s="5"/>
      <c r="H39" s="5"/>
      <c r="I39" s="5"/>
      <c r="J39" s="5"/>
      <c r="K39" s="5"/>
      <c r="L39" s="5"/>
      <c r="M39" s="5"/>
      <c r="N39" s="5"/>
      <c r="O39" s="5"/>
      <c r="P39" s="6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5.75" customHeight="1">
      <c r="A40" s="33"/>
      <c r="C40" s="27"/>
      <c r="D40" s="19" t="s">
        <v>13</v>
      </c>
      <c r="E40" s="24">
        <f>ALASBULUH!AG40+ALASREJO!U40+BAJULMATI!AD40+BANGSRING!W40+BENGKAK!Y40+BIMOREJO!R40+SIDODADI!U40+SIDOWANGI!P40+SUMBERANYAR!N40+SUMBERKENCONO!T40+WATUKEBO!Y40+WONGSOREJO!AM40</f>
        <v>27</v>
      </c>
      <c r="F40" s="18"/>
      <c r="G40" s="5"/>
      <c r="H40" s="5"/>
      <c r="I40" s="5"/>
      <c r="J40" s="5"/>
      <c r="K40" s="5"/>
      <c r="L40" s="5"/>
      <c r="M40" s="5"/>
      <c r="N40" s="5"/>
      <c r="O40" s="5"/>
      <c r="P40" s="6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5.75" customHeight="1">
      <c r="A41" s="41"/>
      <c r="B41" s="44"/>
      <c r="C41" s="28"/>
      <c r="D41" s="13" t="s">
        <v>14</v>
      </c>
      <c r="E41" s="29">
        <f>SUM(E39:E40)</f>
        <v>37</v>
      </c>
      <c r="F41" s="18"/>
      <c r="G41" s="5"/>
      <c r="H41" s="5"/>
      <c r="I41" s="5"/>
      <c r="J41" s="5"/>
      <c r="K41" s="5"/>
      <c r="L41" s="5"/>
      <c r="M41" s="5"/>
      <c r="N41" s="5"/>
      <c r="O41" s="5"/>
      <c r="P41" s="6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5.75" customHeight="1">
      <c r="A42" s="45"/>
      <c r="B42" s="44"/>
      <c r="C42" s="44"/>
      <c r="D42" s="28"/>
      <c r="E42" s="24"/>
      <c r="F42" s="18"/>
      <c r="G42" s="5"/>
      <c r="H42" s="5"/>
      <c r="I42" s="5"/>
      <c r="J42" s="5"/>
      <c r="K42" s="5"/>
      <c r="L42" s="5"/>
      <c r="M42" s="5"/>
      <c r="N42" s="5"/>
      <c r="O42" s="5"/>
      <c r="P42" s="6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5.75" customHeight="1">
      <c r="A43" s="42" t="s">
        <v>34</v>
      </c>
      <c r="B43" s="14" t="s">
        <v>35</v>
      </c>
      <c r="C43" s="15"/>
      <c r="D43" s="16"/>
      <c r="E43" s="29"/>
      <c r="F43" s="18"/>
      <c r="G43" s="5"/>
      <c r="H43" s="5"/>
      <c r="I43" s="5"/>
      <c r="J43" s="5"/>
      <c r="K43" s="5"/>
      <c r="L43" s="5"/>
      <c r="M43" s="5"/>
      <c r="N43" s="5"/>
      <c r="O43" s="5"/>
      <c r="P43" s="6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5.75" customHeight="1">
      <c r="A44" s="43" t="s">
        <v>36</v>
      </c>
      <c r="B44" s="46"/>
      <c r="C44" s="46"/>
      <c r="D44" s="23"/>
      <c r="E44" s="24"/>
      <c r="F44" s="18"/>
      <c r="G44" s="5"/>
      <c r="H44" s="5"/>
      <c r="I44" s="5"/>
      <c r="J44" s="5"/>
      <c r="K44" s="5"/>
      <c r="L44" s="5"/>
      <c r="M44" s="5"/>
      <c r="N44" s="5"/>
      <c r="O44" s="5"/>
      <c r="P44" s="6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5.75" customHeight="1">
      <c r="A45" s="30" t="s">
        <v>37</v>
      </c>
      <c r="B45" s="47" t="s">
        <v>17</v>
      </c>
      <c r="C45" s="48" t="s">
        <v>38</v>
      </c>
      <c r="D45" s="16"/>
      <c r="E45" s="24">
        <f>ALASBULUH!AG45+ALASREJO!U45+BAJULMATI!AD45+BANGSRING!W45+BENGKAK!Y45+BIMOREJO!R45+SIDODADI!U45+SIDOWANGI!P45+SUMBERANYAR!N45+SUMBERKENCONO!T45+WATUKEBO!Y45+WONGSOREJO!AM45</f>
        <v>1710</v>
      </c>
      <c r="F45" s="25"/>
      <c r="G45" s="1"/>
      <c r="H45" s="1"/>
      <c r="I45" s="1"/>
      <c r="J45" s="1"/>
      <c r="K45" s="1"/>
      <c r="L45" s="1"/>
      <c r="M45" s="1"/>
      <c r="N45" s="1"/>
      <c r="O45" s="1"/>
      <c r="P45" s="9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30" t="s">
        <v>39</v>
      </c>
      <c r="B46" s="49">
        <v>1.0</v>
      </c>
      <c r="C46" s="50" t="s">
        <v>40</v>
      </c>
      <c r="D46" s="16"/>
      <c r="E46" s="24">
        <f>ALASBULUH!AG46+ALASREJO!U46+BAJULMATI!AD46+BANGSRING!W46+BENGKAK!Y46+BIMOREJO!R46+SIDODADI!U46+SIDOWANGI!P46+SUMBERANYAR!N46+SUMBERKENCONO!T46+WATUKEBO!Y46+WONGSOREJO!AM46</f>
        <v>2343</v>
      </c>
      <c r="F46" s="51"/>
      <c r="G46" s="52"/>
      <c r="H46" s="52"/>
      <c r="I46" s="52"/>
      <c r="J46" s="52"/>
      <c r="K46" s="52"/>
      <c r="L46" s="52"/>
      <c r="M46" s="52"/>
      <c r="N46" s="52"/>
      <c r="O46" s="52"/>
      <c r="P46" s="53"/>
      <c r="Q46" s="3"/>
      <c r="R46" s="3"/>
      <c r="S46" s="3"/>
      <c r="T46" s="3"/>
      <c r="U46" s="3"/>
      <c r="V46" s="3"/>
      <c r="W46" s="54"/>
      <c r="X46" s="3"/>
      <c r="Y46" s="3"/>
      <c r="Z46" s="3"/>
    </row>
    <row r="47" ht="15.75" customHeight="1">
      <c r="A47" s="18"/>
      <c r="B47" s="55">
        <v>2.0</v>
      </c>
      <c r="C47" s="50" t="s">
        <v>41</v>
      </c>
      <c r="D47" s="16"/>
      <c r="E47" s="24">
        <f>ALASBULUH!AG47+ALASREJO!U47+BAJULMATI!AD47+BANGSRING!W47+BENGKAK!Y47+BIMOREJO!R47+SIDODADI!U47+SIDOWANGI!P47+SUMBERANYAR!N47+SUMBERKENCONO!T47+WATUKEBO!Y47+WONGSOREJO!AM47</f>
        <v>2314</v>
      </c>
      <c r="F47" s="18"/>
      <c r="G47" s="5"/>
      <c r="H47" s="5"/>
      <c r="I47" s="5"/>
      <c r="J47" s="5"/>
      <c r="K47" s="5"/>
      <c r="L47" s="5"/>
      <c r="M47" s="5"/>
      <c r="N47" s="5"/>
      <c r="O47" s="5"/>
      <c r="P47" s="6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5.75" customHeight="1">
      <c r="A48" s="18"/>
      <c r="B48" s="55">
        <v>3.0</v>
      </c>
      <c r="C48" s="50" t="s">
        <v>42</v>
      </c>
      <c r="D48" s="16"/>
      <c r="E48" s="24">
        <f>ALASBULUH!AG48+ALASREJO!U48+BAJULMATI!AD48+BANGSRING!W48+BENGKAK!Y48+BIMOREJO!R48+SIDODADI!U48+SIDOWANGI!P48+SUMBERANYAR!N48+SUMBERKENCONO!T48+WATUKEBO!Y48+WONGSOREJO!AM48</f>
        <v>642</v>
      </c>
      <c r="F48" s="18"/>
      <c r="G48" s="5"/>
      <c r="H48" s="5"/>
      <c r="I48" s="5"/>
      <c r="J48" s="5"/>
      <c r="K48" s="5"/>
      <c r="L48" s="5"/>
      <c r="M48" s="5"/>
      <c r="N48" s="5"/>
      <c r="O48" s="5"/>
      <c r="P48" s="6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5.75" customHeight="1">
      <c r="A49" s="18"/>
      <c r="B49" s="55">
        <v>4.0</v>
      </c>
      <c r="C49" s="50" t="s">
        <v>43</v>
      </c>
      <c r="D49" s="16"/>
      <c r="E49" s="24">
        <f>ALASBULUH!AG49+ALASREJO!U49+BAJULMATI!AD49+BANGSRING!W49+BENGKAK!Y49+BIMOREJO!R49+SIDODADI!U49+SIDOWANGI!P49+SUMBERANYAR!N49+SUMBERKENCONO!T49+WATUKEBO!Y49+WONGSOREJO!AM49</f>
        <v>205</v>
      </c>
      <c r="F49" s="18"/>
      <c r="G49" s="5"/>
      <c r="H49" s="5"/>
      <c r="I49" s="5"/>
      <c r="J49" s="5"/>
      <c r="K49" s="5"/>
      <c r="L49" s="5"/>
      <c r="M49" s="5"/>
      <c r="N49" s="5"/>
      <c r="O49" s="5"/>
      <c r="P49" s="6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5.75" customHeight="1">
      <c r="A50" s="18"/>
      <c r="B50" s="55">
        <v>5.0</v>
      </c>
      <c r="C50" s="50" t="s">
        <v>44</v>
      </c>
      <c r="D50" s="16"/>
      <c r="E50" s="24">
        <f>ALASBULUH!AG50+ALASREJO!U50+BAJULMATI!AD50+BANGSRING!W50+BENGKAK!Y50+BIMOREJO!R50+SIDODADI!U50+SIDOWANGI!P50+SUMBERANYAR!N50+SUMBERKENCONO!T50+WATUKEBO!Y50+WONGSOREJO!AM50</f>
        <v>61</v>
      </c>
      <c r="F50" s="18"/>
      <c r="G50" s="5"/>
      <c r="H50" s="5"/>
      <c r="I50" s="5"/>
      <c r="J50" s="5"/>
      <c r="K50" s="5"/>
      <c r="L50" s="5"/>
      <c r="M50" s="5"/>
      <c r="N50" s="5"/>
      <c r="O50" s="5"/>
      <c r="P50" s="6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5.75" customHeight="1">
      <c r="A51" s="18"/>
      <c r="B51" s="55">
        <v>6.0</v>
      </c>
      <c r="C51" s="50" t="s">
        <v>45</v>
      </c>
      <c r="D51" s="16"/>
      <c r="E51" s="24">
        <f>ALASBULUH!AG51+ALASREJO!U51+BAJULMATI!AD51+BANGSRING!W51+BENGKAK!Y51+BIMOREJO!R51+SIDODADI!U51+SIDOWANGI!P51+SUMBERANYAR!N51+SUMBERKENCONO!T51+WATUKEBO!Y51+WONGSOREJO!AM51</f>
        <v>40</v>
      </c>
      <c r="F51" s="18"/>
      <c r="G51" s="5"/>
      <c r="H51" s="5"/>
      <c r="I51" s="5"/>
      <c r="J51" s="5"/>
      <c r="K51" s="5"/>
      <c r="L51" s="5"/>
      <c r="M51" s="5"/>
      <c r="N51" s="5"/>
      <c r="O51" s="5"/>
      <c r="P51" s="6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5.75" customHeight="1">
      <c r="A52" s="18"/>
      <c r="B52" s="55">
        <v>7.0</v>
      </c>
      <c r="C52" s="50" t="s">
        <v>46</v>
      </c>
      <c r="D52" s="16"/>
      <c r="E52" s="24">
        <f>ALASBULUH!AG52+ALASREJO!U52+BAJULMATI!AD52+BANGSRING!W52+BENGKAK!Y52+BIMOREJO!R52+SIDODADI!U52+SIDOWANGI!P52+SUMBERANYAR!N52+SUMBERKENCONO!T52+WATUKEBO!Y52+WONGSOREJO!AM52</f>
        <v>26</v>
      </c>
      <c r="F52" s="18"/>
      <c r="G52" s="5"/>
      <c r="H52" s="5"/>
      <c r="I52" s="5"/>
      <c r="J52" s="5"/>
      <c r="K52" s="5"/>
      <c r="L52" s="5"/>
      <c r="M52" s="5"/>
      <c r="N52" s="5"/>
      <c r="O52" s="5"/>
      <c r="P52" s="6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5.75" customHeight="1">
      <c r="A53" s="18"/>
      <c r="B53" s="56"/>
      <c r="C53" s="57"/>
      <c r="D53" s="57"/>
      <c r="E53" s="58"/>
      <c r="F53" s="18"/>
      <c r="G53" s="5"/>
      <c r="H53" s="5"/>
      <c r="I53" s="5"/>
      <c r="J53" s="5"/>
      <c r="K53" s="5"/>
      <c r="L53" s="5"/>
      <c r="M53" s="5"/>
      <c r="N53" s="5"/>
      <c r="O53" s="5"/>
      <c r="P53" s="6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5.75" customHeight="1">
      <c r="A54" s="18"/>
      <c r="B54" s="56"/>
      <c r="C54" s="57"/>
      <c r="D54" s="57"/>
      <c r="E54" s="58"/>
      <c r="F54" s="18"/>
      <c r="G54" s="5"/>
      <c r="H54" s="5"/>
      <c r="I54" s="5"/>
      <c r="J54" s="5"/>
      <c r="K54" s="5"/>
      <c r="L54" s="5"/>
      <c r="M54" s="5"/>
      <c r="N54" s="5"/>
      <c r="O54" s="5"/>
      <c r="P54" s="6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5.75" customHeight="1">
      <c r="A55" s="19" t="s">
        <v>15</v>
      </c>
      <c r="B55" s="47" t="s">
        <v>47</v>
      </c>
      <c r="C55" s="15"/>
      <c r="D55" s="16"/>
      <c r="E55" s="13">
        <f>SUM(E45:E52)</f>
        <v>7341</v>
      </c>
      <c r="F55" s="18"/>
      <c r="G55" s="5"/>
      <c r="H55" s="5"/>
      <c r="I55" s="5"/>
      <c r="J55" s="5"/>
      <c r="K55" s="5"/>
      <c r="L55" s="5"/>
      <c r="M55" s="5"/>
      <c r="N55" s="5"/>
      <c r="O55" s="5"/>
      <c r="P55" s="6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5.75" customHeight="1">
      <c r="A56" s="45"/>
      <c r="B56" s="44"/>
      <c r="C56" s="44"/>
      <c r="D56" s="44"/>
      <c r="E56" s="44"/>
      <c r="F56" s="18"/>
      <c r="G56" s="5"/>
      <c r="H56" s="5"/>
      <c r="I56" s="5"/>
      <c r="J56" s="5"/>
      <c r="K56" s="5"/>
      <c r="L56" s="5"/>
      <c r="M56" s="5"/>
      <c r="N56" s="5"/>
      <c r="O56" s="5"/>
      <c r="P56" s="6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5.75" customHeight="1">
      <c r="A57" s="30" t="s">
        <v>37</v>
      </c>
      <c r="B57" s="47" t="s">
        <v>19</v>
      </c>
      <c r="C57" s="48" t="s">
        <v>48</v>
      </c>
      <c r="D57" s="16"/>
      <c r="E57" s="24">
        <f>ALASBULUH!AG57+ALASREJO!U57+BAJULMATI!AD57+BANGSRING!W57+BENGKAK!Y57+BIMOREJO!R57+SIDODADI!U57+SIDOWANGI!P57+SUMBERANYAR!N57+SUMBERKENCONO!T57+WATUKEBO!Y57+WONGSOREJO!AM57</f>
        <v>2764</v>
      </c>
      <c r="F57" s="25"/>
      <c r="G57" s="1"/>
      <c r="H57" s="1"/>
      <c r="I57" s="1"/>
      <c r="J57" s="1"/>
      <c r="K57" s="1"/>
      <c r="L57" s="1"/>
      <c r="M57" s="1"/>
      <c r="N57" s="1"/>
      <c r="O57" s="1"/>
      <c r="P57" s="9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30" t="s">
        <v>39</v>
      </c>
      <c r="B58" s="55">
        <v>1.0</v>
      </c>
      <c r="C58" s="50" t="s">
        <v>49</v>
      </c>
      <c r="D58" s="59"/>
      <c r="E58" s="24">
        <f>ALASBULUH!AG58+ALASREJO!U58+BAJULMATI!AD58+BANGSRING!W58+BENGKAK!Y58+BIMOREJO!R58+SIDODADI!U58+SIDOWANGI!P58+SUMBERANYAR!N58+SUMBERKENCONO!T58+WATUKEBO!Y58+WONGSOREJO!AM58</f>
        <v>12287</v>
      </c>
      <c r="F58" s="51"/>
      <c r="G58" s="52"/>
      <c r="H58" s="52"/>
      <c r="I58" s="52"/>
      <c r="J58" s="52"/>
      <c r="K58" s="52"/>
      <c r="L58" s="52"/>
      <c r="M58" s="52"/>
      <c r="N58" s="52"/>
      <c r="O58" s="52"/>
      <c r="P58" s="53"/>
      <c r="Q58" s="3"/>
      <c r="R58" s="3"/>
      <c r="S58" s="3"/>
      <c r="T58" s="3"/>
      <c r="U58" s="3"/>
      <c r="V58" s="3"/>
      <c r="W58" s="54"/>
      <c r="X58" s="3"/>
      <c r="Y58" s="3"/>
      <c r="Z58" s="3"/>
    </row>
    <row r="59" ht="15.75" customHeight="1">
      <c r="A59" s="18"/>
      <c r="B59" s="55">
        <v>2.0</v>
      </c>
      <c r="C59" s="50" t="s">
        <v>50</v>
      </c>
      <c r="D59" s="59"/>
      <c r="E59" s="24">
        <f>ALASBULUH!AG59+ALASREJO!U59+BAJULMATI!AD59+BANGSRING!W59+BENGKAK!Y59+BIMOREJO!R59+SIDODADI!U59+SIDOWANGI!P59+SUMBERANYAR!N59+SUMBERKENCONO!T59+WATUKEBO!Y59+WONGSOREJO!AM59</f>
        <v>1242</v>
      </c>
      <c r="F59" s="18"/>
      <c r="G59" s="5"/>
      <c r="H59" s="5"/>
      <c r="I59" s="5"/>
      <c r="J59" s="5"/>
      <c r="K59" s="5"/>
      <c r="L59" s="5"/>
      <c r="M59" s="5"/>
      <c r="N59" s="5"/>
      <c r="O59" s="5"/>
      <c r="P59" s="6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5.75" customHeight="1">
      <c r="A60" s="18"/>
      <c r="B60" s="55">
        <v>3.0</v>
      </c>
      <c r="C60" s="50" t="s">
        <v>51</v>
      </c>
      <c r="D60" s="59"/>
      <c r="E60" s="24">
        <f>ALASBULUH!AG60+ALASREJO!U60+BAJULMATI!AD60+BANGSRING!W60+BENGKAK!Y60+BIMOREJO!R60+SIDODADI!U60+SIDOWANGI!P60+SUMBERANYAR!N60+SUMBERKENCONO!T60+WATUKEBO!Y60+WONGSOREJO!AM60</f>
        <v>136</v>
      </c>
      <c r="F60" s="18"/>
      <c r="G60" s="5"/>
      <c r="H60" s="5"/>
      <c r="I60" s="5"/>
      <c r="J60" s="5"/>
      <c r="K60" s="5"/>
      <c r="L60" s="5"/>
      <c r="M60" s="5"/>
      <c r="N60" s="5"/>
      <c r="O60" s="5"/>
      <c r="P60" s="6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5.75" customHeight="1">
      <c r="A61" s="18"/>
      <c r="B61" s="55">
        <v>4.0</v>
      </c>
      <c r="C61" s="50" t="s">
        <v>52</v>
      </c>
      <c r="D61" s="59"/>
      <c r="E61" s="24">
        <f>ALASBULUH!AG61+ALASREJO!U61+BAJULMATI!AD61+BANGSRING!W61+BENGKAK!Y61+BIMOREJO!R61+SIDODADI!U61+SIDOWANGI!P61+SUMBERANYAR!N61+SUMBERKENCONO!T61+WATUKEBO!Y61+WONGSOREJO!AM61</f>
        <v>122</v>
      </c>
      <c r="F61" s="18"/>
      <c r="G61" s="5"/>
      <c r="H61" s="5"/>
      <c r="I61" s="5"/>
      <c r="J61" s="5"/>
      <c r="K61" s="5"/>
      <c r="L61" s="5"/>
      <c r="M61" s="5"/>
      <c r="N61" s="5"/>
      <c r="O61" s="5"/>
      <c r="P61" s="6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5.75" customHeight="1">
      <c r="A62" s="18"/>
      <c r="B62" s="55">
        <v>5.0</v>
      </c>
      <c r="C62" s="50" t="s">
        <v>53</v>
      </c>
      <c r="D62" s="59"/>
      <c r="E62" s="24">
        <f>ALASBULUH!AG62+ALASREJO!U62+BAJULMATI!AD62+BANGSRING!W62+BENGKAK!Y62+BIMOREJO!R62+SIDODADI!U62+SIDOWANGI!P62+SUMBERANYAR!N62+SUMBERKENCONO!T62+WATUKEBO!Y62+WONGSOREJO!AM62</f>
        <v>37</v>
      </c>
      <c r="F62" s="18"/>
      <c r="G62" s="5"/>
      <c r="H62" s="5"/>
      <c r="I62" s="5"/>
      <c r="J62" s="5"/>
      <c r="K62" s="5"/>
      <c r="L62" s="5"/>
      <c r="M62" s="5"/>
      <c r="N62" s="5"/>
      <c r="O62" s="5"/>
      <c r="P62" s="6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5.75" customHeight="1">
      <c r="A63" s="18"/>
      <c r="B63" s="55">
        <v>6.0</v>
      </c>
      <c r="C63" s="50" t="s">
        <v>54</v>
      </c>
      <c r="D63" s="60"/>
      <c r="E63" s="24">
        <f>ALASBULUH!AG63+ALASREJO!U63+BAJULMATI!AD63+BANGSRING!W63+BENGKAK!Y63+BIMOREJO!R63+SIDODADI!U63+SIDOWANGI!P63+SUMBERANYAR!N63+SUMBERKENCONO!T63+WATUKEBO!Y63+WONGSOREJO!AM63</f>
        <v>64</v>
      </c>
      <c r="F63" s="18"/>
      <c r="G63" s="5"/>
      <c r="H63" s="5"/>
      <c r="I63" s="5"/>
      <c r="J63" s="5"/>
      <c r="K63" s="5"/>
      <c r="L63" s="5"/>
      <c r="M63" s="5"/>
      <c r="N63" s="5"/>
      <c r="O63" s="5"/>
      <c r="P63" s="6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5.75" customHeight="1">
      <c r="A64" s="18"/>
      <c r="B64" s="55">
        <v>7.0</v>
      </c>
      <c r="C64" s="50" t="s">
        <v>55</v>
      </c>
      <c r="D64" s="59"/>
      <c r="E64" s="24">
        <f>ALASBULUH!AG64+ALASREJO!U64+BAJULMATI!AD64+BANGSRING!W64+BENGKAK!Y64+BIMOREJO!R64+SIDODADI!U64+SIDOWANGI!P64+SUMBERANYAR!N64+SUMBERKENCONO!T64+WATUKEBO!Y64+WONGSOREJO!AM64</f>
        <v>26</v>
      </c>
      <c r="F64" s="18"/>
      <c r="G64" s="5"/>
      <c r="H64" s="5"/>
      <c r="I64" s="5"/>
      <c r="J64" s="5"/>
      <c r="K64" s="5"/>
      <c r="L64" s="5"/>
      <c r="M64" s="5"/>
      <c r="N64" s="5"/>
      <c r="O64" s="5"/>
      <c r="P64" s="6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5.75" customHeight="1">
      <c r="A65" s="18"/>
      <c r="B65" s="56"/>
      <c r="C65" s="57"/>
      <c r="D65" s="61"/>
      <c r="E65" s="58"/>
      <c r="F65" s="18"/>
      <c r="G65" s="5"/>
      <c r="H65" s="5"/>
      <c r="I65" s="5"/>
      <c r="J65" s="5"/>
      <c r="K65" s="5"/>
      <c r="L65" s="5"/>
      <c r="M65" s="5"/>
      <c r="N65" s="5"/>
      <c r="O65" s="5"/>
      <c r="P65" s="6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5.75" customHeight="1">
      <c r="A66" s="18"/>
      <c r="B66" s="56"/>
      <c r="C66" s="57"/>
      <c r="D66" s="61"/>
      <c r="E66" s="58"/>
      <c r="F66" s="18"/>
      <c r="G66" s="5"/>
      <c r="H66" s="5"/>
      <c r="I66" s="5"/>
      <c r="J66" s="5"/>
      <c r="K66" s="5"/>
      <c r="L66" s="5"/>
      <c r="M66" s="5"/>
      <c r="N66" s="5"/>
      <c r="O66" s="5"/>
      <c r="P66" s="6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5.75" customHeight="1">
      <c r="A67" s="19" t="s">
        <v>15</v>
      </c>
      <c r="B67" s="47" t="s">
        <v>47</v>
      </c>
      <c r="C67" s="15"/>
      <c r="D67" s="16"/>
      <c r="E67" s="13">
        <f>SUM(E57:E64)</f>
        <v>16678</v>
      </c>
      <c r="F67" s="18"/>
      <c r="G67" s="5"/>
      <c r="H67" s="5"/>
      <c r="I67" s="5"/>
      <c r="J67" s="5"/>
      <c r="K67" s="5"/>
      <c r="L67" s="5"/>
      <c r="M67" s="5"/>
      <c r="N67" s="5"/>
      <c r="O67" s="5"/>
      <c r="P67" s="6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5.75" customHeight="1">
      <c r="A68" s="45"/>
      <c r="B68" s="44"/>
      <c r="C68" s="44"/>
      <c r="D68" s="44"/>
      <c r="E68" s="44"/>
      <c r="F68" s="18"/>
      <c r="G68" s="5"/>
      <c r="H68" s="5"/>
      <c r="I68" s="5"/>
      <c r="J68" s="5"/>
      <c r="K68" s="5"/>
      <c r="L68" s="5"/>
      <c r="M68" s="5"/>
      <c r="N68" s="5"/>
      <c r="O68" s="5"/>
      <c r="P68" s="6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5.75" customHeight="1">
      <c r="A69" s="30" t="s">
        <v>37</v>
      </c>
      <c r="B69" s="47" t="s">
        <v>21</v>
      </c>
      <c r="C69" s="48" t="s">
        <v>56</v>
      </c>
      <c r="D69" s="16"/>
      <c r="E69" s="24">
        <f>ALASBULUH!AG69+ALASREJO!U69+BAJULMATI!AD69+BANGSRING!W69+BENGKAK!Y69+BIMOREJO!R69+SIDODADI!U69+SIDOWANGI!P69+SUMBERANYAR!N69+SUMBERKENCONO!T69+WATUKEBO!Y69+WONGSOREJO!AM69</f>
        <v>1078</v>
      </c>
      <c r="F69" s="25"/>
      <c r="G69" s="1"/>
      <c r="H69" s="1"/>
      <c r="I69" s="1"/>
      <c r="J69" s="1"/>
      <c r="K69" s="1"/>
      <c r="L69" s="1"/>
      <c r="M69" s="1"/>
      <c r="N69" s="1"/>
      <c r="O69" s="1"/>
      <c r="P69" s="9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30" t="s">
        <v>39</v>
      </c>
      <c r="B70" s="55">
        <v>1.0</v>
      </c>
      <c r="C70" s="50" t="s">
        <v>57</v>
      </c>
      <c r="D70" s="60"/>
      <c r="E70" s="24">
        <f>ALASBULUH!AG70+ALASREJO!U70+BAJULMATI!AD70+BANGSRING!W70+BENGKAK!Y70+BIMOREJO!R70+SIDODADI!U70+SIDOWANGI!P70+SUMBERANYAR!N70+SUMBERKENCONO!T70+WATUKEBO!Y70+WONGSOREJO!AM70</f>
        <v>1008</v>
      </c>
      <c r="F70" s="51"/>
      <c r="G70" s="52"/>
      <c r="H70" s="52"/>
      <c r="I70" s="52"/>
      <c r="J70" s="52"/>
      <c r="K70" s="52"/>
      <c r="L70" s="52"/>
      <c r="M70" s="52"/>
      <c r="N70" s="52"/>
      <c r="O70" s="52"/>
      <c r="P70" s="53"/>
      <c r="Q70" s="3"/>
      <c r="R70" s="3"/>
      <c r="S70" s="3"/>
      <c r="T70" s="3"/>
      <c r="U70" s="3"/>
      <c r="V70" s="3"/>
      <c r="W70" s="54"/>
      <c r="X70" s="3"/>
      <c r="Y70" s="3"/>
      <c r="Z70" s="3"/>
    </row>
    <row r="71" ht="15.75" customHeight="1">
      <c r="A71" s="18"/>
      <c r="B71" s="55">
        <v>2.0</v>
      </c>
      <c r="C71" s="50" t="s">
        <v>58</v>
      </c>
      <c r="D71" s="60"/>
      <c r="E71" s="24">
        <f>ALASBULUH!AG71+ALASREJO!U71+BAJULMATI!AD71+BANGSRING!W71+BENGKAK!Y71+BIMOREJO!R71+SIDODADI!U71+SIDOWANGI!P71+SUMBERANYAR!N71+SUMBERKENCONO!T71+WATUKEBO!Y71+WONGSOREJO!AM71</f>
        <v>528</v>
      </c>
      <c r="F71" s="18"/>
      <c r="G71" s="5"/>
      <c r="H71" s="5"/>
      <c r="I71" s="5"/>
      <c r="J71" s="5"/>
      <c r="K71" s="5"/>
      <c r="L71" s="5"/>
      <c r="M71" s="5"/>
      <c r="N71" s="5"/>
      <c r="O71" s="5"/>
      <c r="P71" s="6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5.75" customHeight="1">
      <c r="A72" s="18"/>
      <c r="B72" s="55">
        <v>3.0</v>
      </c>
      <c r="C72" s="50" t="s">
        <v>59</v>
      </c>
      <c r="D72" s="60"/>
      <c r="E72" s="24">
        <f>ALASBULUH!AG72+ALASREJO!U72+BAJULMATI!AD72+BANGSRING!W72+BENGKAK!Y72+BIMOREJO!R72+SIDODADI!U72+SIDOWANGI!P72+SUMBERANYAR!N72+SUMBERKENCONO!T72+WATUKEBO!Y72+WONGSOREJO!AM72</f>
        <v>603</v>
      </c>
      <c r="F72" s="18"/>
      <c r="G72" s="5"/>
      <c r="H72" s="5"/>
      <c r="I72" s="5"/>
      <c r="J72" s="5"/>
      <c r="K72" s="5"/>
      <c r="L72" s="5"/>
      <c r="M72" s="5"/>
      <c r="N72" s="5"/>
      <c r="O72" s="5"/>
      <c r="P72" s="6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5.75" customHeight="1">
      <c r="A73" s="18"/>
      <c r="B73" s="55">
        <v>4.0</v>
      </c>
      <c r="C73" s="50" t="s">
        <v>60</v>
      </c>
      <c r="D73" s="60"/>
      <c r="E73" s="24">
        <f>ALASBULUH!AG73+ALASREJO!U73+BAJULMATI!AD73+BANGSRING!W73+BENGKAK!Y73+BIMOREJO!R73+SIDODADI!U73+SIDOWANGI!P73+SUMBERANYAR!N73+SUMBERKENCONO!T73+WATUKEBO!Y73+WONGSOREJO!AM73</f>
        <v>76</v>
      </c>
      <c r="F73" s="18"/>
      <c r="G73" s="5"/>
      <c r="H73" s="5"/>
      <c r="I73" s="5"/>
      <c r="J73" s="5"/>
      <c r="K73" s="5"/>
      <c r="L73" s="5"/>
      <c r="M73" s="5"/>
      <c r="N73" s="5"/>
      <c r="O73" s="5"/>
      <c r="P73" s="6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5.75" customHeight="1">
      <c r="A74" s="18"/>
      <c r="B74" s="55">
        <v>5.0</v>
      </c>
      <c r="C74" s="50" t="s">
        <v>61</v>
      </c>
      <c r="D74" s="60"/>
      <c r="E74" s="24">
        <f>ALASBULUH!AG74+ALASREJO!U74+BAJULMATI!AD74+BANGSRING!W74+BENGKAK!Y74+BIMOREJO!R74+SIDODADI!U74+SIDOWANGI!P74+SUMBERANYAR!N74+SUMBERKENCONO!T74+WATUKEBO!Y74+WONGSOREJO!AM74</f>
        <v>181</v>
      </c>
      <c r="F74" s="18"/>
      <c r="G74" s="5"/>
      <c r="H74" s="5"/>
      <c r="I74" s="5"/>
      <c r="J74" s="5"/>
      <c r="K74" s="5"/>
      <c r="L74" s="5"/>
      <c r="M74" s="5"/>
      <c r="N74" s="5"/>
      <c r="O74" s="5"/>
      <c r="P74" s="6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5.75" customHeight="1">
      <c r="A75" s="18"/>
      <c r="B75" s="55">
        <v>6.0</v>
      </c>
      <c r="C75" s="50" t="s">
        <v>62</v>
      </c>
      <c r="D75" s="60"/>
      <c r="E75" s="24">
        <f>ALASBULUH!AG75+ALASREJO!U75+BAJULMATI!AD75+BANGSRING!W75+BENGKAK!Y75+BIMOREJO!R75+SIDODADI!U75+SIDOWANGI!P75+SUMBERANYAR!N75+SUMBERKENCONO!T75+WATUKEBO!Y75+WONGSOREJO!AM75</f>
        <v>108</v>
      </c>
      <c r="F75" s="18"/>
      <c r="G75" s="5"/>
      <c r="H75" s="5"/>
      <c r="I75" s="5"/>
      <c r="J75" s="5"/>
      <c r="K75" s="5"/>
      <c r="L75" s="5"/>
      <c r="M75" s="5"/>
      <c r="N75" s="5"/>
      <c r="O75" s="5"/>
      <c r="P75" s="6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5.75" customHeight="1">
      <c r="A76" s="18"/>
      <c r="B76" s="55">
        <v>7.0</v>
      </c>
      <c r="C76" s="50" t="s">
        <v>63</v>
      </c>
      <c r="D76" s="60"/>
      <c r="E76" s="24">
        <f>ALASBULUH!AG76+ALASREJO!U76+BAJULMATI!AD76+BANGSRING!W76+BENGKAK!Y76+BIMOREJO!R76+SIDODADI!U76+SIDOWANGI!P76+SUMBERANYAR!N76+SUMBERKENCONO!T76+WATUKEBO!Y76+WONGSOREJO!AM76</f>
        <v>1981</v>
      </c>
      <c r="F76" s="18"/>
      <c r="G76" s="5"/>
      <c r="H76" s="5"/>
      <c r="I76" s="5"/>
      <c r="J76" s="5"/>
      <c r="K76" s="5"/>
      <c r="L76" s="5"/>
      <c r="M76" s="5"/>
      <c r="N76" s="5"/>
      <c r="O76" s="5"/>
      <c r="P76" s="6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5.75" customHeight="1">
      <c r="A77" s="18"/>
      <c r="B77" s="56"/>
      <c r="C77" s="57"/>
      <c r="D77" s="62"/>
      <c r="E77" s="58"/>
      <c r="F77" s="18"/>
      <c r="G77" s="5"/>
      <c r="H77" s="5"/>
      <c r="I77" s="5"/>
      <c r="J77" s="5"/>
      <c r="K77" s="5"/>
      <c r="L77" s="5"/>
      <c r="M77" s="5"/>
      <c r="N77" s="5"/>
      <c r="O77" s="5"/>
      <c r="P77" s="6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5.75" customHeight="1">
      <c r="A78" s="18"/>
      <c r="B78" s="56"/>
      <c r="C78" s="57"/>
      <c r="D78" s="62"/>
      <c r="E78" s="58"/>
      <c r="F78" s="18"/>
      <c r="G78" s="5"/>
      <c r="H78" s="5"/>
      <c r="I78" s="5"/>
      <c r="J78" s="5"/>
      <c r="K78" s="5"/>
      <c r="L78" s="5"/>
      <c r="M78" s="5"/>
      <c r="N78" s="5"/>
      <c r="O78" s="5"/>
      <c r="P78" s="6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5.75" customHeight="1">
      <c r="A79" s="19" t="s">
        <v>15</v>
      </c>
      <c r="B79" s="47" t="s">
        <v>47</v>
      </c>
      <c r="C79" s="15"/>
      <c r="D79" s="16"/>
      <c r="E79" s="13">
        <f>SUM(E69:E76)</f>
        <v>5563</v>
      </c>
      <c r="F79" s="18"/>
      <c r="G79" s="5"/>
      <c r="H79" s="5"/>
      <c r="I79" s="5"/>
      <c r="J79" s="5"/>
      <c r="K79" s="5"/>
      <c r="L79" s="5"/>
      <c r="M79" s="5"/>
      <c r="N79" s="5"/>
      <c r="O79" s="5"/>
      <c r="P79" s="6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5.75" customHeight="1">
      <c r="A80" s="45"/>
      <c r="B80" s="44"/>
      <c r="C80" s="44"/>
      <c r="D80" s="44"/>
      <c r="E80" s="44"/>
      <c r="F80" s="18"/>
      <c r="G80" s="5"/>
      <c r="H80" s="5"/>
      <c r="I80" s="5"/>
      <c r="J80" s="5"/>
      <c r="K80" s="5"/>
      <c r="L80" s="5"/>
      <c r="M80" s="5"/>
      <c r="N80" s="5"/>
      <c r="O80" s="5"/>
      <c r="P80" s="6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5.75" customHeight="1">
      <c r="A81" s="30" t="s">
        <v>37</v>
      </c>
      <c r="B81" s="47" t="s">
        <v>23</v>
      </c>
      <c r="C81" s="48" t="s">
        <v>64</v>
      </c>
      <c r="D81" s="16"/>
      <c r="E81" s="24">
        <f>ALASBULUH!AG81+ALASREJO!U81+BAJULMATI!AD81+BANGSRING!W81+BENGKAK!Y81+BIMOREJO!R81+SIDODADI!U81+SIDOWANGI!P81+SUMBERANYAR!N81+SUMBERKENCONO!T81+WATUKEBO!Y81+WONGSOREJO!AM81</f>
        <v>515</v>
      </c>
      <c r="F81" s="25"/>
      <c r="G81" s="1"/>
      <c r="H81" s="1"/>
      <c r="I81" s="1"/>
      <c r="J81" s="1"/>
      <c r="K81" s="1"/>
      <c r="L81" s="1"/>
      <c r="M81" s="1"/>
      <c r="N81" s="1"/>
      <c r="O81" s="1"/>
      <c r="P81" s="9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30" t="s">
        <v>39</v>
      </c>
      <c r="B82" s="55">
        <v>1.0</v>
      </c>
      <c r="C82" s="50" t="s">
        <v>65</v>
      </c>
      <c r="D82" s="60"/>
      <c r="E82" s="24">
        <f>ALASBULUH!AG82+ALASREJO!U82+BAJULMATI!AD82+BANGSRING!W82+BENGKAK!Y82+BIMOREJO!R82+SIDODADI!U82+SIDOWANGI!P82+SUMBERANYAR!N82+SUMBERKENCONO!T82+WATUKEBO!Y82+WONGSOREJO!AM82</f>
        <v>1628</v>
      </c>
      <c r="F82" s="51"/>
      <c r="G82" s="52"/>
      <c r="H82" s="52"/>
      <c r="I82" s="52"/>
      <c r="J82" s="52"/>
      <c r="K82" s="52"/>
      <c r="L82" s="52"/>
      <c r="M82" s="52"/>
      <c r="N82" s="52"/>
      <c r="O82" s="52"/>
      <c r="P82" s="53"/>
      <c r="Q82" s="3"/>
      <c r="R82" s="3"/>
      <c r="S82" s="3"/>
      <c r="T82" s="3"/>
      <c r="U82" s="3"/>
      <c r="V82" s="3"/>
      <c r="W82" s="54"/>
      <c r="X82" s="3"/>
      <c r="Y82" s="3"/>
      <c r="Z82" s="3"/>
    </row>
    <row r="83" ht="15.75" customHeight="1">
      <c r="A83" s="18"/>
      <c r="B83" s="55">
        <v>2.0</v>
      </c>
      <c r="C83" s="50" t="s">
        <v>66</v>
      </c>
      <c r="D83" s="60"/>
      <c r="E83" s="24">
        <f>ALASBULUH!AG83+ALASREJO!U83+BAJULMATI!AD83+BANGSRING!W83+BENGKAK!Y83+BIMOREJO!R83+SIDODADI!U83+SIDOWANGI!P83+SUMBERANYAR!N83+SUMBERKENCONO!T83+WATUKEBO!Y83+WONGSOREJO!AM83</f>
        <v>381</v>
      </c>
      <c r="F83" s="18"/>
      <c r="G83" s="5"/>
      <c r="H83" s="5"/>
      <c r="I83" s="5"/>
      <c r="J83" s="5"/>
      <c r="K83" s="5"/>
      <c r="L83" s="5"/>
      <c r="M83" s="5"/>
      <c r="N83" s="5"/>
      <c r="O83" s="5"/>
      <c r="P83" s="6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5.75" customHeight="1">
      <c r="A84" s="18"/>
      <c r="B84" s="55">
        <v>3.0</v>
      </c>
      <c r="C84" s="50" t="s">
        <v>67</v>
      </c>
      <c r="D84" s="60"/>
      <c r="E84" s="24">
        <f>ALASBULUH!AG84+ALASREJO!U84+BAJULMATI!AD84+BANGSRING!W84+BENGKAK!Y84+BIMOREJO!R84+SIDODADI!U84+SIDOWANGI!P84+SUMBERANYAR!N84+SUMBERKENCONO!T84+WATUKEBO!Y84+WONGSOREJO!AM84</f>
        <v>61</v>
      </c>
      <c r="F84" s="18"/>
      <c r="G84" s="5"/>
      <c r="H84" s="5"/>
      <c r="I84" s="5"/>
      <c r="J84" s="5"/>
      <c r="K84" s="5"/>
      <c r="L84" s="5"/>
      <c r="M84" s="5"/>
      <c r="N84" s="5"/>
      <c r="O84" s="5"/>
      <c r="P84" s="6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5.75" customHeight="1">
      <c r="A85" s="18"/>
      <c r="B85" s="55">
        <v>4.0</v>
      </c>
      <c r="C85" s="50" t="s">
        <v>68</v>
      </c>
      <c r="D85" s="60"/>
      <c r="E85" s="24">
        <f>ALASBULUH!AG85+ALASREJO!U85+BAJULMATI!AD85+BANGSRING!W85+BENGKAK!Y85+BIMOREJO!R85+SIDODADI!U85+SIDOWANGI!P85+SUMBERANYAR!N85+SUMBERKENCONO!T85+WATUKEBO!Y85+WONGSOREJO!AM85</f>
        <v>141</v>
      </c>
      <c r="F85" s="18"/>
      <c r="G85" s="5"/>
      <c r="H85" s="5"/>
      <c r="I85" s="5"/>
      <c r="J85" s="5"/>
      <c r="K85" s="5"/>
      <c r="L85" s="5"/>
      <c r="M85" s="5"/>
      <c r="N85" s="5"/>
      <c r="O85" s="5"/>
      <c r="P85" s="6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5.75" customHeight="1">
      <c r="A86" s="18"/>
      <c r="B86" s="55">
        <v>5.0</v>
      </c>
      <c r="C86" s="50" t="s">
        <v>69</v>
      </c>
      <c r="D86" s="60"/>
      <c r="E86" s="24">
        <f>ALASBULUH!AG86+ALASREJO!U86+BAJULMATI!AD86+BANGSRING!W86+BENGKAK!Y86+BIMOREJO!R86+SIDODADI!U86+SIDOWANGI!P86+SUMBERANYAR!N86+SUMBERKENCONO!T86+WATUKEBO!Y86+WONGSOREJO!AM86</f>
        <v>42</v>
      </c>
      <c r="F86" s="18"/>
      <c r="G86" s="5"/>
      <c r="H86" s="5"/>
      <c r="I86" s="5"/>
      <c r="J86" s="5"/>
      <c r="K86" s="5"/>
      <c r="L86" s="5"/>
      <c r="M86" s="5"/>
      <c r="N86" s="5"/>
      <c r="O86" s="5"/>
      <c r="P86" s="6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5.75" customHeight="1">
      <c r="A87" s="18"/>
      <c r="B87" s="55">
        <v>6.0</v>
      </c>
      <c r="C87" s="50" t="s">
        <v>70</v>
      </c>
      <c r="D87" s="60"/>
      <c r="E87" s="24">
        <f>ALASBULUH!AG87+ALASREJO!U87+BAJULMATI!AD87+BANGSRING!W87+BENGKAK!Y87+BIMOREJO!R87+SIDODADI!U87+SIDOWANGI!P87+SUMBERANYAR!N87+SUMBERKENCONO!T87+WATUKEBO!Y87+WONGSOREJO!AM87</f>
        <v>9</v>
      </c>
      <c r="F87" s="18"/>
      <c r="G87" s="5"/>
      <c r="H87" s="5"/>
      <c r="I87" s="5"/>
      <c r="J87" s="5"/>
      <c r="K87" s="5"/>
      <c r="L87" s="5"/>
      <c r="M87" s="5"/>
      <c r="N87" s="5"/>
      <c r="O87" s="5"/>
      <c r="P87" s="6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5.75" customHeight="1">
      <c r="A88" s="18"/>
      <c r="B88" s="55">
        <v>7.0</v>
      </c>
      <c r="C88" s="50" t="s">
        <v>71</v>
      </c>
      <c r="D88" s="60"/>
      <c r="E88" s="24">
        <f>ALASBULUH!AG88+ALASREJO!U88+BAJULMATI!AD88+BANGSRING!W88+BENGKAK!Y88+BIMOREJO!R88+SIDODADI!U88+SIDOWANGI!P88+SUMBERANYAR!N88+SUMBERKENCONO!T88+WATUKEBO!Y88+WONGSOREJO!AM88</f>
        <v>12</v>
      </c>
      <c r="F88" s="18"/>
      <c r="G88" s="5"/>
      <c r="H88" s="5"/>
      <c r="I88" s="5"/>
      <c r="J88" s="5"/>
      <c r="K88" s="5"/>
      <c r="L88" s="5"/>
      <c r="M88" s="5"/>
      <c r="N88" s="5"/>
      <c r="O88" s="5"/>
      <c r="P88" s="6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5.75" customHeight="1">
      <c r="A89" s="18"/>
      <c r="B89" s="56"/>
      <c r="C89" s="57"/>
      <c r="D89" s="62"/>
      <c r="E89" s="58"/>
      <c r="F89" s="18"/>
      <c r="G89" s="5"/>
      <c r="H89" s="5"/>
      <c r="I89" s="5"/>
      <c r="J89" s="5"/>
      <c r="K89" s="5"/>
      <c r="L89" s="5"/>
      <c r="M89" s="5"/>
      <c r="N89" s="5"/>
      <c r="O89" s="5"/>
      <c r="P89" s="6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5.75" customHeight="1">
      <c r="A90" s="18"/>
      <c r="B90" s="56"/>
      <c r="C90" s="57"/>
      <c r="D90" s="62"/>
      <c r="E90" s="58"/>
      <c r="F90" s="18"/>
      <c r="G90" s="5"/>
      <c r="H90" s="5"/>
      <c r="I90" s="5"/>
      <c r="J90" s="5"/>
      <c r="K90" s="5"/>
      <c r="L90" s="5"/>
      <c r="M90" s="5"/>
      <c r="N90" s="5"/>
      <c r="O90" s="5"/>
      <c r="P90" s="6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5.75" customHeight="1">
      <c r="A91" s="19" t="s">
        <v>15</v>
      </c>
      <c r="B91" s="47" t="s">
        <v>47</v>
      </c>
      <c r="C91" s="15"/>
      <c r="D91" s="16"/>
      <c r="E91" s="13">
        <f>SUM(E81:E88)</f>
        <v>2789</v>
      </c>
      <c r="F91" s="18"/>
      <c r="G91" s="5"/>
      <c r="H91" s="5"/>
      <c r="I91" s="5"/>
      <c r="J91" s="5"/>
      <c r="K91" s="5"/>
      <c r="L91" s="5"/>
      <c r="M91" s="5"/>
      <c r="N91" s="5"/>
      <c r="O91" s="5"/>
      <c r="P91" s="6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5.75" customHeight="1">
      <c r="A92" s="45"/>
      <c r="B92" s="44"/>
      <c r="C92" s="44"/>
      <c r="D92" s="44"/>
      <c r="E92" s="44"/>
      <c r="F92" s="18"/>
      <c r="G92" s="5"/>
      <c r="H92" s="5"/>
      <c r="I92" s="5"/>
      <c r="J92" s="5"/>
      <c r="K92" s="5"/>
      <c r="L92" s="5"/>
      <c r="M92" s="5"/>
      <c r="N92" s="5"/>
      <c r="O92" s="5"/>
      <c r="P92" s="6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5.75" customHeight="1">
      <c r="A93" s="30" t="s">
        <v>37</v>
      </c>
      <c r="B93" s="47" t="s">
        <v>72</v>
      </c>
      <c r="C93" s="48" t="s">
        <v>73</v>
      </c>
      <c r="D93" s="16"/>
      <c r="E93" s="24">
        <f>ALASBULUH!AG93+ALASREJO!U93+BAJULMATI!AD93+BANGSRING!W93+BENGKAK!Y93+BIMOREJO!R93+SIDODADI!U93+SIDOWANGI!P93+SUMBERANYAR!N93+SUMBERKENCONO!T93+WATUKEBO!Y93+WONGSOREJO!AM93</f>
        <v>201</v>
      </c>
      <c r="F93" s="25"/>
      <c r="G93" s="1"/>
      <c r="H93" s="1"/>
      <c r="I93" s="1"/>
      <c r="J93" s="1"/>
      <c r="K93" s="1"/>
      <c r="L93" s="1"/>
      <c r="M93" s="1"/>
      <c r="N93" s="1"/>
      <c r="O93" s="1"/>
      <c r="P93" s="9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30" t="s">
        <v>39</v>
      </c>
      <c r="B94" s="55">
        <v>1.0</v>
      </c>
      <c r="C94" s="50" t="s">
        <v>74</v>
      </c>
      <c r="D94" s="60"/>
      <c r="E94" s="24">
        <f>ALASBULUH!AG94+ALASREJO!U94+BAJULMATI!AD94+BANGSRING!W94+BENGKAK!Y94+BIMOREJO!R94+SIDODADI!U94+SIDOWANGI!P94+SUMBERANYAR!N94+SUMBERKENCONO!T94+WATUKEBO!Y94+WONGSOREJO!AM94</f>
        <v>426</v>
      </c>
      <c r="F94" s="51"/>
      <c r="G94" s="52"/>
      <c r="H94" s="52"/>
      <c r="I94" s="52"/>
      <c r="J94" s="52"/>
      <c r="K94" s="52"/>
      <c r="L94" s="52"/>
      <c r="M94" s="52"/>
      <c r="N94" s="52"/>
      <c r="O94" s="52"/>
      <c r="P94" s="53"/>
      <c r="Q94" s="3"/>
      <c r="R94" s="3"/>
      <c r="S94" s="3"/>
      <c r="T94" s="3"/>
      <c r="U94" s="3"/>
      <c r="V94" s="3"/>
      <c r="W94" s="54"/>
      <c r="X94" s="3"/>
      <c r="Y94" s="3"/>
      <c r="Z94" s="3"/>
    </row>
    <row r="95" ht="15.75" customHeight="1">
      <c r="A95" s="18"/>
      <c r="B95" s="55">
        <v>2.0</v>
      </c>
      <c r="C95" s="50" t="s">
        <v>75</v>
      </c>
      <c r="D95" s="60"/>
      <c r="E95" s="24">
        <f>ALASBULUH!AG95+ALASREJO!U95+BAJULMATI!AD95+BANGSRING!W95+BENGKAK!Y95+BIMOREJO!R95+SIDODADI!U95+SIDOWANGI!P95+SUMBERANYAR!N95+SUMBERKENCONO!T95+WATUKEBO!Y95+WONGSOREJO!AM95</f>
        <v>51</v>
      </c>
      <c r="F95" s="18"/>
      <c r="G95" s="5"/>
      <c r="H95" s="5"/>
      <c r="I95" s="5"/>
      <c r="J95" s="5"/>
      <c r="K95" s="5"/>
      <c r="L95" s="5"/>
      <c r="M95" s="5"/>
      <c r="N95" s="5"/>
      <c r="O95" s="5"/>
      <c r="P95" s="6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5.75" customHeight="1">
      <c r="A96" s="18"/>
      <c r="B96" s="55">
        <v>3.0</v>
      </c>
      <c r="C96" s="50" t="s">
        <v>76</v>
      </c>
      <c r="D96" s="60"/>
      <c r="E96" s="24">
        <f>ALASBULUH!AG96+ALASREJO!U96+BAJULMATI!AD96+BANGSRING!W96+BENGKAK!Y96+BIMOREJO!R96+SIDODADI!U96+SIDOWANGI!P96+SUMBERANYAR!N96+SUMBERKENCONO!T96+WATUKEBO!Y96+WONGSOREJO!AM96</f>
        <v>20</v>
      </c>
      <c r="F96" s="18"/>
      <c r="G96" s="5"/>
      <c r="H96" s="5"/>
      <c r="I96" s="5"/>
      <c r="J96" s="5"/>
      <c r="K96" s="5"/>
      <c r="L96" s="5"/>
      <c r="M96" s="5"/>
      <c r="N96" s="5"/>
      <c r="O96" s="5"/>
      <c r="P96" s="6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5.75" customHeight="1">
      <c r="A97" s="18"/>
      <c r="B97" s="55">
        <v>4.0</v>
      </c>
      <c r="C97" s="50" t="s">
        <v>77</v>
      </c>
      <c r="D97" s="60"/>
      <c r="E97" s="24">
        <f>ALASBULUH!AG97+ALASREJO!U97+BAJULMATI!AD97+BANGSRING!W97+BENGKAK!Y97+BIMOREJO!R97+SIDODADI!U97+SIDOWANGI!P97+SUMBERANYAR!N97+SUMBERKENCONO!T97+WATUKEBO!Y97+WONGSOREJO!AM97</f>
        <v>57</v>
      </c>
      <c r="F97" s="18"/>
      <c r="G97" s="5"/>
      <c r="H97" s="5"/>
      <c r="I97" s="5"/>
      <c r="J97" s="5"/>
      <c r="K97" s="5"/>
      <c r="L97" s="5"/>
      <c r="M97" s="5"/>
      <c r="N97" s="5"/>
      <c r="O97" s="5"/>
      <c r="P97" s="6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5.75" customHeight="1">
      <c r="A98" s="18"/>
      <c r="B98" s="55">
        <v>5.0</v>
      </c>
      <c r="C98" s="50" t="s">
        <v>78</v>
      </c>
      <c r="D98" s="60"/>
      <c r="E98" s="24">
        <f>ALASBULUH!AG98+ALASREJO!U98+BAJULMATI!AD98+BANGSRING!W98+BENGKAK!Y98+BIMOREJO!R98+SIDODADI!U98+SIDOWANGI!P98+SUMBERANYAR!N98+SUMBERKENCONO!T98+WATUKEBO!Y98+WONGSOREJO!AM98</f>
        <v>34</v>
      </c>
      <c r="F98" s="18"/>
      <c r="G98" s="5"/>
      <c r="H98" s="5"/>
      <c r="I98" s="5"/>
      <c r="J98" s="5"/>
      <c r="K98" s="5"/>
      <c r="L98" s="5"/>
      <c r="M98" s="5"/>
      <c r="N98" s="5"/>
      <c r="O98" s="5"/>
      <c r="P98" s="6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5.75" customHeight="1">
      <c r="A99" s="18"/>
      <c r="B99" s="55">
        <v>6.0</v>
      </c>
      <c r="C99" s="50" t="s">
        <v>79</v>
      </c>
      <c r="D99" s="60"/>
      <c r="E99" s="24">
        <f>ALASBULUH!AG99+ALASREJO!U99+BAJULMATI!AD99+BANGSRING!W99+BENGKAK!Y99+BIMOREJO!R99+SIDODADI!U99+SIDOWANGI!P99+SUMBERANYAR!N99+SUMBERKENCONO!T99+WATUKEBO!Y99+WONGSOREJO!AM99</f>
        <v>116</v>
      </c>
      <c r="F99" s="18"/>
      <c r="G99" s="5"/>
      <c r="H99" s="5"/>
      <c r="I99" s="5"/>
      <c r="J99" s="5"/>
      <c r="K99" s="5"/>
      <c r="L99" s="5"/>
      <c r="M99" s="5"/>
      <c r="N99" s="5"/>
      <c r="O99" s="5"/>
      <c r="P99" s="6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5.75" customHeight="1">
      <c r="A100" s="18"/>
      <c r="B100" s="55">
        <v>7.0</v>
      </c>
      <c r="C100" s="50" t="s">
        <v>80</v>
      </c>
      <c r="D100" s="60"/>
      <c r="E100" s="24">
        <f>ALASBULUH!AG100+ALASREJO!U100+BAJULMATI!AD100+BANGSRING!W100+BENGKAK!Y100+BIMOREJO!R100+SIDODADI!U100+SIDOWANGI!P100+SUMBERANYAR!N100+SUMBERKENCONO!T100+WATUKEBO!Y100+WONGSOREJO!AM100</f>
        <v>43</v>
      </c>
      <c r="F100" s="18"/>
      <c r="G100" s="5"/>
      <c r="H100" s="5"/>
      <c r="I100" s="5"/>
      <c r="J100" s="5"/>
      <c r="K100" s="5"/>
      <c r="L100" s="5"/>
      <c r="M100" s="5"/>
      <c r="N100" s="5"/>
      <c r="O100" s="5"/>
      <c r="P100" s="6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5.75" customHeight="1">
      <c r="A101" s="18"/>
      <c r="B101" s="56"/>
      <c r="C101" s="57"/>
      <c r="D101" s="62"/>
      <c r="E101" s="58"/>
      <c r="F101" s="18"/>
      <c r="G101" s="5"/>
      <c r="H101" s="5"/>
      <c r="I101" s="5"/>
      <c r="J101" s="5"/>
      <c r="K101" s="5"/>
      <c r="L101" s="5"/>
      <c r="M101" s="5"/>
      <c r="N101" s="5"/>
      <c r="O101" s="5"/>
      <c r="P101" s="6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5.75" customHeight="1">
      <c r="A102" s="18"/>
      <c r="B102" s="56"/>
      <c r="C102" s="57"/>
      <c r="D102" s="62"/>
      <c r="E102" s="58"/>
      <c r="F102" s="18"/>
      <c r="G102" s="5"/>
      <c r="H102" s="5"/>
      <c r="I102" s="5"/>
      <c r="J102" s="5"/>
      <c r="K102" s="5"/>
      <c r="L102" s="5"/>
      <c r="M102" s="5"/>
      <c r="N102" s="5"/>
      <c r="O102" s="5"/>
      <c r="P102" s="6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5.75" customHeight="1">
      <c r="A103" s="19" t="s">
        <v>15</v>
      </c>
      <c r="B103" s="47" t="s">
        <v>47</v>
      </c>
      <c r="C103" s="15"/>
      <c r="D103" s="16"/>
      <c r="E103" s="13">
        <f>SUM(E93:E100)</f>
        <v>948</v>
      </c>
      <c r="F103" s="18"/>
      <c r="G103" s="5"/>
      <c r="H103" s="5"/>
      <c r="I103" s="5"/>
      <c r="J103" s="5"/>
      <c r="K103" s="5"/>
      <c r="L103" s="5"/>
      <c r="M103" s="5"/>
      <c r="N103" s="5"/>
      <c r="O103" s="5"/>
      <c r="P103" s="6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5.75" customHeight="1">
      <c r="A104" s="45"/>
      <c r="B104" s="44"/>
      <c r="C104" s="44"/>
      <c r="D104" s="44"/>
      <c r="E104" s="44"/>
      <c r="F104" s="18"/>
      <c r="G104" s="5"/>
      <c r="H104" s="5"/>
      <c r="I104" s="5"/>
      <c r="J104" s="5"/>
      <c r="K104" s="5"/>
      <c r="L104" s="5"/>
      <c r="M104" s="5"/>
      <c r="N104" s="5"/>
      <c r="O104" s="5"/>
      <c r="P104" s="6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5.75" customHeight="1">
      <c r="A105" s="30" t="s">
        <v>37</v>
      </c>
      <c r="B105" s="47" t="s">
        <v>81</v>
      </c>
      <c r="C105" s="48" t="s">
        <v>82</v>
      </c>
      <c r="D105" s="16"/>
      <c r="E105" s="24">
        <f>ALASBULUH!AG105+ALASREJO!U105+BAJULMATI!AD105+BANGSRING!W105+BENGKAK!Y105+BIMOREJO!R105+SIDODADI!U105+SIDOWANGI!P105+SUMBERANYAR!N105+SUMBERKENCONO!T105+WATUKEBO!Y105+WONGSOREJO!AM105</f>
        <v>106</v>
      </c>
      <c r="F105" s="25"/>
      <c r="G105" s="1"/>
      <c r="H105" s="1"/>
      <c r="I105" s="1"/>
      <c r="J105" s="1"/>
      <c r="K105" s="1"/>
      <c r="L105" s="1"/>
      <c r="M105" s="1"/>
      <c r="N105" s="1"/>
      <c r="O105" s="1"/>
      <c r="P105" s="9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30" t="s">
        <v>39</v>
      </c>
      <c r="B106" s="55">
        <v>1.0</v>
      </c>
      <c r="C106" s="50" t="s">
        <v>83</v>
      </c>
      <c r="D106" s="60"/>
      <c r="E106" s="24">
        <f>ALASBULUH!AG106+ALASREJO!U106+BAJULMATI!AD106+BANGSRING!W106+BENGKAK!Y106+BIMOREJO!R106+SIDODADI!U106+SIDOWANGI!P106+SUMBERANYAR!N106+SUMBERKENCONO!T106+WATUKEBO!Y106+WONGSOREJO!AM106</f>
        <v>24</v>
      </c>
      <c r="F106" s="51"/>
      <c r="G106" s="52"/>
      <c r="H106" s="52"/>
      <c r="I106" s="52"/>
      <c r="J106" s="52"/>
      <c r="K106" s="52"/>
      <c r="L106" s="52"/>
      <c r="M106" s="52"/>
      <c r="N106" s="52"/>
      <c r="O106" s="52"/>
      <c r="P106" s="53"/>
      <c r="Q106" s="3"/>
      <c r="R106" s="3"/>
      <c r="S106" s="3"/>
      <c r="T106" s="3"/>
      <c r="U106" s="3"/>
      <c r="V106" s="3"/>
      <c r="W106" s="54"/>
      <c r="X106" s="3"/>
      <c r="Y106" s="3"/>
      <c r="Z106" s="3"/>
    </row>
    <row r="107" ht="15.75" customHeight="1">
      <c r="A107" s="18"/>
      <c r="B107" s="55">
        <v>2.0</v>
      </c>
      <c r="C107" s="50" t="s">
        <v>84</v>
      </c>
      <c r="D107" s="60"/>
      <c r="E107" s="24">
        <f>ALASBULUH!AG107+ALASREJO!U107+BAJULMATI!AD107+BANGSRING!W107+BENGKAK!Y107+BIMOREJO!R107+SIDODADI!U107+SIDOWANGI!P107+SUMBERANYAR!N107+SUMBERKENCONO!T107+WATUKEBO!Y107+WONGSOREJO!AM107</f>
        <v>23</v>
      </c>
      <c r="F107" s="18"/>
      <c r="G107" s="5"/>
      <c r="H107" s="5"/>
      <c r="I107" s="5"/>
      <c r="J107" s="5"/>
      <c r="K107" s="5"/>
      <c r="L107" s="5"/>
      <c r="M107" s="5"/>
      <c r="N107" s="5"/>
      <c r="O107" s="5"/>
      <c r="P107" s="6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5.75" customHeight="1">
      <c r="A108" s="18"/>
      <c r="B108" s="55">
        <v>3.0</v>
      </c>
      <c r="C108" s="50" t="s">
        <v>85</v>
      </c>
      <c r="D108" s="60"/>
      <c r="E108" s="24">
        <f>ALASBULUH!AG108+ALASREJO!U108+BAJULMATI!AD108+BANGSRING!W108+BENGKAK!Y108+BIMOREJO!R108+SIDODADI!U108+SIDOWANGI!P108+SUMBERANYAR!N108+SUMBERKENCONO!T108+WATUKEBO!Y108+WONGSOREJO!AM108</f>
        <v>7</v>
      </c>
      <c r="F108" s="18"/>
      <c r="G108" s="5"/>
      <c r="H108" s="5"/>
      <c r="I108" s="5"/>
      <c r="J108" s="5"/>
      <c r="K108" s="5"/>
      <c r="L108" s="5"/>
      <c r="M108" s="5"/>
      <c r="N108" s="5"/>
      <c r="O108" s="5"/>
      <c r="P108" s="6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5.75" customHeight="1">
      <c r="A109" s="18"/>
      <c r="B109" s="55">
        <v>4.0</v>
      </c>
      <c r="C109" s="50" t="s">
        <v>86</v>
      </c>
      <c r="D109" s="60"/>
      <c r="E109" s="24">
        <f>ALASBULUH!AG109+ALASREJO!U109+BAJULMATI!AD109+BANGSRING!W109+BENGKAK!Y109+BIMOREJO!R109+SIDODADI!U109+SIDOWANGI!P109+SUMBERANYAR!N109+SUMBERKENCONO!T109+WATUKEBO!Y109+WONGSOREJO!AM109</f>
        <v>9</v>
      </c>
      <c r="F109" s="18"/>
      <c r="G109" s="5"/>
      <c r="H109" s="5"/>
      <c r="I109" s="5"/>
      <c r="J109" s="5"/>
      <c r="K109" s="5"/>
      <c r="L109" s="5"/>
      <c r="M109" s="5"/>
      <c r="N109" s="5"/>
      <c r="O109" s="5"/>
      <c r="P109" s="6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5.75" customHeight="1">
      <c r="A110" s="18"/>
      <c r="B110" s="55">
        <v>5.0</v>
      </c>
      <c r="C110" s="50" t="s">
        <v>87</v>
      </c>
      <c r="D110" s="60"/>
      <c r="E110" s="24">
        <f>ALASBULUH!AG110+ALASREJO!U110+BAJULMATI!AD110+BANGSRING!W110+BENGKAK!Y110+BIMOREJO!R110+SIDODADI!U110+SIDOWANGI!P110+SUMBERANYAR!N110+SUMBERKENCONO!T110+WATUKEBO!Y110+WONGSOREJO!AM110</f>
        <v>3</v>
      </c>
      <c r="F110" s="18"/>
      <c r="G110" s="5"/>
      <c r="H110" s="5"/>
      <c r="I110" s="5"/>
      <c r="J110" s="5"/>
      <c r="K110" s="5"/>
      <c r="L110" s="5"/>
      <c r="M110" s="5"/>
      <c r="N110" s="5"/>
      <c r="O110" s="5"/>
      <c r="P110" s="6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5.75" customHeight="1">
      <c r="A111" s="18"/>
      <c r="B111" s="55">
        <v>6.0</v>
      </c>
      <c r="C111" s="50" t="s">
        <v>88</v>
      </c>
      <c r="D111" s="60"/>
      <c r="E111" s="24">
        <f>ALASBULUH!AG111+ALASREJO!U111+BAJULMATI!AD111+BANGSRING!W111+BENGKAK!Y111+BIMOREJO!R111+SIDODADI!U111+SIDOWANGI!P111+SUMBERANYAR!N111+SUMBERKENCONO!T111+WATUKEBO!Y111+WONGSOREJO!AM111</f>
        <v>9</v>
      </c>
      <c r="F111" s="18"/>
      <c r="G111" s="5"/>
      <c r="H111" s="5"/>
      <c r="I111" s="5"/>
      <c r="J111" s="5"/>
      <c r="K111" s="5"/>
      <c r="L111" s="5"/>
      <c r="M111" s="5"/>
      <c r="N111" s="5"/>
      <c r="O111" s="5"/>
      <c r="P111" s="6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5.75" customHeight="1">
      <c r="A112" s="18"/>
      <c r="B112" s="55">
        <v>7.0</v>
      </c>
      <c r="C112" s="50" t="s">
        <v>89</v>
      </c>
      <c r="D112" s="60"/>
      <c r="E112" s="24">
        <f>ALASBULUH!AG112+ALASREJO!U112+BAJULMATI!AD112+BANGSRING!W112+BENGKAK!Y112+BIMOREJO!R112+SIDODADI!U112+SIDOWANGI!P112+SUMBERANYAR!N112+SUMBERKENCONO!T112+WATUKEBO!Y112+WONGSOREJO!AM112</f>
        <v>2</v>
      </c>
      <c r="F112" s="25"/>
      <c r="G112" s="1"/>
      <c r="H112" s="1"/>
      <c r="I112" s="1"/>
      <c r="J112" s="1"/>
      <c r="K112" s="1"/>
      <c r="L112" s="1"/>
      <c r="M112" s="1"/>
      <c r="N112" s="1"/>
      <c r="O112" s="1"/>
      <c r="P112" s="9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18"/>
      <c r="B113" s="56"/>
      <c r="C113" s="57"/>
      <c r="D113" s="62"/>
      <c r="E113" s="58"/>
      <c r="F113" s="25"/>
      <c r="G113" s="1"/>
      <c r="H113" s="1"/>
      <c r="I113" s="1"/>
      <c r="J113" s="1"/>
      <c r="K113" s="1"/>
      <c r="L113" s="1"/>
      <c r="M113" s="1"/>
      <c r="N113" s="1"/>
      <c r="O113" s="1"/>
      <c r="P113" s="9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18"/>
      <c r="B114" s="56"/>
      <c r="C114" s="57"/>
      <c r="D114" s="62"/>
      <c r="E114" s="58"/>
      <c r="F114" s="25"/>
      <c r="G114" s="1"/>
      <c r="H114" s="1"/>
      <c r="I114" s="1"/>
      <c r="J114" s="1"/>
      <c r="K114" s="1"/>
      <c r="L114" s="1"/>
      <c r="M114" s="1"/>
      <c r="N114" s="1"/>
      <c r="O114" s="1"/>
      <c r="P114" s="9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19" t="s">
        <v>15</v>
      </c>
      <c r="B115" s="47" t="s">
        <v>47</v>
      </c>
      <c r="C115" s="15"/>
      <c r="D115" s="16"/>
      <c r="E115" s="13">
        <f>SUM(E105:E112)</f>
        <v>183</v>
      </c>
      <c r="F115" s="51"/>
      <c r="G115" s="52"/>
      <c r="H115" s="52"/>
      <c r="I115" s="52"/>
      <c r="J115" s="52"/>
      <c r="K115" s="52"/>
      <c r="L115" s="52"/>
      <c r="M115" s="52"/>
      <c r="N115" s="52"/>
      <c r="O115" s="52"/>
      <c r="P115" s="53"/>
      <c r="Q115" s="3"/>
      <c r="R115" s="3"/>
      <c r="S115" s="3"/>
      <c r="T115" s="3"/>
      <c r="U115" s="3"/>
      <c r="V115" s="3"/>
      <c r="W115" s="54"/>
      <c r="X115" s="3"/>
      <c r="Y115" s="3"/>
      <c r="Z115" s="3"/>
    </row>
    <row r="116" ht="15.75" customHeight="1">
      <c r="A116" s="24"/>
      <c r="B116" s="15"/>
      <c r="C116" s="15"/>
      <c r="D116" s="15"/>
      <c r="E116" s="16"/>
      <c r="F116" s="18"/>
      <c r="G116" s="5"/>
      <c r="H116" s="5"/>
      <c r="I116" s="5"/>
      <c r="J116" s="5"/>
      <c r="K116" s="5"/>
      <c r="L116" s="5"/>
      <c r="M116" s="5"/>
      <c r="N116" s="5"/>
      <c r="O116" s="5"/>
      <c r="P116" s="6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5.75" customHeight="1">
      <c r="A117" s="30" t="s">
        <v>37</v>
      </c>
      <c r="B117" s="47" t="s">
        <v>90</v>
      </c>
      <c r="C117" s="48" t="s">
        <v>91</v>
      </c>
      <c r="D117" s="16"/>
      <c r="E117" s="24">
        <f>ALASBULUH!AG117+ALASREJO!U117+BAJULMATI!AD117+BANGSRING!W117+BENGKAK!Y117+BIMOREJO!R117+SIDODADI!U117+SIDOWANGI!P117+SUMBERANYAR!N117+SUMBERKENCONO!T117+WATUKEBO!Y117+WONGSOREJO!AM117</f>
        <v>94</v>
      </c>
      <c r="F117" s="18"/>
      <c r="G117" s="5"/>
      <c r="H117" s="5"/>
      <c r="I117" s="5"/>
      <c r="J117" s="5"/>
      <c r="K117" s="5"/>
      <c r="L117" s="5"/>
      <c r="M117" s="5"/>
      <c r="N117" s="5"/>
      <c r="O117" s="5"/>
      <c r="P117" s="6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5.75" customHeight="1">
      <c r="A118" s="30" t="s">
        <v>39</v>
      </c>
      <c r="B118" s="55">
        <v>1.0</v>
      </c>
      <c r="C118" s="50" t="s">
        <v>92</v>
      </c>
      <c r="D118" s="60"/>
      <c r="E118" s="24">
        <f>ALASBULUH!AG118+ALASREJO!U118+BAJULMATI!AD118+BANGSRING!W118+BENGKAK!Y118+BIMOREJO!R118+SIDODADI!U118+SIDOWANGI!P118+SUMBERANYAR!N118+SUMBERKENCONO!T118+WATUKEBO!Y118+WONGSOREJO!AM118</f>
        <v>26</v>
      </c>
      <c r="F118" s="18"/>
      <c r="G118" s="5"/>
      <c r="H118" s="5"/>
      <c r="I118" s="5"/>
      <c r="J118" s="5"/>
      <c r="K118" s="5"/>
      <c r="L118" s="5"/>
      <c r="M118" s="5"/>
      <c r="N118" s="5"/>
      <c r="O118" s="5"/>
      <c r="P118" s="6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5.75" customHeight="1">
      <c r="A119" s="18"/>
      <c r="B119" s="55">
        <v>2.0</v>
      </c>
      <c r="C119" s="50" t="s">
        <v>93</v>
      </c>
      <c r="D119" s="60"/>
      <c r="E119" s="24">
        <f>ALASBULUH!AG119+ALASREJO!U119+BAJULMATI!AD119+BANGSRING!W119+BENGKAK!Y119+BIMOREJO!R119+SIDODADI!U119+SIDOWANGI!P119+SUMBERANYAR!N119+SUMBERKENCONO!T119+WATUKEBO!Y119+WONGSOREJO!AM119</f>
        <v>11</v>
      </c>
      <c r="F119" s="18"/>
      <c r="G119" s="5"/>
      <c r="H119" s="5"/>
      <c r="I119" s="5"/>
      <c r="J119" s="5"/>
      <c r="K119" s="5"/>
      <c r="L119" s="5"/>
      <c r="M119" s="5"/>
      <c r="N119" s="5"/>
      <c r="O119" s="5"/>
      <c r="P119" s="6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5.75" customHeight="1">
      <c r="A120" s="18"/>
      <c r="B120" s="55">
        <v>3.0</v>
      </c>
      <c r="C120" s="50" t="s">
        <v>94</v>
      </c>
      <c r="D120" s="60"/>
      <c r="E120" s="24">
        <f>ALASBULUH!AG120+ALASREJO!U120+BAJULMATI!AD120+BANGSRING!W120+BENGKAK!Y120+BIMOREJO!R120+SIDODADI!U120+SIDOWANGI!P120+SUMBERANYAR!N120+SUMBERKENCONO!T120+WATUKEBO!Y120+WONGSOREJO!AM120</f>
        <v>7</v>
      </c>
      <c r="F120" s="18"/>
      <c r="G120" s="5"/>
      <c r="H120" s="5"/>
      <c r="I120" s="5"/>
      <c r="J120" s="5"/>
      <c r="K120" s="5"/>
      <c r="L120" s="5"/>
      <c r="M120" s="5"/>
      <c r="N120" s="5"/>
      <c r="O120" s="5"/>
      <c r="P120" s="6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5.75" customHeight="1">
      <c r="A121" s="18"/>
      <c r="B121" s="56"/>
      <c r="C121" s="57"/>
      <c r="D121" s="62"/>
      <c r="E121" s="58"/>
      <c r="F121" s="18"/>
      <c r="G121" s="5"/>
      <c r="H121" s="5"/>
      <c r="I121" s="5"/>
      <c r="J121" s="5"/>
      <c r="K121" s="5"/>
      <c r="L121" s="5"/>
      <c r="M121" s="5"/>
      <c r="N121" s="5"/>
      <c r="O121" s="5"/>
      <c r="P121" s="6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5.75" customHeight="1">
      <c r="A122" s="18"/>
      <c r="B122" s="56"/>
      <c r="C122" s="57"/>
      <c r="D122" s="62"/>
      <c r="E122" s="58"/>
      <c r="F122" s="18"/>
      <c r="G122" s="5"/>
      <c r="H122" s="5"/>
      <c r="I122" s="5"/>
      <c r="J122" s="5"/>
      <c r="K122" s="5"/>
      <c r="L122" s="5"/>
      <c r="M122" s="5"/>
      <c r="N122" s="5"/>
      <c r="O122" s="5"/>
      <c r="P122" s="6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5.75" customHeight="1">
      <c r="A123" s="18"/>
      <c r="B123" s="56"/>
      <c r="C123" s="57"/>
      <c r="D123" s="62"/>
      <c r="E123" s="63"/>
      <c r="F123" s="18"/>
      <c r="G123" s="5"/>
      <c r="H123" s="5"/>
      <c r="I123" s="5"/>
      <c r="J123" s="5"/>
      <c r="K123" s="5"/>
      <c r="L123" s="5"/>
      <c r="M123" s="5"/>
      <c r="N123" s="5"/>
      <c r="O123" s="5"/>
      <c r="P123" s="6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5.75" customHeight="1">
      <c r="A124" s="18"/>
      <c r="B124" s="56"/>
      <c r="C124" s="57"/>
      <c r="D124" s="62"/>
      <c r="E124" s="63"/>
      <c r="F124" s="18"/>
      <c r="G124" s="5"/>
      <c r="H124" s="5"/>
      <c r="I124" s="5"/>
      <c r="J124" s="5"/>
      <c r="K124" s="5"/>
      <c r="L124" s="5"/>
      <c r="M124" s="5"/>
      <c r="N124" s="5"/>
      <c r="O124" s="5"/>
      <c r="P124" s="6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5.75" customHeight="1">
      <c r="A125" s="18"/>
      <c r="B125" s="56"/>
      <c r="C125" s="57"/>
      <c r="D125" s="62"/>
      <c r="E125" s="63"/>
      <c r="F125" s="18"/>
      <c r="G125" s="5"/>
      <c r="H125" s="5"/>
      <c r="I125" s="5"/>
      <c r="J125" s="5"/>
      <c r="K125" s="5"/>
      <c r="L125" s="5"/>
      <c r="M125" s="5"/>
      <c r="N125" s="5"/>
      <c r="O125" s="5"/>
      <c r="P125" s="6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5.75" customHeight="1">
      <c r="A126" s="18"/>
      <c r="B126" s="56"/>
      <c r="C126" s="57"/>
      <c r="D126" s="62"/>
      <c r="E126" s="63"/>
      <c r="F126" s="18"/>
      <c r="G126" s="5"/>
      <c r="H126" s="5"/>
      <c r="I126" s="5"/>
      <c r="J126" s="5"/>
      <c r="K126" s="5"/>
      <c r="L126" s="5"/>
      <c r="M126" s="5"/>
      <c r="N126" s="5"/>
      <c r="O126" s="5"/>
      <c r="P126" s="6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5.75" customHeight="1">
      <c r="A127" s="19" t="s">
        <v>15</v>
      </c>
      <c r="B127" s="47" t="s">
        <v>47</v>
      </c>
      <c r="C127" s="15"/>
      <c r="D127" s="16"/>
      <c r="E127" s="64">
        <f>SUM(E117:E120)</f>
        <v>138</v>
      </c>
      <c r="F127" s="18"/>
      <c r="G127" s="5"/>
      <c r="H127" s="5"/>
      <c r="I127" s="5"/>
      <c r="J127" s="5"/>
      <c r="K127" s="5"/>
      <c r="L127" s="5"/>
      <c r="M127" s="5"/>
      <c r="N127" s="5"/>
      <c r="O127" s="5"/>
      <c r="P127" s="6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5.75" customHeight="1">
      <c r="A128" s="24"/>
      <c r="B128" s="15"/>
      <c r="C128" s="15"/>
      <c r="D128" s="15"/>
      <c r="E128" s="16"/>
      <c r="F128" s="18"/>
      <c r="G128" s="5"/>
      <c r="H128" s="5"/>
      <c r="I128" s="5"/>
      <c r="J128" s="5"/>
      <c r="K128" s="5"/>
      <c r="L128" s="5"/>
      <c r="M128" s="5"/>
      <c r="N128" s="5"/>
      <c r="O128" s="5"/>
      <c r="P128" s="6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5.75" customHeight="1">
      <c r="A129" s="30" t="s">
        <v>37</v>
      </c>
      <c r="B129" s="47" t="s">
        <v>95</v>
      </c>
      <c r="C129" s="48" t="s">
        <v>96</v>
      </c>
      <c r="D129" s="16"/>
      <c r="E129" s="24">
        <f>ALASBULUH!AG129+ALASREJO!U129+BAJULMATI!AD129+BANGSRING!W129+BENGKAK!Y129+BIMOREJO!R129+SIDODADI!U129+SIDOWANGI!P129+SUMBERANYAR!N129+SUMBERKENCONO!T129+WATUKEBO!Y129+WONGSOREJO!AM129</f>
        <v>124</v>
      </c>
      <c r="F129" s="25"/>
      <c r="G129" s="1"/>
      <c r="H129" s="1"/>
      <c r="I129" s="1"/>
      <c r="J129" s="1"/>
      <c r="K129" s="1"/>
      <c r="L129" s="1"/>
      <c r="M129" s="1"/>
      <c r="N129" s="1"/>
      <c r="O129" s="1"/>
      <c r="P129" s="9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30" t="s">
        <v>39</v>
      </c>
      <c r="B130" s="55">
        <v>1.0</v>
      </c>
      <c r="C130" s="50" t="s">
        <v>97</v>
      </c>
      <c r="D130" s="59"/>
      <c r="E130" s="24">
        <f>ALASBULUH!AG130+ALASREJO!U130+BAJULMATI!AD130+BANGSRING!W130+BENGKAK!Y130+BIMOREJO!R130+SIDODADI!U130+SIDOWANGI!P130+SUMBERANYAR!N130+SUMBERKENCONO!T130+WATUKEBO!Y130+WONGSOREJO!AM130</f>
        <v>165</v>
      </c>
      <c r="F130" s="51"/>
      <c r="G130" s="52"/>
      <c r="H130" s="52"/>
      <c r="I130" s="52"/>
      <c r="J130" s="52"/>
      <c r="K130" s="52"/>
      <c r="L130" s="52"/>
      <c r="M130" s="52"/>
      <c r="N130" s="52"/>
      <c r="O130" s="52"/>
      <c r="P130" s="53"/>
      <c r="Q130" s="3"/>
      <c r="R130" s="3"/>
      <c r="S130" s="3"/>
      <c r="T130" s="3"/>
      <c r="U130" s="3"/>
      <c r="V130" s="3"/>
      <c r="W130" s="54"/>
      <c r="X130" s="3"/>
      <c r="Y130" s="3"/>
      <c r="Z130" s="3"/>
    </row>
    <row r="131" ht="15.75" customHeight="1">
      <c r="A131" s="18"/>
      <c r="B131" s="55">
        <v>2.0</v>
      </c>
      <c r="C131" s="50" t="s">
        <v>98</v>
      </c>
      <c r="D131" s="59"/>
      <c r="E131" s="24">
        <f>ALASBULUH!AG131+ALASREJO!U131+BAJULMATI!AD131+BANGSRING!W131+BENGKAK!Y131+BIMOREJO!R131+SIDODADI!U131+SIDOWANGI!P131+SUMBERANYAR!N131+SUMBERKENCONO!T131+WATUKEBO!Y131+WONGSOREJO!AM131</f>
        <v>102</v>
      </c>
      <c r="F131" s="18"/>
      <c r="G131" s="5"/>
      <c r="H131" s="5"/>
      <c r="I131" s="5"/>
      <c r="J131" s="5"/>
      <c r="K131" s="5"/>
      <c r="L131" s="5"/>
      <c r="M131" s="5"/>
      <c r="N131" s="5"/>
      <c r="O131" s="5"/>
      <c r="P131" s="6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5.75" customHeight="1">
      <c r="A132" s="18"/>
      <c r="B132" s="55">
        <v>3.0</v>
      </c>
      <c r="C132" s="50" t="s">
        <v>99</v>
      </c>
      <c r="D132" s="59"/>
      <c r="E132" s="24">
        <f>ALASBULUH!AG132+ALASREJO!U132+BAJULMATI!AD132+BANGSRING!W132+BENGKAK!Y132+BIMOREJO!R132+SIDODADI!U132+SIDOWANGI!P132+SUMBERANYAR!N132+SUMBERKENCONO!T132+WATUKEBO!Y132+WONGSOREJO!AM132</f>
        <v>27</v>
      </c>
      <c r="F132" s="18"/>
      <c r="G132" s="5"/>
      <c r="H132" s="5"/>
      <c r="I132" s="5"/>
      <c r="J132" s="5"/>
      <c r="K132" s="5"/>
      <c r="L132" s="5"/>
      <c r="M132" s="5"/>
      <c r="N132" s="5"/>
      <c r="O132" s="5"/>
      <c r="P132" s="6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5.75" customHeight="1">
      <c r="A133" s="18"/>
      <c r="B133" s="55">
        <v>4.0</v>
      </c>
      <c r="C133" s="50" t="s">
        <v>100</v>
      </c>
      <c r="D133" s="59"/>
      <c r="E133" s="24">
        <f>ALASBULUH!AG133+ALASREJO!U133+BAJULMATI!AD133+BANGSRING!W133+BENGKAK!Y133+BIMOREJO!R133+SIDODADI!U133+SIDOWANGI!P133+SUMBERANYAR!N133+SUMBERKENCONO!T133+WATUKEBO!Y133+WONGSOREJO!AM133</f>
        <v>14</v>
      </c>
      <c r="F133" s="18"/>
      <c r="G133" s="5"/>
      <c r="H133" s="5"/>
      <c r="I133" s="5"/>
      <c r="J133" s="5"/>
      <c r="K133" s="5"/>
      <c r="L133" s="5"/>
      <c r="M133" s="5"/>
      <c r="N133" s="5"/>
      <c r="O133" s="5"/>
      <c r="P133" s="6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5.75" customHeight="1">
      <c r="A134" s="18"/>
      <c r="B134" s="55">
        <v>5.0</v>
      </c>
      <c r="C134" s="50" t="s">
        <v>101</v>
      </c>
      <c r="D134" s="59"/>
      <c r="E134" s="24">
        <f>ALASBULUH!AG134+ALASREJO!U134+BAJULMATI!AD134+BANGSRING!W134+BENGKAK!Y134+BIMOREJO!R134+SIDODADI!U134+SIDOWANGI!P134+SUMBERANYAR!N134+SUMBERKENCONO!T134+WATUKEBO!Y134+WONGSOREJO!AM134</f>
        <v>6</v>
      </c>
      <c r="F134" s="18"/>
      <c r="G134" s="5"/>
      <c r="H134" s="5"/>
      <c r="I134" s="5"/>
      <c r="J134" s="5"/>
      <c r="K134" s="5"/>
      <c r="L134" s="5"/>
      <c r="M134" s="5"/>
      <c r="N134" s="5"/>
      <c r="O134" s="5"/>
      <c r="P134" s="6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5.75" customHeight="1">
      <c r="A135" s="18"/>
      <c r="B135" s="55">
        <v>6.0</v>
      </c>
      <c r="C135" s="50" t="s">
        <v>102</v>
      </c>
      <c r="D135" s="60"/>
      <c r="E135" s="24">
        <f>ALASBULUH!AG135+ALASREJO!U135+BAJULMATI!AD135+BANGSRING!W135+BENGKAK!Y135+BIMOREJO!R135+SIDODADI!U135+SIDOWANGI!P135+SUMBERANYAR!N135+SUMBERKENCONO!T135+WATUKEBO!Y135+WONGSOREJO!AM135</f>
        <v>6</v>
      </c>
      <c r="F135" s="18"/>
      <c r="G135" s="5"/>
      <c r="H135" s="5"/>
      <c r="I135" s="5"/>
      <c r="J135" s="5"/>
      <c r="K135" s="5"/>
      <c r="L135" s="5"/>
      <c r="M135" s="5"/>
      <c r="N135" s="5"/>
      <c r="O135" s="5"/>
      <c r="P135" s="6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5.75" customHeight="1">
      <c r="A136" s="18"/>
      <c r="B136" s="55">
        <v>7.0</v>
      </c>
      <c r="C136" s="50" t="s">
        <v>103</v>
      </c>
      <c r="D136" s="59"/>
      <c r="E136" s="24">
        <f>ALASBULUH!AG136+ALASREJO!U136+BAJULMATI!AD136+BANGSRING!W136+BENGKAK!Y136+BIMOREJO!R136+SIDODADI!U136+SIDOWANGI!P136+SUMBERANYAR!N136+SUMBERKENCONO!T136+WATUKEBO!Y136+WONGSOREJO!AM136</f>
        <v>2</v>
      </c>
      <c r="F136" s="18"/>
      <c r="G136" s="5"/>
      <c r="H136" s="5"/>
      <c r="I136" s="5"/>
      <c r="J136" s="5"/>
      <c r="K136" s="5"/>
      <c r="L136" s="5"/>
      <c r="M136" s="5"/>
      <c r="N136" s="5"/>
      <c r="O136" s="5"/>
      <c r="P136" s="6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5.75" customHeight="1">
      <c r="A137" s="18"/>
      <c r="B137" s="56"/>
      <c r="C137" s="57"/>
      <c r="D137" s="61"/>
      <c r="E137" s="58"/>
      <c r="F137" s="18"/>
      <c r="G137" s="5"/>
      <c r="H137" s="5"/>
      <c r="I137" s="5"/>
      <c r="J137" s="5"/>
      <c r="K137" s="5"/>
      <c r="L137" s="5"/>
      <c r="M137" s="5"/>
      <c r="N137" s="5"/>
      <c r="O137" s="5"/>
      <c r="P137" s="6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5.75" customHeight="1">
      <c r="A138" s="18"/>
      <c r="B138" s="56"/>
      <c r="C138" s="57"/>
      <c r="D138" s="61"/>
      <c r="E138" s="58"/>
      <c r="F138" s="18"/>
      <c r="G138" s="5"/>
      <c r="H138" s="5"/>
      <c r="I138" s="5"/>
      <c r="J138" s="5"/>
      <c r="K138" s="5"/>
      <c r="L138" s="5"/>
      <c r="M138" s="5"/>
      <c r="N138" s="5"/>
      <c r="O138" s="5"/>
      <c r="P138" s="6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5.75" customHeight="1">
      <c r="A139" s="19" t="s">
        <v>15</v>
      </c>
      <c r="B139" s="47" t="s">
        <v>47</v>
      </c>
      <c r="C139" s="15"/>
      <c r="D139" s="16"/>
      <c r="E139" s="13">
        <f>SUM(E129:E136)</f>
        <v>446</v>
      </c>
      <c r="F139" s="18"/>
      <c r="G139" s="5"/>
      <c r="H139" s="5"/>
      <c r="I139" s="5"/>
      <c r="J139" s="5"/>
      <c r="K139" s="5"/>
      <c r="L139" s="5"/>
      <c r="M139" s="5"/>
      <c r="N139" s="5"/>
      <c r="O139" s="5"/>
      <c r="P139" s="6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5.75" customHeight="1">
      <c r="A140" s="24"/>
      <c r="B140" s="15"/>
      <c r="C140" s="15"/>
      <c r="D140" s="15"/>
      <c r="E140" s="16"/>
      <c r="F140" s="18"/>
      <c r="G140" s="5"/>
      <c r="H140" s="5"/>
      <c r="I140" s="5"/>
      <c r="J140" s="5"/>
      <c r="K140" s="5"/>
      <c r="L140" s="5"/>
      <c r="M140" s="5"/>
      <c r="N140" s="5"/>
      <c r="O140" s="5"/>
      <c r="P140" s="6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5.75" customHeight="1">
      <c r="A141" s="30" t="s">
        <v>37</v>
      </c>
      <c r="B141" s="47" t="s">
        <v>104</v>
      </c>
      <c r="C141" s="48" t="s">
        <v>105</v>
      </c>
      <c r="D141" s="16"/>
      <c r="E141" s="24">
        <f>ALASBULUH!AG141+ALASREJO!U141+BAJULMATI!AD141+BANGSRING!W141+BENGKAK!Y141+BIMOREJO!R141+SIDODADI!U141+SIDOWANGI!P141+SUMBERANYAR!N141+SUMBERKENCONO!T141+WATUKEBO!Y141+WONGSOREJO!AM141</f>
        <v>10</v>
      </c>
      <c r="F141" s="25"/>
      <c r="G141" s="1"/>
      <c r="H141" s="1"/>
      <c r="I141" s="1"/>
      <c r="J141" s="1"/>
      <c r="K141" s="1"/>
      <c r="L141" s="1"/>
      <c r="M141" s="1"/>
      <c r="N141" s="1"/>
      <c r="O141" s="1"/>
      <c r="P141" s="9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30" t="s">
        <v>39</v>
      </c>
      <c r="B142" s="55">
        <v>1.0</v>
      </c>
      <c r="C142" s="50" t="s">
        <v>106</v>
      </c>
      <c r="D142" s="60"/>
      <c r="E142" s="24">
        <f>ALASBULUH!AG142+ALASREJO!U142+BAJULMATI!AD142+BANGSRING!W142+BENGKAK!Y142+BIMOREJO!R142+SIDODADI!U142+SIDOWANGI!P142+SUMBERANYAR!N142+SUMBERKENCONO!T142+WATUKEBO!Y142+WONGSOREJO!AM142</f>
        <v>6</v>
      </c>
      <c r="F142" s="51"/>
      <c r="G142" s="52"/>
      <c r="H142" s="52"/>
      <c r="I142" s="52"/>
      <c r="J142" s="52"/>
      <c r="K142" s="52"/>
      <c r="L142" s="52"/>
      <c r="M142" s="52"/>
      <c r="N142" s="52"/>
      <c r="O142" s="52"/>
      <c r="P142" s="53"/>
      <c r="Q142" s="3"/>
      <c r="R142" s="3"/>
      <c r="S142" s="3"/>
      <c r="T142" s="3"/>
      <c r="U142" s="3"/>
      <c r="V142" s="3"/>
      <c r="W142" s="54"/>
      <c r="X142" s="3"/>
      <c r="Y142" s="3"/>
      <c r="Z142" s="3"/>
    </row>
    <row r="143" ht="15.75" customHeight="1">
      <c r="A143" s="18"/>
      <c r="B143" s="55">
        <v>2.0</v>
      </c>
      <c r="C143" s="50" t="s">
        <v>107</v>
      </c>
      <c r="D143" s="60"/>
      <c r="E143" s="24">
        <f>ALASBULUH!AG143+ALASREJO!U143+BAJULMATI!AD143+BANGSRING!W143+BENGKAK!Y143+BIMOREJO!R143+SIDODADI!U143+SIDOWANGI!P143+SUMBERANYAR!N143+SUMBERKENCONO!T143+WATUKEBO!Y143+WONGSOREJO!AM143</f>
        <v>2</v>
      </c>
      <c r="F143" s="18"/>
      <c r="G143" s="5"/>
      <c r="H143" s="5"/>
      <c r="I143" s="5"/>
      <c r="J143" s="5"/>
      <c r="K143" s="5"/>
      <c r="L143" s="5"/>
      <c r="M143" s="5"/>
      <c r="N143" s="5"/>
      <c r="O143" s="5"/>
      <c r="P143" s="6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5.75" customHeight="1">
      <c r="A144" s="18"/>
      <c r="B144" s="55">
        <v>3.0</v>
      </c>
      <c r="C144" s="50" t="s">
        <v>108</v>
      </c>
      <c r="D144" s="60"/>
      <c r="E144" s="24">
        <f>ALASBULUH!AG144+ALASREJO!U144+BAJULMATI!AD144+BANGSRING!W144+BENGKAK!Y144+BIMOREJO!R144+SIDODADI!U144+SIDOWANGI!P144+SUMBERANYAR!N144+SUMBERKENCONO!T144+WATUKEBO!Y144+WONGSOREJO!AM144</f>
        <v>3</v>
      </c>
      <c r="F144" s="18"/>
      <c r="G144" s="5"/>
      <c r="H144" s="5"/>
      <c r="I144" s="5"/>
      <c r="J144" s="5"/>
      <c r="K144" s="5"/>
      <c r="L144" s="5"/>
      <c r="M144" s="5"/>
      <c r="N144" s="5"/>
      <c r="O144" s="5"/>
      <c r="P144" s="6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5.75" customHeight="1">
      <c r="A145" s="18"/>
      <c r="B145" s="55">
        <v>4.0</v>
      </c>
      <c r="C145" s="50" t="s">
        <v>109</v>
      </c>
      <c r="D145" s="60"/>
      <c r="E145" s="24">
        <f>ALASBULUH!AG145+ALASREJO!U145+BAJULMATI!AD145+BANGSRING!W145+BENGKAK!Y145+BIMOREJO!R145+SIDODADI!U145+SIDOWANGI!P145+SUMBERANYAR!N145+SUMBERKENCONO!T145+WATUKEBO!Y145+WONGSOREJO!AM145</f>
        <v>1</v>
      </c>
      <c r="F145" s="18"/>
      <c r="G145" s="5"/>
      <c r="H145" s="5"/>
      <c r="I145" s="5"/>
      <c r="J145" s="5"/>
      <c r="K145" s="5"/>
      <c r="L145" s="5"/>
      <c r="M145" s="5"/>
      <c r="N145" s="5"/>
      <c r="O145" s="5"/>
      <c r="P145" s="6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5.75" customHeight="1">
      <c r="A146" s="18"/>
      <c r="B146" s="55">
        <v>5.0</v>
      </c>
      <c r="C146" s="50" t="s">
        <v>110</v>
      </c>
      <c r="D146" s="60"/>
      <c r="E146" s="24">
        <f>ALASBULUH!AG146+ALASREJO!U146+BAJULMATI!AD146+BANGSRING!W146+BENGKAK!Y146+BIMOREJO!R146+SIDODADI!U146+SIDOWANGI!P146+SUMBERANYAR!N146+SUMBERKENCONO!T146+WATUKEBO!Y146+WONGSOREJO!AM146</f>
        <v>1</v>
      </c>
      <c r="F146" s="18"/>
      <c r="G146" s="5"/>
      <c r="H146" s="5"/>
      <c r="I146" s="5"/>
      <c r="J146" s="5"/>
      <c r="K146" s="5"/>
      <c r="L146" s="5"/>
      <c r="M146" s="5"/>
      <c r="N146" s="5"/>
      <c r="O146" s="5"/>
      <c r="P146" s="6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5.75" customHeight="1">
      <c r="A147" s="18"/>
      <c r="B147" s="55">
        <v>6.0</v>
      </c>
      <c r="C147" s="50" t="s">
        <v>111</v>
      </c>
      <c r="D147" s="60"/>
      <c r="E147" s="24">
        <f>ALASBULUH!AG147+ALASREJO!U147+BAJULMATI!AD147+BANGSRING!W147+BENGKAK!Y147+BIMOREJO!R147+SIDODADI!U147+SIDOWANGI!P147+SUMBERANYAR!N147+SUMBERKENCONO!T147+WATUKEBO!Y147+WONGSOREJO!AM147</f>
        <v>1</v>
      </c>
      <c r="F147" s="18"/>
      <c r="G147" s="5"/>
      <c r="H147" s="5"/>
      <c r="I147" s="5"/>
      <c r="J147" s="5"/>
      <c r="K147" s="5"/>
      <c r="L147" s="5"/>
      <c r="M147" s="5"/>
      <c r="N147" s="5"/>
      <c r="O147" s="5"/>
      <c r="P147" s="6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5.75" customHeight="1">
      <c r="A148" s="18"/>
      <c r="B148" s="55">
        <v>7.0</v>
      </c>
      <c r="C148" s="50" t="s">
        <v>112</v>
      </c>
      <c r="D148" s="60"/>
      <c r="E148" s="24">
        <f>ALASBULUH!AG148+ALASREJO!U148+BAJULMATI!AD148+BANGSRING!W148+BENGKAK!Y148+BIMOREJO!R148+SIDODADI!U148+SIDOWANGI!P148+SUMBERANYAR!N148+SUMBERKENCONO!T148+WATUKEBO!Y148+WONGSOREJO!AM148</f>
        <v>1</v>
      </c>
      <c r="F148" s="18"/>
      <c r="G148" s="5"/>
      <c r="H148" s="5"/>
      <c r="I148" s="5"/>
      <c r="J148" s="5"/>
      <c r="K148" s="5"/>
      <c r="L148" s="5"/>
      <c r="M148" s="5"/>
      <c r="N148" s="5"/>
      <c r="O148" s="5"/>
      <c r="P148" s="6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5.75" customHeight="1">
      <c r="A149" s="18"/>
      <c r="B149" s="56"/>
      <c r="C149" s="57"/>
      <c r="D149" s="62"/>
      <c r="E149" s="58"/>
      <c r="F149" s="18"/>
      <c r="G149" s="5"/>
      <c r="H149" s="5"/>
      <c r="I149" s="5"/>
      <c r="J149" s="5"/>
      <c r="K149" s="5"/>
      <c r="L149" s="5"/>
      <c r="M149" s="5"/>
      <c r="N149" s="5"/>
      <c r="O149" s="5"/>
      <c r="P149" s="6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5.75" customHeight="1">
      <c r="A150" s="18"/>
      <c r="B150" s="56"/>
      <c r="C150" s="57"/>
      <c r="D150" s="62"/>
      <c r="E150" s="58"/>
      <c r="F150" s="18"/>
      <c r="G150" s="5"/>
      <c r="H150" s="5"/>
      <c r="I150" s="5"/>
      <c r="J150" s="5"/>
      <c r="K150" s="5"/>
      <c r="L150" s="5"/>
      <c r="M150" s="5"/>
      <c r="N150" s="5"/>
      <c r="O150" s="5"/>
      <c r="P150" s="6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5.75" customHeight="1">
      <c r="A151" s="19" t="s">
        <v>15</v>
      </c>
      <c r="B151" s="47" t="s">
        <v>47</v>
      </c>
      <c r="C151" s="15"/>
      <c r="D151" s="16"/>
      <c r="E151" s="13">
        <f>SUM(E141:E148)</f>
        <v>25</v>
      </c>
      <c r="F151" s="18"/>
      <c r="G151" s="5"/>
      <c r="H151" s="5"/>
      <c r="I151" s="5"/>
      <c r="J151" s="5"/>
      <c r="K151" s="5"/>
      <c r="L151" s="5"/>
      <c r="M151" s="5"/>
      <c r="N151" s="5"/>
      <c r="O151" s="5"/>
      <c r="P151" s="6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5.75" customHeight="1">
      <c r="A152" s="24"/>
      <c r="B152" s="15"/>
      <c r="C152" s="15"/>
      <c r="D152" s="15"/>
      <c r="E152" s="16"/>
      <c r="F152" s="25"/>
      <c r="G152" s="1"/>
      <c r="H152" s="1"/>
      <c r="I152" s="1"/>
      <c r="J152" s="1"/>
      <c r="K152" s="1"/>
      <c r="L152" s="1"/>
      <c r="M152" s="1"/>
      <c r="N152" s="1"/>
      <c r="O152" s="1"/>
      <c r="P152" s="9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30" t="s">
        <v>37</v>
      </c>
      <c r="B153" s="17" t="s">
        <v>113</v>
      </c>
      <c r="C153" s="65" t="s">
        <v>114</v>
      </c>
      <c r="D153" s="23"/>
      <c r="E153" s="24">
        <f>ALASBULUH!AG153+ALASREJO!U153+BAJULMATI!AD153+BANGSRING!W153+BENGKAK!Y153+BIMOREJO!R153+SIDODADI!U153+SIDOWANGI!P153+SUMBERANYAR!N153+SUMBERKENCONO!T153+WATUKEBO!Y153+WONGSOREJO!AM153</f>
        <v>56</v>
      </c>
      <c r="F153" s="51"/>
      <c r="G153" s="52"/>
      <c r="H153" s="52"/>
      <c r="I153" s="52"/>
      <c r="J153" s="52"/>
      <c r="K153" s="52"/>
      <c r="L153" s="52"/>
      <c r="M153" s="52"/>
      <c r="N153" s="52"/>
      <c r="O153" s="52"/>
      <c r="P153" s="53"/>
      <c r="Q153" s="3"/>
      <c r="R153" s="3"/>
      <c r="S153" s="3"/>
      <c r="T153" s="3"/>
      <c r="U153" s="3"/>
      <c r="V153" s="3"/>
      <c r="W153" s="54"/>
      <c r="X153" s="3"/>
      <c r="Y153" s="3"/>
      <c r="Z153" s="3"/>
    </row>
    <row r="154" ht="15.75" customHeight="1">
      <c r="A154" s="66" t="s">
        <v>39</v>
      </c>
      <c r="B154" s="55">
        <v>1.0</v>
      </c>
      <c r="C154" s="67" t="s">
        <v>115</v>
      </c>
      <c r="D154" s="60"/>
      <c r="E154" s="24">
        <f>ALASBULUH!AG154+ALASREJO!U154+BAJULMATI!AD154+BANGSRING!W154+BENGKAK!Y154+BIMOREJO!R154+SIDODADI!U154+SIDOWANGI!P154+SUMBERANYAR!N154+SUMBERKENCONO!T154+WATUKEBO!Y154+WONGSOREJO!AM154</f>
        <v>37</v>
      </c>
      <c r="F154" s="18"/>
      <c r="G154" s="5"/>
      <c r="H154" s="5"/>
      <c r="I154" s="5"/>
      <c r="J154" s="5"/>
      <c r="K154" s="5"/>
      <c r="L154" s="5"/>
      <c r="M154" s="5"/>
      <c r="N154" s="5"/>
      <c r="O154" s="5"/>
      <c r="P154" s="6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5.75" customHeight="1">
      <c r="A155" s="18"/>
      <c r="B155" s="55">
        <v>2.0</v>
      </c>
      <c r="C155" s="67" t="s">
        <v>116</v>
      </c>
      <c r="D155" s="60"/>
      <c r="E155" s="24">
        <f>ALASBULUH!AG155+ALASREJO!U155+BAJULMATI!AD155+BANGSRING!W155+BENGKAK!Y155+BIMOREJO!R155+SIDODADI!U155+SIDOWANGI!P155+SUMBERANYAR!N155+SUMBERKENCONO!T155+WATUKEBO!Y155+WONGSOREJO!AM155</f>
        <v>27</v>
      </c>
      <c r="F155" s="18"/>
      <c r="G155" s="5"/>
      <c r="H155" s="5"/>
      <c r="I155" s="5"/>
      <c r="J155" s="5"/>
      <c r="K155" s="5"/>
      <c r="L155" s="5"/>
      <c r="M155" s="5"/>
      <c r="N155" s="5"/>
      <c r="O155" s="5"/>
      <c r="P155" s="6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5.75" customHeight="1">
      <c r="A156" s="18"/>
      <c r="B156" s="55">
        <v>3.0</v>
      </c>
      <c r="C156" s="67" t="s">
        <v>117</v>
      </c>
      <c r="D156" s="60"/>
      <c r="E156" s="24">
        <f>ALASBULUH!AG156+ALASREJO!U156+BAJULMATI!AD156+BANGSRING!W156+BENGKAK!Y156+BIMOREJO!R156+SIDODADI!U156+SIDOWANGI!P156+SUMBERANYAR!N156+SUMBERKENCONO!T156+WATUKEBO!Y156+WONGSOREJO!AM156</f>
        <v>13</v>
      </c>
      <c r="F156" s="18"/>
      <c r="G156" s="5"/>
      <c r="H156" s="5"/>
      <c r="I156" s="5"/>
      <c r="J156" s="5"/>
      <c r="K156" s="5"/>
      <c r="L156" s="5"/>
      <c r="M156" s="5"/>
      <c r="N156" s="5"/>
      <c r="O156" s="5"/>
      <c r="P156" s="6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5.75" customHeight="1">
      <c r="A157" s="18"/>
      <c r="B157" s="55">
        <v>4.0</v>
      </c>
      <c r="C157" s="67" t="s">
        <v>118</v>
      </c>
      <c r="D157" s="60"/>
      <c r="E157" s="24">
        <f>ALASBULUH!AG157+ALASREJO!U157+BAJULMATI!AD157+BANGSRING!W157+BENGKAK!Y157+BIMOREJO!R157+SIDODADI!U157+SIDOWANGI!P157+SUMBERANYAR!N157+SUMBERKENCONO!T157+WATUKEBO!Y157+WONGSOREJO!AM157</f>
        <v>42</v>
      </c>
      <c r="F157" s="18"/>
      <c r="G157" s="5"/>
      <c r="H157" s="5"/>
      <c r="I157" s="5"/>
      <c r="J157" s="5"/>
      <c r="K157" s="5"/>
      <c r="L157" s="5"/>
      <c r="M157" s="5"/>
      <c r="N157" s="5"/>
      <c r="O157" s="5"/>
      <c r="P157" s="6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5.75" customHeight="1">
      <c r="A158" s="18"/>
      <c r="B158" s="56"/>
      <c r="C158" s="57"/>
      <c r="D158" s="62"/>
      <c r="E158" s="63"/>
      <c r="F158" s="18"/>
      <c r="G158" s="5"/>
      <c r="H158" s="5"/>
      <c r="I158" s="5"/>
      <c r="J158" s="5"/>
      <c r="K158" s="5"/>
      <c r="L158" s="5"/>
      <c r="M158" s="5"/>
      <c r="N158" s="5"/>
      <c r="O158" s="5"/>
      <c r="P158" s="6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5.75" customHeight="1">
      <c r="A159" s="18"/>
      <c r="B159" s="56"/>
      <c r="C159" s="57"/>
      <c r="D159" s="62"/>
      <c r="E159" s="63"/>
      <c r="F159" s="18"/>
      <c r="G159" s="5"/>
      <c r="H159" s="5"/>
      <c r="I159" s="5"/>
      <c r="J159" s="5"/>
      <c r="K159" s="5"/>
      <c r="L159" s="5"/>
      <c r="M159" s="5"/>
      <c r="N159" s="5"/>
      <c r="O159" s="5"/>
      <c r="P159" s="6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5.75" customHeight="1">
      <c r="A160" s="18"/>
      <c r="B160" s="56"/>
      <c r="C160" s="57"/>
      <c r="D160" s="62"/>
      <c r="E160" s="63"/>
      <c r="F160" s="18"/>
      <c r="G160" s="5"/>
      <c r="H160" s="5"/>
      <c r="I160" s="5"/>
      <c r="J160" s="5"/>
      <c r="K160" s="5"/>
      <c r="L160" s="5"/>
      <c r="M160" s="5"/>
      <c r="N160" s="5"/>
      <c r="O160" s="5"/>
      <c r="P160" s="6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5.75" customHeight="1">
      <c r="A161" s="18"/>
      <c r="B161" s="56"/>
      <c r="C161" s="68"/>
      <c r="D161" s="62"/>
      <c r="E161" s="63"/>
      <c r="F161" s="18"/>
      <c r="G161" s="5"/>
      <c r="H161" s="5"/>
      <c r="I161" s="5"/>
      <c r="J161" s="5"/>
      <c r="K161" s="5"/>
      <c r="L161" s="5"/>
      <c r="M161" s="5"/>
      <c r="N161" s="5"/>
      <c r="O161" s="5"/>
      <c r="P161" s="6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5.75" customHeight="1">
      <c r="A162" s="18"/>
      <c r="B162" s="56"/>
      <c r="C162" s="68"/>
      <c r="D162" s="62"/>
      <c r="E162" s="63"/>
      <c r="F162" s="18"/>
      <c r="G162" s="5"/>
      <c r="H162" s="5"/>
      <c r="I162" s="5"/>
      <c r="J162" s="5"/>
      <c r="K162" s="5"/>
      <c r="L162" s="5"/>
      <c r="M162" s="5"/>
      <c r="N162" s="5"/>
      <c r="O162" s="5"/>
      <c r="P162" s="6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5.75" customHeight="1">
      <c r="A163" s="19" t="s">
        <v>15</v>
      </c>
      <c r="B163" s="69" t="s">
        <v>47</v>
      </c>
      <c r="C163" s="44"/>
      <c r="D163" s="28"/>
      <c r="E163" s="13">
        <f>SUM(E153:E157)</f>
        <v>175</v>
      </c>
      <c r="F163" s="18"/>
      <c r="G163" s="5"/>
      <c r="H163" s="5"/>
      <c r="I163" s="5"/>
      <c r="J163" s="5"/>
      <c r="K163" s="5"/>
      <c r="L163" s="5"/>
      <c r="M163" s="5"/>
      <c r="N163" s="5"/>
      <c r="O163" s="5"/>
      <c r="P163" s="6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5.75" customHeight="1">
      <c r="A164" s="24"/>
      <c r="B164" s="15"/>
      <c r="C164" s="15"/>
      <c r="D164" s="15"/>
      <c r="E164" s="16"/>
      <c r="F164" s="18"/>
      <c r="G164" s="5"/>
      <c r="H164" s="5"/>
      <c r="I164" s="5"/>
      <c r="J164" s="5"/>
      <c r="K164" s="5"/>
      <c r="L164" s="5"/>
      <c r="M164" s="5"/>
      <c r="N164" s="5"/>
      <c r="O164" s="5"/>
      <c r="P164" s="6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5.75" customHeight="1">
      <c r="A165" s="30" t="s">
        <v>37</v>
      </c>
      <c r="B165" s="47" t="s">
        <v>119</v>
      </c>
      <c r="C165" s="48" t="s">
        <v>120</v>
      </c>
      <c r="D165" s="16"/>
      <c r="E165" s="24">
        <f>ALASBULUH!AG165+ALASREJO!U165+BAJULMATI!AD165+BANGSRING!W165+BENGKAK!Y165+BIMOREJO!R165+SIDODADI!U165+SIDOWANGI!P165+SUMBERANYAR!N165+SUMBERKENCONO!T165+WATUKEBO!Y165+WONGSOREJO!AM165</f>
        <v>33</v>
      </c>
      <c r="F165" s="25"/>
      <c r="G165" s="1"/>
      <c r="H165" s="1"/>
      <c r="I165" s="1"/>
      <c r="J165" s="1"/>
      <c r="K165" s="1"/>
      <c r="L165" s="1"/>
      <c r="M165" s="1"/>
      <c r="N165" s="1"/>
      <c r="O165" s="1"/>
      <c r="P165" s="9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30" t="s">
        <v>39</v>
      </c>
      <c r="B166" s="55">
        <v>1.0</v>
      </c>
      <c r="C166" s="50" t="s">
        <v>121</v>
      </c>
      <c r="D166" s="60"/>
      <c r="E166" s="24">
        <f>ALASBULUH!AG166+ALASREJO!U166+BAJULMATI!AD166+BANGSRING!W166+BENGKAK!Y166+BIMOREJO!R166+SIDODADI!U166+SIDOWANGI!P166+SUMBERANYAR!N166+SUMBERKENCONO!T166+WATUKEBO!Y166+WONGSOREJO!AM166</f>
        <v>38</v>
      </c>
      <c r="F166" s="51"/>
      <c r="G166" s="52"/>
      <c r="H166" s="52"/>
      <c r="I166" s="52"/>
      <c r="J166" s="52"/>
      <c r="K166" s="52"/>
      <c r="L166" s="52"/>
      <c r="M166" s="52"/>
      <c r="N166" s="52"/>
      <c r="O166" s="52"/>
      <c r="P166" s="53"/>
      <c r="Q166" s="3"/>
      <c r="R166" s="3"/>
      <c r="S166" s="3"/>
      <c r="T166" s="3"/>
      <c r="U166" s="3"/>
      <c r="V166" s="3"/>
      <c r="W166" s="54"/>
      <c r="X166" s="3"/>
      <c r="Y166" s="3"/>
      <c r="Z166" s="3"/>
    </row>
    <row r="167" ht="15.75" customHeight="1">
      <c r="A167" s="18"/>
      <c r="B167" s="55">
        <v>2.0</v>
      </c>
      <c r="C167" s="50" t="s">
        <v>122</v>
      </c>
      <c r="D167" s="60"/>
      <c r="E167" s="24">
        <f>ALASBULUH!AG167+ALASREJO!U167+BAJULMATI!AD167+BANGSRING!W167+BENGKAK!Y167+BIMOREJO!R167+SIDODADI!U167+SIDOWANGI!P167+SUMBERANYAR!N167+SUMBERKENCONO!T167+WATUKEBO!Y167+WONGSOREJO!AM167</f>
        <v>7</v>
      </c>
      <c r="F167" s="18"/>
      <c r="G167" s="5"/>
      <c r="H167" s="5"/>
      <c r="I167" s="5"/>
      <c r="J167" s="5"/>
      <c r="K167" s="5"/>
      <c r="L167" s="5"/>
      <c r="M167" s="5"/>
      <c r="N167" s="5"/>
      <c r="O167" s="5"/>
      <c r="P167" s="6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5.75" customHeight="1">
      <c r="A168" s="18"/>
      <c r="B168" s="55">
        <v>3.0</v>
      </c>
      <c r="C168" s="50" t="s">
        <v>123</v>
      </c>
      <c r="D168" s="60"/>
      <c r="E168" s="24">
        <f>ALASBULUH!AG168+ALASREJO!U168+BAJULMATI!AD168+BANGSRING!W168+BENGKAK!Y168+BIMOREJO!R168+SIDODADI!U168+SIDOWANGI!P168+SUMBERANYAR!N168+SUMBERKENCONO!T168+WATUKEBO!Y168+WONGSOREJO!AM168</f>
        <v>7</v>
      </c>
      <c r="F168" s="18"/>
      <c r="G168" s="5"/>
      <c r="H168" s="5"/>
      <c r="I168" s="5"/>
      <c r="J168" s="5"/>
      <c r="K168" s="5"/>
      <c r="L168" s="5"/>
      <c r="M168" s="5"/>
      <c r="N168" s="5"/>
      <c r="O168" s="5"/>
      <c r="P168" s="6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5.75" customHeight="1">
      <c r="A169" s="18"/>
      <c r="B169" s="55">
        <v>4.0</v>
      </c>
      <c r="C169" s="50" t="s">
        <v>124</v>
      </c>
      <c r="D169" s="60"/>
      <c r="E169" s="24">
        <f>ALASBULUH!AG169+ALASREJO!U169+BAJULMATI!AD169+BANGSRING!W169+BENGKAK!Y169+BIMOREJO!R169+SIDODADI!U169+SIDOWANGI!P169+SUMBERANYAR!N169+SUMBERKENCONO!T169+WATUKEBO!Y169+WONGSOREJO!AM169</f>
        <v>5</v>
      </c>
      <c r="F169" s="18"/>
      <c r="G169" s="5"/>
      <c r="H169" s="5"/>
      <c r="I169" s="5"/>
      <c r="J169" s="5"/>
      <c r="K169" s="5"/>
      <c r="L169" s="5"/>
      <c r="M169" s="5"/>
      <c r="N169" s="5"/>
      <c r="O169" s="5"/>
      <c r="P169" s="6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5.75" customHeight="1">
      <c r="A170" s="18"/>
      <c r="B170" s="55">
        <v>5.0</v>
      </c>
      <c r="C170" s="50" t="s">
        <v>125</v>
      </c>
      <c r="D170" s="60"/>
      <c r="E170" s="24">
        <f>ALASBULUH!AG170+ALASREJO!U170+BAJULMATI!AD170+BANGSRING!W170+BENGKAK!Y170+BIMOREJO!R170+SIDODADI!U170+SIDOWANGI!P170+SUMBERANYAR!N170+SUMBERKENCONO!T170+WATUKEBO!Y170+WONGSOREJO!AM170</f>
        <v>1</v>
      </c>
      <c r="F170" s="18"/>
      <c r="G170" s="5"/>
      <c r="H170" s="5"/>
      <c r="I170" s="5"/>
      <c r="J170" s="5"/>
      <c r="K170" s="5"/>
      <c r="L170" s="5"/>
      <c r="M170" s="5"/>
      <c r="N170" s="5"/>
      <c r="O170" s="5"/>
      <c r="P170" s="6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5.75" customHeight="1">
      <c r="A171" s="18"/>
      <c r="B171" s="55">
        <v>6.0</v>
      </c>
      <c r="C171" s="50" t="s">
        <v>126</v>
      </c>
      <c r="D171" s="60"/>
      <c r="E171" s="24">
        <f>ALASBULUH!AG171+ALASREJO!U171+BAJULMATI!AD171+BANGSRING!W171+BENGKAK!Y171+BIMOREJO!R171+SIDODADI!U171+SIDOWANGI!P171+SUMBERANYAR!N171+SUMBERKENCONO!T171+WATUKEBO!Y171+WONGSOREJO!AM171</f>
        <v>2</v>
      </c>
      <c r="F171" s="18"/>
      <c r="G171" s="5"/>
      <c r="H171" s="5"/>
      <c r="I171" s="5"/>
      <c r="J171" s="5"/>
      <c r="K171" s="5"/>
      <c r="L171" s="5"/>
      <c r="M171" s="5"/>
      <c r="N171" s="5"/>
      <c r="O171" s="5"/>
      <c r="P171" s="6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5.75" customHeight="1">
      <c r="A172" s="18"/>
      <c r="B172" s="55">
        <v>7.0</v>
      </c>
      <c r="C172" s="50" t="s">
        <v>127</v>
      </c>
      <c r="D172" s="60"/>
      <c r="E172" s="24">
        <f>ALASBULUH!AG172+ALASREJO!U172+BAJULMATI!AD172+BANGSRING!W172+BENGKAK!Y172+BIMOREJO!R172+SIDODADI!U172+SIDOWANGI!P172+SUMBERANYAR!N172+SUMBERKENCONO!T172+WATUKEBO!Y172+WONGSOREJO!AM172</f>
        <v>1</v>
      </c>
      <c r="F172" s="18"/>
      <c r="G172" s="5"/>
      <c r="H172" s="5"/>
      <c r="I172" s="5"/>
      <c r="J172" s="5"/>
      <c r="K172" s="5"/>
      <c r="L172" s="5"/>
      <c r="M172" s="5"/>
      <c r="N172" s="5"/>
      <c r="O172" s="5"/>
      <c r="P172" s="6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5.75" customHeight="1">
      <c r="A173" s="18"/>
      <c r="B173" s="56"/>
      <c r="C173" s="57"/>
      <c r="D173" s="62"/>
      <c r="E173" s="58"/>
      <c r="F173" s="18"/>
      <c r="G173" s="5"/>
      <c r="H173" s="5"/>
      <c r="I173" s="5"/>
      <c r="J173" s="5"/>
      <c r="K173" s="5"/>
      <c r="L173" s="5"/>
      <c r="M173" s="5"/>
      <c r="N173" s="5"/>
      <c r="O173" s="5"/>
      <c r="P173" s="6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5.75" customHeight="1">
      <c r="A174" s="18"/>
      <c r="B174" s="56"/>
      <c r="C174" s="57"/>
      <c r="D174" s="62"/>
      <c r="E174" s="58"/>
      <c r="F174" s="18"/>
      <c r="G174" s="5"/>
      <c r="H174" s="5"/>
      <c r="I174" s="5"/>
      <c r="J174" s="5"/>
      <c r="K174" s="5"/>
      <c r="L174" s="5"/>
      <c r="M174" s="5"/>
      <c r="N174" s="5"/>
      <c r="O174" s="5"/>
      <c r="P174" s="6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5.75" customHeight="1">
      <c r="A175" s="19" t="s">
        <v>15</v>
      </c>
      <c r="B175" s="47" t="s">
        <v>47</v>
      </c>
      <c r="C175" s="15"/>
      <c r="D175" s="16"/>
      <c r="E175" s="13">
        <f>SUM(E165:E172)</f>
        <v>94</v>
      </c>
      <c r="F175" s="18"/>
      <c r="G175" s="5"/>
      <c r="H175" s="5"/>
      <c r="I175" s="5"/>
      <c r="J175" s="5"/>
      <c r="K175" s="5"/>
      <c r="L175" s="5"/>
      <c r="M175" s="5"/>
      <c r="N175" s="5"/>
      <c r="O175" s="5"/>
      <c r="P175" s="6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5.75" customHeight="1">
      <c r="A176" s="24"/>
      <c r="B176" s="15"/>
      <c r="C176" s="15"/>
      <c r="D176" s="15"/>
      <c r="E176" s="16"/>
      <c r="F176" s="18"/>
      <c r="G176" s="5"/>
      <c r="H176" s="5"/>
      <c r="I176" s="5"/>
      <c r="J176" s="5"/>
      <c r="K176" s="5"/>
      <c r="L176" s="5"/>
      <c r="M176" s="5"/>
      <c r="N176" s="5"/>
      <c r="O176" s="5"/>
      <c r="P176" s="6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5.75" customHeight="1">
      <c r="A177" s="30" t="s">
        <v>37</v>
      </c>
      <c r="B177" s="47" t="s">
        <v>128</v>
      </c>
      <c r="C177" s="48" t="s">
        <v>129</v>
      </c>
      <c r="D177" s="16"/>
      <c r="E177" s="24">
        <f>ALASBULUH!AG177+ALASREJO!U177+BAJULMATI!AD177+BANGSRING!W177+BENGKAK!Y177+BIMOREJO!R177+SIDODADI!U177+SIDOWANGI!P177+SUMBERANYAR!N177+SUMBERKENCONO!T177+WATUKEBO!Y177+WONGSOREJO!AM177</f>
        <v>81</v>
      </c>
      <c r="F177" s="25"/>
      <c r="G177" s="1"/>
      <c r="H177" s="1"/>
      <c r="I177" s="1"/>
      <c r="J177" s="1"/>
      <c r="K177" s="1"/>
      <c r="L177" s="1"/>
      <c r="M177" s="1"/>
      <c r="N177" s="1"/>
      <c r="O177" s="1"/>
      <c r="P177" s="9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30" t="s">
        <v>39</v>
      </c>
      <c r="B178" s="55">
        <v>1.0</v>
      </c>
      <c r="C178" s="50" t="s">
        <v>130</v>
      </c>
      <c r="D178" s="60"/>
      <c r="E178" s="24">
        <f>ALASBULUH!AG178+ALASREJO!U178+BAJULMATI!AD178+BANGSRING!W178+BENGKAK!Y178+BIMOREJO!R178+SIDODADI!U178+SIDOWANGI!P178+SUMBERANYAR!N178+SUMBERKENCONO!T178+WATUKEBO!Y178+WONGSOREJO!AM178</f>
        <v>206</v>
      </c>
      <c r="F178" s="51"/>
      <c r="G178" s="52"/>
      <c r="H178" s="52"/>
      <c r="I178" s="52"/>
      <c r="J178" s="52"/>
      <c r="K178" s="52"/>
      <c r="L178" s="52"/>
      <c r="M178" s="52"/>
      <c r="N178" s="52"/>
      <c r="O178" s="52"/>
      <c r="P178" s="53"/>
      <c r="Q178" s="3"/>
      <c r="R178" s="3"/>
      <c r="S178" s="3"/>
      <c r="T178" s="3"/>
      <c r="U178" s="3"/>
      <c r="V178" s="3"/>
      <c r="W178" s="54"/>
      <c r="X178" s="3"/>
      <c r="Y178" s="3"/>
      <c r="Z178" s="3"/>
    </row>
    <row r="179" ht="15.75" customHeight="1">
      <c r="A179" s="18"/>
      <c r="B179" s="55">
        <v>2.0</v>
      </c>
      <c r="C179" s="50" t="s">
        <v>131</v>
      </c>
      <c r="D179" s="60"/>
      <c r="E179" s="24">
        <f>ALASBULUH!AG179+ALASREJO!U179+BAJULMATI!AD179+BANGSRING!W179+BENGKAK!Y179+BIMOREJO!R179+SIDODADI!U179+SIDOWANGI!P179+SUMBERANYAR!N179+SUMBERKENCONO!T179+WATUKEBO!Y179+WONGSOREJO!AM179</f>
        <v>28</v>
      </c>
      <c r="F179" s="18"/>
      <c r="G179" s="5"/>
      <c r="H179" s="5"/>
      <c r="I179" s="5"/>
      <c r="J179" s="5"/>
      <c r="K179" s="5"/>
      <c r="L179" s="5"/>
      <c r="M179" s="5"/>
      <c r="N179" s="5"/>
      <c r="O179" s="5"/>
      <c r="P179" s="6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5.75" customHeight="1">
      <c r="A180" s="18"/>
      <c r="B180" s="55">
        <v>3.0</v>
      </c>
      <c r="C180" s="50" t="s">
        <v>132</v>
      </c>
      <c r="D180" s="60"/>
      <c r="E180" s="24">
        <f>ALASBULUH!AG180+ALASREJO!U180+BAJULMATI!AD180+BANGSRING!W180+BENGKAK!Y180+BIMOREJO!R180+SIDODADI!U180+SIDOWANGI!P180+SUMBERANYAR!N180+SUMBERKENCONO!T180+WATUKEBO!Y180+WONGSOREJO!AM180</f>
        <v>14</v>
      </c>
      <c r="F180" s="18"/>
      <c r="G180" s="5"/>
      <c r="H180" s="5"/>
      <c r="I180" s="5"/>
      <c r="J180" s="5"/>
      <c r="K180" s="5"/>
      <c r="L180" s="5"/>
      <c r="M180" s="5"/>
      <c r="N180" s="5"/>
      <c r="O180" s="5"/>
      <c r="P180" s="6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5.75" customHeight="1">
      <c r="A181" s="18"/>
      <c r="B181" s="55">
        <v>4.0</v>
      </c>
      <c r="C181" s="50" t="s">
        <v>133</v>
      </c>
      <c r="D181" s="60"/>
      <c r="E181" s="24">
        <f>ALASBULUH!AG181+ALASREJO!U181+BAJULMATI!AD181+BANGSRING!W181+BENGKAK!Y181+BIMOREJO!R181+SIDODADI!U181+SIDOWANGI!P181+SUMBERANYAR!N181+SUMBERKENCONO!T181+WATUKEBO!Y181+WONGSOREJO!AM181</f>
        <v>13</v>
      </c>
      <c r="F181" s="18"/>
      <c r="G181" s="5"/>
      <c r="H181" s="5"/>
      <c r="I181" s="5"/>
      <c r="J181" s="5"/>
      <c r="K181" s="5"/>
      <c r="L181" s="5"/>
      <c r="M181" s="5"/>
      <c r="N181" s="5"/>
      <c r="O181" s="5"/>
      <c r="P181" s="6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5.75" customHeight="1">
      <c r="A182" s="18"/>
      <c r="B182" s="55">
        <v>5.0</v>
      </c>
      <c r="C182" s="50" t="s">
        <v>134</v>
      </c>
      <c r="D182" s="60"/>
      <c r="E182" s="24">
        <f>ALASBULUH!AG182+ALASREJO!U182+BAJULMATI!AD182+BANGSRING!W182+BENGKAK!Y182+BIMOREJO!R182+SIDODADI!U182+SIDOWANGI!P182+SUMBERANYAR!N182+SUMBERKENCONO!T182+WATUKEBO!Y182+WONGSOREJO!AM182</f>
        <v>31</v>
      </c>
      <c r="F182" s="18"/>
      <c r="G182" s="5"/>
      <c r="H182" s="5"/>
      <c r="I182" s="5"/>
      <c r="J182" s="5"/>
      <c r="K182" s="5"/>
      <c r="L182" s="5"/>
      <c r="M182" s="5"/>
      <c r="N182" s="5"/>
      <c r="O182" s="5"/>
      <c r="P182" s="6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5.75" customHeight="1">
      <c r="A183" s="18"/>
      <c r="B183" s="55">
        <v>6.0</v>
      </c>
      <c r="C183" s="50" t="s">
        <v>135</v>
      </c>
      <c r="D183" s="60"/>
      <c r="E183" s="24">
        <f>ALASBULUH!AG183+ALASREJO!U183+BAJULMATI!AD183+BANGSRING!W183+BENGKAK!Y183+BIMOREJO!R183+SIDODADI!U183+SIDOWANGI!P183+SUMBERANYAR!N183+SUMBERKENCONO!T183+WATUKEBO!Y183+WONGSOREJO!AM183</f>
        <v>9</v>
      </c>
      <c r="F183" s="18"/>
      <c r="G183" s="5"/>
      <c r="H183" s="5"/>
      <c r="I183" s="5"/>
      <c r="J183" s="5"/>
      <c r="K183" s="5"/>
      <c r="L183" s="5"/>
      <c r="M183" s="5"/>
      <c r="N183" s="5"/>
      <c r="O183" s="5"/>
      <c r="P183" s="6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5.75" customHeight="1">
      <c r="A184" s="18"/>
      <c r="B184" s="55">
        <v>7.0</v>
      </c>
      <c r="C184" s="50" t="s">
        <v>136</v>
      </c>
      <c r="D184" s="60"/>
      <c r="E184" s="24">
        <f>ALASBULUH!AG184+ALASREJO!U184+BAJULMATI!AD184+BANGSRING!W184+BENGKAK!Y184+BIMOREJO!R184+SIDODADI!U184+SIDOWANGI!P184+SUMBERANYAR!N184+SUMBERKENCONO!T184+WATUKEBO!Y184+WONGSOREJO!AM184</f>
        <v>3</v>
      </c>
      <c r="F184" s="18"/>
      <c r="G184" s="5"/>
      <c r="H184" s="5"/>
      <c r="I184" s="5"/>
      <c r="J184" s="5"/>
      <c r="K184" s="5"/>
      <c r="L184" s="5"/>
      <c r="M184" s="5"/>
      <c r="N184" s="5"/>
      <c r="O184" s="5"/>
      <c r="P184" s="6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5.75" customHeight="1">
      <c r="A185" s="18"/>
      <c r="B185" s="56"/>
      <c r="C185" s="57"/>
      <c r="D185" s="62"/>
      <c r="E185" s="58"/>
      <c r="F185" s="18"/>
      <c r="G185" s="5"/>
      <c r="H185" s="5"/>
      <c r="I185" s="5"/>
      <c r="J185" s="5"/>
      <c r="K185" s="5"/>
      <c r="L185" s="5"/>
      <c r="M185" s="5"/>
      <c r="N185" s="5"/>
      <c r="O185" s="5"/>
      <c r="P185" s="6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5.75" customHeight="1">
      <c r="A186" s="18"/>
      <c r="B186" s="56"/>
      <c r="C186" s="57"/>
      <c r="D186" s="62"/>
      <c r="E186" s="58"/>
      <c r="F186" s="18"/>
      <c r="G186" s="5"/>
      <c r="H186" s="5"/>
      <c r="I186" s="5"/>
      <c r="J186" s="5"/>
      <c r="K186" s="5"/>
      <c r="L186" s="5"/>
      <c r="M186" s="5"/>
      <c r="N186" s="5"/>
      <c r="O186" s="5"/>
      <c r="P186" s="6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5.75" customHeight="1">
      <c r="A187" s="19" t="s">
        <v>15</v>
      </c>
      <c r="B187" s="47" t="s">
        <v>47</v>
      </c>
      <c r="C187" s="15"/>
      <c r="D187" s="16"/>
      <c r="E187" s="13">
        <f>SUM(E177:E184)</f>
        <v>385</v>
      </c>
      <c r="F187" s="18"/>
      <c r="G187" s="5"/>
      <c r="H187" s="5"/>
      <c r="I187" s="5"/>
      <c r="J187" s="5"/>
      <c r="K187" s="5"/>
      <c r="L187" s="5"/>
      <c r="M187" s="5"/>
      <c r="N187" s="5"/>
      <c r="O187" s="5"/>
      <c r="P187" s="6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5.75" customHeight="1">
      <c r="A188" s="24"/>
      <c r="B188" s="15"/>
      <c r="C188" s="15"/>
      <c r="D188" s="15"/>
      <c r="E188" s="16"/>
      <c r="F188" s="18"/>
      <c r="G188" s="5"/>
      <c r="H188" s="5"/>
      <c r="I188" s="5"/>
      <c r="J188" s="5"/>
      <c r="K188" s="5"/>
      <c r="L188" s="5"/>
      <c r="M188" s="5"/>
      <c r="N188" s="5"/>
      <c r="O188" s="5"/>
      <c r="P188" s="6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5.75" customHeight="1">
      <c r="A189" s="30" t="s">
        <v>37</v>
      </c>
      <c r="B189" s="47" t="s">
        <v>137</v>
      </c>
      <c r="C189" s="48" t="s">
        <v>138</v>
      </c>
      <c r="D189" s="16"/>
      <c r="E189" s="24">
        <f>ALASBULUH!AG189+ALASREJO!U189+BAJULMATI!AD189+BANGSRING!W189+BENGKAK!Y189+BIMOREJO!R189+SIDODADI!U189+SIDOWANGI!P189+SUMBERANYAR!N189+SUMBERKENCONO!T189+WATUKEBO!Y189+WONGSOREJO!AM189</f>
        <v>42</v>
      </c>
      <c r="F189" s="25"/>
      <c r="G189" s="1"/>
      <c r="H189" s="1"/>
      <c r="I189" s="1"/>
      <c r="J189" s="1"/>
      <c r="K189" s="1"/>
      <c r="L189" s="1"/>
      <c r="M189" s="1"/>
      <c r="N189" s="1"/>
      <c r="O189" s="1"/>
      <c r="P189" s="9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30" t="s">
        <v>39</v>
      </c>
      <c r="B190" s="55">
        <v>1.0</v>
      </c>
      <c r="C190" s="50" t="s">
        <v>139</v>
      </c>
      <c r="D190" s="60"/>
      <c r="E190" s="24">
        <f>ALASBULUH!AG190+ALASREJO!U190+BAJULMATI!AD190+BANGSRING!W190+BENGKAK!Y190+BIMOREJO!R190+SIDODADI!U190+SIDOWANGI!P190+SUMBERANYAR!N190+SUMBERKENCONO!T190+WATUKEBO!Y190+WONGSOREJO!AM190</f>
        <v>20</v>
      </c>
      <c r="F190" s="51"/>
      <c r="G190" s="52"/>
      <c r="H190" s="52"/>
      <c r="I190" s="52"/>
      <c r="J190" s="52"/>
      <c r="K190" s="52"/>
      <c r="L190" s="52"/>
      <c r="M190" s="52"/>
      <c r="N190" s="52"/>
      <c r="O190" s="52"/>
      <c r="P190" s="53"/>
      <c r="Q190" s="3"/>
      <c r="R190" s="3"/>
      <c r="S190" s="3"/>
      <c r="T190" s="3"/>
      <c r="U190" s="3"/>
      <c r="V190" s="3"/>
      <c r="W190" s="54"/>
      <c r="X190" s="3"/>
      <c r="Y190" s="3"/>
      <c r="Z190" s="3"/>
    </row>
    <row r="191" ht="15.75" customHeight="1">
      <c r="A191" s="18"/>
      <c r="B191" s="55">
        <v>2.0</v>
      </c>
      <c r="C191" s="50" t="s">
        <v>140</v>
      </c>
      <c r="D191" s="60"/>
      <c r="E191" s="24">
        <f>ALASBULUH!AG191+ALASREJO!U191+BAJULMATI!AD191+BANGSRING!W191+BENGKAK!Y191+BIMOREJO!R191+SIDODADI!U191+SIDOWANGI!P191+SUMBERANYAR!N191+SUMBERKENCONO!T191+WATUKEBO!Y191+WONGSOREJO!AM191</f>
        <v>25</v>
      </c>
      <c r="F191" s="18"/>
      <c r="G191" s="5"/>
      <c r="H191" s="5"/>
      <c r="I191" s="5"/>
      <c r="J191" s="5"/>
      <c r="K191" s="5"/>
      <c r="L191" s="5"/>
      <c r="M191" s="5"/>
      <c r="N191" s="5"/>
      <c r="O191" s="5"/>
      <c r="P191" s="6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5.75" customHeight="1">
      <c r="A192" s="18"/>
      <c r="B192" s="55">
        <v>3.0</v>
      </c>
      <c r="C192" s="50" t="s">
        <v>141</v>
      </c>
      <c r="D192" s="60"/>
      <c r="E192" s="24">
        <f>ALASBULUH!AG192+ALASREJO!U192+BAJULMATI!AD192+BANGSRING!W192+BENGKAK!Y192+BIMOREJO!R192+SIDODADI!U192+SIDOWANGI!P192+SUMBERANYAR!N192+SUMBERKENCONO!T192+WATUKEBO!Y192+WONGSOREJO!AM192</f>
        <v>4</v>
      </c>
      <c r="F192" s="18"/>
      <c r="G192" s="5"/>
      <c r="H192" s="5"/>
      <c r="I192" s="5"/>
      <c r="J192" s="5"/>
      <c r="K192" s="5"/>
      <c r="L192" s="5"/>
      <c r="M192" s="5"/>
      <c r="N192" s="5"/>
      <c r="O192" s="5"/>
      <c r="P192" s="6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5.75" customHeight="1">
      <c r="A193" s="18"/>
      <c r="B193" s="55">
        <v>4.0</v>
      </c>
      <c r="C193" s="50" t="s">
        <v>142</v>
      </c>
      <c r="D193" s="60"/>
      <c r="E193" s="24">
        <f>ALASBULUH!AG193+ALASREJO!U193+BAJULMATI!AD193+BANGSRING!W193+BENGKAK!Y193+BIMOREJO!R193+SIDODADI!U193+SIDOWANGI!P193+SUMBERANYAR!N193+SUMBERKENCONO!T193+WATUKEBO!Y193+WONGSOREJO!AM193</f>
        <v>7</v>
      </c>
      <c r="F193" s="18"/>
      <c r="G193" s="5"/>
      <c r="H193" s="5"/>
      <c r="I193" s="5"/>
      <c r="J193" s="5"/>
      <c r="K193" s="5"/>
      <c r="L193" s="5"/>
      <c r="M193" s="5"/>
      <c r="N193" s="5"/>
      <c r="O193" s="5"/>
      <c r="P193" s="6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5.75" customHeight="1">
      <c r="A194" s="18"/>
      <c r="B194" s="55">
        <v>5.0</v>
      </c>
      <c r="C194" s="50" t="s">
        <v>143</v>
      </c>
      <c r="D194" s="60"/>
      <c r="E194" s="24">
        <f>ALASBULUH!AG194+ALASREJO!U194+BAJULMATI!AD194+BANGSRING!W194+BENGKAK!Y194+BIMOREJO!R194+SIDODADI!U194+SIDOWANGI!P194+SUMBERANYAR!N194+SUMBERKENCONO!T194+WATUKEBO!Y194+WONGSOREJO!AM194</f>
        <v>8</v>
      </c>
      <c r="F194" s="18"/>
      <c r="G194" s="5"/>
      <c r="H194" s="5"/>
      <c r="I194" s="5"/>
      <c r="J194" s="5"/>
      <c r="K194" s="5"/>
      <c r="L194" s="5"/>
      <c r="M194" s="5"/>
      <c r="N194" s="5"/>
      <c r="O194" s="5"/>
      <c r="P194" s="6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5.75" customHeight="1">
      <c r="A195" s="18"/>
      <c r="B195" s="55">
        <v>6.0</v>
      </c>
      <c r="C195" s="50" t="s">
        <v>144</v>
      </c>
      <c r="D195" s="60"/>
      <c r="E195" s="24">
        <f>ALASBULUH!AG195+ALASREJO!U195+BAJULMATI!AD195+BANGSRING!W195+BENGKAK!Y195+BIMOREJO!R195+SIDODADI!U195+SIDOWANGI!P195+SUMBERANYAR!N195+SUMBERKENCONO!T195+WATUKEBO!Y195+WONGSOREJO!AM195</f>
        <v>9</v>
      </c>
      <c r="F195" s="18"/>
      <c r="G195" s="5"/>
      <c r="H195" s="5"/>
      <c r="I195" s="5"/>
      <c r="J195" s="5"/>
      <c r="K195" s="5"/>
      <c r="L195" s="5"/>
      <c r="M195" s="5"/>
      <c r="N195" s="5"/>
      <c r="O195" s="5"/>
      <c r="P195" s="6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5.75" customHeight="1">
      <c r="A196" s="18"/>
      <c r="B196" s="55">
        <v>7.0</v>
      </c>
      <c r="C196" s="50" t="s">
        <v>145</v>
      </c>
      <c r="D196" s="60"/>
      <c r="E196" s="24">
        <f>ALASBULUH!AG196+ALASREJO!U196+BAJULMATI!AD196+BANGSRING!W196+BENGKAK!Y196+BIMOREJO!R196+SIDODADI!U196+SIDOWANGI!P196+SUMBERANYAR!N196+SUMBERKENCONO!T196+WATUKEBO!Y196+WONGSOREJO!AM196</f>
        <v>4</v>
      </c>
      <c r="F196" s="18"/>
      <c r="G196" s="5"/>
      <c r="H196" s="5"/>
      <c r="I196" s="5"/>
      <c r="J196" s="5"/>
      <c r="K196" s="5"/>
      <c r="L196" s="5"/>
      <c r="M196" s="5"/>
      <c r="N196" s="5"/>
      <c r="O196" s="5"/>
      <c r="P196" s="6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5.75" customHeight="1">
      <c r="A197" s="18"/>
      <c r="B197" s="56"/>
      <c r="C197" s="57"/>
      <c r="D197" s="62"/>
      <c r="E197" s="58"/>
      <c r="F197" s="18"/>
      <c r="G197" s="5"/>
      <c r="H197" s="5"/>
      <c r="I197" s="5"/>
      <c r="J197" s="5"/>
      <c r="K197" s="5"/>
      <c r="L197" s="5"/>
      <c r="M197" s="5"/>
      <c r="N197" s="5"/>
      <c r="O197" s="5"/>
      <c r="P197" s="6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5.75" customHeight="1">
      <c r="A198" s="18"/>
      <c r="B198" s="56"/>
      <c r="C198" s="57"/>
      <c r="D198" s="62"/>
      <c r="E198" s="58"/>
      <c r="F198" s="18"/>
      <c r="G198" s="5"/>
      <c r="H198" s="5"/>
      <c r="I198" s="5"/>
      <c r="J198" s="5"/>
      <c r="K198" s="5"/>
      <c r="L198" s="5"/>
      <c r="M198" s="5"/>
      <c r="N198" s="5"/>
      <c r="O198" s="5"/>
      <c r="P198" s="6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5.75" customHeight="1">
      <c r="A199" s="19" t="s">
        <v>15</v>
      </c>
      <c r="B199" s="47" t="s">
        <v>47</v>
      </c>
      <c r="C199" s="15"/>
      <c r="D199" s="16"/>
      <c r="E199" s="13">
        <f>SUM(E189:E196)</f>
        <v>119</v>
      </c>
      <c r="F199" s="18"/>
      <c r="G199" s="5"/>
      <c r="H199" s="5"/>
      <c r="I199" s="5"/>
      <c r="J199" s="5"/>
      <c r="K199" s="5"/>
      <c r="L199" s="5"/>
      <c r="M199" s="5"/>
      <c r="N199" s="5"/>
      <c r="O199" s="5"/>
      <c r="P199" s="6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5.75" customHeight="1">
      <c r="A200" s="24"/>
      <c r="B200" s="15"/>
      <c r="C200" s="15"/>
      <c r="D200" s="15"/>
      <c r="E200" s="16"/>
      <c r="F200" s="18"/>
      <c r="G200" s="5"/>
      <c r="H200" s="5"/>
      <c r="I200" s="5"/>
      <c r="J200" s="5"/>
      <c r="K200" s="5"/>
      <c r="L200" s="5"/>
      <c r="M200" s="5"/>
      <c r="N200" s="5"/>
      <c r="O200" s="5"/>
      <c r="P200" s="6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5.75" customHeight="1">
      <c r="A201" s="30" t="s">
        <v>37</v>
      </c>
      <c r="B201" s="47" t="s">
        <v>146</v>
      </c>
      <c r="C201" s="48" t="s">
        <v>147</v>
      </c>
      <c r="D201" s="16"/>
      <c r="E201" s="24">
        <f>ALASBULUH!AG201+ALASREJO!U201+BAJULMATI!AD201+BANGSRING!W201+BENGKAK!Y201+BIMOREJO!R201+SIDODADI!U201+SIDOWANGI!P201+SUMBERANYAR!N201+SUMBERKENCONO!T201+WATUKEBO!Y201+WONGSOREJO!AM201</f>
        <v>260</v>
      </c>
      <c r="F201" s="25"/>
      <c r="G201" s="1"/>
      <c r="H201" s="1"/>
      <c r="I201" s="1"/>
      <c r="J201" s="1"/>
      <c r="K201" s="1"/>
      <c r="L201" s="1"/>
      <c r="M201" s="1"/>
      <c r="N201" s="1"/>
      <c r="O201" s="1"/>
      <c r="P201" s="9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30" t="s">
        <v>39</v>
      </c>
      <c r="B202" s="55">
        <v>1.0</v>
      </c>
      <c r="C202" s="50" t="s">
        <v>148</v>
      </c>
      <c r="D202" s="60"/>
      <c r="E202" s="24">
        <f>ALASBULUH!AG202+ALASREJO!U202+BAJULMATI!AD202+BANGSRING!W202+BENGKAK!Y202+BIMOREJO!R202+SIDODADI!U202+SIDOWANGI!P202+SUMBERANYAR!N202+SUMBERKENCONO!T202+WATUKEBO!Y202+WONGSOREJO!AM202</f>
        <v>571</v>
      </c>
      <c r="F202" s="51"/>
      <c r="G202" s="52"/>
      <c r="H202" s="52"/>
      <c r="I202" s="52"/>
      <c r="J202" s="52"/>
      <c r="K202" s="52"/>
      <c r="L202" s="52"/>
      <c r="M202" s="52"/>
      <c r="N202" s="52"/>
      <c r="O202" s="52"/>
      <c r="P202" s="53"/>
      <c r="Q202" s="3"/>
      <c r="R202" s="3"/>
      <c r="S202" s="3"/>
      <c r="T202" s="3"/>
      <c r="U202" s="3"/>
      <c r="V202" s="3"/>
      <c r="W202" s="54"/>
      <c r="X202" s="3"/>
      <c r="Y202" s="3"/>
      <c r="Z202" s="3"/>
    </row>
    <row r="203" ht="15.75" customHeight="1">
      <c r="A203" s="18"/>
      <c r="B203" s="55">
        <v>2.0</v>
      </c>
      <c r="C203" s="50" t="s">
        <v>149</v>
      </c>
      <c r="D203" s="60"/>
      <c r="E203" s="24">
        <f>ALASBULUH!AG203+ALASREJO!U203+BAJULMATI!AD203+BANGSRING!W203+BENGKAK!Y203+BIMOREJO!R203+SIDODADI!U203+SIDOWANGI!P203+SUMBERANYAR!N203+SUMBERKENCONO!T203+WATUKEBO!Y203+WONGSOREJO!AM203</f>
        <v>135</v>
      </c>
      <c r="F203" s="18"/>
      <c r="G203" s="5"/>
      <c r="H203" s="5"/>
      <c r="I203" s="5"/>
      <c r="J203" s="5"/>
      <c r="K203" s="5"/>
      <c r="L203" s="5"/>
      <c r="M203" s="5"/>
      <c r="N203" s="5"/>
      <c r="O203" s="5"/>
      <c r="P203" s="6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5.75" customHeight="1">
      <c r="A204" s="18"/>
      <c r="B204" s="55">
        <v>3.0</v>
      </c>
      <c r="C204" s="50" t="s">
        <v>150</v>
      </c>
      <c r="D204" s="60"/>
      <c r="E204" s="24">
        <f>ALASBULUH!AG204+ALASREJO!U204+BAJULMATI!AD204+BANGSRING!W204+BENGKAK!Y204+BIMOREJO!R204+SIDODADI!U204+SIDOWANGI!P204+SUMBERANYAR!N204+SUMBERKENCONO!T204+WATUKEBO!Y204+WONGSOREJO!AM204</f>
        <v>34</v>
      </c>
      <c r="F204" s="18"/>
      <c r="G204" s="5"/>
      <c r="H204" s="5"/>
      <c r="I204" s="5"/>
      <c r="J204" s="5"/>
      <c r="K204" s="5"/>
      <c r="L204" s="5"/>
      <c r="M204" s="5"/>
      <c r="N204" s="5"/>
      <c r="O204" s="5"/>
      <c r="P204" s="6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5.75" customHeight="1">
      <c r="A205" s="18"/>
      <c r="B205" s="55">
        <v>4.0</v>
      </c>
      <c r="C205" s="50" t="s">
        <v>151</v>
      </c>
      <c r="D205" s="60"/>
      <c r="E205" s="24">
        <f>ALASBULUH!AG205+ALASREJO!U205+BAJULMATI!AD205+BANGSRING!W205+BENGKAK!Y205+BIMOREJO!R205+SIDODADI!U205+SIDOWANGI!P205+SUMBERANYAR!N205+SUMBERKENCONO!T205+WATUKEBO!Y205+WONGSOREJO!AM205</f>
        <v>111</v>
      </c>
      <c r="F205" s="18"/>
      <c r="G205" s="5"/>
      <c r="H205" s="5"/>
      <c r="I205" s="5"/>
      <c r="J205" s="5"/>
      <c r="K205" s="5"/>
      <c r="L205" s="5"/>
      <c r="M205" s="5"/>
      <c r="N205" s="5"/>
      <c r="O205" s="5"/>
      <c r="P205" s="6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5.75" customHeight="1">
      <c r="A206" s="18"/>
      <c r="B206" s="55">
        <v>5.0</v>
      </c>
      <c r="C206" s="50" t="s">
        <v>152</v>
      </c>
      <c r="D206" s="60"/>
      <c r="E206" s="24">
        <f>ALASBULUH!AG206+ALASREJO!U206+BAJULMATI!AD206+BANGSRING!W206+BENGKAK!Y206+BIMOREJO!R206+SIDODADI!U206+SIDOWANGI!P206+SUMBERANYAR!N206+SUMBERKENCONO!T206+WATUKEBO!Y206+WONGSOREJO!AM206</f>
        <v>16</v>
      </c>
      <c r="F206" s="18"/>
      <c r="G206" s="5"/>
      <c r="H206" s="5"/>
      <c r="I206" s="5"/>
      <c r="J206" s="5"/>
      <c r="K206" s="5"/>
      <c r="L206" s="5"/>
      <c r="M206" s="5"/>
      <c r="N206" s="5"/>
      <c r="O206" s="5"/>
      <c r="P206" s="6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5.75" customHeight="1">
      <c r="A207" s="18"/>
      <c r="B207" s="55">
        <v>6.0</v>
      </c>
      <c r="C207" s="50" t="s">
        <v>153</v>
      </c>
      <c r="D207" s="60"/>
      <c r="E207" s="24">
        <f>ALASBULUH!AG207+ALASREJO!U207+BAJULMATI!AD207+BANGSRING!W207+BENGKAK!Y207+BIMOREJO!R207+SIDODADI!U207+SIDOWANGI!P207+SUMBERANYAR!N207+SUMBERKENCONO!T207+WATUKEBO!Y207+WONGSOREJO!AM207</f>
        <v>7</v>
      </c>
      <c r="F207" s="18"/>
      <c r="G207" s="5"/>
      <c r="H207" s="5"/>
      <c r="I207" s="5"/>
      <c r="J207" s="5"/>
      <c r="K207" s="5"/>
      <c r="L207" s="5"/>
      <c r="M207" s="5"/>
      <c r="N207" s="5"/>
      <c r="O207" s="5"/>
      <c r="P207" s="6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5.75" customHeight="1">
      <c r="A208" s="18"/>
      <c r="B208" s="55">
        <v>7.0</v>
      </c>
      <c r="C208" s="50" t="s">
        <v>154</v>
      </c>
      <c r="D208" s="60"/>
      <c r="E208" s="24">
        <f>ALASBULUH!AG208+ALASREJO!U208+BAJULMATI!AD208+BANGSRING!W208+BENGKAK!Y208+BIMOREJO!R208+SIDODADI!U208+SIDOWANGI!P208+SUMBERANYAR!N208+SUMBERKENCONO!T208+WATUKEBO!Y208+WONGSOREJO!AM208</f>
        <v>10</v>
      </c>
      <c r="F208" s="18"/>
      <c r="G208" s="5"/>
      <c r="H208" s="5"/>
      <c r="I208" s="5"/>
      <c r="J208" s="5"/>
      <c r="K208" s="5"/>
      <c r="L208" s="5"/>
      <c r="M208" s="5"/>
      <c r="N208" s="5"/>
      <c r="O208" s="5"/>
      <c r="P208" s="6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5.75" customHeight="1">
      <c r="A209" s="18"/>
      <c r="B209" s="56"/>
      <c r="C209" s="57"/>
      <c r="D209" s="62"/>
      <c r="E209" s="58"/>
      <c r="F209" s="18"/>
      <c r="G209" s="5"/>
      <c r="H209" s="5"/>
      <c r="I209" s="5"/>
      <c r="J209" s="5"/>
      <c r="K209" s="5"/>
      <c r="L209" s="5"/>
      <c r="M209" s="5"/>
      <c r="N209" s="5"/>
      <c r="O209" s="5"/>
      <c r="P209" s="6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5.75" customHeight="1">
      <c r="A210" s="18"/>
      <c r="B210" s="56"/>
      <c r="C210" s="57"/>
      <c r="D210" s="62"/>
      <c r="E210" s="58"/>
      <c r="F210" s="18"/>
      <c r="G210" s="5"/>
      <c r="H210" s="5"/>
      <c r="I210" s="5"/>
      <c r="J210" s="5"/>
      <c r="K210" s="5"/>
      <c r="L210" s="5"/>
      <c r="M210" s="5"/>
      <c r="N210" s="5"/>
      <c r="O210" s="5"/>
      <c r="P210" s="6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5.75" customHeight="1">
      <c r="A211" s="19" t="s">
        <v>15</v>
      </c>
      <c r="B211" s="47" t="s">
        <v>47</v>
      </c>
      <c r="C211" s="15"/>
      <c r="D211" s="16"/>
      <c r="E211" s="13">
        <f>SUM(E201:E208)</f>
        <v>1144</v>
      </c>
      <c r="F211" s="18"/>
      <c r="G211" s="5"/>
      <c r="H211" s="5"/>
      <c r="I211" s="5"/>
      <c r="J211" s="5"/>
      <c r="K211" s="5"/>
      <c r="L211" s="5"/>
      <c r="M211" s="5"/>
      <c r="N211" s="5"/>
      <c r="O211" s="5"/>
      <c r="P211" s="6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5.75" customHeight="1">
      <c r="A212" s="24"/>
      <c r="B212" s="15"/>
      <c r="C212" s="15"/>
      <c r="D212" s="15"/>
      <c r="E212" s="16"/>
      <c r="F212" s="18"/>
      <c r="G212" s="5"/>
      <c r="H212" s="5"/>
      <c r="I212" s="5"/>
      <c r="J212" s="5"/>
      <c r="K212" s="5"/>
      <c r="L212" s="5"/>
      <c r="M212" s="5"/>
      <c r="N212" s="5"/>
      <c r="O212" s="5"/>
      <c r="P212" s="6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5.75" customHeight="1">
      <c r="A213" s="30" t="s">
        <v>37</v>
      </c>
      <c r="B213" s="47" t="s">
        <v>155</v>
      </c>
      <c r="C213" s="48" t="s">
        <v>156</v>
      </c>
      <c r="D213" s="16"/>
      <c r="E213" s="24">
        <f>ALASBULUH!AG213+ALASREJO!U213+BAJULMATI!AD213+BANGSRING!W213+BENGKAK!Y213+BIMOREJO!R213+SIDODADI!U213+SIDOWANGI!P213+SUMBERANYAR!N213+SUMBERKENCONO!T213+WATUKEBO!Y213+WONGSOREJO!AM213</f>
        <v>222</v>
      </c>
      <c r="F213" s="25"/>
      <c r="G213" s="1"/>
      <c r="H213" s="1"/>
      <c r="I213" s="1"/>
      <c r="J213" s="1"/>
      <c r="K213" s="1"/>
      <c r="L213" s="1"/>
      <c r="M213" s="1"/>
      <c r="N213" s="1"/>
      <c r="O213" s="1"/>
      <c r="P213" s="9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30" t="s">
        <v>39</v>
      </c>
      <c r="B214" s="55">
        <v>1.0</v>
      </c>
      <c r="C214" s="50" t="s">
        <v>157</v>
      </c>
      <c r="D214" s="59"/>
      <c r="E214" s="24">
        <f>ALASBULUH!AG214+ALASREJO!U214+BAJULMATI!AD214+BANGSRING!W214+BENGKAK!Y214+BIMOREJO!R214+SIDODADI!U214+SIDOWANGI!P214+SUMBERANYAR!N214+SUMBERKENCONO!T214+WATUKEBO!Y214+WONGSOREJO!AM214</f>
        <v>1262</v>
      </c>
      <c r="F214" s="51"/>
      <c r="G214" s="52"/>
      <c r="H214" s="52"/>
      <c r="I214" s="52"/>
      <c r="J214" s="52"/>
      <c r="K214" s="52"/>
      <c r="L214" s="52"/>
      <c r="M214" s="52"/>
      <c r="N214" s="52"/>
      <c r="O214" s="52"/>
      <c r="P214" s="53"/>
      <c r="Q214" s="3"/>
      <c r="R214" s="3"/>
      <c r="S214" s="3"/>
      <c r="T214" s="3"/>
      <c r="U214" s="3"/>
      <c r="V214" s="3"/>
      <c r="W214" s="54"/>
      <c r="X214" s="3"/>
      <c r="Y214" s="3"/>
      <c r="Z214" s="3"/>
    </row>
    <row r="215" ht="15.75" customHeight="1">
      <c r="A215" s="18"/>
      <c r="B215" s="55">
        <v>2.0</v>
      </c>
      <c r="C215" s="50" t="s">
        <v>158</v>
      </c>
      <c r="D215" s="59"/>
      <c r="E215" s="24">
        <f>ALASBULUH!AG215+ALASREJO!U215+BAJULMATI!AD215+BANGSRING!W215+BENGKAK!Y215+BIMOREJO!R215+SIDODADI!U215+SIDOWANGI!P215+SUMBERANYAR!N215+SUMBERKENCONO!T215+WATUKEBO!Y215+WONGSOREJO!AM215</f>
        <v>873</v>
      </c>
      <c r="F215" s="18"/>
      <c r="G215" s="5"/>
      <c r="H215" s="5"/>
      <c r="I215" s="5"/>
      <c r="J215" s="5"/>
      <c r="K215" s="5"/>
      <c r="L215" s="5"/>
      <c r="M215" s="5"/>
      <c r="N215" s="5"/>
      <c r="O215" s="5"/>
      <c r="P215" s="6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5.75" customHeight="1">
      <c r="A216" s="18"/>
      <c r="B216" s="55">
        <v>3.0</v>
      </c>
      <c r="C216" s="70" t="s">
        <v>159</v>
      </c>
      <c r="E216" s="24">
        <f>ALASBULUH!AG216+ALASREJO!U216+BAJULMATI!AD216+BANGSRING!W216+BENGKAK!Y216+BIMOREJO!R216+SIDODADI!U216+SIDOWANGI!P216+SUMBERANYAR!N216+SUMBERKENCONO!T216+WATUKEBO!Y216+WONGSOREJO!AM216</f>
        <v>39</v>
      </c>
      <c r="F216" s="18"/>
      <c r="G216" s="5"/>
      <c r="H216" s="5"/>
      <c r="I216" s="5"/>
      <c r="J216" s="5"/>
      <c r="K216" s="5"/>
      <c r="L216" s="5"/>
      <c r="M216" s="5"/>
      <c r="N216" s="5"/>
      <c r="O216" s="5"/>
      <c r="P216" s="6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5.75" customHeight="1">
      <c r="A217" s="18"/>
      <c r="B217" s="55">
        <v>4.0</v>
      </c>
      <c r="C217" s="50" t="s">
        <v>160</v>
      </c>
      <c r="D217" s="59"/>
      <c r="E217" s="24">
        <f>ALASBULUH!AG217+ALASREJO!U217+BAJULMATI!AD217+BANGSRING!W217+BENGKAK!Y217+BIMOREJO!R217+SIDODADI!U217+SIDOWANGI!P217+SUMBERANYAR!N217+SUMBERKENCONO!T217+WATUKEBO!Y217+WONGSOREJO!AM217</f>
        <v>9</v>
      </c>
      <c r="F217" s="18"/>
      <c r="G217" s="5"/>
      <c r="H217" s="5"/>
      <c r="I217" s="5"/>
      <c r="J217" s="5"/>
      <c r="K217" s="5"/>
      <c r="L217" s="5"/>
      <c r="M217" s="5"/>
      <c r="N217" s="5"/>
      <c r="O217" s="5"/>
      <c r="P217" s="6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5.75" customHeight="1">
      <c r="A218" s="18"/>
      <c r="B218" s="55">
        <v>5.0</v>
      </c>
      <c r="C218" s="50" t="s">
        <v>161</v>
      </c>
      <c r="D218" s="59"/>
      <c r="E218" s="24">
        <f>ALASBULUH!AG218+ALASREJO!U218+BAJULMATI!AD218+BANGSRING!W218+BENGKAK!Y218+BIMOREJO!R218+SIDODADI!U218+SIDOWANGI!P218+SUMBERANYAR!N218+SUMBERKENCONO!T218+WATUKEBO!Y218+WONGSOREJO!AM218</f>
        <v>10</v>
      </c>
      <c r="F218" s="18"/>
      <c r="G218" s="5"/>
      <c r="H218" s="5"/>
      <c r="I218" s="5"/>
      <c r="J218" s="5"/>
      <c r="K218" s="5"/>
      <c r="L218" s="5"/>
      <c r="M218" s="5"/>
      <c r="N218" s="5"/>
      <c r="O218" s="5"/>
      <c r="P218" s="6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5.75" customHeight="1">
      <c r="A219" s="18"/>
      <c r="B219" s="55">
        <v>6.0</v>
      </c>
      <c r="C219" s="50" t="s">
        <v>162</v>
      </c>
      <c r="D219" s="59"/>
      <c r="E219" s="24">
        <f>ALASBULUH!AG219+ALASREJO!U219+BAJULMATI!AD219+BANGSRING!W219+BENGKAK!Y219+BIMOREJO!R219+SIDODADI!U219+SIDOWANGI!P219+SUMBERANYAR!N219+SUMBERKENCONO!T219+WATUKEBO!Y219+WONGSOREJO!AM219</f>
        <v>9</v>
      </c>
      <c r="F219" s="18"/>
      <c r="G219" s="5"/>
      <c r="H219" s="5"/>
      <c r="I219" s="5"/>
      <c r="J219" s="5"/>
      <c r="K219" s="5"/>
      <c r="L219" s="5"/>
      <c r="M219" s="5"/>
      <c r="N219" s="5"/>
      <c r="O219" s="5"/>
      <c r="P219" s="6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5.75" customHeight="1">
      <c r="A220" s="18"/>
      <c r="B220" s="55">
        <v>7.0</v>
      </c>
      <c r="C220" s="50" t="s">
        <v>163</v>
      </c>
      <c r="D220" s="59"/>
      <c r="E220" s="24">
        <f>ALASBULUH!AG220+ALASREJO!U220+BAJULMATI!AD220+BANGSRING!W220+BENGKAK!Y220+BIMOREJO!R220+SIDODADI!U220+SIDOWANGI!P220+SUMBERANYAR!N220+SUMBERKENCONO!T220+WATUKEBO!Y220+WONGSOREJO!AM220</f>
        <v>10</v>
      </c>
      <c r="F220" s="18"/>
      <c r="G220" s="5"/>
      <c r="H220" s="5"/>
      <c r="I220" s="5"/>
      <c r="J220" s="5"/>
      <c r="K220" s="5"/>
      <c r="L220" s="5"/>
      <c r="M220" s="5"/>
      <c r="N220" s="5"/>
      <c r="O220" s="5"/>
      <c r="P220" s="6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5.75" customHeight="1">
      <c r="A221" s="18"/>
      <c r="B221" s="56"/>
      <c r="C221" s="57"/>
      <c r="D221" s="61"/>
      <c r="E221" s="58"/>
      <c r="F221" s="18"/>
      <c r="G221" s="5"/>
      <c r="H221" s="5"/>
      <c r="I221" s="5"/>
      <c r="J221" s="5"/>
      <c r="K221" s="5"/>
      <c r="L221" s="5"/>
      <c r="M221" s="5"/>
      <c r="N221" s="5"/>
      <c r="O221" s="5"/>
      <c r="P221" s="6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5.75" customHeight="1">
      <c r="A222" s="18"/>
      <c r="B222" s="56"/>
      <c r="C222" s="57"/>
      <c r="D222" s="61"/>
      <c r="E222" s="58"/>
      <c r="F222" s="18"/>
      <c r="G222" s="5"/>
      <c r="H222" s="5"/>
      <c r="I222" s="5"/>
      <c r="J222" s="5"/>
      <c r="K222" s="5"/>
      <c r="L222" s="5"/>
      <c r="M222" s="5"/>
      <c r="N222" s="5"/>
      <c r="O222" s="5"/>
      <c r="P222" s="6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5.75" customHeight="1">
      <c r="A223" s="19" t="s">
        <v>15</v>
      </c>
      <c r="B223" s="47" t="s">
        <v>47</v>
      </c>
      <c r="C223" s="15"/>
      <c r="D223" s="16"/>
      <c r="E223" s="13">
        <f>SUM(E213:E220)</f>
        <v>2434</v>
      </c>
      <c r="F223" s="18"/>
      <c r="G223" s="5"/>
      <c r="H223" s="5"/>
      <c r="I223" s="5"/>
      <c r="J223" s="5"/>
      <c r="K223" s="5"/>
      <c r="L223" s="5"/>
      <c r="M223" s="5"/>
      <c r="N223" s="5"/>
      <c r="O223" s="5"/>
      <c r="P223" s="6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5.75" customHeight="1">
      <c r="A224" s="24"/>
      <c r="B224" s="15"/>
      <c r="C224" s="15"/>
      <c r="D224" s="15"/>
      <c r="E224" s="16"/>
      <c r="F224" s="18"/>
      <c r="G224" s="5"/>
      <c r="H224" s="5"/>
      <c r="I224" s="5"/>
      <c r="J224" s="5"/>
      <c r="K224" s="5"/>
      <c r="L224" s="5"/>
      <c r="M224" s="5"/>
      <c r="N224" s="5"/>
      <c r="O224" s="5"/>
      <c r="P224" s="6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5.75" customHeight="1">
      <c r="A225" s="30" t="s">
        <v>37</v>
      </c>
      <c r="B225" s="47" t="s">
        <v>164</v>
      </c>
      <c r="C225" s="48" t="s">
        <v>165</v>
      </c>
      <c r="D225" s="16"/>
      <c r="E225" s="24">
        <f>ALASBULUH!AG225+ALASREJO!U225+BAJULMATI!AD225+BANGSRING!W225+BENGKAK!Y225+BIMOREJO!R225+SIDODADI!U225+SIDOWANGI!P225+SUMBERANYAR!N225+SUMBERKENCONO!T225+WATUKEBO!Y225+WONGSOREJO!AM225</f>
        <v>16</v>
      </c>
      <c r="F225" s="25"/>
      <c r="G225" s="1"/>
      <c r="H225" s="1"/>
      <c r="I225" s="1"/>
      <c r="J225" s="1"/>
      <c r="K225" s="1"/>
      <c r="L225" s="1"/>
      <c r="M225" s="1"/>
      <c r="N225" s="1"/>
      <c r="O225" s="1"/>
      <c r="P225" s="9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30" t="s">
        <v>39</v>
      </c>
      <c r="B226" s="55">
        <v>1.0</v>
      </c>
      <c r="C226" s="50" t="s">
        <v>166</v>
      </c>
      <c r="D226" s="60"/>
      <c r="E226" s="24">
        <f>ALASBULUH!AG226+ALASREJO!U226+BAJULMATI!AD226+BANGSRING!W226+BENGKAK!Y226+BIMOREJO!R226+SIDODADI!U226+SIDOWANGI!P226+SUMBERANYAR!N226+SUMBERKENCONO!T226+WATUKEBO!Y226+WONGSOREJO!AM226</f>
        <v>10</v>
      </c>
      <c r="F226" s="51"/>
      <c r="G226" s="52"/>
      <c r="H226" s="52"/>
      <c r="I226" s="52"/>
      <c r="J226" s="52"/>
      <c r="K226" s="52"/>
      <c r="L226" s="52"/>
      <c r="M226" s="52"/>
      <c r="N226" s="52"/>
      <c r="O226" s="52"/>
      <c r="P226" s="53"/>
      <c r="Q226" s="3"/>
      <c r="R226" s="3"/>
      <c r="S226" s="3"/>
      <c r="T226" s="3"/>
      <c r="U226" s="3"/>
      <c r="V226" s="3"/>
      <c r="W226" s="54"/>
      <c r="X226" s="3"/>
      <c r="Y226" s="3"/>
      <c r="Z226" s="3"/>
    </row>
    <row r="227" ht="15.75" customHeight="1">
      <c r="A227" s="18"/>
      <c r="B227" s="55">
        <v>2.0</v>
      </c>
      <c r="C227" s="50" t="s">
        <v>167</v>
      </c>
      <c r="D227" s="60"/>
      <c r="E227" s="24">
        <f>ALASBULUH!AG227+ALASREJO!U227+BAJULMATI!AD227+BANGSRING!W227+BENGKAK!Y227+BIMOREJO!R227+SIDODADI!U227+SIDOWANGI!P227+SUMBERANYAR!N227+SUMBERKENCONO!T227+WATUKEBO!Y227+WONGSOREJO!AM227</f>
        <v>2</v>
      </c>
      <c r="F227" s="18"/>
      <c r="G227" s="5"/>
      <c r="H227" s="5"/>
      <c r="I227" s="5"/>
      <c r="J227" s="5"/>
      <c r="K227" s="5"/>
      <c r="L227" s="5"/>
      <c r="M227" s="5"/>
      <c r="N227" s="5"/>
      <c r="O227" s="5"/>
      <c r="P227" s="6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5.75" customHeight="1">
      <c r="A228" s="18"/>
      <c r="B228" s="55">
        <v>3.0</v>
      </c>
      <c r="C228" s="50" t="s">
        <v>168</v>
      </c>
      <c r="D228" s="60"/>
      <c r="E228" s="24">
        <f>ALASBULUH!AG228+ALASREJO!U228+BAJULMATI!AD228+BANGSRING!W228+BENGKAK!Y228+BIMOREJO!R228+SIDODADI!U228+SIDOWANGI!P228+SUMBERANYAR!N228+SUMBERKENCONO!T228+WATUKEBO!Y228+WONGSOREJO!AM228</f>
        <v>5</v>
      </c>
      <c r="F228" s="18"/>
      <c r="G228" s="5"/>
      <c r="H228" s="5"/>
      <c r="I228" s="5"/>
      <c r="J228" s="5"/>
      <c r="K228" s="5"/>
      <c r="L228" s="5"/>
      <c r="M228" s="5"/>
      <c r="N228" s="5"/>
      <c r="O228" s="5"/>
      <c r="P228" s="6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5.75" customHeight="1">
      <c r="A229" s="18"/>
      <c r="B229" s="55">
        <v>4.0</v>
      </c>
      <c r="C229" s="50" t="s">
        <v>169</v>
      </c>
      <c r="D229" s="60"/>
      <c r="E229" s="24">
        <f>ALASBULUH!AG229+ALASREJO!U229+BAJULMATI!AD229+BANGSRING!W229+BENGKAK!Y229+BIMOREJO!R229+SIDODADI!U229+SIDOWANGI!P229+SUMBERANYAR!N229+SUMBERKENCONO!T229+WATUKEBO!Y229+WONGSOREJO!AM229</f>
        <v>2</v>
      </c>
      <c r="F229" s="18"/>
      <c r="G229" s="5"/>
      <c r="H229" s="5"/>
      <c r="I229" s="5"/>
      <c r="J229" s="5"/>
      <c r="K229" s="5"/>
      <c r="L229" s="5"/>
      <c r="M229" s="5"/>
      <c r="N229" s="5"/>
      <c r="O229" s="5"/>
      <c r="P229" s="6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5.75" customHeight="1">
      <c r="A230" s="18"/>
      <c r="B230" s="55">
        <v>5.0</v>
      </c>
      <c r="C230" s="50" t="s">
        <v>170</v>
      </c>
      <c r="D230" s="60"/>
      <c r="E230" s="24">
        <f>ALASBULUH!AG230+ALASREJO!U230+BAJULMATI!AD230+BANGSRING!W230+BENGKAK!Y230+BIMOREJO!R230+SIDODADI!U230+SIDOWANGI!P230+SUMBERANYAR!N230+SUMBERKENCONO!T230+WATUKEBO!Y230+WONGSOREJO!AM230</f>
        <v>2</v>
      </c>
      <c r="F230" s="18"/>
      <c r="G230" s="5"/>
      <c r="H230" s="5"/>
      <c r="I230" s="5"/>
      <c r="J230" s="5"/>
      <c r="K230" s="5"/>
      <c r="L230" s="5"/>
      <c r="M230" s="5"/>
      <c r="N230" s="5"/>
      <c r="O230" s="5"/>
      <c r="P230" s="6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5.75" customHeight="1">
      <c r="A231" s="18"/>
      <c r="B231" s="55">
        <v>6.0</v>
      </c>
      <c r="C231" s="50" t="s">
        <v>171</v>
      </c>
      <c r="D231" s="60"/>
      <c r="E231" s="24">
        <f>ALASBULUH!AG231+ALASREJO!U231+BAJULMATI!AD231+BANGSRING!W231+BENGKAK!Y231+BIMOREJO!R231+SIDODADI!U231+SIDOWANGI!P231+SUMBERANYAR!N231+SUMBERKENCONO!T231+WATUKEBO!Y231+WONGSOREJO!AM231</f>
        <v>0</v>
      </c>
      <c r="F231" s="18"/>
      <c r="G231" s="5"/>
      <c r="H231" s="5"/>
      <c r="I231" s="5"/>
      <c r="J231" s="5"/>
      <c r="K231" s="5"/>
      <c r="L231" s="5"/>
      <c r="M231" s="5"/>
      <c r="N231" s="5"/>
      <c r="O231" s="5"/>
      <c r="P231" s="6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5.75" customHeight="1">
      <c r="A232" s="18"/>
      <c r="B232" s="55">
        <v>7.0</v>
      </c>
      <c r="C232" s="50" t="s">
        <v>172</v>
      </c>
      <c r="D232" s="60"/>
      <c r="E232" s="24">
        <f>ALASBULUH!AG232+ALASREJO!U232+BAJULMATI!AD232+BANGSRING!W232+BENGKAK!Y232+BIMOREJO!R232+SIDODADI!U232+SIDOWANGI!P232+SUMBERANYAR!N232+SUMBERKENCONO!T232+WATUKEBO!Y232+WONGSOREJO!AM232</f>
        <v>49</v>
      </c>
      <c r="F232" s="18"/>
      <c r="G232" s="5"/>
      <c r="H232" s="5"/>
      <c r="I232" s="5"/>
      <c r="J232" s="5"/>
      <c r="K232" s="5"/>
      <c r="L232" s="5"/>
      <c r="M232" s="5"/>
      <c r="N232" s="5"/>
      <c r="O232" s="5"/>
      <c r="P232" s="6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5.75" customHeight="1">
      <c r="A233" s="18"/>
      <c r="B233" s="56"/>
      <c r="C233" s="57"/>
      <c r="D233" s="62"/>
      <c r="E233" s="58"/>
      <c r="F233" s="18"/>
      <c r="G233" s="5"/>
      <c r="H233" s="5"/>
      <c r="I233" s="5"/>
      <c r="J233" s="5"/>
      <c r="K233" s="5"/>
      <c r="L233" s="5"/>
      <c r="M233" s="5"/>
      <c r="N233" s="5"/>
      <c r="O233" s="5"/>
      <c r="P233" s="6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5.75" customHeight="1">
      <c r="A234" s="18"/>
      <c r="B234" s="56"/>
      <c r="C234" s="57"/>
      <c r="D234" s="62"/>
      <c r="E234" s="58"/>
      <c r="F234" s="18"/>
      <c r="G234" s="5"/>
      <c r="H234" s="5"/>
      <c r="I234" s="5"/>
      <c r="J234" s="5"/>
      <c r="K234" s="5"/>
      <c r="L234" s="5"/>
      <c r="M234" s="5"/>
      <c r="N234" s="5"/>
      <c r="O234" s="5"/>
      <c r="P234" s="6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5.75" customHeight="1">
      <c r="A235" s="19" t="s">
        <v>15</v>
      </c>
      <c r="B235" s="47" t="s">
        <v>47</v>
      </c>
      <c r="C235" s="15"/>
      <c r="D235" s="16"/>
      <c r="E235" s="13">
        <f>SUM(E225:E232)</f>
        <v>86</v>
      </c>
      <c r="F235" s="18"/>
      <c r="G235" s="5"/>
      <c r="H235" s="5"/>
      <c r="I235" s="5"/>
      <c r="J235" s="5"/>
      <c r="K235" s="5"/>
      <c r="L235" s="5"/>
      <c r="M235" s="5"/>
      <c r="N235" s="5"/>
      <c r="O235" s="5"/>
      <c r="P235" s="6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5.75" customHeight="1">
      <c r="A236" s="24"/>
      <c r="B236" s="15"/>
      <c r="C236" s="15"/>
      <c r="D236" s="15"/>
      <c r="E236" s="16"/>
      <c r="F236" s="18"/>
      <c r="G236" s="5"/>
      <c r="H236" s="5"/>
      <c r="I236" s="5"/>
      <c r="J236" s="5"/>
      <c r="K236" s="5"/>
      <c r="L236" s="5"/>
      <c r="M236" s="5"/>
      <c r="N236" s="5"/>
      <c r="O236" s="5"/>
      <c r="P236" s="6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5.75" customHeight="1">
      <c r="A237" s="30" t="s">
        <v>37</v>
      </c>
      <c r="B237" s="47" t="s">
        <v>173</v>
      </c>
      <c r="C237" s="48" t="s">
        <v>174</v>
      </c>
      <c r="D237" s="16"/>
      <c r="E237" s="24">
        <f>ALASBULUH!AG237+ALASREJO!U237+BAJULMATI!AD237+BANGSRING!W237+BENGKAK!Y237+BIMOREJO!R237+SIDODADI!U237+SIDOWANGI!P237+SUMBERANYAR!N237+SUMBERKENCONO!T237+WATUKEBO!Y237+WONGSOREJO!AM237</f>
        <v>450</v>
      </c>
      <c r="F237" s="25"/>
      <c r="G237" s="1"/>
      <c r="H237" s="1"/>
      <c r="I237" s="1"/>
      <c r="J237" s="1"/>
      <c r="K237" s="1"/>
      <c r="L237" s="1"/>
      <c r="M237" s="1"/>
      <c r="N237" s="1"/>
      <c r="O237" s="1"/>
      <c r="P237" s="9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30" t="s">
        <v>39</v>
      </c>
      <c r="B238" s="55">
        <v>1.0</v>
      </c>
      <c r="C238" s="50" t="s">
        <v>175</v>
      </c>
      <c r="D238" s="60"/>
      <c r="E238" s="24">
        <f>ALASBULUH!AG238+ALASREJO!U238+BAJULMATI!AD238+BANGSRING!W238+BENGKAK!Y238+BIMOREJO!R238+SIDODADI!U238+SIDOWANGI!P238+SUMBERANYAR!N238+SUMBERKENCONO!T238+WATUKEBO!Y238+WONGSOREJO!AM238</f>
        <v>151</v>
      </c>
      <c r="F238" s="51"/>
      <c r="G238" s="52"/>
      <c r="H238" s="52"/>
      <c r="I238" s="52"/>
      <c r="J238" s="52"/>
      <c r="K238" s="52"/>
      <c r="L238" s="52"/>
      <c r="M238" s="52"/>
      <c r="N238" s="52"/>
      <c r="O238" s="52"/>
      <c r="P238" s="53"/>
      <c r="Q238" s="3"/>
      <c r="R238" s="3"/>
      <c r="S238" s="3"/>
      <c r="T238" s="3"/>
      <c r="U238" s="3"/>
      <c r="V238" s="3"/>
      <c r="W238" s="54"/>
      <c r="X238" s="3"/>
      <c r="Y238" s="3"/>
      <c r="Z238" s="3"/>
    </row>
    <row r="239" ht="15.75" customHeight="1">
      <c r="A239" s="18"/>
      <c r="B239" s="55">
        <v>2.0</v>
      </c>
      <c r="C239" s="50" t="s">
        <v>176</v>
      </c>
      <c r="D239" s="60"/>
      <c r="E239" s="24">
        <f>ALASBULUH!AG239+ALASREJO!U239+BAJULMATI!AD239+BANGSRING!W239+BENGKAK!Y239+BIMOREJO!R239+SIDODADI!U239+SIDOWANGI!P239+SUMBERANYAR!N239+SUMBERKENCONO!T239+WATUKEBO!Y239+WONGSOREJO!AM239</f>
        <v>4413</v>
      </c>
      <c r="F239" s="18"/>
      <c r="G239" s="5"/>
      <c r="H239" s="5"/>
      <c r="I239" s="5"/>
      <c r="J239" s="5"/>
      <c r="K239" s="5"/>
      <c r="L239" s="5"/>
      <c r="M239" s="5"/>
      <c r="N239" s="5"/>
      <c r="O239" s="5"/>
      <c r="P239" s="6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5.75" customHeight="1">
      <c r="A240" s="18"/>
      <c r="B240" s="55">
        <v>3.0</v>
      </c>
      <c r="C240" s="50" t="s">
        <v>177</v>
      </c>
      <c r="D240" s="60"/>
      <c r="E240" s="24">
        <f>ALASBULUH!AG240+ALASREJO!U240+BAJULMATI!AD240+BANGSRING!W240+BENGKAK!Y240+BIMOREJO!R240+SIDODADI!U240+SIDOWANGI!P240+SUMBERANYAR!N240+SUMBERKENCONO!T240+WATUKEBO!Y240+WONGSOREJO!AM240</f>
        <v>61</v>
      </c>
      <c r="F240" s="18"/>
      <c r="G240" s="5"/>
      <c r="H240" s="5"/>
      <c r="I240" s="5"/>
      <c r="J240" s="5"/>
      <c r="K240" s="5"/>
      <c r="L240" s="5"/>
      <c r="M240" s="5"/>
      <c r="N240" s="5"/>
      <c r="O240" s="5"/>
      <c r="P240" s="6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5.75" customHeight="1">
      <c r="A241" s="18"/>
      <c r="B241" s="55">
        <v>4.0</v>
      </c>
      <c r="C241" s="50" t="s">
        <v>178</v>
      </c>
      <c r="D241" s="60"/>
      <c r="E241" s="24">
        <f>ALASBULUH!AG241+ALASREJO!U241+BAJULMATI!AD241+BANGSRING!W241+BENGKAK!Y241+BIMOREJO!R241+SIDODADI!U241+SIDOWANGI!P241+SUMBERANYAR!N241+SUMBERKENCONO!T241+WATUKEBO!Y241+WONGSOREJO!AM241</f>
        <v>48</v>
      </c>
      <c r="F241" s="18"/>
      <c r="G241" s="5"/>
      <c r="H241" s="5"/>
      <c r="I241" s="5"/>
      <c r="J241" s="5"/>
      <c r="K241" s="5"/>
      <c r="L241" s="5"/>
      <c r="M241" s="5"/>
      <c r="N241" s="5"/>
      <c r="O241" s="5"/>
      <c r="P241" s="6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5.75" customHeight="1">
      <c r="A242" s="18"/>
      <c r="B242" s="55">
        <v>5.0</v>
      </c>
      <c r="C242" s="50" t="s">
        <v>179</v>
      </c>
      <c r="D242" s="60"/>
      <c r="E242" s="24">
        <f>ALASBULUH!AG242+ALASREJO!U242+BAJULMATI!AD242+BANGSRING!W242+BENGKAK!Y242+BIMOREJO!R242+SIDODADI!U242+SIDOWANGI!P242+SUMBERANYAR!N242+SUMBERKENCONO!T242+WATUKEBO!Y242+WONGSOREJO!AM242</f>
        <v>5</v>
      </c>
      <c r="F242" s="18"/>
      <c r="G242" s="5"/>
      <c r="H242" s="5"/>
      <c r="I242" s="5"/>
      <c r="J242" s="5"/>
      <c r="K242" s="5"/>
      <c r="L242" s="5"/>
      <c r="M242" s="5"/>
      <c r="N242" s="5"/>
      <c r="O242" s="5"/>
      <c r="P242" s="6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5.75" customHeight="1">
      <c r="A243" s="18"/>
      <c r="B243" s="55">
        <v>6.0</v>
      </c>
      <c r="C243" s="50" t="s">
        <v>180</v>
      </c>
      <c r="D243" s="60"/>
      <c r="E243" s="24">
        <f>ALASBULUH!AG243+ALASREJO!U243+BAJULMATI!AD243+BANGSRING!W243+BENGKAK!Y243+BIMOREJO!R243+SIDODADI!U243+SIDOWANGI!P243+SUMBERANYAR!N243+SUMBERKENCONO!T243+WATUKEBO!Y243+WONGSOREJO!AM243</f>
        <v>13</v>
      </c>
      <c r="F243" s="18"/>
      <c r="G243" s="5"/>
      <c r="H243" s="5"/>
      <c r="I243" s="5"/>
      <c r="J243" s="5"/>
      <c r="K243" s="5"/>
      <c r="L243" s="5"/>
      <c r="M243" s="5"/>
      <c r="N243" s="5"/>
      <c r="O243" s="5"/>
      <c r="P243" s="6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5.75" customHeight="1">
      <c r="A244" s="18"/>
      <c r="B244" s="55">
        <v>7.0</v>
      </c>
      <c r="C244" s="50" t="s">
        <v>181</v>
      </c>
      <c r="D244" s="60"/>
      <c r="E244" s="24">
        <f>ALASBULUH!AG244+ALASREJO!U244+BAJULMATI!AD244+BANGSRING!W244+BENGKAK!Y244+BIMOREJO!R244+SIDODADI!U244+SIDOWANGI!P244+SUMBERANYAR!N244+SUMBERKENCONO!T244+WATUKEBO!Y244+WONGSOREJO!AM244</f>
        <v>216</v>
      </c>
      <c r="F244" s="18"/>
      <c r="G244" s="5"/>
      <c r="H244" s="5"/>
      <c r="I244" s="5"/>
      <c r="J244" s="5"/>
      <c r="K244" s="5"/>
      <c r="L244" s="5"/>
      <c r="M244" s="5"/>
      <c r="N244" s="5"/>
      <c r="O244" s="5"/>
      <c r="P244" s="6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5.75" customHeight="1">
      <c r="A245" s="18"/>
      <c r="B245" s="56"/>
      <c r="C245" s="57"/>
      <c r="D245" s="62"/>
      <c r="E245" s="58"/>
      <c r="F245" s="18"/>
      <c r="G245" s="5"/>
      <c r="H245" s="5"/>
      <c r="I245" s="5"/>
      <c r="J245" s="5"/>
      <c r="K245" s="5"/>
      <c r="L245" s="5"/>
      <c r="M245" s="5"/>
      <c r="N245" s="5"/>
      <c r="O245" s="5"/>
      <c r="P245" s="6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5.75" customHeight="1">
      <c r="A246" s="18"/>
      <c r="B246" s="56"/>
      <c r="C246" s="57"/>
      <c r="D246" s="62"/>
      <c r="E246" s="58"/>
      <c r="F246" s="18"/>
      <c r="G246" s="5"/>
      <c r="H246" s="5"/>
      <c r="I246" s="5"/>
      <c r="J246" s="5"/>
      <c r="K246" s="5"/>
      <c r="L246" s="5"/>
      <c r="M246" s="5"/>
      <c r="N246" s="5"/>
      <c r="O246" s="5"/>
      <c r="P246" s="6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5.75" customHeight="1">
      <c r="A247" s="19" t="s">
        <v>15</v>
      </c>
      <c r="B247" s="47" t="s">
        <v>47</v>
      </c>
      <c r="C247" s="15"/>
      <c r="D247" s="16"/>
      <c r="E247" s="13">
        <f>SUM(E237:E244)</f>
        <v>5357</v>
      </c>
      <c r="F247" s="18"/>
      <c r="G247" s="5"/>
      <c r="H247" s="5"/>
      <c r="I247" s="5"/>
      <c r="J247" s="5"/>
      <c r="K247" s="5"/>
      <c r="L247" s="5"/>
      <c r="M247" s="5"/>
      <c r="N247" s="5"/>
      <c r="O247" s="5"/>
      <c r="P247" s="6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5.75" customHeight="1">
      <c r="A248" s="24"/>
      <c r="B248" s="15"/>
      <c r="C248" s="15"/>
      <c r="D248" s="15"/>
      <c r="E248" s="16"/>
      <c r="F248" s="18"/>
      <c r="G248" s="5"/>
      <c r="H248" s="5"/>
      <c r="I248" s="5"/>
      <c r="J248" s="5"/>
      <c r="K248" s="5"/>
      <c r="L248" s="5"/>
      <c r="M248" s="5"/>
      <c r="N248" s="5"/>
      <c r="O248" s="5"/>
      <c r="P248" s="6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5.75" customHeight="1">
      <c r="A249" s="30" t="s">
        <v>37</v>
      </c>
      <c r="B249" s="47" t="s">
        <v>182</v>
      </c>
      <c r="C249" s="48" t="s">
        <v>183</v>
      </c>
      <c r="D249" s="16"/>
      <c r="E249" s="24">
        <f>ALASBULUH!AG249+ALASREJO!U249+BAJULMATI!AD249+BANGSRING!W249+BENGKAK!Y249+BIMOREJO!R249+SIDODADI!U249+SIDOWANGI!P249+SUMBERANYAR!N249+SUMBERKENCONO!T249+WATUKEBO!Y249+WONGSOREJO!AM249</f>
        <v>31</v>
      </c>
      <c r="F249" s="25"/>
      <c r="G249" s="1"/>
      <c r="H249" s="1"/>
      <c r="I249" s="1"/>
      <c r="J249" s="1"/>
      <c r="K249" s="1"/>
      <c r="L249" s="1"/>
      <c r="M249" s="1"/>
      <c r="N249" s="1"/>
      <c r="O249" s="1"/>
      <c r="P249" s="9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30" t="s">
        <v>39</v>
      </c>
      <c r="B250" s="55">
        <v>1.0</v>
      </c>
      <c r="C250" s="67" t="s">
        <v>184</v>
      </c>
      <c r="D250" s="60"/>
      <c r="E250" s="24">
        <f>ALASBULUH!AG250+ALASREJO!U250+BAJULMATI!AD250+BANGSRING!W250+BENGKAK!Y250+BIMOREJO!R250+SIDODADI!U250+SIDOWANGI!P250+SUMBERANYAR!N250+SUMBERKENCONO!T250+WATUKEBO!Y250+WONGSOREJO!AM250</f>
        <v>15</v>
      </c>
      <c r="F250" s="18"/>
      <c r="G250" s="5"/>
      <c r="H250" s="5"/>
      <c r="I250" s="5"/>
      <c r="J250" s="5"/>
      <c r="K250" s="5"/>
      <c r="L250" s="5"/>
      <c r="M250" s="5"/>
      <c r="N250" s="5"/>
      <c r="O250" s="10"/>
      <c r="P250" s="11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18"/>
      <c r="B251" s="55">
        <v>2.0</v>
      </c>
      <c r="C251" s="67" t="s">
        <v>185</v>
      </c>
      <c r="D251" s="60"/>
      <c r="E251" s="24">
        <f>ALASBULUH!AG251+ALASREJO!U251+BAJULMATI!AD251+BANGSRING!W251+BENGKAK!Y251+BIMOREJO!R251+SIDODADI!U251+SIDOWANGI!P251+SUMBERANYAR!N251+SUMBERKENCONO!T251+WATUKEBO!Y251+WONGSOREJO!AM251</f>
        <v>5</v>
      </c>
      <c r="F251" s="25"/>
      <c r="G251" s="1"/>
      <c r="H251" s="1"/>
      <c r="I251" s="1"/>
      <c r="J251" s="1"/>
      <c r="K251" s="1"/>
      <c r="L251" s="1"/>
      <c r="M251" s="1"/>
      <c r="N251" s="1"/>
      <c r="O251" s="2"/>
      <c r="P251" s="11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18"/>
      <c r="B252" s="55">
        <v>3.0</v>
      </c>
      <c r="C252" s="67" t="s">
        <v>186</v>
      </c>
      <c r="D252" s="60"/>
      <c r="E252" s="24">
        <f>ALASBULUH!AG252+ALASREJO!U252+BAJULMATI!AD252+BANGSRING!W252+BENGKAK!Y252+BIMOREJO!R252+SIDODADI!U252+SIDOWANGI!P252+SUMBERANYAR!N252+SUMBERKENCONO!T252+WATUKEBO!Y252+WONGSOREJO!AM252</f>
        <v>7</v>
      </c>
      <c r="F252" s="25"/>
      <c r="G252" s="1"/>
      <c r="H252" s="1"/>
      <c r="I252" s="1"/>
      <c r="J252" s="1"/>
      <c r="K252" s="1"/>
      <c r="L252" s="1"/>
      <c r="M252" s="1"/>
      <c r="N252" s="1"/>
      <c r="O252" s="1"/>
      <c r="P252" s="9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18"/>
      <c r="B253" s="55">
        <v>4.0</v>
      </c>
      <c r="C253" s="67" t="s">
        <v>187</v>
      </c>
      <c r="D253" s="60"/>
      <c r="E253" s="24">
        <f>ALASBULUH!AG253+ALASREJO!U253+BAJULMATI!AD253+BANGSRING!W253+BENGKAK!Y253+BIMOREJO!R253+SIDODADI!U253+SIDOWANGI!P253+SUMBERANYAR!N253+SUMBERKENCONO!T253+WATUKEBO!Y253+WONGSOREJO!AM253</f>
        <v>2</v>
      </c>
      <c r="F253" s="18"/>
      <c r="G253" s="5"/>
      <c r="H253" s="5"/>
      <c r="I253" s="5"/>
      <c r="J253" s="5"/>
      <c r="K253" s="5"/>
      <c r="L253" s="5"/>
      <c r="M253" s="5"/>
      <c r="N253" s="5"/>
      <c r="O253" s="5"/>
      <c r="P253" s="6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5.75" customHeight="1">
      <c r="A254" s="18"/>
      <c r="B254" s="55">
        <v>5.0</v>
      </c>
      <c r="C254" s="67" t="s">
        <v>188</v>
      </c>
      <c r="D254" s="60"/>
      <c r="E254" s="24">
        <f>ALASBULUH!AG254+ALASREJO!U254+BAJULMATI!AD254+BANGSRING!W254+BENGKAK!Y254+BIMOREJO!R254+SIDODADI!U254+SIDOWANGI!P254+SUMBERANYAR!N254+SUMBERKENCONO!T254+WATUKEBO!Y254+WONGSOREJO!AM254</f>
        <v>6</v>
      </c>
      <c r="F254" s="25"/>
      <c r="G254" s="1"/>
      <c r="H254" s="1"/>
      <c r="I254" s="1"/>
      <c r="J254" s="1"/>
      <c r="K254" s="1"/>
      <c r="L254" s="1"/>
      <c r="M254" s="1"/>
      <c r="N254" s="1"/>
      <c r="O254" s="1"/>
      <c r="P254" s="9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18"/>
      <c r="B255" s="55">
        <v>6.0</v>
      </c>
      <c r="C255" s="67" t="s">
        <v>189</v>
      </c>
      <c r="D255" s="60"/>
      <c r="E255" s="24">
        <f>ALASBULUH!AG255+ALASREJO!U255+BAJULMATI!AD255+BANGSRING!W255+BENGKAK!Y255+BIMOREJO!R255+SIDODADI!U255+SIDOWANGI!P255+SUMBERANYAR!N255+SUMBERKENCONO!T255+WATUKEBO!Y255+WONGSOREJO!AM255</f>
        <v>7</v>
      </c>
      <c r="F255" s="18"/>
      <c r="G255" s="5"/>
      <c r="H255" s="5"/>
      <c r="I255" s="5"/>
      <c r="J255" s="5"/>
      <c r="K255" s="5"/>
      <c r="L255" s="5"/>
      <c r="M255" s="5"/>
      <c r="N255" s="5"/>
      <c r="O255" s="10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18"/>
      <c r="B256" s="56"/>
      <c r="C256" s="68"/>
      <c r="D256" s="62"/>
      <c r="E256" s="58"/>
      <c r="F256" s="18"/>
      <c r="G256" s="5"/>
      <c r="H256" s="5"/>
      <c r="I256" s="5"/>
      <c r="J256" s="5"/>
      <c r="K256" s="5"/>
      <c r="L256" s="5"/>
      <c r="M256" s="5"/>
      <c r="N256" s="5"/>
      <c r="O256" s="10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18"/>
      <c r="B257" s="56"/>
      <c r="C257" s="68"/>
      <c r="D257" s="62"/>
      <c r="E257" s="58"/>
      <c r="F257" s="18"/>
      <c r="G257" s="5"/>
      <c r="H257" s="5"/>
      <c r="I257" s="5"/>
      <c r="J257" s="5"/>
      <c r="K257" s="5"/>
      <c r="L257" s="5"/>
      <c r="M257" s="5"/>
      <c r="N257" s="5"/>
      <c r="O257" s="10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18"/>
      <c r="B258" s="56"/>
      <c r="C258" s="68"/>
      <c r="D258" s="62"/>
      <c r="E258" s="58"/>
      <c r="F258" s="18"/>
      <c r="G258" s="5"/>
      <c r="H258" s="5"/>
      <c r="I258" s="5"/>
      <c r="J258" s="5"/>
      <c r="K258" s="5"/>
      <c r="L258" s="5"/>
      <c r="M258" s="5"/>
      <c r="N258" s="5"/>
      <c r="O258" s="10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19" t="s">
        <v>15</v>
      </c>
      <c r="B259" s="47" t="s">
        <v>47</v>
      </c>
      <c r="C259" s="15"/>
      <c r="D259" s="16"/>
      <c r="E259" s="13">
        <f>SUM(E249:E255)</f>
        <v>73</v>
      </c>
      <c r="F259" s="18"/>
      <c r="G259" s="5"/>
      <c r="H259" s="5"/>
      <c r="I259" s="5"/>
      <c r="J259" s="5"/>
      <c r="K259" s="5"/>
      <c r="L259" s="5"/>
      <c r="M259" s="5"/>
      <c r="N259" s="5"/>
      <c r="O259" s="5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F260" s="18"/>
      <c r="G260" s="5"/>
      <c r="H260" s="5"/>
      <c r="I260" s="5"/>
      <c r="J260" s="5"/>
      <c r="K260" s="5"/>
      <c r="L260" s="5"/>
      <c r="M260" s="5"/>
      <c r="N260" s="5"/>
      <c r="O260" s="5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42" t="s">
        <v>190</v>
      </c>
      <c r="B261" s="14" t="s">
        <v>191</v>
      </c>
      <c r="C261" s="15"/>
      <c r="D261" s="16"/>
      <c r="E261" s="13"/>
      <c r="F261" s="18"/>
      <c r="G261" s="5"/>
      <c r="H261" s="5"/>
      <c r="I261" s="5"/>
      <c r="J261" s="5"/>
      <c r="K261" s="5"/>
      <c r="L261" s="5"/>
      <c r="M261" s="5"/>
      <c r="N261" s="5"/>
      <c r="O261" s="5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42"/>
      <c r="B262" s="71" t="s">
        <v>192</v>
      </c>
      <c r="C262" s="72" t="s">
        <v>193</v>
      </c>
      <c r="D262" s="16"/>
      <c r="E262" s="24">
        <f>ALASBULUH!AG262+ALASREJO!U262+BAJULMATI!AD262+BANGSRING!W262+BENGKAK!Y262+BIMOREJO!R262+SIDODADI!U262+SIDOWANGI!P262+SUMBERANYAR!N262+SUMBERKENCONO!T262+WATUKEBO!Y262+WONGSOREJO!AM262</f>
        <v>43978</v>
      </c>
      <c r="F262" s="18"/>
      <c r="G262" s="5"/>
      <c r="H262" s="5"/>
      <c r="I262" s="5"/>
      <c r="J262" s="5"/>
      <c r="K262" s="5"/>
      <c r="L262" s="5"/>
      <c r="M262" s="5"/>
      <c r="N262" s="5"/>
      <c r="O262" s="10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5"/>
      <c r="B263" s="71" t="s">
        <v>194</v>
      </c>
      <c r="C263" s="72" t="s">
        <v>195</v>
      </c>
      <c r="D263" s="16"/>
      <c r="E263" s="24">
        <f>ALASBULUH!AG263+ALASREJO!U263+BAJULMATI!AD263+BANGSRING!W263+BENGKAK!Y263+BIMOREJO!R263+SIDODADI!U263+SIDOWANGI!P263+SUMBERANYAR!N263+SUMBERKENCONO!T263+WATUKEBO!Y263+WONGSOREJO!AM263</f>
        <v>2491</v>
      </c>
      <c r="F263" s="18"/>
      <c r="G263" s="5"/>
      <c r="H263" s="5"/>
      <c r="I263" s="5"/>
      <c r="J263" s="5"/>
      <c r="K263" s="5"/>
      <c r="L263" s="5"/>
      <c r="M263" s="5"/>
      <c r="N263" s="5"/>
      <c r="O263" s="10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41"/>
      <c r="B264" s="71" t="s">
        <v>196</v>
      </c>
      <c r="C264" s="72" t="s">
        <v>197</v>
      </c>
      <c r="D264" s="16"/>
      <c r="E264" s="13">
        <f>SUM(E262:E263)</f>
        <v>46469</v>
      </c>
      <c r="F264" s="18"/>
      <c r="G264" s="5"/>
      <c r="H264" s="5"/>
      <c r="I264" s="5"/>
      <c r="J264" s="5"/>
      <c r="K264" s="5"/>
      <c r="L264" s="5"/>
      <c r="M264" s="5"/>
      <c r="N264" s="5"/>
      <c r="O264" s="10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5"/>
      <c r="B265" s="73"/>
      <c r="C265" s="74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10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5"/>
      <c r="B266" s="73"/>
      <c r="C266" s="74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10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5"/>
      <c r="B267" s="73"/>
      <c r="C267" s="74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10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hidden="1" customHeight="1">
      <c r="A268" s="5"/>
      <c r="B268" s="73"/>
      <c r="C268" s="74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10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hidden="1" customHeight="1">
      <c r="A269" s="5"/>
      <c r="B269" s="73"/>
      <c r="C269" s="74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10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hidden="1" customHeight="1">
      <c r="A270" s="5"/>
      <c r="B270" s="73"/>
      <c r="C270" s="74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10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hidden="1" customHeight="1">
      <c r="A271" s="5"/>
      <c r="B271" s="73"/>
      <c r="C271" s="74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10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hidden="1" customHeight="1">
      <c r="A272" s="5"/>
      <c r="B272" s="73"/>
      <c r="C272" s="74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10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hidden="1" customHeight="1">
      <c r="A273" s="5"/>
      <c r="B273" s="73"/>
      <c r="C273" s="74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10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hidden="1" customHeight="1">
      <c r="A274" s="5"/>
      <c r="B274" s="73"/>
      <c r="C274" s="74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10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hidden="1" customHeight="1">
      <c r="A275" s="5"/>
      <c r="B275" s="73"/>
      <c r="C275" s="74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10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hidden="1" customHeight="1">
      <c r="A276" s="5"/>
      <c r="B276" s="73"/>
      <c r="C276" s="74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10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hidden="1" customHeight="1">
      <c r="A277" s="5"/>
      <c r="B277" s="73"/>
      <c r="C277" s="74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10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hidden="1" customHeight="1">
      <c r="A278" s="5"/>
      <c r="B278" s="73"/>
      <c r="C278" s="74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10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hidden="1" customHeight="1">
      <c r="A279" s="5"/>
      <c r="B279" s="73"/>
      <c r="C279" s="74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10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hidden="1" customHeight="1">
      <c r="A280" s="5"/>
      <c r="B280" s="73"/>
      <c r="C280" s="74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10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hidden="1" customHeight="1">
      <c r="A281" s="5"/>
      <c r="B281" s="73"/>
      <c r="C281" s="74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10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hidden="1" customHeight="1">
      <c r="A282" s="5"/>
      <c r="B282" s="73"/>
      <c r="C282" s="74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10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hidden="1" customHeight="1">
      <c r="A283" s="5"/>
      <c r="B283" s="73"/>
      <c r="C283" s="74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10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hidden="1" customHeight="1">
      <c r="A284" s="5"/>
      <c r="B284" s="73"/>
      <c r="C284" s="74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10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hidden="1" customHeight="1">
      <c r="A285" s="5"/>
      <c r="B285" s="73"/>
      <c r="C285" s="74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10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hidden="1" customHeight="1">
      <c r="A286" s="5"/>
      <c r="B286" s="73"/>
      <c r="C286" s="74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10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hidden="1" customHeight="1">
      <c r="A287" s="5"/>
      <c r="B287" s="73"/>
      <c r="C287" s="74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10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hidden="1" customHeight="1">
      <c r="A288" s="5"/>
      <c r="B288" s="73"/>
      <c r="C288" s="74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10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hidden="1" customHeight="1">
      <c r="A289" s="5"/>
      <c r="B289" s="73"/>
      <c r="C289" s="74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10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hidden="1" customHeight="1">
      <c r="A290" s="5"/>
      <c r="B290" s="73"/>
      <c r="C290" s="74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10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hidden="1" customHeight="1">
      <c r="A291" s="5"/>
      <c r="B291" s="73"/>
      <c r="C291" s="74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10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hidden="1" customHeight="1">
      <c r="A292" s="5"/>
      <c r="B292" s="73"/>
      <c r="C292" s="74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10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hidden="1" customHeight="1">
      <c r="A293" s="5"/>
      <c r="B293" s="73"/>
      <c r="C293" s="74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10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hidden="1" customHeight="1">
      <c r="A294" s="5"/>
      <c r="B294" s="73"/>
      <c r="C294" s="74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10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hidden="1" customHeight="1">
      <c r="A295" s="5"/>
      <c r="B295" s="73"/>
      <c r="C295" s="74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10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hidden="1" customHeight="1">
      <c r="A296" s="5"/>
      <c r="B296" s="73"/>
      <c r="C296" s="74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10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hidden="1" customHeight="1">
      <c r="A297" s="5"/>
      <c r="B297" s="73"/>
      <c r="C297" s="74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10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hidden="1" customHeight="1">
      <c r="A298" s="5"/>
      <c r="B298" s="73"/>
      <c r="C298" s="74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10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hidden="1" customHeight="1">
      <c r="A299" s="5"/>
      <c r="B299" s="73"/>
      <c r="C299" s="74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10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hidden="1" customHeight="1">
      <c r="A300" s="5"/>
      <c r="B300" s="73"/>
      <c r="C300" s="74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10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hidden="1" customHeight="1">
      <c r="A301" s="5"/>
      <c r="B301" s="73"/>
      <c r="C301" s="74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10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hidden="1" customHeight="1">
      <c r="A302" s="5"/>
      <c r="B302" s="73"/>
      <c r="C302" s="74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10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hidden="1" customHeight="1">
      <c r="A303" s="5"/>
      <c r="B303" s="73"/>
      <c r="C303" s="74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10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hidden="1" customHeight="1">
      <c r="A304" s="5"/>
      <c r="B304" s="73"/>
      <c r="C304" s="74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10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hidden="1" customHeight="1">
      <c r="A305" s="5"/>
      <c r="B305" s="73"/>
      <c r="C305" s="74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10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hidden="1" customHeight="1">
      <c r="A306" s="5"/>
      <c r="B306" s="73"/>
      <c r="C306" s="74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10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hidden="1" customHeight="1">
      <c r="A307" s="5"/>
      <c r="B307" s="73"/>
      <c r="C307" s="74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10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hidden="1" customHeight="1">
      <c r="A308" s="5"/>
      <c r="B308" s="73"/>
      <c r="C308" s="74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10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hidden="1" customHeight="1">
      <c r="A309" s="5"/>
      <c r="B309" s="73"/>
      <c r="C309" s="74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10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hidden="1" customHeight="1">
      <c r="A310" s="5"/>
      <c r="B310" s="73"/>
      <c r="C310" s="74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10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hidden="1" customHeight="1">
      <c r="A311" s="5"/>
      <c r="B311" s="73"/>
      <c r="C311" s="74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10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hidden="1" customHeight="1">
      <c r="A312" s="5"/>
      <c r="B312" s="73"/>
      <c r="C312" s="74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10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hidden="1" customHeight="1">
      <c r="A313" s="5"/>
      <c r="B313" s="73"/>
      <c r="C313" s="74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10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hidden="1" customHeight="1">
      <c r="A314" s="5"/>
      <c r="B314" s="73"/>
      <c r="C314" s="74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10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hidden="1" customHeight="1">
      <c r="A315" s="5"/>
      <c r="B315" s="73"/>
      <c r="C315" s="74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10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hidden="1" customHeight="1">
      <c r="A316" s="5"/>
      <c r="B316" s="73"/>
      <c r="C316" s="74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10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hidden="1" customHeight="1">
      <c r="A317" s="5"/>
      <c r="B317" s="73"/>
      <c r="C317" s="74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10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hidden="1" customHeight="1">
      <c r="A318" s="5"/>
      <c r="B318" s="73"/>
      <c r="C318" s="74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10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hidden="1" customHeight="1">
      <c r="A319" s="5"/>
      <c r="B319" s="73"/>
      <c r="C319" s="74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10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hidden="1" customHeight="1">
      <c r="A320" s="5"/>
      <c r="B320" s="73"/>
      <c r="C320" s="74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10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hidden="1" customHeight="1">
      <c r="A321" s="5"/>
      <c r="B321" s="73"/>
      <c r="C321" s="74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10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hidden="1" customHeight="1">
      <c r="A322" s="5"/>
      <c r="B322" s="73"/>
      <c r="C322" s="74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10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hidden="1" customHeight="1">
      <c r="A323" s="5"/>
      <c r="B323" s="73"/>
      <c r="C323" s="74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10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hidden="1" customHeight="1">
      <c r="A324" s="5"/>
      <c r="B324" s="73"/>
      <c r="C324" s="74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10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hidden="1" customHeight="1">
      <c r="A325" s="5"/>
      <c r="B325" s="73"/>
      <c r="C325" s="74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10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hidden="1" customHeight="1">
      <c r="A326" s="5"/>
      <c r="B326" s="73"/>
      <c r="C326" s="74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10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hidden="1" customHeight="1">
      <c r="A327" s="5"/>
      <c r="B327" s="73"/>
      <c r="C327" s="74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10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hidden="1" customHeight="1">
      <c r="A328" s="5"/>
      <c r="B328" s="73"/>
      <c r="C328" s="74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10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hidden="1" customHeight="1">
      <c r="A329" s="5"/>
      <c r="B329" s="73"/>
      <c r="C329" s="74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10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hidden="1" customHeight="1">
      <c r="A330" s="5"/>
      <c r="B330" s="73"/>
      <c r="C330" s="74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10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hidden="1" customHeight="1">
      <c r="A331" s="5"/>
      <c r="B331" s="73"/>
      <c r="C331" s="74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10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hidden="1" customHeight="1">
      <c r="A332" s="5"/>
      <c r="B332" s="73"/>
      <c r="C332" s="74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10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hidden="1" customHeight="1">
      <c r="A333" s="5"/>
      <c r="B333" s="73"/>
      <c r="C333" s="74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10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hidden="1" customHeight="1">
      <c r="A334" s="5"/>
      <c r="B334" s="73"/>
      <c r="C334" s="74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10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hidden="1" customHeight="1">
      <c r="A335" s="5"/>
      <c r="B335" s="73"/>
      <c r="C335" s="74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10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hidden="1" customHeight="1">
      <c r="A336" s="5"/>
      <c r="B336" s="73"/>
      <c r="C336" s="74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10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hidden="1" customHeight="1">
      <c r="A337" s="5"/>
      <c r="B337" s="73"/>
      <c r="C337" s="74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10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hidden="1" customHeight="1">
      <c r="A338" s="5"/>
      <c r="B338" s="73"/>
      <c r="C338" s="74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10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hidden="1" customHeight="1">
      <c r="A339" s="5"/>
      <c r="B339" s="73"/>
      <c r="C339" s="74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10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hidden="1" customHeight="1">
      <c r="A340" s="5"/>
      <c r="B340" s="73"/>
      <c r="C340" s="74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10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hidden="1" customHeight="1">
      <c r="A341" s="5"/>
      <c r="B341" s="73"/>
      <c r="C341" s="74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10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hidden="1" customHeight="1">
      <c r="A342" s="5"/>
      <c r="B342" s="73"/>
      <c r="C342" s="74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10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hidden="1" customHeight="1">
      <c r="A343" s="5"/>
      <c r="B343" s="73"/>
      <c r="C343" s="74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10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hidden="1" customHeight="1">
      <c r="A344" s="5"/>
      <c r="B344" s="73"/>
      <c r="C344" s="74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10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hidden="1" customHeight="1">
      <c r="A345" s="5"/>
      <c r="B345" s="73"/>
      <c r="C345" s="74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10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hidden="1" customHeight="1">
      <c r="A346" s="5"/>
      <c r="B346" s="73"/>
      <c r="C346" s="74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10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hidden="1" customHeight="1">
      <c r="A347" s="5"/>
      <c r="B347" s="73"/>
      <c r="C347" s="74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10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hidden="1" customHeight="1">
      <c r="A348" s="5"/>
      <c r="B348" s="73"/>
      <c r="C348" s="74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10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hidden="1" customHeight="1">
      <c r="A349" s="5"/>
      <c r="B349" s="73"/>
      <c r="C349" s="74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10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hidden="1" customHeight="1">
      <c r="A350" s="5"/>
      <c r="B350" s="73"/>
      <c r="C350" s="74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10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hidden="1" customHeight="1">
      <c r="A351" s="5"/>
      <c r="B351" s="73"/>
      <c r="C351" s="74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10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hidden="1" customHeight="1">
      <c r="A352" s="5"/>
      <c r="B352" s="73"/>
      <c r="C352" s="74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10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hidden="1" customHeight="1">
      <c r="A353" s="5"/>
      <c r="B353" s="73"/>
      <c r="C353" s="74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10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hidden="1" customHeight="1">
      <c r="A354" s="5"/>
      <c r="B354" s="73"/>
      <c r="C354" s="74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10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hidden="1" customHeight="1">
      <c r="A355" s="5"/>
      <c r="B355" s="73"/>
      <c r="C355" s="74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10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hidden="1" customHeight="1">
      <c r="A356" s="5"/>
      <c r="B356" s="73"/>
      <c r="C356" s="74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10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hidden="1" customHeight="1">
      <c r="A357" s="5"/>
      <c r="B357" s="73"/>
      <c r="C357" s="74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10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hidden="1" customHeight="1">
      <c r="A358" s="5"/>
      <c r="B358" s="73"/>
      <c r="C358" s="74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10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hidden="1" customHeight="1">
      <c r="A359" s="5"/>
      <c r="B359" s="73"/>
      <c r="C359" s="74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10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hidden="1" customHeight="1">
      <c r="A360" s="5"/>
      <c r="B360" s="73"/>
      <c r="C360" s="74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10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hidden="1" customHeight="1">
      <c r="A361" s="5"/>
      <c r="B361" s="73"/>
      <c r="C361" s="74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10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hidden="1" customHeight="1">
      <c r="A362" s="5"/>
      <c r="B362" s="73"/>
      <c r="C362" s="74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10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hidden="1" customHeight="1">
      <c r="A363" s="5"/>
      <c r="B363" s="73"/>
      <c r="C363" s="74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10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hidden="1" customHeight="1">
      <c r="A364" s="5"/>
      <c r="B364" s="73"/>
      <c r="C364" s="74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10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hidden="1" customHeight="1">
      <c r="A365" s="5"/>
      <c r="B365" s="73"/>
      <c r="C365" s="74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10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hidden="1" customHeight="1">
      <c r="A366" s="5"/>
      <c r="B366" s="73"/>
      <c r="C366" s="74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10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hidden="1" customHeight="1">
      <c r="A367" s="5"/>
      <c r="B367" s="73"/>
      <c r="C367" s="74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10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hidden="1" customHeight="1">
      <c r="A368" s="5"/>
      <c r="B368" s="73"/>
      <c r="C368" s="74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10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hidden="1" customHeight="1">
      <c r="A369" s="5"/>
      <c r="B369" s="73"/>
      <c r="C369" s="74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10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hidden="1" customHeight="1">
      <c r="A370" s="5"/>
      <c r="B370" s="73"/>
      <c r="C370" s="74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10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hidden="1" customHeight="1">
      <c r="A371" s="5"/>
      <c r="B371" s="73"/>
      <c r="C371" s="74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10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hidden="1" customHeight="1">
      <c r="A372" s="5"/>
      <c r="B372" s="73"/>
      <c r="C372" s="74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10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hidden="1" customHeight="1">
      <c r="A373" s="5"/>
      <c r="B373" s="73"/>
      <c r="C373" s="74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10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hidden="1" customHeight="1">
      <c r="A374" s="5"/>
      <c r="B374" s="73"/>
      <c r="C374" s="74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10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hidden="1" customHeight="1">
      <c r="A375" s="5"/>
      <c r="B375" s="73"/>
      <c r="C375" s="74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10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hidden="1" customHeight="1">
      <c r="A376" s="5"/>
      <c r="B376" s="73"/>
      <c r="C376" s="74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10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hidden="1" customHeight="1">
      <c r="A377" s="5"/>
      <c r="B377" s="73"/>
      <c r="C377" s="74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10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hidden="1" customHeight="1">
      <c r="A378" s="5"/>
      <c r="B378" s="73"/>
      <c r="C378" s="74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10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hidden="1" customHeight="1">
      <c r="A379" s="5"/>
      <c r="B379" s="73"/>
      <c r="C379" s="74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10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hidden="1" customHeight="1">
      <c r="A380" s="5"/>
      <c r="B380" s="73"/>
      <c r="C380" s="74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10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hidden="1" customHeight="1">
      <c r="A381" s="5"/>
      <c r="B381" s="73"/>
      <c r="C381" s="74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10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hidden="1" customHeight="1">
      <c r="A382" s="5"/>
      <c r="B382" s="73"/>
      <c r="C382" s="74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10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hidden="1" customHeight="1">
      <c r="A383" s="5"/>
      <c r="B383" s="73"/>
      <c r="C383" s="74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10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hidden="1" customHeight="1">
      <c r="A384" s="5"/>
      <c r="B384" s="73"/>
      <c r="C384" s="74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10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hidden="1" customHeight="1">
      <c r="A385" s="5"/>
      <c r="B385" s="73"/>
      <c r="C385" s="74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10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hidden="1" customHeight="1">
      <c r="A386" s="5"/>
      <c r="B386" s="73"/>
      <c r="C386" s="74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10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hidden="1" customHeight="1">
      <c r="A387" s="5"/>
      <c r="B387" s="73"/>
      <c r="C387" s="74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10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hidden="1" customHeight="1">
      <c r="A388" s="5"/>
      <c r="B388" s="73"/>
      <c r="C388" s="74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10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hidden="1" customHeight="1">
      <c r="A389" s="5"/>
      <c r="B389" s="73"/>
      <c r="C389" s="74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10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hidden="1" customHeight="1">
      <c r="A390" s="5"/>
      <c r="B390" s="73"/>
      <c r="C390" s="74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10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hidden="1" customHeight="1">
      <c r="A391" s="5"/>
      <c r="B391" s="73"/>
      <c r="C391" s="74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10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hidden="1" customHeight="1">
      <c r="A392" s="5"/>
      <c r="B392" s="73"/>
      <c r="C392" s="74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10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hidden="1" customHeight="1">
      <c r="A393" s="5"/>
      <c r="B393" s="73"/>
      <c r="C393" s="74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10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hidden="1" customHeight="1">
      <c r="A394" s="5"/>
      <c r="B394" s="73"/>
      <c r="C394" s="74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10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hidden="1" customHeight="1">
      <c r="A395" s="5"/>
      <c r="B395" s="73"/>
      <c r="C395" s="74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10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hidden="1" customHeight="1">
      <c r="A396" s="5"/>
      <c r="B396" s="73"/>
      <c r="C396" s="74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10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hidden="1" customHeight="1">
      <c r="A397" s="5"/>
      <c r="B397" s="73"/>
      <c r="C397" s="74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10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hidden="1" customHeight="1">
      <c r="A398" s="5"/>
      <c r="B398" s="73"/>
      <c r="C398" s="74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10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hidden="1" customHeight="1">
      <c r="A399" s="5"/>
      <c r="B399" s="73"/>
      <c r="C399" s="74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10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hidden="1" customHeight="1">
      <c r="A400" s="5"/>
      <c r="B400" s="73"/>
      <c r="C400" s="74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10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hidden="1" customHeight="1">
      <c r="A401" s="5"/>
      <c r="B401" s="73"/>
      <c r="C401" s="74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10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hidden="1" customHeight="1">
      <c r="A402" s="5"/>
      <c r="B402" s="73"/>
      <c r="C402" s="74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10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hidden="1" customHeight="1">
      <c r="A403" s="5"/>
      <c r="B403" s="73"/>
      <c r="C403" s="74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10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hidden="1" customHeight="1">
      <c r="A404" s="5"/>
      <c r="B404" s="73"/>
      <c r="C404" s="74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10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hidden="1" customHeight="1">
      <c r="A405" s="5"/>
      <c r="B405" s="73"/>
      <c r="C405" s="74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10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hidden="1" customHeight="1">
      <c r="A406" s="5"/>
      <c r="B406" s="73"/>
      <c r="C406" s="74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10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hidden="1" customHeight="1">
      <c r="A407" s="5"/>
      <c r="B407" s="73"/>
      <c r="C407" s="74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10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hidden="1" customHeight="1">
      <c r="A408" s="5"/>
      <c r="B408" s="73"/>
      <c r="C408" s="74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10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hidden="1" customHeight="1">
      <c r="A409" s="5"/>
      <c r="B409" s="73"/>
      <c r="C409" s="74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10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hidden="1" customHeight="1">
      <c r="A410" s="5"/>
      <c r="B410" s="73"/>
      <c r="C410" s="74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10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hidden="1" customHeight="1">
      <c r="A411" s="5"/>
      <c r="B411" s="73"/>
      <c r="C411" s="74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10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hidden="1" customHeight="1">
      <c r="A412" s="5"/>
      <c r="B412" s="73"/>
      <c r="C412" s="74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10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hidden="1" customHeight="1">
      <c r="A413" s="5"/>
      <c r="B413" s="73"/>
      <c r="C413" s="74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10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hidden="1" customHeight="1">
      <c r="A414" s="5"/>
      <c r="B414" s="73"/>
      <c r="C414" s="74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10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hidden="1" customHeight="1">
      <c r="A415" s="5"/>
      <c r="B415" s="73"/>
      <c r="C415" s="74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10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hidden="1" customHeight="1">
      <c r="A416" s="5"/>
      <c r="B416" s="73"/>
      <c r="C416" s="74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10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hidden="1" customHeight="1">
      <c r="A417" s="5"/>
      <c r="B417" s="73"/>
      <c r="C417" s="74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10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hidden="1" customHeight="1">
      <c r="A418" s="5"/>
      <c r="B418" s="73"/>
      <c r="C418" s="74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10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hidden="1" customHeight="1">
      <c r="A419" s="5"/>
      <c r="B419" s="73"/>
      <c r="C419" s="74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10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hidden="1" customHeight="1">
      <c r="A420" s="5"/>
      <c r="B420" s="73"/>
      <c r="C420" s="74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10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hidden="1" customHeight="1">
      <c r="A421" s="5"/>
      <c r="B421" s="73"/>
      <c r="C421" s="74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10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hidden="1" customHeight="1">
      <c r="A422" s="5"/>
      <c r="B422" s="73"/>
      <c r="C422" s="74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10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hidden="1" customHeight="1">
      <c r="A423" s="5"/>
      <c r="B423" s="73"/>
      <c r="C423" s="74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10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hidden="1" customHeight="1">
      <c r="A424" s="5"/>
      <c r="B424" s="73"/>
      <c r="C424" s="74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10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hidden="1" customHeight="1">
      <c r="A425" s="5"/>
      <c r="B425" s="73"/>
      <c r="C425" s="74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10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hidden="1" customHeight="1">
      <c r="A426" s="5"/>
      <c r="B426" s="73"/>
      <c r="C426" s="74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10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hidden="1" customHeight="1">
      <c r="A427" s="5"/>
      <c r="B427" s="73"/>
      <c r="C427" s="74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10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hidden="1" customHeight="1">
      <c r="A428" s="5"/>
      <c r="B428" s="73"/>
      <c r="C428" s="74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10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hidden="1" customHeight="1">
      <c r="A429" s="5"/>
      <c r="B429" s="73"/>
      <c r="C429" s="74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10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hidden="1" customHeight="1">
      <c r="A430" s="5"/>
      <c r="B430" s="73"/>
      <c r="C430" s="74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10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hidden="1" customHeight="1">
      <c r="A431" s="5"/>
      <c r="B431" s="73"/>
      <c r="C431" s="74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10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hidden="1" customHeight="1">
      <c r="A432" s="5"/>
      <c r="B432" s="73"/>
      <c r="C432" s="74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10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hidden="1" customHeight="1">
      <c r="A433" s="5"/>
      <c r="B433" s="73"/>
      <c r="C433" s="74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10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hidden="1" customHeight="1">
      <c r="A434" s="5"/>
      <c r="B434" s="73"/>
      <c r="C434" s="74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10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hidden="1" customHeight="1">
      <c r="A435" s="5"/>
      <c r="B435" s="73"/>
      <c r="C435" s="74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10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hidden="1" customHeight="1">
      <c r="A436" s="5"/>
      <c r="B436" s="73"/>
      <c r="C436" s="74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10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hidden="1" customHeight="1">
      <c r="A437" s="5"/>
      <c r="B437" s="73"/>
      <c r="C437" s="74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10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hidden="1" customHeight="1">
      <c r="A438" s="5"/>
      <c r="B438" s="73"/>
      <c r="C438" s="74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10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hidden="1" customHeight="1">
      <c r="A439" s="5"/>
      <c r="B439" s="73"/>
      <c r="C439" s="74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10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hidden="1" customHeight="1">
      <c r="A440" s="5"/>
      <c r="B440" s="73"/>
      <c r="C440" s="74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10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hidden="1" customHeight="1">
      <c r="A441" s="5"/>
      <c r="B441" s="73"/>
      <c r="C441" s="74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10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hidden="1" customHeight="1">
      <c r="A442" s="5"/>
      <c r="B442" s="73"/>
      <c r="C442" s="74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10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hidden="1" customHeight="1">
      <c r="A443" s="5"/>
      <c r="B443" s="73"/>
      <c r="C443" s="74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10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hidden="1" customHeight="1">
      <c r="A444" s="5"/>
      <c r="B444" s="73"/>
      <c r="C444" s="74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10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hidden="1" customHeight="1">
      <c r="A445" s="5"/>
      <c r="B445" s="73"/>
      <c r="C445" s="74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10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hidden="1" customHeight="1">
      <c r="A446" s="5"/>
      <c r="B446" s="73"/>
      <c r="C446" s="74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10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hidden="1" customHeight="1">
      <c r="A447" s="5"/>
      <c r="B447" s="73"/>
      <c r="C447" s="74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10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hidden="1" customHeight="1">
      <c r="A448" s="5"/>
      <c r="B448" s="73"/>
      <c r="C448" s="74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10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hidden="1" customHeight="1">
      <c r="A449" s="5"/>
      <c r="B449" s="73"/>
      <c r="C449" s="74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10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hidden="1" customHeight="1">
      <c r="A450" s="5"/>
      <c r="B450" s="73"/>
      <c r="C450" s="74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10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hidden="1" customHeight="1">
      <c r="A451" s="5"/>
      <c r="B451" s="73"/>
      <c r="C451" s="74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10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hidden="1" customHeight="1">
      <c r="A452" s="5"/>
      <c r="B452" s="73"/>
      <c r="C452" s="74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10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hidden="1" customHeight="1">
      <c r="A453" s="5"/>
      <c r="B453" s="73"/>
      <c r="C453" s="74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10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hidden="1" customHeight="1">
      <c r="A454" s="5"/>
      <c r="B454" s="73"/>
      <c r="C454" s="74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10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hidden="1" customHeight="1">
      <c r="A455" s="5"/>
      <c r="B455" s="73"/>
      <c r="C455" s="74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10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hidden="1" customHeight="1">
      <c r="A456" s="5"/>
      <c r="B456" s="73"/>
      <c r="C456" s="74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10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hidden="1" customHeight="1">
      <c r="A457" s="5"/>
      <c r="B457" s="73"/>
      <c r="C457" s="74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10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hidden="1" customHeight="1">
      <c r="A458" s="5"/>
      <c r="B458" s="73"/>
      <c r="C458" s="74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10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hidden="1" customHeight="1">
      <c r="A459" s="5"/>
      <c r="B459" s="73"/>
      <c r="C459" s="74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10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hidden="1" customHeight="1">
      <c r="A460" s="5"/>
      <c r="B460" s="73"/>
      <c r="C460" s="74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10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hidden="1" customHeight="1">
      <c r="A461" s="5"/>
      <c r="B461" s="73"/>
      <c r="C461" s="74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10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hidden="1" customHeight="1">
      <c r="A462" s="5"/>
      <c r="B462" s="73"/>
      <c r="C462" s="74"/>
      <c r="D462" s="5"/>
      <c r="E462" s="5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hidden="1" customHeight="1">
      <c r="A463" s="5"/>
      <c r="B463" s="73"/>
      <c r="C463" s="74"/>
      <c r="D463" s="5"/>
      <c r="E463" s="5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hidden="1" customHeight="1">
      <c r="A464" s="5"/>
      <c r="B464" s="73"/>
      <c r="C464" s="74"/>
      <c r="D464" s="5"/>
      <c r="E464" s="5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0">
    <mergeCell ref="B67:D67"/>
    <mergeCell ref="A68:E68"/>
    <mergeCell ref="C69:D69"/>
    <mergeCell ref="B79:D79"/>
    <mergeCell ref="A80:E80"/>
    <mergeCell ref="C81:D81"/>
    <mergeCell ref="B91:D91"/>
    <mergeCell ref="A92:E92"/>
    <mergeCell ref="C93:D93"/>
    <mergeCell ref="B103:D103"/>
    <mergeCell ref="A104:E104"/>
    <mergeCell ref="C105:D105"/>
    <mergeCell ref="B115:D115"/>
    <mergeCell ref="A116:E116"/>
    <mergeCell ref="B151:D151"/>
    <mergeCell ref="A152:E152"/>
    <mergeCell ref="C153:D153"/>
    <mergeCell ref="B163:D163"/>
    <mergeCell ref="A164:E164"/>
    <mergeCell ref="C165:D165"/>
    <mergeCell ref="B175:D175"/>
    <mergeCell ref="A176:E176"/>
    <mergeCell ref="C177:D177"/>
    <mergeCell ref="B187:D187"/>
    <mergeCell ref="A188:E188"/>
    <mergeCell ref="C189:D189"/>
    <mergeCell ref="B199:D199"/>
    <mergeCell ref="A200:E200"/>
    <mergeCell ref="C201:D201"/>
    <mergeCell ref="B211:D211"/>
    <mergeCell ref="A212:E212"/>
    <mergeCell ref="C213:D213"/>
    <mergeCell ref="B223:D223"/>
    <mergeCell ref="A224:E224"/>
    <mergeCell ref="C225:D225"/>
    <mergeCell ref="B261:D261"/>
    <mergeCell ref="C262:D262"/>
    <mergeCell ref="C263:D263"/>
    <mergeCell ref="C264:D264"/>
    <mergeCell ref="B235:D235"/>
    <mergeCell ref="A236:E236"/>
    <mergeCell ref="C237:D237"/>
    <mergeCell ref="B247:D247"/>
    <mergeCell ref="A248:E248"/>
    <mergeCell ref="C249:D249"/>
    <mergeCell ref="B259:D259"/>
    <mergeCell ref="B12:D12"/>
    <mergeCell ref="E12:E13"/>
    <mergeCell ref="B13:D13"/>
    <mergeCell ref="B14:C16"/>
    <mergeCell ref="A17:D17"/>
    <mergeCell ref="B18:D18"/>
    <mergeCell ref="C19:C21"/>
    <mergeCell ref="B19:B21"/>
    <mergeCell ref="B22:B24"/>
    <mergeCell ref="C22:C24"/>
    <mergeCell ref="B25:B27"/>
    <mergeCell ref="C25:C27"/>
    <mergeCell ref="B28:B30"/>
    <mergeCell ref="C28:C30"/>
    <mergeCell ref="A31:D31"/>
    <mergeCell ref="B32:D32"/>
    <mergeCell ref="B33:D33"/>
    <mergeCell ref="B34:D34"/>
    <mergeCell ref="B35:D35"/>
    <mergeCell ref="B36:D36"/>
    <mergeCell ref="A37:E37"/>
    <mergeCell ref="B38:D38"/>
    <mergeCell ref="B39:C41"/>
    <mergeCell ref="A42:D42"/>
    <mergeCell ref="B43:D43"/>
    <mergeCell ref="A44:D44"/>
    <mergeCell ref="C45:D45"/>
    <mergeCell ref="C46:D46"/>
    <mergeCell ref="A56:E56"/>
    <mergeCell ref="C57:D57"/>
    <mergeCell ref="C47:D47"/>
    <mergeCell ref="C48:D48"/>
    <mergeCell ref="C49:D49"/>
    <mergeCell ref="C50:D50"/>
    <mergeCell ref="C51:D51"/>
    <mergeCell ref="C52:D52"/>
    <mergeCell ref="B55:D55"/>
    <mergeCell ref="C117:D117"/>
    <mergeCell ref="B127:D127"/>
    <mergeCell ref="A128:E128"/>
    <mergeCell ref="C129:D129"/>
    <mergeCell ref="B139:D139"/>
    <mergeCell ref="A140:E140"/>
    <mergeCell ref="C141:D141"/>
  </mergeCells>
  <conditionalFormatting sqref="E30">
    <cfRule type="expression" dxfId="0" priority="1">
      <formula>E30&lt;&gt;E264</formula>
    </cfRule>
  </conditionalFormatting>
  <conditionalFormatting sqref="E30">
    <cfRule type="expression" dxfId="0" priority="2">
      <formula>E30&lt;&gt;E34</formula>
    </cfRule>
  </conditionalFormatting>
  <conditionalFormatting sqref="E259">
    <cfRule type="containsBlanks" dxfId="1" priority="3">
      <formula>LEN(TRIM(E259))=0</formula>
    </cfRule>
  </conditionalFormatting>
  <conditionalFormatting sqref="F259:O261">
    <cfRule type="cellIs" dxfId="0" priority="4" operator="equal">
      <formula>"FALSE"</formula>
    </cfRule>
  </conditionalFormatting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22" width="8.71"/>
    <col customWidth="1" min="23" max="23" width="13.29"/>
    <col customWidth="1" min="24" max="26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198</v>
      </c>
      <c r="D9" s="8" t="s">
        <v>199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75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200</v>
      </c>
      <c r="F13" s="13" t="s">
        <v>201</v>
      </c>
      <c r="G13" s="13" t="s">
        <v>202</v>
      </c>
      <c r="H13" s="13" t="s">
        <v>203</v>
      </c>
      <c r="I13" s="13" t="s">
        <v>204</v>
      </c>
      <c r="J13" s="13" t="s">
        <v>205</v>
      </c>
      <c r="K13" s="13" t="s">
        <v>206</v>
      </c>
      <c r="L13" s="13" t="s">
        <v>207</v>
      </c>
      <c r="M13" s="13" t="s">
        <v>208</v>
      </c>
      <c r="N13" s="13" t="s">
        <v>209</v>
      </c>
      <c r="O13" s="13" t="s">
        <v>210</v>
      </c>
      <c r="P13" s="13" t="s">
        <v>211</v>
      </c>
      <c r="Q13" s="13" t="s">
        <v>212</v>
      </c>
      <c r="R13" s="13" t="s">
        <v>213</v>
      </c>
      <c r="S13" s="13" t="s">
        <v>214</v>
      </c>
      <c r="T13" s="13" t="s">
        <v>215</v>
      </c>
      <c r="U13" s="13" t="s">
        <v>216</v>
      </c>
      <c r="V13" s="13" t="s">
        <v>217</v>
      </c>
      <c r="W13" s="36"/>
    </row>
    <row r="14" ht="12.75" customHeight="1">
      <c r="A14" s="18"/>
      <c r="B14" s="22" t="s">
        <v>11</v>
      </c>
      <c r="C14" s="23"/>
      <c r="D14" s="19" t="s">
        <v>12</v>
      </c>
      <c r="E14" s="19">
        <v>142.0</v>
      </c>
      <c r="F14" s="19">
        <v>135.0</v>
      </c>
      <c r="G14" s="19">
        <v>133.0</v>
      </c>
      <c r="H14" s="19">
        <v>137.0</v>
      </c>
      <c r="I14" s="19">
        <v>142.0</v>
      </c>
      <c r="J14" s="19">
        <v>148.0</v>
      </c>
      <c r="K14" s="19">
        <v>143.0</v>
      </c>
      <c r="L14" s="19">
        <v>147.0</v>
      </c>
      <c r="M14" s="19">
        <v>143.0</v>
      </c>
      <c r="N14" s="19">
        <v>61.0</v>
      </c>
      <c r="O14" s="19">
        <v>150.0</v>
      </c>
      <c r="P14" s="19">
        <v>143.0</v>
      </c>
      <c r="Q14" s="19">
        <v>122.0</v>
      </c>
      <c r="R14" s="19">
        <v>136.0</v>
      </c>
      <c r="S14" s="19">
        <v>147.0</v>
      </c>
      <c r="T14" s="19">
        <v>115.0</v>
      </c>
      <c r="U14" s="19">
        <v>122.0</v>
      </c>
      <c r="V14" s="19">
        <v>126.0</v>
      </c>
      <c r="W14" s="13">
        <f t="shared" ref="W14:W16" si="1">SUM(E14:V14)</f>
        <v>2392</v>
      </c>
    </row>
    <row r="15" ht="12.75" customHeight="1">
      <c r="A15" s="18"/>
      <c r="B15" s="26"/>
      <c r="C15" s="27"/>
      <c r="D15" s="19" t="s">
        <v>13</v>
      </c>
      <c r="E15" s="19">
        <v>138.0</v>
      </c>
      <c r="F15" s="19">
        <v>131.0</v>
      </c>
      <c r="G15" s="19">
        <v>149.0</v>
      </c>
      <c r="H15" s="19">
        <v>140.0</v>
      </c>
      <c r="I15" s="19">
        <v>150.0</v>
      </c>
      <c r="J15" s="19">
        <v>149.0</v>
      </c>
      <c r="K15" s="19">
        <v>143.0</v>
      </c>
      <c r="L15" s="19">
        <v>151.0</v>
      </c>
      <c r="M15" s="19">
        <v>140.0</v>
      </c>
      <c r="N15" s="19">
        <v>64.0</v>
      </c>
      <c r="O15" s="19">
        <v>142.0</v>
      </c>
      <c r="P15" s="19">
        <v>149.0</v>
      </c>
      <c r="Q15" s="19">
        <v>134.0</v>
      </c>
      <c r="R15" s="19">
        <v>152.0</v>
      </c>
      <c r="S15" s="19">
        <v>146.0</v>
      </c>
      <c r="T15" s="19">
        <v>121.0</v>
      </c>
      <c r="U15" s="19">
        <v>131.0</v>
      </c>
      <c r="V15" s="19">
        <v>125.0</v>
      </c>
      <c r="W15" s="13">
        <f t="shared" si="1"/>
        <v>2455</v>
      </c>
    </row>
    <row r="16" ht="12.75" customHeight="1">
      <c r="A16" s="25"/>
      <c r="B16" s="21"/>
      <c r="C16" s="28"/>
      <c r="D16" s="13" t="s">
        <v>14</v>
      </c>
      <c r="E16" s="13">
        <f t="shared" ref="E16:V16" si="2">SUM(E14:E15)</f>
        <v>280</v>
      </c>
      <c r="F16" s="13">
        <f t="shared" si="2"/>
        <v>266</v>
      </c>
      <c r="G16" s="13">
        <f t="shared" si="2"/>
        <v>282</v>
      </c>
      <c r="H16" s="13">
        <f t="shared" si="2"/>
        <v>277</v>
      </c>
      <c r="I16" s="13">
        <f t="shared" si="2"/>
        <v>292</v>
      </c>
      <c r="J16" s="13">
        <f t="shared" si="2"/>
        <v>297</v>
      </c>
      <c r="K16" s="13">
        <f t="shared" si="2"/>
        <v>286</v>
      </c>
      <c r="L16" s="13">
        <f t="shared" si="2"/>
        <v>298</v>
      </c>
      <c r="M16" s="13">
        <f t="shared" si="2"/>
        <v>283</v>
      </c>
      <c r="N16" s="13">
        <f t="shared" si="2"/>
        <v>125</v>
      </c>
      <c r="O16" s="13">
        <f t="shared" si="2"/>
        <v>292</v>
      </c>
      <c r="P16" s="13">
        <f t="shared" si="2"/>
        <v>292</v>
      </c>
      <c r="Q16" s="13">
        <f t="shared" si="2"/>
        <v>256</v>
      </c>
      <c r="R16" s="13">
        <f t="shared" si="2"/>
        <v>288</v>
      </c>
      <c r="S16" s="13">
        <f t="shared" si="2"/>
        <v>293</v>
      </c>
      <c r="T16" s="13">
        <f t="shared" si="2"/>
        <v>236</v>
      </c>
      <c r="U16" s="13">
        <f t="shared" si="2"/>
        <v>253</v>
      </c>
      <c r="V16" s="13">
        <f t="shared" si="2"/>
        <v>251</v>
      </c>
      <c r="W16" s="13">
        <f t="shared" si="1"/>
        <v>4847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76"/>
      <c r="O17" s="76"/>
      <c r="P17" s="76"/>
      <c r="Q17" s="76"/>
      <c r="R17" s="76"/>
      <c r="S17" s="76"/>
      <c r="T17" s="76"/>
      <c r="U17" s="76"/>
      <c r="V17" s="76"/>
      <c r="W17" s="77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76"/>
      <c r="O18" s="76"/>
      <c r="P18" s="76"/>
      <c r="Q18" s="76"/>
      <c r="R18" s="76"/>
      <c r="S18" s="76"/>
      <c r="T18" s="76"/>
      <c r="U18" s="76"/>
      <c r="V18" s="76"/>
      <c r="W18" s="77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19">
        <v>107.0</v>
      </c>
      <c r="F19" s="19">
        <v>95.0</v>
      </c>
      <c r="G19" s="19">
        <v>93.0</v>
      </c>
      <c r="H19" s="19">
        <v>91.0</v>
      </c>
      <c r="I19" s="19">
        <v>106.0</v>
      </c>
      <c r="J19" s="19">
        <v>111.0</v>
      </c>
      <c r="K19" s="19">
        <v>108.0</v>
      </c>
      <c r="L19" s="19">
        <v>107.0</v>
      </c>
      <c r="M19" s="19">
        <v>121.0</v>
      </c>
      <c r="N19" s="19">
        <v>50.0</v>
      </c>
      <c r="O19" s="19">
        <v>123.0</v>
      </c>
      <c r="P19" s="19">
        <v>121.0</v>
      </c>
      <c r="Q19" s="19">
        <v>95.0</v>
      </c>
      <c r="R19" s="19">
        <v>96.0</v>
      </c>
      <c r="S19" s="19">
        <v>113.0</v>
      </c>
      <c r="T19" s="19">
        <v>96.0</v>
      </c>
      <c r="U19" s="19">
        <v>98.0</v>
      </c>
      <c r="V19" s="19">
        <v>100.0</v>
      </c>
      <c r="W19" s="13">
        <f t="shared" ref="W19:W30" si="3">SUM(E19:V19)</f>
        <v>1831</v>
      </c>
    </row>
    <row r="20" ht="12.75" customHeight="1">
      <c r="A20" s="33"/>
      <c r="B20" s="27"/>
      <c r="C20" s="34"/>
      <c r="D20" s="19" t="s">
        <v>13</v>
      </c>
      <c r="E20" s="19">
        <v>112.0</v>
      </c>
      <c r="F20" s="19">
        <v>100.0</v>
      </c>
      <c r="G20" s="19">
        <v>132.0</v>
      </c>
      <c r="H20" s="19">
        <v>113.0</v>
      </c>
      <c r="I20" s="19">
        <v>120.0</v>
      </c>
      <c r="J20" s="19">
        <v>127.0</v>
      </c>
      <c r="K20" s="19">
        <v>119.0</v>
      </c>
      <c r="L20" s="19">
        <v>129.0</v>
      </c>
      <c r="M20" s="19">
        <v>118.0</v>
      </c>
      <c r="N20" s="19">
        <v>56.0</v>
      </c>
      <c r="O20" s="19">
        <v>113.0</v>
      </c>
      <c r="P20" s="19">
        <v>113.0</v>
      </c>
      <c r="Q20" s="19">
        <v>110.0</v>
      </c>
      <c r="R20" s="19">
        <v>116.0</v>
      </c>
      <c r="S20" s="19">
        <v>120.0</v>
      </c>
      <c r="T20" s="19">
        <v>88.0</v>
      </c>
      <c r="U20" s="19">
        <v>112.0</v>
      </c>
      <c r="V20" s="19">
        <v>106.0</v>
      </c>
      <c r="W20" s="13">
        <f t="shared" si="3"/>
        <v>2004</v>
      </c>
    </row>
    <row r="21" ht="12.75" customHeight="1">
      <c r="A21" s="35"/>
      <c r="B21" s="28"/>
      <c r="C21" s="36"/>
      <c r="D21" s="13" t="s">
        <v>14</v>
      </c>
      <c r="E21" s="13">
        <f t="shared" ref="E21:V21" si="4">SUM(E19:E20)</f>
        <v>219</v>
      </c>
      <c r="F21" s="13">
        <f t="shared" si="4"/>
        <v>195</v>
      </c>
      <c r="G21" s="13">
        <f t="shared" si="4"/>
        <v>225</v>
      </c>
      <c r="H21" s="13">
        <f t="shared" si="4"/>
        <v>204</v>
      </c>
      <c r="I21" s="13">
        <f t="shared" si="4"/>
        <v>226</v>
      </c>
      <c r="J21" s="13">
        <f t="shared" si="4"/>
        <v>238</v>
      </c>
      <c r="K21" s="13">
        <f t="shared" si="4"/>
        <v>227</v>
      </c>
      <c r="L21" s="13">
        <f t="shared" si="4"/>
        <v>236</v>
      </c>
      <c r="M21" s="13">
        <f t="shared" si="4"/>
        <v>239</v>
      </c>
      <c r="N21" s="13">
        <f t="shared" si="4"/>
        <v>106</v>
      </c>
      <c r="O21" s="13">
        <f t="shared" si="4"/>
        <v>236</v>
      </c>
      <c r="P21" s="13">
        <f t="shared" si="4"/>
        <v>234</v>
      </c>
      <c r="Q21" s="13">
        <f t="shared" si="4"/>
        <v>205</v>
      </c>
      <c r="R21" s="13">
        <f t="shared" si="4"/>
        <v>212</v>
      </c>
      <c r="S21" s="13">
        <f t="shared" si="4"/>
        <v>233</v>
      </c>
      <c r="T21" s="13">
        <f t="shared" si="4"/>
        <v>184</v>
      </c>
      <c r="U21" s="13">
        <f t="shared" si="4"/>
        <v>210</v>
      </c>
      <c r="V21" s="13">
        <f t="shared" si="4"/>
        <v>206</v>
      </c>
      <c r="W21" s="13">
        <f t="shared" si="3"/>
        <v>3835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19">
        <v>0.0</v>
      </c>
      <c r="F22" s="19">
        <v>0.0</v>
      </c>
      <c r="G22" s="19">
        <v>0.0</v>
      </c>
      <c r="H22" s="19">
        <v>0.0</v>
      </c>
      <c r="I22" s="19">
        <v>0.0</v>
      </c>
      <c r="J22" s="19">
        <v>0.0</v>
      </c>
      <c r="K22" s="19">
        <v>0.0</v>
      </c>
      <c r="L22" s="19">
        <v>0.0</v>
      </c>
      <c r="M22" s="19">
        <v>0.0</v>
      </c>
      <c r="N22" s="19">
        <v>0.0</v>
      </c>
      <c r="O22" s="19">
        <v>0.0</v>
      </c>
      <c r="P22" s="19">
        <v>0.0</v>
      </c>
      <c r="Q22" s="19">
        <v>0.0</v>
      </c>
      <c r="R22" s="19">
        <v>0.0</v>
      </c>
      <c r="S22" s="19">
        <v>0.0</v>
      </c>
      <c r="T22" s="19">
        <v>0.0</v>
      </c>
      <c r="U22" s="19">
        <v>0.0</v>
      </c>
      <c r="V22" s="19">
        <v>0.0</v>
      </c>
      <c r="W22" s="13">
        <f t="shared" si="3"/>
        <v>0</v>
      </c>
    </row>
    <row r="23" ht="12.75" customHeight="1">
      <c r="A23" s="33"/>
      <c r="B23" s="27"/>
      <c r="C23" s="34"/>
      <c r="D23" s="19" t="s">
        <v>13</v>
      </c>
      <c r="E23" s="19">
        <v>0.0</v>
      </c>
      <c r="F23" s="19">
        <v>0.0</v>
      </c>
      <c r="G23" s="19">
        <v>0.0</v>
      </c>
      <c r="H23" s="19">
        <v>0.0</v>
      </c>
      <c r="I23" s="19">
        <v>0.0</v>
      </c>
      <c r="J23" s="19">
        <v>0.0</v>
      </c>
      <c r="K23" s="19">
        <v>0.0</v>
      </c>
      <c r="L23" s="19">
        <v>0.0</v>
      </c>
      <c r="M23" s="19">
        <v>0.0</v>
      </c>
      <c r="N23" s="19">
        <v>0.0</v>
      </c>
      <c r="O23" s="19">
        <v>0.0</v>
      </c>
      <c r="P23" s="19">
        <v>0.0</v>
      </c>
      <c r="Q23" s="19">
        <v>0.0</v>
      </c>
      <c r="R23" s="19">
        <v>0.0</v>
      </c>
      <c r="S23" s="19">
        <v>0.0</v>
      </c>
      <c r="T23" s="19">
        <v>0.0</v>
      </c>
      <c r="U23" s="19">
        <v>0.0</v>
      </c>
      <c r="V23" s="19">
        <v>0.0</v>
      </c>
      <c r="W23" s="13">
        <f t="shared" si="3"/>
        <v>0</v>
      </c>
    </row>
    <row r="24" ht="12.75" customHeight="1">
      <c r="A24" s="35"/>
      <c r="B24" s="28"/>
      <c r="C24" s="36"/>
      <c r="D24" s="13" t="s">
        <v>14</v>
      </c>
      <c r="E24" s="13">
        <f t="shared" ref="E24:V24" si="5">SUM(E22:E23)</f>
        <v>0</v>
      </c>
      <c r="F24" s="13">
        <f t="shared" si="5"/>
        <v>0</v>
      </c>
      <c r="G24" s="13">
        <f t="shared" si="5"/>
        <v>0</v>
      </c>
      <c r="H24" s="13">
        <f t="shared" si="5"/>
        <v>0</v>
      </c>
      <c r="I24" s="13">
        <f t="shared" si="5"/>
        <v>0</v>
      </c>
      <c r="J24" s="13">
        <f t="shared" si="5"/>
        <v>0</v>
      </c>
      <c r="K24" s="13">
        <f t="shared" si="5"/>
        <v>0</v>
      </c>
      <c r="L24" s="13">
        <f t="shared" si="5"/>
        <v>0</v>
      </c>
      <c r="M24" s="13">
        <f t="shared" si="5"/>
        <v>0</v>
      </c>
      <c r="N24" s="13">
        <f t="shared" si="5"/>
        <v>0</v>
      </c>
      <c r="O24" s="13">
        <f t="shared" si="5"/>
        <v>0</v>
      </c>
      <c r="P24" s="13">
        <f t="shared" si="5"/>
        <v>0</v>
      </c>
      <c r="Q24" s="13">
        <f t="shared" si="5"/>
        <v>0</v>
      </c>
      <c r="R24" s="13">
        <f t="shared" si="5"/>
        <v>0</v>
      </c>
      <c r="S24" s="13">
        <f t="shared" si="5"/>
        <v>0</v>
      </c>
      <c r="T24" s="13">
        <f t="shared" si="5"/>
        <v>0</v>
      </c>
      <c r="U24" s="13">
        <f t="shared" si="5"/>
        <v>0</v>
      </c>
      <c r="V24" s="13">
        <f t="shared" si="5"/>
        <v>0</v>
      </c>
      <c r="W24" s="13">
        <f t="shared" si="3"/>
        <v>0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19">
        <v>3.0</v>
      </c>
      <c r="F25" s="19">
        <v>3.0</v>
      </c>
      <c r="G25" s="19">
        <v>0.0</v>
      </c>
      <c r="H25" s="19">
        <v>4.0</v>
      </c>
      <c r="I25" s="19">
        <v>2.0</v>
      </c>
      <c r="J25" s="19">
        <v>0.0</v>
      </c>
      <c r="K25" s="19">
        <v>3.0</v>
      </c>
      <c r="L25" s="19">
        <v>0.0</v>
      </c>
      <c r="M25" s="19">
        <v>0.0</v>
      </c>
      <c r="N25" s="19">
        <v>1.0</v>
      </c>
      <c r="O25" s="19">
        <v>0.0</v>
      </c>
      <c r="P25" s="19">
        <v>3.0</v>
      </c>
      <c r="Q25" s="19">
        <v>6.0</v>
      </c>
      <c r="R25" s="19">
        <v>0.0</v>
      </c>
      <c r="S25" s="19">
        <v>0.0</v>
      </c>
      <c r="T25" s="19">
        <v>1.0</v>
      </c>
      <c r="U25" s="19">
        <v>3.0</v>
      </c>
      <c r="V25" s="19">
        <v>0.0</v>
      </c>
      <c r="W25" s="13">
        <f t="shared" si="3"/>
        <v>29</v>
      </c>
    </row>
    <row r="26" ht="12.75" customHeight="1">
      <c r="A26" s="33"/>
      <c r="B26" s="27"/>
      <c r="C26" s="34"/>
      <c r="D26" s="19" t="s">
        <v>13</v>
      </c>
      <c r="E26" s="19">
        <v>5.0</v>
      </c>
      <c r="F26" s="19">
        <v>7.0</v>
      </c>
      <c r="G26" s="19">
        <v>1.0</v>
      </c>
      <c r="H26" s="19">
        <v>4.0</v>
      </c>
      <c r="I26" s="19">
        <v>0.0</v>
      </c>
      <c r="J26" s="19">
        <v>1.0</v>
      </c>
      <c r="K26" s="19">
        <v>3.0</v>
      </c>
      <c r="L26" s="19">
        <v>0.0</v>
      </c>
      <c r="M26" s="19">
        <v>1.0</v>
      </c>
      <c r="N26" s="19">
        <v>1.0</v>
      </c>
      <c r="O26" s="19">
        <v>0.0</v>
      </c>
      <c r="P26" s="19">
        <v>9.0</v>
      </c>
      <c r="Q26" s="19">
        <v>2.0</v>
      </c>
      <c r="R26" s="19">
        <v>0.0</v>
      </c>
      <c r="S26" s="19">
        <v>0.0</v>
      </c>
      <c r="T26" s="19">
        <v>2.0</v>
      </c>
      <c r="U26" s="19">
        <v>6.0</v>
      </c>
      <c r="V26" s="19">
        <v>0.0</v>
      </c>
      <c r="W26" s="13">
        <f t="shared" si="3"/>
        <v>42</v>
      </c>
    </row>
    <row r="27" ht="12.75" customHeight="1">
      <c r="A27" s="35"/>
      <c r="B27" s="28"/>
      <c r="C27" s="36"/>
      <c r="D27" s="13" t="s">
        <v>14</v>
      </c>
      <c r="E27" s="13">
        <f t="shared" ref="E27:V27" si="6">SUM(E25:E26)</f>
        <v>8</v>
      </c>
      <c r="F27" s="13">
        <f t="shared" si="6"/>
        <v>10</v>
      </c>
      <c r="G27" s="13">
        <f t="shared" si="6"/>
        <v>1</v>
      </c>
      <c r="H27" s="13">
        <f t="shared" si="6"/>
        <v>8</v>
      </c>
      <c r="I27" s="13">
        <f t="shared" si="6"/>
        <v>2</v>
      </c>
      <c r="J27" s="13">
        <f t="shared" si="6"/>
        <v>1</v>
      </c>
      <c r="K27" s="13">
        <f t="shared" si="6"/>
        <v>6</v>
      </c>
      <c r="L27" s="13">
        <f t="shared" si="6"/>
        <v>0</v>
      </c>
      <c r="M27" s="13">
        <f t="shared" si="6"/>
        <v>1</v>
      </c>
      <c r="N27" s="13">
        <f t="shared" si="6"/>
        <v>2</v>
      </c>
      <c r="O27" s="13">
        <f t="shared" si="6"/>
        <v>0</v>
      </c>
      <c r="P27" s="13">
        <f t="shared" si="6"/>
        <v>12</v>
      </c>
      <c r="Q27" s="13">
        <f t="shared" si="6"/>
        <v>8</v>
      </c>
      <c r="R27" s="13">
        <f t="shared" si="6"/>
        <v>0</v>
      </c>
      <c r="S27" s="13">
        <f t="shared" si="6"/>
        <v>0</v>
      </c>
      <c r="T27" s="13">
        <f t="shared" si="6"/>
        <v>3</v>
      </c>
      <c r="U27" s="13">
        <f t="shared" si="6"/>
        <v>9</v>
      </c>
      <c r="V27" s="13">
        <f t="shared" si="6"/>
        <v>0</v>
      </c>
      <c r="W27" s="13">
        <f t="shared" si="3"/>
        <v>71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V28" si="7">SUM(E19,E22,E25)</f>
        <v>110</v>
      </c>
      <c r="F28" s="13">
        <f t="shared" si="7"/>
        <v>98</v>
      </c>
      <c r="G28" s="13">
        <f t="shared" si="7"/>
        <v>93</v>
      </c>
      <c r="H28" s="13">
        <f t="shared" si="7"/>
        <v>95</v>
      </c>
      <c r="I28" s="13">
        <f t="shared" si="7"/>
        <v>108</v>
      </c>
      <c r="J28" s="13">
        <f t="shared" si="7"/>
        <v>111</v>
      </c>
      <c r="K28" s="13">
        <f t="shared" si="7"/>
        <v>111</v>
      </c>
      <c r="L28" s="13">
        <f t="shared" si="7"/>
        <v>107</v>
      </c>
      <c r="M28" s="13">
        <f t="shared" si="7"/>
        <v>121</v>
      </c>
      <c r="N28" s="13">
        <f t="shared" si="7"/>
        <v>51</v>
      </c>
      <c r="O28" s="13">
        <f t="shared" si="7"/>
        <v>123</v>
      </c>
      <c r="P28" s="13">
        <f t="shared" si="7"/>
        <v>124</v>
      </c>
      <c r="Q28" s="13">
        <f t="shared" si="7"/>
        <v>101</v>
      </c>
      <c r="R28" s="13">
        <f t="shared" si="7"/>
        <v>96</v>
      </c>
      <c r="S28" s="13">
        <f t="shared" si="7"/>
        <v>113</v>
      </c>
      <c r="T28" s="13">
        <f t="shared" si="7"/>
        <v>97</v>
      </c>
      <c r="U28" s="13">
        <f t="shared" si="7"/>
        <v>101</v>
      </c>
      <c r="V28" s="13">
        <f t="shared" si="7"/>
        <v>100</v>
      </c>
      <c r="W28" s="13">
        <f t="shared" si="3"/>
        <v>1860</v>
      </c>
    </row>
    <row r="29" ht="12.75" customHeight="1">
      <c r="A29" s="35"/>
      <c r="B29" s="27"/>
      <c r="C29" s="34"/>
      <c r="D29" s="13" t="s">
        <v>13</v>
      </c>
      <c r="E29" s="13">
        <f t="shared" ref="E29:V29" si="8">SUM(E20,E23,E26)</f>
        <v>117</v>
      </c>
      <c r="F29" s="13">
        <f t="shared" si="8"/>
        <v>107</v>
      </c>
      <c r="G29" s="13">
        <f t="shared" si="8"/>
        <v>133</v>
      </c>
      <c r="H29" s="13">
        <f t="shared" si="8"/>
        <v>117</v>
      </c>
      <c r="I29" s="13">
        <f t="shared" si="8"/>
        <v>120</v>
      </c>
      <c r="J29" s="13">
        <f t="shared" si="8"/>
        <v>128</v>
      </c>
      <c r="K29" s="13">
        <f t="shared" si="8"/>
        <v>122</v>
      </c>
      <c r="L29" s="13">
        <f t="shared" si="8"/>
        <v>129</v>
      </c>
      <c r="M29" s="13">
        <f t="shared" si="8"/>
        <v>119</v>
      </c>
      <c r="N29" s="13">
        <f t="shared" si="8"/>
        <v>57</v>
      </c>
      <c r="O29" s="13">
        <f t="shared" si="8"/>
        <v>113</v>
      </c>
      <c r="P29" s="13">
        <f t="shared" si="8"/>
        <v>122</v>
      </c>
      <c r="Q29" s="13">
        <f t="shared" si="8"/>
        <v>112</v>
      </c>
      <c r="R29" s="13">
        <f t="shared" si="8"/>
        <v>116</v>
      </c>
      <c r="S29" s="13">
        <f t="shared" si="8"/>
        <v>120</v>
      </c>
      <c r="T29" s="13">
        <f t="shared" si="8"/>
        <v>90</v>
      </c>
      <c r="U29" s="13">
        <f t="shared" si="8"/>
        <v>118</v>
      </c>
      <c r="V29" s="13">
        <f t="shared" si="8"/>
        <v>106</v>
      </c>
      <c r="W29" s="13">
        <f t="shared" si="3"/>
        <v>2046</v>
      </c>
    </row>
    <row r="30" ht="12.75" customHeight="1">
      <c r="A30" s="35"/>
      <c r="B30" s="28"/>
      <c r="C30" s="36"/>
      <c r="D30" s="13" t="s">
        <v>14</v>
      </c>
      <c r="E30" s="13">
        <f t="shared" ref="E30:V30" si="9">SUM(E28:E29)</f>
        <v>227</v>
      </c>
      <c r="F30" s="13">
        <f t="shared" si="9"/>
        <v>205</v>
      </c>
      <c r="G30" s="13">
        <f t="shared" si="9"/>
        <v>226</v>
      </c>
      <c r="H30" s="13">
        <f t="shared" si="9"/>
        <v>212</v>
      </c>
      <c r="I30" s="13">
        <f t="shared" si="9"/>
        <v>228</v>
      </c>
      <c r="J30" s="13">
        <f t="shared" si="9"/>
        <v>239</v>
      </c>
      <c r="K30" s="13">
        <f t="shared" si="9"/>
        <v>233</v>
      </c>
      <c r="L30" s="13">
        <f t="shared" si="9"/>
        <v>236</v>
      </c>
      <c r="M30" s="13">
        <f t="shared" si="9"/>
        <v>240</v>
      </c>
      <c r="N30" s="13">
        <f t="shared" si="9"/>
        <v>108</v>
      </c>
      <c r="O30" s="13">
        <f t="shared" si="9"/>
        <v>236</v>
      </c>
      <c r="P30" s="13">
        <f t="shared" si="9"/>
        <v>246</v>
      </c>
      <c r="Q30" s="13">
        <f t="shared" si="9"/>
        <v>213</v>
      </c>
      <c r="R30" s="13">
        <f t="shared" si="9"/>
        <v>212</v>
      </c>
      <c r="S30" s="13">
        <f t="shared" si="9"/>
        <v>233</v>
      </c>
      <c r="T30" s="13">
        <f t="shared" si="9"/>
        <v>187</v>
      </c>
      <c r="U30" s="13">
        <f t="shared" si="9"/>
        <v>219</v>
      </c>
      <c r="V30" s="13">
        <f t="shared" si="9"/>
        <v>206</v>
      </c>
      <c r="W30" s="13">
        <f t="shared" si="3"/>
        <v>3906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76"/>
      <c r="O31" s="76"/>
      <c r="P31" s="76"/>
      <c r="Q31" s="76"/>
      <c r="R31" s="76"/>
      <c r="S31" s="76"/>
      <c r="T31" s="76"/>
      <c r="U31" s="76"/>
      <c r="V31" s="76"/>
      <c r="W31" s="77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78"/>
      <c r="O32" s="78"/>
      <c r="P32" s="78"/>
      <c r="Q32" s="78"/>
      <c r="R32" s="78"/>
      <c r="S32" s="78"/>
      <c r="T32" s="78"/>
      <c r="U32" s="78"/>
      <c r="V32" s="78"/>
      <c r="W32" s="77"/>
    </row>
    <row r="33" ht="12.75" customHeight="1">
      <c r="A33" s="19">
        <v>1.0</v>
      </c>
      <c r="B33" s="20" t="s">
        <v>27</v>
      </c>
      <c r="C33" s="15"/>
      <c r="D33" s="16"/>
      <c r="E33" s="19">
        <v>286.0</v>
      </c>
      <c r="F33" s="19">
        <v>272.0</v>
      </c>
      <c r="G33" s="19">
        <v>288.0</v>
      </c>
      <c r="H33" s="19">
        <v>280.0</v>
      </c>
      <c r="I33" s="19">
        <v>300.0</v>
      </c>
      <c r="J33" s="19">
        <v>303.0</v>
      </c>
      <c r="K33" s="19">
        <v>288.0</v>
      </c>
      <c r="L33" s="19">
        <v>304.0</v>
      </c>
      <c r="M33" s="19">
        <v>285.0</v>
      </c>
      <c r="N33" s="19">
        <v>128.0</v>
      </c>
      <c r="O33" s="19">
        <v>298.0</v>
      </c>
      <c r="P33" s="19">
        <v>298.0</v>
      </c>
      <c r="Q33" s="19">
        <v>262.0</v>
      </c>
      <c r="R33" s="19">
        <v>295.0</v>
      </c>
      <c r="S33" s="19">
        <v>299.0</v>
      </c>
      <c r="T33" s="19">
        <v>237.0</v>
      </c>
      <c r="U33" s="19">
        <v>263.0</v>
      </c>
      <c r="V33" s="19">
        <v>256.0</v>
      </c>
      <c r="W33" s="13">
        <f t="shared" ref="W33:W36" si="10">SUM(E33:V33)</f>
        <v>4942</v>
      </c>
    </row>
    <row r="34" ht="12.75" customHeight="1">
      <c r="A34" s="19">
        <v>2.0</v>
      </c>
      <c r="B34" s="20" t="s">
        <v>28</v>
      </c>
      <c r="C34" s="15"/>
      <c r="D34" s="16"/>
      <c r="E34" s="13">
        <v>227.0</v>
      </c>
      <c r="F34" s="13">
        <v>205.0</v>
      </c>
      <c r="G34" s="13">
        <v>226.0</v>
      </c>
      <c r="H34" s="13">
        <v>212.0</v>
      </c>
      <c r="I34" s="13">
        <v>228.0</v>
      </c>
      <c r="J34" s="13">
        <v>239.0</v>
      </c>
      <c r="K34" s="13">
        <v>233.0</v>
      </c>
      <c r="L34" s="13">
        <v>236.0</v>
      </c>
      <c r="M34" s="13">
        <v>240.0</v>
      </c>
      <c r="N34" s="13">
        <v>108.0</v>
      </c>
      <c r="O34" s="13">
        <v>236.0</v>
      </c>
      <c r="P34" s="13">
        <v>246.0</v>
      </c>
      <c r="Q34" s="13">
        <v>213.0</v>
      </c>
      <c r="R34" s="13">
        <v>212.0</v>
      </c>
      <c r="S34" s="13">
        <v>233.0</v>
      </c>
      <c r="T34" s="13">
        <v>187.0</v>
      </c>
      <c r="U34" s="13">
        <v>219.0</v>
      </c>
      <c r="V34" s="13">
        <v>206.0</v>
      </c>
      <c r="W34" s="13">
        <f t="shared" si="10"/>
        <v>3906</v>
      </c>
    </row>
    <row r="35" ht="12.75" customHeight="1">
      <c r="A35" s="19">
        <v>3.0</v>
      </c>
      <c r="B35" s="20" t="s">
        <v>29</v>
      </c>
      <c r="C35" s="15"/>
      <c r="D35" s="16"/>
      <c r="E35" s="19">
        <v>0.0</v>
      </c>
      <c r="F35" s="19">
        <v>0.0</v>
      </c>
      <c r="G35" s="19">
        <v>0.0</v>
      </c>
      <c r="H35" s="19">
        <v>0.0</v>
      </c>
      <c r="I35" s="19">
        <v>0.0</v>
      </c>
      <c r="J35" s="19">
        <v>0.0</v>
      </c>
      <c r="K35" s="19">
        <v>0.0</v>
      </c>
      <c r="L35" s="19">
        <v>0.0</v>
      </c>
      <c r="M35" s="19">
        <v>0.0</v>
      </c>
      <c r="N35" s="19">
        <v>0.0</v>
      </c>
      <c r="O35" s="19">
        <v>0.0</v>
      </c>
      <c r="P35" s="19">
        <v>0.0</v>
      </c>
      <c r="Q35" s="19">
        <v>2.0</v>
      </c>
      <c r="R35" s="19">
        <v>0.0</v>
      </c>
      <c r="S35" s="19">
        <v>0.0</v>
      </c>
      <c r="T35" s="19">
        <v>9.0</v>
      </c>
      <c r="U35" s="19">
        <v>0.0</v>
      </c>
      <c r="V35" s="19">
        <v>0.0</v>
      </c>
      <c r="W35" s="13">
        <f t="shared" si="10"/>
        <v>11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V36" si="11">E33-(E34+E35)</f>
        <v>59</v>
      </c>
      <c r="F36" s="13">
        <f t="shared" si="11"/>
        <v>67</v>
      </c>
      <c r="G36" s="13">
        <f t="shared" si="11"/>
        <v>62</v>
      </c>
      <c r="H36" s="13">
        <f t="shared" si="11"/>
        <v>68</v>
      </c>
      <c r="I36" s="13">
        <f t="shared" si="11"/>
        <v>72</v>
      </c>
      <c r="J36" s="13">
        <f t="shared" si="11"/>
        <v>64</v>
      </c>
      <c r="K36" s="13">
        <f t="shared" si="11"/>
        <v>55</v>
      </c>
      <c r="L36" s="13">
        <f t="shared" si="11"/>
        <v>68</v>
      </c>
      <c r="M36" s="13">
        <f t="shared" si="11"/>
        <v>45</v>
      </c>
      <c r="N36" s="13">
        <f t="shared" si="11"/>
        <v>20</v>
      </c>
      <c r="O36" s="13">
        <f t="shared" si="11"/>
        <v>62</v>
      </c>
      <c r="P36" s="13">
        <f t="shared" si="11"/>
        <v>52</v>
      </c>
      <c r="Q36" s="13">
        <f t="shared" si="11"/>
        <v>47</v>
      </c>
      <c r="R36" s="13">
        <f t="shared" si="11"/>
        <v>83</v>
      </c>
      <c r="S36" s="13">
        <f t="shared" si="11"/>
        <v>66</v>
      </c>
      <c r="T36" s="13">
        <f t="shared" si="11"/>
        <v>41</v>
      </c>
      <c r="U36" s="13">
        <f t="shared" si="11"/>
        <v>44</v>
      </c>
      <c r="V36" s="13">
        <f t="shared" si="11"/>
        <v>50</v>
      </c>
      <c r="W36" s="13">
        <f t="shared" si="10"/>
        <v>1025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19"/>
      <c r="N37" s="76"/>
      <c r="O37" s="79"/>
      <c r="P37" s="79"/>
      <c r="Q37" s="79"/>
      <c r="R37" s="79"/>
      <c r="S37" s="79"/>
      <c r="T37" s="79"/>
      <c r="U37" s="79"/>
      <c r="V37" s="79"/>
      <c r="W37" s="77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78"/>
      <c r="O38" s="78"/>
      <c r="P38" s="78"/>
      <c r="Q38" s="78"/>
      <c r="R38" s="78"/>
      <c r="S38" s="78"/>
      <c r="T38" s="78"/>
      <c r="U38" s="78"/>
      <c r="V38" s="78"/>
      <c r="W38" s="77"/>
    </row>
    <row r="39" ht="12.75" customHeight="1">
      <c r="A39" s="30"/>
      <c r="B39" s="43" t="s">
        <v>33</v>
      </c>
      <c r="C39" s="23"/>
      <c r="D39" s="19" t="s">
        <v>12</v>
      </c>
      <c r="E39" s="19">
        <v>0.0</v>
      </c>
      <c r="F39" s="19">
        <v>2.0</v>
      </c>
      <c r="G39" s="19">
        <v>1.0</v>
      </c>
      <c r="H39" s="19">
        <v>0.0</v>
      </c>
      <c r="I39" s="19">
        <v>0.0</v>
      </c>
      <c r="J39" s="19">
        <v>0.0</v>
      </c>
      <c r="K39" s="19">
        <v>0.0</v>
      </c>
      <c r="L39" s="19">
        <v>0.0</v>
      </c>
      <c r="M39" s="19">
        <v>0.0</v>
      </c>
      <c r="N39" s="19">
        <v>0.0</v>
      </c>
      <c r="O39" s="19">
        <v>0.0</v>
      </c>
      <c r="P39" s="19">
        <v>0.0</v>
      </c>
      <c r="Q39" s="19">
        <v>0.0</v>
      </c>
      <c r="R39" s="19">
        <v>0.0</v>
      </c>
      <c r="S39" s="19">
        <v>0.0</v>
      </c>
      <c r="T39" s="19">
        <v>0.0</v>
      </c>
      <c r="U39" s="19">
        <v>0.0</v>
      </c>
      <c r="V39" s="19">
        <v>0.0</v>
      </c>
      <c r="W39" s="13">
        <f t="shared" ref="W39:W41" si="12">SUM(E39:V39)</f>
        <v>3</v>
      </c>
    </row>
    <row r="40" ht="12.75" customHeight="1">
      <c r="A40" s="33"/>
      <c r="C40" s="27"/>
      <c r="D40" s="19" t="s">
        <v>13</v>
      </c>
      <c r="E40" s="19">
        <v>0.0</v>
      </c>
      <c r="F40" s="19">
        <v>2.0</v>
      </c>
      <c r="G40" s="19">
        <v>0.0</v>
      </c>
      <c r="H40" s="19">
        <v>0.0</v>
      </c>
      <c r="I40" s="19">
        <v>0.0</v>
      </c>
      <c r="J40" s="19">
        <v>0.0</v>
      </c>
      <c r="K40" s="19">
        <v>0.0</v>
      </c>
      <c r="L40" s="19">
        <v>0.0</v>
      </c>
      <c r="M40" s="19">
        <v>0.0</v>
      </c>
      <c r="N40" s="19">
        <v>0.0</v>
      </c>
      <c r="O40" s="19">
        <v>0.0</v>
      </c>
      <c r="P40" s="19">
        <v>0.0</v>
      </c>
      <c r="Q40" s="19">
        <v>0.0</v>
      </c>
      <c r="R40" s="19">
        <v>2.0</v>
      </c>
      <c r="S40" s="19">
        <v>0.0</v>
      </c>
      <c r="T40" s="19">
        <v>0.0</v>
      </c>
      <c r="U40" s="19">
        <v>0.0</v>
      </c>
      <c r="V40" s="19">
        <v>0.0</v>
      </c>
      <c r="W40" s="13">
        <f t="shared" si="12"/>
        <v>4</v>
      </c>
    </row>
    <row r="41" ht="12.75" customHeight="1">
      <c r="A41" s="41"/>
      <c r="B41" s="44"/>
      <c r="C41" s="28"/>
      <c r="D41" s="13" t="s">
        <v>14</v>
      </c>
      <c r="E41" s="13">
        <f t="shared" ref="E41:V41" si="13">SUM(E39:E40)</f>
        <v>0</v>
      </c>
      <c r="F41" s="13">
        <f t="shared" si="13"/>
        <v>4</v>
      </c>
      <c r="G41" s="13">
        <f t="shared" si="13"/>
        <v>1</v>
      </c>
      <c r="H41" s="13">
        <f t="shared" si="13"/>
        <v>0</v>
      </c>
      <c r="I41" s="13">
        <f t="shared" si="13"/>
        <v>0</v>
      </c>
      <c r="J41" s="13">
        <f t="shared" si="13"/>
        <v>0</v>
      </c>
      <c r="K41" s="13">
        <f t="shared" si="13"/>
        <v>0</v>
      </c>
      <c r="L41" s="13">
        <f t="shared" si="13"/>
        <v>0</v>
      </c>
      <c r="M41" s="13">
        <f t="shared" si="13"/>
        <v>0</v>
      </c>
      <c r="N41" s="13">
        <f t="shared" si="13"/>
        <v>0</v>
      </c>
      <c r="O41" s="13">
        <f t="shared" si="13"/>
        <v>0</v>
      </c>
      <c r="P41" s="13">
        <f t="shared" si="13"/>
        <v>0</v>
      </c>
      <c r="Q41" s="13">
        <f t="shared" si="13"/>
        <v>0</v>
      </c>
      <c r="R41" s="13">
        <f t="shared" si="13"/>
        <v>2</v>
      </c>
      <c r="S41" s="13">
        <f t="shared" si="13"/>
        <v>0</v>
      </c>
      <c r="T41" s="13">
        <f t="shared" si="13"/>
        <v>0</v>
      </c>
      <c r="U41" s="13">
        <f t="shared" si="13"/>
        <v>0</v>
      </c>
      <c r="V41" s="13">
        <f t="shared" si="13"/>
        <v>0</v>
      </c>
      <c r="W41" s="13">
        <f t="shared" si="12"/>
        <v>7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9"/>
      <c r="N42" s="76"/>
      <c r="O42" s="19"/>
      <c r="P42" s="76"/>
      <c r="Q42" s="19"/>
      <c r="R42" s="76"/>
      <c r="S42" s="19"/>
      <c r="T42" s="76"/>
      <c r="U42" s="19"/>
      <c r="V42" s="76"/>
      <c r="W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78"/>
      <c r="O43" s="13"/>
      <c r="P43" s="78"/>
      <c r="Q43" s="13"/>
      <c r="R43" s="78"/>
      <c r="S43" s="13"/>
      <c r="T43" s="78"/>
      <c r="U43" s="13"/>
      <c r="V43" s="78"/>
      <c r="W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76"/>
      <c r="O44" s="19"/>
      <c r="P44" s="76"/>
      <c r="Q44" s="19"/>
      <c r="R44" s="76"/>
      <c r="S44" s="19"/>
      <c r="T44" s="76"/>
      <c r="U44" s="19"/>
      <c r="V44" s="76"/>
      <c r="W44" s="13"/>
    </row>
    <row r="45" ht="12.75" customHeight="1">
      <c r="A45" s="30" t="s">
        <v>37</v>
      </c>
      <c r="B45" s="47" t="s">
        <v>17</v>
      </c>
      <c r="C45" s="48" t="s">
        <v>38</v>
      </c>
      <c r="D45" s="16"/>
      <c r="E45" s="19">
        <v>13.0</v>
      </c>
      <c r="F45" s="19">
        <v>5.0</v>
      </c>
      <c r="G45" s="19">
        <v>8.0</v>
      </c>
      <c r="H45" s="19">
        <v>7.0</v>
      </c>
      <c r="I45" s="19">
        <v>5.0</v>
      </c>
      <c r="J45" s="19">
        <v>6.0</v>
      </c>
      <c r="K45" s="19">
        <v>4.0</v>
      </c>
      <c r="L45" s="19">
        <v>3.0</v>
      </c>
      <c r="M45" s="19">
        <v>5.0</v>
      </c>
      <c r="N45" s="19">
        <v>0.0</v>
      </c>
      <c r="O45" s="19">
        <v>6.0</v>
      </c>
      <c r="P45" s="19">
        <v>3.0</v>
      </c>
      <c r="Q45" s="19">
        <v>2.0</v>
      </c>
      <c r="R45" s="19">
        <v>6.0</v>
      </c>
      <c r="S45" s="19">
        <v>11.0</v>
      </c>
      <c r="T45" s="19">
        <v>6.0</v>
      </c>
      <c r="U45" s="19">
        <v>3.0</v>
      </c>
      <c r="V45" s="19">
        <v>1.0</v>
      </c>
      <c r="W45" s="13">
        <f t="shared" ref="W45:W54" si="14">SUM(E45:V45)</f>
        <v>94</v>
      </c>
    </row>
    <row r="46" ht="12.75" customHeight="1">
      <c r="A46" s="30" t="s">
        <v>39</v>
      </c>
      <c r="B46" s="49">
        <v>1.0</v>
      </c>
      <c r="C46" s="50" t="s">
        <v>40</v>
      </c>
      <c r="D46" s="16"/>
      <c r="E46" s="19">
        <v>6.0</v>
      </c>
      <c r="F46" s="19">
        <v>6.0</v>
      </c>
      <c r="G46" s="19">
        <v>4.0</v>
      </c>
      <c r="H46" s="19">
        <v>12.0</v>
      </c>
      <c r="I46" s="19">
        <v>7.0</v>
      </c>
      <c r="J46" s="19">
        <v>2.0</v>
      </c>
      <c r="K46" s="19">
        <v>2.0</v>
      </c>
      <c r="L46" s="19">
        <v>3.0</v>
      </c>
      <c r="M46" s="19">
        <v>1.0</v>
      </c>
      <c r="N46" s="19">
        <v>0.0</v>
      </c>
      <c r="O46" s="19">
        <v>4.0</v>
      </c>
      <c r="P46" s="19">
        <v>6.0</v>
      </c>
      <c r="Q46" s="19">
        <v>6.0</v>
      </c>
      <c r="R46" s="19">
        <v>5.0</v>
      </c>
      <c r="S46" s="19">
        <v>10.0</v>
      </c>
      <c r="T46" s="19">
        <v>8.0</v>
      </c>
      <c r="U46" s="19">
        <v>7.0</v>
      </c>
      <c r="V46" s="19">
        <v>3.0</v>
      </c>
      <c r="W46" s="13">
        <f t="shared" si="14"/>
        <v>92</v>
      </c>
    </row>
    <row r="47" ht="12.75" customHeight="1">
      <c r="A47" s="18"/>
      <c r="B47" s="55">
        <v>2.0</v>
      </c>
      <c r="C47" s="50" t="s">
        <v>41</v>
      </c>
      <c r="D47" s="16"/>
      <c r="E47" s="19">
        <v>9.0</v>
      </c>
      <c r="F47" s="19">
        <v>5.0</v>
      </c>
      <c r="G47" s="19">
        <v>4.0</v>
      </c>
      <c r="H47" s="19">
        <v>4.0</v>
      </c>
      <c r="I47" s="19">
        <v>4.0</v>
      </c>
      <c r="J47" s="19">
        <v>14.0</v>
      </c>
      <c r="K47" s="19">
        <v>3.0</v>
      </c>
      <c r="L47" s="19">
        <v>2.0</v>
      </c>
      <c r="M47" s="19">
        <v>10.0</v>
      </c>
      <c r="N47" s="19">
        <v>0.0</v>
      </c>
      <c r="O47" s="19">
        <v>13.0</v>
      </c>
      <c r="P47" s="19">
        <v>17.0</v>
      </c>
      <c r="Q47" s="19">
        <v>5.0</v>
      </c>
      <c r="R47" s="19">
        <v>6.0</v>
      </c>
      <c r="S47" s="19">
        <v>13.0</v>
      </c>
      <c r="T47" s="19">
        <v>10.0</v>
      </c>
      <c r="U47" s="19">
        <v>8.0</v>
      </c>
      <c r="V47" s="19">
        <v>3.0</v>
      </c>
      <c r="W47" s="13">
        <f t="shared" si="14"/>
        <v>130</v>
      </c>
    </row>
    <row r="48" ht="12.75" customHeight="1">
      <c r="A48" s="18"/>
      <c r="B48" s="55">
        <v>3.0</v>
      </c>
      <c r="C48" s="50" t="s">
        <v>42</v>
      </c>
      <c r="D48" s="16"/>
      <c r="E48" s="19">
        <v>5.0</v>
      </c>
      <c r="F48" s="19">
        <v>4.0</v>
      </c>
      <c r="G48" s="19">
        <v>2.0</v>
      </c>
      <c r="H48" s="19">
        <v>7.0</v>
      </c>
      <c r="I48" s="19">
        <v>8.0</v>
      </c>
      <c r="J48" s="19">
        <v>0.0</v>
      </c>
      <c r="K48" s="19">
        <v>1.0</v>
      </c>
      <c r="L48" s="19">
        <v>2.0</v>
      </c>
      <c r="M48" s="19">
        <v>1.0</v>
      </c>
      <c r="N48" s="19">
        <v>0.0</v>
      </c>
      <c r="O48" s="19">
        <v>0.0</v>
      </c>
      <c r="P48" s="19">
        <v>2.0</v>
      </c>
      <c r="Q48" s="19">
        <v>7.0</v>
      </c>
      <c r="R48" s="19">
        <v>4.0</v>
      </c>
      <c r="S48" s="19">
        <v>6.0</v>
      </c>
      <c r="T48" s="19">
        <v>1.0</v>
      </c>
      <c r="U48" s="19">
        <v>0.0</v>
      </c>
      <c r="V48" s="19">
        <v>2.0</v>
      </c>
      <c r="W48" s="13">
        <f t="shared" si="14"/>
        <v>52</v>
      </c>
    </row>
    <row r="49" ht="12.75" customHeight="1">
      <c r="A49" s="18"/>
      <c r="B49" s="55">
        <v>4.0</v>
      </c>
      <c r="C49" s="50" t="s">
        <v>43</v>
      </c>
      <c r="D49" s="16"/>
      <c r="E49" s="19">
        <v>1.0</v>
      </c>
      <c r="F49" s="19">
        <v>0.0</v>
      </c>
      <c r="G49" s="19">
        <v>0.0</v>
      </c>
      <c r="H49" s="19">
        <v>0.0</v>
      </c>
      <c r="I49" s="19">
        <v>0.0</v>
      </c>
      <c r="J49" s="19">
        <v>0.0</v>
      </c>
      <c r="K49" s="19">
        <v>0.0</v>
      </c>
      <c r="L49" s="19">
        <v>0.0</v>
      </c>
      <c r="M49" s="19">
        <v>0.0</v>
      </c>
      <c r="N49" s="19">
        <v>0.0</v>
      </c>
      <c r="O49" s="19">
        <v>0.0</v>
      </c>
      <c r="P49" s="19">
        <v>0.0</v>
      </c>
      <c r="Q49" s="19">
        <v>1.0</v>
      </c>
      <c r="R49" s="19">
        <v>0.0</v>
      </c>
      <c r="S49" s="19">
        <v>0.0</v>
      </c>
      <c r="T49" s="19">
        <v>0.0</v>
      </c>
      <c r="U49" s="19">
        <v>0.0</v>
      </c>
      <c r="V49" s="19">
        <v>0.0</v>
      </c>
      <c r="W49" s="13">
        <f t="shared" si="14"/>
        <v>2</v>
      </c>
    </row>
    <row r="50" ht="12.75" customHeight="1">
      <c r="A50" s="18"/>
      <c r="B50" s="55">
        <v>5.0</v>
      </c>
      <c r="C50" s="50" t="s">
        <v>44</v>
      </c>
      <c r="D50" s="16"/>
      <c r="E50" s="19">
        <v>0.0</v>
      </c>
      <c r="F50" s="19">
        <v>0.0</v>
      </c>
      <c r="G50" s="19">
        <v>0.0</v>
      </c>
      <c r="H50" s="19">
        <v>0.0</v>
      </c>
      <c r="I50" s="19">
        <v>0.0</v>
      </c>
      <c r="J50" s="19">
        <v>0.0</v>
      </c>
      <c r="K50" s="19">
        <v>0.0</v>
      </c>
      <c r="L50" s="19">
        <v>0.0</v>
      </c>
      <c r="M50" s="19">
        <v>0.0</v>
      </c>
      <c r="N50" s="19">
        <v>0.0</v>
      </c>
      <c r="O50" s="19">
        <v>0.0</v>
      </c>
      <c r="P50" s="19">
        <v>0.0</v>
      </c>
      <c r="Q50" s="19">
        <v>0.0</v>
      </c>
      <c r="R50" s="19">
        <v>1.0</v>
      </c>
      <c r="S50" s="19">
        <v>0.0</v>
      </c>
      <c r="T50" s="19">
        <v>2.0</v>
      </c>
      <c r="U50" s="19">
        <v>0.0</v>
      </c>
      <c r="V50" s="19">
        <v>0.0</v>
      </c>
      <c r="W50" s="13">
        <f t="shared" si="14"/>
        <v>3</v>
      </c>
    </row>
    <row r="51" ht="12.75" customHeight="1">
      <c r="A51" s="18"/>
      <c r="B51" s="55">
        <v>6.0</v>
      </c>
      <c r="C51" s="50" t="s">
        <v>45</v>
      </c>
      <c r="D51" s="16"/>
      <c r="E51" s="19">
        <v>0.0</v>
      </c>
      <c r="F51" s="19">
        <v>0.0</v>
      </c>
      <c r="G51" s="19">
        <v>0.0</v>
      </c>
      <c r="H51" s="19">
        <v>1.0</v>
      </c>
      <c r="I51" s="19">
        <v>0.0</v>
      </c>
      <c r="J51" s="19">
        <v>1.0</v>
      </c>
      <c r="K51" s="19">
        <v>0.0</v>
      </c>
      <c r="L51" s="19">
        <v>0.0</v>
      </c>
      <c r="M51" s="19">
        <v>0.0</v>
      </c>
      <c r="N51" s="19">
        <v>0.0</v>
      </c>
      <c r="O51" s="19">
        <v>0.0</v>
      </c>
      <c r="P51" s="19">
        <v>0.0</v>
      </c>
      <c r="Q51" s="19">
        <v>0.0</v>
      </c>
      <c r="R51" s="19">
        <v>0.0</v>
      </c>
      <c r="S51" s="19">
        <v>0.0</v>
      </c>
      <c r="T51" s="19">
        <v>0.0</v>
      </c>
      <c r="U51" s="19">
        <v>0.0</v>
      </c>
      <c r="V51" s="19">
        <v>0.0</v>
      </c>
      <c r="W51" s="13">
        <f t="shared" si="14"/>
        <v>2</v>
      </c>
    </row>
    <row r="52" ht="12.75" customHeight="1">
      <c r="A52" s="18"/>
      <c r="B52" s="55">
        <v>7.0</v>
      </c>
      <c r="C52" s="50" t="s">
        <v>46</v>
      </c>
      <c r="D52" s="16"/>
      <c r="E52" s="19">
        <v>0.0</v>
      </c>
      <c r="F52" s="19">
        <v>0.0</v>
      </c>
      <c r="G52" s="19">
        <v>0.0</v>
      </c>
      <c r="H52" s="19">
        <v>0.0</v>
      </c>
      <c r="I52" s="19">
        <v>0.0</v>
      </c>
      <c r="J52" s="19">
        <v>0.0</v>
      </c>
      <c r="K52" s="19">
        <v>0.0</v>
      </c>
      <c r="L52" s="19">
        <v>0.0</v>
      </c>
      <c r="M52" s="19">
        <v>0.0</v>
      </c>
      <c r="N52" s="19">
        <v>0.0</v>
      </c>
      <c r="O52" s="19">
        <v>0.0</v>
      </c>
      <c r="P52" s="19">
        <v>0.0</v>
      </c>
      <c r="Q52" s="19">
        <v>0.0</v>
      </c>
      <c r="R52" s="19">
        <v>0.0</v>
      </c>
      <c r="S52" s="19">
        <v>0.0</v>
      </c>
      <c r="T52" s="19">
        <v>0.0</v>
      </c>
      <c r="U52" s="19">
        <v>0.0</v>
      </c>
      <c r="V52" s="19">
        <v>0.0</v>
      </c>
      <c r="W52" s="13">
        <f t="shared" si="14"/>
        <v>0</v>
      </c>
    </row>
    <row r="53" ht="12.75" customHeight="1">
      <c r="A53" s="18"/>
      <c r="B53" s="56"/>
      <c r="C53" s="57"/>
      <c r="D53" s="57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3">
        <f t="shared" si="14"/>
        <v>0</v>
      </c>
    </row>
    <row r="54" ht="12.75" customHeight="1">
      <c r="A54" s="18"/>
      <c r="B54" s="56"/>
      <c r="C54" s="57"/>
      <c r="D54" s="57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3">
        <f t="shared" si="14"/>
        <v>0</v>
      </c>
    </row>
    <row r="55" ht="12.75" customHeight="1">
      <c r="A55" s="19" t="s">
        <v>15</v>
      </c>
      <c r="B55" s="47" t="s">
        <v>47</v>
      </c>
      <c r="C55" s="15"/>
      <c r="D55" s="16"/>
      <c r="E55" s="13">
        <f t="shared" ref="E55:W55" si="15">SUM(E45:E54)</f>
        <v>34</v>
      </c>
      <c r="F55" s="13">
        <f t="shared" si="15"/>
        <v>20</v>
      </c>
      <c r="G55" s="13">
        <f t="shared" si="15"/>
        <v>18</v>
      </c>
      <c r="H55" s="13">
        <f t="shared" si="15"/>
        <v>31</v>
      </c>
      <c r="I55" s="13">
        <f t="shared" si="15"/>
        <v>24</v>
      </c>
      <c r="J55" s="13">
        <f t="shared" si="15"/>
        <v>23</v>
      </c>
      <c r="K55" s="13">
        <f t="shared" si="15"/>
        <v>10</v>
      </c>
      <c r="L55" s="13">
        <f t="shared" si="15"/>
        <v>10</v>
      </c>
      <c r="M55" s="13">
        <f t="shared" si="15"/>
        <v>17</v>
      </c>
      <c r="N55" s="13">
        <f t="shared" si="15"/>
        <v>0</v>
      </c>
      <c r="O55" s="13">
        <f t="shared" si="15"/>
        <v>23</v>
      </c>
      <c r="P55" s="13">
        <f t="shared" si="15"/>
        <v>28</v>
      </c>
      <c r="Q55" s="13">
        <f t="shared" si="15"/>
        <v>21</v>
      </c>
      <c r="R55" s="13">
        <f t="shared" si="15"/>
        <v>22</v>
      </c>
      <c r="S55" s="13">
        <f t="shared" si="15"/>
        <v>40</v>
      </c>
      <c r="T55" s="13">
        <f t="shared" si="15"/>
        <v>27</v>
      </c>
      <c r="U55" s="13">
        <f t="shared" si="15"/>
        <v>18</v>
      </c>
      <c r="V55" s="13">
        <f t="shared" si="15"/>
        <v>9</v>
      </c>
      <c r="W55" s="13">
        <f t="shared" si="15"/>
        <v>375</v>
      </c>
    </row>
    <row r="56" ht="12.75" customHeight="1">
      <c r="A56" s="45"/>
      <c r="B56" s="44"/>
      <c r="C56" s="44"/>
      <c r="D56" s="44"/>
      <c r="E56" s="44"/>
      <c r="W56" s="13"/>
    </row>
    <row r="57" ht="12.75" customHeight="1">
      <c r="A57" s="30" t="s">
        <v>37</v>
      </c>
      <c r="B57" s="47" t="s">
        <v>19</v>
      </c>
      <c r="C57" s="48" t="s">
        <v>48</v>
      </c>
      <c r="D57" s="16"/>
      <c r="E57" s="19">
        <v>6.0</v>
      </c>
      <c r="F57" s="19">
        <v>0.0</v>
      </c>
      <c r="G57" s="19">
        <v>0.0</v>
      </c>
      <c r="H57" s="19">
        <v>7.0</v>
      </c>
      <c r="I57" s="19">
        <v>3.0</v>
      </c>
      <c r="J57" s="19">
        <v>12.0</v>
      </c>
      <c r="K57" s="19">
        <v>1.0</v>
      </c>
      <c r="L57" s="19">
        <v>7.0</v>
      </c>
      <c r="M57" s="19">
        <v>2.0</v>
      </c>
      <c r="N57" s="19">
        <v>0.0</v>
      </c>
      <c r="O57" s="19">
        <v>4.0</v>
      </c>
      <c r="P57" s="19">
        <v>2.0</v>
      </c>
      <c r="Q57" s="19">
        <v>2.0</v>
      </c>
      <c r="R57" s="19">
        <v>11.0</v>
      </c>
      <c r="S57" s="19">
        <v>6.0</v>
      </c>
      <c r="T57" s="19">
        <v>11.0</v>
      </c>
      <c r="U57" s="19">
        <v>2.0</v>
      </c>
      <c r="V57" s="19">
        <v>4.0</v>
      </c>
      <c r="W57" s="13">
        <f t="shared" ref="W57:W66" si="16">SUM(E57:V57)</f>
        <v>80</v>
      </c>
    </row>
    <row r="58" ht="12.75" customHeight="1">
      <c r="A58" s="30" t="s">
        <v>39</v>
      </c>
      <c r="B58" s="55">
        <v>1.0</v>
      </c>
      <c r="C58" s="50" t="s">
        <v>49</v>
      </c>
      <c r="D58" s="59"/>
      <c r="E58" s="19">
        <v>12.0</v>
      </c>
      <c r="F58" s="19">
        <v>10.0</v>
      </c>
      <c r="G58" s="19">
        <v>6.0</v>
      </c>
      <c r="H58" s="19">
        <v>6.0</v>
      </c>
      <c r="I58" s="19">
        <v>14.0</v>
      </c>
      <c r="J58" s="19">
        <v>20.0</v>
      </c>
      <c r="K58" s="19">
        <v>5.0</v>
      </c>
      <c r="L58" s="19">
        <v>5.0</v>
      </c>
      <c r="M58" s="19">
        <v>12.0</v>
      </c>
      <c r="N58" s="19">
        <v>0.0</v>
      </c>
      <c r="O58" s="19">
        <v>9.0</v>
      </c>
      <c r="P58" s="19">
        <v>2.0</v>
      </c>
      <c r="Q58" s="19">
        <v>7.0</v>
      </c>
      <c r="R58" s="19">
        <v>23.0</v>
      </c>
      <c r="S58" s="19">
        <v>34.0</v>
      </c>
      <c r="T58" s="19">
        <v>32.0</v>
      </c>
      <c r="U58" s="19">
        <v>5.0</v>
      </c>
      <c r="V58" s="19">
        <v>16.0</v>
      </c>
      <c r="W58" s="13">
        <f t="shared" si="16"/>
        <v>218</v>
      </c>
    </row>
    <row r="59" ht="12.75" customHeight="1">
      <c r="A59" s="18"/>
      <c r="B59" s="55">
        <v>2.0</v>
      </c>
      <c r="C59" s="50" t="s">
        <v>50</v>
      </c>
      <c r="D59" s="59"/>
      <c r="E59" s="19">
        <v>1.0</v>
      </c>
      <c r="F59" s="19">
        <v>1.0</v>
      </c>
      <c r="G59" s="19">
        <v>0.0</v>
      </c>
      <c r="H59" s="19">
        <v>1.0</v>
      </c>
      <c r="I59" s="19">
        <v>3.0</v>
      </c>
      <c r="J59" s="19">
        <v>1.0</v>
      </c>
      <c r="K59" s="19">
        <v>1.0</v>
      </c>
      <c r="L59" s="19">
        <v>0.0</v>
      </c>
      <c r="M59" s="19">
        <v>2.0</v>
      </c>
      <c r="N59" s="19">
        <v>0.0</v>
      </c>
      <c r="O59" s="19">
        <v>0.0</v>
      </c>
      <c r="P59" s="19">
        <v>2.0</v>
      </c>
      <c r="Q59" s="19">
        <v>0.0</v>
      </c>
      <c r="R59" s="19">
        <v>2.0</v>
      </c>
      <c r="S59" s="19">
        <v>3.0</v>
      </c>
      <c r="T59" s="19">
        <v>3.0</v>
      </c>
      <c r="U59" s="19">
        <v>3.0</v>
      </c>
      <c r="V59" s="19">
        <v>0.0</v>
      </c>
      <c r="W59" s="13">
        <f t="shared" si="16"/>
        <v>23</v>
      </c>
    </row>
    <row r="60" ht="12.75" customHeight="1">
      <c r="A60" s="18"/>
      <c r="B60" s="55">
        <v>3.0</v>
      </c>
      <c r="C60" s="50" t="s">
        <v>51</v>
      </c>
      <c r="D60" s="59"/>
      <c r="E60" s="19">
        <v>0.0</v>
      </c>
      <c r="F60" s="19">
        <v>0.0</v>
      </c>
      <c r="G60" s="19">
        <v>0.0</v>
      </c>
      <c r="H60" s="19">
        <v>0.0</v>
      </c>
      <c r="I60" s="19">
        <v>0.0</v>
      </c>
      <c r="J60" s="19">
        <v>0.0</v>
      </c>
      <c r="K60" s="19">
        <v>1.0</v>
      </c>
      <c r="L60" s="19">
        <v>0.0</v>
      </c>
      <c r="M60" s="19">
        <v>1.0</v>
      </c>
      <c r="N60" s="19">
        <v>0.0</v>
      </c>
      <c r="O60" s="19">
        <v>0.0</v>
      </c>
      <c r="P60" s="19">
        <v>0.0</v>
      </c>
      <c r="Q60" s="19">
        <v>0.0</v>
      </c>
      <c r="R60" s="19">
        <v>0.0</v>
      </c>
      <c r="S60" s="19">
        <v>0.0</v>
      </c>
      <c r="T60" s="19">
        <v>2.0</v>
      </c>
      <c r="U60" s="19">
        <v>1.0</v>
      </c>
      <c r="V60" s="19">
        <v>1.0</v>
      </c>
      <c r="W60" s="13">
        <f t="shared" si="16"/>
        <v>6</v>
      </c>
    </row>
    <row r="61" ht="12.75" customHeight="1">
      <c r="A61" s="18"/>
      <c r="B61" s="55">
        <v>4.0</v>
      </c>
      <c r="C61" s="50" t="s">
        <v>52</v>
      </c>
      <c r="D61" s="59"/>
      <c r="E61" s="19">
        <v>1.0</v>
      </c>
      <c r="F61" s="19">
        <v>0.0</v>
      </c>
      <c r="G61" s="19">
        <v>0.0</v>
      </c>
      <c r="H61" s="19">
        <v>0.0</v>
      </c>
      <c r="I61" s="19">
        <v>0.0</v>
      </c>
      <c r="J61" s="19">
        <v>0.0</v>
      </c>
      <c r="K61" s="19">
        <v>0.0</v>
      </c>
      <c r="L61" s="19">
        <v>0.0</v>
      </c>
      <c r="M61" s="19">
        <v>1.0</v>
      </c>
      <c r="N61" s="19">
        <v>1.0</v>
      </c>
      <c r="O61" s="19">
        <v>0.0</v>
      </c>
      <c r="P61" s="19">
        <v>0.0</v>
      </c>
      <c r="Q61" s="19">
        <v>0.0</v>
      </c>
      <c r="R61" s="19">
        <v>0.0</v>
      </c>
      <c r="S61" s="19">
        <v>1.0</v>
      </c>
      <c r="T61" s="19">
        <v>0.0</v>
      </c>
      <c r="U61" s="19">
        <v>0.0</v>
      </c>
      <c r="V61" s="19">
        <v>1.0</v>
      </c>
      <c r="W61" s="13">
        <f t="shared" si="16"/>
        <v>5</v>
      </c>
    </row>
    <row r="62" ht="12.75" customHeight="1">
      <c r="A62" s="18"/>
      <c r="B62" s="55">
        <v>5.0</v>
      </c>
      <c r="C62" s="50" t="s">
        <v>53</v>
      </c>
      <c r="D62" s="59"/>
      <c r="E62" s="19">
        <v>0.0</v>
      </c>
      <c r="F62" s="19">
        <v>0.0</v>
      </c>
      <c r="G62" s="19">
        <v>0.0</v>
      </c>
      <c r="H62" s="19">
        <v>0.0</v>
      </c>
      <c r="I62" s="19">
        <v>0.0</v>
      </c>
      <c r="J62" s="19">
        <v>0.0</v>
      </c>
      <c r="K62" s="19">
        <v>0.0</v>
      </c>
      <c r="L62" s="19">
        <v>0.0</v>
      </c>
      <c r="M62" s="19">
        <v>0.0</v>
      </c>
      <c r="N62" s="19">
        <v>0.0</v>
      </c>
      <c r="O62" s="19">
        <v>0.0</v>
      </c>
      <c r="P62" s="19">
        <v>0.0</v>
      </c>
      <c r="Q62" s="19">
        <v>0.0</v>
      </c>
      <c r="R62" s="19">
        <v>0.0</v>
      </c>
      <c r="S62" s="19">
        <v>0.0</v>
      </c>
      <c r="T62" s="19">
        <v>0.0</v>
      </c>
      <c r="U62" s="19">
        <v>0.0</v>
      </c>
      <c r="V62" s="19">
        <v>0.0</v>
      </c>
      <c r="W62" s="13">
        <f t="shared" si="16"/>
        <v>0</v>
      </c>
    </row>
    <row r="63" ht="12.75" customHeight="1">
      <c r="A63" s="18"/>
      <c r="B63" s="55">
        <v>6.0</v>
      </c>
      <c r="C63" s="50" t="s">
        <v>54</v>
      </c>
      <c r="D63" s="60"/>
      <c r="E63" s="19">
        <v>0.0</v>
      </c>
      <c r="F63" s="19">
        <v>0.0</v>
      </c>
      <c r="G63" s="19">
        <v>0.0</v>
      </c>
      <c r="H63" s="19">
        <v>0.0</v>
      </c>
      <c r="I63" s="19">
        <v>0.0</v>
      </c>
      <c r="J63" s="19">
        <v>1.0</v>
      </c>
      <c r="K63" s="19">
        <v>1.0</v>
      </c>
      <c r="L63" s="19">
        <v>0.0</v>
      </c>
      <c r="M63" s="19">
        <v>0.0</v>
      </c>
      <c r="N63" s="19">
        <v>1.0</v>
      </c>
      <c r="O63" s="19">
        <v>0.0</v>
      </c>
      <c r="P63" s="19">
        <v>0.0</v>
      </c>
      <c r="Q63" s="19">
        <v>1.0</v>
      </c>
      <c r="R63" s="19">
        <v>0.0</v>
      </c>
      <c r="S63" s="19">
        <v>0.0</v>
      </c>
      <c r="T63" s="19">
        <v>0.0</v>
      </c>
      <c r="U63" s="19">
        <v>0.0</v>
      </c>
      <c r="V63" s="19">
        <v>0.0</v>
      </c>
      <c r="W63" s="13">
        <f t="shared" si="16"/>
        <v>4</v>
      </c>
    </row>
    <row r="64" ht="12.75" customHeight="1">
      <c r="A64" s="18"/>
      <c r="B64" s="55">
        <v>7.0</v>
      </c>
      <c r="C64" s="50" t="s">
        <v>55</v>
      </c>
      <c r="D64" s="59"/>
      <c r="E64" s="19">
        <v>0.0</v>
      </c>
      <c r="F64" s="19">
        <v>0.0</v>
      </c>
      <c r="G64" s="19">
        <v>0.0</v>
      </c>
      <c r="H64" s="19">
        <v>0.0</v>
      </c>
      <c r="I64" s="19">
        <v>0.0</v>
      </c>
      <c r="J64" s="19">
        <v>0.0</v>
      </c>
      <c r="K64" s="19">
        <v>0.0</v>
      </c>
      <c r="L64" s="19">
        <v>0.0</v>
      </c>
      <c r="M64" s="19">
        <v>0.0</v>
      </c>
      <c r="N64" s="19">
        <v>0.0</v>
      </c>
      <c r="O64" s="19">
        <v>0.0</v>
      </c>
      <c r="P64" s="19">
        <v>1.0</v>
      </c>
      <c r="Q64" s="19">
        <v>0.0</v>
      </c>
      <c r="R64" s="19">
        <v>0.0</v>
      </c>
      <c r="S64" s="19">
        <v>0.0</v>
      </c>
      <c r="T64" s="19">
        <v>0.0</v>
      </c>
      <c r="U64" s="19">
        <v>1.0</v>
      </c>
      <c r="V64" s="19">
        <v>0.0</v>
      </c>
      <c r="W64" s="13">
        <f t="shared" si="16"/>
        <v>2</v>
      </c>
    </row>
    <row r="65" ht="12.75" customHeight="1">
      <c r="A65" s="18"/>
      <c r="B65" s="56"/>
      <c r="C65" s="57"/>
      <c r="D65" s="61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3">
        <f t="shared" si="16"/>
        <v>0</v>
      </c>
    </row>
    <row r="66" ht="12.75" customHeight="1">
      <c r="A66" s="18"/>
      <c r="B66" s="56"/>
      <c r="C66" s="57"/>
      <c r="D66" s="61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3">
        <f t="shared" si="16"/>
        <v>0</v>
      </c>
    </row>
    <row r="67" ht="12.75" customHeight="1">
      <c r="A67" s="19" t="s">
        <v>15</v>
      </c>
      <c r="B67" s="47" t="s">
        <v>47</v>
      </c>
      <c r="C67" s="15"/>
      <c r="D67" s="16"/>
      <c r="E67" s="13">
        <f t="shared" ref="E67:W67" si="17">SUM(E57:E66)</f>
        <v>20</v>
      </c>
      <c r="F67" s="13">
        <f t="shared" si="17"/>
        <v>11</v>
      </c>
      <c r="G67" s="13">
        <f t="shared" si="17"/>
        <v>6</v>
      </c>
      <c r="H67" s="13">
        <f t="shared" si="17"/>
        <v>14</v>
      </c>
      <c r="I67" s="13">
        <f t="shared" si="17"/>
        <v>20</v>
      </c>
      <c r="J67" s="13">
        <f t="shared" si="17"/>
        <v>34</v>
      </c>
      <c r="K67" s="13">
        <f t="shared" si="17"/>
        <v>9</v>
      </c>
      <c r="L67" s="13">
        <f t="shared" si="17"/>
        <v>12</v>
      </c>
      <c r="M67" s="13">
        <f t="shared" si="17"/>
        <v>18</v>
      </c>
      <c r="N67" s="13">
        <f t="shared" si="17"/>
        <v>2</v>
      </c>
      <c r="O67" s="13">
        <f t="shared" si="17"/>
        <v>13</v>
      </c>
      <c r="P67" s="13">
        <f t="shared" si="17"/>
        <v>7</v>
      </c>
      <c r="Q67" s="13">
        <f t="shared" si="17"/>
        <v>10</v>
      </c>
      <c r="R67" s="13">
        <f t="shared" si="17"/>
        <v>36</v>
      </c>
      <c r="S67" s="13">
        <f t="shared" si="17"/>
        <v>44</v>
      </c>
      <c r="T67" s="13">
        <f t="shared" si="17"/>
        <v>48</v>
      </c>
      <c r="U67" s="13">
        <f t="shared" si="17"/>
        <v>12</v>
      </c>
      <c r="V67" s="13">
        <f t="shared" si="17"/>
        <v>22</v>
      </c>
      <c r="W67" s="13">
        <f t="shared" si="17"/>
        <v>338</v>
      </c>
    </row>
    <row r="68" ht="12.75" customHeight="1">
      <c r="A68" s="45"/>
      <c r="B68" s="44"/>
      <c r="C68" s="44"/>
      <c r="D68" s="44"/>
      <c r="E68" s="44"/>
    </row>
    <row r="69" ht="12.75" customHeight="1">
      <c r="A69" s="30" t="s">
        <v>37</v>
      </c>
      <c r="B69" s="47" t="s">
        <v>21</v>
      </c>
      <c r="C69" s="48" t="s">
        <v>56</v>
      </c>
      <c r="D69" s="15"/>
      <c r="E69" s="77">
        <v>3.0</v>
      </c>
      <c r="F69" s="77">
        <v>3.0</v>
      </c>
      <c r="G69" s="77">
        <v>2.0</v>
      </c>
      <c r="H69" s="77">
        <v>5.0</v>
      </c>
      <c r="I69" s="77">
        <v>2.0</v>
      </c>
      <c r="J69" s="77">
        <v>3.0</v>
      </c>
      <c r="K69" s="77">
        <v>3.0</v>
      </c>
      <c r="L69" s="77">
        <v>0.0</v>
      </c>
      <c r="M69" s="77">
        <v>2.0</v>
      </c>
      <c r="N69" s="77">
        <v>3.0</v>
      </c>
      <c r="O69" s="77">
        <v>2.0</v>
      </c>
      <c r="P69" s="77">
        <v>1.0</v>
      </c>
      <c r="Q69" s="77">
        <v>1.0</v>
      </c>
      <c r="R69" s="77">
        <v>5.0</v>
      </c>
      <c r="S69" s="77">
        <v>1.0</v>
      </c>
      <c r="T69" s="77">
        <v>2.0</v>
      </c>
      <c r="U69" s="77">
        <v>2.0</v>
      </c>
      <c r="V69" s="77">
        <v>3.0</v>
      </c>
      <c r="W69" s="80">
        <f t="shared" ref="W69:W78" si="18">SUM(E69:V69)</f>
        <v>43</v>
      </c>
    </row>
    <row r="70" ht="12.75" customHeight="1">
      <c r="A70" s="30" t="s">
        <v>39</v>
      </c>
      <c r="B70" s="55">
        <v>1.0</v>
      </c>
      <c r="C70" s="50" t="s">
        <v>57</v>
      </c>
      <c r="D70" s="81"/>
      <c r="E70" s="77">
        <v>5.0</v>
      </c>
      <c r="F70" s="77">
        <v>3.0</v>
      </c>
      <c r="G70" s="77">
        <v>3.0</v>
      </c>
      <c r="H70" s="77">
        <v>0.0</v>
      </c>
      <c r="I70" s="77">
        <v>0.0</v>
      </c>
      <c r="J70" s="77">
        <v>2.0</v>
      </c>
      <c r="K70" s="77">
        <v>0.0</v>
      </c>
      <c r="L70" s="77">
        <v>0.0</v>
      </c>
      <c r="M70" s="77">
        <v>2.0</v>
      </c>
      <c r="N70" s="77">
        <v>0.0</v>
      </c>
      <c r="O70" s="77">
        <v>6.0</v>
      </c>
      <c r="P70" s="77">
        <v>1.0</v>
      </c>
      <c r="Q70" s="77">
        <v>1.0</v>
      </c>
      <c r="R70" s="77">
        <v>28.0</v>
      </c>
      <c r="S70" s="77">
        <v>5.0</v>
      </c>
      <c r="T70" s="77">
        <v>1.0</v>
      </c>
      <c r="U70" s="77">
        <v>0.0</v>
      </c>
      <c r="V70" s="77">
        <v>6.0</v>
      </c>
      <c r="W70" s="80">
        <f t="shared" si="18"/>
        <v>63</v>
      </c>
    </row>
    <row r="71" ht="12.75" customHeight="1">
      <c r="A71" s="18"/>
      <c r="B71" s="55">
        <v>2.0</v>
      </c>
      <c r="C71" s="50" t="s">
        <v>58</v>
      </c>
      <c r="D71" s="81"/>
      <c r="E71" s="77">
        <v>2.0</v>
      </c>
      <c r="F71" s="77">
        <v>0.0</v>
      </c>
      <c r="G71" s="77">
        <v>0.0</v>
      </c>
      <c r="H71" s="77">
        <v>1.0</v>
      </c>
      <c r="I71" s="77">
        <v>1.0</v>
      </c>
      <c r="J71" s="77">
        <v>0.0</v>
      </c>
      <c r="K71" s="77">
        <v>1.0</v>
      </c>
      <c r="L71" s="77">
        <v>0.0</v>
      </c>
      <c r="M71" s="77">
        <v>0.0</v>
      </c>
      <c r="N71" s="77">
        <v>0.0</v>
      </c>
      <c r="O71" s="77">
        <v>2.0</v>
      </c>
      <c r="P71" s="77">
        <v>0.0</v>
      </c>
      <c r="Q71" s="77">
        <v>0.0</v>
      </c>
      <c r="R71" s="77">
        <v>7.0</v>
      </c>
      <c r="S71" s="77">
        <v>2.0</v>
      </c>
      <c r="T71" s="77">
        <v>1.0</v>
      </c>
      <c r="U71" s="77">
        <v>1.0</v>
      </c>
      <c r="V71" s="77">
        <v>0.0</v>
      </c>
      <c r="W71" s="80">
        <f t="shared" si="18"/>
        <v>18</v>
      </c>
    </row>
    <row r="72" ht="12.75" customHeight="1">
      <c r="A72" s="18"/>
      <c r="B72" s="55">
        <v>3.0</v>
      </c>
      <c r="C72" s="50" t="s">
        <v>59</v>
      </c>
      <c r="D72" s="81"/>
      <c r="E72" s="77">
        <v>1.0</v>
      </c>
      <c r="F72" s="77">
        <v>0.0</v>
      </c>
      <c r="G72" s="77">
        <v>2.0</v>
      </c>
      <c r="H72" s="77">
        <v>0.0</v>
      </c>
      <c r="I72" s="77">
        <v>1.0</v>
      </c>
      <c r="J72" s="77">
        <v>0.0</v>
      </c>
      <c r="K72" s="77">
        <v>0.0</v>
      </c>
      <c r="L72" s="77">
        <v>1.0</v>
      </c>
      <c r="M72" s="77">
        <v>0.0</v>
      </c>
      <c r="N72" s="77">
        <v>1.0</v>
      </c>
      <c r="O72" s="77">
        <v>2.0</v>
      </c>
      <c r="P72" s="77">
        <v>0.0</v>
      </c>
      <c r="Q72" s="77">
        <v>2.0</v>
      </c>
      <c r="R72" s="77">
        <v>2.0</v>
      </c>
      <c r="S72" s="77">
        <v>1.0</v>
      </c>
      <c r="T72" s="77">
        <v>0.0</v>
      </c>
      <c r="U72" s="77">
        <v>0.0</v>
      </c>
      <c r="V72" s="77">
        <v>2.0</v>
      </c>
      <c r="W72" s="80">
        <f t="shared" si="18"/>
        <v>15</v>
      </c>
    </row>
    <row r="73" ht="12.75" customHeight="1">
      <c r="A73" s="18"/>
      <c r="B73" s="55">
        <v>4.0</v>
      </c>
      <c r="C73" s="50" t="s">
        <v>60</v>
      </c>
      <c r="D73" s="81"/>
      <c r="E73" s="77">
        <v>1.0</v>
      </c>
      <c r="F73" s="77">
        <v>0.0</v>
      </c>
      <c r="G73" s="77">
        <v>0.0</v>
      </c>
      <c r="H73" s="77">
        <v>0.0</v>
      </c>
      <c r="I73" s="77">
        <v>0.0</v>
      </c>
      <c r="J73" s="77">
        <v>0.0</v>
      </c>
      <c r="K73" s="77">
        <v>1.0</v>
      </c>
      <c r="L73" s="77">
        <v>0.0</v>
      </c>
      <c r="M73" s="77">
        <v>0.0</v>
      </c>
      <c r="N73" s="77">
        <v>0.0</v>
      </c>
      <c r="O73" s="77">
        <v>0.0</v>
      </c>
      <c r="P73" s="77">
        <v>2.0</v>
      </c>
      <c r="Q73" s="77">
        <v>0.0</v>
      </c>
      <c r="R73" s="77">
        <v>0.0</v>
      </c>
      <c r="S73" s="77">
        <v>1.0</v>
      </c>
      <c r="T73" s="77">
        <v>0.0</v>
      </c>
      <c r="U73" s="77">
        <v>1.0</v>
      </c>
      <c r="V73" s="77">
        <v>0.0</v>
      </c>
      <c r="W73" s="80">
        <f t="shared" si="18"/>
        <v>6</v>
      </c>
    </row>
    <row r="74" ht="12.75" customHeight="1">
      <c r="A74" s="18"/>
      <c r="B74" s="55">
        <v>5.0</v>
      </c>
      <c r="C74" s="50" t="s">
        <v>61</v>
      </c>
      <c r="D74" s="81"/>
      <c r="E74" s="77">
        <v>0.0</v>
      </c>
      <c r="F74" s="77">
        <v>1.0</v>
      </c>
      <c r="G74" s="77">
        <v>4.0</v>
      </c>
      <c r="H74" s="77">
        <v>0.0</v>
      </c>
      <c r="I74" s="77">
        <v>1.0</v>
      </c>
      <c r="J74" s="77">
        <v>0.0</v>
      </c>
      <c r="K74" s="77">
        <v>1.0</v>
      </c>
      <c r="L74" s="77">
        <v>0.0</v>
      </c>
      <c r="M74" s="77">
        <v>1.0</v>
      </c>
      <c r="N74" s="77">
        <v>0.0</v>
      </c>
      <c r="O74" s="77">
        <v>0.0</v>
      </c>
      <c r="P74" s="77">
        <v>0.0</v>
      </c>
      <c r="Q74" s="77">
        <v>0.0</v>
      </c>
      <c r="R74" s="77">
        <v>1.0</v>
      </c>
      <c r="S74" s="77">
        <v>1.0</v>
      </c>
      <c r="T74" s="77">
        <v>1.0</v>
      </c>
      <c r="U74" s="77">
        <v>1.0</v>
      </c>
      <c r="V74" s="77">
        <v>0.0</v>
      </c>
      <c r="W74" s="80">
        <f t="shared" si="18"/>
        <v>12</v>
      </c>
    </row>
    <row r="75" ht="12.75" customHeight="1">
      <c r="A75" s="18"/>
      <c r="B75" s="55">
        <v>6.0</v>
      </c>
      <c r="C75" s="50" t="s">
        <v>62</v>
      </c>
      <c r="D75" s="81"/>
      <c r="E75" s="77">
        <v>0.0</v>
      </c>
      <c r="F75" s="77">
        <v>0.0</v>
      </c>
      <c r="G75" s="77">
        <v>0.0</v>
      </c>
      <c r="H75" s="77">
        <v>0.0</v>
      </c>
      <c r="I75" s="77">
        <v>0.0</v>
      </c>
      <c r="J75" s="77">
        <v>0.0</v>
      </c>
      <c r="K75" s="77">
        <v>0.0</v>
      </c>
      <c r="L75" s="77">
        <v>1.0</v>
      </c>
      <c r="M75" s="77">
        <v>1.0</v>
      </c>
      <c r="N75" s="77">
        <v>0.0</v>
      </c>
      <c r="O75" s="77">
        <v>0.0</v>
      </c>
      <c r="P75" s="77">
        <v>0.0</v>
      </c>
      <c r="Q75" s="77">
        <v>0.0</v>
      </c>
      <c r="R75" s="77">
        <v>0.0</v>
      </c>
      <c r="S75" s="77">
        <v>0.0</v>
      </c>
      <c r="T75" s="77">
        <v>0.0</v>
      </c>
      <c r="U75" s="77">
        <v>0.0</v>
      </c>
      <c r="V75" s="77">
        <v>0.0</v>
      </c>
      <c r="W75" s="80">
        <f t="shared" si="18"/>
        <v>2</v>
      </c>
    </row>
    <row r="76" ht="12.75" customHeight="1">
      <c r="A76" s="18"/>
      <c r="B76" s="55">
        <v>7.0</v>
      </c>
      <c r="C76" s="50" t="s">
        <v>63</v>
      </c>
      <c r="D76" s="81"/>
      <c r="E76" s="77">
        <v>51.0</v>
      </c>
      <c r="F76" s="77">
        <v>41.0</v>
      </c>
      <c r="G76" s="77">
        <v>60.0</v>
      </c>
      <c r="H76" s="77">
        <v>12.0</v>
      </c>
      <c r="I76" s="77">
        <v>9.0</v>
      </c>
      <c r="J76" s="77">
        <v>6.0</v>
      </c>
      <c r="K76" s="77">
        <v>11.0</v>
      </c>
      <c r="L76" s="77">
        <v>15.0</v>
      </c>
      <c r="M76" s="77">
        <v>16.0</v>
      </c>
      <c r="N76" s="77">
        <v>72.0</v>
      </c>
      <c r="O76" s="77">
        <v>33.0</v>
      </c>
      <c r="P76" s="77">
        <v>16.0</v>
      </c>
      <c r="Q76" s="77">
        <v>10.0</v>
      </c>
      <c r="R76" s="77">
        <v>20.0</v>
      </c>
      <c r="S76" s="77">
        <v>24.0</v>
      </c>
      <c r="T76" s="77">
        <v>10.0</v>
      </c>
      <c r="U76" s="77">
        <v>23.0</v>
      </c>
      <c r="V76" s="77">
        <v>13.0</v>
      </c>
      <c r="W76" s="80">
        <f t="shared" si="18"/>
        <v>442</v>
      </c>
    </row>
    <row r="77" ht="12.75" customHeight="1">
      <c r="A77" s="18"/>
      <c r="B77" s="56"/>
      <c r="C77" s="57"/>
      <c r="D77" s="62"/>
      <c r="E77" s="82"/>
      <c r="F77" s="82"/>
      <c r="G77" s="82"/>
      <c r="H77" s="82"/>
      <c r="I77" s="82"/>
      <c r="J77" s="82"/>
      <c r="K77" s="82"/>
      <c r="L77" s="82"/>
      <c r="M77" s="82"/>
      <c r="N77" s="82"/>
      <c r="O77" s="82"/>
      <c r="P77" s="82"/>
      <c r="Q77" s="82"/>
      <c r="R77" s="82"/>
      <c r="S77" s="82"/>
      <c r="T77" s="82"/>
      <c r="U77" s="82"/>
      <c r="V77" s="82"/>
      <c r="W77" s="13">
        <f t="shared" si="18"/>
        <v>0</v>
      </c>
    </row>
    <row r="78" ht="12.75" customHeight="1">
      <c r="A78" s="18"/>
      <c r="B78" s="56"/>
      <c r="C78" s="57"/>
      <c r="D78" s="62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3">
        <f t="shared" si="18"/>
        <v>0</v>
      </c>
    </row>
    <row r="79" ht="12.75" customHeight="1">
      <c r="A79" s="19" t="s">
        <v>15</v>
      </c>
      <c r="B79" s="47" t="s">
        <v>47</v>
      </c>
      <c r="C79" s="15"/>
      <c r="D79" s="16"/>
      <c r="E79" s="13">
        <f t="shared" ref="E79:W79" si="19">SUM(E69:E78)</f>
        <v>63</v>
      </c>
      <c r="F79" s="13">
        <f t="shared" si="19"/>
        <v>48</v>
      </c>
      <c r="G79" s="13">
        <f t="shared" si="19"/>
        <v>71</v>
      </c>
      <c r="H79" s="13">
        <f t="shared" si="19"/>
        <v>18</v>
      </c>
      <c r="I79" s="13">
        <f t="shared" si="19"/>
        <v>14</v>
      </c>
      <c r="J79" s="13">
        <f t="shared" si="19"/>
        <v>11</v>
      </c>
      <c r="K79" s="13">
        <f t="shared" si="19"/>
        <v>17</v>
      </c>
      <c r="L79" s="13">
        <f t="shared" si="19"/>
        <v>17</v>
      </c>
      <c r="M79" s="13">
        <f t="shared" si="19"/>
        <v>22</v>
      </c>
      <c r="N79" s="13">
        <f t="shared" si="19"/>
        <v>76</v>
      </c>
      <c r="O79" s="13">
        <f t="shared" si="19"/>
        <v>45</v>
      </c>
      <c r="P79" s="13">
        <f t="shared" si="19"/>
        <v>20</v>
      </c>
      <c r="Q79" s="13">
        <f t="shared" si="19"/>
        <v>14</v>
      </c>
      <c r="R79" s="13">
        <f t="shared" si="19"/>
        <v>63</v>
      </c>
      <c r="S79" s="13">
        <f t="shared" si="19"/>
        <v>35</v>
      </c>
      <c r="T79" s="13">
        <f t="shared" si="19"/>
        <v>15</v>
      </c>
      <c r="U79" s="13">
        <f t="shared" si="19"/>
        <v>28</v>
      </c>
      <c r="V79" s="13">
        <f t="shared" si="19"/>
        <v>24</v>
      </c>
      <c r="W79" s="13">
        <f t="shared" si="19"/>
        <v>601</v>
      </c>
    </row>
    <row r="80" ht="12.75" customHeight="1">
      <c r="A80" s="45"/>
      <c r="B80" s="44"/>
      <c r="C80" s="44"/>
      <c r="D80" s="44"/>
      <c r="E80" s="44"/>
    </row>
    <row r="81" ht="12.75" customHeight="1">
      <c r="A81" s="30" t="s">
        <v>37</v>
      </c>
      <c r="B81" s="47" t="s">
        <v>23</v>
      </c>
      <c r="C81" s="48" t="s">
        <v>64</v>
      </c>
      <c r="D81" s="15"/>
      <c r="E81" s="83">
        <v>0.0</v>
      </c>
      <c r="F81" s="83">
        <v>1.0</v>
      </c>
      <c r="G81" s="83">
        <v>4.0</v>
      </c>
      <c r="H81" s="83">
        <v>1.0</v>
      </c>
      <c r="I81" s="83">
        <v>2.0</v>
      </c>
      <c r="J81" s="83">
        <v>1.0</v>
      </c>
      <c r="K81" s="83">
        <v>0.0</v>
      </c>
      <c r="L81" s="83">
        <v>0.0</v>
      </c>
      <c r="M81" s="83">
        <v>1.0</v>
      </c>
      <c r="N81" s="83">
        <v>0.0</v>
      </c>
      <c r="O81" s="83">
        <v>1.0</v>
      </c>
      <c r="P81" s="83">
        <v>0.0</v>
      </c>
      <c r="Q81" s="83">
        <v>1.0</v>
      </c>
      <c r="R81" s="83">
        <v>1.0</v>
      </c>
      <c r="S81" s="83">
        <v>1.0</v>
      </c>
      <c r="T81" s="83">
        <v>2.0</v>
      </c>
      <c r="U81" s="83">
        <v>2.0</v>
      </c>
      <c r="V81" s="83">
        <v>0.0</v>
      </c>
      <c r="W81" s="80">
        <f t="shared" ref="W81:W90" si="20">SUM(E81:V81)</f>
        <v>18</v>
      </c>
    </row>
    <row r="82" ht="12.75" customHeight="1">
      <c r="A82" s="30" t="s">
        <v>39</v>
      </c>
      <c r="B82" s="55">
        <v>1.0</v>
      </c>
      <c r="C82" s="50" t="s">
        <v>65</v>
      </c>
      <c r="D82" s="81"/>
      <c r="E82" s="83">
        <v>1.0</v>
      </c>
      <c r="F82" s="83">
        <v>0.0</v>
      </c>
      <c r="G82" s="83">
        <v>8.0</v>
      </c>
      <c r="H82" s="83">
        <v>1.0</v>
      </c>
      <c r="I82" s="83">
        <v>0.0</v>
      </c>
      <c r="J82" s="83">
        <v>0.0</v>
      </c>
      <c r="K82" s="83">
        <v>1.0</v>
      </c>
      <c r="L82" s="83">
        <v>1.0</v>
      </c>
      <c r="M82" s="83">
        <v>2.0</v>
      </c>
      <c r="N82" s="83">
        <v>1.0</v>
      </c>
      <c r="O82" s="83">
        <v>0.0</v>
      </c>
      <c r="P82" s="83">
        <v>1.0</v>
      </c>
      <c r="Q82" s="83">
        <v>1.0</v>
      </c>
      <c r="R82" s="83">
        <v>1.0</v>
      </c>
      <c r="S82" s="83">
        <v>13.0</v>
      </c>
      <c r="T82" s="83">
        <v>1.0</v>
      </c>
      <c r="U82" s="83">
        <v>10.0</v>
      </c>
      <c r="V82" s="83">
        <v>8.0</v>
      </c>
      <c r="W82" s="80">
        <f t="shared" si="20"/>
        <v>50</v>
      </c>
    </row>
    <row r="83" ht="12.75" customHeight="1">
      <c r="A83" s="18"/>
      <c r="B83" s="55">
        <v>2.0</v>
      </c>
      <c r="C83" s="50" t="s">
        <v>66</v>
      </c>
      <c r="D83" s="81"/>
      <c r="E83" s="83">
        <v>0.0</v>
      </c>
      <c r="F83" s="83">
        <v>0.0</v>
      </c>
      <c r="G83" s="83">
        <v>0.0</v>
      </c>
      <c r="H83" s="83">
        <v>1.0</v>
      </c>
      <c r="I83" s="83">
        <v>0.0</v>
      </c>
      <c r="J83" s="83">
        <v>0.0</v>
      </c>
      <c r="K83" s="83">
        <v>0.0</v>
      </c>
      <c r="L83" s="83">
        <v>0.0</v>
      </c>
      <c r="M83" s="83">
        <v>0.0</v>
      </c>
      <c r="N83" s="83">
        <v>0.0</v>
      </c>
      <c r="O83" s="83">
        <v>1.0</v>
      </c>
      <c r="P83" s="83">
        <v>0.0</v>
      </c>
      <c r="Q83" s="83">
        <v>0.0</v>
      </c>
      <c r="R83" s="83">
        <v>0.0</v>
      </c>
      <c r="S83" s="83">
        <v>0.0</v>
      </c>
      <c r="T83" s="83">
        <v>3.0</v>
      </c>
      <c r="U83" s="83">
        <v>1.0</v>
      </c>
      <c r="V83" s="83">
        <v>1.0</v>
      </c>
      <c r="W83" s="80">
        <f t="shared" si="20"/>
        <v>7</v>
      </c>
    </row>
    <row r="84" ht="12.75" customHeight="1">
      <c r="A84" s="18"/>
      <c r="B84" s="55">
        <v>3.0</v>
      </c>
      <c r="C84" s="50" t="s">
        <v>67</v>
      </c>
      <c r="D84" s="81"/>
      <c r="E84" s="83">
        <v>0.0</v>
      </c>
      <c r="F84" s="83">
        <v>0.0</v>
      </c>
      <c r="G84" s="83">
        <v>0.0</v>
      </c>
      <c r="H84" s="83">
        <v>0.0</v>
      </c>
      <c r="I84" s="83">
        <v>0.0</v>
      </c>
      <c r="J84" s="83">
        <v>0.0</v>
      </c>
      <c r="K84" s="83">
        <v>0.0</v>
      </c>
      <c r="L84" s="83">
        <v>0.0</v>
      </c>
      <c r="M84" s="83">
        <v>0.0</v>
      </c>
      <c r="N84" s="83">
        <v>0.0</v>
      </c>
      <c r="O84" s="83">
        <v>0.0</v>
      </c>
      <c r="P84" s="83">
        <v>0.0</v>
      </c>
      <c r="Q84" s="83">
        <v>0.0</v>
      </c>
      <c r="R84" s="83">
        <v>0.0</v>
      </c>
      <c r="S84" s="83">
        <v>0.0</v>
      </c>
      <c r="T84" s="83">
        <v>0.0</v>
      </c>
      <c r="U84" s="83">
        <v>0.0</v>
      </c>
      <c r="V84" s="83">
        <v>0.0</v>
      </c>
      <c r="W84" s="80">
        <f t="shared" si="20"/>
        <v>0</v>
      </c>
    </row>
    <row r="85" ht="12.75" customHeight="1">
      <c r="A85" s="18"/>
      <c r="B85" s="55">
        <v>4.0</v>
      </c>
      <c r="C85" s="50" t="s">
        <v>68</v>
      </c>
      <c r="D85" s="81"/>
      <c r="E85" s="83">
        <v>0.0</v>
      </c>
      <c r="F85" s="83">
        <v>0.0</v>
      </c>
      <c r="G85" s="83">
        <v>0.0</v>
      </c>
      <c r="H85" s="83">
        <v>0.0</v>
      </c>
      <c r="I85" s="83">
        <v>0.0</v>
      </c>
      <c r="J85" s="83">
        <v>0.0</v>
      </c>
      <c r="K85" s="83">
        <v>0.0</v>
      </c>
      <c r="L85" s="83">
        <v>0.0</v>
      </c>
      <c r="M85" s="83">
        <v>0.0</v>
      </c>
      <c r="N85" s="83">
        <v>0.0</v>
      </c>
      <c r="O85" s="83">
        <v>2.0</v>
      </c>
      <c r="P85" s="83">
        <v>0.0</v>
      </c>
      <c r="Q85" s="83">
        <v>0.0</v>
      </c>
      <c r="R85" s="83">
        <v>0.0</v>
      </c>
      <c r="S85" s="83">
        <v>0.0</v>
      </c>
      <c r="T85" s="83">
        <v>0.0</v>
      </c>
      <c r="U85" s="83">
        <v>1.0</v>
      </c>
      <c r="V85" s="83">
        <v>1.0</v>
      </c>
      <c r="W85" s="80">
        <f t="shared" si="20"/>
        <v>4</v>
      </c>
    </row>
    <row r="86" ht="12.75" customHeight="1">
      <c r="A86" s="18"/>
      <c r="B86" s="55">
        <v>5.0</v>
      </c>
      <c r="C86" s="50" t="s">
        <v>69</v>
      </c>
      <c r="D86" s="81"/>
      <c r="E86" s="83">
        <v>0.0</v>
      </c>
      <c r="F86" s="83">
        <v>0.0</v>
      </c>
      <c r="G86" s="83">
        <v>0.0</v>
      </c>
      <c r="H86" s="83">
        <v>0.0</v>
      </c>
      <c r="I86" s="83">
        <v>0.0</v>
      </c>
      <c r="J86" s="83">
        <v>0.0</v>
      </c>
      <c r="K86" s="83">
        <v>0.0</v>
      </c>
      <c r="L86" s="83">
        <v>0.0</v>
      </c>
      <c r="M86" s="83">
        <v>0.0</v>
      </c>
      <c r="N86" s="83">
        <v>0.0</v>
      </c>
      <c r="O86" s="83">
        <v>1.0</v>
      </c>
      <c r="P86" s="83">
        <v>0.0</v>
      </c>
      <c r="Q86" s="83">
        <v>0.0</v>
      </c>
      <c r="R86" s="83">
        <v>0.0</v>
      </c>
      <c r="S86" s="83">
        <v>0.0</v>
      </c>
      <c r="T86" s="83">
        <v>0.0</v>
      </c>
      <c r="U86" s="83">
        <v>0.0</v>
      </c>
      <c r="V86" s="83">
        <v>0.0</v>
      </c>
      <c r="W86" s="80">
        <f t="shared" si="20"/>
        <v>1</v>
      </c>
    </row>
    <row r="87" ht="12.75" customHeight="1">
      <c r="A87" s="18"/>
      <c r="B87" s="55">
        <v>6.0</v>
      </c>
      <c r="C87" s="50" t="s">
        <v>70</v>
      </c>
      <c r="D87" s="81"/>
      <c r="E87" s="83">
        <v>0.0</v>
      </c>
      <c r="F87" s="83">
        <v>0.0</v>
      </c>
      <c r="G87" s="83">
        <v>0.0</v>
      </c>
      <c r="H87" s="83">
        <v>0.0</v>
      </c>
      <c r="I87" s="83">
        <v>0.0</v>
      </c>
      <c r="J87" s="83">
        <v>0.0</v>
      </c>
      <c r="K87" s="83">
        <v>0.0</v>
      </c>
      <c r="L87" s="83">
        <v>0.0</v>
      </c>
      <c r="M87" s="83">
        <v>0.0</v>
      </c>
      <c r="N87" s="83">
        <v>0.0</v>
      </c>
      <c r="O87" s="83">
        <v>0.0</v>
      </c>
      <c r="P87" s="83">
        <v>0.0</v>
      </c>
      <c r="Q87" s="83">
        <v>0.0</v>
      </c>
      <c r="R87" s="83">
        <v>0.0</v>
      </c>
      <c r="S87" s="83">
        <v>0.0</v>
      </c>
      <c r="T87" s="83">
        <v>0.0</v>
      </c>
      <c r="U87" s="83">
        <v>0.0</v>
      </c>
      <c r="V87" s="83">
        <v>0.0</v>
      </c>
      <c r="W87" s="80">
        <f t="shared" si="20"/>
        <v>0</v>
      </c>
    </row>
    <row r="88" ht="12.75" customHeight="1">
      <c r="A88" s="18"/>
      <c r="B88" s="55">
        <v>7.0</v>
      </c>
      <c r="C88" s="50" t="s">
        <v>71</v>
      </c>
      <c r="D88" s="81"/>
      <c r="E88" s="83">
        <v>0.0</v>
      </c>
      <c r="F88" s="83">
        <v>0.0</v>
      </c>
      <c r="G88" s="83">
        <v>0.0</v>
      </c>
      <c r="H88" s="83">
        <v>0.0</v>
      </c>
      <c r="I88" s="83">
        <v>1.0</v>
      </c>
      <c r="J88" s="83">
        <v>0.0</v>
      </c>
      <c r="K88" s="83">
        <v>0.0</v>
      </c>
      <c r="L88" s="83">
        <v>0.0</v>
      </c>
      <c r="M88" s="83">
        <v>0.0</v>
      </c>
      <c r="N88" s="83">
        <v>0.0</v>
      </c>
      <c r="O88" s="83">
        <v>0.0</v>
      </c>
      <c r="P88" s="83">
        <v>0.0</v>
      </c>
      <c r="Q88" s="83">
        <v>0.0</v>
      </c>
      <c r="R88" s="83">
        <v>0.0</v>
      </c>
      <c r="S88" s="83">
        <v>0.0</v>
      </c>
      <c r="T88" s="83">
        <v>0.0</v>
      </c>
      <c r="U88" s="83">
        <v>0.0</v>
      </c>
      <c r="V88" s="83">
        <v>0.0</v>
      </c>
      <c r="W88" s="80">
        <f t="shared" si="20"/>
        <v>1</v>
      </c>
    </row>
    <row r="89" ht="12.75" customHeight="1">
      <c r="A89" s="18"/>
      <c r="B89" s="56"/>
      <c r="C89" s="57"/>
      <c r="D89" s="62"/>
      <c r="E89" s="82"/>
      <c r="F89" s="82"/>
      <c r="G89" s="82"/>
      <c r="H89" s="82"/>
      <c r="I89" s="82"/>
      <c r="J89" s="82"/>
      <c r="K89" s="82"/>
      <c r="L89" s="82"/>
      <c r="M89" s="82"/>
      <c r="N89" s="82"/>
      <c r="O89" s="82"/>
      <c r="P89" s="82"/>
      <c r="Q89" s="82"/>
      <c r="R89" s="82"/>
      <c r="S89" s="82"/>
      <c r="T89" s="82"/>
      <c r="U89" s="82"/>
      <c r="V89" s="82"/>
      <c r="W89" s="13">
        <f t="shared" si="20"/>
        <v>0</v>
      </c>
    </row>
    <row r="90" ht="12.75" customHeight="1">
      <c r="A90" s="18"/>
      <c r="B90" s="56"/>
      <c r="C90" s="57"/>
      <c r="D90" s="62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3">
        <f t="shared" si="20"/>
        <v>0</v>
      </c>
    </row>
    <row r="91" ht="12.75" customHeight="1">
      <c r="A91" s="19" t="s">
        <v>15</v>
      </c>
      <c r="B91" s="47" t="s">
        <v>47</v>
      </c>
      <c r="C91" s="15"/>
      <c r="D91" s="16"/>
      <c r="E91" s="13">
        <f t="shared" ref="E91:W91" si="21">SUM(E81:E90)</f>
        <v>1</v>
      </c>
      <c r="F91" s="13">
        <f t="shared" si="21"/>
        <v>1</v>
      </c>
      <c r="G91" s="13">
        <f t="shared" si="21"/>
        <v>12</v>
      </c>
      <c r="H91" s="13">
        <f t="shared" si="21"/>
        <v>3</v>
      </c>
      <c r="I91" s="13">
        <f t="shared" si="21"/>
        <v>3</v>
      </c>
      <c r="J91" s="13">
        <f t="shared" si="21"/>
        <v>1</v>
      </c>
      <c r="K91" s="13">
        <f t="shared" si="21"/>
        <v>1</v>
      </c>
      <c r="L91" s="13">
        <f t="shared" si="21"/>
        <v>1</v>
      </c>
      <c r="M91" s="13">
        <f t="shared" si="21"/>
        <v>3</v>
      </c>
      <c r="N91" s="13">
        <f t="shared" si="21"/>
        <v>1</v>
      </c>
      <c r="O91" s="13">
        <f t="shared" si="21"/>
        <v>5</v>
      </c>
      <c r="P91" s="13">
        <f t="shared" si="21"/>
        <v>1</v>
      </c>
      <c r="Q91" s="13">
        <f t="shared" si="21"/>
        <v>2</v>
      </c>
      <c r="R91" s="13">
        <f t="shared" si="21"/>
        <v>2</v>
      </c>
      <c r="S91" s="13">
        <f t="shared" si="21"/>
        <v>14</v>
      </c>
      <c r="T91" s="13">
        <f t="shared" si="21"/>
        <v>6</v>
      </c>
      <c r="U91" s="13">
        <f t="shared" si="21"/>
        <v>14</v>
      </c>
      <c r="V91" s="13">
        <f t="shared" si="21"/>
        <v>10</v>
      </c>
      <c r="W91" s="13">
        <f t="shared" si="21"/>
        <v>81</v>
      </c>
    </row>
    <row r="92" ht="12.75" customHeight="1">
      <c r="A92" s="45"/>
      <c r="B92" s="44"/>
      <c r="C92" s="44"/>
      <c r="D92" s="44"/>
      <c r="E92" s="44"/>
    </row>
    <row r="93" ht="12.75" customHeight="1">
      <c r="A93" s="30" t="s">
        <v>37</v>
      </c>
      <c r="B93" s="47" t="s">
        <v>72</v>
      </c>
      <c r="C93" s="48" t="s">
        <v>73</v>
      </c>
      <c r="D93" s="16"/>
      <c r="E93" s="19">
        <v>2.0</v>
      </c>
      <c r="F93" s="19">
        <v>3.0</v>
      </c>
      <c r="G93" s="19">
        <v>2.0</v>
      </c>
      <c r="H93" s="19">
        <v>2.0</v>
      </c>
      <c r="I93" s="19">
        <v>0.0</v>
      </c>
      <c r="J93" s="19">
        <v>1.0</v>
      </c>
      <c r="K93" s="19">
        <v>2.0</v>
      </c>
      <c r="L93" s="19">
        <v>1.0</v>
      </c>
      <c r="M93" s="19">
        <v>2.0</v>
      </c>
      <c r="N93" s="19">
        <v>0.0</v>
      </c>
      <c r="O93" s="19">
        <v>0.0</v>
      </c>
      <c r="P93" s="19">
        <v>0.0</v>
      </c>
      <c r="Q93" s="19">
        <v>0.0</v>
      </c>
      <c r="R93" s="19">
        <v>3.0</v>
      </c>
      <c r="S93" s="19">
        <v>5.0</v>
      </c>
      <c r="T93" s="19">
        <v>2.0</v>
      </c>
      <c r="U93" s="19">
        <v>0.0</v>
      </c>
      <c r="V93" s="19">
        <v>0.0</v>
      </c>
      <c r="W93" s="13">
        <f t="shared" ref="W93:W102" si="22">SUM(E93:V93)</f>
        <v>25</v>
      </c>
    </row>
    <row r="94" ht="12.75" customHeight="1">
      <c r="A94" s="30" t="s">
        <v>39</v>
      </c>
      <c r="B94" s="55">
        <v>1.0</v>
      </c>
      <c r="C94" s="50" t="s">
        <v>74</v>
      </c>
      <c r="D94" s="60"/>
      <c r="E94" s="19">
        <v>3.0</v>
      </c>
      <c r="F94" s="19">
        <v>3.0</v>
      </c>
      <c r="G94" s="19">
        <v>1.0</v>
      </c>
      <c r="H94" s="19">
        <v>5.0</v>
      </c>
      <c r="I94" s="19">
        <v>4.0</v>
      </c>
      <c r="J94" s="19">
        <v>20.0</v>
      </c>
      <c r="K94" s="19">
        <v>5.0</v>
      </c>
      <c r="L94" s="19">
        <v>8.0</v>
      </c>
      <c r="M94" s="19">
        <v>11.0</v>
      </c>
      <c r="N94" s="19">
        <v>0.0</v>
      </c>
      <c r="O94" s="19">
        <v>2.0</v>
      </c>
      <c r="P94" s="19">
        <v>6.0</v>
      </c>
      <c r="Q94" s="19">
        <v>3.0</v>
      </c>
      <c r="R94" s="19">
        <v>10.0</v>
      </c>
      <c r="S94" s="19">
        <v>30.0</v>
      </c>
      <c r="T94" s="19">
        <v>8.0</v>
      </c>
      <c r="U94" s="19">
        <v>7.0</v>
      </c>
      <c r="V94" s="19">
        <v>1.0</v>
      </c>
      <c r="W94" s="13">
        <f t="shared" si="22"/>
        <v>127</v>
      </c>
    </row>
    <row r="95" ht="12.75" customHeight="1">
      <c r="A95" s="18"/>
      <c r="B95" s="55">
        <v>2.0</v>
      </c>
      <c r="C95" s="50" t="s">
        <v>75</v>
      </c>
      <c r="D95" s="60"/>
      <c r="E95" s="19">
        <v>0.0</v>
      </c>
      <c r="F95" s="19">
        <v>0.0</v>
      </c>
      <c r="G95" s="19">
        <v>5.0</v>
      </c>
      <c r="H95" s="19">
        <v>0.0</v>
      </c>
      <c r="I95" s="19">
        <v>0.0</v>
      </c>
      <c r="J95" s="19">
        <v>0.0</v>
      </c>
      <c r="K95" s="19">
        <v>0.0</v>
      </c>
      <c r="L95" s="19">
        <v>0.0</v>
      </c>
      <c r="M95" s="19">
        <v>1.0</v>
      </c>
      <c r="N95" s="19">
        <v>0.0</v>
      </c>
      <c r="O95" s="19">
        <v>0.0</v>
      </c>
      <c r="P95" s="19">
        <v>0.0</v>
      </c>
      <c r="Q95" s="19">
        <v>1.0</v>
      </c>
      <c r="R95" s="19">
        <v>1.0</v>
      </c>
      <c r="S95" s="19">
        <v>0.0</v>
      </c>
      <c r="T95" s="19">
        <v>17.0</v>
      </c>
      <c r="U95" s="19">
        <v>0.0</v>
      </c>
      <c r="V95" s="19">
        <v>0.0</v>
      </c>
      <c r="W95" s="13">
        <f t="shared" si="22"/>
        <v>25</v>
      </c>
    </row>
    <row r="96" ht="12.75" customHeight="1">
      <c r="A96" s="18"/>
      <c r="B96" s="55">
        <v>3.0</v>
      </c>
      <c r="C96" s="50" t="s">
        <v>76</v>
      </c>
      <c r="D96" s="60"/>
      <c r="E96" s="19">
        <v>0.0</v>
      </c>
      <c r="F96" s="19">
        <v>0.0</v>
      </c>
      <c r="G96" s="19">
        <v>0.0</v>
      </c>
      <c r="H96" s="19">
        <v>0.0</v>
      </c>
      <c r="I96" s="19">
        <v>0.0</v>
      </c>
      <c r="J96" s="19">
        <v>0.0</v>
      </c>
      <c r="K96" s="19">
        <v>0.0</v>
      </c>
      <c r="L96" s="19">
        <v>0.0</v>
      </c>
      <c r="M96" s="19">
        <v>0.0</v>
      </c>
      <c r="N96" s="19">
        <v>0.0</v>
      </c>
      <c r="O96" s="19">
        <v>1.0</v>
      </c>
      <c r="P96" s="19">
        <v>0.0</v>
      </c>
      <c r="Q96" s="19">
        <v>0.0</v>
      </c>
      <c r="R96" s="19">
        <v>2.0</v>
      </c>
      <c r="S96" s="19">
        <v>0.0</v>
      </c>
      <c r="T96" s="19">
        <v>0.0</v>
      </c>
      <c r="U96" s="19">
        <v>0.0</v>
      </c>
      <c r="V96" s="19">
        <v>0.0</v>
      </c>
      <c r="W96" s="13">
        <f t="shared" si="22"/>
        <v>3</v>
      </c>
    </row>
    <row r="97" ht="12.75" customHeight="1">
      <c r="A97" s="18"/>
      <c r="B97" s="55">
        <v>4.0</v>
      </c>
      <c r="C97" s="50" t="s">
        <v>77</v>
      </c>
      <c r="D97" s="60"/>
      <c r="E97" s="19">
        <v>0.0</v>
      </c>
      <c r="F97" s="19">
        <v>0.0</v>
      </c>
      <c r="G97" s="19">
        <v>1.0</v>
      </c>
      <c r="H97" s="19">
        <v>0.0</v>
      </c>
      <c r="I97" s="19">
        <v>0.0</v>
      </c>
      <c r="J97" s="19">
        <v>0.0</v>
      </c>
      <c r="K97" s="19">
        <v>0.0</v>
      </c>
      <c r="L97" s="19">
        <v>0.0</v>
      </c>
      <c r="M97" s="19">
        <v>0.0</v>
      </c>
      <c r="N97" s="19">
        <v>0.0</v>
      </c>
      <c r="O97" s="19">
        <v>0.0</v>
      </c>
      <c r="P97" s="19">
        <v>0.0</v>
      </c>
      <c r="Q97" s="19">
        <v>0.0</v>
      </c>
      <c r="R97" s="19">
        <v>4.0</v>
      </c>
      <c r="S97" s="19">
        <v>0.0</v>
      </c>
      <c r="T97" s="19">
        <v>0.0</v>
      </c>
      <c r="U97" s="19">
        <v>0.0</v>
      </c>
      <c r="V97" s="19">
        <v>1.0</v>
      </c>
      <c r="W97" s="13">
        <f t="shared" si="22"/>
        <v>6</v>
      </c>
    </row>
    <row r="98" ht="12.75" customHeight="1">
      <c r="A98" s="18"/>
      <c r="B98" s="55">
        <v>5.0</v>
      </c>
      <c r="C98" s="50" t="s">
        <v>78</v>
      </c>
      <c r="D98" s="60"/>
      <c r="E98" s="19">
        <v>0.0</v>
      </c>
      <c r="F98" s="19">
        <v>0.0</v>
      </c>
      <c r="G98" s="19">
        <v>1.0</v>
      </c>
      <c r="H98" s="19">
        <v>0.0</v>
      </c>
      <c r="I98" s="19">
        <v>0.0</v>
      </c>
      <c r="J98" s="19">
        <v>0.0</v>
      </c>
      <c r="K98" s="19">
        <v>0.0</v>
      </c>
      <c r="L98" s="19">
        <v>0.0</v>
      </c>
      <c r="M98" s="19">
        <v>0.0</v>
      </c>
      <c r="N98" s="19">
        <v>0.0</v>
      </c>
      <c r="O98" s="19">
        <v>0.0</v>
      </c>
      <c r="P98" s="19">
        <v>0.0</v>
      </c>
      <c r="Q98" s="19">
        <v>1.0</v>
      </c>
      <c r="R98" s="19">
        <v>0.0</v>
      </c>
      <c r="S98" s="19">
        <v>0.0</v>
      </c>
      <c r="T98" s="19">
        <v>0.0</v>
      </c>
      <c r="U98" s="19">
        <v>0.0</v>
      </c>
      <c r="V98" s="19">
        <v>0.0</v>
      </c>
      <c r="W98" s="13">
        <f t="shared" si="22"/>
        <v>2</v>
      </c>
    </row>
    <row r="99" ht="12.75" customHeight="1">
      <c r="A99" s="18"/>
      <c r="B99" s="55">
        <v>6.0</v>
      </c>
      <c r="C99" s="50" t="s">
        <v>79</v>
      </c>
      <c r="D99" s="60"/>
      <c r="E99" s="19">
        <v>0.0</v>
      </c>
      <c r="F99" s="19">
        <v>0.0</v>
      </c>
      <c r="G99" s="19">
        <v>0.0</v>
      </c>
      <c r="H99" s="19">
        <v>0.0</v>
      </c>
      <c r="I99" s="19">
        <v>0.0</v>
      </c>
      <c r="J99" s="19">
        <v>0.0</v>
      </c>
      <c r="K99" s="19">
        <v>0.0</v>
      </c>
      <c r="L99" s="19">
        <v>0.0</v>
      </c>
      <c r="M99" s="19">
        <v>0.0</v>
      </c>
      <c r="N99" s="19">
        <v>0.0</v>
      </c>
      <c r="O99" s="19">
        <v>0.0</v>
      </c>
      <c r="P99" s="19">
        <v>0.0</v>
      </c>
      <c r="Q99" s="19">
        <v>0.0</v>
      </c>
      <c r="R99" s="19">
        <v>0.0</v>
      </c>
      <c r="S99" s="19">
        <v>0.0</v>
      </c>
      <c r="T99" s="19">
        <v>0.0</v>
      </c>
      <c r="U99" s="19">
        <v>0.0</v>
      </c>
      <c r="V99" s="19">
        <v>0.0</v>
      </c>
      <c r="W99" s="13">
        <f t="shared" si="22"/>
        <v>0</v>
      </c>
    </row>
    <row r="100" ht="12.75" customHeight="1">
      <c r="A100" s="18"/>
      <c r="B100" s="55">
        <v>7.0</v>
      </c>
      <c r="C100" s="50" t="s">
        <v>80</v>
      </c>
      <c r="D100" s="60"/>
      <c r="E100" s="19">
        <v>0.0</v>
      </c>
      <c r="F100" s="19">
        <v>0.0</v>
      </c>
      <c r="G100" s="19">
        <v>0.0</v>
      </c>
      <c r="H100" s="19">
        <v>0.0</v>
      </c>
      <c r="I100" s="19">
        <v>0.0</v>
      </c>
      <c r="J100" s="19">
        <v>0.0</v>
      </c>
      <c r="K100" s="19">
        <v>0.0</v>
      </c>
      <c r="L100" s="19">
        <v>0.0</v>
      </c>
      <c r="M100" s="19">
        <v>0.0</v>
      </c>
      <c r="N100" s="19">
        <v>0.0</v>
      </c>
      <c r="O100" s="19">
        <v>0.0</v>
      </c>
      <c r="P100" s="19">
        <v>0.0</v>
      </c>
      <c r="Q100" s="19">
        <v>0.0</v>
      </c>
      <c r="R100" s="19">
        <v>0.0</v>
      </c>
      <c r="S100" s="19">
        <v>0.0</v>
      </c>
      <c r="T100" s="19">
        <v>0.0</v>
      </c>
      <c r="U100" s="19">
        <v>0.0</v>
      </c>
      <c r="V100" s="19">
        <v>0.0</v>
      </c>
      <c r="W100" s="13">
        <f t="shared" si="22"/>
        <v>0</v>
      </c>
    </row>
    <row r="101" ht="12.75" customHeight="1">
      <c r="A101" s="18"/>
      <c r="B101" s="56"/>
      <c r="C101" s="57"/>
      <c r="D101" s="62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3">
        <f t="shared" si="22"/>
        <v>0</v>
      </c>
    </row>
    <row r="102" ht="12.75" customHeight="1">
      <c r="A102" s="18"/>
      <c r="B102" s="56"/>
      <c r="C102" s="57"/>
      <c r="D102" s="62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3">
        <f t="shared" si="22"/>
        <v>0</v>
      </c>
    </row>
    <row r="103" ht="12.75" customHeight="1">
      <c r="A103" s="19" t="s">
        <v>15</v>
      </c>
      <c r="B103" s="47" t="s">
        <v>47</v>
      </c>
      <c r="C103" s="15"/>
      <c r="D103" s="16"/>
      <c r="E103" s="13">
        <f t="shared" ref="E103:W103" si="23">SUM(E93:E102)</f>
        <v>5</v>
      </c>
      <c r="F103" s="13">
        <f t="shared" si="23"/>
        <v>6</v>
      </c>
      <c r="G103" s="13">
        <f t="shared" si="23"/>
        <v>10</v>
      </c>
      <c r="H103" s="13">
        <f t="shared" si="23"/>
        <v>7</v>
      </c>
      <c r="I103" s="13">
        <f t="shared" si="23"/>
        <v>4</v>
      </c>
      <c r="J103" s="13">
        <f t="shared" si="23"/>
        <v>21</v>
      </c>
      <c r="K103" s="13">
        <f t="shared" si="23"/>
        <v>7</v>
      </c>
      <c r="L103" s="13">
        <f t="shared" si="23"/>
        <v>9</v>
      </c>
      <c r="M103" s="13">
        <f t="shared" si="23"/>
        <v>14</v>
      </c>
      <c r="N103" s="13">
        <f t="shared" si="23"/>
        <v>0</v>
      </c>
      <c r="O103" s="13">
        <f t="shared" si="23"/>
        <v>3</v>
      </c>
      <c r="P103" s="13">
        <f t="shared" si="23"/>
        <v>6</v>
      </c>
      <c r="Q103" s="13">
        <f t="shared" si="23"/>
        <v>5</v>
      </c>
      <c r="R103" s="13">
        <f t="shared" si="23"/>
        <v>20</v>
      </c>
      <c r="S103" s="13">
        <f t="shared" si="23"/>
        <v>35</v>
      </c>
      <c r="T103" s="13">
        <f t="shared" si="23"/>
        <v>27</v>
      </c>
      <c r="U103" s="13">
        <f t="shared" si="23"/>
        <v>7</v>
      </c>
      <c r="V103" s="13">
        <f t="shared" si="23"/>
        <v>2</v>
      </c>
      <c r="W103" s="13">
        <f t="shared" si="23"/>
        <v>188</v>
      </c>
    </row>
    <row r="104" ht="12.75" customHeight="1">
      <c r="A104" s="45"/>
      <c r="B104" s="44"/>
      <c r="C104" s="44"/>
      <c r="D104" s="44"/>
      <c r="E104" s="44"/>
      <c r="F104" s="84"/>
      <c r="G104" s="84"/>
      <c r="H104" s="84"/>
      <c r="I104" s="84"/>
      <c r="J104" s="84"/>
      <c r="K104" s="84"/>
      <c r="L104" s="84"/>
      <c r="M104" s="84"/>
      <c r="N104" s="84"/>
      <c r="O104" s="84"/>
      <c r="P104" s="84"/>
      <c r="Q104" s="84"/>
      <c r="R104" s="84"/>
      <c r="S104" s="84"/>
      <c r="T104" s="84"/>
      <c r="U104" s="84"/>
      <c r="V104" s="84"/>
      <c r="W104" s="84"/>
    </row>
    <row r="105" ht="12.75" customHeight="1">
      <c r="A105" s="30" t="s">
        <v>37</v>
      </c>
      <c r="B105" s="47" t="s">
        <v>81</v>
      </c>
      <c r="C105" s="48" t="s">
        <v>82</v>
      </c>
      <c r="D105" s="16"/>
      <c r="E105" s="19">
        <v>0.0</v>
      </c>
      <c r="F105" s="19">
        <v>0.0</v>
      </c>
      <c r="G105" s="19">
        <v>0.0</v>
      </c>
      <c r="H105" s="19">
        <v>0.0</v>
      </c>
      <c r="I105" s="19">
        <v>0.0</v>
      </c>
      <c r="J105" s="19">
        <v>0.0</v>
      </c>
      <c r="K105" s="19">
        <v>0.0</v>
      </c>
      <c r="L105" s="19">
        <v>0.0</v>
      </c>
      <c r="M105" s="19">
        <v>0.0</v>
      </c>
      <c r="N105" s="19">
        <v>0.0</v>
      </c>
      <c r="O105" s="19">
        <v>0.0</v>
      </c>
      <c r="P105" s="19">
        <v>0.0</v>
      </c>
      <c r="Q105" s="19">
        <v>0.0</v>
      </c>
      <c r="R105" s="19">
        <v>1.0</v>
      </c>
      <c r="S105" s="19">
        <v>0.0</v>
      </c>
      <c r="T105" s="19">
        <v>0.0</v>
      </c>
      <c r="U105" s="19">
        <v>0.0</v>
      </c>
      <c r="V105" s="19">
        <v>0.0</v>
      </c>
      <c r="W105" s="13">
        <f t="shared" ref="W105:W114" si="24">SUM(E105:V105)</f>
        <v>1</v>
      </c>
    </row>
    <row r="106" ht="12.75" customHeight="1">
      <c r="A106" s="30" t="s">
        <v>39</v>
      </c>
      <c r="B106" s="55">
        <v>1.0</v>
      </c>
      <c r="C106" s="50" t="s">
        <v>83</v>
      </c>
      <c r="D106" s="60"/>
      <c r="E106" s="19">
        <v>0.0</v>
      </c>
      <c r="F106" s="19">
        <v>2.0</v>
      </c>
      <c r="G106" s="19">
        <v>0.0</v>
      </c>
      <c r="H106" s="19">
        <v>0.0</v>
      </c>
      <c r="I106" s="19">
        <v>0.0</v>
      </c>
      <c r="J106" s="19">
        <v>0.0</v>
      </c>
      <c r="K106" s="19">
        <v>0.0</v>
      </c>
      <c r="L106" s="19">
        <v>0.0</v>
      </c>
      <c r="M106" s="19">
        <v>0.0</v>
      </c>
      <c r="N106" s="19">
        <v>0.0</v>
      </c>
      <c r="O106" s="19">
        <v>0.0</v>
      </c>
      <c r="P106" s="19">
        <v>0.0</v>
      </c>
      <c r="Q106" s="19">
        <v>0.0</v>
      </c>
      <c r="R106" s="19">
        <v>0.0</v>
      </c>
      <c r="S106" s="19">
        <v>1.0</v>
      </c>
      <c r="T106" s="19">
        <v>1.0</v>
      </c>
      <c r="U106" s="19">
        <v>0.0</v>
      </c>
      <c r="V106" s="19">
        <v>0.0</v>
      </c>
      <c r="W106" s="13">
        <f t="shared" si="24"/>
        <v>4</v>
      </c>
    </row>
    <row r="107" ht="12.75" customHeight="1">
      <c r="A107" s="18"/>
      <c r="B107" s="55">
        <v>2.0</v>
      </c>
      <c r="C107" s="50" t="s">
        <v>84</v>
      </c>
      <c r="D107" s="60"/>
      <c r="E107" s="19">
        <v>0.0</v>
      </c>
      <c r="F107" s="19">
        <v>0.0</v>
      </c>
      <c r="G107" s="19">
        <v>0.0</v>
      </c>
      <c r="H107" s="19">
        <v>0.0</v>
      </c>
      <c r="I107" s="19">
        <v>0.0</v>
      </c>
      <c r="J107" s="19">
        <v>0.0</v>
      </c>
      <c r="K107" s="19">
        <v>0.0</v>
      </c>
      <c r="L107" s="19">
        <v>0.0</v>
      </c>
      <c r="M107" s="19">
        <v>0.0</v>
      </c>
      <c r="N107" s="19">
        <v>0.0</v>
      </c>
      <c r="O107" s="19">
        <v>0.0</v>
      </c>
      <c r="P107" s="19">
        <v>0.0</v>
      </c>
      <c r="Q107" s="19">
        <v>0.0</v>
      </c>
      <c r="R107" s="19">
        <v>0.0</v>
      </c>
      <c r="S107" s="19">
        <v>0.0</v>
      </c>
      <c r="T107" s="19">
        <v>0.0</v>
      </c>
      <c r="U107" s="19">
        <v>0.0</v>
      </c>
      <c r="V107" s="19">
        <v>0.0</v>
      </c>
      <c r="W107" s="13">
        <f t="shared" si="24"/>
        <v>0</v>
      </c>
    </row>
    <row r="108" ht="12.75" customHeight="1">
      <c r="A108" s="18"/>
      <c r="B108" s="55">
        <v>3.0</v>
      </c>
      <c r="C108" s="50" t="s">
        <v>85</v>
      </c>
      <c r="D108" s="60"/>
      <c r="E108" s="85">
        <v>0.0</v>
      </c>
      <c r="F108" s="19">
        <v>0.0</v>
      </c>
      <c r="G108" s="19">
        <v>0.0</v>
      </c>
      <c r="H108" s="19">
        <v>0.0</v>
      </c>
      <c r="I108" s="19">
        <v>0.0</v>
      </c>
      <c r="J108" s="19">
        <v>0.0</v>
      </c>
      <c r="K108" s="19">
        <v>0.0</v>
      </c>
      <c r="L108" s="19">
        <v>0.0</v>
      </c>
      <c r="M108" s="19">
        <v>0.0</v>
      </c>
      <c r="N108" s="19">
        <v>0.0</v>
      </c>
      <c r="O108" s="19">
        <v>0.0</v>
      </c>
      <c r="P108" s="19">
        <v>0.0</v>
      </c>
      <c r="Q108" s="19">
        <v>1.0</v>
      </c>
      <c r="R108" s="19">
        <v>0.0</v>
      </c>
      <c r="S108" s="19">
        <v>0.0</v>
      </c>
      <c r="T108" s="19">
        <v>0.0</v>
      </c>
      <c r="U108" s="19">
        <v>0.0</v>
      </c>
      <c r="V108" s="19">
        <v>0.0</v>
      </c>
      <c r="W108" s="13">
        <f t="shared" si="24"/>
        <v>1</v>
      </c>
    </row>
    <row r="109" ht="12.75" customHeight="1">
      <c r="A109" s="18"/>
      <c r="B109" s="55">
        <v>4.0</v>
      </c>
      <c r="C109" s="50" t="s">
        <v>86</v>
      </c>
      <c r="D109" s="60"/>
      <c r="E109" s="85">
        <v>0.0</v>
      </c>
      <c r="F109" s="19">
        <v>0.0</v>
      </c>
      <c r="G109" s="19">
        <v>0.0</v>
      </c>
      <c r="H109" s="19">
        <v>0.0</v>
      </c>
      <c r="I109" s="19">
        <v>1.0</v>
      </c>
      <c r="J109" s="19">
        <v>0.0</v>
      </c>
      <c r="K109" s="19">
        <v>0.0</v>
      </c>
      <c r="L109" s="19">
        <v>0.0</v>
      </c>
      <c r="M109" s="19">
        <v>0.0</v>
      </c>
      <c r="N109" s="19">
        <v>0.0</v>
      </c>
      <c r="O109" s="19">
        <v>0.0</v>
      </c>
      <c r="P109" s="19">
        <v>0.0</v>
      </c>
      <c r="Q109" s="19">
        <v>0.0</v>
      </c>
      <c r="R109" s="19">
        <v>0.0</v>
      </c>
      <c r="S109" s="19">
        <v>0.0</v>
      </c>
      <c r="T109" s="19">
        <v>0.0</v>
      </c>
      <c r="U109" s="19">
        <v>0.0</v>
      </c>
      <c r="V109" s="19">
        <v>0.0</v>
      </c>
      <c r="W109" s="13">
        <f t="shared" si="24"/>
        <v>1</v>
      </c>
    </row>
    <row r="110" ht="12.75" customHeight="1">
      <c r="A110" s="18"/>
      <c r="B110" s="55">
        <v>5.0</v>
      </c>
      <c r="C110" s="50" t="s">
        <v>87</v>
      </c>
      <c r="D110" s="60"/>
      <c r="E110" s="85">
        <v>0.0</v>
      </c>
      <c r="F110" s="19">
        <v>0.0</v>
      </c>
      <c r="G110" s="19">
        <v>0.0</v>
      </c>
      <c r="H110" s="19">
        <v>0.0</v>
      </c>
      <c r="I110" s="19">
        <v>0.0</v>
      </c>
      <c r="J110" s="19">
        <v>0.0</v>
      </c>
      <c r="K110" s="19">
        <v>0.0</v>
      </c>
      <c r="L110" s="19">
        <v>0.0</v>
      </c>
      <c r="M110" s="19">
        <v>0.0</v>
      </c>
      <c r="N110" s="19">
        <v>0.0</v>
      </c>
      <c r="O110" s="19">
        <v>0.0</v>
      </c>
      <c r="P110" s="19">
        <v>0.0</v>
      </c>
      <c r="Q110" s="19">
        <v>0.0</v>
      </c>
      <c r="R110" s="19">
        <v>0.0</v>
      </c>
      <c r="S110" s="19">
        <v>0.0</v>
      </c>
      <c r="T110" s="19">
        <v>0.0</v>
      </c>
      <c r="U110" s="19">
        <v>0.0</v>
      </c>
      <c r="V110" s="19">
        <v>0.0</v>
      </c>
      <c r="W110" s="13">
        <f t="shared" si="24"/>
        <v>0</v>
      </c>
    </row>
    <row r="111" ht="12.75" customHeight="1">
      <c r="A111" s="18"/>
      <c r="B111" s="55">
        <v>6.0</v>
      </c>
      <c r="C111" s="50" t="s">
        <v>88</v>
      </c>
      <c r="D111" s="60"/>
      <c r="E111" s="85">
        <v>0.0</v>
      </c>
      <c r="F111" s="19">
        <v>0.0</v>
      </c>
      <c r="G111" s="19">
        <v>0.0</v>
      </c>
      <c r="H111" s="19">
        <v>0.0</v>
      </c>
      <c r="I111" s="19">
        <v>0.0</v>
      </c>
      <c r="J111" s="19">
        <v>0.0</v>
      </c>
      <c r="K111" s="19">
        <v>0.0</v>
      </c>
      <c r="L111" s="19">
        <v>0.0</v>
      </c>
      <c r="M111" s="19">
        <v>0.0</v>
      </c>
      <c r="N111" s="19">
        <v>0.0</v>
      </c>
      <c r="O111" s="19">
        <v>0.0</v>
      </c>
      <c r="P111" s="19">
        <v>0.0</v>
      </c>
      <c r="Q111" s="19">
        <v>0.0</v>
      </c>
      <c r="R111" s="19">
        <v>0.0</v>
      </c>
      <c r="S111" s="19">
        <v>0.0</v>
      </c>
      <c r="T111" s="19">
        <v>0.0</v>
      </c>
      <c r="U111" s="19">
        <v>0.0</v>
      </c>
      <c r="V111" s="19">
        <v>0.0</v>
      </c>
      <c r="W111" s="13">
        <f t="shared" si="24"/>
        <v>0</v>
      </c>
    </row>
    <row r="112" ht="12.75" customHeight="1">
      <c r="A112" s="18"/>
      <c r="B112" s="55">
        <v>7.0</v>
      </c>
      <c r="C112" s="50" t="s">
        <v>89</v>
      </c>
      <c r="D112" s="60"/>
      <c r="E112" s="85">
        <v>0.0</v>
      </c>
      <c r="F112" s="19">
        <v>0.0</v>
      </c>
      <c r="G112" s="19">
        <v>0.0</v>
      </c>
      <c r="H112" s="19">
        <v>0.0</v>
      </c>
      <c r="I112" s="19">
        <v>0.0</v>
      </c>
      <c r="J112" s="19">
        <v>0.0</v>
      </c>
      <c r="K112" s="19">
        <v>0.0</v>
      </c>
      <c r="L112" s="19">
        <v>0.0</v>
      </c>
      <c r="M112" s="19">
        <v>0.0</v>
      </c>
      <c r="N112" s="19">
        <v>0.0</v>
      </c>
      <c r="O112" s="19">
        <v>0.0</v>
      </c>
      <c r="P112" s="19">
        <v>0.0</v>
      </c>
      <c r="Q112" s="19">
        <v>0.0</v>
      </c>
      <c r="R112" s="19">
        <v>0.0</v>
      </c>
      <c r="S112" s="19">
        <v>0.0</v>
      </c>
      <c r="T112" s="19">
        <v>0.0</v>
      </c>
      <c r="U112" s="19">
        <v>0.0</v>
      </c>
      <c r="V112" s="19">
        <v>0.0</v>
      </c>
      <c r="W112" s="13">
        <f t="shared" si="24"/>
        <v>0</v>
      </c>
    </row>
    <row r="113" ht="12.75" customHeight="1">
      <c r="A113" s="18"/>
      <c r="B113" s="56"/>
      <c r="C113" s="57"/>
      <c r="D113" s="62"/>
      <c r="E113" s="85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3">
        <f t="shared" si="24"/>
        <v>0</v>
      </c>
    </row>
    <row r="114" ht="12.75" customHeight="1">
      <c r="A114" s="18"/>
      <c r="B114" s="56"/>
      <c r="C114" s="57"/>
      <c r="D114" s="62"/>
      <c r="E114" s="85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3">
        <f t="shared" si="24"/>
        <v>0</v>
      </c>
    </row>
    <row r="115" ht="12.75" customHeight="1">
      <c r="A115" s="19" t="s">
        <v>15</v>
      </c>
      <c r="B115" s="47" t="s">
        <v>47</v>
      </c>
      <c r="C115" s="15"/>
      <c r="D115" s="16"/>
      <c r="E115" s="13">
        <f t="shared" ref="E115:W115" si="25">SUM(E105:E114)</f>
        <v>0</v>
      </c>
      <c r="F115" s="13">
        <f t="shared" si="25"/>
        <v>2</v>
      </c>
      <c r="G115" s="13">
        <f t="shared" si="25"/>
        <v>0</v>
      </c>
      <c r="H115" s="13">
        <f t="shared" si="25"/>
        <v>0</v>
      </c>
      <c r="I115" s="13">
        <f t="shared" si="25"/>
        <v>1</v>
      </c>
      <c r="J115" s="13">
        <f t="shared" si="25"/>
        <v>0</v>
      </c>
      <c r="K115" s="13">
        <f t="shared" si="25"/>
        <v>0</v>
      </c>
      <c r="L115" s="13">
        <f t="shared" si="25"/>
        <v>0</v>
      </c>
      <c r="M115" s="13">
        <f t="shared" si="25"/>
        <v>0</v>
      </c>
      <c r="N115" s="13">
        <f t="shared" si="25"/>
        <v>0</v>
      </c>
      <c r="O115" s="13">
        <f t="shared" si="25"/>
        <v>0</v>
      </c>
      <c r="P115" s="13">
        <f t="shared" si="25"/>
        <v>0</v>
      </c>
      <c r="Q115" s="13">
        <f t="shared" si="25"/>
        <v>1</v>
      </c>
      <c r="R115" s="13">
        <f t="shared" si="25"/>
        <v>1</v>
      </c>
      <c r="S115" s="13">
        <f t="shared" si="25"/>
        <v>1</v>
      </c>
      <c r="T115" s="13">
        <f t="shared" si="25"/>
        <v>1</v>
      </c>
      <c r="U115" s="13">
        <f t="shared" si="25"/>
        <v>0</v>
      </c>
      <c r="V115" s="13">
        <f t="shared" si="25"/>
        <v>0</v>
      </c>
      <c r="W115" s="13">
        <f t="shared" si="25"/>
        <v>7</v>
      </c>
    </row>
    <row r="116" ht="12.75" customHeight="1">
      <c r="A116" s="24"/>
      <c r="B116" s="15"/>
      <c r="C116" s="15"/>
      <c r="D116" s="15"/>
      <c r="E116" s="16"/>
      <c r="F116" s="84"/>
      <c r="G116" s="84"/>
      <c r="H116" s="84"/>
      <c r="I116" s="84"/>
      <c r="J116" s="84"/>
      <c r="K116" s="84"/>
      <c r="L116" s="84"/>
      <c r="M116" s="84"/>
      <c r="N116" s="84"/>
      <c r="O116" s="84"/>
      <c r="P116" s="84"/>
      <c r="Q116" s="84"/>
      <c r="R116" s="84"/>
      <c r="S116" s="84"/>
      <c r="T116" s="84"/>
      <c r="U116" s="84"/>
      <c r="V116" s="84"/>
      <c r="W116" s="13"/>
    </row>
    <row r="117" ht="12.75" customHeight="1">
      <c r="A117" s="30" t="s">
        <v>37</v>
      </c>
      <c r="B117" s="47" t="s">
        <v>90</v>
      </c>
      <c r="C117" s="48" t="s">
        <v>91</v>
      </c>
      <c r="D117" s="16"/>
      <c r="E117" s="19">
        <v>0.0</v>
      </c>
      <c r="F117" s="19">
        <v>0.0</v>
      </c>
      <c r="G117" s="19">
        <v>1.0</v>
      </c>
      <c r="H117" s="19">
        <v>2.0</v>
      </c>
      <c r="I117" s="19">
        <v>0.0</v>
      </c>
      <c r="J117" s="19">
        <v>1.0</v>
      </c>
      <c r="K117" s="19">
        <v>0.0</v>
      </c>
      <c r="L117" s="19">
        <v>0.0</v>
      </c>
      <c r="M117" s="19">
        <v>0.0</v>
      </c>
      <c r="N117" s="19">
        <v>0.0</v>
      </c>
      <c r="O117" s="19">
        <v>0.0</v>
      </c>
      <c r="P117" s="19">
        <v>0.0</v>
      </c>
      <c r="Q117" s="19">
        <v>0.0</v>
      </c>
      <c r="R117" s="19">
        <v>0.0</v>
      </c>
      <c r="S117" s="19">
        <v>0.0</v>
      </c>
      <c r="T117" s="19">
        <v>1.0</v>
      </c>
      <c r="U117" s="19">
        <v>1.0</v>
      </c>
      <c r="V117" s="19">
        <v>1.0</v>
      </c>
      <c r="W117" s="13">
        <f t="shared" ref="W117:W126" si="26">SUM(E117:V117)</f>
        <v>7</v>
      </c>
    </row>
    <row r="118" ht="12.75" customHeight="1">
      <c r="A118" s="30" t="s">
        <v>39</v>
      </c>
      <c r="B118" s="55">
        <v>1.0</v>
      </c>
      <c r="C118" s="50" t="s">
        <v>92</v>
      </c>
      <c r="D118" s="60"/>
      <c r="E118" s="19">
        <v>0.0</v>
      </c>
      <c r="F118" s="19">
        <v>0.0</v>
      </c>
      <c r="G118" s="19">
        <v>2.0</v>
      </c>
      <c r="H118" s="19">
        <v>0.0</v>
      </c>
      <c r="I118" s="19">
        <v>0.0</v>
      </c>
      <c r="J118" s="19">
        <v>0.0</v>
      </c>
      <c r="K118" s="19">
        <v>0.0</v>
      </c>
      <c r="L118" s="19">
        <v>0.0</v>
      </c>
      <c r="M118" s="19">
        <v>0.0</v>
      </c>
      <c r="N118" s="19">
        <v>0.0</v>
      </c>
      <c r="O118" s="19">
        <v>0.0</v>
      </c>
      <c r="P118" s="19">
        <v>0.0</v>
      </c>
      <c r="Q118" s="19">
        <v>0.0</v>
      </c>
      <c r="R118" s="19">
        <v>0.0</v>
      </c>
      <c r="S118" s="19">
        <v>0.0</v>
      </c>
      <c r="T118" s="19">
        <v>0.0</v>
      </c>
      <c r="U118" s="19">
        <v>0.0</v>
      </c>
      <c r="V118" s="19">
        <v>0.0</v>
      </c>
      <c r="W118" s="13">
        <f t="shared" si="26"/>
        <v>2</v>
      </c>
    </row>
    <row r="119" ht="12.75" customHeight="1">
      <c r="A119" s="18"/>
      <c r="B119" s="55">
        <v>2.0</v>
      </c>
      <c r="C119" s="50" t="s">
        <v>93</v>
      </c>
      <c r="D119" s="60"/>
      <c r="E119" s="19">
        <v>0.0</v>
      </c>
      <c r="F119" s="19">
        <v>0.0</v>
      </c>
      <c r="G119" s="19">
        <v>0.0</v>
      </c>
      <c r="H119" s="19">
        <v>0.0</v>
      </c>
      <c r="I119" s="19">
        <v>0.0</v>
      </c>
      <c r="J119" s="19">
        <v>0.0</v>
      </c>
      <c r="K119" s="19">
        <v>0.0</v>
      </c>
      <c r="L119" s="19">
        <v>0.0</v>
      </c>
      <c r="M119" s="19">
        <v>0.0</v>
      </c>
      <c r="N119" s="19">
        <v>0.0</v>
      </c>
      <c r="O119" s="19">
        <v>0.0</v>
      </c>
      <c r="P119" s="19">
        <v>0.0</v>
      </c>
      <c r="Q119" s="19">
        <v>0.0</v>
      </c>
      <c r="R119" s="19">
        <v>0.0</v>
      </c>
      <c r="S119" s="19">
        <v>0.0</v>
      </c>
      <c r="T119" s="19">
        <v>0.0</v>
      </c>
      <c r="U119" s="19">
        <v>0.0</v>
      </c>
      <c r="V119" s="19">
        <v>0.0</v>
      </c>
      <c r="W119" s="13">
        <f t="shared" si="26"/>
        <v>0</v>
      </c>
    </row>
    <row r="120" ht="12.75" customHeight="1">
      <c r="A120" s="18"/>
      <c r="B120" s="55">
        <v>3.0</v>
      </c>
      <c r="C120" s="50" t="s">
        <v>94</v>
      </c>
      <c r="D120" s="60"/>
      <c r="E120" s="19">
        <v>0.0</v>
      </c>
      <c r="F120" s="19">
        <v>0.0</v>
      </c>
      <c r="G120" s="19">
        <v>0.0</v>
      </c>
      <c r="H120" s="19">
        <v>0.0</v>
      </c>
      <c r="I120" s="19">
        <v>0.0</v>
      </c>
      <c r="J120" s="19">
        <v>0.0</v>
      </c>
      <c r="K120" s="19">
        <v>0.0</v>
      </c>
      <c r="L120" s="19">
        <v>0.0</v>
      </c>
      <c r="M120" s="19">
        <v>0.0</v>
      </c>
      <c r="N120" s="19">
        <v>0.0</v>
      </c>
      <c r="O120" s="19">
        <v>0.0</v>
      </c>
      <c r="P120" s="19">
        <v>0.0</v>
      </c>
      <c r="Q120" s="19">
        <v>0.0</v>
      </c>
      <c r="R120" s="19">
        <v>1.0</v>
      </c>
      <c r="S120" s="19">
        <v>0.0</v>
      </c>
      <c r="T120" s="19">
        <v>0.0</v>
      </c>
      <c r="U120" s="19">
        <v>0.0</v>
      </c>
      <c r="V120" s="19">
        <v>1.0</v>
      </c>
      <c r="W120" s="13">
        <f t="shared" si="26"/>
        <v>2</v>
      </c>
    </row>
    <row r="121" ht="12.75" customHeight="1">
      <c r="A121" s="18"/>
      <c r="B121" s="56"/>
      <c r="C121" s="57"/>
      <c r="D121" s="62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3">
        <f t="shared" si="26"/>
        <v>0</v>
      </c>
    </row>
    <row r="122" ht="12.75" customHeight="1">
      <c r="A122" s="18"/>
      <c r="B122" s="56"/>
      <c r="C122" s="57"/>
      <c r="D122" s="62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3">
        <f t="shared" si="26"/>
        <v>0</v>
      </c>
    </row>
    <row r="123" ht="12.75" customHeight="1">
      <c r="A123" s="18"/>
      <c r="B123" s="56"/>
      <c r="C123" s="57"/>
      <c r="D123" s="62"/>
      <c r="E123" s="63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13">
        <f t="shared" si="26"/>
        <v>0</v>
      </c>
    </row>
    <row r="124" ht="12.75" customHeight="1">
      <c r="A124" s="18"/>
      <c r="B124" s="56"/>
      <c r="C124" s="57"/>
      <c r="D124" s="62"/>
      <c r="E124" s="63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13">
        <f t="shared" si="26"/>
        <v>0</v>
      </c>
    </row>
    <row r="125" ht="12.75" customHeight="1">
      <c r="A125" s="18"/>
      <c r="B125" s="56"/>
      <c r="C125" s="57"/>
      <c r="D125" s="62"/>
      <c r="E125" s="63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13">
        <f t="shared" si="26"/>
        <v>0</v>
      </c>
    </row>
    <row r="126" ht="12.75" customHeight="1">
      <c r="A126" s="18"/>
      <c r="B126" s="56"/>
      <c r="C126" s="57"/>
      <c r="D126" s="62"/>
      <c r="E126" s="63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13">
        <f t="shared" si="26"/>
        <v>0</v>
      </c>
    </row>
    <row r="127" ht="12.75" customHeight="1">
      <c r="A127" s="19" t="s">
        <v>15</v>
      </c>
      <c r="B127" s="47" t="s">
        <v>47</v>
      </c>
      <c r="C127" s="15"/>
      <c r="D127" s="16"/>
      <c r="E127" s="13">
        <f t="shared" ref="E127:W127" si="27">SUM(E117:E126)</f>
        <v>0</v>
      </c>
      <c r="F127" s="13">
        <f t="shared" si="27"/>
        <v>0</v>
      </c>
      <c r="G127" s="13">
        <f t="shared" si="27"/>
        <v>3</v>
      </c>
      <c r="H127" s="13">
        <f t="shared" si="27"/>
        <v>2</v>
      </c>
      <c r="I127" s="13">
        <f t="shared" si="27"/>
        <v>0</v>
      </c>
      <c r="J127" s="13">
        <f t="shared" si="27"/>
        <v>1</v>
      </c>
      <c r="K127" s="13">
        <f t="shared" si="27"/>
        <v>0</v>
      </c>
      <c r="L127" s="13">
        <f t="shared" si="27"/>
        <v>0</v>
      </c>
      <c r="M127" s="13">
        <f t="shared" si="27"/>
        <v>0</v>
      </c>
      <c r="N127" s="13">
        <f t="shared" si="27"/>
        <v>0</v>
      </c>
      <c r="O127" s="13">
        <f t="shared" si="27"/>
        <v>0</v>
      </c>
      <c r="P127" s="13">
        <f t="shared" si="27"/>
        <v>0</v>
      </c>
      <c r="Q127" s="13">
        <f t="shared" si="27"/>
        <v>0</v>
      </c>
      <c r="R127" s="13">
        <f t="shared" si="27"/>
        <v>1</v>
      </c>
      <c r="S127" s="13">
        <f t="shared" si="27"/>
        <v>0</v>
      </c>
      <c r="T127" s="13">
        <f t="shared" si="27"/>
        <v>1</v>
      </c>
      <c r="U127" s="13">
        <f t="shared" si="27"/>
        <v>1</v>
      </c>
      <c r="V127" s="13">
        <f t="shared" si="27"/>
        <v>2</v>
      </c>
      <c r="W127" s="13">
        <f t="shared" si="27"/>
        <v>11</v>
      </c>
    </row>
    <row r="128" ht="12.75" customHeight="1">
      <c r="A128" s="24"/>
      <c r="B128" s="15"/>
      <c r="C128" s="15"/>
      <c r="D128" s="15"/>
      <c r="E128" s="16"/>
      <c r="F128" s="84"/>
      <c r="G128" s="84"/>
      <c r="H128" s="84"/>
      <c r="I128" s="84"/>
      <c r="J128" s="84"/>
      <c r="K128" s="84"/>
      <c r="L128" s="84"/>
      <c r="M128" s="84"/>
      <c r="N128" s="84"/>
      <c r="O128" s="84"/>
      <c r="P128" s="84"/>
      <c r="Q128" s="84"/>
      <c r="R128" s="84"/>
      <c r="S128" s="84"/>
      <c r="T128" s="84"/>
      <c r="U128" s="84"/>
      <c r="V128" s="84"/>
      <c r="W128" s="84"/>
    </row>
    <row r="129" ht="12.75" customHeight="1">
      <c r="A129" s="30" t="s">
        <v>37</v>
      </c>
      <c r="B129" s="47" t="s">
        <v>95</v>
      </c>
      <c r="C129" s="48" t="s">
        <v>96</v>
      </c>
      <c r="D129" s="16"/>
      <c r="E129" s="19">
        <v>0.0</v>
      </c>
      <c r="F129" s="19">
        <v>0.0</v>
      </c>
      <c r="G129" s="19">
        <v>0.0</v>
      </c>
      <c r="H129" s="19">
        <v>0.0</v>
      </c>
      <c r="I129" s="19">
        <v>1.0</v>
      </c>
      <c r="J129" s="19">
        <v>0.0</v>
      </c>
      <c r="K129" s="19">
        <v>0.0</v>
      </c>
      <c r="L129" s="19">
        <v>0.0</v>
      </c>
      <c r="M129" s="19">
        <v>0.0</v>
      </c>
      <c r="N129" s="19">
        <v>0.0</v>
      </c>
      <c r="O129" s="19">
        <v>0.0</v>
      </c>
      <c r="P129" s="19">
        <v>0.0</v>
      </c>
      <c r="Q129" s="19">
        <v>1.0</v>
      </c>
      <c r="R129" s="19">
        <v>2.0</v>
      </c>
      <c r="S129" s="19">
        <v>1.0</v>
      </c>
      <c r="T129" s="19">
        <v>0.0</v>
      </c>
      <c r="U129" s="19">
        <v>0.0</v>
      </c>
      <c r="V129" s="19">
        <v>0.0</v>
      </c>
      <c r="W129" s="13">
        <f t="shared" ref="W129:W138" si="28">SUM(E129:V129)</f>
        <v>5</v>
      </c>
    </row>
    <row r="130" ht="12.75" customHeight="1">
      <c r="A130" s="30" t="s">
        <v>39</v>
      </c>
      <c r="B130" s="55">
        <v>1.0</v>
      </c>
      <c r="C130" s="50" t="s">
        <v>97</v>
      </c>
      <c r="D130" s="59"/>
      <c r="E130" s="19">
        <v>2.0</v>
      </c>
      <c r="F130" s="19">
        <v>2.0</v>
      </c>
      <c r="G130" s="19">
        <v>0.0</v>
      </c>
      <c r="H130" s="19">
        <v>0.0</v>
      </c>
      <c r="I130" s="19">
        <v>0.0</v>
      </c>
      <c r="J130" s="19">
        <v>0.0</v>
      </c>
      <c r="K130" s="19">
        <v>0.0</v>
      </c>
      <c r="L130" s="19">
        <v>1.0</v>
      </c>
      <c r="M130" s="19">
        <v>0.0</v>
      </c>
      <c r="N130" s="19">
        <v>0.0</v>
      </c>
      <c r="O130" s="19">
        <v>0.0</v>
      </c>
      <c r="P130" s="19">
        <v>1.0</v>
      </c>
      <c r="Q130" s="19">
        <v>0.0</v>
      </c>
      <c r="R130" s="19">
        <v>0.0</v>
      </c>
      <c r="S130" s="19">
        <v>1.0</v>
      </c>
      <c r="T130" s="19">
        <v>0.0</v>
      </c>
      <c r="U130" s="19">
        <v>0.0</v>
      </c>
      <c r="V130" s="19">
        <v>0.0</v>
      </c>
      <c r="W130" s="13">
        <f t="shared" si="28"/>
        <v>7</v>
      </c>
    </row>
    <row r="131" ht="12.75" customHeight="1">
      <c r="A131" s="18"/>
      <c r="B131" s="55">
        <v>2.0</v>
      </c>
      <c r="C131" s="50" t="s">
        <v>98</v>
      </c>
      <c r="D131" s="59"/>
      <c r="E131" s="19">
        <v>0.0</v>
      </c>
      <c r="F131" s="19">
        <v>1.0</v>
      </c>
      <c r="G131" s="19">
        <v>0.0</v>
      </c>
      <c r="H131" s="19">
        <v>0.0</v>
      </c>
      <c r="I131" s="19">
        <v>0.0</v>
      </c>
      <c r="J131" s="19">
        <v>0.0</v>
      </c>
      <c r="K131" s="19">
        <v>0.0</v>
      </c>
      <c r="L131" s="19">
        <v>0.0</v>
      </c>
      <c r="M131" s="19">
        <v>0.0</v>
      </c>
      <c r="N131" s="19">
        <v>0.0</v>
      </c>
      <c r="O131" s="19">
        <v>0.0</v>
      </c>
      <c r="P131" s="19">
        <v>0.0</v>
      </c>
      <c r="Q131" s="19">
        <v>0.0</v>
      </c>
      <c r="R131" s="19">
        <v>0.0</v>
      </c>
      <c r="S131" s="19">
        <v>2.0</v>
      </c>
      <c r="T131" s="19">
        <v>0.0</v>
      </c>
      <c r="U131" s="19">
        <v>0.0</v>
      </c>
      <c r="V131" s="19">
        <v>0.0</v>
      </c>
      <c r="W131" s="13">
        <f t="shared" si="28"/>
        <v>3</v>
      </c>
    </row>
    <row r="132" ht="12.75" customHeight="1">
      <c r="A132" s="18"/>
      <c r="B132" s="55">
        <v>3.0</v>
      </c>
      <c r="C132" s="50" t="s">
        <v>99</v>
      </c>
      <c r="D132" s="59"/>
      <c r="E132" s="19">
        <v>1.0</v>
      </c>
      <c r="F132" s="19">
        <v>0.0</v>
      </c>
      <c r="G132" s="19">
        <v>1.0</v>
      </c>
      <c r="H132" s="19">
        <v>0.0</v>
      </c>
      <c r="I132" s="19">
        <v>0.0</v>
      </c>
      <c r="J132" s="19">
        <v>2.0</v>
      </c>
      <c r="K132" s="19">
        <v>0.0</v>
      </c>
      <c r="L132" s="19">
        <v>0.0</v>
      </c>
      <c r="M132" s="19">
        <v>0.0</v>
      </c>
      <c r="N132" s="19">
        <v>0.0</v>
      </c>
      <c r="O132" s="19">
        <v>0.0</v>
      </c>
      <c r="P132" s="19">
        <v>0.0</v>
      </c>
      <c r="Q132" s="19">
        <v>0.0</v>
      </c>
      <c r="R132" s="19">
        <v>0.0</v>
      </c>
      <c r="S132" s="19">
        <v>0.0</v>
      </c>
      <c r="T132" s="19">
        <v>0.0</v>
      </c>
      <c r="U132" s="19">
        <v>0.0</v>
      </c>
      <c r="V132" s="19">
        <v>0.0</v>
      </c>
      <c r="W132" s="13">
        <f t="shared" si="28"/>
        <v>4</v>
      </c>
    </row>
    <row r="133" ht="12.75" customHeight="1">
      <c r="A133" s="18"/>
      <c r="B133" s="55">
        <v>4.0</v>
      </c>
      <c r="C133" s="50" t="s">
        <v>100</v>
      </c>
      <c r="D133" s="59"/>
      <c r="E133" s="19">
        <v>0.0</v>
      </c>
      <c r="F133" s="19">
        <v>0.0</v>
      </c>
      <c r="G133" s="19">
        <v>0.0</v>
      </c>
      <c r="H133" s="19">
        <v>0.0</v>
      </c>
      <c r="I133" s="19">
        <v>0.0</v>
      </c>
      <c r="J133" s="19">
        <v>0.0</v>
      </c>
      <c r="K133" s="19">
        <v>0.0</v>
      </c>
      <c r="L133" s="19">
        <v>0.0</v>
      </c>
      <c r="M133" s="19">
        <v>0.0</v>
      </c>
      <c r="N133" s="19">
        <v>0.0</v>
      </c>
      <c r="O133" s="19">
        <v>0.0</v>
      </c>
      <c r="P133" s="19">
        <v>0.0</v>
      </c>
      <c r="Q133" s="19">
        <v>0.0</v>
      </c>
      <c r="R133" s="19">
        <v>0.0</v>
      </c>
      <c r="S133" s="19">
        <v>0.0</v>
      </c>
      <c r="T133" s="19">
        <v>0.0</v>
      </c>
      <c r="U133" s="19">
        <v>0.0</v>
      </c>
      <c r="V133" s="19">
        <v>0.0</v>
      </c>
      <c r="W133" s="13">
        <f t="shared" si="28"/>
        <v>0</v>
      </c>
    </row>
    <row r="134" ht="12.75" customHeight="1">
      <c r="A134" s="18"/>
      <c r="B134" s="55">
        <v>5.0</v>
      </c>
      <c r="C134" s="50" t="s">
        <v>101</v>
      </c>
      <c r="D134" s="59"/>
      <c r="E134" s="19">
        <v>0.0</v>
      </c>
      <c r="F134" s="19">
        <v>0.0</v>
      </c>
      <c r="G134" s="19">
        <v>0.0</v>
      </c>
      <c r="H134" s="19">
        <v>0.0</v>
      </c>
      <c r="I134" s="19">
        <v>0.0</v>
      </c>
      <c r="J134" s="19">
        <v>0.0</v>
      </c>
      <c r="K134" s="19">
        <v>0.0</v>
      </c>
      <c r="L134" s="19">
        <v>0.0</v>
      </c>
      <c r="M134" s="19">
        <v>0.0</v>
      </c>
      <c r="N134" s="19">
        <v>0.0</v>
      </c>
      <c r="O134" s="19">
        <v>0.0</v>
      </c>
      <c r="P134" s="19">
        <v>0.0</v>
      </c>
      <c r="Q134" s="19">
        <v>0.0</v>
      </c>
      <c r="R134" s="19">
        <v>0.0</v>
      </c>
      <c r="S134" s="19">
        <v>1.0</v>
      </c>
      <c r="T134" s="19">
        <v>0.0</v>
      </c>
      <c r="U134" s="19">
        <v>0.0</v>
      </c>
      <c r="V134" s="19">
        <v>0.0</v>
      </c>
      <c r="W134" s="13">
        <f t="shared" si="28"/>
        <v>1</v>
      </c>
    </row>
    <row r="135" ht="12.75" customHeight="1">
      <c r="A135" s="18"/>
      <c r="B135" s="55">
        <v>6.0</v>
      </c>
      <c r="C135" s="50" t="s">
        <v>102</v>
      </c>
      <c r="D135" s="60"/>
      <c r="E135" s="19">
        <v>0.0</v>
      </c>
      <c r="F135" s="19">
        <v>0.0</v>
      </c>
      <c r="G135" s="19">
        <v>0.0</v>
      </c>
      <c r="H135" s="19">
        <v>0.0</v>
      </c>
      <c r="I135" s="19">
        <v>0.0</v>
      </c>
      <c r="J135" s="19">
        <v>0.0</v>
      </c>
      <c r="K135" s="19">
        <v>0.0</v>
      </c>
      <c r="L135" s="19">
        <v>0.0</v>
      </c>
      <c r="M135" s="19">
        <v>0.0</v>
      </c>
      <c r="N135" s="19">
        <v>0.0</v>
      </c>
      <c r="O135" s="19">
        <v>0.0</v>
      </c>
      <c r="P135" s="19">
        <v>0.0</v>
      </c>
      <c r="Q135" s="19">
        <v>0.0</v>
      </c>
      <c r="R135" s="19">
        <v>0.0</v>
      </c>
      <c r="S135" s="19">
        <v>0.0</v>
      </c>
      <c r="T135" s="19">
        <v>0.0</v>
      </c>
      <c r="U135" s="19">
        <v>0.0</v>
      </c>
      <c r="V135" s="19">
        <v>0.0</v>
      </c>
      <c r="W135" s="13">
        <f t="shared" si="28"/>
        <v>0</v>
      </c>
    </row>
    <row r="136" ht="12.75" customHeight="1">
      <c r="A136" s="18"/>
      <c r="B136" s="55">
        <v>7.0</v>
      </c>
      <c r="C136" s="50" t="s">
        <v>103</v>
      </c>
      <c r="D136" s="59"/>
      <c r="E136" s="19">
        <v>0.0</v>
      </c>
      <c r="F136" s="19">
        <v>0.0</v>
      </c>
      <c r="G136" s="19">
        <v>0.0</v>
      </c>
      <c r="H136" s="19">
        <v>0.0</v>
      </c>
      <c r="I136" s="19">
        <v>0.0</v>
      </c>
      <c r="J136" s="19">
        <v>0.0</v>
      </c>
      <c r="K136" s="19">
        <v>0.0</v>
      </c>
      <c r="L136" s="19">
        <v>0.0</v>
      </c>
      <c r="M136" s="19">
        <v>0.0</v>
      </c>
      <c r="N136" s="19">
        <v>0.0</v>
      </c>
      <c r="O136" s="19">
        <v>0.0</v>
      </c>
      <c r="P136" s="19">
        <v>0.0</v>
      </c>
      <c r="Q136" s="19">
        <v>0.0</v>
      </c>
      <c r="R136" s="19">
        <v>0.0</v>
      </c>
      <c r="S136" s="19">
        <v>0.0</v>
      </c>
      <c r="T136" s="19">
        <v>0.0</v>
      </c>
      <c r="U136" s="19">
        <v>0.0</v>
      </c>
      <c r="V136" s="19">
        <v>0.0</v>
      </c>
      <c r="W136" s="13">
        <f t="shared" si="28"/>
        <v>0</v>
      </c>
    </row>
    <row r="137" ht="12.75" customHeight="1">
      <c r="A137" s="18"/>
      <c r="B137" s="56"/>
      <c r="C137" s="57"/>
      <c r="D137" s="61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3">
        <f t="shared" si="28"/>
        <v>0</v>
      </c>
    </row>
    <row r="138" ht="12.75" customHeight="1">
      <c r="A138" s="18"/>
      <c r="B138" s="56"/>
      <c r="C138" s="57"/>
      <c r="D138" s="61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3">
        <f t="shared" si="28"/>
        <v>0</v>
      </c>
    </row>
    <row r="139" ht="12.75" customHeight="1">
      <c r="A139" s="19" t="s">
        <v>15</v>
      </c>
      <c r="B139" s="47" t="s">
        <v>47</v>
      </c>
      <c r="C139" s="15"/>
      <c r="D139" s="16"/>
      <c r="E139" s="13">
        <f t="shared" ref="E139:W139" si="29">SUM(E129:E138)</f>
        <v>3</v>
      </c>
      <c r="F139" s="13">
        <f t="shared" si="29"/>
        <v>3</v>
      </c>
      <c r="G139" s="13">
        <f t="shared" si="29"/>
        <v>1</v>
      </c>
      <c r="H139" s="13">
        <f t="shared" si="29"/>
        <v>0</v>
      </c>
      <c r="I139" s="13">
        <f t="shared" si="29"/>
        <v>1</v>
      </c>
      <c r="J139" s="13">
        <f t="shared" si="29"/>
        <v>2</v>
      </c>
      <c r="K139" s="13">
        <f t="shared" si="29"/>
        <v>0</v>
      </c>
      <c r="L139" s="13">
        <f t="shared" si="29"/>
        <v>1</v>
      </c>
      <c r="M139" s="13">
        <f t="shared" si="29"/>
        <v>0</v>
      </c>
      <c r="N139" s="13">
        <f t="shared" si="29"/>
        <v>0</v>
      </c>
      <c r="O139" s="13">
        <f t="shared" si="29"/>
        <v>0</v>
      </c>
      <c r="P139" s="13">
        <f t="shared" si="29"/>
        <v>1</v>
      </c>
      <c r="Q139" s="13">
        <f t="shared" si="29"/>
        <v>1</v>
      </c>
      <c r="R139" s="13">
        <f t="shared" si="29"/>
        <v>2</v>
      </c>
      <c r="S139" s="13">
        <f t="shared" si="29"/>
        <v>5</v>
      </c>
      <c r="T139" s="13">
        <f t="shared" si="29"/>
        <v>0</v>
      </c>
      <c r="U139" s="13">
        <f t="shared" si="29"/>
        <v>0</v>
      </c>
      <c r="V139" s="13">
        <f t="shared" si="29"/>
        <v>0</v>
      </c>
      <c r="W139" s="13">
        <f t="shared" si="29"/>
        <v>20</v>
      </c>
    </row>
    <row r="140" ht="12.75" customHeight="1">
      <c r="A140" s="24"/>
      <c r="B140" s="15"/>
      <c r="C140" s="15"/>
      <c r="D140" s="15"/>
      <c r="E140" s="16"/>
      <c r="F140" s="84"/>
      <c r="G140" s="84"/>
      <c r="H140" s="84"/>
      <c r="I140" s="84"/>
      <c r="J140" s="84"/>
      <c r="K140" s="84"/>
      <c r="L140" s="84"/>
      <c r="M140" s="84"/>
      <c r="N140" s="84"/>
      <c r="O140" s="84"/>
      <c r="P140" s="84"/>
      <c r="Q140" s="84"/>
      <c r="R140" s="84"/>
      <c r="S140" s="84"/>
      <c r="T140" s="84"/>
      <c r="U140" s="84"/>
      <c r="V140" s="84"/>
      <c r="W140" s="84"/>
    </row>
    <row r="141" ht="12.75" customHeight="1">
      <c r="A141" s="30" t="s">
        <v>37</v>
      </c>
      <c r="B141" s="47" t="s">
        <v>104</v>
      </c>
      <c r="C141" s="48" t="s">
        <v>105</v>
      </c>
      <c r="D141" s="16"/>
      <c r="E141" s="19">
        <v>0.0</v>
      </c>
      <c r="F141" s="19">
        <v>0.0</v>
      </c>
      <c r="G141" s="19">
        <v>0.0</v>
      </c>
      <c r="H141" s="19">
        <v>0.0</v>
      </c>
      <c r="I141" s="19">
        <v>0.0</v>
      </c>
      <c r="J141" s="19">
        <v>0.0</v>
      </c>
      <c r="K141" s="19">
        <v>0.0</v>
      </c>
      <c r="L141" s="19">
        <v>0.0</v>
      </c>
      <c r="M141" s="19">
        <v>0.0</v>
      </c>
      <c r="N141" s="19">
        <v>0.0</v>
      </c>
      <c r="O141" s="19">
        <v>0.0</v>
      </c>
      <c r="P141" s="19">
        <v>0.0</v>
      </c>
      <c r="Q141" s="19">
        <v>0.0</v>
      </c>
      <c r="R141" s="19">
        <v>1.0</v>
      </c>
      <c r="S141" s="19">
        <v>0.0</v>
      </c>
      <c r="T141" s="19">
        <v>0.0</v>
      </c>
      <c r="U141" s="19">
        <v>0.0</v>
      </c>
      <c r="V141" s="19">
        <v>0.0</v>
      </c>
      <c r="W141" s="13">
        <f t="shared" ref="W141:W150" si="30">SUM(E141:V141)</f>
        <v>1</v>
      </c>
    </row>
    <row r="142" ht="12.75" customHeight="1">
      <c r="A142" s="30" t="s">
        <v>39</v>
      </c>
      <c r="B142" s="55">
        <v>1.0</v>
      </c>
      <c r="C142" s="50" t="s">
        <v>106</v>
      </c>
      <c r="D142" s="60"/>
      <c r="E142" s="19">
        <v>1.0</v>
      </c>
      <c r="F142" s="19">
        <v>0.0</v>
      </c>
      <c r="G142" s="19">
        <v>0.0</v>
      </c>
      <c r="H142" s="19">
        <v>0.0</v>
      </c>
      <c r="I142" s="19">
        <v>0.0</v>
      </c>
      <c r="J142" s="19">
        <v>0.0</v>
      </c>
      <c r="K142" s="19">
        <v>0.0</v>
      </c>
      <c r="L142" s="19">
        <v>0.0</v>
      </c>
      <c r="M142" s="19">
        <v>0.0</v>
      </c>
      <c r="N142" s="19">
        <v>0.0</v>
      </c>
      <c r="O142" s="19">
        <v>0.0</v>
      </c>
      <c r="P142" s="19">
        <v>0.0</v>
      </c>
      <c r="Q142" s="19">
        <v>0.0</v>
      </c>
      <c r="R142" s="19">
        <v>0.0</v>
      </c>
      <c r="S142" s="19">
        <v>0.0</v>
      </c>
      <c r="T142" s="19">
        <v>0.0</v>
      </c>
      <c r="U142" s="19">
        <v>0.0</v>
      </c>
      <c r="V142" s="19">
        <v>0.0</v>
      </c>
      <c r="W142" s="13">
        <f t="shared" si="30"/>
        <v>1</v>
      </c>
    </row>
    <row r="143" ht="12.75" customHeight="1">
      <c r="A143" s="18"/>
      <c r="B143" s="55">
        <v>2.0</v>
      </c>
      <c r="C143" s="50" t="s">
        <v>107</v>
      </c>
      <c r="D143" s="60"/>
      <c r="E143" s="19">
        <v>0.0</v>
      </c>
      <c r="F143" s="19">
        <v>0.0</v>
      </c>
      <c r="G143" s="19">
        <v>0.0</v>
      </c>
      <c r="H143" s="19">
        <v>0.0</v>
      </c>
      <c r="I143" s="19">
        <v>0.0</v>
      </c>
      <c r="J143" s="19">
        <v>0.0</v>
      </c>
      <c r="K143" s="19">
        <v>1.0</v>
      </c>
      <c r="L143" s="19">
        <v>0.0</v>
      </c>
      <c r="M143" s="19">
        <v>0.0</v>
      </c>
      <c r="N143" s="19">
        <v>0.0</v>
      </c>
      <c r="O143" s="19">
        <v>0.0</v>
      </c>
      <c r="P143" s="19">
        <v>0.0</v>
      </c>
      <c r="Q143" s="19">
        <v>0.0</v>
      </c>
      <c r="R143" s="19">
        <v>0.0</v>
      </c>
      <c r="S143" s="19">
        <v>0.0</v>
      </c>
      <c r="T143" s="19">
        <v>0.0</v>
      </c>
      <c r="U143" s="19">
        <v>0.0</v>
      </c>
      <c r="V143" s="19">
        <v>0.0</v>
      </c>
      <c r="W143" s="13">
        <f t="shared" si="30"/>
        <v>1</v>
      </c>
    </row>
    <row r="144" ht="12.75" customHeight="1">
      <c r="A144" s="18"/>
      <c r="B144" s="55">
        <v>3.0</v>
      </c>
      <c r="C144" s="50" t="s">
        <v>108</v>
      </c>
      <c r="D144" s="60"/>
      <c r="E144" s="19">
        <v>0.0</v>
      </c>
      <c r="F144" s="19">
        <v>0.0</v>
      </c>
      <c r="G144" s="19">
        <v>0.0</v>
      </c>
      <c r="H144" s="19">
        <v>0.0</v>
      </c>
      <c r="I144" s="19">
        <v>0.0</v>
      </c>
      <c r="J144" s="19">
        <v>0.0</v>
      </c>
      <c r="K144" s="19">
        <v>0.0</v>
      </c>
      <c r="L144" s="19">
        <v>0.0</v>
      </c>
      <c r="M144" s="19">
        <v>0.0</v>
      </c>
      <c r="N144" s="19">
        <v>0.0</v>
      </c>
      <c r="O144" s="19">
        <v>0.0</v>
      </c>
      <c r="P144" s="19">
        <v>0.0</v>
      </c>
      <c r="Q144" s="19">
        <v>0.0</v>
      </c>
      <c r="R144" s="19">
        <v>0.0</v>
      </c>
      <c r="S144" s="19">
        <v>0.0</v>
      </c>
      <c r="T144" s="19">
        <v>0.0</v>
      </c>
      <c r="U144" s="19">
        <v>0.0</v>
      </c>
      <c r="V144" s="19">
        <v>0.0</v>
      </c>
      <c r="W144" s="13">
        <f t="shared" si="30"/>
        <v>0</v>
      </c>
    </row>
    <row r="145" ht="12.75" customHeight="1">
      <c r="A145" s="18"/>
      <c r="B145" s="55">
        <v>4.0</v>
      </c>
      <c r="C145" s="50" t="s">
        <v>109</v>
      </c>
      <c r="D145" s="60"/>
      <c r="E145" s="19">
        <v>0.0</v>
      </c>
      <c r="F145" s="19">
        <v>0.0</v>
      </c>
      <c r="G145" s="19">
        <v>0.0</v>
      </c>
      <c r="H145" s="19">
        <v>0.0</v>
      </c>
      <c r="I145" s="19">
        <v>0.0</v>
      </c>
      <c r="J145" s="19">
        <v>0.0</v>
      </c>
      <c r="K145" s="19">
        <v>0.0</v>
      </c>
      <c r="L145" s="19">
        <v>0.0</v>
      </c>
      <c r="M145" s="19">
        <v>0.0</v>
      </c>
      <c r="N145" s="19">
        <v>0.0</v>
      </c>
      <c r="O145" s="19">
        <v>0.0</v>
      </c>
      <c r="P145" s="19">
        <v>0.0</v>
      </c>
      <c r="Q145" s="19">
        <v>0.0</v>
      </c>
      <c r="R145" s="19">
        <v>0.0</v>
      </c>
      <c r="S145" s="19">
        <v>0.0</v>
      </c>
      <c r="T145" s="19">
        <v>0.0</v>
      </c>
      <c r="U145" s="19">
        <v>0.0</v>
      </c>
      <c r="V145" s="19">
        <v>0.0</v>
      </c>
      <c r="W145" s="13">
        <f t="shared" si="30"/>
        <v>0</v>
      </c>
    </row>
    <row r="146" ht="12.75" customHeight="1">
      <c r="A146" s="18"/>
      <c r="B146" s="55">
        <v>5.0</v>
      </c>
      <c r="C146" s="50" t="s">
        <v>110</v>
      </c>
      <c r="D146" s="60"/>
      <c r="E146" s="19">
        <v>0.0</v>
      </c>
      <c r="F146" s="19">
        <v>0.0</v>
      </c>
      <c r="G146" s="19">
        <v>0.0</v>
      </c>
      <c r="H146" s="19">
        <v>0.0</v>
      </c>
      <c r="I146" s="19">
        <v>0.0</v>
      </c>
      <c r="J146" s="19">
        <v>0.0</v>
      </c>
      <c r="K146" s="19">
        <v>0.0</v>
      </c>
      <c r="L146" s="19">
        <v>0.0</v>
      </c>
      <c r="M146" s="19">
        <v>0.0</v>
      </c>
      <c r="N146" s="19">
        <v>0.0</v>
      </c>
      <c r="O146" s="19">
        <v>0.0</v>
      </c>
      <c r="P146" s="19">
        <v>0.0</v>
      </c>
      <c r="Q146" s="19">
        <v>0.0</v>
      </c>
      <c r="R146" s="19">
        <v>0.0</v>
      </c>
      <c r="S146" s="19">
        <v>0.0</v>
      </c>
      <c r="T146" s="19">
        <v>0.0</v>
      </c>
      <c r="U146" s="19">
        <v>0.0</v>
      </c>
      <c r="V146" s="19">
        <v>0.0</v>
      </c>
      <c r="W146" s="13">
        <f t="shared" si="30"/>
        <v>0</v>
      </c>
    </row>
    <row r="147" ht="12.75" customHeight="1">
      <c r="A147" s="18"/>
      <c r="B147" s="55">
        <v>6.0</v>
      </c>
      <c r="C147" s="50" t="s">
        <v>111</v>
      </c>
      <c r="D147" s="60"/>
      <c r="E147" s="19">
        <v>0.0</v>
      </c>
      <c r="F147" s="19">
        <v>0.0</v>
      </c>
      <c r="G147" s="19">
        <v>0.0</v>
      </c>
      <c r="H147" s="19">
        <v>0.0</v>
      </c>
      <c r="I147" s="19">
        <v>0.0</v>
      </c>
      <c r="J147" s="19">
        <v>0.0</v>
      </c>
      <c r="K147" s="19">
        <v>0.0</v>
      </c>
      <c r="L147" s="19">
        <v>0.0</v>
      </c>
      <c r="M147" s="19">
        <v>0.0</v>
      </c>
      <c r="N147" s="19">
        <v>0.0</v>
      </c>
      <c r="O147" s="19">
        <v>0.0</v>
      </c>
      <c r="P147" s="19">
        <v>0.0</v>
      </c>
      <c r="Q147" s="19">
        <v>0.0</v>
      </c>
      <c r="R147" s="19">
        <v>0.0</v>
      </c>
      <c r="S147" s="19">
        <v>0.0</v>
      </c>
      <c r="T147" s="19">
        <v>0.0</v>
      </c>
      <c r="U147" s="19">
        <v>0.0</v>
      </c>
      <c r="V147" s="19">
        <v>0.0</v>
      </c>
      <c r="W147" s="13">
        <f t="shared" si="30"/>
        <v>0</v>
      </c>
    </row>
    <row r="148" ht="12.75" customHeight="1">
      <c r="A148" s="18"/>
      <c r="B148" s="55">
        <v>7.0</v>
      </c>
      <c r="C148" s="50" t="s">
        <v>112</v>
      </c>
      <c r="D148" s="60"/>
      <c r="E148" s="19">
        <v>1.0</v>
      </c>
      <c r="F148" s="19">
        <v>0.0</v>
      </c>
      <c r="G148" s="19">
        <v>0.0</v>
      </c>
      <c r="H148" s="19">
        <v>0.0</v>
      </c>
      <c r="I148" s="19">
        <v>0.0</v>
      </c>
      <c r="J148" s="19">
        <v>0.0</v>
      </c>
      <c r="K148" s="19">
        <v>0.0</v>
      </c>
      <c r="L148" s="19">
        <v>0.0</v>
      </c>
      <c r="M148" s="19">
        <v>0.0</v>
      </c>
      <c r="N148" s="19">
        <v>0.0</v>
      </c>
      <c r="O148" s="19">
        <v>0.0</v>
      </c>
      <c r="P148" s="19">
        <v>0.0</v>
      </c>
      <c r="Q148" s="19">
        <v>0.0</v>
      </c>
      <c r="R148" s="19">
        <v>0.0</v>
      </c>
      <c r="S148" s="19">
        <v>0.0</v>
      </c>
      <c r="T148" s="19">
        <v>0.0</v>
      </c>
      <c r="U148" s="19">
        <v>0.0</v>
      </c>
      <c r="V148" s="19">
        <v>0.0</v>
      </c>
      <c r="W148" s="13">
        <f t="shared" si="30"/>
        <v>1</v>
      </c>
    </row>
    <row r="149" ht="12.75" customHeight="1">
      <c r="A149" s="18"/>
      <c r="B149" s="56"/>
      <c r="C149" s="57"/>
      <c r="D149" s="62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3">
        <f t="shared" si="30"/>
        <v>0</v>
      </c>
    </row>
    <row r="150" ht="12.75" customHeight="1">
      <c r="A150" s="18"/>
      <c r="B150" s="56"/>
      <c r="C150" s="57"/>
      <c r="D150" s="62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3">
        <f t="shared" si="30"/>
        <v>0</v>
      </c>
    </row>
    <row r="151" ht="12.75" customHeight="1">
      <c r="A151" s="19" t="s">
        <v>15</v>
      </c>
      <c r="B151" s="47" t="s">
        <v>47</v>
      </c>
      <c r="C151" s="15"/>
      <c r="D151" s="16"/>
      <c r="E151" s="13">
        <f t="shared" ref="E151:W151" si="31">SUM(E141:E150)</f>
        <v>2</v>
      </c>
      <c r="F151" s="13">
        <f t="shared" si="31"/>
        <v>0</v>
      </c>
      <c r="G151" s="13">
        <f t="shared" si="31"/>
        <v>0</v>
      </c>
      <c r="H151" s="13">
        <f t="shared" si="31"/>
        <v>0</v>
      </c>
      <c r="I151" s="13">
        <f t="shared" si="31"/>
        <v>0</v>
      </c>
      <c r="J151" s="13">
        <f t="shared" si="31"/>
        <v>0</v>
      </c>
      <c r="K151" s="13">
        <f t="shared" si="31"/>
        <v>1</v>
      </c>
      <c r="L151" s="13">
        <f t="shared" si="31"/>
        <v>0</v>
      </c>
      <c r="M151" s="13">
        <f t="shared" si="31"/>
        <v>0</v>
      </c>
      <c r="N151" s="13">
        <f t="shared" si="31"/>
        <v>0</v>
      </c>
      <c r="O151" s="13">
        <f t="shared" si="31"/>
        <v>0</v>
      </c>
      <c r="P151" s="13">
        <f t="shared" si="31"/>
        <v>0</v>
      </c>
      <c r="Q151" s="13">
        <f t="shared" si="31"/>
        <v>0</v>
      </c>
      <c r="R151" s="13">
        <f t="shared" si="31"/>
        <v>1</v>
      </c>
      <c r="S151" s="13">
        <f t="shared" si="31"/>
        <v>0</v>
      </c>
      <c r="T151" s="13">
        <f t="shared" si="31"/>
        <v>0</v>
      </c>
      <c r="U151" s="13">
        <f t="shared" si="31"/>
        <v>0</v>
      </c>
      <c r="V151" s="13">
        <f t="shared" si="31"/>
        <v>0</v>
      </c>
      <c r="W151" s="13">
        <f t="shared" si="31"/>
        <v>4</v>
      </c>
    </row>
    <row r="152" ht="12.75" customHeight="1">
      <c r="A152" s="24"/>
      <c r="B152" s="15"/>
      <c r="C152" s="15"/>
      <c r="D152" s="15"/>
      <c r="E152" s="16"/>
      <c r="F152" s="84"/>
      <c r="G152" s="84"/>
      <c r="H152" s="84"/>
      <c r="I152" s="84"/>
      <c r="J152" s="84"/>
      <c r="K152" s="84"/>
      <c r="L152" s="84"/>
      <c r="M152" s="84"/>
      <c r="N152" s="84"/>
      <c r="O152" s="84"/>
      <c r="P152" s="84"/>
      <c r="Q152" s="84"/>
      <c r="R152" s="84"/>
      <c r="S152" s="84"/>
      <c r="T152" s="84"/>
      <c r="U152" s="84"/>
      <c r="V152" s="84"/>
      <c r="W152" s="13"/>
    </row>
    <row r="153" ht="12.75" customHeight="1">
      <c r="A153" s="30" t="s">
        <v>37</v>
      </c>
      <c r="B153" s="17" t="s">
        <v>113</v>
      </c>
      <c r="C153" s="65" t="s">
        <v>114</v>
      </c>
      <c r="D153" s="23"/>
      <c r="E153" s="19">
        <v>0.0</v>
      </c>
      <c r="F153" s="19">
        <v>0.0</v>
      </c>
      <c r="G153" s="19">
        <v>0.0</v>
      </c>
      <c r="H153" s="19">
        <v>1.0</v>
      </c>
      <c r="I153" s="19">
        <v>1.0</v>
      </c>
      <c r="J153" s="19">
        <v>0.0</v>
      </c>
      <c r="K153" s="19">
        <v>0.0</v>
      </c>
      <c r="L153" s="19">
        <v>0.0</v>
      </c>
      <c r="M153" s="19">
        <v>0.0</v>
      </c>
      <c r="N153" s="19">
        <v>0.0</v>
      </c>
      <c r="O153" s="19">
        <v>0.0</v>
      </c>
      <c r="P153" s="19">
        <v>0.0</v>
      </c>
      <c r="Q153" s="19">
        <v>0.0</v>
      </c>
      <c r="R153" s="19">
        <v>0.0</v>
      </c>
      <c r="S153" s="19">
        <v>0.0</v>
      </c>
      <c r="T153" s="19">
        <v>0.0</v>
      </c>
      <c r="U153" s="19">
        <v>0.0</v>
      </c>
      <c r="V153" s="19">
        <v>0.0</v>
      </c>
      <c r="W153" s="13">
        <f t="shared" ref="W153:W163" si="32">SUM(E153:V153)</f>
        <v>2</v>
      </c>
    </row>
    <row r="154" ht="12.75" customHeight="1">
      <c r="A154" s="66" t="s">
        <v>39</v>
      </c>
      <c r="B154" s="55">
        <v>1.0</v>
      </c>
      <c r="C154" s="67" t="s">
        <v>115</v>
      </c>
      <c r="D154" s="60"/>
      <c r="E154" s="86">
        <v>0.0</v>
      </c>
      <c r="F154" s="19">
        <v>0.0</v>
      </c>
      <c r="G154" s="19">
        <v>1.0</v>
      </c>
      <c r="H154" s="19">
        <v>0.0</v>
      </c>
      <c r="I154" s="19">
        <v>0.0</v>
      </c>
      <c r="J154" s="19">
        <v>0.0</v>
      </c>
      <c r="K154" s="19">
        <v>0.0</v>
      </c>
      <c r="L154" s="19">
        <v>0.0</v>
      </c>
      <c r="M154" s="19">
        <v>0.0</v>
      </c>
      <c r="N154" s="19">
        <v>0.0</v>
      </c>
      <c r="O154" s="19">
        <v>0.0</v>
      </c>
      <c r="P154" s="19">
        <v>0.0</v>
      </c>
      <c r="Q154" s="19">
        <v>0.0</v>
      </c>
      <c r="R154" s="19">
        <v>0.0</v>
      </c>
      <c r="S154" s="19">
        <v>0.0</v>
      </c>
      <c r="T154" s="19">
        <v>0.0</v>
      </c>
      <c r="U154" s="19">
        <v>0.0</v>
      </c>
      <c r="V154" s="19">
        <v>0.0</v>
      </c>
      <c r="W154" s="13">
        <f t="shared" si="32"/>
        <v>1</v>
      </c>
    </row>
    <row r="155" ht="12.75" customHeight="1">
      <c r="A155" s="18"/>
      <c r="B155" s="55">
        <v>2.0</v>
      </c>
      <c r="C155" s="67" t="s">
        <v>116</v>
      </c>
      <c r="D155" s="60"/>
      <c r="E155" s="86">
        <v>0.0</v>
      </c>
      <c r="F155" s="19">
        <v>0.0</v>
      </c>
      <c r="G155" s="19">
        <v>1.0</v>
      </c>
      <c r="H155" s="19">
        <v>0.0</v>
      </c>
      <c r="I155" s="19">
        <v>0.0</v>
      </c>
      <c r="J155" s="19">
        <v>0.0</v>
      </c>
      <c r="K155" s="19">
        <v>0.0</v>
      </c>
      <c r="L155" s="19">
        <v>0.0</v>
      </c>
      <c r="M155" s="19">
        <v>0.0</v>
      </c>
      <c r="N155" s="19">
        <v>0.0</v>
      </c>
      <c r="O155" s="19">
        <v>0.0</v>
      </c>
      <c r="P155" s="19">
        <v>0.0</v>
      </c>
      <c r="Q155" s="19">
        <v>0.0</v>
      </c>
      <c r="R155" s="19">
        <v>0.0</v>
      </c>
      <c r="S155" s="19">
        <v>0.0</v>
      </c>
      <c r="T155" s="19">
        <v>0.0</v>
      </c>
      <c r="U155" s="19">
        <v>0.0</v>
      </c>
      <c r="V155" s="19">
        <v>0.0</v>
      </c>
      <c r="W155" s="13">
        <f t="shared" si="32"/>
        <v>1</v>
      </c>
    </row>
    <row r="156" ht="12.75" customHeight="1">
      <c r="A156" s="18"/>
      <c r="B156" s="55">
        <v>3.0</v>
      </c>
      <c r="C156" s="67" t="s">
        <v>117</v>
      </c>
      <c r="D156" s="60"/>
      <c r="E156" s="86">
        <v>0.0</v>
      </c>
      <c r="F156" s="19">
        <v>0.0</v>
      </c>
      <c r="G156" s="19">
        <v>0.0</v>
      </c>
      <c r="H156" s="19">
        <v>0.0</v>
      </c>
      <c r="I156" s="19">
        <v>0.0</v>
      </c>
      <c r="J156" s="19">
        <v>0.0</v>
      </c>
      <c r="K156" s="19">
        <v>0.0</v>
      </c>
      <c r="L156" s="19">
        <v>0.0</v>
      </c>
      <c r="M156" s="19">
        <v>0.0</v>
      </c>
      <c r="N156" s="19">
        <v>0.0</v>
      </c>
      <c r="O156" s="19">
        <v>0.0</v>
      </c>
      <c r="P156" s="19">
        <v>0.0</v>
      </c>
      <c r="Q156" s="19">
        <v>0.0</v>
      </c>
      <c r="R156" s="19">
        <v>0.0</v>
      </c>
      <c r="S156" s="19">
        <v>0.0</v>
      </c>
      <c r="T156" s="19">
        <v>0.0</v>
      </c>
      <c r="U156" s="19">
        <v>0.0</v>
      </c>
      <c r="V156" s="19">
        <v>0.0</v>
      </c>
      <c r="W156" s="13">
        <f t="shared" si="32"/>
        <v>0</v>
      </c>
    </row>
    <row r="157" ht="12.75" customHeight="1">
      <c r="A157" s="18"/>
      <c r="B157" s="55">
        <v>4.0</v>
      </c>
      <c r="C157" s="67" t="s">
        <v>118</v>
      </c>
      <c r="D157" s="60"/>
      <c r="E157" s="86">
        <v>0.0</v>
      </c>
      <c r="F157" s="19">
        <v>0.0</v>
      </c>
      <c r="G157" s="19">
        <v>0.0</v>
      </c>
      <c r="H157" s="19">
        <v>0.0</v>
      </c>
      <c r="I157" s="19">
        <v>0.0</v>
      </c>
      <c r="J157" s="19">
        <v>0.0</v>
      </c>
      <c r="K157" s="19">
        <v>0.0</v>
      </c>
      <c r="L157" s="19">
        <v>0.0</v>
      </c>
      <c r="M157" s="19">
        <v>0.0</v>
      </c>
      <c r="N157" s="19">
        <v>1.0</v>
      </c>
      <c r="O157" s="19">
        <v>0.0</v>
      </c>
      <c r="P157" s="19">
        <v>0.0</v>
      </c>
      <c r="Q157" s="19">
        <v>0.0</v>
      </c>
      <c r="R157" s="19">
        <v>0.0</v>
      </c>
      <c r="S157" s="19">
        <v>0.0</v>
      </c>
      <c r="T157" s="19">
        <v>0.0</v>
      </c>
      <c r="U157" s="19">
        <v>0.0</v>
      </c>
      <c r="V157" s="19">
        <v>0.0</v>
      </c>
      <c r="W157" s="13">
        <f t="shared" si="32"/>
        <v>1</v>
      </c>
    </row>
    <row r="158" ht="12.75" customHeight="1">
      <c r="A158" s="18"/>
      <c r="B158" s="56"/>
      <c r="C158" s="57"/>
      <c r="D158" s="62"/>
      <c r="E158" s="86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3">
        <f t="shared" si="32"/>
        <v>0</v>
      </c>
    </row>
    <row r="159" ht="12.75" customHeight="1">
      <c r="A159" s="18"/>
      <c r="B159" s="56"/>
      <c r="C159" s="57"/>
      <c r="D159" s="62"/>
      <c r="E159" s="86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3">
        <f t="shared" si="32"/>
        <v>0</v>
      </c>
    </row>
    <row r="160" ht="12.75" customHeight="1">
      <c r="A160" s="18"/>
      <c r="B160" s="56"/>
      <c r="C160" s="57"/>
      <c r="D160" s="62"/>
      <c r="E160" s="86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3">
        <f t="shared" si="32"/>
        <v>0</v>
      </c>
    </row>
    <row r="161" ht="12.75" customHeight="1">
      <c r="A161" s="18"/>
      <c r="B161" s="56"/>
      <c r="C161" s="68"/>
      <c r="D161" s="62"/>
      <c r="E161" s="86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3">
        <f t="shared" si="32"/>
        <v>0</v>
      </c>
    </row>
    <row r="162" ht="12.75" customHeight="1">
      <c r="A162" s="18"/>
      <c r="B162" s="56"/>
      <c r="C162" s="68"/>
      <c r="D162" s="62"/>
      <c r="E162" s="86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3">
        <f t="shared" si="32"/>
        <v>0</v>
      </c>
    </row>
    <row r="163" ht="12.75" customHeight="1">
      <c r="A163" s="19" t="s">
        <v>15</v>
      </c>
      <c r="B163" s="69" t="s">
        <v>47</v>
      </c>
      <c r="C163" s="44"/>
      <c r="D163" s="28"/>
      <c r="E163" s="13">
        <f t="shared" ref="E163:V163" si="33">SUM(E153:E162)</f>
        <v>0</v>
      </c>
      <c r="F163" s="13">
        <f t="shared" si="33"/>
        <v>0</v>
      </c>
      <c r="G163" s="13">
        <f t="shared" si="33"/>
        <v>2</v>
      </c>
      <c r="H163" s="13">
        <f t="shared" si="33"/>
        <v>1</v>
      </c>
      <c r="I163" s="13">
        <f t="shared" si="33"/>
        <v>1</v>
      </c>
      <c r="J163" s="13">
        <f t="shared" si="33"/>
        <v>0</v>
      </c>
      <c r="K163" s="13">
        <f t="shared" si="33"/>
        <v>0</v>
      </c>
      <c r="L163" s="13">
        <f t="shared" si="33"/>
        <v>0</v>
      </c>
      <c r="M163" s="13">
        <f t="shared" si="33"/>
        <v>0</v>
      </c>
      <c r="N163" s="13">
        <f t="shared" si="33"/>
        <v>1</v>
      </c>
      <c r="O163" s="13">
        <f t="shared" si="33"/>
        <v>0</v>
      </c>
      <c r="P163" s="13">
        <f t="shared" si="33"/>
        <v>0</v>
      </c>
      <c r="Q163" s="13">
        <f t="shared" si="33"/>
        <v>0</v>
      </c>
      <c r="R163" s="13">
        <f t="shared" si="33"/>
        <v>0</v>
      </c>
      <c r="S163" s="13">
        <f t="shared" si="33"/>
        <v>0</v>
      </c>
      <c r="T163" s="13">
        <f t="shared" si="33"/>
        <v>0</v>
      </c>
      <c r="U163" s="13">
        <f t="shared" si="33"/>
        <v>0</v>
      </c>
      <c r="V163" s="13">
        <f t="shared" si="33"/>
        <v>0</v>
      </c>
      <c r="W163" s="13">
        <f t="shared" si="32"/>
        <v>5</v>
      </c>
    </row>
    <row r="164" ht="12.75" customHeight="1">
      <c r="A164" s="24"/>
      <c r="B164" s="15"/>
      <c r="C164" s="15"/>
      <c r="D164" s="15"/>
      <c r="E164" s="16"/>
      <c r="F164" s="84"/>
      <c r="G164" s="84"/>
      <c r="H164" s="84"/>
      <c r="I164" s="84"/>
      <c r="J164" s="84"/>
      <c r="K164" s="84"/>
      <c r="L164" s="84"/>
      <c r="M164" s="84"/>
      <c r="N164" s="84"/>
      <c r="O164" s="84"/>
      <c r="P164" s="84"/>
      <c r="Q164" s="84"/>
      <c r="R164" s="84"/>
      <c r="S164" s="84"/>
      <c r="T164" s="84"/>
      <c r="U164" s="84"/>
      <c r="V164" s="84"/>
      <c r="W164" s="84"/>
    </row>
    <row r="165" ht="12.75" customHeight="1">
      <c r="A165" s="30" t="s">
        <v>37</v>
      </c>
      <c r="B165" s="47" t="s">
        <v>119</v>
      </c>
      <c r="C165" s="48" t="s">
        <v>120</v>
      </c>
      <c r="D165" s="16"/>
      <c r="E165" s="19">
        <v>0.0</v>
      </c>
      <c r="F165" s="19">
        <v>0.0</v>
      </c>
      <c r="G165" s="19">
        <v>0.0</v>
      </c>
      <c r="H165" s="19">
        <v>0.0</v>
      </c>
      <c r="I165" s="19">
        <v>0.0</v>
      </c>
      <c r="J165" s="19">
        <v>0.0</v>
      </c>
      <c r="K165" s="19">
        <v>0.0</v>
      </c>
      <c r="L165" s="19">
        <v>0.0</v>
      </c>
      <c r="M165" s="19">
        <v>0.0</v>
      </c>
      <c r="N165" s="19">
        <v>0.0</v>
      </c>
      <c r="O165" s="19">
        <v>0.0</v>
      </c>
      <c r="P165" s="19">
        <v>0.0</v>
      </c>
      <c r="Q165" s="19">
        <v>0.0</v>
      </c>
      <c r="R165" s="19">
        <v>0.0</v>
      </c>
      <c r="S165" s="19">
        <v>0.0</v>
      </c>
      <c r="T165" s="19">
        <v>0.0</v>
      </c>
      <c r="U165" s="19">
        <v>0.0</v>
      </c>
      <c r="V165" s="19">
        <v>0.0</v>
      </c>
      <c r="W165" s="13">
        <f t="shared" ref="W165:W174" si="34">SUM(E165:V165)</f>
        <v>0</v>
      </c>
    </row>
    <row r="166" ht="12.75" customHeight="1">
      <c r="A166" s="30" t="s">
        <v>39</v>
      </c>
      <c r="B166" s="55">
        <v>1.0</v>
      </c>
      <c r="C166" s="50" t="s">
        <v>121</v>
      </c>
      <c r="D166" s="60"/>
      <c r="E166" s="19">
        <v>0.0</v>
      </c>
      <c r="F166" s="19">
        <v>0.0</v>
      </c>
      <c r="G166" s="19">
        <v>0.0</v>
      </c>
      <c r="H166" s="19">
        <v>0.0</v>
      </c>
      <c r="I166" s="19">
        <v>0.0</v>
      </c>
      <c r="J166" s="19">
        <v>0.0</v>
      </c>
      <c r="K166" s="19">
        <v>1.0</v>
      </c>
      <c r="L166" s="19">
        <v>0.0</v>
      </c>
      <c r="M166" s="19">
        <v>0.0</v>
      </c>
      <c r="N166" s="19">
        <v>0.0</v>
      </c>
      <c r="O166" s="19">
        <v>0.0</v>
      </c>
      <c r="P166" s="19">
        <v>0.0</v>
      </c>
      <c r="Q166" s="19">
        <v>0.0</v>
      </c>
      <c r="R166" s="19">
        <v>1.0</v>
      </c>
      <c r="S166" s="19">
        <v>0.0</v>
      </c>
      <c r="T166" s="19">
        <v>0.0</v>
      </c>
      <c r="U166" s="19">
        <v>0.0</v>
      </c>
      <c r="V166" s="19">
        <v>1.0</v>
      </c>
      <c r="W166" s="13">
        <f t="shared" si="34"/>
        <v>3</v>
      </c>
    </row>
    <row r="167" ht="12.75" customHeight="1">
      <c r="A167" s="18"/>
      <c r="B167" s="55">
        <v>2.0</v>
      </c>
      <c r="C167" s="50" t="s">
        <v>122</v>
      </c>
      <c r="D167" s="60"/>
      <c r="E167" s="19">
        <v>0.0</v>
      </c>
      <c r="F167" s="19">
        <v>1.0</v>
      </c>
      <c r="G167" s="19">
        <v>0.0</v>
      </c>
      <c r="H167" s="19">
        <v>0.0</v>
      </c>
      <c r="I167" s="19">
        <v>0.0</v>
      </c>
      <c r="J167" s="19">
        <v>0.0</v>
      </c>
      <c r="K167" s="19">
        <v>1.0</v>
      </c>
      <c r="L167" s="19">
        <v>0.0</v>
      </c>
      <c r="M167" s="19">
        <v>0.0</v>
      </c>
      <c r="N167" s="19">
        <v>0.0</v>
      </c>
      <c r="O167" s="19">
        <v>0.0</v>
      </c>
      <c r="P167" s="19">
        <v>0.0</v>
      </c>
      <c r="Q167" s="19">
        <v>0.0</v>
      </c>
      <c r="R167" s="19">
        <v>0.0</v>
      </c>
      <c r="S167" s="19">
        <v>0.0</v>
      </c>
      <c r="T167" s="19">
        <v>0.0</v>
      </c>
      <c r="U167" s="19">
        <v>0.0</v>
      </c>
      <c r="V167" s="19">
        <v>0.0</v>
      </c>
      <c r="W167" s="13">
        <f t="shared" si="34"/>
        <v>2</v>
      </c>
    </row>
    <row r="168" ht="12.75" customHeight="1">
      <c r="A168" s="18"/>
      <c r="B168" s="55">
        <v>3.0</v>
      </c>
      <c r="C168" s="50" t="s">
        <v>123</v>
      </c>
      <c r="D168" s="60"/>
      <c r="E168" s="19">
        <v>0.0</v>
      </c>
      <c r="F168" s="19">
        <v>0.0</v>
      </c>
      <c r="G168" s="19">
        <v>0.0</v>
      </c>
      <c r="H168" s="19">
        <v>0.0</v>
      </c>
      <c r="I168" s="19">
        <v>1.0</v>
      </c>
      <c r="J168" s="19">
        <v>0.0</v>
      </c>
      <c r="K168" s="19">
        <v>0.0</v>
      </c>
      <c r="L168" s="19">
        <v>0.0</v>
      </c>
      <c r="M168" s="19">
        <v>0.0</v>
      </c>
      <c r="N168" s="19">
        <v>0.0</v>
      </c>
      <c r="O168" s="19">
        <v>0.0</v>
      </c>
      <c r="P168" s="19">
        <v>0.0</v>
      </c>
      <c r="Q168" s="19">
        <v>0.0</v>
      </c>
      <c r="R168" s="19">
        <v>0.0</v>
      </c>
      <c r="S168" s="19">
        <v>0.0</v>
      </c>
      <c r="T168" s="19">
        <v>0.0</v>
      </c>
      <c r="U168" s="19">
        <v>0.0</v>
      </c>
      <c r="V168" s="19">
        <v>0.0</v>
      </c>
      <c r="W168" s="13">
        <f t="shared" si="34"/>
        <v>1</v>
      </c>
    </row>
    <row r="169" ht="12.75" customHeight="1">
      <c r="A169" s="18"/>
      <c r="B169" s="55">
        <v>4.0</v>
      </c>
      <c r="C169" s="50" t="s">
        <v>124</v>
      </c>
      <c r="D169" s="60"/>
      <c r="E169" s="19">
        <v>0.0</v>
      </c>
      <c r="F169" s="19">
        <v>0.0</v>
      </c>
      <c r="G169" s="19">
        <v>0.0</v>
      </c>
      <c r="H169" s="19">
        <v>0.0</v>
      </c>
      <c r="I169" s="19">
        <v>0.0</v>
      </c>
      <c r="J169" s="19">
        <v>0.0</v>
      </c>
      <c r="K169" s="19">
        <v>0.0</v>
      </c>
      <c r="L169" s="19">
        <v>0.0</v>
      </c>
      <c r="M169" s="19">
        <v>0.0</v>
      </c>
      <c r="N169" s="19">
        <v>0.0</v>
      </c>
      <c r="O169" s="19">
        <v>0.0</v>
      </c>
      <c r="P169" s="19">
        <v>0.0</v>
      </c>
      <c r="Q169" s="19">
        <v>0.0</v>
      </c>
      <c r="R169" s="19">
        <v>0.0</v>
      </c>
      <c r="S169" s="19">
        <v>0.0</v>
      </c>
      <c r="T169" s="19">
        <v>0.0</v>
      </c>
      <c r="U169" s="19">
        <v>0.0</v>
      </c>
      <c r="V169" s="19">
        <v>0.0</v>
      </c>
      <c r="W169" s="13">
        <f t="shared" si="34"/>
        <v>0</v>
      </c>
    </row>
    <row r="170" ht="12.75" customHeight="1">
      <c r="A170" s="18"/>
      <c r="B170" s="55">
        <v>5.0</v>
      </c>
      <c r="C170" s="50" t="s">
        <v>125</v>
      </c>
      <c r="D170" s="60"/>
      <c r="E170" s="19">
        <v>0.0</v>
      </c>
      <c r="F170" s="19">
        <v>0.0</v>
      </c>
      <c r="G170" s="19">
        <v>0.0</v>
      </c>
      <c r="H170" s="19">
        <v>0.0</v>
      </c>
      <c r="I170" s="19">
        <v>0.0</v>
      </c>
      <c r="J170" s="19">
        <v>0.0</v>
      </c>
      <c r="K170" s="19">
        <v>0.0</v>
      </c>
      <c r="L170" s="19">
        <v>0.0</v>
      </c>
      <c r="M170" s="19">
        <v>0.0</v>
      </c>
      <c r="N170" s="19">
        <v>0.0</v>
      </c>
      <c r="O170" s="19">
        <v>0.0</v>
      </c>
      <c r="P170" s="19">
        <v>0.0</v>
      </c>
      <c r="Q170" s="19">
        <v>0.0</v>
      </c>
      <c r="R170" s="19">
        <v>0.0</v>
      </c>
      <c r="S170" s="19">
        <v>0.0</v>
      </c>
      <c r="T170" s="19">
        <v>0.0</v>
      </c>
      <c r="U170" s="19">
        <v>0.0</v>
      </c>
      <c r="V170" s="19">
        <v>0.0</v>
      </c>
      <c r="W170" s="13">
        <f t="shared" si="34"/>
        <v>0</v>
      </c>
    </row>
    <row r="171" ht="12.75" customHeight="1">
      <c r="A171" s="18"/>
      <c r="B171" s="55">
        <v>6.0</v>
      </c>
      <c r="C171" s="50" t="s">
        <v>126</v>
      </c>
      <c r="D171" s="60"/>
      <c r="E171" s="19">
        <v>0.0</v>
      </c>
      <c r="F171" s="19">
        <v>0.0</v>
      </c>
      <c r="G171" s="19">
        <v>0.0</v>
      </c>
      <c r="H171" s="19">
        <v>0.0</v>
      </c>
      <c r="I171" s="19">
        <v>0.0</v>
      </c>
      <c r="J171" s="19">
        <v>0.0</v>
      </c>
      <c r="K171" s="19">
        <v>0.0</v>
      </c>
      <c r="L171" s="19">
        <v>0.0</v>
      </c>
      <c r="M171" s="19">
        <v>0.0</v>
      </c>
      <c r="N171" s="19">
        <v>0.0</v>
      </c>
      <c r="O171" s="19">
        <v>0.0</v>
      </c>
      <c r="P171" s="19">
        <v>0.0</v>
      </c>
      <c r="Q171" s="19">
        <v>0.0</v>
      </c>
      <c r="R171" s="19">
        <v>0.0</v>
      </c>
      <c r="S171" s="19">
        <v>0.0</v>
      </c>
      <c r="T171" s="19">
        <v>0.0</v>
      </c>
      <c r="U171" s="19">
        <v>0.0</v>
      </c>
      <c r="V171" s="19">
        <v>0.0</v>
      </c>
      <c r="W171" s="13">
        <f t="shared" si="34"/>
        <v>0</v>
      </c>
    </row>
    <row r="172" ht="12.75" customHeight="1">
      <c r="A172" s="18"/>
      <c r="B172" s="55">
        <v>7.0</v>
      </c>
      <c r="C172" s="50" t="s">
        <v>127</v>
      </c>
      <c r="D172" s="60"/>
      <c r="E172" s="19">
        <v>0.0</v>
      </c>
      <c r="F172" s="19">
        <v>0.0</v>
      </c>
      <c r="G172" s="19">
        <v>0.0</v>
      </c>
      <c r="H172" s="19">
        <v>0.0</v>
      </c>
      <c r="I172" s="19">
        <v>0.0</v>
      </c>
      <c r="J172" s="19">
        <v>0.0</v>
      </c>
      <c r="K172" s="19">
        <v>0.0</v>
      </c>
      <c r="L172" s="19">
        <v>0.0</v>
      </c>
      <c r="M172" s="19">
        <v>0.0</v>
      </c>
      <c r="N172" s="19">
        <v>0.0</v>
      </c>
      <c r="O172" s="19">
        <v>0.0</v>
      </c>
      <c r="P172" s="19">
        <v>0.0</v>
      </c>
      <c r="Q172" s="19">
        <v>0.0</v>
      </c>
      <c r="R172" s="19">
        <v>0.0</v>
      </c>
      <c r="S172" s="19">
        <v>0.0</v>
      </c>
      <c r="T172" s="19">
        <v>0.0</v>
      </c>
      <c r="U172" s="19">
        <v>0.0</v>
      </c>
      <c r="V172" s="19">
        <v>0.0</v>
      </c>
      <c r="W172" s="13">
        <f t="shared" si="34"/>
        <v>0</v>
      </c>
    </row>
    <row r="173" ht="12.75" customHeight="1">
      <c r="A173" s="18"/>
      <c r="B173" s="56"/>
      <c r="C173" s="57"/>
      <c r="D173" s="62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3">
        <f t="shared" si="34"/>
        <v>0</v>
      </c>
    </row>
    <row r="174" ht="12.75" customHeight="1">
      <c r="A174" s="18"/>
      <c r="B174" s="56"/>
      <c r="C174" s="57"/>
      <c r="D174" s="62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3">
        <f t="shared" si="34"/>
        <v>0</v>
      </c>
    </row>
    <row r="175" ht="12.75" customHeight="1">
      <c r="A175" s="19" t="s">
        <v>15</v>
      </c>
      <c r="B175" s="47" t="s">
        <v>47</v>
      </c>
      <c r="C175" s="15"/>
      <c r="D175" s="16"/>
      <c r="E175" s="13">
        <f t="shared" ref="E175:W175" si="35">SUM(E165:E174)</f>
        <v>0</v>
      </c>
      <c r="F175" s="13">
        <f t="shared" si="35"/>
        <v>1</v>
      </c>
      <c r="G175" s="13">
        <f t="shared" si="35"/>
        <v>0</v>
      </c>
      <c r="H175" s="13">
        <f t="shared" si="35"/>
        <v>0</v>
      </c>
      <c r="I175" s="13">
        <f t="shared" si="35"/>
        <v>1</v>
      </c>
      <c r="J175" s="13">
        <f t="shared" si="35"/>
        <v>0</v>
      </c>
      <c r="K175" s="13">
        <f t="shared" si="35"/>
        <v>2</v>
      </c>
      <c r="L175" s="13">
        <f t="shared" si="35"/>
        <v>0</v>
      </c>
      <c r="M175" s="13">
        <f t="shared" si="35"/>
        <v>0</v>
      </c>
      <c r="N175" s="13">
        <f t="shared" si="35"/>
        <v>0</v>
      </c>
      <c r="O175" s="13">
        <f t="shared" si="35"/>
        <v>0</v>
      </c>
      <c r="P175" s="13">
        <f t="shared" si="35"/>
        <v>0</v>
      </c>
      <c r="Q175" s="13">
        <f t="shared" si="35"/>
        <v>0</v>
      </c>
      <c r="R175" s="13">
        <f t="shared" si="35"/>
        <v>1</v>
      </c>
      <c r="S175" s="13">
        <f t="shared" si="35"/>
        <v>0</v>
      </c>
      <c r="T175" s="13">
        <f t="shared" si="35"/>
        <v>0</v>
      </c>
      <c r="U175" s="13">
        <f t="shared" si="35"/>
        <v>0</v>
      </c>
      <c r="V175" s="13">
        <f t="shared" si="35"/>
        <v>1</v>
      </c>
      <c r="W175" s="13">
        <f t="shared" si="35"/>
        <v>6</v>
      </c>
    </row>
    <row r="176" ht="12.75" customHeight="1">
      <c r="A176" s="24"/>
      <c r="B176" s="15"/>
      <c r="C176" s="15"/>
      <c r="D176" s="15"/>
      <c r="E176" s="16"/>
      <c r="F176" s="84"/>
      <c r="G176" s="84"/>
      <c r="H176" s="84"/>
      <c r="I176" s="84"/>
      <c r="J176" s="84"/>
      <c r="K176" s="84"/>
      <c r="L176" s="84"/>
      <c r="M176" s="84"/>
      <c r="N176" s="84"/>
      <c r="O176" s="84"/>
      <c r="P176" s="84"/>
      <c r="Q176" s="84"/>
      <c r="R176" s="84"/>
      <c r="S176" s="84"/>
      <c r="T176" s="84"/>
      <c r="U176" s="84"/>
      <c r="V176" s="84"/>
      <c r="W176" s="84"/>
    </row>
    <row r="177" ht="12.75" customHeight="1">
      <c r="A177" s="30" t="s">
        <v>37</v>
      </c>
      <c r="B177" s="47" t="s">
        <v>128</v>
      </c>
      <c r="C177" s="48" t="s">
        <v>129</v>
      </c>
      <c r="D177" s="16"/>
      <c r="E177" s="19">
        <v>0.0</v>
      </c>
      <c r="F177" s="19">
        <v>0.0</v>
      </c>
      <c r="G177" s="19">
        <v>1.0</v>
      </c>
      <c r="H177" s="19">
        <v>1.0</v>
      </c>
      <c r="I177" s="19">
        <v>0.0</v>
      </c>
      <c r="J177" s="19">
        <v>0.0</v>
      </c>
      <c r="K177" s="19">
        <v>1.0</v>
      </c>
      <c r="L177" s="19">
        <v>0.0</v>
      </c>
      <c r="M177" s="19">
        <v>0.0</v>
      </c>
      <c r="N177" s="19">
        <v>0.0</v>
      </c>
      <c r="O177" s="19">
        <v>0.0</v>
      </c>
      <c r="P177" s="19">
        <v>0.0</v>
      </c>
      <c r="Q177" s="19">
        <v>0.0</v>
      </c>
      <c r="R177" s="19">
        <v>0.0</v>
      </c>
      <c r="S177" s="19">
        <v>0.0</v>
      </c>
      <c r="T177" s="19">
        <v>0.0</v>
      </c>
      <c r="U177" s="19">
        <v>0.0</v>
      </c>
      <c r="V177" s="19">
        <v>0.0</v>
      </c>
      <c r="W177" s="13">
        <f t="shared" ref="W177:W186" si="36">SUM(E177:V177)</f>
        <v>3</v>
      </c>
    </row>
    <row r="178" ht="12.75" customHeight="1">
      <c r="A178" s="30" t="s">
        <v>39</v>
      </c>
      <c r="B178" s="55">
        <v>1.0</v>
      </c>
      <c r="C178" s="50" t="s">
        <v>130</v>
      </c>
      <c r="D178" s="60"/>
      <c r="E178" s="19">
        <v>0.0</v>
      </c>
      <c r="F178" s="19">
        <v>0.0</v>
      </c>
      <c r="G178" s="19">
        <v>0.0</v>
      </c>
      <c r="H178" s="19">
        <v>1.0</v>
      </c>
      <c r="I178" s="19">
        <v>0.0</v>
      </c>
      <c r="J178" s="19">
        <v>0.0</v>
      </c>
      <c r="K178" s="19">
        <v>0.0</v>
      </c>
      <c r="L178" s="19">
        <v>1.0</v>
      </c>
      <c r="M178" s="19">
        <v>0.0</v>
      </c>
      <c r="N178" s="19">
        <v>0.0</v>
      </c>
      <c r="O178" s="19">
        <v>0.0</v>
      </c>
      <c r="P178" s="19">
        <v>0.0</v>
      </c>
      <c r="Q178" s="19">
        <v>0.0</v>
      </c>
      <c r="R178" s="19">
        <v>1.0</v>
      </c>
      <c r="S178" s="19">
        <v>0.0</v>
      </c>
      <c r="T178" s="19">
        <v>0.0</v>
      </c>
      <c r="U178" s="19">
        <v>0.0</v>
      </c>
      <c r="V178" s="19">
        <v>1.0</v>
      </c>
      <c r="W178" s="13">
        <f t="shared" si="36"/>
        <v>4</v>
      </c>
    </row>
    <row r="179" ht="12.75" customHeight="1">
      <c r="A179" s="18"/>
      <c r="B179" s="55">
        <v>2.0</v>
      </c>
      <c r="C179" s="50" t="s">
        <v>131</v>
      </c>
      <c r="D179" s="60"/>
      <c r="E179" s="19">
        <v>0.0</v>
      </c>
      <c r="F179" s="19">
        <v>0.0</v>
      </c>
      <c r="G179" s="19">
        <v>0.0</v>
      </c>
      <c r="H179" s="19">
        <v>0.0</v>
      </c>
      <c r="I179" s="19">
        <v>0.0</v>
      </c>
      <c r="J179" s="19">
        <v>0.0</v>
      </c>
      <c r="K179" s="19">
        <v>0.0</v>
      </c>
      <c r="L179" s="19">
        <v>0.0</v>
      </c>
      <c r="M179" s="19">
        <v>0.0</v>
      </c>
      <c r="N179" s="19">
        <v>0.0</v>
      </c>
      <c r="O179" s="19">
        <v>0.0</v>
      </c>
      <c r="P179" s="19">
        <v>0.0</v>
      </c>
      <c r="Q179" s="19">
        <v>0.0</v>
      </c>
      <c r="R179" s="19">
        <v>0.0</v>
      </c>
      <c r="S179" s="19">
        <v>1.0</v>
      </c>
      <c r="T179" s="19">
        <v>0.0</v>
      </c>
      <c r="U179" s="19">
        <v>0.0</v>
      </c>
      <c r="V179" s="19">
        <v>0.0</v>
      </c>
      <c r="W179" s="13">
        <f t="shared" si="36"/>
        <v>1</v>
      </c>
    </row>
    <row r="180" ht="12.75" customHeight="1">
      <c r="A180" s="18"/>
      <c r="B180" s="55">
        <v>3.0</v>
      </c>
      <c r="C180" s="50" t="s">
        <v>132</v>
      </c>
      <c r="D180" s="60"/>
      <c r="E180" s="19">
        <v>0.0</v>
      </c>
      <c r="F180" s="19">
        <v>0.0</v>
      </c>
      <c r="G180" s="19">
        <v>0.0</v>
      </c>
      <c r="H180" s="19">
        <v>0.0</v>
      </c>
      <c r="I180" s="19">
        <v>0.0</v>
      </c>
      <c r="J180" s="19">
        <v>0.0</v>
      </c>
      <c r="K180" s="19">
        <v>0.0</v>
      </c>
      <c r="L180" s="19">
        <v>0.0</v>
      </c>
      <c r="M180" s="19">
        <v>0.0</v>
      </c>
      <c r="N180" s="19">
        <v>0.0</v>
      </c>
      <c r="O180" s="19">
        <v>0.0</v>
      </c>
      <c r="P180" s="19">
        <v>0.0</v>
      </c>
      <c r="Q180" s="19">
        <v>0.0</v>
      </c>
      <c r="R180" s="19">
        <v>0.0</v>
      </c>
      <c r="S180" s="19">
        <v>0.0</v>
      </c>
      <c r="T180" s="19">
        <v>0.0</v>
      </c>
      <c r="U180" s="19">
        <v>0.0</v>
      </c>
      <c r="V180" s="19">
        <v>0.0</v>
      </c>
      <c r="W180" s="13">
        <f t="shared" si="36"/>
        <v>0</v>
      </c>
    </row>
    <row r="181" ht="12.75" customHeight="1">
      <c r="A181" s="18"/>
      <c r="B181" s="55">
        <v>4.0</v>
      </c>
      <c r="C181" s="50" t="s">
        <v>133</v>
      </c>
      <c r="D181" s="60"/>
      <c r="E181" s="19">
        <v>0.0</v>
      </c>
      <c r="F181" s="19">
        <v>0.0</v>
      </c>
      <c r="G181" s="19">
        <v>0.0</v>
      </c>
      <c r="H181" s="19">
        <v>0.0</v>
      </c>
      <c r="I181" s="19">
        <v>0.0</v>
      </c>
      <c r="J181" s="19">
        <v>1.0</v>
      </c>
      <c r="K181" s="19">
        <v>1.0</v>
      </c>
      <c r="L181" s="19">
        <v>0.0</v>
      </c>
      <c r="M181" s="19">
        <v>0.0</v>
      </c>
      <c r="N181" s="19">
        <v>0.0</v>
      </c>
      <c r="O181" s="19">
        <v>0.0</v>
      </c>
      <c r="P181" s="19">
        <v>0.0</v>
      </c>
      <c r="Q181" s="19">
        <v>0.0</v>
      </c>
      <c r="R181" s="19">
        <v>0.0</v>
      </c>
      <c r="S181" s="19">
        <v>0.0</v>
      </c>
      <c r="T181" s="19">
        <v>0.0</v>
      </c>
      <c r="U181" s="19">
        <v>0.0</v>
      </c>
      <c r="V181" s="19">
        <v>0.0</v>
      </c>
      <c r="W181" s="13">
        <f t="shared" si="36"/>
        <v>2</v>
      </c>
    </row>
    <row r="182" ht="12.75" customHeight="1">
      <c r="A182" s="18"/>
      <c r="B182" s="55">
        <v>5.0</v>
      </c>
      <c r="C182" s="50" t="s">
        <v>134</v>
      </c>
      <c r="D182" s="60"/>
      <c r="E182" s="19">
        <v>0.0</v>
      </c>
      <c r="F182" s="19">
        <v>0.0</v>
      </c>
      <c r="G182" s="19">
        <v>0.0</v>
      </c>
      <c r="H182" s="19">
        <v>0.0</v>
      </c>
      <c r="I182" s="19">
        <v>0.0</v>
      </c>
      <c r="J182" s="19">
        <v>0.0</v>
      </c>
      <c r="K182" s="19">
        <v>0.0</v>
      </c>
      <c r="L182" s="19">
        <v>0.0</v>
      </c>
      <c r="M182" s="19">
        <v>0.0</v>
      </c>
      <c r="N182" s="19">
        <v>0.0</v>
      </c>
      <c r="O182" s="19">
        <v>0.0</v>
      </c>
      <c r="P182" s="19">
        <v>0.0</v>
      </c>
      <c r="Q182" s="19">
        <v>0.0</v>
      </c>
      <c r="R182" s="19">
        <v>0.0</v>
      </c>
      <c r="S182" s="19">
        <v>0.0</v>
      </c>
      <c r="T182" s="19">
        <v>0.0</v>
      </c>
      <c r="U182" s="19">
        <v>0.0</v>
      </c>
      <c r="V182" s="19">
        <v>0.0</v>
      </c>
      <c r="W182" s="13">
        <f t="shared" si="36"/>
        <v>0</v>
      </c>
    </row>
    <row r="183" ht="12.75" customHeight="1">
      <c r="A183" s="18"/>
      <c r="B183" s="55">
        <v>6.0</v>
      </c>
      <c r="C183" s="50" t="s">
        <v>135</v>
      </c>
      <c r="D183" s="60"/>
      <c r="E183" s="19">
        <v>0.0</v>
      </c>
      <c r="F183" s="19">
        <v>0.0</v>
      </c>
      <c r="G183" s="19">
        <v>0.0</v>
      </c>
      <c r="H183" s="19">
        <v>0.0</v>
      </c>
      <c r="I183" s="19">
        <v>0.0</v>
      </c>
      <c r="J183" s="19">
        <v>0.0</v>
      </c>
      <c r="K183" s="19">
        <v>0.0</v>
      </c>
      <c r="L183" s="19">
        <v>0.0</v>
      </c>
      <c r="M183" s="19">
        <v>0.0</v>
      </c>
      <c r="N183" s="19">
        <v>0.0</v>
      </c>
      <c r="O183" s="19">
        <v>0.0</v>
      </c>
      <c r="P183" s="19">
        <v>0.0</v>
      </c>
      <c r="Q183" s="19">
        <v>0.0</v>
      </c>
      <c r="R183" s="19">
        <v>0.0</v>
      </c>
      <c r="S183" s="19">
        <v>0.0</v>
      </c>
      <c r="T183" s="19">
        <v>0.0</v>
      </c>
      <c r="U183" s="19">
        <v>0.0</v>
      </c>
      <c r="V183" s="19">
        <v>0.0</v>
      </c>
      <c r="W183" s="13">
        <f t="shared" si="36"/>
        <v>0</v>
      </c>
    </row>
    <row r="184" ht="12.75" customHeight="1">
      <c r="A184" s="18"/>
      <c r="B184" s="55">
        <v>7.0</v>
      </c>
      <c r="C184" s="50" t="s">
        <v>136</v>
      </c>
      <c r="D184" s="60"/>
      <c r="E184" s="19">
        <v>0.0</v>
      </c>
      <c r="F184" s="19">
        <v>0.0</v>
      </c>
      <c r="G184" s="19">
        <v>0.0</v>
      </c>
      <c r="H184" s="19">
        <v>0.0</v>
      </c>
      <c r="I184" s="19">
        <v>0.0</v>
      </c>
      <c r="J184" s="19">
        <v>0.0</v>
      </c>
      <c r="K184" s="19">
        <v>0.0</v>
      </c>
      <c r="L184" s="19">
        <v>0.0</v>
      </c>
      <c r="M184" s="19">
        <v>0.0</v>
      </c>
      <c r="N184" s="19">
        <v>0.0</v>
      </c>
      <c r="O184" s="19">
        <v>0.0</v>
      </c>
      <c r="P184" s="19">
        <v>0.0</v>
      </c>
      <c r="Q184" s="19">
        <v>0.0</v>
      </c>
      <c r="R184" s="19">
        <v>0.0</v>
      </c>
      <c r="S184" s="19">
        <v>0.0</v>
      </c>
      <c r="T184" s="19">
        <v>0.0</v>
      </c>
      <c r="U184" s="19">
        <v>0.0</v>
      </c>
      <c r="V184" s="19">
        <v>0.0</v>
      </c>
      <c r="W184" s="13">
        <f t="shared" si="36"/>
        <v>0</v>
      </c>
    </row>
    <row r="185" ht="12.75" customHeight="1">
      <c r="A185" s="18"/>
      <c r="B185" s="56"/>
      <c r="C185" s="57"/>
      <c r="D185" s="62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3">
        <f t="shared" si="36"/>
        <v>0</v>
      </c>
    </row>
    <row r="186" ht="12.75" customHeight="1">
      <c r="A186" s="18"/>
      <c r="B186" s="56"/>
      <c r="C186" s="57"/>
      <c r="D186" s="62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3">
        <f t="shared" si="36"/>
        <v>0</v>
      </c>
    </row>
    <row r="187" ht="12.75" customHeight="1">
      <c r="A187" s="19" t="s">
        <v>15</v>
      </c>
      <c r="B187" s="47" t="s">
        <v>47</v>
      </c>
      <c r="C187" s="15"/>
      <c r="D187" s="16"/>
      <c r="E187" s="13">
        <f t="shared" ref="E187:W187" si="37">SUM(E177:E186)</f>
        <v>0</v>
      </c>
      <c r="F187" s="13">
        <f t="shared" si="37"/>
        <v>0</v>
      </c>
      <c r="G187" s="13">
        <f t="shared" si="37"/>
        <v>1</v>
      </c>
      <c r="H187" s="13">
        <f t="shared" si="37"/>
        <v>2</v>
      </c>
      <c r="I187" s="13">
        <f t="shared" si="37"/>
        <v>0</v>
      </c>
      <c r="J187" s="13">
        <f t="shared" si="37"/>
        <v>1</v>
      </c>
      <c r="K187" s="13">
        <f t="shared" si="37"/>
        <v>2</v>
      </c>
      <c r="L187" s="13">
        <f t="shared" si="37"/>
        <v>1</v>
      </c>
      <c r="M187" s="13">
        <f t="shared" si="37"/>
        <v>0</v>
      </c>
      <c r="N187" s="13">
        <f t="shared" si="37"/>
        <v>0</v>
      </c>
      <c r="O187" s="13">
        <f t="shared" si="37"/>
        <v>0</v>
      </c>
      <c r="P187" s="13">
        <f t="shared" si="37"/>
        <v>0</v>
      </c>
      <c r="Q187" s="13">
        <f t="shared" si="37"/>
        <v>0</v>
      </c>
      <c r="R187" s="13">
        <f t="shared" si="37"/>
        <v>1</v>
      </c>
      <c r="S187" s="13">
        <f t="shared" si="37"/>
        <v>1</v>
      </c>
      <c r="T187" s="13">
        <f t="shared" si="37"/>
        <v>0</v>
      </c>
      <c r="U187" s="13">
        <f t="shared" si="37"/>
        <v>0</v>
      </c>
      <c r="V187" s="13">
        <f t="shared" si="37"/>
        <v>1</v>
      </c>
      <c r="W187" s="13">
        <f t="shared" si="37"/>
        <v>10</v>
      </c>
    </row>
    <row r="188" ht="12.75" customHeight="1">
      <c r="A188" s="24"/>
      <c r="B188" s="15"/>
      <c r="C188" s="15"/>
      <c r="D188" s="15"/>
      <c r="E188" s="16"/>
      <c r="F188" s="84"/>
      <c r="G188" s="84"/>
      <c r="H188" s="84"/>
      <c r="I188" s="84"/>
      <c r="J188" s="84"/>
      <c r="K188" s="84"/>
      <c r="L188" s="84"/>
      <c r="M188" s="84"/>
      <c r="N188" s="84"/>
      <c r="W188" s="13"/>
    </row>
    <row r="189" ht="12.75" customHeight="1">
      <c r="A189" s="30" t="s">
        <v>37</v>
      </c>
      <c r="B189" s="47" t="s">
        <v>137</v>
      </c>
      <c r="C189" s="48" t="s">
        <v>138</v>
      </c>
      <c r="D189" s="16"/>
      <c r="E189" s="19">
        <v>1.0</v>
      </c>
      <c r="F189" s="19">
        <v>0.0</v>
      </c>
      <c r="G189" s="19">
        <v>0.0</v>
      </c>
      <c r="H189" s="19">
        <v>0.0</v>
      </c>
      <c r="I189" s="19">
        <v>0.0</v>
      </c>
      <c r="J189" s="19">
        <v>0.0</v>
      </c>
      <c r="K189" s="19">
        <v>0.0</v>
      </c>
      <c r="L189" s="19">
        <v>0.0</v>
      </c>
      <c r="M189" s="19">
        <v>0.0</v>
      </c>
      <c r="N189" s="19">
        <v>0.0</v>
      </c>
      <c r="O189" s="19">
        <v>0.0</v>
      </c>
      <c r="P189" s="19">
        <v>0.0</v>
      </c>
      <c r="Q189" s="19">
        <v>0.0</v>
      </c>
      <c r="R189" s="19">
        <v>0.0</v>
      </c>
      <c r="S189" s="19">
        <v>0.0</v>
      </c>
      <c r="T189" s="19">
        <v>0.0</v>
      </c>
      <c r="U189" s="19">
        <v>0.0</v>
      </c>
      <c r="V189" s="19">
        <v>0.0</v>
      </c>
      <c r="W189" s="13">
        <f t="shared" ref="W189:W198" si="38">SUM(E189:V189)</f>
        <v>1</v>
      </c>
    </row>
    <row r="190" ht="12.75" customHeight="1">
      <c r="A190" s="30" t="s">
        <v>39</v>
      </c>
      <c r="B190" s="55">
        <v>1.0</v>
      </c>
      <c r="C190" s="50" t="s">
        <v>139</v>
      </c>
      <c r="D190" s="60"/>
      <c r="E190" s="19">
        <v>0.0</v>
      </c>
      <c r="F190" s="19">
        <v>0.0</v>
      </c>
      <c r="G190" s="19">
        <v>0.0</v>
      </c>
      <c r="H190" s="19">
        <v>1.0</v>
      </c>
      <c r="I190" s="19">
        <v>0.0</v>
      </c>
      <c r="J190" s="19">
        <v>1.0</v>
      </c>
      <c r="K190" s="19">
        <v>0.0</v>
      </c>
      <c r="L190" s="19">
        <v>1.0</v>
      </c>
      <c r="M190" s="19">
        <v>0.0</v>
      </c>
      <c r="N190" s="19">
        <v>0.0</v>
      </c>
      <c r="O190" s="19">
        <v>0.0</v>
      </c>
      <c r="P190" s="19">
        <v>1.0</v>
      </c>
      <c r="Q190" s="19">
        <v>0.0</v>
      </c>
      <c r="R190" s="19">
        <v>0.0</v>
      </c>
      <c r="S190" s="19">
        <v>0.0</v>
      </c>
      <c r="T190" s="19">
        <v>0.0</v>
      </c>
      <c r="U190" s="19">
        <v>0.0</v>
      </c>
      <c r="V190" s="19">
        <v>0.0</v>
      </c>
      <c r="W190" s="13">
        <f t="shared" si="38"/>
        <v>4</v>
      </c>
    </row>
    <row r="191" ht="12.75" customHeight="1">
      <c r="A191" s="18"/>
      <c r="B191" s="55">
        <v>2.0</v>
      </c>
      <c r="C191" s="50" t="s">
        <v>140</v>
      </c>
      <c r="D191" s="60"/>
      <c r="E191" s="19">
        <v>0.0</v>
      </c>
      <c r="F191" s="19">
        <v>0.0</v>
      </c>
      <c r="G191" s="19">
        <v>0.0</v>
      </c>
      <c r="H191" s="19">
        <v>0.0</v>
      </c>
      <c r="I191" s="19">
        <v>0.0</v>
      </c>
      <c r="J191" s="19">
        <v>0.0</v>
      </c>
      <c r="K191" s="19">
        <v>0.0</v>
      </c>
      <c r="L191" s="19">
        <v>0.0</v>
      </c>
      <c r="M191" s="19">
        <v>0.0</v>
      </c>
      <c r="N191" s="19">
        <v>0.0</v>
      </c>
      <c r="O191" s="19">
        <v>0.0</v>
      </c>
      <c r="P191" s="19">
        <v>0.0</v>
      </c>
      <c r="Q191" s="19">
        <v>0.0</v>
      </c>
      <c r="R191" s="19">
        <v>0.0</v>
      </c>
      <c r="S191" s="19">
        <v>0.0</v>
      </c>
      <c r="T191" s="19">
        <v>0.0</v>
      </c>
      <c r="U191" s="19">
        <v>0.0</v>
      </c>
      <c r="V191" s="19">
        <v>0.0</v>
      </c>
      <c r="W191" s="13">
        <f t="shared" si="38"/>
        <v>0</v>
      </c>
    </row>
    <row r="192" ht="12.75" customHeight="1">
      <c r="A192" s="18"/>
      <c r="B192" s="55">
        <v>3.0</v>
      </c>
      <c r="C192" s="50" t="s">
        <v>141</v>
      </c>
      <c r="D192" s="60"/>
      <c r="E192" s="19">
        <v>0.0</v>
      </c>
      <c r="F192" s="19">
        <v>0.0</v>
      </c>
      <c r="G192" s="19">
        <v>0.0</v>
      </c>
      <c r="H192" s="19">
        <v>0.0</v>
      </c>
      <c r="I192" s="19">
        <v>0.0</v>
      </c>
      <c r="J192" s="19">
        <v>0.0</v>
      </c>
      <c r="K192" s="19">
        <v>0.0</v>
      </c>
      <c r="L192" s="19">
        <v>0.0</v>
      </c>
      <c r="M192" s="19">
        <v>0.0</v>
      </c>
      <c r="N192" s="19">
        <v>0.0</v>
      </c>
      <c r="O192" s="19">
        <v>0.0</v>
      </c>
      <c r="P192" s="19">
        <v>0.0</v>
      </c>
      <c r="Q192" s="19">
        <v>0.0</v>
      </c>
      <c r="R192" s="19">
        <v>0.0</v>
      </c>
      <c r="S192" s="19">
        <v>0.0</v>
      </c>
      <c r="T192" s="19">
        <v>0.0</v>
      </c>
      <c r="U192" s="19">
        <v>0.0</v>
      </c>
      <c r="V192" s="19">
        <v>0.0</v>
      </c>
      <c r="W192" s="13">
        <f t="shared" si="38"/>
        <v>0</v>
      </c>
    </row>
    <row r="193" ht="12.75" customHeight="1">
      <c r="A193" s="18"/>
      <c r="B193" s="55">
        <v>4.0</v>
      </c>
      <c r="C193" s="50" t="s">
        <v>142</v>
      </c>
      <c r="D193" s="60"/>
      <c r="E193" s="19">
        <v>0.0</v>
      </c>
      <c r="F193" s="19">
        <v>0.0</v>
      </c>
      <c r="G193" s="19">
        <v>0.0</v>
      </c>
      <c r="H193" s="19">
        <v>0.0</v>
      </c>
      <c r="I193" s="19">
        <v>0.0</v>
      </c>
      <c r="J193" s="19">
        <v>0.0</v>
      </c>
      <c r="K193" s="19">
        <v>0.0</v>
      </c>
      <c r="L193" s="19">
        <v>0.0</v>
      </c>
      <c r="M193" s="19">
        <v>0.0</v>
      </c>
      <c r="N193" s="19">
        <v>0.0</v>
      </c>
      <c r="O193" s="19">
        <v>0.0</v>
      </c>
      <c r="P193" s="19">
        <v>0.0</v>
      </c>
      <c r="Q193" s="19">
        <v>0.0</v>
      </c>
      <c r="R193" s="19">
        <v>0.0</v>
      </c>
      <c r="S193" s="19">
        <v>0.0</v>
      </c>
      <c r="T193" s="19">
        <v>0.0</v>
      </c>
      <c r="U193" s="19">
        <v>0.0</v>
      </c>
      <c r="V193" s="19">
        <v>0.0</v>
      </c>
      <c r="W193" s="13">
        <f t="shared" si="38"/>
        <v>0</v>
      </c>
    </row>
    <row r="194" ht="12.75" customHeight="1">
      <c r="A194" s="18"/>
      <c r="B194" s="55">
        <v>5.0</v>
      </c>
      <c r="C194" s="50" t="s">
        <v>143</v>
      </c>
      <c r="D194" s="60"/>
      <c r="E194" s="19">
        <v>0.0</v>
      </c>
      <c r="F194" s="19">
        <v>0.0</v>
      </c>
      <c r="G194" s="19">
        <v>0.0</v>
      </c>
      <c r="H194" s="19">
        <v>0.0</v>
      </c>
      <c r="I194" s="19">
        <v>0.0</v>
      </c>
      <c r="J194" s="19">
        <v>0.0</v>
      </c>
      <c r="K194" s="19">
        <v>0.0</v>
      </c>
      <c r="L194" s="19">
        <v>0.0</v>
      </c>
      <c r="M194" s="19">
        <v>0.0</v>
      </c>
      <c r="N194" s="19">
        <v>0.0</v>
      </c>
      <c r="O194" s="19">
        <v>0.0</v>
      </c>
      <c r="P194" s="19">
        <v>0.0</v>
      </c>
      <c r="Q194" s="19">
        <v>0.0</v>
      </c>
      <c r="R194" s="19">
        <v>0.0</v>
      </c>
      <c r="S194" s="19">
        <v>0.0</v>
      </c>
      <c r="T194" s="19">
        <v>0.0</v>
      </c>
      <c r="U194" s="19">
        <v>0.0</v>
      </c>
      <c r="V194" s="19">
        <v>0.0</v>
      </c>
      <c r="W194" s="13">
        <f t="shared" si="38"/>
        <v>0</v>
      </c>
    </row>
    <row r="195" ht="12.75" customHeight="1">
      <c r="A195" s="18"/>
      <c r="B195" s="55">
        <v>6.0</v>
      </c>
      <c r="C195" s="50" t="s">
        <v>144</v>
      </c>
      <c r="D195" s="60"/>
      <c r="E195" s="19">
        <v>0.0</v>
      </c>
      <c r="F195" s="19">
        <v>0.0</v>
      </c>
      <c r="G195" s="19">
        <v>0.0</v>
      </c>
      <c r="H195" s="19">
        <v>0.0</v>
      </c>
      <c r="I195" s="19">
        <v>0.0</v>
      </c>
      <c r="J195" s="19">
        <v>0.0</v>
      </c>
      <c r="K195" s="19">
        <v>0.0</v>
      </c>
      <c r="L195" s="19">
        <v>0.0</v>
      </c>
      <c r="M195" s="19">
        <v>0.0</v>
      </c>
      <c r="N195" s="19">
        <v>0.0</v>
      </c>
      <c r="O195" s="19">
        <v>0.0</v>
      </c>
      <c r="P195" s="19">
        <v>0.0</v>
      </c>
      <c r="Q195" s="19">
        <v>0.0</v>
      </c>
      <c r="R195" s="19">
        <v>0.0</v>
      </c>
      <c r="S195" s="19">
        <v>0.0</v>
      </c>
      <c r="T195" s="19">
        <v>0.0</v>
      </c>
      <c r="U195" s="19">
        <v>0.0</v>
      </c>
      <c r="V195" s="19">
        <v>0.0</v>
      </c>
      <c r="W195" s="13">
        <f t="shared" si="38"/>
        <v>0</v>
      </c>
    </row>
    <row r="196" ht="12.75" customHeight="1">
      <c r="A196" s="18"/>
      <c r="B196" s="55">
        <v>7.0</v>
      </c>
      <c r="C196" s="50" t="s">
        <v>145</v>
      </c>
      <c r="D196" s="60"/>
      <c r="E196" s="19">
        <v>0.0</v>
      </c>
      <c r="F196" s="19">
        <v>0.0</v>
      </c>
      <c r="G196" s="19">
        <v>0.0</v>
      </c>
      <c r="H196" s="19">
        <v>0.0</v>
      </c>
      <c r="I196" s="19">
        <v>0.0</v>
      </c>
      <c r="J196" s="19">
        <v>0.0</v>
      </c>
      <c r="K196" s="19">
        <v>0.0</v>
      </c>
      <c r="L196" s="19">
        <v>0.0</v>
      </c>
      <c r="M196" s="19">
        <v>0.0</v>
      </c>
      <c r="N196" s="19">
        <v>0.0</v>
      </c>
      <c r="O196" s="19">
        <v>0.0</v>
      </c>
      <c r="P196" s="19">
        <v>0.0</v>
      </c>
      <c r="Q196" s="19">
        <v>0.0</v>
      </c>
      <c r="R196" s="19">
        <v>0.0</v>
      </c>
      <c r="S196" s="19">
        <v>0.0</v>
      </c>
      <c r="T196" s="19">
        <v>0.0</v>
      </c>
      <c r="U196" s="19">
        <v>0.0</v>
      </c>
      <c r="V196" s="19">
        <v>0.0</v>
      </c>
      <c r="W196" s="13">
        <f t="shared" si="38"/>
        <v>0</v>
      </c>
    </row>
    <row r="197" ht="12.75" customHeight="1">
      <c r="A197" s="18"/>
      <c r="B197" s="56"/>
      <c r="C197" s="57"/>
      <c r="D197" s="62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3">
        <f t="shared" si="38"/>
        <v>0</v>
      </c>
    </row>
    <row r="198" ht="12.75" customHeight="1">
      <c r="A198" s="18"/>
      <c r="B198" s="56"/>
      <c r="C198" s="57"/>
      <c r="D198" s="62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3">
        <f t="shared" si="38"/>
        <v>0</v>
      </c>
    </row>
    <row r="199" ht="12.75" customHeight="1">
      <c r="A199" s="19" t="s">
        <v>15</v>
      </c>
      <c r="B199" s="47" t="s">
        <v>47</v>
      </c>
      <c r="C199" s="15"/>
      <c r="D199" s="16"/>
      <c r="E199" s="13">
        <f t="shared" ref="E199:W199" si="39">SUM(E189:E198)</f>
        <v>1</v>
      </c>
      <c r="F199" s="13">
        <f t="shared" si="39"/>
        <v>0</v>
      </c>
      <c r="G199" s="13">
        <f t="shared" si="39"/>
        <v>0</v>
      </c>
      <c r="H199" s="13">
        <f t="shared" si="39"/>
        <v>1</v>
      </c>
      <c r="I199" s="13">
        <f t="shared" si="39"/>
        <v>0</v>
      </c>
      <c r="J199" s="13">
        <f t="shared" si="39"/>
        <v>1</v>
      </c>
      <c r="K199" s="13">
        <f t="shared" si="39"/>
        <v>0</v>
      </c>
      <c r="L199" s="13">
        <f t="shared" si="39"/>
        <v>1</v>
      </c>
      <c r="M199" s="13">
        <f t="shared" si="39"/>
        <v>0</v>
      </c>
      <c r="N199" s="13">
        <f t="shared" si="39"/>
        <v>0</v>
      </c>
      <c r="O199" s="13">
        <f t="shared" si="39"/>
        <v>0</v>
      </c>
      <c r="P199" s="13">
        <f t="shared" si="39"/>
        <v>1</v>
      </c>
      <c r="Q199" s="13">
        <f t="shared" si="39"/>
        <v>0</v>
      </c>
      <c r="R199" s="13">
        <f t="shared" si="39"/>
        <v>0</v>
      </c>
      <c r="S199" s="13">
        <f t="shared" si="39"/>
        <v>0</v>
      </c>
      <c r="T199" s="13">
        <f t="shared" si="39"/>
        <v>0</v>
      </c>
      <c r="U199" s="13">
        <f t="shared" si="39"/>
        <v>0</v>
      </c>
      <c r="V199" s="13">
        <f t="shared" si="39"/>
        <v>0</v>
      </c>
      <c r="W199" s="13">
        <f t="shared" si="39"/>
        <v>5</v>
      </c>
    </row>
    <row r="200" ht="12.75" customHeight="1">
      <c r="A200" s="24"/>
      <c r="B200" s="15"/>
      <c r="C200" s="15"/>
      <c r="D200" s="15"/>
      <c r="E200" s="16"/>
      <c r="F200" s="84"/>
      <c r="G200" s="84"/>
      <c r="H200" s="84"/>
      <c r="I200" s="84"/>
      <c r="J200" s="84"/>
      <c r="K200" s="84"/>
      <c r="L200" s="84"/>
      <c r="M200" s="84"/>
      <c r="N200" s="84"/>
      <c r="O200" s="84"/>
      <c r="P200" s="84"/>
      <c r="Q200" s="84"/>
      <c r="R200" s="84"/>
      <c r="S200" s="84"/>
      <c r="T200" s="84"/>
      <c r="U200" s="84"/>
      <c r="V200" s="84"/>
      <c r="W200" s="84"/>
    </row>
    <row r="201" ht="12.75" customHeight="1">
      <c r="A201" s="30" t="s">
        <v>37</v>
      </c>
      <c r="B201" s="47" t="s">
        <v>146</v>
      </c>
      <c r="C201" s="48" t="s">
        <v>147</v>
      </c>
      <c r="D201" s="16"/>
      <c r="E201" s="19">
        <v>1.0</v>
      </c>
      <c r="F201" s="19">
        <v>0.0</v>
      </c>
      <c r="G201" s="19">
        <v>0.0</v>
      </c>
      <c r="H201" s="19">
        <v>0.0</v>
      </c>
      <c r="I201" s="19">
        <v>1.0</v>
      </c>
      <c r="J201" s="19">
        <v>0.0</v>
      </c>
      <c r="K201" s="19">
        <v>0.0</v>
      </c>
      <c r="L201" s="19">
        <v>0.0</v>
      </c>
      <c r="M201" s="19">
        <v>1.0</v>
      </c>
      <c r="N201" s="19">
        <v>0.0</v>
      </c>
      <c r="O201" s="19">
        <v>1.0</v>
      </c>
      <c r="P201" s="19">
        <v>0.0</v>
      </c>
      <c r="Q201" s="19">
        <v>1.0</v>
      </c>
      <c r="R201" s="19">
        <v>0.0</v>
      </c>
      <c r="S201" s="19">
        <v>0.0</v>
      </c>
      <c r="T201" s="19">
        <v>0.0</v>
      </c>
      <c r="U201" s="19">
        <v>1.0</v>
      </c>
      <c r="V201" s="19">
        <v>0.0</v>
      </c>
      <c r="W201" s="13">
        <f t="shared" ref="W201:W210" si="40">SUM(E201:V201)</f>
        <v>6</v>
      </c>
    </row>
    <row r="202" ht="12.75" customHeight="1">
      <c r="A202" s="30" t="s">
        <v>39</v>
      </c>
      <c r="B202" s="55">
        <v>1.0</v>
      </c>
      <c r="C202" s="50" t="s">
        <v>148</v>
      </c>
      <c r="D202" s="60"/>
      <c r="E202" s="19">
        <v>1.0</v>
      </c>
      <c r="F202" s="19">
        <v>5.0</v>
      </c>
      <c r="G202" s="19">
        <v>1.0</v>
      </c>
      <c r="H202" s="19">
        <v>3.0</v>
      </c>
      <c r="I202" s="19">
        <v>1.0</v>
      </c>
      <c r="J202" s="19">
        <v>0.0</v>
      </c>
      <c r="K202" s="19">
        <v>0.0</v>
      </c>
      <c r="L202" s="19">
        <v>0.0</v>
      </c>
      <c r="M202" s="19">
        <v>0.0</v>
      </c>
      <c r="N202" s="19">
        <v>0.0</v>
      </c>
      <c r="O202" s="19">
        <v>1.0</v>
      </c>
      <c r="P202" s="19">
        <v>0.0</v>
      </c>
      <c r="Q202" s="19">
        <v>4.0</v>
      </c>
      <c r="R202" s="19">
        <v>1.0</v>
      </c>
      <c r="S202" s="19">
        <v>1.0</v>
      </c>
      <c r="T202" s="19">
        <v>2.0</v>
      </c>
      <c r="U202" s="19">
        <v>0.0</v>
      </c>
      <c r="V202" s="19">
        <v>5.0</v>
      </c>
      <c r="W202" s="13">
        <f t="shared" si="40"/>
        <v>25</v>
      </c>
    </row>
    <row r="203" ht="12.75" customHeight="1">
      <c r="A203" s="18"/>
      <c r="B203" s="55">
        <v>2.0</v>
      </c>
      <c r="C203" s="50" t="s">
        <v>149</v>
      </c>
      <c r="D203" s="60"/>
      <c r="E203" s="19">
        <v>0.0</v>
      </c>
      <c r="F203" s="19">
        <v>0.0</v>
      </c>
      <c r="G203" s="19">
        <v>0.0</v>
      </c>
      <c r="H203" s="19">
        <v>0.0</v>
      </c>
      <c r="I203" s="19">
        <v>0.0</v>
      </c>
      <c r="J203" s="19">
        <v>0.0</v>
      </c>
      <c r="K203" s="19">
        <v>0.0</v>
      </c>
      <c r="L203" s="19">
        <v>0.0</v>
      </c>
      <c r="M203" s="19">
        <v>0.0</v>
      </c>
      <c r="N203" s="19">
        <v>0.0</v>
      </c>
      <c r="O203" s="19">
        <v>0.0</v>
      </c>
      <c r="P203" s="19">
        <v>0.0</v>
      </c>
      <c r="Q203" s="19">
        <v>1.0</v>
      </c>
      <c r="R203" s="19">
        <v>0.0</v>
      </c>
      <c r="S203" s="19">
        <v>0.0</v>
      </c>
      <c r="T203" s="19">
        <v>0.0</v>
      </c>
      <c r="U203" s="19">
        <v>0.0</v>
      </c>
      <c r="V203" s="19">
        <v>0.0</v>
      </c>
      <c r="W203" s="13">
        <f t="shared" si="40"/>
        <v>1</v>
      </c>
    </row>
    <row r="204" ht="12.75" customHeight="1">
      <c r="A204" s="18"/>
      <c r="B204" s="55">
        <v>3.0</v>
      </c>
      <c r="C204" s="50" t="s">
        <v>150</v>
      </c>
      <c r="D204" s="60"/>
      <c r="E204" s="19">
        <v>0.0</v>
      </c>
      <c r="F204" s="19">
        <v>0.0</v>
      </c>
      <c r="G204" s="19">
        <v>0.0</v>
      </c>
      <c r="H204" s="19">
        <v>0.0</v>
      </c>
      <c r="I204" s="19">
        <v>0.0</v>
      </c>
      <c r="J204" s="19">
        <v>0.0</v>
      </c>
      <c r="K204" s="19">
        <v>0.0</v>
      </c>
      <c r="L204" s="19">
        <v>0.0</v>
      </c>
      <c r="M204" s="19">
        <v>0.0</v>
      </c>
      <c r="N204" s="19">
        <v>0.0</v>
      </c>
      <c r="O204" s="19">
        <v>0.0</v>
      </c>
      <c r="P204" s="19">
        <v>0.0</v>
      </c>
      <c r="Q204" s="19">
        <v>0.0</v>
      </c>
      <c r="R204" s="19">
        <v>0.0</v>
      </c>
      <c r="S204" s="19">
        <v>0.0</v>
      </c>
      <c r="T204" s="19">
        <v>0.0</v>
      </c>
      <c r="U204" s="19">
        <v>0.0</v>
      </c>
      <c r="V204" s="19">
        <v>0.0</v>
      </c>
      <c r="W204" s="13">
        <f t="shared" si="40"/>
        <v>0</v>
      </c>
    </row>
    <row r="205" ht="12.75" customHeight="1">
      <c r="A205" s="18"/>
      <c r="B205" s="55">
        <v>4.0</v>
      </c>
      <c r="C205" s="50" t="s">
        <v>151</v>
      </c>
      <c r="D205" s="60"/>
      <c r="E205" s="19">
        <v>0.0</v>
      </c>
      <c r="F205" s="19">
        <v>0.0</v>
      </c>
      <c r="G205" s="19">
        <v>0.0</v>
      </c>
      <c r="H205" s="19">
        <v>0.0</v>
      </c>
      <c r="I205" s="19">
        <v>3.0</v>
      </c>
      <c r="J205" s="19">
        <v>0.0</v>
      </c>
      <c r="K205" s="19">
        <v>2.0</v>
      </c>
      <c r="L205" s="19">
        <v>0.0</v>
      </c>
      <c r="M205" s="19">
        <v>0.0</v>
      </c>
      <c r="N205" s="19">
        <v>0.0</v>
      </c>
      <c r="O205" s="19">
        <v>0.0</v>
      </c>
      <c r="P205" s="19">
        <v>0.0</v>
      </c>
      <c r="Q205" s="19">
        <v>0.0</v>
      </c>
      <c r="R205" s="19">
        <v>0.0</v>
      </c>
      <c r="S205" s="19">
        <v>0.0</v>
      </c>
      <c r="T205" s="19">
        <v>0.0</v>
      </c>
      <c r="U205" s="19">
        <v>0.0</v>
      </c>
      <c r="V205" s="19">
        <v>0.0</v>
      </c>
      <c r="W205" s="13">
        <f t="shared" si="40"/>
        <v>5</v>
      </c>
    </row>
    <row r="206" ht="12.75" customHeight="1">
      <c r="A206" s="18"/>
      <c r="B206" s="55">
        <v>5.0</v>
      </c>
      <c r="C206" s="50" t="s">
        <v>152</v>
      </c>
      <c r="D206" s="60"/>
      <c r="E206" s="19">
        <v>0.0</v>
      </c>
      <c r="F206" s="19">
        <v>0.0</v>
      </c>
      <c r="G206" s="19">
        <v>0.0</v>
      </c>
      <c r="H206" s="19">
        <v>0.0</v>
      </c>
      <c r="I206" s="19">
        <v>0.0</v>
      </c>
      <c r="J206" s="19">
        <v>0.0</v>
      </c>
      <c r="K206" s="19">
        <v>0.0</v>
      </c>
      <c r="L206" s="19">
        <v>0.0</v>
      </c>
      <c r="M206" s="19">
        <v>0.0</v>
      </c>
      <c r="N206" s="19">
        <v>0.0</v>
      </c>
      <c r="O206" s="19">
        <v>0.0</v>
      </c>
      <c r="P206" s="19">
        <v>0.0</v>
      </c>
      <c r="Q206" s="19">
        <v>0.0</v>
      </c>
      <c r="R206" s="19">
        <v>0.0</v>
      </c>
      <c r="S206" s="19">
        <v>0.0</v>
      </c>
      <c r="T206" s="19">
        <v>0.0</v>
      </c>
      <c r="U206" s="19">
        <v>0.0</v>
      </c>
      <c r="V206" s="19">
        <v>1.0</v>
      </c>
      <c r="W206" s="13">
        <f t="shared" si="40"/>
        <v>1</v>
      </c>
    </row>
    <row r="207" ht="12.75" customHeight="1">
      <c r="A207" s="18"/>
      <c r="B207" s="55">
        <v>6.0</v>
      </c>
      <c r="C207" s="50" t="s">
        <v>153</v>
      </c>
      <c r="D207" s="60"/>
      <c r="E207" s="19">
        <v>0.0</v>
      </c>
      <c r="F207" s="19">
        <v>0.0</v>
      </c>
      <c r="G207" s="19">
        <v>0.0</v>
      </c>
      <c r="H207" s="19">
        <v>0.0</v>
      </c>
      <c r="I207" s="19">
        <v>0.0</v>
      </c>
      <c r="J207" s="19">
        <v>0.0</v>
      </c>
      <c r="K207" s="19">
        <v>0.0</v>
      </c>
      <c r="L207" s="19">
        <v>0.0</v>
      </c>
      <c r="M207" s="19">
        <v>0.0</v>
      </c>
      <c r="N207" s="19">
        <v>0.0</v>
      </c>
      <c r="O207" s="19">
        <v>0.0</v>
      </c>
      <c r="P207" s="19">
        <v>0.0</v>
      </c>
      <c r="Q207" s="19">
        <v>0.0</v>
      </c>
      <c r="R207" s="19">
        <v>0.0</v>
      </c>
      <c r="S207" s="19">
        <v>0.0</v>
      </c>
      <c r="T207" s="19">
        <v>0.0</v>
      </c>
      <c r="U207" s="19">
        <v>0.0</v>
      </c>
      <c r="V207" s="19">
        <v>0.0</v>
      </c>
      <c r="W207" s="13">
        <f t="shared" si="40"/>
        <v>0</v>
      </c>
    </row>
    <row r="208" ht="12.75" customHeight="1">
      <c r="A208" s="18"/>
      <c r="B208" s="55">
        <v>7.0</v>
      </c>
      <c r="C208" s="50" t="s">
        <v>154</v>
      </c>
      <c r="D208" s="60"/>
      <c r="E208" s="19">
        <v>0.0</v>
      </c>
      <c r="F208" s="19">
        <v>0.0</v>
      </c>
      <c r="G208" s="19">
        <v>0.0</v>
      </c>
      <c r="H208" s="19">
        <v>0.0</v>
      </c>
      <c r="I208" s="19">
        <v>0.0</v>
      </c>
      <c r="J208" s="19">
        <v>0.0</v>
      </c>
      <c r="K208" s="19">
        <v>0.0</v>
      </c>
      <c r="L208" s="19">
        <v>0.0</v>
      </c>
      <c r="M208" s="19">
        <v>0.0</v>
      </c>
      <c r="N208" s="19">
        <v>0.0</v>
      </c>
      <c r="O208" s="19">
        <v>0.0</v>
      </c>
      <c r="P208" s="19">
        <v>0.0</v>
      </c>
      <c r="Q208" s="19">
        <v>0.0</v>
      </c>
      <c r="R208" s="19">
        <v>0.0</v>
      </c>
      <c r="S208" s="19">
        <v>0.0</v>
      </c>
      <c r="T208" s="19">
        <v>0.0</v>
      </c>
      <c r="U208" s="19">
        <v>0.0</v>
      </c>
      <c r="V208" s="19">
        <v>0.0</v>
      </c>
      <c r="W208" s="13">
        <f t="shared" si="40"/>
        <v>0</v>
      </c>
    </row>
    <row r="209" ht="12.75" customHeight="1">
      <c r="A209" s="18"/>
      <c r="B209" s="56"/>
      <c r="C209" s="57"/>
      <c r="D209" s="62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3">
        <f t="shared" si="40"/>
        <v>0</v>
      </c>
    </row>
    <row r="210" ht="12.75" customHeight="1">
      <c r="A210" s="18"/>
      <c r="B210" s="56"/>
      <c r="C210" s="57"/>
      <c r="D210" s="62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3">
        <f t="shared" si="40"/>
        <v>0</v>
      </c>
    </row>
    <row r="211" ht="12.75" customHeight="1">
      <c r="A211" s="19" t="s">
        <v>15</v>
      </c>
      <c r="B211" s="47" t="s">
        <v>47</v>
      </c>
      <c r="C211" s="15"/>
      <c r="D211" s="16"/>
      <c r="E211" s="13">
        <f t="shared" ref="E211:W211" si="41">SUM(E201:E210)</f>
        <v>2</v>
      </c>
      <c r="F211" s="13">
        <f t="shared" si="41"/>
        <v>5</v>
      </c>
      <c r="G211" s="13">
        <f t="shared" si="41"/>
        <v>1</v>
      </c>
      <c r="H211" s="13">
        <f t="shared" si="41"/>
        <v>3</v>
      </c>
      <c r="I211" s="13">
        <f t="shared" si="41"/>
        <v>5</v>
      </c>
      <c r="J211" s="13">
        <f t="shared" si="41"/>
        <v>0</v>
      </c>
      <c r="K211" s="13">
        <f t="shared" si="41"/>
        <v>2</v>
      </c>
      <c r="L211" s="13">
        <f t="shared" si="41"/>
        <v>0</v>
      </c>
      <c r="M211" s="13">
        <f t="shared" si="41"/>
        <v>1</v>
      </c>
      <c r="N211" s="13">
        <f t="shared" si="41"/>
        <v>0</v>
      </c>
      <c r="O211" s="13">
        <f t="shared" si="41"/>
        <v>2</v>
      </c>
      <c r="P211" s="13">
        <f t="shared" si="41"/>
        <v>0</v>
      </c>
      <c r="Q211" s="13">
        <f t="shared" si="41"/>
        <v>6</v>
      </c>
      <c r="R211" s="13">
        <f t="shared" si="41"/>
        <v>1</v>
      </c>
      <c r="S211" s="13">
        <f t="shared" si="41"/>
        <v>1</v>
      </c>
      <c r="T211" s="13">
        <f t="shared" si="41"/>
        <v>2</v>
      </c>
      <c r="U211" s="13">
        <f t="shared" si="41"/>
        <v>1</v>
      </c>
      <c r="V211" s="13">
        <f t="shared" si="41"/>
        <v>6</v>
      </c>
      <c r="W211" s="13">
        <f t="shared" si="41"/>
        <v>38</v>
      </c>
    </row>
    <row r="212" ht="12.75" customHeight="1">
      <c r="A212" s="24"/>
      <c r="B212" s="15"/>
      <c r="C212" s="15"/>
      <c r="D212" s="15"/>
      <c r="E212" s="16"/>
      <c r="F212" s="84"/>
      <c r="G212" s="84"/>
      <c r="H212" s="84"/>
      <c r="I212" s="84"/>
      <c r="J212" s="84"/>
      <c r="K212" s="84"/>
      <c r="L212" s="84"/>
      <c r="M212" s="84"/>
      <c r="N212" s="84"/>
      <c r="O212" s="84"/>
      <c r="P212" s="84"/>
      <c r="Q212" s="84"/>
      <c r="R212" s="84"/>
      <c r="S212" s="84"/>
      <c r="T212" s="84"/>
      <c r="U212" s="84"/>
      <c r="V212" s="84"/>
      <c r="W212" s="84"/>
    </row>
    <row r="213" ht="12.75" customHeight="1">
      <c r="A213" s="30" t="s">
        <v>37</v>
      </c>
      <c r="B213" s="47" t="s">
        <v>155</v>
      </c>
      <c r="C213" s="48" t="s">
        <v>156</v>
      </c>
      <c r="D213" s="16"/>
      <c r="E213" s="19">
        <v>9.0</v>
      </c>
      <c r="F213" s="19">
        <v>3.0</v>
      </c>
      <c r="G213" s="19">
        <v>4.0</v>
      </c>
      <c r="H213" s="19">
        <v>3.0</v>
      </c>
      <c r="I213" s="19">
        <v>8.0</v>
      </c>
      <c r="J213" s="19">
        <v>4.0</v>
      </c>
      <c r="K213" s="19">
        <v>1.0</v>
      </c>
      <c r="L213" s="19">
        <v>4.0</v>
      </c>
      <c r="M213" s="19">
        <v>1.0</v>
      </c>
      <c r="N213" s="19">
        <v>0.0</v>
      </c>
      <c r="O213" s="19">
        <v>0.0</v>
      </c>
      <c r="P213" s="19">
        <v>1.0</v>
      </c>
      <c r="Q213" s="19">
        <v>0.0</v>
      </c>
      <c r="R213" s="19">
        <v>1.0</v>
      </c>
      <c r="S213" s="19">
        <v>1.0</v>
      </c>
      <c r="T213" s="19">
        <v>1.0</v>
      </c>
      <c r="U213" s="19">
        <v>0.0</v>
      </c>
      <c r="V213" s="19">
        <v>4.0</v>
      </c>
      <c r="W213" s="13">
        <f t="shared" ref="W213:W222" si="42">SUM(E213:V213)</f>
        <v>45</v>
      </c>
    </row>
    <row r="214" ht="12.75" customHeight="1">
      <c r="A214" s="30" t="s">
        <v>39</v>
      </c>
      <c r="B214" s="55">
        <v>1.0</v>
      </c>
      <c r="C214" s="50" t="s">
        <v>157</v>
      </c>
      <c r="D214" s="59"/>
      <c r="E214" s="19">
        <v>63.0</v>
      </c>
      <c r="F214" s="19">
        <v>80.0</v>
      </c>
      <c r="G214" s="19">
        <v>41.0</v>
      </c>
      <c r="H214" s="19">
        <v>21.0</v>
      </c>
      <c r="I214" s="19">
        <v>75.0</v>
      </c>
      <c r="J214" s="19">
        <v>21.0</v>
      </c>
      <c r="K214" s="19">
        <v>52.0</v>
      </c>
      <c r="L214" s="19">
        <v>59.0</v>
      </c>
      <c r="M214" s="19">
        <v>27.0</v>
      </c>
      <c r="N214" s="19">
        <v>0.0</v>
      </c>
      <c r="O214" s="19">
        <v>19.0</v>
      </c>
      <c r="P214" s="19">
        <v>14.0</v>
      </c>
      <c r="Q214" s="19">
        <v>22.0</v>
      </c>
      <c r="R214" s="19">
        <v>9.0</v>
      </c>
      <c r="S214" s="19">
        <v>14.0</v>
      </c>
      <c r="T214" s="19">
        <v>31.0</v>
      </c>
      <c r="U214" s="19">
        <v>26.0</v>
      </c>
      <c r="V214" s="19">
        <v>46.0</v>
      </c>
      <c r="W214" s="13">
        <f t="shared" si="42"/>
        <v>620</v>
      </c>
    </row>
    <row r="215" ht="12.75" customHeight="1">
      <c r="A215" s="18"/>
      <c r="B215" s="55">
        <v>2.0</v>
      </c>
      <c r="C215" s="50" t="s">
        <v>158</v>
      </c>
      <c r="D215" s="59"/>
      <c r="E215" s="19">
        <v>0.0</v>
      </c>
      <c r="F215" s="19">
        <v>2.0</v>
      </c>
      <c r="G215" s="19">
        <v>0.0</v>
      </c>
      <c r="H215" s="19">
        <v>0.0</v>
      </c>
      <c r="I215" s="19">
        <v>0.0</v>
      </c>
      <c r="J215" s="19">
        <v>0.0</v>
      </c>
      <c r="K215" s="19">
        <v>0.0</v>
      </c>
      <c r="L215" s="19">
        <v>0.0</v>
      </c>
      <c r="M215" s="19">
        <v>0.0</v>
      </c>
      <c r="N215" s="19">
        <v>0.0</v>
      </c>
      <c r="O215" s="19">
        <v>1.0</v>
      </c>
      <c r="P215" s="19">
        <v>0.0</v>
      </c>
      <c r="Q215" s="19">
        <v>0.0</v>
      </c>
      <c r="R215" s="19">
        <v>0.0</v>
      </c>
      <c r="S215" s="19">
        <v>0.0</v>
      </c>
      <c r="T215" s="19">
        <v>0.0</v>
      </c>
      <c r="U215" s="19">
        <v>0.0</v>
      </c>
      <c r="V215" s="19">
        <v>0.0</v>
      </c>
      <c r="W215" s="13">
        <f t="shared" si="42"/>
        <v>3</v>
      </c>
    </row>
    <row r="216" ht="12.75" customHeight="1">
      <c r="A216" s="18"/>
      <c r="B216" s="55">
        <v>3.0</v>
      </c>
      <c r="C216" s="70" t="s">
        <v>159</v>
      </c>
      <c r="E216" s="19">
        <v>0.0</v>
      </c>
      <c r="F216" s="19">
        <v>1.0</v>
      </c>
      <c r="G216" s="19">
        <v>0.0</v>
      </c>
      <c r="H216" s="19">
        <v>0.0</v>
      </c>
      <c r="I216" s="19">
        <v>1.0</v>
      </c>
      <c r="J216" s="19">
        <v>0.0</v>
      </c>
      <c r="K216" s="19">
        <v>0.0</v>
      </c>
      <c r="L216" s="19">
        <v>0.0</v>
      </c>
      <c r="M216" s="19">
        <v>0.0</v>
      </c>
      <c r="N216" s="19">
        <v>0.0</v>
      </c>
      <c r="O216" s="19">
        <v>0.0</v>
      </c>
      <c r="P216" s="19">
        <v>0.0</v>
      </c>
      <c r="Q216" s="19">
        <v>0.0</v>
      </c>
      <c r="R216" s="19">
        <v>0.0</v>
      </c>
      <c r="S216" s="19">
        <v>0.0</v>
      </c>
      <c r="T216" s="19">
        <v>0.0</v>
      </c>
      <c r="U216" s="19">
        <v>0.0</v>
      </c>
      <c r="V216" s="19">
        <v>0.0</v>
      </c>
      <c r="W216" s="13">
        <f t="shared" si="42"/>
        <v>2</v>
      </c>
    </row>
    <row r="217" ht="12.75" customHeight="1">
      <c r="A217" s="18"/>
      <c r="B217" s="55">
        <v>4.0</v>
      </c>
      <c r="C217" s="50" t="s">
        <v>160</v>
      </c>
      <c r="D217" s="59"/>
      <c r="E217" s="19">
        <v>0.0</v>
      </c>
      <c r="F217" s="19">
        <v>0.0</v>
      </c>
      <c r="G217" s="19">
        <v>0.0</v>
      </c>
      <c r="H217" s="19">
        <v>0.0</v>
      </c>
      <c r="I217" s="19">
        <v>0.0</v>
      </c>
      <c r="J217" s="19">
        <v>0.0</v>
      </c>
      <c r="K217" s="19">
        <v>0.0</v>
      </c>
      <c r="L217" s="19">
        <v>0.0</v>
      </c>
      <c r="M217" s="19">
        <v>0.0</v>
      </c>
      <c r="N217" s="19">
        <v>0.0</v>
      </c>
      <c r="O217" s="19">
        <v>0.0</v>
      </c>
      <c r="P217" s="19">
        <v>0.0</v>
      </c>
      <c r="Q217" s="19">
        <v>0.0</v>
      </c>
      <c r="R217" s="19">
        <v>0.0</v>
      </c>
      <c r="S217" s="19">
        <v>0.0</v>
      </c>
      <c r="T217" s="19">
        <v>0.0</v>
      </c>
      <c r="U217" s="19">
        <v>0.0</v>
      </c>
      <c r="V217" s="19">
        <v>0.0</v>
      </c>
      <c r="W217" s="13">
        <f t="shared" si="42"/>
        <v>0</v>
      </c>
    </row>
    <row r="218" ht="12.75" customHeight="1">
      <c r="A218" s="18"/>
      <c r="B218" s="55">
        <v>5.0</v>
      </c>
      <c r="C218" s="50" t="s">
        <v>161</v>
      </c>
      <c r="D218" s="59"/>
      <c r="E218" s="19">
        <v>0.0</v>
      </c>
      <c r="F218" s="19">
        <v>0.0</v>
      </c>
      <c r="G218" s="19">
        <v>0.0</v>
      </c>
      <c r="H218" s="19">
        <v>0.0</v>
      </c>
      <c r="I218" s="19">
        <v>0.0</v>
      </c>
      <c r="J218" s="19">
        <v>0.0</v>
      </c>
      <c r="K218" s="19">
        <v>0.0</v>
      </c>
      <c r="L218" s="19">
        <v>0.0</v>
      </c>
      <c r="M218" s="19">
        <v>0.0</v>
      </c>
      <c r="N218" s="19">
        <v>0.0</v>
      </c>
      <c r="O218" s="19">
        <v>0.0</v>
      </c>
      <c r="P218" s="19">
        <v>0.0</v>
      </c>
      <c r="Q218" s="19">
        <v>0.0</v>
      </c>
      <c r="R218" s="19">
        <v>0.0</v>
      </c>
      <c r="S218" s="19">
        <v>0.0</v>
      </c>
      <c r="T218" s="19">
        <v>0.0</v>
      </c>
      <c r="U218" s="19">
        <v>0.0</v>
      </c>
      <c r="V218" s="19">
        <v>0.0</v>
      </c>
      <c r="W218" s="13">
        <f t="shared" si="42"/>
        <v>0</v>
      </c>
    </row>
    <row r="219" ht="12.75" customHeight="1">
      <c r="A219" s="18"/>
      <c r="B219" s="55">
        <v>6.0</v>
      </c>
      <c r="C219" s="50" t="s">
        <v>162</v>
      </c>
      <c r="D219" s="59"/>
      <c r="E219" s="19">
        <v>0.0</v>
      </c>
      <c r="F219" s="19">
        <v>0.0</v>
      </c>
      <c r="G219" s="19">
        <v>0.0</v>
      </c>
      <c r="H219" s="19">
        <v>0.0</v>
      </c>
      <c r="I219" s="19">
        <v>0.0</v>
      </c>
      <c r="J219" s="19">
        <v>0.0</v>
      </c>
      <c r="K219" s="19">
        <v>0.0</v>
      </c>
      <c r="L219" s="19">
        <v>0.0</v>
      </c>
      <c r="M219" s="19">
        <v>0.0</v>
      </c>
      <c r="N219" s="19">
        <v>0.0</v>
      </c>
      <c r="O219" s="19">
        <v>0.0</v>
      </c>
      <c r="P219" s="19">
        <v>0.0</v>
      </c>
      <c r="Q219" s="19">
        <v>0.0</v>
      </c>
      <c r="R219" s="19">
        <v>0.0</v>
      </c>
      <c r="S219" s="19">
        <v>0.0</v>
      </c>
      <c r="T219" s="19">
        <v>0.0</v>
      </c>
      <c r="U219" s="19">
        <v>0.0</v>
      </c>
      <c r="V219" s="19">
        <v>0.0</v>
      </c>
      <c r="W219" s="13">
        <f t="shared" si="42"/>
        <v>0</v>
      </c>
    </row>
    <row r="220" ht="12.75" customHeight="1">
      <c r="A220" s="18"/>
      <c r="B220" s="55">
        <v>7.0</v>
      </c>
      <c r="C220" s="50" t="s">
        <v>163</v>
      </c>
      <c r="D220" s="59"/>
      <c r="E220" s="19">
        <v>0.0</v>
      </c>
      <c r="F220" s="19">
        <v>0.0</v>
      </c>
      <c r="G220" s="19">
        <v>0.0</v>
      </c>
      <c r="H220" s="19">
        <v>0.0</v>
      </c>
      <c r="I220" s="19">
        <v>1.0</v>
      </c>
      <c r="J220" s="19">
        <v>0.0</v>
      </c>
      <c r="K220" s="19">
        <v>0.0</v>
      </c>
      <c r="L220" s="19">
        <v>0.0</v>
      </c>
      <c r="M220" s="19">
        <v>0.0</v>
      </c>
      <c r="N220" s="19">
        <v>0.0</v>
      </c>
      <c r="O220" s="19">
        <v>0.0</v>
      </c>
      <c r="P220" s="19">
        <v>0.0</v>
      </c>
      <c r="Q220" s="19">
        <v>0.0</v>
      </c>
      <c r="R220" s="19">
        <v>0.0</v>
      </c>
      <c r="S220" s="19">
        <v>0.0</v>
      </c>
      <c r="T220" s="19">
        <v>0.0</v>
      </c>
      <c r="U220" s="19">
        <v>0.0</v>
      </c>
      <c r="V220" s="19">
        <v>0.0</v>
      </c>
      <c r="W220" s="13">
        <f t="shared" si="42"/>
        <v>1</v>
      </c>
    </row>
    <row r="221" ht="12.75" customHeight="1">
      <c r="A221" s="18"/>
      <c r="B221" s="56"/>
      <c r="C221" s="57"/>
      <c r="D221" s="61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3">
        <f t="shared" si="42"/>
        <v>0</v>
      </c>
    </row>
    <row r="222" ht="12.75" customHeight="1">
      <c r="A222" s="18"/>
      <c r="B222" s="56"/>
      <c r="C222" s="57"/>
      <c r="D222" s="61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3">
        <f t="shared" si="42"/>
        <v>0</v>
      </c>
    </row>
    <row r="223" ht="12.75" customHeight="1">
      <c r="A223" s="19" t="s">
        <v>15</v>
      </c>
      <c r="B223" s="47" t="s">
        <v>47</v>
      </c>
      <c r="C223" s="15"/>
      <c r="D223" s="16"/>
      <c r="E223" s="13">
        <f t="shared" ref="E223:W223" si="43">SUM(E213:E222)</f>
        <v>72</v>
      </c>
      <c r="F223" s="13">
        <f t="shared" si="43"/>
        <v>86</v>
      </c>
      <c r="G223" s="13">
        <f t="shared" si="43"/>
        <v>45</v>
      </c>
      <c r="H223" s="13">
        <f t="shared" si="43"/>
        <v>24</v>
      </c>
      <c r="I223" s="13">
        <f t="shared" si="43"/>
        <v>85</v>
      </c>
      <c r="J223" s="13">
        <f t="shared" si="43"/>
        <v>25</v>
      </c>
      <c r="K223" s="13">
        <f t="shared" si="43"/>
        <v>53</v>
      </c>
      <c r="L223" s="13">
        <f t="shared" si="43"/>
        <v>63</v>
      </c>
      <c r="M223" s="13">
        <f t="shared" si="43"/>
        <v>28</v>
      </c>
      <c r="N223" s="13">
        <f t="shared" si="43"/>
        <v>0</v>
      </c>
      <c r="O223" s="13">
        <f t="shared" si="43"/>
        <v>20</v>
      </c>
      <c r="P223" s="13">
        <f t="shared" si="43"/>
        <v>15</v>
      </c>
      <c r="Q223" s="13">
        <f t="shared" si="43"/>
        <v>22</v>
      </c>
      <c r="R223" s="13">
        <f t="shared" si="43"/>
        <v>10</v>
      </c>
      <c r="S223" s="13">
        <f t="shared" si="43"/>
        <v>15</v>
      </c>
      <c r="T223" s="13">
        <f t="shared" si="43"/>
        <v>32</v>
      </c>
      <c r="U223" s="13">
        <f t="shared" si="43"/>
        <v>26</v>
      </c>
      <c r="V223" s="13">
        <f t="shared" si="43"/>
        <v>50</v>
      </c>
      <c r="W223" s="13">
        <f t="shared" si="43"/>
        <v>671</v>
      </c>
    </row>
    <row r="224" ht="12.75" customHeight="1">
      <c r="A224" s="24"/>
      <c r="B224" s="15"/>
      <c r="C224" s="15"/>
      <c r="D224" s="15"/>
      <c r="E224" s="16"/>
      <c r="F224" s="84"/>
      <c r="G224" s="84"/>
      <c r="H224" s="84"/>
      <c r="I224" s="84"/>
      <c r="J224" s="84"/>
      <c r="K224" s="84"/>
      <c r="L224" s="84"/>
      <c r="M224" s="84"/>
      <c r="N224" s="84"/>
      <c r="O224" s="84"/>
      <c r="P224" s="84"/>
      <c r="Q224" s="84"/>
      <c r="R224" s="84"/>
      <c r="S224" s="84"/>
      <c r="T224" s="84"/>
      <c r="U224" s="84"/>
      <c r="V224" s="84"/>
      <c r="W224" s="84"/>
    </row>
    <row r="225" ht="12.75" customHeight="1">
      <c r="A225" s="30" t="s">
        <v>37</v>
      </c>
      <c r="B225" s="47" t="s">
        <v>164</v>
      </c>
      <c r="C225" s="48" t="s">
        <v>165</v>
      </c>
      <c r="D225" s="16"/>
      <c r="E225" s="19">
        <v>0.0</v>
      </c>
      <c r="F225" s="19">
        <v>0.0</v>
      </c>
      <c r="G225" s="19">
        <v>0.0</v>
      </c>
      <c r="H225" s="19">
        <v>0.0</v>
      </c>
      <c r="I225" s="19">
        <v>0.0</v>
      </c>
      <c r="J225" s="19">
        <v>0.0</v>
      </c>
      <c r="K225" s="19">
        <v>0.0</v>
      </c>
      <c r="L225" s="19">
        <v>0.0</v>
      </c>
      <c r="M225" s="19">
        <v>0.0</v>
      </c>
      <c r="N225" s="19">
        <v>0.0</v>
      </c>
      <c r="O225" s="19">
        <v>0.0</v>
      </c>
      <c r="P225" s="19">
        <v>0.0</v>
      </c>
      <c r="Q225" s="19">
        <v>0.0</v>
      </c>
      <c r="R225" s="19">
        <v>0.0</v>
      </c>
      <c r="S225" s="19">
        <v>0.0</v>
      </c>
      <c r="T225" s="19">
        <v>0.0</v>
      </c>
      <c r="U225" s="19">
        <v>0.0</v>
      </c>
      <c r="V225" s="19">
        <v>0.0</v>
      </c>
      <c r="W225" s="13">
        <f t="shared" ref="W225:W234" si="44">SUM(E225:V225)</f>
        <v>0</v>
      </c>
    </row>
    <row r="226" ht="12.75" customHeight="1">
      <c r="A226" s="30" t="s">
        <v>39</v>
      </c>
      <c r="B226" s="55">
        <v>1.0</v>
      </c>
      <c r="C226" s="50" t="s">
        <v>166</v>
      </c>
      <c r="D226" s="60"/>
      <c r="E226" s="19">
        <v>0.0</v>
      </c>
      <c r="F226" s="19">
        <v>0.0</v>
      </c>
      <c r="G226" s="19">
        <v>0.0</v>
      </c>
      <c r="H226" s="19">
        <v>0.0</v>
      </c>
      <c r="I226" s="19">
        <v>0.0</v>
      </c>
      <c r="J226" s="19">
        <v>0.0</v>
      </c>
      <c r="K226" s="19">
        <v>0.0</v>
      </c>
      <c r="L226" s="19">
        <v>0.0</v>
      </c>
      <c r="M226" s="19">
        <v>0.0</v>
      </c>
      <c r="N226" s="19">
        <v>0.0</v>
      </c>
      <c r="O226" s="19">
        <v>0.0</v>
      </c>
      <c r="P226" s="19">
        <v>0.0</v>
      </c>
      <c r="Q226" s="19">
        <v>0.0</v>
      </c>
      <c r="R226" s="19">
        <v>0.0</v>
      </c>
      <c r="S226" s="19">
        <v>0.0</v>
      </c>
      <c r="T226" s="19">
        <v>0.0</v>
      </c>
      <c r="U226" s="19">
        <v>0.0</v>
      </c>
      <c r="V226" s="19">
        <v>0.0</v>
      </c>
      <c r="W226" s="13">
        <f t="shared" si="44"/>
        <v>0</v>
      </c>
    </row>
    <row r="227" ht="12.75" customHeight="1">
      <c r="A227" s="18"/>
      <c r="B227" s="55">
        <v>2.0</v>
      </c>
      <c r="C227" s="50" t="s">
        <v>167</v>
      </c>
      <c r="D227" s="60"/>
      <c r="E227" s="19">
        <v>0.0</v>
      </c>
      <c r="F227" s="19">
        <v>0.0</v>
      </c>
      <c r="G227" s="19">
        <v>0.0</v>
      </c>
      <c r="H227" s="19">
        <v>0.0</v>
      </c>
      <c r="I227" s="19">
        <v>0.0</v>
      </c>
      <c r="J227" s="19">
        <v>0.0</v>
      </c>
      <c r="K227" s="19">
        <v>0.0</v>
      </c>
      <c r="L227" s="19">
        <v>0.0</v>
      </c>
      <c r="M227" s="19">
        <v>0.0</v>
      </c>
      <c r="N227" s="19">
        <v>0.0</v>
      </c>
      <c r="O227" s="19">
        <v>0.0</v>
      </c>
      <c r="P227" s="19">
        <v>0.0</v>
      </c>
      <c r="Q227" s="19">
        <v>0.0</v>
      </c>
      <c r="R227" s="19">
        <v>0.0</v>
      </c>
      <c r="S227" s="19">
        <v>0.0</v>
      </c>
      <c r="T227" s="19">
        <v>0.0</v>
      </c>
      <c r="U227" s="19">
        <v>0.0</v>
      </c>
      <c r="V227" s="19">
        <v>0.0</v>
      </c>
      <c r="W227" s="13">
        <f t="shared" si="44"/>
        <v>0</v>
      </c>
    </row>
    <row r="228" ht="12.75" customHeight="1">
      <c r="A228" s="18"/>
      <c r="B228" s="55">
        <v>3.0</v>
      </c>
      <c r="C228" s="50" t="s">
        <v>168</v>
      </c>
      <c r="D228" s="60"/>
      <c r="E228" s="19">
        <v>0.0</v>
      </c>
      <c r="F228" s="19">
        <v>0.0</v>
      </c>
      <c r="G228" s="19">
        <v>0.0</v>
      </c>
      <c r="H228" s="19">
        <v>0.0</v>
      </c>
      <c r="I228" s="19">
        <v>0.0</v>
      </c>
      <c r="J228" s="19">
        <v>0.0</v>
      </c>
      <c r="K228" s="19">
        <v>0.0</v>
      </c>
      <c r="L228" s="19">
        <v>0.0</v>
      </c>
      <c r="M228" s="19">
        <v>0.0</v>
      </c>
      <c r="N228" s="19">
        <v>0.0</v>
      </c>
      <c r="O228" s="19">
        <v>0.0</v>
      </c>
      <c r="P228" s="19">
        <v>0.0</v>
      </c>
      <c r="Q228" s="19">
        <v>0.0</v>
      </c>
      <c r="R228" s="19">
        <v>0.0</v>
      </c>
      <c r="S228" s="19">
        <v>0.0</v>
      </c>
      <c r="T228" s="19">
        <v>0.0</v>
      </c>
      <c r="U228" s="19">
        <v>0.0</v>
      </c>
      <c r="V228" s="19">
        <v>0.0</v>
      </c>
      <c r="W228" s="13">
        <f t="shared" si="44"/>
        <v>0</v>
      </c>
    </row>
    <row r="229" ht="12.75" customHeight="1">
      <c r="A229" s="18"/>
      <c r="B229" s="55">
        <v>4.0</v>
      </c>
      <c r="C229" s="50" t="s">
        <v>169</v>
      </c>
      <c r="D229" s="60"/>
      <c r="E229" s="19">
        <v>1.0</v>
      </c>
      <c r="F229" s="19">
        <v>0.0</v>
      </c>
      <c r="G229" s="19">
        <v>0.0</v>
      </c>
      <c r="H229" s="19">
        <v>0.0</v>
      </c>
      <c r="I229" s="19">
        <v>0.0</v>
      </c>
      <c r="J229" s="19">
        <v>0.0</v>
      </c>
      <c r="K229" s="19">
        <v>0.0</v>
      </c>
      <c r="L229" s="19">
        <v>0.0</v>
      </c>
      <c r="M229" s="19">
        <v>0.0</v>
      </c>
      <c r="N229" s="19">
        <v>0.0</v>
      </c>
      <c r="O229" s="19">
        <v>0.0</v>
      </c>
      <c r="P229" s="19">
        <v>0.0</v>
      </c>
      <c r="Q229" s="19">
        <v>0.0</v>
      </c>
      <c r="R229" s="19">
        <v>0.0</v>
      </c>
      <c r="S229" s="19">
        <v>0.0</v>
      </c>
      <c r="T229" s="19">
        <v>0.0</v>
      </c>
      <c r="U229" s="19">
        <v>0.0</v>
      </c>
      <c r="V229" s="19">
        <v>0.0</v>
      </c>
      <c r="W229" s="13">
        <f t="shared" si="44"/>
        <v>1</v>
      </c>
    </row>
    <row r="230" ht="12.75" customHeight="1">
      <c r="A230" s="18"/>
      <c r="B230" s="55">
        <v>5.0</v>
      </c>
      <c r="C230" s="50" t="s">
        <v>170</v>
      </c>
      <c r="D230" s="60"/>
      <c r="E230" s="19">
        <v>0.0</v>
      </c>
      <c r="F230" s="19">
        <v>0.0</v>
      </c>
      <c r="G230" s="19">
        <v>0.0</v>
      </c>
      <c r="H230" s="19">
        <v>0.0</v>
      </c>
      <c r="I230" s="19">
        <v>0.0</v>
      </c>
      <c r="J230" s="19">
        <v>0.0</v>
      </c>
      <c r="K230" s="19">
        <v>0.0</v>
      </c>
      <c r="L230" s="19">
        <v>0.0</v>
      </c>
      <c r="M230" s="19">
        <v>0.0</v>
      </c>
      <c r="N230" s="19">
        <v>0.0</v>
      </c>
      <c r="O230" s="19">
        <v>0.0</v>
      </c>
      <c r="P230" s="19">
        <v>0.0</v>
      </c>
      <c r="Q230" s="19">
        <v>0.0</v>
      </c>
      <c r="R230" s="19">
        <v>0.0</v>
      </c>
      <c r="S230" s="19">
        <v>0.0</v>
      </c>
      <c r="T230" s="19">
        <v>0.0</v>
      </c>
      <c r="U230" s="19">
        <v>0.0</v>
      </c>
      <c r="V230" s="19">
        <v>0.0</v>
      </c>
      <c r="W230" s="13">
        <f t="shared" si="44"/>
        <v>0</v>
      </c>
    </row>
    <row r="231" ht="12.75" customHeight="1">
      <c r="A231" s="18"/>
      <c r="B231" s="55">
        <v>6.0</v>
      </c>
      <c r="C231" s="50" t="s">
        <v>171</v>
      </c>
      <c r="D231" s="60"/>
      <c r="E231" s="19">
        <v>0.0</v>
      </c>
      <c r="F231" s="19">
        <v>0.0</v>
      </c>
      <c r="G231" s="19">
        <v>0.0</v>
      </c>
      <c r="H231" s="19">
        <v>0.0</v>
      </c>
      <c r="I231" s="19">
        <v>0.0</v>
      </c>
      <c r="J231" s="19">
        <v>0.0</v>
      </c>
      <c r="K231" s="19">
        <v>0.0</v>
      </c>
      <c r="L231" s="19">
        <v>0.0</v>
      </c>
      <c r="M231" s="19">
        <v>0.0</v>
      </c>
      <c r="N231" s="19">
        <v>0.0</v>
      </c>
      <c r="O231" s="19">
        <v>0.0</v>
      </c>
      <c r="P231" s="19">
        <v>0.0</v>
      </c>
      <c r="Q231" s="19">
        <v>0.0</v>
      </c>
      <c r="R231" s="19">
        <v>0.0</v>
      </c>
      <c r="S231" s="19">
        <v>0.0</v>
      </c>
      <c r="T231" s="19">
        <v>0.0</v>
      </c>
      <c r="U231" s="19">
        <v>0.0</v>
      </c>
      <c r="V231" s="19">
        <v>0.0</v>
      </c>
      <c r="W231" s="13">
        <f t="shared" si="44"/>
        <v>0</v>
      </c>
    </row>
    <row r="232" ht="12.75" customHeight="1">
      <c r="A232" s="18"/>
      <c r="B232" s="55">
        <v>7.0</v>
      </c>
      <c r="C232" s="50" t="s">
        <v>172</v>
      </c>
      <c r="D232" s="60"/>
      <c r="E232" s="19">
        <v>0.0</v>
      </c>
      <c r="F232" s="19">
        <v>1.0</v>
      </c>
      <c r="G232" s="19">
        <v>0.0</v>
      </c>
      <c r="H232" s="19">
        <v>0.0</v>
      </c>
      <c r="I232" s="19">
        <v>1.0</v>
      </c>
      <c r="J232" s="19">
        <v>0.0</v>
      </c>
      <c r="K232" s="19">
        <v>1.0</v>
      </c>
      <c r="L232" s="19">
        <v>0.0</v>
      </c>
      <c r="M232" s="19">
        <v>1.0</v>
      </c>
      <c r="N232" s="19">
        <v>0.0</v>
      </c>
      <c r="O232" s="19">
        <v>0.0</v>
      </c>
      <c r="P232" s="19">
        <v>0.0</v>
      </c>
      <c r="Q232" s="19">
        <v>1.0</v>
      </c>
      <c r="R232" s="19">
        <v>0.0</v>
      </c>
      <c r="S232" s="19">
        <v>0.0</v>
      </c>
      <c r="T232" s="19">
        <v>0.0</v>
      </c>
      <c r="U232" s="19">
        <v>0.0</v>
      </c>
      <c r="V232" s="19">
        <v>1.0</v>
      </c>
      <c r="W232" s="13">
        <f t="shared" si="44"/>
        <v>6</v>
      </c>
    </row>
    <row r="233" ht="12.75" customHeight="1">
      <c r="A233" s="18"/>
      <c r="B233" s="56"/>
      <c r="C233" s="57"/>
      <c r="D233" s="62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3">
        <f t="shared" si="44"/>
        <v>0</v>
      </c>
    </row>
    <row r="234" ht="12.75" customHeight="1">
      <c r="A234" s="18"/>
      <c r="B234" s="56"/>
      <c r="C234" s="57"/>
      <c r="D234" s="62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3">
        <f t="shared" si="44"/>
        <v>0</v>
      </c>
    </row>
    <row r="235" ht="12.75" customHeight="1">
      <c r="A235" s="19" t="s">
        <v>15</v>
      </c>
      <c r="B235" s="47" t="s">
        <v>47</v>
      </c>
      <c r="C235" s="15"/>
      <c r="D235" s="16"/>
      <c r="E235" s="13">
        <f t="shared" ref="E235:W235" si="45">SUM(E225:E234)</f>
        <v>1</v>
      </c>
      <c r="F235" s="13">
        <f t="shared" si="45"/>
        <v>1</v>
      </c>
      <c r="G235" s="13">
        <f t="shared" si="45"/>
        <v>0</v>
      </c>
      <c r="H235" s="13">
        <f t="shared" si="45"/>
        <v>0</v>
      </c>
      <c r="I235" s="13">
        <f t="shared" si="45"/>
        <v>1</v>
      </c>
      <c r="J235" s="13">
        <f t="shared" si="45"/>
        <v>0</v>
      </c>
      <c r="K235" s="13">
        <f t="shared" si="45"/>
        <v>1</v>
      </c>
      <c r="L235" s="13">
        <f t="shared" si="45"/>
        <v>0</v>
      </c>
      <c r="M235" s="13">
        <f t="shared" si="45"/>
        <v>1</v>
      </c>
      <c r="N235" s="13">
        <f t="shared" si="45"/>
        <v>0</v>
      </c>
      <c r="O235" s="13">
        <f t="shared" si="45"/>
        <v>0</v>
      </c>
      <c r="P235" s="13">
        <f t="shared" si="45"/>
        <v>0</v>
      </c>
      <c r="Q235" s="13">
        <f t="shared" si="45"/>
        <v>1</v>
      </c>
      <c r="R235" s="13">
        <f t="shared" si="45"/>
        <v>0</v>
      </c>
      <c r="S235" s="13">
        <f t="shared" si="45"/>
        <v>0</v>
      </c>
      <c r="T235" s="13">
        <f t="shared" si="45"/>
        <v>0</v>
      </c>
      <c r="U235" s="13">
        <f t="shared" si="45"/>
        <v>0</v>
      </c>
      <c r="V235" s="13">
        <f t="shared" si="45"/>
        <v>1</v>
      </c>
      <c r="W235" s="13">
        <f t="shared" si="45"/>
        <v>7</v>
      </c>
    </row>
    <row r="236" ht="12.75" customHeight="1">
      <c r="A236" s="24"/>
      <c r="B236" s="15"/>
      <c r="C236" s="15"/>
      <c r="D236" s="15"/>
      <c r="E236" s="16"/>
      <c r="F236" s="84"/>
      <c r="G236" s="84"/>
      <c r="H236" s="84"/>
      <c r="I236" s="84"/>
      <c r="J236" s="84"/>
      <c r="K236" s="84"/>
      <c r="L236" s="84"/>
      <c r="M236" s="84"/>
      <c r="N236" s="84"/>
      <c r="O236" s="84"/>
      <c r="P236" s="84"/>
      <c r="Q236" s="84"/>
      <c r="R236" s="84"/>
      <c r="S236" s="84"/>
      <c r="T236" s="84"/>
      <c r="U236" s="84"/>
      <c r="V236" s="84"/>
      <c r="W236" s="84"/>
    </row>
    <row r="237" ht="12.75" customHeight="1">
      <c r="A237" s="30" t="s">
        <v>37</v>
      </c>
      <c r="B237" s="47" t="s">
        <v>173</v>
      </c>
      <c r="C237" s="48" t="s">
        <v>174</v>
      </c>
      <c r="D237" s="16"/>
      <c r="E237" s="19">
        <v>1.0</v>
      </c>
      <c r="F237" s="19">
        <v>3.0</v>
      </c>
      <c r="G237" s="19">
        <v>5.0</v>
      </c>
      <c r="H237" s="19">
        <v>15.0</v>
      </c>
      <c r="I237" s="19">
        <v>7.0</v>
      </c>
      <c r="J237" s="19">
        <v>12.0</v>
      </c>
      <c r="K237" s="19">
        <v>5.0</v>
      </c>
      <c r="L237" s="19">
        <v>8.0</v>
      </c>
      <c r="M237" s="19">
        <v>9.0</v>
      </c>
      <c r="N237" s="19">
        <v>1.0</v>
      </c>
      <c r="O237" s="19">
        <v>2.0</v>
      </c>
      <c r="P237" s="19">
        <v>3.0</v>
      </c>
      <c r="Q237" s="19">
        <v>2.0</v>
      </c>
      <c r="R237" s="19">
        <v>2.0</v>
      </c>
      <c r="S237" s="19">
        <v>4.0</v>
      </c>
      <c r="T237" s="19">
        <v>2.0</v>
      </c>
      <c r="U237" s="19">
        <v>6.0</v>
      </c>
      <c r="V237" s="19">
        <v>3.0</v>
      </c>
      <c r="W237" s="13">
        <f t="shared" ref="W237:W246" si="46">SUM(E237:V237)</f>
        <v>90</v>
      </c>
    </row>
    <row r="238" ht="12.75" customHeight="1">
      <c r="A238" s="30" t="s">
        <v>39</v>
      </c>
      <c r="B238" s="55">
        <v>1.0</v>
      </c>
      <c r="C238" s="50" t="s">
        <v>175</v>
      </c>
      <c r="D238" s="60"/>
      <c r="E238" s="19">
        <v>4.0</v>
      </c>
      <c r="F238" s="19">
        <v>1.0</v>
      </c>
      <c r="G238" s="19">
        <v>1.0</v>
      </c>
      <c r="H238" s="19">
        <v>0.0</v>
      </c>
      <c r="I238" s="19">
        <v>0.0</v>
      </c>
      <c r="J238" s="19">
        <v>2.0</v>
      </c>
      <c r="K238" s="19">
        <v>7.0</v>
      </c>
      <c r="L238" s="19">
        <v>1.0</v>
      </c>
      <c r="M238" s="19">
        <v>5.0</v>
      </c>
      <c r="N238" s="19">
        <v>0.0</v>
      </c>
      <c r="O238" s="19">
        <v>2.0</v>
      </c>
      <c r="P238" s="19">
        <v>0.0</v>
      </c>
      <c r="Q238" s="19">
        <v>0.0</v>
      </c>
      <c r="R238" s="19">
        <v>0.0</v>
      </c>
      <c r="S238" s="19">
        <v>2.0</v>
      </c>
      <c r="T238" s="19">
        <v>2.0</v>
      </c>
      <c r="U238" s="19">
        <v>1.0</v>
      </c>
      <c r="V238" s="19">
        <v>2.0</v>
      </c>
      <c r="W238" s="13">
        <f t="shared" si="46"/>
        <v>30</v>
      </c>
    </row>
    <row r="239" ht="12.75" customHeight="1">
      <c r="A239" s="18"/>
      <c r="B239" s="55">
        <v>2.0</v>
      </c>
      <c r="C239" s="50" t="s">
        <v>176</v>
      </c>
      <c r="D239" s="60"/>
      <c r="E239" s="19">
        <v>10.0</v>
      </c>
      <c r="F239" s="19">
        <v>11.0</v>
      </c>
      <c r="G239" s="19">
        <v>34.0</v>
      </c>
      <c r="H239" s="19">
        <v>68.0</v>
      </c>
      <c r="I239" s="19">
        <v>51.0</v>
      </c>
      <c r="J239" s="19">
        <v>79.0</v>
      </c>
      <c r="K239" s="19">
        <v>115.0</v>
      </c>
      <c r="L239" s="19">
        <v>97.0</v>
      </c>
      <c r="M239" s="19">
        <v>105.0</v>
      </c>
      <c r="N239" s="19">
        <v>20.0</v>
      </c>
      <c r="O239" s="19">
        <v>56.0</v>
      </c>
      <c r="P239" s="19">
        <v>141.0</v>
      </c>
      <c r="Q239" s="19">
        <v>123.0</v>
      </c>
      <c r="R239" s="19">
        <v>23.0</v>
      </c>
      <c r="S239" s="19">
        <v>23.0</v>
      </c>
      <c r="T239" s="19">
        <v>17.0</v>
      </c>
      <c r="U239" s="19">
        <v>93.0</v>
      </c>
      <c r="V239" s="19">
        <v>57.0</v>
      </c>
      <c r="W239" s="13">
        <f t="shared" si="46"/>
        <v>1123</v>
      </c>
    </row>
    <row r="240" ht="12.75" customHeight="1">
      <c r="A240" s="18"/>
      <c r="B240" s="55">
        <v>3.0</v>
      </c>
      <c r="C240" s="50" t="s">
        <v>177</v>
      </c>
      <c r="D240" s="60"/>
      <c r="E240" s="19">
        <v>0.0</v>
      </c>
      <c r="F240" s="19">
        <v>0.0</v>
      </c>
      <c r="G240" s="19">
        <v>0.0</v>
      </c>
      <c r="H240" s="19">
        <v>2.0</v>
      </c>
      <c r="I240" s="19">
        <v>1.0</v>
      </c>
      <c r="J240" s="19">
        <v>0.0</v>
      </c>
      <c r="K240" s="19">
        <v>0.0</v>
      </c>
      <c r="L240" s="19">
        <v>0.0</v>
      </c>
      <c r="M240" s="19">
        <v>1.0</v>
      </c>
      <c r="N240" s="19">
        <v>0.0</v>
      </c>
      <c r="O240" s="19">
        <v>1.0</v>
      </c>
      <c r="P240" s="19">
        <v>1.0</v>
      </c>
      <c r="Q240" s="19">
        <v>0.0</v>
      </c>
      <c r="R240" s="19">
        <v>0.0</v>
      </c>
      <c r="S240" s="19">
        <v>2.0</v>
      </c>
      <c r="T240" s="19">
        <v>1.0</v>
      </c>
      <c r="U240" s="19">
        <v>0.0</v>
      </c>
      <c r="V240" s="19">
        <v>1.0</v>
      </c>
      <c r="W240" s="13">
        <f t="shared" si="46"/>
        <v>10</v>
      </c>
    </row>
    <row r="241" ht="12.75" customHeight="1">
      <c r="A241" s="18"/>
      <c r="B241" s="55">
        <v>4.0</v>
      </c>
      <c r="C241" s="50" t="s">
        <v>178</v>
      </c>
      <c r="D241" s="60"/>
      <c r="E241" s="19">
        <v>0.0</v>
      </c>
      <c r="F241" s="19">
        <v>0.0</v>
      </c>
      <c r="G241" s="19">
        <v>0.0</v>
      </c>
      <c r="H241" s="19">
        <v>0.0</v>
      </c>
      <c r="I241" s="19">
        <v>0.0</v>
      </c>
      <c r="J241" s="19">
        <v>0.0</v>
      </c>
      <c r="K241" s="19">
        <v>0.0</v>
      </c>
      <c r="L241" s="19">
        <v>0.0</v>
      </c>
      <c r="M241" s="19">
        <v>1.0</v>
      </c>
      <c r="N241" s="19">
        <v>1.0</v>
      </c>
      <c r="O241" s="19">
        <v>0.0</v>
      </c>
      <c r="P241" s="19">
        <v>1.0</v>
      </c>
      <c r="Q241" s="19">
        <v>0.0</v>
      </c>
      <c r="R241" s="19">
        <v>0.0</v>
      </c>
      <c r="S241" s="19">
        <v>0.0</v>
      </c>
      <c r="T241" s="19">
        <v>0.0</v>
      </c>
      <c r="U241" s="19">
        <v>0.0</v>
      </c>
      <c r="V241" s="19">
        <v>1.0</v>
      </c>
      <c r="W241" s="13">
        <f t="shared" si="46"/>
        <v>4</v>
      </c>
    </row>
    <row r="242" ht="12.75" customHeight="1">
      <c r="A242" s="18"/>
      <c r="B242" s="55">
        <v>5.0</v>
      </c>
      <c r="C242" s="50" t="s">
        <v>179</v>
      </c>
      <c r="D242" s="60"/>
      <c r="E242" s="19">
        <v>0.0</v>
      </c>
      <c r="F242" s="19">
        <v>0.0</v>
      </c>
      <c r="G242" s="19">
        <v>0.0</v>
      </c>
      <c r="H242" s="19">
        <v>0.0</v>
      </c>
      <c r="I242" s="19">
        <v>0.0</v>
      </c>
      <c r="J242" s="19">
        <v>0.0</v>
      </c>
      <c r="K242" s="19">
        <v>0.0</v>
      </c>
      <c r="L242" s="19">
        <v>1.0</v>
      </c>
      <c r="M242" s="19">
        <v>0.0</v>
      </c>
      <c r="N242" s="19">
        <v>0.0</v>
      </c>
      <c r="O242" s="19">
        <v>0.0</v>
      </c>
      <c r="P242" s="19">
        <v>0.0</v>
      </c>
      <c r="Q242" s="19">
        <v>0.0</v>
      </c>
      <c r="R242" s="19">
        <v>0.0</v>
      </c>
      <c r="S242" s="19">
        <v>0.0</v>
      </c>
      <c r="T242" s="19">
        <v>0.0</v>
      </c>
      <c r="U242" s="19">
        <v>0.0</v>
      </c>
      <c r="V242" s="19">
        <v>0.0</v>
      </c>
      <c r="W242" s="13">
        <f t="shared" si="46"/>
        <v>1</v>
      </c>
    </row>
    <row r="243" ht="12.75" customHeight="1">
      <c r="A243" s="18"/>
      <c r="B243" s="55">
        <v>6.0</v>
      </c>
      <c r="C243" s="50" t="s">
        <v>180</v>
      </c>
      <c r="D243" s="60"/>
      <c r="E243" s="19">
        <v>0.0</v>
      </c>
      <c r="F243" s="19">
        <v>0.0</v>
      </c>
      <c r="G243" s="19">
        <v>0.0</v>
      </c>
      <c r="H243" s="19">
        <v>0.0</v>
      </c>
      <c r="I243" s="19">
        <v>0.0</v>
      </c>
      <c r="J243" s="19">
        <v>0.0</v>
      </c>
      <c r="K243" s="19">
        <v>0.0</v>
      </c>
      <c r="L243" s="19">
        <v>0.0</v>
      </c>
      <c r="M243" s="19">
        <v>0.0</v>
      </c>
      <c r="N243" s="19">
        <v>0.0</v>
      </c>
      <c r="O243" s="19">
        <v>1.0</v>
      </c>
      <c r="P243" s="19">
        <v>0.0</v>
      </c>
      <c r="Q243" s="19">
        <v>0.0</v>
      </c>
      <c r="R243" s="19">
        <v>1.0</v>
      </c>
      <c r="S243" s="19">
        <v>0.0</v>
      </c>
      <c r="T243" s="19">
        <v>0.0</v>
      </c>
      <c r="U243" s="19">
        <v>0.0</v>
      </c>
      <c r="V243" s="19">
        <v>0.0</v>
      </c>
      <c r="W243" s="13">
        <f t="shared" si="46"/>
        <v>2</v>
      </c>
    </row>
    <row r="244" ht="12.75" customHeight="1">
      <c r="A244" s="18"/>
      <c r="B244" s="55">
        <v>7.0</v>
      </c>
      <c r="C244" s="50" t="s">
        <v>181</v>
      </c>
      <c r="D244" s="60"/>
      <c r="E244" s="19">
        <v>0.0</v>
      </c>
      <c r="F244" s="19">
        <v>1.0</v>
      </c>
      <c r="G244" s="19">
        <v>0.0</v>
      </c>
      <c r="H244" s="19">
        <v>0.0</v>
      </c>
      <c r="I244" s="19">
        <v>0.0</v>
      </c>
      <c r="J244" s="19">
        <v>2.0</v>
      </c>
      <c r="K244" s="19">
        <v>0.0</v>
      </c>
      <c r="L244" s="19">
        <v>0.0</v>
      </c>
      <c r="M244" s="19">
        <v>10.0</v>
      </c>
      <c r="N244" s="19">
        <v>0.0</v>
      </c>
      <c r="O244" s="19">
        <v>39.0</v>
      </c>
      <c r="P244" s="19">
        <v>9.0</v>
      </c>
      <c r="Q244" s="19">
        <v>0.0</v>
      </c>
      <c r="R244" s="19">
        <v>0.0</v>
      </c>
      <c r="S244" s="19">
        <v>0.0</v>
      </c>
      <c r="T244" s="19">
        <v>0.0</v>
      </c>
      <c r="U244" s="19">
        <v>0.0</v>
      </c>
      <c r="V244" s="19">
        <v>1.0</v>
      </c>
      <c r="W244" s="13">
        <f t="shared" si="46"/>
        <v>62</v>
      </c>
    </row>
    <row r="245" ht="12.75" customHeight="1">
      <c r="A245" s="18"/>
      <c r="B245" s="56"/>
      <c r="C245" s="57"/>
      <c r="D245" s="62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3">
        <f t="shared" si="46"/>
        <v>0</v>
      </c>
    </row>
    <row r="246" ht="12.75" customHeight="1">
      <c r="A246" s="18"/>
      <c r="B246" s="56"/>
      <c r="C246" s="57"/>
      <c r="D246" s="62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3">
        <f t="shared" si="46"/>
        <v>0</v>
      </c>
    </row>
    <row r="247" ht="12.75" customHeight="1">
      <c r="A247" s="19" t="s">
        <v>15</v>
      </c>
      <c r="B247" s="47" t="s">
        <v>47</v>
      </c>
      <c r="C247" s="15"/>
      <c r="D247" s="16"/>
      <c r="E247" s="13">
        <f t="shared" ref="E247:W247" si="47">SUM(E237:E246)</f>
        <v>15</v>
      </c>
      <c r="F247" s="13">
        <f t="shared" si="47"/>
        <v>16</v>
      </c>
      <c r="G247" s="13">
        <f t="shared" si="47"/>
        <v>40</v>
      </c>
      <c r="H247" s="13">
        <f t="shared" si="47"/>
        <v>85</v>
      </c>
      <c r="I247" s="13">
        <f t="shared" si="47"/>
        <v>59</v>
      </c>
      <c r="J247" s="13">
        <f t="shared" si="47"/>
        <v>95</v>
      </c>
      <c r="K247" s="13">
        <f t="shared" si="47"/>
        <v>127</v>
      </c>
      <c r="L247" s="13">
        <f t="shared" si="47"/>
        <v>107</v>
      </c>
      <c r="M247" s="13">
        <f t="shared" si="47"/>
        <v>131</v>
      </c>
      <c r="N247" s="13">
        <f t="shared" si="47"/>
        <v>22</v>
      </c>
      <c r="O247" s="13">
        <f t="shared" si="47"/>
        <v>101</v>
      </c>
      <c r="P247" s="13">
        <f t="shared" si="47"/>
        <v>155</v>
      </c>
      <c r="Q247" s="13">
        <f t="shared" si="47"/>
        <v>125</v>
      </c>
      <c r="R247" s="13">
        <f t="shared" si="47"/>
        <v>26</v>
      </c>
      <c r="S247" s="13">
        <f t="shared" si="47"/>
        <v>31</v>
      </c>
      <c r="T247" s="13">
        <f t="shared" si="47"/>
        <v>22</v>
      </c>
      <c r="U247" s="13">
        <f t="shared" si="47"/>
        <v>100</v>
      </c>
      <c r="V247" s="13">
        <f t="shared" si="47"/>
        <v>65</v>
      </c>
      <c r="W247" s="13">
        <f t="shared" si="47"/>
        <v>1322</v>
      </c>
    </row>
    <row r="248" ht="12.75" customHeight="1">
      <c r="A248" s="24"/>
      <c r="B248" s="15"/>
      <c r="C248" s="15"/>
      <c r="D248" s="15"/>
      <c r="E248" s="16"/>
    </row>
    <row r="249" ht="12.75" customHeight="1">
      <c r="A249" s="30" t="s">
        <v>37</v>
      </c>
      <c r="B249" s="47" t="s">
        <v>182</v>
      </c>
      <c r="C249" s="48" t="s">
        <v>183</v>
      </c>
      <c r="D249" s="16"/>
      <c r="E249" s="19">
        <v>0.0</v>
      </c>
      <c r="F249" s="19">
        <v>0.0</v>
      </c>
      <c r="G249" s="19">
        <v>0.0</v>
      </c>
      <c r="H249" s="19">
        <v>0.0</v>
      </c>
      <c r="I249" s="19">
        <v>1.0</v>
      </c>
      <c r="J249" s="19">
        <v>0.0</v>
      </c>
      <c r="K249" s="19">
        <v>0.0</v>
      </c>
      <c r="L249" s="19">
        <v>1.0</v>
      </c>
      <c r="M249" s="19">
        <v>0.0</v>
      </c>
      <c r="N249" s="19">
        <v>0.0</v>
      </c>
      <c r="O249" s="19">
        <v>1.0</v>
      </c>
      <c r="P249" s="19">
        <v>0.0</v>
      </c>
      <c r="Q249" s="19">
        <v>0.0</v>
      </c>
      <c r="R249" s="19">
        <v>0.0</v>
      </c>
      <c r="S249" s="19">
        <v>0.0</v>
      </c>
      <c r="T249" s="19">
        <v>0.0</v>
      </c>
      <c r="U249" s="19">
        <v>0.0</v>
      </c>
      <c r="V249" s="19">
        <v>1.0</v>
      </c>
      <c r="W249" s="13">
        <f t="shared" ref="W249:W258" si="48">SUM(E249:V249)</f>
        <v>4</v>
      </c>
    </row>
    <row r="250" ht="12.75" customHeight="1">
      <c r="A250" s="30" t="s">
        <v>39</v>
      </c>
      <c r="B250" s="55">
        <v>1.0</v>
      </c>
      <c r="C250" s="67" t="s">
        <v>184</v>
      </c>
      <c r="D250" s="60"/>
      <c r="E250" s="19">
        <v>0.0</v>
      </c>
      <c r="F250" s="19">
        <v>1.0</v>
      </c>
      <c r="G250" s="19">
        <v>0.0</v>
      </c>
      <c r="H250" s="19">
        <v>0.0</v>
      </c>
      <c r="I250" s="19">
        <v>0.0</v>
      </c>
      <c r="J250" s="19">
        <v>1.0</v>
      </c>
      <c r="K250" s="19">
        <v>0.0</v>
      </c>
      <c r="L250" s="19">
        <v>0.0</v>
      </c>
      <c r="M250" s="19">
        <v>0.0</v>
      </c>
      <c r="N250" s="19">
        <v>0.0</v>
      </c>
      <c r="O250" s="19">
        <v>0.0</v>
      </c>
      <c r="P250" s="19">
        <v>0.0</v>
      </c>
      <c r="Q250" s="19">
        <v>1.0</v>
      </c>
      <c r="R250" s="19">
        <v>0.0</v>
      </c>
      <c r="S250" s="19">
        <v>0.0</v>
      </c>
      <c r="T250" s="19">
        <v>0.0</v>
      </c>
      <c r="U250" s="19">
        <v>0.0</v>
      </c>
      <c r="V250" s="19">
        <v>0.0</v>
      </c>
      <c r="W250" s="13">
        <f t="shared" si="48"/>
        <v>3</v>
      </c>
    </row>
    <row r="251" ht="12.75" customHeight="1">
      <c r="A251" s="18"/>
      <c r="B251" s="55">
        <v>2.0</v>
      </c>
      <c r="C251" s="67" t="s">
        <v>185</v>
      </c>
      <c r="D251" s="60"/>
      <c r="E251" s="19">
        <v>0.0</v>
      </c>
      <c r="F251" s="19">
        <v>0.0</v>
      </c>
      <c r="G251" s="19">
        <v>0.0</v>
      </c>
      <c r="H251" s="19">
        <v>0.0</v>
      </c>
      <c r="I251" s="19">
        <v>0.0</v>
      </c>
      <c r="J251" s="19">
        <v>0.0</v>
      </c>
      <c r="K251" s="19">
        <v>0.0</v>
      </c>
      <c r="L251" s="19">
        <v>0.0</v>
      </c>
      <c r="M251" s="19">
        <v>0.0</v>
      </c>
      <c r="N251" s="19">
        <v>0.0</v>
      </c>
      <c r="O251" s="19">
        <v>0.0</v>
      </c>
      <c r="P251" s="19">
        <v>0.0</v>
      </c>
      <c r="Q251" s="19">
        <v>0.0</v>
      </c>
      <c r="R251" s="19">
        <v>0.0</v>
      </c>
      <c r="S251" s="19">
        <v>0.0</v>
      </c>
      <c r="T251" s="19">
        <v>0.0</v>
      </c>
      <c r="U251" s="19">
        <v>0.0</v>
      </c>
      <c r="V251" s="19">
        <v>1.0</v>
      </c>
      <c r="W251" s="13">
        <f t="shared" si="48"/>
        <v>1</v>
      </c>
    </row>
    <row r="252" ht="12.75" customHeight="1">
      <c r="A252" s="18"/>
      <c r="B252" s="55">
        <v>3.0</v>
      </c>
      <c r="C252" s="67" t="s">
        <v>186</v>
      </c>
      <c r="D252" s="60"/>
      <c r="E252" s="19">
        <v>0.0</v>
      </c>
      <c r="F252" s="19">
        <v>0.0</v>
      </c>
      <c r="G252" s="19">
        <v>0.0</v>
      </c>
      <c r="H252" s="19">
        <v>0.0</v>
      </c>
      <c r="I252" s="19">
        <v>0.0</v>
      </c>
      <c r="J252" s="19">
        <v>0.0</v>
      </c>
      <c r="K252" s="19">
        <v>0.0</v>
      </c>
      <c r="L252" s="19">
        <v>0.0</v>
      </c>
      <c r="M252" s="19">
        <v>1.0</v>
      </c>
      <c r="N252" s="19">
        <v>0.0</v>
      </c>
      <c r="O252" s="19">
        <v>0.0</v>
      </c>
      <c r="P252" s="19">
        <v>0.0</v>
      </c>
      <c r="Q252" s="19">
        <v>0.0</v>
      </c>
      <c r="R252" s="19">
        <v>0.0</v>
      </c>
      <c r="S252" s="19">
        <v>0.0</v>
      </c>
      <c r="T252" s="19">
        <v>0.0</v>
      </c>
      <c r="U252" s="19">
        <v>0.0</v>
      </c>
      <c r="V252" s="19">
        <v>0.0</v>
      </c>
      <c r="W252" s="13">
        <f t="shared" si="48"/>
        <v>1</v>
      </c>
    </row>
    <row r="253" ht="12.75" customHeight="1">
      <c r="A253" s="18"/>
      <c r="B253" s="55">
        <v>4.0</v>
      </c>
      <c r="C253" s="67" t="s">
        <v>187</v>
      </c>
      <c r="D253" s="60"/>
      <c r="E253" s="19">
        <v>0.0</v>
      </c>
      <c r="F253" s="19">
        <v>0.0</v>
      </c>
      <c r="G253" s="19">
        <v>0.0</v>
      </c>
      <c r="H253" s="19">
        <v>0.0</v>
      </c>
      <c r="I253" s="19">
        <v>0.0</v>
      </c>
      <c r="J253" s="19">
        <v>0.0</v>
      </c>
      <c r="K253" s="19">
        <v>0.0</v>
      </c>
      <c r="L253" s="19">
        <v>0.0</v>
      </c>
      <c r="M253" s="19">
        <v>0.0</v>
      </c>
      <c r="N253" s="19">
        <v>0.0</v>
      </c>
      <c r="O253" s="19">
        <v>0.0</v>
      </c>
      <c r="P253" s="19">
        <v>0.0</v>
      </c>
      <c r="Q253" s="19">
        <v>0.0</v>
      </c>
      <c r="R253" s="19">
        <v>0.0</v>
      </c>
      <c r="S253" s="19">
        <v>0.0</v>
      </c>
      <c r="T253" s="19">
        <v>0.0</v>
      </c>
      <c r="U253" s="19">
        <v>0.0</v>
      </c>
      <c r="V253" s="19">
        <v>0.0</v>
      </c>
      <c r="W253" s="13">
        <f t="shared" si="48"/>
        <v>0</v>
      </c>
    </row>
    <row r="254" ht="12.75" customHeight="1">
      <c r="A254" s="18"/>
      <c r="B254" s="55">
        <v>5.0</v>
      </c>
      <c r="C254" s="67" t="s">
        <v>188</v>
      </c>
      <c r="D254" s="60"/>
      <c r="E254" s="19">
        <v>0.0</v>
      </c>
      <c r="F254" s="19">
        <v>0.0</v>
      </c>
      <c r="G254" s="19">
        <v>0.0</v>
      </c>
      <c r="H254" s="19">
        <v>0.0</v>
      </c>
      <c r="I254" s="19">
        <v>0.0</v>
      </c>
      <c r="J254" s="19">
        <v>0.0</v>
      </c>
      <c r="K254" s="19">
        <v>0.0</v>
      </c>
      <c r="L254" s="19">
        <v>0.0</v>
      </c>
      <c r="M254" s="19">
        <v>0.0</v>
      </c>
      <c r="N254" s="19">
        <v>0.0</v>
      </c>
      <c r="O254" s="19">
        <v>0.0</v>
      </c>
      <c r="P254" s="19">
        <v>0.0</v>
      </c>
      <c r="Q254" s="19">
        <v>0.0</v>
      </c>
      <c r="R254" s="19">
        <v>0.0</v>
      </c>
      <c r="S254" s="19">
        <v>0.0</v>
      </c>
      <c r="T254" s="19">
        <v>0.0</v>
      </c>
      <c r="U254" s="19">
        <v>0.0</v>
      </c>
      <c r="V254" s="19">
        <v>0.0</v>
      </c>
      <c r="W254" s="13">
        <f t="shared" si="48"/>
        <v>0</v>
      </c>
    </row>
    <row r="255" ht="12.75" customHeight="1">
      <c r="A255" s="18"/>
      <c r="B255" s="55">
        <v>6.0</v>
      </c>
      <c r="C255" s="67" t="s">
        <v>189</v>
      </c>
      <c r="D255" s="60"/>
      <c r="E255" s="19">
        <v>0.0</v>
      </c>
      <c r="F255" s="19">
        <v>0.0</v>
      </c>
      <c r="G255" s="19">
        <v>0.0</v>
      </c>
      <c r="H255" s="19">
        <v>0.0</v>
      </c>
      <c r="I255" s="19">
        <v>0.0</v>
      </c>
      <c r="J255" s="19">
        <v>0.0</v>
      </c>
      <c r="K255" s="19">
        <v>0.0</v>
      </c>
      <c r="L255" s="19">
        <v>0.0</v>
      </c>
      <c r="M255" s="19">
        <v>0.0</v>
      </c>
      <c r="N255" s="19">
        <v>0.0</v>
      </c>
      <c r="O255" s="19">
        <v>0.0</v>
      </c>
      <c r="P255" s="19">
        <v>0.0</v>
      </c>
      <c r="Q255" s="19">
        <v>0.0</v>
      </c>
      <c r="R255" s="19">
        <v>0.0</v>
      </c>
      <c r="S255" s="19">
        <v>0.0</v>
      </c>
      <c r="T255" s="19">
        <v>0.0</v>
      </c>
      <c r="U255" s="19">
        <v>0.0</v>
      </c>
      <c r="V255" s="19">
        <v>0.0</v>
      </c>
      <c r="W255" s="13">
        <f t="shared" si="48"/>
        <v>0</v>
      </c>
    </row>
    <row r="256" ht="12.75" customHeight="1">
      <c r="A256" s="18"/>
      <c r="B256" s="56"/>
      <c r="C256" s="68"/>
      <c r="D256" s="62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3">
        <f t="shared" si="48"/>
        <v>0</v>
      </c>
    </row>
    <row r="257" ht="12.75" customHeight="1">
      <c r="A257" s="18"/>
      <c r="B257" s="56"/>
      <c r="C257" s="68"/>
      <c r="D257" s="62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3">
        <f t="shared" si="48"/>
        <v>0</v>
      </c>
    </row>
    <row r="258" ht="12.75" customHeight="1">
      <c r="A258" s="18"/>
      <c r="B258" s="56"/>
      <c r="C258" s="68"/>
      <c r="D258" s="62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3">
        <f t="shared" si="48"/>
        <v>0</v>
      </c>
    </row>
    <row r="259" ht="12.75" customHeight="1">
      <c r="A259" s="19" t="s">
        <v>15</v>
      </c>
      <c r="B259" s="47" t="s">
        <v>47</v>
      </c>
      <c r="C259" s="15"/>
      <c r="D259" s="16"/>
      <c r="E259" s="13">
        <f t="shared" ref="E259:W259" si="49">SUM(E249:E258)</f>
        <v>0</v>
      </c>
      <c r="F259" s="13">
        <f t="shared" si="49"/>
        <v>1</v>
      </c>
      <c r="G259" s="13">
        <f t="shared" si="49"/>
        <v>0</v>
      </c>
      <c r="H259" s="13">
        <f t="shared" si="49"/>
        <v>0</v>
      </c>
      <c r="I259" s="13">
        <f t="shared" si="49"/>
        <v>1</v>
      </c>
      <c r="J259" s="13">
        <f t="shared" si="49"/>
        <v>1</v>
      </c>
      <c r="K259" s="13">
        <f t="shared" si="49"/>
        <v>0</v>
      </c>
      <c r="L259" s="13">
        <f t="shared" si="49"/>
        <v>1</v>
      </c>
      <c r="M259" s="13">
        <f t="shared" si="49"/>
        <v>1</v>
      </c>
      <c r="N259" s="13">
        <f t="shared" si="49"/>
        <v>0</v>
      </c>
      <c r="O259" s="13">
        <f t="shared" si="49"/>
        <v>1</v>
      </c>
      <c r="P259" s="13">
        <f t="shared" si="49"/>
        <v>0</v>
      </c>
      <c r="Q259" s="13">
        <f t="shared" si="49"/>
        <v>1</v>
      </c>
      <c r="R259" s="13">
        <f t="shared" si="49"/>
        <v>0</v>
      </c>
      <c r="S259" s="13">
        <f t="shared" si="49"/>
        <v>0</v>
      </c>
      <c r="T259" s="13">
        <f t="shared" si="49"/>
        <v>0</v>
      </c>
      <c r="U259" s="13">
        <f t="shared" si="49"/>
        <v>0</v>
      </c>
      <c r="V259" s="13">
        <f t="shared" si="49"/>
        <v>2</v>
      </c>
      <c r="W259" s="13">
        <f t="shared" si="49"/>
        <v>9</v>
      </c>
    </row>
    <row r="260" ht="12.75" customHeight="1"/>
    <row r="261" ht="12.75" customHeight="1">
      <c r="A261" s="42" t="s">
        <v>190</v>
      </c>
      <c r="B261" s="14" t="s">
        <v>191</v>
      </c>
      <c r="C261" s="15"/>
      <c r="D261" s="16"/>
      <c r="E261" s="13"/>
      <c r="F261" s="13"/>
      <c r="G261" s="13"/>
      <c r="H261" s="13"/>
      <c r="I261" s="13"/>
      <c r="J261" s="13"/>
      <c r="K261" s="13"/>
      <c r="L261" s="13"/>
      <c r="M261" s="13"/>
      <c r="N261" s="78"/>
      <c r="O261" s="78"/>
      <c r="P261" s="78"/>
      <c r="Q261" s="78"/>
      <c r="R261" s="78"/>
      <c r="S261" s="78"/>
      <c r="T261" s="78"/>
      <c r="U261" s="78"/>
      <c r="V261" s="78"/>
      <c r="W261" s="13"/>
    </row>
    <row r="262" ht="12.75" customHeight="1">
      <c r="A262" s="42"/>
      <c r="B262" s="71" t="s">
        <v>192</v>
      </c>
      <c r="C262" s="72" t="s">
        <v>193</v>
      </c>
      <c r="D262" s="16"/>
      <c r="E262" s="19">
        <f t="shared" ref="E262:V262" si="50">E55+E67+E79+E91+E103+E115+E127+E139+E151+E163+E175+E187+E199+E211+E223+E235+E247+E259</f>
        <v>219</v>
      </c>
      <c r="F262" s="19">
        <f t="shared" si="50"/>
        <v>201</v>
      </c>
      <c r="G262" s="19">
        <f t="shared" si="50"/>
        <v>210</v>
      </c>
      <c r="H262" s="19">
        <f t="shared" si="50"/>
        <v>191</v>
      </c>
      <c r="I262" s="19">
        <f t="shared" si="50"/>
        <v>220</v>
      </c>
      <c r="J262" s="19">
        <f t="shared" si="50"/>
        <v>216</v>
      </c>
      <c r="K262" s="19">
        <f t="shared" si="50"/>
        <v>232</v>
      </c>
      <c r="L262" s="19">
        <f t="shared" si="50"/>
        <v>223</v>
      </c>
      <c r="M262" s="19">
        <f t="shared" si="50"/>
        <v>236</v>
      </c>
      <c r="N262" s="19">
        <f t="shared" si="50"/>
        <v>102</v>
      </c>
      <c r="O262" s="19">
        <f t="shared" si="50"/>
        <v>213</v>
      </c>
      <c r="P262" s="19">
        <f t="shared" si="50"/>
        <v>234</v>
      </c>
      <c r="Q262" s="19">
        <f t="shared" si="50"/>
        <v>209</v>
      </c>
      <c r="R262" s="19">
        <f t="shared" si="50"/>
        <v>187</v>
      </c>
      <c r="S262" s="19">
        <f t="shared" si="50"/>
        <v>222</v>
      </c>
      <c r="T262" s="19">
        <f t="shared" si="50"/>
        <v>181</v>
      </c>
      <c r="U262" s="19">
        <f t="shared" si="50"/>
        <v>207</v>
      </c>
      <c r="V262" s="19">
        <f t="shared" si="50"/>
        <v>195</v>
      </c>
      <c r="W262" s="13">
        <f t="shared" ref="W262:W264" si="51">SUM(E262:V262)</f>
        <v>3698</v>
      </c>
    </row>
    <row r="263" ht="12.75" customHeight="1">
      <c r="A263" s="35"/>
      <c r="B263" s="71" t="s">
        <v>194</v>
      </c>
      <c r="C263" s="72" t="s">
        <v>195</v>
      </c>
      <c r="D263" s="16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3">
        <f t="shared" si="51"/>
        <v>0</v>
      </c>
    </row>
    <row r="264" ht="12.75" customHeight="1">
      <c r="A264" s="41"/>
      <c r="B264" s="71" t="s">
        <v>196</v>
      </c>
      <c r="C264" s="72" t="s">
        <v>197</v>
      </c>
      <c r="D264" s="16"/>
      <c r="E264" s="13">
        <f t="shared" ref="E264:V264" si="52">SUM(E262:E263)</f>
        <v>219</v>
      </c>
      <c r="F264" s="13">
        <f t="shared" si="52"/>
        <v>201</v>
      </c>
      <c r="G264" s="13">
        <f t="shared" si="52"/>
        <v>210</v>
      </c>
      <c r="H264" s="13">
        <f t="shared" si="52"/>
        <v>191</v>
      </c>
      <c r="I264" s="13">
        <f t="shared" si="52"/>
        <v>220</v>
      </c>
      <c r="J264" s="13">
        <f t="shared" si="52"/>
        <v>216</v>
      </c>
      <c r="K264" s="13">
        <f t="shared" si="52"/>
        <v>232</v>
      </c>
      <c r="L264" s="13">
        <f t="shared" si="52"/>
        <v>223</v>
      </c>
      <c r="M264" s="13">
        <f t="shared" si="52"/>
        <v>236</v>
      </c>
      <c r="N264" s="13">
        <f t="shared" si="52"/>
        <v>102</v>
      </c>
      <c r="O264" s="13">
        <f t="shared" si="52"/>
        <v>213</v>
      </c>
      <c r="P264" s="13">
        <f t="shared" si="52"/>
        <v>234</v>
      </c>
      <c r="Q264" s="13">
        <f t="shared" si="52"/>
        <v>209</v>
      </c>
      <c r="R264" s="13">
        <f t="shared" si="52"/>
        <v>187</v>
      </c>
      <c r="S264" s="13">
        <f t="shared" si="52"/>
        <v>222</v>
      </c>
      <c r="T264" s="13">
        <f t="shared" si="52"/>
        <v>181</v>
      </c>
      <c r="U264" s="13">
        <f t="shared" si="52"/>
        <v>207</v>
      </c>
      <c r="V264" s="13">
        <f t="shared" si="52"/>
        <v>195</v>
      </c>
      <c r="W264" s="13">
        <f t="shared" si="51"/>
        <v>3698</v>
      </c>
    </row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93">
    <mergeCell ref="B55:D55"/>
    <mergeCell ref="A56:E56"/>
    <mergeCell ref="C57:D57"/>
    <mergeCell ref="B67:D67"/>
    <mergeCell ref="A68:E68"/>
    <mergeCell ref="C69:D69"/>
    <mergeCell ref="B79:D79"/>
    <mergeCell ref="A80:E80"/>
    <mergeCell ref="C81:D81"/>
    <mergeCell ref="B91:D91"/>
    <mergeCell ref="A92:E92"/>
    <mergeCell ref="C93:D93"/>
    <mergeCell ref="B103:D103"/>
    <mergeCell ref="A104:E104"/>
    <mergeCell ref="B127:D127"/>
    <mergeCell ref="A128:E128"/>
    <mergeCell ref="C129:D129"/>
    <mergeCell ref="B139:D139"/>
    <mergeCell ref="A140:E140"/>
    <mergeCell ref="C141:D141"/>
    <mergeCell ref="B151:D151"/>
    <mergeCell ref="A152:E152"/>
    <mergeCell ref="C153:D153"/>
    <mergeCell ref="B163:D163"/>
    <mergeCell ref="A164:E164"/>
    <mergeCell ref="C165:D165"/>
    <mergeCell ref="B175:D175"/>
    <mergeCell ref="A176:E176"/>
    <mergeCell ref="C177:D177"/>
    <mergeCell ref="B187:D187"/>
    <mergeCell ref="A188:E188"/>
    <mergeCell ref="C189:D189"/>
    <mergeCell ref="B199:D199"/>
    <mergeCell ref="A200:E200"/>
    <mergeCell ref="C201:D201"/>
    <mergeCell ref="B211:D211"/>
    <mergeCell ref="A212:E212"/>
    <mergeCell ref="C213:D213"/>
    <mergeCell ref="B223:D223"/>
    <mergeCell ref="A224:E224"/>
    <mergeCell ref="C225:D225"/>
    <mergeCell ref="B235:D235"/>
    <mergeCell ref="C262:D262"/>
    <mergeCell ref="C263:D263"/>
    <mergeCell ref="C264:D264"/>
    <mergeCell ref="A236:E236"/>
    <mergeCell ref="C237:D237"/>
    <mergeCell ref="B247:D247"/>
    <mergeCell ref="A248:E248"/>
    <mergeCell ref="C249:D249"/>
    <mergeCell ref="B259:D259"/>
    <mergeCell ref="B261:D261"/>
    <mergeCell ref="B12:D12"/>
    <mergeCell ref="E12:V12"/>
    <mergeCell ref="W12:W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B38:D38"/>
    <mergeCell ref="B39:C41"/>
    <mergeCell ref="A42:D42"/>
    <mergeCell ref="E42:I42"/>
    <mergeCell ref="B43:D43"/>
    <mergeCell ref="A44:D44"/>
    <mergeCell ref="C45:D45"/>
    <mergeCell ref="C46:D46"/>
    <mergeCell ref="C47:D47"/>
    <mergeCell ref="C48:D48"/>
    <mergeCell ref="C49:D49"/>
    <mergeCell ref="C50:D50"/>
    <mergeCell ref="C51:D51"/>
    <mergeCell ref="C52:D52"/>
    <mergeCell ref="C105:D105"/>
    <mergeCell ref="B115:D115"/>
    <mergeCell ref="A116:E116"/>
    <mergeCell ref="C117:D117"/>
  </mergeCells>
  <conditionalFormatting sqref="E34:T34">
    <cfRule type="expression" dxfId="0" priority="1">
      <formula>E34&lt;&gt;E64</formula>
    </cfRule>
  </conditionalFormatting>
  <conditionalFormatting sqref="E14:V15">
    <cfRule type="containsBlanks" dxfId="1" priority="2">
      <formula>LEN(TRIM(E14))=0</formula>
    </cfRule>
  </conditionalFormatting>
  <conditionalFormatting sqref="E19:V20">
    <cfRule type="containsBlanks" dxfId="1" priority="3">
      <formula>LEN(TRIM(E19))=0</formula>
    </cfRule>
  </conditionalFormatting>
  <conditionalFormatting sqref="E22:V23 E25:V26 E33:V33 E35:V35 E39:V40">
    <cfRule type="containsBlanks" dxfId="1" priority="4">
      <formula>LEN(TRIM(E22))=0</formula>
    </cfRule>
  </conditionalFormatting>
  <conditionalFormatting sqref="E30:V30">
    <cfRule type="expression" dxfId="0" priority="5">
      <formula>E30&lt;&gt;E47</formula>
    </cfRule>
  </conditionalFormatting>
  <conditionalFormatting sqref="E30:V30">
    <cfRule type="expression" dxfId="0" priority="6">
      <formula>E30&lt;&gt;E34</formula>
    </cfRule>
  </conditionalFormatting>
  <conditionalFormatting sqref="E34:V34">
    <cfRule type="expression" dxfId="2" priority="7">
      <formula>E30&lt;&gt;E34</formula>
    </cfRule>
  </conditionalFormatting>
  <conditionalFormatting sqref="E34:V34">
    <cfRule type="expression" dxfId="3" priority="8">
      <formula>E30=E34</formula>
    </cfRule>
  </conditionalFormatting>
  <conditionalFormatting sqref="E34:V34">
    <cfRule type="expression" dxfId="0" priority="9">
      <formula>E34&lt;&gt;E30</formula>
    </cfRule>
  </conditionalFormatting>
  <conditionalFormatting sqref="E45:V54">
    <cfRule type="containsBlanks" dxfId="1" priority="10">
      <formula>LEN(TRIM(E45))=0</formula>
    </cfRule>
  </conditionalFormatting>
  <conditionalFormatting sqref="E57:V66">
    <cfRule type="containsBlanks" dxfId="1" priority="11">
      <formula>LEN(TRIM(E57))=0</formula>
    </cfRule>
  </conditionalFormatting>
  <conditionalFormatting sqref="E69:V78">
    <cfRule type="containsBlanks" dxfId="1" priority="12">
      <formula>LEN(TRIM(E69))=0</formula>
    </cfRule>
  </conditionalFormatting>
  <conditionalFormatting sqref="E89:V90">
    <cfRule type="containsBlanks" dxfId="1" priority="13">
      <formula>LEN(TRIM(E89))=0</formula>
    </cfRule>
  </conditionalFormatting>
  <conditionalFormatting sqref="E93:V102">
    <cfRule type="containsBlanks" dxfId="1" priority="14">
      <formula>LEN(TRIM(E93))=0</formula>
    </cfRule>
  </conditionalFormatting>
  <conditionalFormatting sqref="E105:V114">
    <cfRule type="containsBlanks" dxfId="1" priority="15">
      <formula>LEN(TRIM(E105))=0</formula>
    </cfRule>
  </conditionalFormatting>
  <conditionalFormatting sqref="E117:V126">
    <cfRule type="containsBlanks" dxfId="1" priority="16">
      <formula>LEN(TRIM(E117))=0</formula>
    </cfRule>
  </conditionalFormatting>
  <conditionalFormatting sqref="E129:V138">
    <cfRule type="containsBlanks" dxfId="1" priority="17">
      <formula>LEN(TRIM(E129))=0</formula>
    </cfRule>
  </conditionalFormatting>
  <conditionalFormatting sqref="E141:V150">
    <cfRule type="containsBlanks" dxfId="1" priority="18">
      <formula>LEN(TRIM(E141))=0</formula>
    </cfRule>
  </conditionalFormatting>
  <conditionalFormatting sqref="E153:V162">
    <cfRule type="containsBlanks" dxfId="1" priority="19">
      <formula>LEN(TRIM(E153))=0</formula>
    </cfRule>
  </conditionalFormatting>
  <conditionalFormatting sqref="E165:V174">
    <cfRule type="containsBlanks" dxfId="1" priority="20">
      <formula>LEN(TRIM(E165))=0</formula>
    </cfRule>
  </conditionalFormatting>
  <conditionalFormatting sqref="E177:V186">
    <cfRule type="containsBlanks" dxfId="1" priority="21">
      <formula>LEN(TRIM(E177))=0</formula>
    </cfRule>
  </conditionalFormatting>
  <conditionalFormatting sqref="E189:V198">
    <cfRule type="containsBlanks" dxfId="1" priority="22">
      <formula>LEN(TRIM(E189))=0</formula>
    </cfRule>
  </conditionalFormatting>
  <conditionalFormatting sqref="E201:V210">
    <cfRule type="containsBlanks" dxfId="1" priority="23">
      <formula>LEN(TRIM(E201))=0</formula>
    </cfRule>
  </conditionalFormatting>
  <conditionalFormatting sqref="E213:V222">
    <cfRule type="containsBlanks" dxfId="1" priority="24">
      <formula>LEN(TRIM(E213))=0</formula>
    </cfRule>
  </conditionalFormatting>
  <conditionalFormatting sqref="E225:V234">
    <cfRule type="containsBlanks" dxfId="1" priority="25">
      <formula>LEN(TRIM(E225))=0</formula>
    </cfRule>
  </conditionalFormatting>
  <conditionalFormatting sqref="E237:V246">
    <cfRule type="containsBlanks" dxfId="1" priority="26">
      <formula>LEN(TRIM(E237))=0</formula>
    </cfRule>
  </conditionalFormatting>
  <conditionalFormatting sqref="E249:V258">
    <cfRule type="containsBlanks" dxfId="1" priority="27">
      <formula>LEN(TRIM(E249))=0</formula>
    </cfRule>
  </conditionalFormatting>
  <conditionalFormatting sqref="E262:V263">
    <cfRule type="containsBlanks" dxfId="1" priority="28">
      <formula>LEN(TRIM(E262))=0</formula>
    </cfRule>
  </conditionalFormatting>
  <conditionalFormatting sqref="U34:V34">
    <cfRule type="expression" dxfId="0" priority="29">
      <formula>U34&lt;&gt;U47</formula>
    </cfRule>
  </conditionalFormatting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24" width="8.71"/>
    <col customWidth="1" min="25" max="25" width="13.29"/>
    <col customWidth="1" min="26" max="26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198</v>
      </c>
      <c r="D9" s="8" t="s">
        <v>218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  <c r="R11" s="1"/>
      <c r="S11" s="1"/>
      <c r="T11" s="2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75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200</v>
      </c>
      <c r="F13" s="13" t="s">
        <v>201</v>
      </c>
      <c r="G13" s="13" t="s">
        <v>202</v>
      </c>
      <c r="H13" s="13" t="s">
        <v>203</v>
      </c>
      <c r="I13" s="13" t="s">
        <v>204</v>
      </c>
      <c r="J13" s="13" t="s">
        <v>205</v>
      </c>
      <c r="K13" s="13" t="s">
        <v>206</v>
      </c>
      <c r="L13" s="13" t="s">
        <v>207</v>
      </c>
      <c r="M13" s="13" t="s">
        <v>208</v>
      </c>
      <c r="N13" s="13" t="s">
        <v>209</v>
      </c>
      <c r="O13" s="13" t="s">
        <v>210</v>
      </c>
      <c r="P13" s="13" t="s">
        <v>211</v>
      </c>
      <c r="Q13" s="13" t="s">
        <v>212</v>
      </c>
      <c r="R13" s="13" t="s">
        <v>213</v>
      </c>
      <c r="S13" s="13" t="s">
        <v>214</v>
      </c>
      <c r="T13" s="13" t="s">
        <v>215</v>
      </c>
      <c r="U13" s="13" t="s">
        <v>216</v>
      </c>
      <c r="V13" s="13" t="s">
        <v>217</v>
      </c>
      <c r="W13" s="13" t="s">
        <v>219</v>
      </c>
      <c r="X13" s="13" t="s">
        <v>220</v>
      </c>
      <c r="Y13" s="36"/>
    </row>
    <row r="14" ht="12.75" customHeight="1">
      <c r="A14" s="18"/>
      <c r="B14" s="22" t="s">
        <v>11</v>
      </c>
      <c r="C14" s="23"/>
      <c r="D14" s="19" t="s">
        <v>12</v>
      </c>
      <c r="E14" s="19">
        <v>121.0</v>
      </c>
      <c r="F14" s="19">
        <v>137.0</v>
      </c>
      <c r="G14" s="19">
        <v>150.0</v>
      </c>
      <c r="H14" s="19">
        <v>141.0</v>
      </c>
      <c r="I14" s="19">
        <v>129.0</v>
      </c>
      <c r="J14" s="19">
        <v>142.0</v>
      </c>
      <c r="K14" s="19">
        <v>142.0</v>
      </c>
      <c r="L14" s="19">
        <v>142.0</v>
      </c>
      <c r="M14" s="19">
        <v>132.0</v>
      </c>
      <c r="N14" s="19">
        <v>111.0</v>
      </c>
      <c r="O14" s="19">
        <v>121.0</v>
      </c>
      <c r="P14" s="19">
        <v>140.0</v>
      </c>
      <c r="Q14" s="19">
        <v>115.0</v>
      </c>
      <c r="R14" s="19">
        <v>135.0</v>
      </c>
      <c r="S14" s="19">
        <v>139.0</v>
      </c>
      <c r="T14" s="19">
        <v>110.0</v>
      </c>
      <c r="U14" s="19">
        <v>151.0</v>
      </c>
      <c r="V14" s="19">
        <v>139.0</v>
      </c>
      <c r="W14" s="19">
        <v>133.0</v>
      </c>
      <c r="X14" s="19">
        <v>132.0</v>
      </c>
      <c r="Y14" s="13">
        <f t="shared" ref="Y14:Y16" si="1">SUM(E14:X14)</f>
        <v>2662</v>
      </c>
    </row>
    <row r="15" ht="12.75" customHeight="1">
      <c r="A15" s="18"/>
      <c r="B15" s="26"/>
      <c r="C15" s="27"/>
      <c r="D15" s="19" t="s">
        <v>13</v>
      </c>
      <c r="E15" s="19">
        <v>114.0</v>
      </c>
      <c r="F15" s="19">
        <v>156.0</v>
      </c>
      <c r="G15" s="19">
        <v>148.0</v>
      </c>
      <c r="H15" s="19">
        <v>137.0</v>
      </c>
      <c r="I15" s="19">
        <v>143.0</v>
      </c>
      <c r="J15" s="19">
        <v>151.0</v>
      </c>
      <c r="K15" s="19">
        <v>148.0</v>
      </c>
      <c r="L15" s="19">
        <v>141.0</v>
      </c>
      <c r="M15" s="19">
        <v>135.0</v>
      </c>
      <c r="N15" s="19">
        <v>129.0</v>
      </c>
      <c r="O15" s="19">
        <v>129.0</v>
      </c>
      <c r="P15" s="19">
        <v>121.0</v>
      </c>
      <c r="Q15" s="19">
        <v>115.0</v>
      </c>
      <c r="R15" s="19">
        <v>147.0</v>
      </c>
      <c r="S15" s="19">
        <v>152.0</v>
      </c>
      <c r="T15" s="19">
        <v>132.0</v>
      </c>
      <c r="U15" s="19">
        <v>146.0</v>
      </c>
      <c r="V15" s="19">
        <v>149.0</v>
      </c>
      <c r="W15" s="19">
        <v>147.0</v>
      </c>
      <c r="X15" s="19">
        <v>144.0</v>
      </c>
      <c r="Y15" s="13">
        <f t="shared" si="1"/>
        <v>2784</v>
      </c>
    </row>
    <row r="16" ht="12.75" customHeight="1">
      <c r="A16" s="25"/>
      <c r="B16" s="21"/>
      <c r="C16" s="28"/>
      <c r="D16" s="13" t="s">
        <v>14</v>
      </c>
      <c r="E16" s="13">
        <f t="shared" ref="E16:X16" si="2">SUM(E14:E15)</f>
        <v>235</v>
      </c>
      <c r="F16" s="13">
        <f t="shared" si="2"/>
        <v>293</v>
      </c>
      <c r="G16" s="13">
        <f t="shared" si="2"/>
        <v>298</v>
      </c>
      <c r="H16" s="13">
        <f t="shared" si="2"/>
        <v>278</v>
      </c>
      <c r="I16" s="13">
        <f t="shared" si="2"/>
        <v>272</v>
      </c>
      <c r="J16" s="13">
        <f t="shared" si="2"/>
        <v>293</v>
      </c>
      <c r="K16" s="13">
        <f t="shared" si="2"/>
        <v>290</v>
      </c>
      <c r="L16" s="13">
        <f t="shared" si="2"/>
        <v>283</v>
      </c>
      <c r="M16" s="13">
        <f t="shared" si="2"/>
        <v>267</v>
      </c>
      <c r="N16" s="13">
        <f t="shared" si="2"/>
        <v>240</v>
      </c>
      <c r="O16" s="13">
        <f t="shared" si="2"/>
        <v>250</v>
      </c>
      <c r="P16" s="13">
        <f t="shared" si="2"/>
        <v>261</v>
      </c>
      <c r="Q16" s="13">
        <f t="shared" si="2"/>
        <v>230</v>
      </c>
      <c r="R16" s="13">
        <f t="shared" si="2"/>
        <v>282</v>
      </c>
      <c r="S16" s="13">
        <f t="shared" si="2"/>
        <v>291</v>
      </c>
      <c r="T16" s="13">
        <f t="shared" si="2"/>
        <v>242</v>
      </c>
      <c r="U16" s="13">
        <f t="shared" si="2"/>
        <v>297</v>
      </c>
      <c r="V16" s="13">
        <f t="shared" si="2"/>
        <v>288</v>
      </c>
      <c r="W16" s="13">
        <f t="shared" si="2"/>
        <v>280</v>
      </c>
      <c r="X16" s="13">
        <f t="shared" si="2"/>
        <v>276</v>
      </c>
      <c r="Y16" s="13">
        <f t="shared" si="1"/>
        <v>5446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76"/>
      <c r="O17" s="76"/>
      <c r="P17" s="76"/>
      <c r="Q17" s="76"/>
      <c r="R17" s="19"/>
      <c r="S17" s="19"/>
      <c r="T17" s="76"/>
      <c r="U17" s="76"/>
      <c r="V17" s="76"/>
      <c r="W17" s="76"/>
      <c r="X17" s="76"/>
      <c r="Y17" s="77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76"/>
      <c r="O18" s="76"/>
      <c r="P18" s="76"/>
      <c r="Q18" s="76"/>
      <c r="R18" s="19"/>
      <c r="S18" s="19"/>
      <c r="T18" s="76"/>
      <c r="U18" s="76"/>
      <c r="V18" s="76"/>
      <c r="W18" s="76"/>
      <c r="X18" s="76"/>
      <c r="Y18" s="77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19">
        <v>98.0</v>
      </c>
      <c r="F19" s="19">
        <v>99.0</v>
      </c>
      <c r="G19" s="19">
        <v>122.0</v>
      </c>
      <c r="H19" s="19">
        <v>107.0</v>
      </c>
      <c r="I19" s="19">
        <v>94.0</v>
      </c>
      <c r="J19" s="19">
        <v>114.0</v>
      </c>
      <c r="K19" s="19">
        <v>107.0</v>
      </c>
      <c r="L19" s="19">
        <v>116.0</v>
      </c>
      <c r="M19" s="19">
        <v>97.0</v>
      </c>
      <c r="N19" s="19">
        <v>83.0</v>
      </c>
      <c r="O19" s="19">
        <v>89.0</v>
      </c>
      <c r="P19" s="19">
        <v>107.0</v>
      </c>
      <c r="Q19" s="19">
        <v>93.0</v>
      </c>
      <c r="R19" s="19">
        <v>96.0</v>
      </c>
      <c r="S19" s="19">
        <v>99.0</v>
      </c>
      <c r="T19" s="19">
        <v>75.0</v>
      </c>
      <c r="U19" s="19">
        <v>137.0</v>
      </c>
      <c r="V19" s="19">
        <v>107.0</v>
      </c>
      <c r="W19" s="19">
        <v>109.0</v>
      </c>
      <c r="X19" s="19">
        <v>101.0</v>
      </c>
      <c r="Y19" s="13">
        <f t="shared" ref="Y19:Y30" si="3">SUM(E19:X19)</f>
        <v>2050</v>
      </c>
    </row>
    <row r="20" ht="12.75" customHeight="1">
      <c r="A20" s="33"/>
      <c r="B20" s="27"/>
      <c r="C20" s="34"/>
      <c r="D20" s="19" t="s">
        <v>13</v>
      </c>
      <c r="E20" s="19">
        <v>102.0</v>
      </c>
      <c r="F20" s="19">
        <v>117.0</v>
      </c>
      <c r="G20" s="19">
        <v>109.0</v>
      </c>
      <c r="H20" s="19">
        <v>100.0</v>
      </c>
      <c r="I20" s="19">
        <v>110.0</v>
      </c>
      <c r="J20" s="19">
        <v>129.0</v>
      </c>
      <c r="K20" s="19">
        <v>123.0</v>
      </c>
      <c r="L20" s="19">
        <v>110.0</v>
      </c>
      <c r="M20" s="19">
        <v>112.0</v>
      </c>
      <c r="N20" s="19">
        <v>110.0</v>
      </c>
      <c r="O20" s="19">
        <v>116.0</v>
      </c>
      <c r="P20" s="19">
        <v>106.0</v>
      </c>
      <c r="Q20" s="19">
        <v>100.0</v>
      </c>
      <c r="R20" s="19">
        <v>118.0</v>
      </c>
      <c r="S20" s="19">
        <v>123.0</v>
      </c>
      <c r="T20" s="19">
        <v>94.0</v>
      </c>
      <c r="U20" s="19">
        <v>138.0</v>
      </c>
      <c r="V20" s="19">
        <v>124.0</v>
      </c>
      <c r="W20" s="19">
        <v>116.0</v>
      </c>
      <c r="X20" s="19">
        <v>114.0</v>
      </c>
      <c r="Y20" s="13">
        <f t="shared" si="3"/>
        <v>2271</v>
      </c>
    </row>
    <row r="21" ht="12.75" customHeight="1">
      <c r="A21" s="35"/>
      <c r="B21" s="28"/>
      <c r="C21" s="36"/>
      <c r="D21" s="13" t="s">
        <v>14</v>
      </c>
      <c r="E21" s="13">
        <f t="shared" ref="E21:X21" si="4">SUM(E19:E20)</f>
        <v>200</v>
      </c>
      <c r="F21" s="13">
        <f t="shared" si="4"/>
        <v>216</v>
      </c>
      <c r="G21" s="13">
        <f t="shared" si="4"/>
        <v>231</v>
      </c>
      <c r="H21" s="13">
        <f t="shared" si="4"/>
        <v>207</v>
      </c>
      <c r="I21" s="13">
        <f t="shared" si="4"/>
        <v>204</v>
      </c>
      <c r="J21" s="13">
        <f t="shared" si="4"/>
        <v>243</v>
      </c>
      <c r="K21" s="13">
        <f t="shared" si="4"/>
        <v>230</v>
      </c>
      <c r="L21" s="13">
        <f t="shared" si="4"/>
        <v>226</v>
      </c>
      <c r="M21" s="13">
        <f t="shared" si="4"/>
        <v>209</v>
      </c>
      <c r="N21" s="13">
        <f t="shared" si="4"/>
        <v>193</v>
      </c>
      <c r="O21" s="13">
        <f t="shared" si="4"/>
        <v>205</v>
      </c>
      <c r="P21" s="13">
        <f t="shared" si="4"/>
        <v>213</v>
      </c>
      <c r="Q21" s="13">
        <f t="shared" si="4"/>
        <v>193</v>
      </c>
      <c r="R21" s="13">
        <f t="shared" si="4"/>
        <v>214</v>
      </c>
      <c r="S21" s="13">
        <f t="shared" si="4"/>
        <v>222</v>
      </c>
      <c r="T21" s="13">
        <f t="shared" si="4"/>
        <v>169</v>
      </c>
      <c r="U21" s="13">
        <f t="shared" si="4"/>
        <v>275</v>
      </c>
      <c r="V21" s="13">
        <f t="shared" si="4"/>
        <v>231</v>
      </c>
      <c r="W21" s="13">
        <f t="shared" si="4"/>
        <v>225</v>
      </c>
      <c r="X21" s="13">
        <f t="shared" si="4"/>
        <v>215</v>
      </c>
      <c r="Y21" s="13">
        <f t="shared" si="3"/>
        <v>4321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19">
        <v>0.0</v>
      </c>
      <c r="F22" s="19">
        <v>0.0</v>
      </c>
      <c r="G22" s="19">
        <v>0.0</v>
      </c>
      <c r="H22" s="19">
        <v>0.0</v>
      </c>
      <c r="I22" s="19">
        <v>0.0</v>
      </c>
      <c r="J22" s="19">
        <v>0.0</v>
      </c>
      <c r="K22" s="19">
        <v>0.0</v>
      </c>
      <c r="L22" s="19">
        <v>0.0</v>
      </c>
      <c r="M22" s="19">
        <v>0.0</v>
      </c>
      <c r="N22" s="19">
        <v>0.0</v>
      </c>
      <c r="O22" s="19">
        <v>0.0</v>
      </c>
      <c r="P22" s="19">
        <v>0.0</v>
      </c>
      <c r="Q22" s="19">
        <v>0.0</v>
      </c>
      <c r="R22" s="19">
        <v>0.0</v>
      </c>
      <c r="S22" s="19">
        <v>0.0</v>
      </c>
      <c r="T22" s="19">
        <v>0.0</v>
      </c>
      <c r="U22" s="19">
        <v>0.0</v>
      </c>
      <c r="V22" s="19">
        <v>0.0</v>
      </c>
      <c r="W22" s="19">
        <v>0.0</v>
      </c>
      <c r="X22" s="19">
        <v>0.0</v>
      </c>
      <c r="Y22" s="13">
        <f t="shared" si="3"/>
        <v>0</v>
      </c>
    </row>
    <row r="23" ht="12.75" customHeight="1">
      <c r="A23" s="33"/>
      <c r="B23" s="27"/>
      <c r="C23" s="34"/>
      <c r="D23" s="19" t="s">
        <v>13</v>
      </c>
      <c r="E23" s="19">
        <v>0.0</v>
      </c>
      <c r="F23" s="19">
        <v>0.0</v>
      </c>
      <c r="G23" s="19">
        <v>0.0</v>
      </c>
      <c r="H23" s="19">
        <v>0.0</v>
      </c>
      <c r="I23" s="19">
        <v>0.0</v>
      </c>
      <c r="J23" s="19">
        <v>0.0</v>
      </c>
      <c r="K23" s="19">
        <v>0.0</v>
      </c>
      <c r="L23" s="19">
        <v>0.0</v>
      </c>
      <c r="M23" s="19">
        <v>0.0</v>
      </c>
      <c r="N23" s="19">
        <v>0.0</v>
      </c>
      <c r="O23" s="19">
        <v>0.0</v>
      </c>
      <c r="P23" s="19">
        <v>0.0</v>
      </c>
      <c r="Q23" s="19">
        <v>0.0</v>
      </c>
      <c r="R23" s="19">
        <v>0.0</v>
      </c>
      <c r="S23" s="19">
        <v>0.0</v>
      </c>
      <c r="T23" s="19">
        <v>0.0</v>
      </c>
      <c r="U23" s="19">
        <v>0.0</v>
      </c>
      <c r="V23" s="19">
        <v>0.0</v>
      </c>
      <c r="W23" s="19">
        <v>0.0</v>
      </c>
      <c r="X23" s="19">
        <v>0.0</v>
      </c>
      <c r="Y23" s="13">
        <f t="shared" si="3"/>
        <v>0</v>
      </c>
    </row>
    <row r="24" ht="12.75" customHeight="1">
      <c r="A24" s="35"/>
      <c r="B24" s="28"/>
      <c r="C24" s="36"/>
      <c r="D24" s="13" t="s">
        <v>14</v>
      </c>
      <c r="E24" s="13">
        <f t="shared" ref="E24:X24" si="5">SUM(E22:E23)</f>
        <v>0</v>
      </c>
      <c r="F24" s="13">
        <f t="shared" si="5"/>
        <v>0</v>
      </c>
      <c r="G24" s="13">
        <f t="shared" si="5"/>
        <v>0</v>
      </c>
      <c r="H24" s="13">
        <f t="shared" si="5"/>
        <v>0</v>
      </c>
      <c r="I24" s="13">
        <f t="shared" si="5"/>
        <v>0</v>
      </c>
      <c r="J24" s="13">
        <f t="shared" si="5"/>
        <v>0</v>
      </c>
      <c r="K24" s="13">
        <f t="shared" si="5"/>
        <v>0</v>
      </c>
      <c r="L24" s="13">
        <f t="shared" si="5"/>
        <v>0</v>
      </c>
      <c r="M24" s="13">
        <f t="shared" si="5"/>
        <v>0</v>
      </c>
      <c r="N24" s="13">
        <f t="shared" si="5"/>
        <v>0</v>
      </c>
      <c r="O24" s="13">
        <f t="shared" si="5"/>
        <v>0</v>
      </c>
      <c r="P24" s="13">
        <f t="shared" si="5"/>
        <v>0</v>
      </c>
      <c r="Q24" s="13">
        <f t="shared" si="5"/>
        <v>0</v>
      </c>
      <c r="R24" s="13">
        <f t="shared" si="5"/>
        <v>0</v>
      </c>
      <c r="S24" s="13">
        <f t="shared" si="5"/>
        <v>0</v>
      </c>
      <c r="T24" s="13">
        <f t="shared" si="5"/>
        <v>0</v>
      </c>
      <c r="U24" s="13">
        <f t="shared" si="5"/>
        <v>0</v>
      </c>
      <c r="V24" s="13">
        <f t="shared" si="5"/>
        <v>0</v>
      </c>
      <c r="W24" s="13">
        <f t="shared" si="5"/>
        <v>0</v>
      </c>
      <c r="X24" s="13">
        <f t="shared" si="5"/>
        <v>0</v>
      </c>
      <c r="Y24" s="13">
        <f t="shared" si="3"/>
        <v>0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19">
        <v>0.0</v>
      </c>
      <c r="F25" s="19">
        <v>0.0</v>
      </c>
      <c r="G25" s="19">
        <v>0.0</v>
      </c>
      <c r="H25" s="19">
        <v>0.0</v>
      </c>
      <c r="I25" s="19">
        <v>0.0</v>
      </c>
      <c r="J25" s="19">
        <v>0.0</v>
      </c>
      <c r="K25" s="19">
        <v>0.0</v>
      </c>
      <c r="L25" s="19">
        <v>0.0</v>
      </c>
      <c r="M25" s="19">
        <v>0.0</v>
      </c>
      <c r="N25" s="19">
        <v>0.0</v>
      </c>
      <c r="O25" s="19">
        <v>0.0</v>
      </c>
      <c r="P25" s="19">
        <v>0.0</v>
      </c>
      <c r="Q25" s="19">
        <v>0.0</v>
      </c>
      <c r="R25" s="19">
        <v>0.0</v>
      </c>
      <c r="S25" s="19">
        <v>0.0</v>
      </c>
      <c r="T25" s="19">
        <v>0.0</v>
      </c>
      <c r="U25" s="19">
        <v>1.0</v>
      </c>
      <c r="V25" s="19">
        <v>0.0</v>
      </c>
      <c r="W25" s="19">
        <v>0.0</v>
      </c>
      <c r="X25" s="19">
        <v>1.0</v>
      </c>
      <c r="Y25" s="13">
        <f t="shared" si="3"/>
        <v>2</v>
      </c>
    </row>
    <row r="26" ht="12.75" customHeight="1">
      <c r="A26" s="33"/>
      <c r="B26" s="27"/>
      <c r="C26" s="34"/>
      <c r="D26" s="19" t="s">
        <v>13</v>
      </c>
      <c r="E26" s="19">
        <v>0.0</v>
      </c>
      <c r="F26" s="19">
        <v>0.0</v>
      </c>
      <c r="G26" s="19">
        <v>0.0</v>
      </c>
      <c r="H26" s="19">
        <v>0.0</v>
      </c>
      <c r="I26" s="19">
        <v>0.0</v>
      </c>
      <c r="J26" s="19">
        <v>0.0</v>
      </c>
      <c r="K26" s="19">
        <v>0.0</v>
      </c>
      <c r="L26" s="19">
        <v>0.0</v>
      </c>
      <c r="M26" s="19">
        <v>0.0</v>
      </c>
      <c r="N26" s="19">
        <v>0.0</v>
      </c>
      <c r="O26" s="19">
        <v>0.0</v>
      </c>
      <c r="P26" s="19">
        <v>0.0</v>
      </c>
      <c r="Q26" s="19">
        <v>0.0</v>
      </c>
      <c r="R26" s="19">
        <v>0.0</v>
      </c>
      <c r="S26" s="19">
        <v>0.0</v>
      </c>
      <c r="T26" s="19">
        <v>0.0</v>
      </c>
      <c r="U26" s="19">
        <v>0.0</v>
      </c>
      <c r="V26" s="19">
        <v>0.0</v>
      </c>
      <c r="W26" s="19">
        <v>0.0</v>
      </c>
      <c r="X26" s="19">
        <v>1.0</v>
      </c>
      <c r="Y26" s="13">
        <f t="shared" si="3"/>
        <v>1</v>
      </c>
    </row>
    <row r="27" ht="12.75" customHeight="1">
      <c r="A27" s="35"/>
      <c r="B27" s="28"/>
      <c r="C27" s="36"/>
      <c r="D27" s="13" t="s">
        <v>14</v>
      </c>
      <c r="E27" s="13">
        <f t="shared" ref="E27:X27" si="6">SUM(E25:E26)</f>
        <v>0</v>
      </c>
      <c r="F27" s="13">
        <f t="shared" si="6"/>
        <v>0</v>
      </c>
      <c r="G27" s="13">
        <f t="shared" si="6"/>
        <v>0</v>
      </c>
      <c r="H27" s="13">
        <f t="shared" si="6"/>
        <v>0</v>
      </c>
      <c r="I27" s="13">
        <f t="shared" si="6"/>
        <v>0</v>
      </c>
      <c r="J27" s="13">
        <f t="shared" si="6"/>
        <v>0</v>
      </c>
      <c r="K27" s="13">
        <f t="shared" si="6"/>
        <v>0</v>
      </c>
      <c r="L27" s="13">
        <f t="shared" si="6"/>
        <v>0</v>
      </c>
      <c r="M27" s="13">
        <f t="shared" si="6"/>
        <v>0</v>
      </c>
      <c r="N27" s="13">
        <f t="shared" si="6"/>
        <v>0</v>
      </c>
      <c r="O27" s="13">
        <f t="shared" si="6"/>
        <v>0</v>
      </c>
      <c r="P27" s="13">
        <f t="shared" si="6"/>
        <v>0</v>
      </c>
      <c r="Q27" s="13">
        <f t="shared" si="6"/>
        <v>0</v>
      </c>
      <c r="R27" s="13">
        <f t="shared" si="6"/>
        <v>0</v>
      </c>
      <c r="S27" s="13">
        <f t="shared" si="6"/>
        <v>0</v>
      </c>
      <c r="T27" s="13">
        <f t="shared" si="6"/>
        <v>0</v>
      </c>
      <c r="U27" s="13">
        <f t="shared" si="6"/>
        <v>1</v>
      </c>
      <c r="V27" s="13">
        <f t="shared" si="6"/>
        <v>0</v>
      </c>
      <c r="W27" s="13">
        <f t="shared" si="6"/>
        <v>0</v>
      </c>
      <c r="X27" s="13">
        <f t="shared" si="6"/>
        <v>2</v>
      </c>
      <c r="Y27" s="13">
        <f t="shared" si="3"/>
        <v>3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X28" si="7">SUM(E19,E22,E25)</f>
        <v>98</v>
      </c>
      <c r="F28" s="13">
        <f t="shared" si="7"/>
        <v>99</v>
      </c>
      <c r="G28" s="13">
        <f t="shared" si="7"/>
        <v>122</v>
      </c>
      <c r="H28" s="13">
        <f t="shared" si="7"/>
        <v>107</v>
      </c>
      <c r="I28" s="13">
        <f t="shared" si="7"/>
        <v>94</v>
      </c>
      <c r="J28" s="13">
        <f t="shared" si="7"/>
        <v>114</v>
      </c>
      <c r="K28" s="13">
        <f t="shared" si="7"/>
        <v>107</v>
      </c>
      <c r="L28" s="13">
        <f t="shared" si="7"/>
        <v>116</v>
      </c>
      <c r="M28" s="13">
        <f t="shared" si="7"/>
        <v>97</v>
      </c>
      <c r="N28" s="13">
        <f t="shared" si="7"/>
        <v>83</v>
      </c>
      <c r="O28" s="13">
        <f t="shared" si="7"/>
        <v>89</v>
      </c>
      <c r="P28" s="13">
        <f t="shared" si="7"/>
        <v>107</v>
      </c>
      <c r="Q28" s="13">
        <f t="shared" si="7"/>
        <v>93</v>
      </c>
      <c r="R28" s="13">
        <f t="shared" si="7"/>
        <v>96</v>
      </c>
      <c r="S28" s="13">
        <f t="shared" si="7"/>
        <v>99</v>
      </c>
      <c r="T28" s="13">
        <f t="shared" si="7"/>
        <v>75</v>
      </c>
      <c r="U28" s="13">
        <f t="shared" si="7"/>
        <v>138</v>
      </c>
      <c r="V28" s="13">
        <f t="shared" si="7"/>
        <v>107</v>
      </c>
      <c r="W28" s="13">
        <f t="shared" si="7"/>
        <v>109</v>
      </c>
      <c r="X28" s="13">
        <f t="shared" si="7"/>
        <v>102</v>
      </c>
      <c r="Y28" s="13">
        <f t="shared" si="3"/>
        <v>2052</v>
      </c>
    </row>
    <row r="29" ht="12.75" customHeight="1">
      <c r="A29" s="35"/>
      <c r="B29" s="27"/>
      <c r="C29" s="34"/>
      <c r="D29" s="13" t="s">
        <v>13</v>
      </c>
      <c r="E29" s="13">
        <f t="shared" ref="E29:X29" si="8">SUM(E20,E23,E26)</f>
        <v>102</v>
      </c>
      <c r="F29" s="13">
        <f t="shared" si="8"/>
        <v>117</v>
      </c>
      <c r="G29" s="13">
        <f t="shared" si="8"/>
        <v>109</v>
      </c>
      <c r="H29" s="13">
        <f t="shared" si="8"/>
        <v>100</v>
      </c>
      <c r="I29" s="13">
        <f t="shared" si="8"/>
        <v>110</v>
      </c>
      <c r="J29" s="13">
        <f t="shared" si="8"/>
        <v>129</v>
      </c>
      <c r="K29" s="13">
        <f t="shared" si="8"/>
        <v>123</v>
      </c>
      <c r="L29" s="13">
        <f t="shared" si="8"/>
        <v>110</v>
      </c>
      <c r="M29" s="13">
        <f t="shared" si="8"/>
        <v>112</v>
      </c>
      <c r="N29" s="13">
        <f t="shared" si="8"/>
        <v>110</v>
      </c>
      <c r="O29" s="13">
        <f t="shared" si="8"/>
        <v>116</v>
      </c>
      <c r="P29" s="13">
        <f t="shared" si="8"/>
        <v>106</v>
      </c>
      <c r="Q29" s="13">
        <f t="shared" si="8"/>
        <v>100</v>
      </c>
      <c r="R29" s="13">
        <f t="shared" si="8"/>
        <v>118</v>
      </c>
      <c r="S29" s="13">
        <f t="shared" si="8"/>
        <v>123</v>
      </c>
      <c r="T29" s="13">
        <f t="shared" si="8"/>
        <v>94</v>
      </c>
      <c r="U29" s="13">
        <f t="shared" si="8"/>
        <v>138</v>
      </c>
      <c r="V29" s="13">
        <f t="shared" si="8"/>
        <v>124</v>
      </c>
      <c r="W29" s="13">
        <f t="shared" si="8"/>
        <v>116</v>
      </c>
      <c r="X29" s="13">
        <f t="shared" si="8"/>
        <v>115</v>
      </c>
      <c r="Y29" s="13">
        <f t="shared" si="3"/>
        <v>2272</v>
      </c>
    </row>
    <row r="30" ht="12.75" customHeight="1">
      <c r="A30" s="35"/>
      <c r="B30" s="28"/>
      <c r="C30" s="36"/>
      <c r="D30" s="13" t="s">
        <v>14</v>
      </c>
      <c r="E30" s="13">
        <f t="shared" ref="E30:X30" si="9">SUM(E28:E29)</f>
        <v>200</v>
      </c>
      <c r="F30" s="13">
        <f t="shared" si="9"/>
        <v>216</v>
      </c>
      <c r="G30" s="13">
        <f t="shared" si="9"/>
        <v>231</v>
      </c>
      <c r="H30" s="13">
        <f t="shared" si="9"/>
        <v>207</v>
      </c>
      <c r="I30" s="13">
        <f t="shared" si="9"/>
        <v>204</v>
      </c>
      <c r="J30" s="13">
        <f t="shared" si="9"/>
        <v>243</v>
      </c>
      <c r="K30" s="13">
        <f t="shared" si="9"/>
        <v>230</v>
      </c>
      <c r="L30" s="13">
        <f t="shared" si="9"/>
        <v>226</v>
      </c>
      <c r="M30" s="13">
        <f t="shared" si="9"/>
        <v>209</v>
      </c>
      <c r="N30" s="13">
        <f t="shared" si="9"/>
        <v>193</v>
      </c>
      <c r="O30" s="13">
        <f t="shared" si="9"/>
        <v>205</v>
      </c>
      <c r="P30" s="13">
        <f t="shared" si="9"/>
        <v>213</v>
      </c>
      <c r="Q30" s="13">
        <f t="shared" si="9"/>
        <v>193</v>
      </c>
      <c r="R30" s="13">
        <f t="shared" si="9"/>
        <v>214</v>
      </c>
      <c r="S30" s="13">
        <f t="shared" si="9"/>
        <v>222</v>
      </c>
      <c r="T30" s="13">
        <f t="shared" si="9"/>
        <v>169</v>
      </c>
      <c r="U30" s="13">
        <f t="shared" si="9"/>
        <v>276</v>
      </c>
      <c r="V30" s="13">
        <f t="shared" si="9"/>
        <v>231</v>
      </c>
      <c r="W30" s="13">
        <f t="shared" si="9"/>
        <v>225</v>
      </c>
      <c r="X30" s="13">
        <f t="shared" si="9"/>
        <v>217</v>
      </c>
      <c r="Y30" s="13">
        <f t="shared" si="3"/>
        <v>4324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76"/>
      <c r="O31" s="76"/>
      <c r="P31" s="76"/>
      <c r="Q31" s="76"/>
      <c r="R31" s="19"/>
      <c r="S31" s="19"/>
      <c r="T31" s="76"/>
      <c r="U31" s="76"/>
      <c r="V31" s="76"/>
      <c r="W31" s="76"/>
      <c r="X31" s="76"/>
      <c r="Y31" s="77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78"/>
      <c r="O32" s="78"/>
      <c r="P32" s="78"/>
      <c r="Q32" s="78"/>
      <c r="R32" s="13"/>
      <c r="S32" s="13"/>
      <c r="T32" s="78"/>
      <c r="U32" s="78"/>
      <c r="V32" s="78"/>
      <c r="W32" s="78"/>
      <c r="X32" s="78"/>
      <c r="Y32" s="77"/>
    </row>
    <row r="33" ht="12.75" customHeight="1">
      <c r="A33" s="19">
        <v>1.0</v>
      </c>
      <c r="B33" s="20" t="s">
        <v>27</v>
      </c>
      <c r="C33" s="15"/>
      <c r="D33" s="16"/>
      <c r="E33" s="19">
        <v>240.0</v>
      </c>
      <c r="F33" s="19">
        <v>299.0</v>
      </c>
      <c r="G33" s="19">
        <v>304.0</v>
      </c>
      <c r="H33" s="19">
        <v>284.0</v>
      </c>
      <c r="I33" s="19">
        <v>277.0</v>
      </c>
      <c r="J33" s="19">
        <v>298.0</v>
      </c>
      <c r="K33" s="19">
        <v>296.0</v>
      </c>
      <c r="L33" s="19">
        <v>289.0</v>
      </c>
      <c r="M33" s="19">
        <v>273.0</v>
      </c>
      <c r="N33" s="19">
        <v>245.0</v>
      </c>
      <c r="O33" s="19">
        <v>255.0</v>
      </c>
      <c r="P33" s="19">
        <v>267.0</v>
      </c>
      <c r="Q33" s="19">
        <v>235.0</v>
      </c>
      <c r="R33" s="19">
        <v>287.0</v>
      </c>
      <c r="S33" s="19">
        <v>297.0</v>
      </c>
      <c r="T33" s="19">
        <v>247.0</v>
      </c>
      <c r="U33" s="19">
        <v>303.0</v>
      </c>
      <c r="V33" s="19">
        <v>294.0</v>
      </c>
      <c r="W33" s="19">
        <v>286.0</v>
      </c>
      <c r="X33" s="19">
        <v>280.0</v>
      </c>
      <c r="Y33" s="13">
        <f t="shared" ref="Y33:Y36" si="10">SUM(E33:X33)</f>
        <v>5556</v>
      </c>
    </row>
    <row r="34" ht="12.75" customHeight="1">
      <c r="A34" s="19">
        <v>2.0</v>
      </c>
      <c r="B34" s="20" t="s">
        <v>28</v>
      </c>
      <c r="C34" s="15"/>
      <c r="D34" s="16"/>
      <c r="E34" s="13">
        <v>200.0</v>
      </c>
      <c r="F34" s="13">
        <v>216.0</v>
      </c>
      <c r="G34" s="13">
        <v>231.0</v>
      </c>
      <c r="H34" s="13">
        <v>207.0</v>
      </c>
      <c r="I34" s="13">
        <v>204.0</v>
      </c>
      <c r="J34" s="13">
        <v>243.0</v>
      </c>
      <c r="K34" s="13">
        <v>230.0</v>
      </c>
      <c r="L34" s="13">
        <v>226.0</v>
      </c>
      <c r="M34" s="13">
        <v>209.0</v>
      </c>
      <c r="N34" s="13">
        <v>193.0</v>
      </c>
      <c r="O34" s="13">
        <v>205.0</v>
      </c>
      <c r="P34" s="13">
        <v>213.0</v>
      </c>
      <c r="Q34" s="13">
        <v>193.0</v>
      </c>
      <c r="R34" s="13">
        <v>214.0</v>
      </c>
      <c r="S34" s="13">
        <v>222.0</v>
      </c>
      <c r="T34" s="13">
        <v>169.0</v>
      </c>
      <c r="U34" s="13">
        <v>276.0</v>
      </c>
      <c r="V34" s="13">
        <v>231.0</v>
      </c>
      <c r="W34" s="13">
        <v>225.0</v>
      </c>
      <c r="X34" s="13">
        <v>217.0</v>
      </c>
      <c r="Y34" s="13">
        <f t="shared" si="10"/>
        <v>4324</v>
      </c>
    </row>
    <row r="35" ht="12.75" customHeight="1">
      <c r="A35" s="19">
        <v>3.0</v>
      </c>
      <c r="B35" s="20" t="s">
        <v>29</v>
      </c>
      <c r="C35" s="15"/>
      <c r="D35" s="16"/>
      <c r="E35" s="19">
        <v>0.0</v>
      </c>
      <c r="F35" s="19">
        <v>0.0</v>
      </c>
      <c r="G35" s="19">
        <v>1.0</v>
      </c>
      <c r="H35" s="19">
        <v>0.0</v>
      </c>
      <c r="I35" s="19">
        <v>0.0</v>
      </c>
      <c r="J35" s="19">
        <v>0.0</v>
      </c>
      <c r="K35" s="19">
        <v>1.0</v>
      </c>
      <c r="L35" s="19">
        <v>0.0</v>
      </c>
      <c r="M35" s="19">
        <v>0.0</v>
      </c>
      <c r="N35" s="19">
        <v>0.0</v>
      </c>
      <c r="O35" s="19">
        <v>0.0</v>
      </c>
      <c r="P35" s="19">
        <v>0.0</v>
      </c>
      <c r="Q35" s="19">
        <v>0.0</v>
      </c>
      <c r="R35" s="19">
        <v>0.0</v>
      </c>
      <c r="S35" s="19">
        <v>0.0</v>
      </c>
      <c r="T35" s="19">
        <v>0.0</v>
      </c>
      <c r="U35" s="19">
        <v>0.0</v>
      </c>
      <c r="V35" s="19">
        <v>1.0</v>
      </c>
      <c r="W35" s="19">
        <v>1.0</v>
      </c>
      <c r="X35" s="19">
        <v>0.0</v>
      </c>
      <c r="Y35" s="13">
        <f t="shared" si="10"/>
        <v>4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X36" si="11">E33-(E34+E35)</f>
        <v>40</v>
      </c>
      <c r="F36" s="13">
        <f t="shared" si="11"/>
        <v>83</v>
      </c>
      <c r="G36" s="13">
        <f t="shared" si="11"/>
        <v>72</v>
      </c>
      <c r="H36" s="13">
        <f t="shared" si="11"/>
        <v>77</v>
      </c>
      <c r="I36" s="13">
        <f t="shared" si="11"/>
        <v>73</v>
      </c>
      <c r="J36" s="13">
        <f t="shared" si="11"/>
        <v>55</v>
      </c>
      <c r="K36" s="13">
        <f t="shared" si="11"/>
        <v>65</v>
      </c>
      <c r="L36" s="13">
        <f t="shared" si="11"/>
        <v>63</v>
      </c>
      <c r="M36" s="13">
        <f t="shared" si="11"/>
        <v>64</v>
      </c>
      <c r="N36" s="13">
        <f t="shared" si="11"/>
        <v>52</v>
      </c>
      <c r="O36" s="13">
        <f t="shared" si="11"/>
        <v>50</v>
      </c>
      <c r="P36" s="13">
        <f t="shared" si="11"/>
        <v>54</v>
      </c>
      <c r="Q36" s="13">
        <f t="shared" si="11"/>
        <v>42</v>
      </c>
      <c r="R36" s="13">
        <f t="shared" si="11"/>
        <v>73</v>
      </c>
      <c r="S36" s="13">
        <f t="shared" si="11"/>
        <v>75</v>
      </c>
      <c r="T36" s="13">
        <f t="shared" si="11"/>
        <v>78</v>
      </c>
      <c r="U36" s="13">
        <f t="shared" si="11"/>
        <v>27</v>
      </c>
      <c r="V36" s="13">
        <f t="shared" si="11"/>
        <v>62</v>
      </c>
      <c r="W36" s="13">
        <f t="shared" si="11"/>
        <v>60</v>
      </c>
      <c r="X36" s="13">
        <f t="shared" si="11"/>
        <v>63</v>
      </c>
      <c r="Y36" s="13">
        <f t="shared" si="10"/>
        <v>1228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19"/>
      <c r="N37" s="76"/>
      <c r="O37" s="79"/>
      <c r="P37" s="79"/>
      <c r="Q37" s="79"/>
      <c r="R37" s="19"/>
      <c r="S37" s="19"/>
      <c r="T37" s="76"/>
      <c r="U37" s="79"/>
      <c r="V37" s="79"/>
      <c r="W37" s="79"/>
      <c r="X37" s="79"/>
      <c r="Y37" s="77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78"/>
      <c r="O38" s="78"/>
      <c r="P38" s="78"/>
      <c r="Q38" s="78"/>
      <c r="R38" s="13"/>
      <c r="S38" s="13"/>
      <c r="T38" s="78"/>
      <c r="U38" s="78"/>
      <c r="V38" s="78"/>
      <c r="W38" s="78"/>
      <c r="X38" s="78"/>
      <c r="Y38" s="77"/>
    </row>
    <row r="39" ht="12.75" customHeight="1">
      <c r="A39" s="30"/>
      <c r="B39" s="43" t="s">
        <v>33</v>
      </c>
      <c r="C39" s="23"/>
      <c r="D39" s="19" t="s">
        <v>12</v>
      </c>
      <c r="E39" s="19">
        <v>0.0</v>
      </c>
      <c r="F39" s="19">
        <v>0.0</v>
      </c>
      <c r="G39" s="19">
        <v>0.0</v>
      </c>
      <c r="H39" s="19">
        <v>0.0</v>
      </c>
      <c r="I39" s="19">
        <v>0.0</v>
      </c>
      <c r="J39" s="19">
        <v>0.0</v>
      </c>
      <c r="K39" s="19">
        <v>0.0</v>
      </c>
      <c r="L39" s="19">
        <v>0.0</v>
      </c>
      <c r="M39" s="19">
        <v>0.0</v>
      </c>
      <c r="N39" s="19">
        <v>0.0</v>
      </c>
      <c r="O39" s="19">
        <v>0.0</v>
      </c>
      <c r="P39" s="19">
        <v>0.0</v>
      </c>
      <c r="Q39" s="19">
        <v>0.0</v>
      </c>
      <c r="R39" s="19">
        <v>0.0</v>
      </c>
      <c r="S39" s="19">
        <v>0.0</v>
      </c>
      <c r="T39" s="19">
        <v>0.0</v>
      </c>
      <c r="U39" s="19">
        <v>0.0</v>
      </c>
      <c r="V39" s="19">
        <v>0.0</v>
      </c>
      <c r="W39" s="19">
        <v>0.0</v>
      </c>
      <c r="X39" s="19">
        <v>0.0</v>
      </c>
      <c r="Y39" s="13">
        <f t="shared" ref="Y39:Y41" si="12">SUM(E39:X39)</f>
        <v>0</v>
      </c>
    </row>
    <row r="40" ht="12.75" customHeight="1">
      <c r="A40" s="33"/>
      <c r="C40" s="27"/>
      <c r="D40" s="19" t="s">
        <v>13</v>
      </c>
      <c r="E40" s="19">
        <v>0.0</v>
      </c>
      <c r="F40" s="19">
        <v>0.0</v>
      </c>
      <c r="G40" s="19">
        <v>0.0</v>
      </c>
      <c r="H40" s="19">
        <v>0.0</v>
      </c>
      <c r="I40" s="19">
        <v>0.0</v>
      </c>
      <c r="J40" s="19">
        <v>0.0</v>
      </c>
      <c r="K40" s="19">
        <v>0.0</v>
      </c>
      <c r="L40" s="19">
        <v>0.0</v>
      </c>
      <c r="M40" s="19">
        <v>0.0</v>
      </c>
      <c r="N40" s="19">
        <v>0.0</v>
      </c>
      <c r="O40" s="19">
        <v>1.0</v>
      </c>
      <c r="P40" s="19">
        <v>0.0</v>
      </c>
      <c r="Q40" s="19">
        <v>0.0</v>
      </c>
      <c r="R40" s="19">
        <v>0.0</v>
      </c>
      <c r="S40" s="19">
        <v>0.0</v>
      </c>
      <c r="T40" s="19">
        <v>0.0</v>
      </c>
      <c r="U40" s="19">
        <v>0.0</v>
      </c>
      <c r="V40" s="19">
        <v>0.0</v>
      </c>
      <c r="W40" s="19">
        <v>0.0</v>
      </c>
      <c r="X40" s="19">
        <v>0.0</v>
      </c>
      <c r="Y40" s="13">
        <f t="shared" si="12"/>
        <v>1</v>
      </c>
    </row>
    <row r="41" ht="12.75" customHeight="1">
      <c r="A41" s="41"/>
      <c r="B41" s="44"/>
      <c r="C41" s="28"/>
      <c r="D41" s="13" t="s">
        <v>14</v>
      </c>
      <c r="E41" s="13">
        <f t="shared" ref="E41:X41" si="13">SUM(E39:E40)</f>
        <v>0</v>
      </c>
      <c r="F41" s="13">
        <f t="shared" si="13"/>
        <v>0</v>
      </c>
      <c r="G41" s="13">
        <f t="shared" si="13"/>
        <v>0</v>
      </c>
      <c r="H41" s="13">
        <f t="shared" si="13"/>
        <v>0</v>
      </c>
      <c r="I41" s="13">
        <f t="shared" si="13"/>
        <v>0</v>
      </c>
      <c r="J41" s="13">
        <f t="shared" si="13"/>
        <v>0</v>
      </c>
      <c r="K41" s="13">
        <f t="shared" si="13"/>
        <v>0</v>
      </c>
      <c r="L41" s="13">
        <f t="shared" si="13"/>
        <v>0</v>
      </c>
      <c r="M41" s="13">
        <f t="shared" si="13"/>
        <v>0</v>
      </c>
      <c r="N41" s="13">
        <f t="shared" si="13"/>
        <v>0</v>
      </c>
      <c r="O41" s="13">
        <f t="shared" si="13"/>
        <v>1</v>
      </c>
      <c r="P41" s="13">
        <f t="shared" si="13"/>
        <v>0</v>
      </c>
      <c r="Q41" s="13">
        <f t="shared" si="13"/>
        <v>0</v>
      </c>
      <c r="R41" s="13">
        <f t="shared" si="13"/>
        <v>0</v>
      </c>
      <c r="S41" s="13">
        <f t="shared" si="13"/>
        <v>0</v>
      </c>
      <c r="T41" s="13">
        <f t="shared" si="13"/>
        <v>0</v>
      </c>
      <c r="U41" s="13">
        <f t="shared" si="13"/>
        <v>0</v>
      </c>
      <c r="V41" s="13">
        <f t="shared" si="13"/>
        <v>0</v>
      </c>
      <c r="W41" s="13">
        <f t="shared" si="13"/>
        <v>0</v>
      </c>
      <c r="X41" s="13">
        <f t="shared" si="13"/>
        <v>0</v>
      </c>
      <c r="Y41" s="13">
        <f t="shared" si="12"/>
        <v>1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9"/>
      <c r="N42" s="76"/>
      <c r="O42" s="19"/>
      <c r="P42" s="76"/>
      <c r="Q42" s="19"/>
      <c r="R42" s="19"/>
      <c r="S42" s="19"/>
      <c r="T42" s="76"/>
      <c r="U42" s="19"/>
      <c r="V42" s="76"/>
      <c r="W42" s="19"/>
      <c r="X42" s="76"/>
      <c r="Y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78"/>
      <c r="O43" s="13"/>
      <c r="P43" s="78"/>
      <c r="Q43" s="13"/>
      <c r="R43" s="13"/>
      <c r="S43" s="13"/>
      <c r="T43" s="78"/>
      <c r="U43" s="13"/>
      <c r="V43" s="78"/>
      <c r="W43" s="13"/>
      <c r="X43" s="78"/>
      <c r="Y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76"/>
      <c r="O44" s="19"/>
      <c r="P44" s="76"/>
      <c r="Q44" s="19"/>
      <c r="R44" s="19"/>
      <c r="S44" s="19"/>
      <c r="T44" s="76"/>
      <c r="U44" s="19"/>
      <c r="V44" s="76"/>
      <c r="W44" s="19"/>
      <c r="X44" s="76"/>
      <c r="Y44" s="13"/>
    </row>
    <row r="45" ht="12.75" customHeight="1">
      <c r="A45" s="30" t="s">
        <v>37</v>
      </c>
      <c r="B45" s="47" t="s">
        <v>17</v>
      </c>
      <c r="C45" s="48" t="s">
        <v>38</v>
      </c>
      <c r="D45" s="16"/>
      <c r="E45" s="19">
        <v>3.0</v>
      </c>
      <c r="F45" s="19">
        <v>2.0</v>
      </c>
      <c r="G45" s="19">
        <v>4.0</v>
      </c>
      <c r="H45" s="19">
        <v>3.0</v>
      </c>
      <c r="I45" s="19">
        <v>7.0</v>
      </c>
      <c r="J45" s="19">
        <v>3.0</v>
      </c>
      <c r="K45" s="19">
        <v>4.0</v>
      </c>
      <c r="L45" s="19">
        <v>7.0</v>
      </c>
      <c r="M45" s="19">
        <v>7.0</v>
      </c>
      <c r="N45" s="19">
        <v>4.0</v>
      </c>
      <c r="O45" s="19">
        <v>11.0</v>
      </c>
      <c r="P45" s="19">
        <v>6.0</v>
      </c>
      <c r="Q45" s="19">
        <v>4.0</v>
      </c>
      <c r="R45" s="19">
        <v>16.0</v>
      </c>
      <c r="S45" s="19">
        <v>5.0</v>
      </c>
      <c r="T45" s="19">
        <v>6.0</v>
      </c>
      <c r="U45" s="19">
        <v>8.0</v>
      </c>
      <c r="V45" s="19">
        <v>17.0</v>
      </c>
      <c r="W45" s="19">
        <v>6.0</v>
      </c>
      <c r="X45" s="19">
        <v>2.0</v>
      </c>
      <c r="Y45" s="13">
        <f t="shared" ref="Y45:Y54" si="14">SUM(E45:X45)</f>
        <v>125</v>
      </c>
    </row>
    <row r="46" ht="12.75" customHeight="1">
      <c r="A46" s="30" t="s">
        <v>39</v>
      </c>
      <c r="B46" s="49">
        <v>1.0</v>
      </c>
      <c r="C46" s="50" t="s">
        <v>40</v>
      </c>
      <c r="D46" s="16"/>
      <c r="E46" s="19">
        <v>3.0</v>
      </c>
      <c r="F46" s="19">
        <v>6.0</v>
      </c>
      <c r="G46" s="19">
        <v>4.0</v>
      </c>
      <c r="H46" s="19">
        <v>2.0</v>
      </c>
      <c r="I46" s="19">
        <v>1.0</v>
      </c>
      <c r="J46" s="19">
        <v>10.0</v>
      </c>
      <c r="K46" s="19">
        <v>25.0</v>
      </c>
      <c r="L46" s="19">
        <v>14.0</v>
      </c>
      <c r="M46" s="19">
        <v>2.0</v>
      </c>
      <c r="N46" s="19">
        <v>3.0</v>
      </c>
      <c r="O46" s="19">
        <v>19.0</v>
      </c>
      <c r="P46" s="19">
        <v>11.0</v>
      </c>
      <c r="Q46" s="19">
        <v>6.0</v>
      </c>
      <c r="R46" s="19">
        <v>40.0</v>
      </c>
      <c r="S46" s="19">
        <v>7.0</v>
      </c>
      <c r="T46" s="19">
        <v>2.0</v>
      </c>
      <c r="U46" s="19">
        <v>15.0</v>
      </c>
      <c r="V46" s="19">
        <v>13.0</v>
      </c>
      <c r="W46" s="19">
        <v>2.0</v>
      </c>
      <c r="X46" s="19">
        <v>13.0</v>
      </c>
      <c r="Y46" s="13">
        <f t="shared" si="14"/>
        <v>198</v>
      </c>
    </row>
    <row r="47" ht="12.75" customHeight="1">
      <c r="A47" s="18"/>
      <c r="B47" s="55">
        <v>2.0</v>
      </c>
      <c r="C47" s="50" t="s">
        <v>41</v>
      </c>
      <c r="D47" s="16"/>
      <c r="E47" s="19">
        <v>2.0</v>
      </c>
      <c r="F47" s="19">
        <v>5.0</v>
      </c>
      <c r="G47" s="19">
        <v>11.0</v>
      </c>
      <c r="H47" s="19">
        <v>8.0</v>
      </c>
      <c r="I47" s="19">
        <v>3.0</v>
      </c>
      <c r="J47" s="19">
        <v>3.0</v>
      </c>
      <c r="K47" s="19">
        <v>15.0</v>
      </c>
      <c r="L47" s="19">
        <v>8.0</v>
      </c>
      <c r="M47" s="19">
        <v>4.0</v>
      </c>
      <c r="N47" s="19">
        <v>4.0</v>
      </c>
      <c r="O47" s="19">
        <v>20.0</v>
      </c>
      <c r="P47" s="19">
        <v>12.0</v>
      </c>
      <c r="Q47" s="19">
        <v>4.0</v>
      </c>
      <c r="R47" s="19">
        <v>7.0</v>
      </c>
      <c r="S47" s="19">
        <v>7.0</v>
      </c>
      <c r="T47" s="19">
        <v>6.0</v>
      </c>
      <c r="U47" s="19">
        <v>12.0</v>
      </c>
      <c r="V47" s="19">
        <v>10.0</v>
      </c>
      <c r="W47" s="19">
        <v>11.0</v>
      </c>
      <c r="X47" s="19">
        <v>12.0</v>
      </c>
      <c r="Y47" s="13">
        <f t="shared" si="14"/>
        <v>164</v>
      </c>
    </row>
    <row r="48" ht="12.75" customHeight="1">
      <c r="A48" s="18"/>
      <c r="B48" s="55">
        <v>3.0</v>
      </c>
      <c r="C48" s="50" t="s">
        <v>42</v>
      </c>
      <c r="D48" s="16"/>
      <c r="E48" s="19">
        <v>1.0</v>
      </c>
      <c r="F48" s="19">
        <v>4.0</v>
      </c>
      <c r="G48" s="19">
        <v>2.0</v>
      </c>
      <c r="H48" s="19">
        <v>0.0</v>
      </c>
      <c r="I48" s="19">
        <v>0.0</v>
      </c>
      <c r="J48" s="19">
        <v>2.0</v>
      </c>
      <c r="K48" s="19">
        <v>5.0</v>
      </c>
      <c r="L48" s="19">
        <v>3.0</v>
      </c>
      <c r="M48" s="19">
        <v>15.0</v>
      </c>
      <c r="N48" s="19">
        <v>19.0</v>
      </c>
      <c r="O48" s="19">
        <v>11.0</v>
      </c>
      <c r="P48" s="19">
        <v>16.0</v>
      </c>
      <c r="Q48" s="19">
        <v>0.0</v>
      </c>
      <c r="R48" s="19">
        <v>4.0</v>
      </c>
      <c r="S48" s="19">
        <v>6.0</v>
      </c>
      <c r="T48" s="19">
        <v>4.0</v>
      </c>
      <c r="U48" s="19">
        <v>0.0</v>
      </c>
      <c r="V48" s="19">
        <v>14.0</v>
      </c>
      <c r="W48" s="19">
        <v>3.0</v>
      </c>
      <c r="X48" s="19">
        <v>5.0</v>
      </c>
      <c r="Y48" s="13">
        <f t="shared" si="14"/>
        <v>114</v>
      </c>
    </row>
    <row r="49" ht="12.75" customHeight="1">
      <c r="A49" s="18"/>
      <c r="B49" s="55">
        <v>4.0</v>
      </c>
      <c r="C49" s="50" t="s">
        <v>43</v>
      </c>
      <c r="D49" s="16"/>
      <c r="E49" s="19">
        <v>0.0</v>
      </c>
      <c r="F49" s="19">
        <v>0.0</v>
      </c>
      <c r="G49" s="19">
        <v>0.0</v>
      </c>
      <c r="H49" s="19">
        <v>0.0</v>
      </c>
      <c r="I49" s="19">
        <v>0.0</v>
      </c>
      <c r="J49" s="19">
        <v>0.0</v>
      </c>
      <c r="K49" s="19">
        <v>0.0</v>
      </c>
      <c r="L49" s="19">
        <v>1.0</v>
      </c>
      <c r="M49" s="19">
        <v>1.0</v>
      </c>
      <c r="N49" s="19">
        <v>0.0</v>
      </c>
      <c r="O49" s="19">
        <v>0.0</v>
      </c>
      <c r="P49" s="19">
        <v>1.0</v>
      </c>
      <c r="Q49" s="19">
        <v>1.0</v>
      </c>
      <c r="R49" s="19">
        <v>0.0</v>
      </c>
      <c r="S49" s="19">
        <v>1.0</v>
      </c>
      <c r="T49" s="19">
        <v>0.0</v>
      </c>
      <c r="U49" s="19">
        <v>0.0</v>
      </c>
      <c r="V49" s="19">
        <v>0.0</v>
      </c>
      <c r="W49" s="19">
        <v>0.0</v>
      </c>
      <c r="X49" s="19">
        <v>1.0</v>
      </c>
      <c r="Y49" s="13">
        <f t="shared" si="14"/>
        <v>6</v>
      </c>
    </row>
    <row r="50" ht="12.75" customHeight="1">
      <c r="A50" s="18"/>
      <c r="B50" s="55">
        <v>5.0</v>
      </c>
      <c r="C50" s="50" t="s">
        <v>44</v>
      </c>
      <c r="D50" s="16"/>
      <c r="E50" s="19">
        <v>1.0</v>
      </c>
      <c r="F50" s="19">
        <v>0.0</v>
      </c>
      <c r="G50" s="19">
        <v>0.0</v>
      </c>
      <c r="H50" s="19">
        <v>0.0</v>
      </c>
      <c r="I50" s="19">
        <v>0.0</v>
      </c>
      <c r="J50" s="19">
        <v>0.0</v>
      </c>
      <c r="K50" s="19">
        <v>0.0</v>
      </c>
      <c r="L50" s="19">
        <v>0.0</v>
      </c>
      <c r="M50" s="19">
        <v>0.0</v>
      </c>
      <c r="N50" s="19">
        <v>1.0</v>
      </c>
      <c r="O50" s="19">
        <v>0.0</v>
      </c>
      <c r="P50" s="19">
        <v>0.0</v>
      </c>
      <c r="Q50" s="19">
        <v>0.0</v>
      </c>
      <c r="R50" s="19">
        <v>1.0</v>
      </c>
      <c r="S50" s="19">
        <v>0.0</v>
      </c>
      <c r="T50" s="19">
        <v>0.0</v>
      </c>
      <c r="U50" s="19">
        <v>2.0</v>
      </c>
      <c r="V50" s="19">
        <v>0.0</v>
      </c>
      <c r="W50" s="19">
        <v>1.0</v>
      </c>
      <c r="X50" s="19">
        <v>0.0</v>
      </c>
      <c r="Y50" s="13">
        <f t="shared" si="14"/>
        <v>6</v>
      </c>
    </row>
    <row r="51" ht="12.75" customHeight="1">
      <c r="A51" s="18"/>
      <c r="B51" s="55">
        <v>6.0</v>
      </c>
      <c r="C51" s="50" t="s">
        <v>45</v>
      </c>
      <c r="D51" s="16"/>
      <c r="E51" s="19">
        <v>1.0</v>
      </c>
      <c r="F51" s="19">
        <v>0.0</v>
      </c>
      <c r="G51" s="19">
        <v>0.0</v>
      </c>
      <c r="H51" s="19">
        <v>0.0</v>
      </c>
      <c r="I51" s="19">
        <v>0.0</v>
      </c>
      <c r="J51" s="19">
        <v>0.0</v>
      </c>
      <c r="K51" s="19">
        <v>2.0</v>
      </c>
      <c r="L51" s="19">
        <v>0.0</v>
      </c>
      <c r="M51" s="19">
        <v>0.0</v>
      </c>
      <c r="N51" s="19">
        <v>0.0</v>
      </c>
      <c r="O51" s="19">
        <v>0.0</v>
      </c>
      <c r="P51" s="19">
        <v>0.0</v>
      </c>
      <c r="Q51" s="19">
        <v>0.0</v>
      </c>
      <c r="R51" s="19">
        <v>0.0</v>
      </c>
      <c r="S51" s="19">
        <v>0.0</v>
      </c>
      <c r="T51" s="19">
        <v>1.0</v>
      </c>
      <c r="U51" s="19">
        <v>1.0</v>
      </c>
      <c r="V51" s="19">
        <v>0.0</v>
      </c>
      <c r="W51" s="19">
        <v>0.0</v>
      </c>
      <c r="X51" s="19">
        <v>0.0</v>
      </c>
      <c r="Y51" s="13">
        <f t="shared" si="14"/>
        <v>5</v>
      </c>
    </row>
    <row r="52" ht="12.75" customHeight="1">
      <c r="A52" s="18"/>
      <c r="B52" s="55">
        <v>7.0</v>
      </c>
      <c r="C52" s="50" t="s">
        <v>46</v>
      </c>
      <c r="D52" s="16"/>
      <c r="E52" s="19">
        <v>0.0</v>
      </c>
      <c r="F52" s="19">
        <v>0.0</v>
      </c>
      <c r="G52" s="19">
        <v>0.0</v>
      </c>
      <c r="H52" s="19">
        <v>0.0</v>
      </c>
      <c r="I52" s="19">
        <v>0.0</v>
      </c>
      <c r="J52" s="19">
        <v>0.0</v>
      </c>
      <c r="K52" s="19">
        <v>0.0</v>
      </c>
      <c r="L52" s="19">
        <v>0.0</v>
      </c>
      <c r="M52" s="19">
        <v>0.0</v>
      </c>
      <c r="N52" s="19">
        <v>0.0</v>
      </c>
      <c r="O52" s="19">
        <v>0.0</v>
      </c>
      <c r="P52" s="19">
        <v>0.0</v>
      </c>
      <c r="Q52" s="19">
        <v>0.0</v>
      </c>
      <c r="R52" s="19">
        <v>0.0</v>
      </c>
      <c r="S52" s="19">
        <v>0.0</v>
      </c>
      <c r="T52" s="19">
        <v>0.0</v>
      </c>
      <c r="U52" s="19">
        <v>0.0</v>
      </c>
      <c r="V52" s="19">
        <v>0.0</v>
      </c>
      <c r="W52" s="19">
        <v>2.0</v>
      </c>
      <c r="X52" s="19">
        <v>0.0</v>
      </c>
      <c r="Y52" s="13">
        <f t="shared" si="14"/>
        <v>2</v>
      </c>
    </row>
    <row r="53" ht="12.75" customHeight="1">
      <c r="A53" s="18"/>
      <c r="B53" s="56"/>
      <c r="C53" s="57"/>
      <c r="D53" s="57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3">
        <f t="shared" si="14"/>
        <v>0</v>
      </c>
    </row>
    <row r="54" ht="12.75" customHeight="1">
      <c r="A54" s="18"/>
      <c r="B54" s="56"/>
      <c r="C54" s="57"/>
      <c r="D54" s="57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3">
        <f t="shared" si="14"/>
        <v>0</v>
      </c>
    </row>
    <row r="55" ht="12.75" customHeight="1">
      <c r="A55" s="19" t="s">
        <v>15</v>
      </c>
      <c r="B55" s="47" t="s">
        <v>47</v>
      </c>
      <c r="C55" s="15"/>
      <c r="D55" s="16"/>
      <c r="E55" s="13">
        <f t="shared" ref="E55:Y55" si="15">SUM(E45:E54)</f>
        <v>11</v>
      </c>
      <c r="F55" s="13">
        <f t="shared" si="15"/>
        <v>17</v>
      </c>
      <c r="G55" s="13">
        <f t="shared" si="15"/>
        <v>21</v>
      </c>
      <c r="H55" s="13">
        <f t="shared" si="15"/>
        <v>13</v>
      </c>
      <c r="I55" s="13">
        <f t="shared" si="15"/>
        <v>11</v>
      </c>
      <c r="J55" s="13">
        <f t="shared" si="15"/>
        <v>18</v>
      </c>
      <c r="K55" s="13">
        <f t="shared" si="15"/>
        <v>51</v>
      </c>
      <c r="L55" s="13">
        <f t="shared" si="15"/>
        <v>33</v>
      </c>
      <c r="M55" s="13">
        <f t="shared" si="15"/>
        <v>29</v>
      </c>
      <c r="N55" s="13">
        <f t="shared" si="15"/>
        <v>31</v>
      </c>
      <c r="O55" s="13">
        <f t="shared" si="15"/>
        <v>61</v>
      </c>
      <c r="P55" s="13">
        <f t="shared" si="15"/>
        <v>46</v>
      </c>
      <c r="Q55" s="13">
        <f t="shared" si="15"/>
        <v>15</v>
      </c>
      <c r="R55" s="13">
        <f t="shared" si="15"/>
        <v>68</v>
      </c>
      <c r="S55" s="13">
        <f t="shared" si="15"/>
        <v>26</v>
      </c>
      <c r="T55" s="13">
        <f t="shared" si="15"/>
        <v>19</v>
      </c>
      <c r="U55" s="13">
        <f t="shared" si="15"/>
        <v>38</v>
      </c>
      <c r="V55" s="13">
        <f t="shared" si="15"/>
        <v>54</v>
      </c>
      <c r="W55" s="13">
        <f t="shared" si="15"/>
        <v>25</v>
      </c>
      <c r="X55" s="13">
        <f t="shared" si="15"/>
        <v>33</v>
      </c>
      <c r="Y55" s="13">
        <f t="shared" si="15"/>
        <v>620</v>
      </c>
    </row>
    <row r="56" ht="12.75" customHeight="1">
      <c r="A56" s="45"/>
      <c r="B56" s="44"/>
      <c r="C56" s="44"/>
      <c r="D56" s="44"/>
      <c r="E56" s="44"/>
      <c r="Y56" s="13"/>
    </row>
    <row r="57" ht="12.75" customHeight="1">
      <c r="A57" s="30" t="s">
        <v>37</v>
      </c>
      <c r="B57" s="47" t="s">
        <v>19</v>
      </c>
      <c r="C57" s="48" t="s">
        <v>48</v>
      </c>
      <c r="D57" s="16"/>
      <c r="E57" s="19">
        <v>12.0</v>
      </c>
      <c r="F57" s="19">
        <v>9.0</v>
      </c>
      <c r="G57" s="19">
        <v>7.0</v>
      </c>
      <c r="H57" s="19">
        <v>8.0</v>
      </c>
      <c r="I57" s="19">
        <v>3.0</v>
      </c>
      <c r="J57" s="19">
        <v>13.0</v>
      </c>
      <c r="K57" s="19">
        <v>3.0</v>
      </c>
      <c r="L57" s="19">
        <v>5.0</v>
      </c>
      <c r="M57" s="19">
        <v>11.0</v>
      </c>
      <c r="N57" s="19">
        <v>11.0</v>
      </c>
      <c r="O57" s="19">
        <v>6.0</v>
      </c>
      <c r="P57" s="19">
        <v>9.0</v>
      </c>
      <c r="Q57" s="19">
        <v>4.0</v>
      </c>
      <c r="R57" s="19">
        <v>16.0</v>
      </c>
      <c r="S57" s="19">
        <v>15.0</v>
      </c>
      <c r="T57" s="19">
        <v>6.0</v>
      </c>
      <c r="U57" s="19">
        <v>5.0</v>
      </c>
      <c r="V57" s="19">
        <v>7.0</v>
      </c>
      <c r="W57" s="19">
        <v>7.0</v>
      </c>
      <c r="X57" s="19">
        <v>10.0</v>
      </c>
      <c r="Y57" s="13">
        <f t="shared" ref="Y57:Y66" si="16">SUM(E57:X57)</f>
        <v>167</v>
      </c>
    </row>
    <row r="58" ht="12.75" customHeight="1">
      <c r="A58" s="30" t="s">
        <v>39</v>
      </c>
      <c r="B58" s="55">
        <v>1.0</v>
      </c>
      <c r="C58" s="50" t="s">
        <v>49</v>
      </c>
      <c r="D58" s="59"/>
      <c r="E58" s="19">
        <v>14.0</v>
      </c>
      <c r="F58" s="19">
        <v>32.0</v>
      </c>
      <c r="G58" s="19">
        <v>46.0</v>
      </c>
      <c r="H58" s="19">
        <v>34.0</v>
      </c>
      <c r="I58" s="19">
        <v>25.0</v>
      </c>
      <c r="J58" s="19">
        <v>41.0</v>
      </c>
      <c r="K58" s="19">
        <v>34.0</v>
      </c>
      <c r="L58" s="19">
        <v>26.0</v>
      </c>
      <c r="M58" s="19">
        <v>13.0</v>
      </c>
      <c r="N58" s="19">
        <v>31.0</v>
      </c>
      <c r="O58" s="19">
        <v>18.0</v>
      </c>
      <c r="P58" s="19">
        <v>14.0</v>
      </c>
      <c r="Q58" s="19">
        <v>42.0</v>
      </c>
      <c r="R58" s="19">
        <v>5.0</v>
      </c>
      <c r="S58" s="19">
        <v>25.0</v>
      </c>
      <c r="T58" s="19">
        <v>22.0</v>
      </c>
      <c r="U58" s="19">
        <v>15.0</v>
      </c>
      <c r="V58" s="19">
        <v>28.0</v>
      </c>
      <c r="W58" s="19">
        <v>26.0</v>
      </c>
      <c r="X58" s="19">
        <v>49.0</v>
      </c>
      <c r="Y58" s="13">
        <f t="shared" si="16"/>
        <v>540</v>
      </c>
    </row>
    <row r="59" ht="12.75" customHeight="1">
      <c r="A59" s="18"/>
      <c r="B59" s="55">
        <v>2.0</v>
      </c>
      <c r="C59" s="50" t="s">
        <v>50</v>
      </c>
      <c r="D59" s="59"/>
      <c r="E59" s="19">
        <v>1.0</v>
      </c>
      <c r="F59" s="19">
        <v>0.0</v>
      </c>
      <c r="G59" s="19">
        <v>11.0</v>
      </c>
      <c r="H59" s="19">
        <v>14.0</v>
      </c>
      <c r="I59" s="19">
        <v>4.0</v>
      </c>
      <c r="J59" s="19">
        <v>10.0</v>
      </c>
      <c r="K59" s="19">
        <v>13.0</v>
      </c>
      <c r="L59" s="19">
        <v>6.0</v>
      </c>
      <c r="M59" s="19">
        <v>13.0</v>
      </c>
      <c r="N59" s="19">
        <v>6.0</v>
      </c>
      <c r="O59" s="19">
        <v>11.0</v>
      </c>
      <c r="P59" s="19">
        <v>1.0</v>
      </c>
      <c r="Q59" s="19">
        <v>1.0</v>
      </c>
      <c r="R59" s="19">
        <v>6.0</v>
      </c>
      <c r="S59" s="19">
        <v>12.0</v>
      </c>
      <c r="T59" s="19">
        <v>11.0</v>
      </c>
      <c r="U59" s="19">
        <v>17.0</v>
      </c>
      <c r="V59" s="19">
        <v>2.0</v>
      </c>
      <c r="W59" s="19">
        <v>12.0</v>
      </c>
      <c r="X59" s="19">
        <v>26.0</v>
      </c>
      <c r="Y59" s="13">
        <f t="shared" si="16"/>
        <v>177</v>
      </c>
    </row>
    <row r="60" ht="12.75" customHeight="1">
      <c r="A60" s="18"/>
      <c r="B60" s="55">
        <v>3.0</v>
      </c>
      <c r="C60" s="50" t="s">
        <v>51</v>
      </c>
      <c r="D60" s="59"/>
      <c r="E60" s="19">
        <v>0.0</v>
      </c>
      <c r="F60" s="19">
        <v>0.0</v>
      </c>
      <c r="G60" s="19">
        <v>1.0</v>
      </c>
      <c r="H60" s="19">
        <v>0.0</v>
      </c>
      <c r="I60" s="19">
        <v>0.0</v>
      </c>
      <c r="J60" s="19">
        <v>0.0</v>
      </c>
      <c r="K60" s="19">
        <v>0.0</v>
      </c>
      <c r="L60" s="19">
        <v>0.0</v>
      </c>
      <c r="M60" s="19">
        <v>2.0</v>
      </c>
      <c r="N60" s="19">
        <v>1.0</v>
      </c>
      <c r="O60" s="19">
        <v>0.0</v>
      </c>
      <c r="P60" s="19">
        <v>0.0</v>
      </c>
      <c r="Q60" s="19">
        <v>0.0</v>
      </c>
      <c r="R60" s="19">
        <v>0.0</v>
      </c>
      <c r="S60" s="19">
        <v>1.0</v>
      </c>
      <c r="T60" s="19">
        <v>0.0</v>
      </c>
      <c r="U60" s="19">
        <v>0.0</v>
      </c>
      <c r="V60" s="19">
        <v>0.0</v>
      </c>
      <c r="W60" s="19">
        <v>0.0</v>
      </c>
      <c r="X60" s="19">
        <v>0.0</v>
      </c>
      <c r="Y60" s="13">
        <f t="shared" si="16"/>
        <v>5</v>
      </c>
    </row>
    <row r="61" ht="12.75" customHeight="1">
      <c r="A61" s="18"/>
      <c r="B61" s="55">
        <v>4.0</v>
      </c>
      <c r="C61" s="50" t="s">
        <v>52</v>
      </c>
      <c r="D61" s="59"/>
      <c r="E61" s="19">
        <v>0.0</v>
      </c>
      <c r="F61" s="19">
        <v>0.0</v>
      </c>
      <c r="G61" s="19">
        <v>2.0</v>
      </c>
      <c r="H61" s="19">
        <v>0.0</v>
      </c>
      <c r="I61" s="19">
        <v>0.0</v>
      </c>
      <c r="J61" s="19">
        <v>0.0</v>
      </c>
      <c r="K61" s="19">
        <v>0.0</v>
      </c>
      <c r="L61" s="19">
        <v>0.0</v>
      </c>
      <c r="M61" s="19">
        <v>0.0</v>
      </c>
      <c r="N61" s="19">
        <v>1.0</v>
      </c>
      <c r="O61" s="19">
        <v>0.0</v>
      </c>
      <c r="P61" s="19">
        <v>0.0</v>
      </c>
      <c r="Q61" s="19">
        <v>0.0</v>
      </c>
      <c r="R61" s="19">
        <v>0.0</v>
      </c>
      <c r="S61" s="19">
        <v>0.0</v>
      </c>
      <c r="T61" s="19">
        <v>0.0</v>
      </c>
      <c r="U61" s="19">
        <v>0.0</v>
      </c>
      <c r="V61" s="19">
        <v>0.0</v>
      </c>
      <c r="W61" s="19">
        <v>0.0</v>
      </c>
      <c r="X61" s="19">
        <v>0.0</v>
      </c>
      <c r="Y61" s="13">
        <f t="shared" si="16"/>
        <v>3</v>
      </c>
    </row>
    <row r="62" ht="12.75" customHeight="1">
      <c r="A62" s="18"/>
      <c r="B62" s="55">
        <v>5.0</v>
      </c>
      <c r="C62" s="50" t="s">
        <v>53</v>
      </c>
      <c r="D62" s="59"/>
      <c r="E62" s="19">
        <v>0.0</v>
      </c>
      <c r="F62" s="19">
        <v>0.0</v>
      </c>
      <c r="G62" s="19">
        <v>0.0</v>
      </c>
      <c r="H62" s="19">
        <v>0.0</v>
      </c>
      <c r="I62" s="19">
        <v>0.0</v>
      </c>
      <c r="J62" s="19">
        <v>0.0</v>
      </c>
      <c r="K62" s="19">
        <v>0.0</v>
      </c>
      <c r="L62" s="19">
        <v>0.0</v>
      </c>
      <c r="M62" s="19">
        <v>0.0</v>
      </c>
      <c r="N62" s="19">
        <v>0.0</v>
      </c>
      <c r="O62" s="19">
        <v>0.0</v>
      </c>
      <c r="P62" s="19">
        <v>0.0</v>
      </c>
      <c r="Q62" s="19">
        <v>1.0</v>
      </c>
      <c r="R62" s="19">
        <v>0.0</v>
      </c>
      <c r="S62" s="19">
        <v>0.0</v>
      </c>
      <c r="T62" s="19">
        <v>1.0</v>
      </c>
      <c r="U62" s="19">
        <v>0.0</v>
      </c>
      <c r="V62" s="19">
        <v>0.0</v>
      </c>
      <c r="W62" s="19">
        <v>1.0</v>
      </c>
      <c r="X62" s="19">
        <v>0.0</v>
      </c>
      <c r="Y62" s="13">
        <f t="shared" si="16"/>
        <v>3</v>
      </c>
    </row>
    <row r="63" ht="12.75" customHeight="1">
      <c r="A63" s="18"/>
      <c r="B63" s="55">
        <v>6.0</v>
      </c>
      <c r="C63" s="50" t="s">
        <v>54</v>
      </c>
      <c r="D63" s="60"/>
      <c r="E63" s="19">
        <v>0.0</v>
      </c>
      <c r="F63" s="19">
        <v>0.0</v>
      </c>
      <c r="G63" s="19">
        <v>0.0</v>
      </c>
      <c r="H63" s="19">
        <v>0.0</v>
      </c>
      <c r="I63" s="19">
        <v>0.0</v>
      </c>
      <c r="J63" s="19">
        <v>0.0</v>
      </c>
      <c r="K63" s="19">
        <v>0.0</v>
      </c>
      <c r="L63" s="19">
        <v>0.0</v>
      </c>
      <c r="M63" s="19">
        <v>0.0</v>
      </c>
      <c r="N63" s="19">
        <v>0.0</v>
      </c>
      <c r="O63" s="19">
        <v>0.0</v>
      </c>
      <c r="P63" s="19">
        <v>0.0</v>
      </c>
      <c r="Q63" s="19">
        <v>0.0</v>
      </c>
      <c r="R63" s="19">
        <v>0.0</v>
      </c>
      <c r="S63" s="19">
        <v>0.0</v>
      </c>
      <c r="T63" s="19">
        <v>0.0</v>
      </c>
      <c r="U63" s="19">
        <v>1.0</v>
      </c>
      <c r="V63" s="19">
        <v>0.0</v>
      </c>
      <c r="W63" s="19">
        <v>0.0</v>
      </c>
      <c r="X63" s="19">
        <v>0.0</v>
      </c>
      <c r="Y63" s="13">
        <f t="shared" si="16"/>
        <v>1</v>
      </c>
    </row>
    <row r="64" ht="12.75" customHeight="1">
      <c r="A64" s="18"/>
      <c r="B64" s="55">
        <v>7.0</v>
      </c>
      <c r="C64" s="50" t="s">
        <v>55</v>
      </c>
      <c r="D64" s="59"/>
      <c r="E64" s="19">
        <v>0.0</v>
      </c>
      <c r="F64" s="19">
        <v>0.0</v>
      </c>
      <c r="G64" s="19">
        <v>0.0</v>
      </c>
      <c r="H64" s="19">
        <v>0.0</v>
      </c>
      <c r="I64" s="19">
        <v>0.0</v>
      </c>
      <c r="J64" s="19">
        <v>0.0</v>
      </c>
      <c r="K64" s="19">
        <v>0.0</v>
      </c>
      <c r="L64" s="19">
        <v>0.0</v>
      </c>
      <c r="M64" s="19">
        <v>0.0</v>
      </c>
      <c r="N64" s="19">
        <v>1.0</v>
      </c>
      <c r="O64" s="19">
        <v>0.0</v>
      </c>
      <c r="P64" s="19">
        <v>0.0</v>
      </c>
      <c r="Q64" s="19">
        <v>0.0</v>
      </c>
      <c r="R64" s="19">
        <v>0.0</v>
      </c>
      <c r="S64" s="19">
        <v>0.0</v>
      </c>
      <c r="T64" s="19">
        <v>0.0</v>
      </c>
      <c r="U64" s="19">
        <v>1.0</v>
      </c>
      <c r="V64" s="19">
        <v>0.0</v>
      </c>
      <c r="W64" s="19">
        <v>0.0</v>
      </c>
      <c r="X64" s="19">
        <v>0.0</v>
      </c>
      <c r="Y64" s="13">
        <f t="shared" si="16"/>
        <v>2</v>
      </c>
    </row>
    <row r="65" ht="12.75" customHeight="1">
      <c r="A65" s="18"/>
      <c r="B65" s="56"/>
      <c r="C65" s="57"/>
      <c r="D65" s="61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3">
        <f t="shared" si="16"/>
        <v>0</v>
      </c>
    </row>
    <row r="66" ht="12.75" customHeight="1">
      <c r="A66" s="18"/>
      <c r="B66" s="56"/>
      <c r="C66" s="57"/>
      <c r="D66" s="61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3">
        <f t="shared" si="16"/>
        <v>0</v>
      </c>
    </row>
    <row r="67" ht="12.75" customHeight="1">
      <c r="A67" s="19" t="s">
        <v>15</v>
      </c>
      <c r="B67" s="47" t="s">
        <v>47</v>
      </c>
      <c r="C67" s="15"/>
      <c r="D67" s="16"/>
      <c r="E67" s="13">
        <f t="shared" ref="E67:Y67" si="17">SUM(E57:E66)</f>
        <v>27</v>
      </c>
      <c r="F67" s="13">
        <f t="shared" si="17"/>
        <v>41</v>
      </c>
      <c r="G67" s="13">
        <f t="shared" si="17"/>
        <v>67</v>
      </c>
      <c r="H67" s="13">
        <f t="shared" si="17"/>
        <v>56</v>
      </c>
      <c r="I67" s="13">
        <f t="shared" si="17"/>
        <v>32</v>
      </c>
      <c r="J67" s="13">
        <f t="shared" si="17"/>
        <v>64</v>
      </c>
      <c r="K67" s="13">
        <f t="shared" si="17"/>
        <v>50</v>
      </c>
      <c r="L67" s="13">
        <f t="shared" si="17"/>
        <v>37</v>
      </c>
      <c r="M67" s="13">
        <f t="shared" si="17"/>
        <v>39</v>
      </c>
      <c r="N67" s="13">
        <f t="shared" si="17"/>
        <v>51</v>
      </c>
      <c r="O67" s="13">
        <f t="shared" si="17"/>
        <v>35</v>
      </c>
      <c r="P67" s="13">
        <f t="shared" si="17"/>
        <v>24</v>
      </c>
      <c r="Q67" s="13">
        <f t="shared" si="17"/>
        <v>48</v>
      </c>
      <c r="R67" s="13">
        <f t="shared" si="17"/>
        <v>27</v>
      </c>
      <c r="S67" s="13">
        <f t="shared" si="17"/>
        <v>53</v>
      </c>
      <c r="T67" s="13">
        <f t="shared" si="17"/>
        <v>40</v>
      </c>
      <c r="U67" s="13">
        <f t="shared" si="17"/>
        <v>39</v>
      </c>
      <c r="V67" s="13">
        <f t="shared" si="17"/>
        <v>37</v>
      </c>
      <c r="W67" s="13">
        <f t="shared" si="17"/>
        <v>46</v>
      </c>
      <c r="X67" s="13">
        <f t="shared" si="17"/>
        <v>85</v>
      </c>
      <c r="Y67" s="13">
        <f t="shared" si="17"/>
        <v>898</v>
      </c>
    </row>
    <row r="68" ht="12.75" customHeight="1">
      <c r="A68" s="45"/>
      <c r="B68" s="44"/>
      <c r="C68" s="44"/>
      <c r="D68" s="44"/>
      <c r="E68" s="44"/>
    </row>
    <row r="69" ht="12.75" customHeight="1">
      <c r="A69" s="30" t="s">
        <v>37</v>
      </c>
      <c r="B69" s="47" t="s">
        <v>21</v>
      </c>
      <c r="C69" s="48" t="s">
        <v>56</v>
      </c>
      <c r="D69" s="16"/>
      <c r="E69" s="19">
        <v>2.0</v>
      </c>
      <c r="F69" s="19">
        <v>1.0</v>
      </c>
      <c r="G69" s="19">
        <v>3.0</v>
      </c>
      <c r="H69" s="19">
        <v>4.0</v>
      </c>
      <c r="I69" s="19">
        <v>4.0</v>
      </c>
      <c r="J69" s="19">
        <v>0.0</v>
      </c>
      <c r="K69" s="19">
        <v>1.0</v>
      </c>
      <c r="L69" s="19">
        <v>0.0</v>
      </c>
      <c r="M69" s="19">
        <v>5.0</v>
      </c>
      <c r="N69" s="19">
        <v>2.0</v>
      </c>
      <c r="O69" s="19">
        <v>3.0</v>
      </c>
      <c r="P69" s="19">
        <v>2.0</v>
      </c>
      <c r="Q69" s="19">
        <v>0.0</v>
      </c>
      <c r="R69" s="19">
        <v>3.0</v>
      </c>
      <c r="S69" s="19">
        <v>10.0</v>
      </c>
      <c r="T69" s="19">
        <v>5.0</v>
      </c>
      <c r="U69" s="19">
        <v>6.0</v>
      </c>
      <c r="V69" s="19">
        <v>3.0</v>
      </c>
      <c r="W69" s="19">
        <v>7.0</v>
      </c>
      <c r="X69" s="19">
        <v>5.0</v>
      </c>
      <c r="Y69" s="13">
        <f t="shared" ref="Y69:Y78" si="18">SUM(E69:X69)</f>
        <v>66</v>
      </c>
    </row>
    <row r="70" ht="12.75" customHeight="1">
      <c r="A70" s="30" t="s">
        <v>39</v>
      </c>
      <c r="B70" s="55">
        <v>1.0</v>
      </c>
      <c r="C70" s="50" t="s">
        <v>57</v>
      </c>
      <c r="D70" s="60"/>
      <c r="E70" s="19">
        <v>1.0</v>
      </c>
      <c r="F70" s="19">
        <v>7.0</v>
      </c>
      <c r="G70" s="19">
        <v>8.0</v>
      </c>
      <c r="H70" s="19">
        <v>0.0</v>
      </c>
      <c r="I70" s="19">
        <v>1.0</v>
      </c>
      <c r="J70" s="19">
        <v>6.0</v>
      </c>
      <c r="K70" s="19">
        <v>3.0</v>
      </c>
      <c r="L70" s="19">
        <v>1.0</v>
      </c>
      <c r="M70" s="19">
        <v>0.0</v>
      </c>
      <c r="N70" s="19">
        <v>2.0</v>
      </c>
      <c r="O70" s="19">
        <v>1.0</v>
      </c>
      <c r="P70" s="19">
        <v>3.0</v>
      </c>
      <c r="Q70" s="19">
        <v>10.0</v>
      </c>
      <c r="R70" s="19">
        <v>0.0</v>
      </c>
      <c r="S70" s="19">
        <v>7.0</v>
      </c>
      <c r="T70" s="19">
        <v>2.0</v>
      </c>
      <c r="U70" s="19">
        <v>4.0</v>
      </c>
      <c r="V70" s="19">
        <v>4.0</v>
      </c>
      <c r="W70" s="19">
        <v>6.0</v>
      </c>
      <c r="X70" s="19">
        <v>5.0</v>
      </c>
      <c r="Y70" s="13">
        <f t="shared" si="18"/>
        <v>71</v>
      </c>
    </row>
    <row r="71" ht="12.75" customHeight="1">
      <c r="A71" s="18"/>
      <c r="B71" s="55">
        <v>2.0</v>
      </c>
      <c r="C71" s="50" t="s">
        <v>58</v>
      </c>
      <c r="D71" s="60"/>
      <c r="E71" s="19">
        <v>1.0</v>
      </c>
      <c r="F71" s="19">
        <v>3.0</v>
      </c>
      <c r="G71" s="19">
        <v>1.0</v>
      </c>
      <c r="H71" s="19">
        <v>2.0</v>
      </c>
      <c r="I71" s="19">
        <v>1.0</v>
      </c>
      <c r="J71" s="19">
        <v>1.0</v>
      </c>
      <c r="K71" s="19">
        <v>1.0</v>
      </c>
      <c r="L71" s="19">
        <v>3.0</v>
      </c>
      <c r="M71" s="19">
        <v>11.0</v>
      </c>
      <c r="N71" s="19">
        <v>1.0</v>
      </c>
      <c r="O71" s="19">
        <v>3.0</v>
      </c>
      <c r="P71" s="19">
        <v>0.0</v>
      </c>
      <c r="Q71" s="19">
        <v>1.0</v>
      </c>
      <c r="R71" s="19">
        <v>1.0</v>
      </c>
      <c r="S71" s="19">
        <v>4.0</v>
      </c>
      <c r="T71" s="19">
        <v>6.0</v>
      </c>
      <c r="U71" s="19">
        <v>1.0</v>
      </c>
      <c r="V71" s="19">
        <v>8.0</v>
      </c>
      <c r="W71" s="19">
        <v>0.0</v>
      </c>
      <c r="X71" s="19">
        <v>2.0</v>
      </c>
      <c r="Y71" s="13">
        <f t="shared" si="18"/>
        <v>51</v>
      </c>
    </row>
    <row r="72" ht="12.75" customHeight="1">
      <c r="A72" s="18"/>
      <c r="B72" s="55">
        <v>3.0</v>
      </c>
      <c r="C72" s="50" t="s">
        <v>59</v>
      </c>
      <c r="D72" s="60"/>
      <c r="E72" s="19">
        <v>1.0</v>
      </c>
      <c r="F72" s="19">
        <v>0.0</v>
      </c>
      <c r="G72" s="19">
        <v>0.0</v>
      </c>
      <c r="H72" s="19">
        <v>3.0</v>
      </c>
      <c r="I72" s="19">
        <v>0.0</v>
      </c>
      <c r="J72" s="19">
        <v>0.0</v>
      </c>
      <c r="K72" s="19">
        <v>0.0</v>
      </c>
      <c r="L72" s="19">
        <v>4.0</v>
      </c>
      <c r="M72" s="19">
        <v>0.0</v>
      </c>
      <c r="N72" s="19">
        <v>0.0</v>
      </c>
      <c r="O72" s="19">
        <v>2.0</v>
      </c>
      <c r="P72" s="19">
        <v>0.0</v>
      </c>
      <c r="Q72" s="19">
        <v>0.0</v>
      </c>
      <c r="R72" s="19">
        <v>0.0</v>
      </c>
      <c r="S72" s="19">
        <v>1.0</v>
      </c>
      <c r="T72" s="19">
        <v>1.0</v>
      </c>
      <c r="U72" s="19">
        <v>17.0</v>
      </c>
      <c r="V72" s="19">
        <v>2.0</v>
      </c>
      <c r="W72" s="19">
        <v>2.0</v>
      </c>
      <c r="X72" s="19">
        <v>3.0</v>
      </c>
      <c r="Y72" s="13">
        <f t="shared" si="18"/>
        <v>36</v>
      </c>
    </row>
    <row r="73" ht="12.75" customHeight="1">
      <c r="A73" s="18"/>
      <c r="B73" s="55">
        <v>4.0</v>
      </c>
      <c r="C73" s="50" t="s">
        <v>60</v>
      </c>
      <c r="D73" s="60"/>
      <c r="E73" s="19">
        <v>0.0</v>
      </c>
      <c r="F73" s="19">
        <v>0.0</v>
      </c>
      <c r="G73" s="19">
        <v>0.0</v>
      </c>
      <c r="H73" s="19">
        <v>0.0</v>
      </c>
      <c r="I73" s="19">
        <v>1.0</v>
      </c>
      <c r="J73" s="19">
        <v>0.0</v>
      </c>
      <c r="K73" s="19">
        <v>0.0</v>
      </c>
      <c r="L73" s="19">
        <v>0.0</v>
      </c>
      <c r="M73" s="19">
        <v>0.0</v>
      </c>
      <c r="N73" s="19">
        <v>4.0</v>
      </c>
      <c r="O73" s="19">
        <v>1.0</v>
      </c>
      <c r="P73" s="19">
        <v>0.0</v>
      </c>
      <c r="Q73" s="19">
        <v>0.0</v>
      </c>
      <c r="R73" s="19">
        <v>0.0</v>
      </c>
      <c r="S73" s="19">
        <v>0.0</v>
      </c>
      <c r="T73" s="19">
        <v>0.0</v>
      </c>
      <c r="U73" s="19">
        <v>2.0</v>
      </c>
      <c r="V73" s="19">
        <v>0.0</v>
      </c>
      <c r="W73" s="19">
        <v>1.0</v>
      </c>
      <c r="X73" s="19">
        <v>0.0</v>
      </c>
      <c r="Y73" s="13">
        <f t="shared" si="18"/>
        <v>9</v>
      </c>
    </row>
    <row r="74" ht="12.75" customHeight="1">
      <c r="A74" s="18"/>
      <c r="B74" s="55">
        <v>5.0</v>
      </c>
      <c r="C74" s="50" t="s">
        <v>61</v>
      </c>
      <c r="D74" s="60"/>
      <c r="E74" s="19">
        <v>0.0</v>
      </c>
      <c r="F74" s="19">
        <v>1.0</v>
      </c>
      <c r="G74" s="19">
        <v>1.0</v>
      </c>
      <c r="H74" s="19">
        <v>5.0</v>
      </c>
      <c r="I74" s="19">
        <v>0.0</v>
      </c>
      <c r="J74" s="19">
        <v>2.0</v>
      </c>
      <c r="K74" s="19">
        <v>2.0</v>
      </c>
      <c r="L74" s="19">
        <v>2.0</v>
      </c>
      <c r="M74" s="19">
        <v>0.0</v>
      </c>
      <c r="N74" s="19">
        <v>0.0</v>
      </c>
      <c r="O74" s="19">
        <v>3.0</v>
      </c>
      <c r="P74" s="19">
        <v>0.0</v>
      </c>
      <c r="Q74" s="19">
        <v>0.0</v>
      </c>
      <c r="R74" s="19">
        <v>0.0</v>
      </c>
      <c r="S74" s="19">
        <v>2.0</v>
      </c>
      <c r="T74" s="19">
        <v>1.0</v>
      </c>
      <c r="U74" s="19">
        <v>1.0</v>
      </c>
      <c r="V74" s="19">
        <v>0.0</v>
      </c>
      <c r="W74" s="19">
        <v>0.0</v>
      </c>
      <c r="X74" s="19">
        <v>0.0</v>
      </c>
      <c r="Y74" s="13">
        <f t="shared" si="18"/>
        <v>20</v>
      </c>
    </row>
    <row r="75" ht="12.75" customHeight="1">
      <c r="A75" s="18"/>
      <c r="B75" s="55">
        <v>6.0</v>
      </c>
      <c r="C75" s="50" t="s">
        <v>62</v>
      </c>
      <c r="D75" s="60"/>
      <c r="E75" s="19">
        <v>4.0</v>
      </c>
      <c r="F75" s="19">
        <v>1.0</v>
      </c>
      <c r="G75" s="19">
        <v>0.0</v>
      </c>
      <c r="H75" s="19">
        <v>1.0</v>
      </c>
      <c r="I75" s="19">
        <v>0.0</v>
      </c>
      <c r="J75" s="19">
        <v>0.0</v>
      </c>
      <c r="K75" s="19">
        <v>0.0</v>
      </c>
      <c r="L75" s="19">
        <v>2.0</v>
      </c>
      <c r="M75" s="19">
        <v>1.0</v>
      </c>
      <c r="N75" s="19">
        <v>0.0</v>
      </c>
      <c r="O75" s="19">
        <v>1.0</v>
      </c>
      <c r="P75" s="19">
        <v>0.0</v>
      </c>
      <c r="Q75" s="19">
        <v>0.0</v>
      </c>
      <c r="R75" s="19">
        <v>0.0</v>
      </c>
      <c r="S75" s="19">
        <v>0.0</v>
      </c>
      <c r="T75" s="19">
        <v>1.0</v>
      </c>
      <c r="U75" s="19">
        <v>3.0</v>
      </c>
      <c r="V75" s="19">
        <v>0.0</v>
      </c>
      <c r="W75" s="19">
        <v>0.0</v>
      </c>
      <c r="X75" s="19">
        <v>1.0</v>
      </c>
      <c r="Y75" s="13">
        <f t="shared" si="18"/>
        <v>15</v>
      </c>
    </row>
    <row r="76" ht="12.75" customHeight="1">
      <c r="A76" s="18"/>
      <c r="B76" s="55">
        <v>7.0</v>
      </c>
      <c r="C76" s="50" t="s">
        <v>63</v>
      </c>
      <c r="D76" s="60"/>
      <c r="E76" s="19">
        <v>0.0</v>
      </c>
      <c r="F76" s="19">
        <v>15.0</v>
      </c>
      <c r="G76" s="19">
        <v>4.0</v>
      </c>
      <c r="H76" s="19">
        <v>70.0</v>
      </c>
      <c r="I76" s="19">
        <v>15.0</v>
      </c>
      <c r="J76" s="19">
        <v>6.0</v>
      </c>
      <c r="K76" s="19">
        <v>16.0</v>
      </c>
      <c r="L76" s="19">
        <v>11.0</v>
      </c>
      <c r="M76" s="19">
        <v>2.0</v>
      </c>
      <c r="N76" s="19">
        <v>1.0</v>
      </c>
      <c r="O76" s="19">
        <v>10.0</v>
      </c>
      <c r="P76" s="19">
        <v>8.0</v>
      </c>
      <c r="Q76" s="19">
        <v>4.0</v>
      </c>
      <c r="R76" s="19">
        <v>6.0</v>
      </c>
      <c r="S76" s="19">
        <v>17.0</v>
      </c>
      <c r="T76" s="19">
        <v>12.0</v>
      </c>
      <c r="U76" s="19">
        <v>91.0</v>
      </c>
      <c r="V76" s="19">
        <v>16.0</v>
      </c>
      <c r="W76" s="19">
        <v>24.0</v>
      </c>
      <c r="X76" s="19">
        <v>15.0</v>
      </c>
      <c r="Y76" s="13">
        <f t="shared" si="18"/>
        <v>343</v>
      </c>
    </row>
    <row r="77" ht="12.75" customHeight="1">
      <c r="A77" s="18"/>
      <c r="B77" s="56"/>
      <c r="C77" s="57"/>
      <c r="D77" s="62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3">
        <f t="shared" si="18"/>
        <v>0</v>
      </c>
    </row>
    <row r="78" ht="12.75" customHeight="1">
      <c r="A78" s="18"/>
      <c r="B78" s="56"/>
      <c r="C78" s="57"/>
      <c r="D78" s="62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3">
        <f t="shared" si="18"/>
        <v>0</v>
      </c>
    </row>
    <row r="79" ht="12.75" customHeight="1">
      <c r="A79" s="19" t="s">
        <v>15</v>
      </c>
      <c r="B79" s="47" t="s">
        <v>47</v>
      </c>
      <c r="C79" s="15"/>
      <c r="D79" s="16"/>
      <c r="E79" s="13">
        <f t="shared" ref="E79:Y79" si="19">SUM(E69:E78)</f>
        <v>9</v>
      </c>
      <c r="F79" s="13">
        <f t="shared" si="19"/>
        <v>28</v>
      </c>
      <c r="G79" s="13">
        <f t="shared" si="19"/>
        <v>17</v>
      </c>
      <c r="H79" s="13">
        <f t="shared" si="19"/>
        <v>85</v>
      </c>
      <c r="I79" s="13">
        <f t="shared" si="19"/>
        <v>22</v>
      </c>
      <c r="J79" s="13">
        <f t="shared" si="19"/>
        <v>15</v>
      </c>
      <c r="K79" s="13">
        <f t="shared" si="19"/>
        <v>23</v>
      </c>
      <c r="L79" s="13">
        <f t="shared" si="19"/>
        <v>23</v>
      </c>
      <c r="M79" s="13">
        <f t="shared" si="19"/>
        <v>19</v>
      </c>
      <c r="N79" s="13">
        <f t="shared" si="19"/>
        <v>10</v>
      </c>
      <c r="O79" s="13">
        <f t="shared" si="19"/>
        <v>24</v>
      </c>
      <c r="P79" s="13">
        <f t="shared" si="19"/>
        <v>13</v>
      </c>
      <c r="Q79" s="13">
        <f t="shared" si="19"/>
        <v>15</v>
      </c>
      <c r="R79" s="13">
        <f t="shared" si="19"/>
        <v>10</v>
      </c>
      <c r="S79" s="13">
        <f t="shared" si="19"/>
        <v>41</v>
      </c>
      <c r="T79" s="13">
        <f t="shared" si="19"/>
        <v>28</v>
      </c>
      <c r="U79" s="13">
        <f t="shared" si="19"/>
        <v>125</v>
      </c>
      <c r="V79" s="13">
        <f t="shared" si="19"/>
        <v>33</v>
      </c>
      <c r="W79" s="13">
        <f t="shared" si="19"/>
        <v>40</v>
      </c>
      <c r="X79" s="13">
        <f t="shared" si="19"/>
        <v>31</v>
      </c>
      <c r="Y79" s="13">
        <f t="shared" si="19"/>
        <v>611</v>
      </c>
    </row>
    <row r="80" ht="12.75" customHeight="1">
      <c r="A80" s="45"/>
      <c r="B80" s="44"/>
      <c r="C80" s="44"/>
      <c r="D80" s="44"/>
      <c r="E80" s="44"/>
    </row>
    <row r="81" ht="12.75" customHeight="1">
      <c r="A81" s="30" t="s">
        <v>37</v>
      </c>
      <c r="B81" s="47" t="s">
        <v>23</v>
      </c>
      <c r="C81" s="48" t="s">
        <v>64</v>
      </c>
      <c r="D81" s="16"/>
      <c r="E81" s="19">
        <v>1.0</v>
      </c>
      <c r="F81" s="19">
        <v>5.0</v>
      </c>
      <c r="G81" s="19">
        <v>2.0</v>
      </c>
      <c r="H81" s="19">
        <v>1.0</v>
      </c>
      <c r="I81" s="19">
        <v>2.0</v>
      </c>
      <c r="J81" s="19">
        <v>2.0</v>
      </c>
      <c r="K81" s="19">
        <v>1.0</v>
      </c>
      <c r="L81" s="19">
        <v>2.0</v>
      </c>
      <c r="M81" s="19">
        <v>3.0</v>
      </c>
      <c r="N81" s="19">
        <v>3.0</v>
      </c>
      <c r="O81" s="19">
        <v>3.0</v>
      </c>
      <c r="P81" s="19">
        <v>4.0</v>
      </c>
      <c r="Q81" s="19">
        <v>1.0</v>
      </c>
      <c r="R81" s="19">
        <v>3.0</v>
      </c>
      <c r="S81" s="19">
        <v>4.0</v>
      </c>
      <c r="T81" s="19">
        <v>2.0</v>
      </c>
      <c r="U81" s="19">
        <v>1.0</v>
      </c>
      <c r="V81" s="19">
        <v>1.0</v>
      </c>
      <c r="W81" s="19">
        <v>5.0</v>
      </c>
      <c r="X81" s="19">
        <v>2.0</v>
      </c>
      <c r="Y81" s="13">
        <f t="shared" ref="Y81:Y90" si="20">SUM(E81:X81)</f>
        <v>48</v>
      </c>
    </row>
    <row r="82" ht="12.75" customHeight="1">
      <c r="A82" s="30" t="s">
        <v>39</v>
      </c>
      <c r="B82" s="55">
        <v>1.0</v>
      </c>
      <c r="C82" s="50" t="s">
        <v>65</v>
      </c>
      <c r="D82" s="60"/>
      <c r="E82" s="19">
        <v>0.0</v>
      </c>
      <c r="F82" s="19">
        <v>7.0</v>
      </c>
      <c r="G82" s="19">
        <v>8.0</v>
      </c>
      <c r="H82" s="19">
        <v>0.0</v>
      </c>
      <c r="I82" s="19">
        <v>0.0</v>
      </c>
      <c r="J82" s="19">
        <v>3.0</v>
      </c>
      <c r="K82" s="19">
        <v>16.0</v>
      </c>
      <c r="L82" s="19">
        <v>0.0</v>
      </c>
      <c r="M82" s="19">
        <v>2.0</v>
      </c>
      <c r="N82" s="19">
        <v>0.0</v>
      </c>
      <c r="O82" s="19">
        <v>1.0</v>
      </c>
      <c r="P82" s="19">
        <v>2.0</v>
      </c>
      <c r="Q82" s="19">
        <v>1.0</v>
      </c>
      <c r="R82" s="19">
        <v>5.0</v>
      </c>
      <c r="S82" s="19">
        <v>18.0</v>
      </c>
      <c r="T82" s="19">
        <v>10.0</v>
      </c>
      <c r="U82" s="19">
        <v>3.0</v>
      </c>
      <c r="V82" s="19">
        <v>7.0</v>
      </c>
      <c r="W82" s="19">
        <v>4.0</v>
      </c>
      <c r="X82" s="19">
        <v>2.0</v>
      </c>
      <c r="Y82" s="13">
        <f t="shared" si="20"/>
        <v>89</v>
      </c>
    </row>
    <row r="83" ht="12.75" customHeight="1">
      <c r="A83" s="18"/>
      <c r="B83" s="55">
        <v>2.0</v>
      </c>
      <c r="C83" s="50" t="s">
        <v>66</v>
      </c>
      <c r="D83" s="60"/>
      <c r="E83" s="19">
        <v>0.0</v>
      </c>
      <c r="F83" s="19">
        <v>1.0</v>
      </c>
      <c r="G83" s="19">
        <v>0.0</v>
      </c>
      <c r="H83" s="19">
        <v>0.0</v>
      </c>
      <c r="I83" s="19">
        <v>0.0</v>
      </c>
      <c r="J83" s="19">
        <v>7.0</v>
      </c>
      <c r="K83" s="19">
        <v>2.0</v>
      </c>
      <c r="L83" s="19">
        <v>2.0</v>
      </c>
      <c r="M83" s="19">
        <v>7.0</v>
      </c>
      <c r="N83" s="19">
        <v>9.0</v>
      </c>
      <c r="O83" s="19">
        <v>1.0</v>
      </c>
      <c r="P83" s="19">
        <v>1.0</v>
      </c>
      <c r="Q83" s="19">
        <v>0.0</v>
      </c>
      <c r="R83" s="19">
        <v>1.0</v>
      </c>
      <c r="S83" s="19">
        <v>2.0</v>
      </c>
      <c r="T83" s="19">
        <v>1.0</v>
      </c>
      <c r="U83" s="19">
        <v>0.0</v>
      </c>
      <c r="V83" s="19">
        <v>0.0</v>
      </c>
      <c r="W83" s="19">
        <v>4.0</v>
      </c>
      <c r="X83" s="19">
        <v>2.0</v>
      </c>
      <c r="Y83" s="13">
        <f t="shared" si="20"/>
        <v>40</v>
      </c>
    </row>
    <row r="84" ht="12.75" customHeight="1">
      <c r="A84" s="18"/>
      <c r="B84" s="55">
        <v>3.0</v>
      </c>
      <c r="C84" s="50" t="s">
        <v>67</v>
      </c>
      <c r="D84" s="60"/>
      <c r="E84" s="19">
        <v>0.0</v>
      </c>
      <c r="F84" s="19">
        <v>0.0</v>
      </c>
      <c r="G84" s="19">
        <v>0.0</v>
      </c>
      <c r="H84" s="19">
        <v>0.0</v>
      </c>
      <c r="I84" s="19">
        <v>0.0</v>
      </c>
      <c r="J84" s="19">
        <v>0.0</v>
      </c>
      <c r="K84" s="19">
        <v>0.0</v>
      </c>
      <c r="L84" s="19">
        <v>1.0</v>
      </c>
      <c r="M84" s="19">
        <v>0.0</v>
      </c>
      <c r="N84" s="19">
        <v>0.0</v>
      </c>
      <c r="O84" s="19">
        <v>1.0</v>
      </c>
      <c r="P84" s="19">
        <v>1.0</v>
      </c>
      <c r="Q84" s="19">
        <v>0.0</v>
      </c>
      <c r="R84" s="19">
        <v>0.0</v>
      </c>
      <c r="S84" s="19">
        <v>0.0</v>
      </c>
      <c r="T84" s="19">
        <v>1.0</v>
      </c>
      <c r="U84" s="19">
        <v>0.0</v>
      </c>
      <c r="V84" s="19">
        <v>0.0</v>
      </c>
      <c r="W84" s="19">
        <v>1.0</v>
      </c>
      <c r="X84" s="19">
        <v>1.0</v>
      </c>
      <c r="Y84" s="13">
        <f t="shared" si="20"/>
        <v>6</v>
      </c>
    </row>
    <row r="85" ht="12.75" customHeight="1">
      <c r="A85" s="18"/>
      <c r="B85" s="55">
        <v>4.0</v>
      </c>
      <c r="C85" s="50" t="s">
        <v>68</v>
      </c>
      <c r="D85" s="60"/>
      <c r="E85" s="19">
        <v>0.0</v>
      </c>
      <c r="F85" s="19">
        <v>0.0</v>
      </c>
      <c r="G85" s="19">
        <v>2.0</v>
      </c>
      <c r="H85" s="19">
        <v>2.0</v>
      </c>
      <c r="I85" s="19">
        <v>0.0</v>
      </c>
      <c r="J85" s="19">
        <v>3.0</v>
      </c>
      <c r="K85" s="19">
        <v>4.0</v>
      </c>
      <c r="L85" s="19">
        <v>1.0</v>
      </c>
      <c r="M85" s="19">
        <v>3.0</v>
      </c>
      <c r="N85" s="19">
        <v>0.0</v>
      </c>
      <c r="O85" s="19">
        <v>18.0</v>
      </c>
      <c r="P85" s="19">
        <v>1.0</v>
      </c>
      <c r="Q85" s="19">
        <v>0.0</v>
      </c>
      <c r="R85" s="19">
        <v>0.0</v>
      </c>
      <c r="S85" s="19">
        <v>3.0</v>
      </c>
      <c r="T85" s="19">
        <v>1.0</v>
      </c>
      <c r="U85" s="19">
        <v>0.0</v>
      </c>
      <c r="V85" s="19">
        <v>6.0</v>
      </c>
      <c r="W85" s="19">
        <v>7.0</v>
      </c>
      <c r="X85" s="19">
        <v>0.0</v>
      </c>
      <c r="Y85" s="13">
        <f t="shared" si="20"/>
        <v>51</v>
      </c>
    </row>
    <row r="86" ht="12.75" customHeight="1">
      <c r="A86" s="18"/>
      <c r="B86" s="55">
        <v>5.0</v>
      </c>
      <c r="C86" s="50" t="s">
        <v>69</v>
      </c>
      <c r="D86" s="60"/>
      <c r="E86" s="19">
        <v>0.0</v>
      </c>
      <c r="F86" s="19">
        <v>0.0</v>
      </c>
      <c r="G86" s="19">
        <v>0.0</v>
      </c>
      <c r="H86" s="19">
        <v>0.0</v>
      </c>
      <c r="I86" s="19">
        <v>1.0</v>
      </c>
      <c r="J86" s="19">
        <v>0.0</v>
      </c>
      <c r="K86" s="19">
        <v>2.0</v>
      </c>
      <c r="L86" s="19">
        <v>0.0</v>
      </c>
      <c r="M86" s="19">
        <v>2.0</v>
      </c>
      <c r="N86" s="19">
        <v>0.0</v>
      </c>
      <c r="O86" s="19">
        <v>0.0</v>
      </c>
      <c r="P86" s="19">
        <v>0.0</v>
      </c>
      <c r="Q86" s="19">
        <v>0.0</v>
      </c>
      <c r="R86" s="19">
        <v>1.0</v>
      </c>
      <c r="S86" s="19">
        <v>1.0</v>
      </c>
      <c r="T86" s="19">
        <v>0.0</v>
      </c>
      <c r="U86" s="19">
        <v>0.0</v>
      </c>
      <c r="V86" s="19">
        <v>0.0</v>
      </c>
      <c r="W86" s="19">
        <v>0.0</v>
      </c>
      <c r="X86" s="19">
        <v>0.0</v>
      </c>
      <c r="Y86" s="13">
        <f t="shared" si="20"/>
        <v>7</v>
      </c>
    </row>
    <row r="87" ht="12.75" customHeight="1">
      <c r="A87" s="18"/>
      <c r="B87" s="55">
        <v>6.0</v>
      </c>
      <c r="C87" s="50" t="s">
        <v>70</v>
      </c>
      <c r="D87" s="60"/>
      <c r="E87" s="19">
        <v>0.0</v>
      </c>
      <c r="F87" s="19">
        <v>0.0</v>
      </c>
      <c r="G87" s="19">
        <v>0.0</v>
      </c>
      <c r="H87" s="19">
        <v>0.0</v>
      </c>
      <c r="I87" s="19">
        <v>0.0</v>
      </c>
      <c r="J87" s="19">
        <v>0.0</v>
      </c>
      <c r="K87" s="19">
        <v>0.0</v>
      </c>
      <c r="L87" s="19">
        <v>0.0</v>
      </c>
      <c r="M87" s="19">
        <v>0.0</v>
      </c>
      <c r="N87" s="19">
        <v>1.0</v>
      </c>
      <c r="O87" s="19">
        <v>0.0</v>
      </c>
      <c r="P87" s="19">
        <v>0.0</v>
      </c>
      <c r="Q87" s="19">
        <v>0.0</v>
      </c>
      <c r="R87" s="19">
        <v>0.0</v>
      </c>
      <c r="S87" s="19">
        <v>0.0</v>
      </c>
      <c r="T87" s="19">
        <v>0.0</v>
      </c>
      <c r="U87" s="19">
        <v>0.0</v>
      </c>
      <c r="V87" s="19">
        <v>0.0</v>
      </c>
      <c r="W87" s="19">
        <v>1.0</v>
      </c>
      <c r="X87" s="19">
        <v>0.0</v>
      </c>
      <c r="Y87" s="13">
        <f t="shared" si="20"/>
        <v>2</v>
      </c>
    </row>
    <row r="88" ht="12.75" customHeight="1">
      <c r="A88" s="18"/>
      <c r="B88" s="55">
        <v>7.0</v>
      </c>
      <c r="C88" s="50" t="s">
        <v>71</v>
      </c>
      <c r="D88" s="60"/>
      <c r="E88" s="19">
        <v>0.0</v>
      </c>
      <c r="F88" s="19">
        <v>0.0</v>
      </c>
      <c r="G88" s="19">
        <v>0.0</v>
      </c>
      <c r="H88" s="19">
        <v>0.0</v>
      </c>
      <c r="I88" s="19">
        <v>0.0</v>
      </c>
      <c r="J88" s="19">
        <v>0.0</v>
      </c>
      <c r="K88" s="19">
        <v>0.0</v>
      </c>
      <c r="L88" s="19">
        <v>0.0</v>
      </c>
      <c r="M88" s="19">
        <v>0.0</v>
      </c>
      <c r="N88" s="19">
        <v>0.0</v>
      </c>
      <c r="O88" s="19">
        <v>0.0</v>
      </c>
      <c r="P88" s="19">
        <v>0.0</v>
      </c>
      <c r="Q88" s="19">
        <v>0.0</v>
      </c>
      <c r="R88" s="19">
        <v>1.0</v>
      </c>
      <c r="S88" s="19">
        <v>0.0</v>
      </c>
      <c r="T88" s="19">
        <v>0.0</v>
      </c>
      <c r="U88" s="19">
        <v>0.0</v>
      </c>
      <c r="V88" s="19">
        <v>0.0</v>
      </c>
      <c r="W88" s="19">
        <v>0.0</v>
      </c>
      <c r="X88" s="19">
        <v>0.0</v>
      </c>
      <c r="Y88" s="13">
        <f t="shared" si="20"/>
        <v>1</v>
      </c>
    </row>
    <row r="89" ht="12.75" customHeight="1">
      <c r="A89" s="18"/>
      <c r="B89" s="56"/>
      <c r="C89" s="57"/>
      <c r="D89" s="62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3">
        <f t="shared" si="20"/>
        <v>0</v>
      </c>
    </row>
    <row r="90" ht="12.75" customHeight="1">
      <c r="A90" s="18"/>
      <c r="B90" s="56"/>
      <c r="C90" s="57"/>
      <c r="D90" s="62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3">
        <f t="shared" si="20"/>
        <v>0</v>
      </c>
    </row>
    <row r="91" ht="12.75" customHeight="1">
      <c r="A91" s="19" t="s">
        <v>15</v>
      </c>
      <c r="B91" s="47" t="s">
        <v>47</v>
      </c>
      <c r="C91" s="15"/>
      <c r="D91" s="16"/>
      <c r="E91" s="13">
        <f t="shared" ref="E91:Y91" si="21">SUM(E81:E90)</f>
        <v>1</v>
      </c>
      <c r="F91" s="13">
        <f t="shared" si="21"/>
        <v>13</v>
      </c>
      <c r="G91" s="13">
        <f t="shared" si="21"/>
        <v>12</v>
      </c>
      <c r="H91" s="13">
        <f t="shared" si="21"/>
        <v>3</v>
      </c>
      <c r="I91" s="13">
        <f t="shared" si="21"/>
        <v>3</v>
      </c>
      <c r="J91" s="13">
        <f t="shared" si="21"/>
        <v>15</v>
      </c>
      <c r="K91" s="13">
        <f t="shared" si="21"/>
        <v>25</v>
      </c>
      <c r="L91" s="13">
        <f t="shared" si="21"/>
        <v>6</v>
      </c>
      <c r="M91" s="13">
        <f t="shared" si="21"/>
        <v>17</v>
      </c>
      <c r="N91" s="13">
        <f t="shared" si="21"/>
        <v>13</v>
      </c>
      <c r="O91" s="13">
        <f t="shared" si="21"/>
        <v>24</v>
      </c>
      <c r="P91" s="13">
        <f t="shared" si="21"/>
        <v>9</v>
      </c>
      <c r="Q91" s="13">
        <f t="shared" si="21"/>
        <v>2</v>
      </c>
      <c r="R91" s="13">
        <f t="shared" si="21"/>
        <v>11</v>
      </c>
      <c r="S91" s="13">
        <f t="shared" si="21"/>
        <v>28</v>
      </c>
      <c r="T91" s="13">
        <f t="shared" si="21"/>
        <v>15</v>
      </c>
      <c r="U91" s="13">
        <f t="shared" si="21"/>
        <v>4</v>
      </c>
      <c r="V91" s="13">
        <f t="shared" si="21"/>
        <v>14</v>
      </c>
      <c r="W91" s="13">
        <f t="shared" si="21"/>
        <v>22</v>
      </c>
      <c r="X91" s="13">
        <f t="shared" si="21"/>
        <v>7</v>
      </c>
      <c r="Y91" s="13">
        <f t="shared" si="21"/>
        <v>244</v>
      </c>
    </row>
    <row r="92" ht="12.75" customHeight="1">
      <c r="A92" s="45"/>
      <c r="B92" s="44"/>
      <c r="C92" s="44"/>
      <c r="D92" s="44"/>
      <c r="E92" s="44"/>
    </row>
    <row r="93" ht="12.75" customHeight="1">
      <c r="A93" s="30" t="s">
        <v>37</v>
      </c>
      <c r="B93" s="47" t="s">
        <v>72</v>
      </c>
      <c r="C93" s="48" t="s">
        <v>73</v>
      </c>
      <c r="D93" s="16"/>
      <c r="E93" s="19">
        <v>0.0</v>
      </c>
      <c r="F93" s="19">
        <v>0.0</v>
      </c>
      <c r="G93" s="19">
        <v>2.0</v>
      </c>
      <c r="H93" s="19">
        <v>2.0</v>
      </c>
      <c r="I93" s="19">
        <v>1.0</v>
      </c>
      <c r="J93" s="19">
        <v>0.0</v>
      </c>
      <c r="K93" s="19">
        <v>0.0</v>
      </c>
      <c r="L93" s="19">
        <v>0.0</v>
      </c>
      <c r="M93" s="19">
        <v>0.0</v>
      </c>
      <c r="N93" s="19">
        <v>1.0</v>
      </c>
      <c r="O93" s="19">
        <v>1.0</v>
      </c>
      <c r="P93" s="19">
        <v>0.0</v>
      </c>
      <c r="Q93" s="19">
        <v>0.0</v>
      </c>
      <c r="R93" s="19">
        <v>1.0</v>
      </c>
      <c r="S93" s="19">
        <v>3.0</v>
      </c>
      <c r="T93" s="19">
        <v>1.0</v>
      </c>
      <c r="U93" s="19">
        <v>0.0</v>
      </c>
      <c r="V93" s="19">
        <v>2.0</v>
      </c>
      <c r="W93" s="19">
        <v>0.0</v>
      </c>
      <c r="X93" s="19">
        <v>0.0</v>
      </c>
      <c r="Y93" s="13">
        <f t="shared" ref="Y93:Y102" si="22">SUM(E93:X93)</f>
        <v>14</v>
      </c>
    </row>
    <row r="94" ht="12.75" customHeight="1">
      <c r="A94" s="30" t="s">
        <v>39</v>
      </c>
      <c r="B94" s="55">
        <v>1.0</v>
      </c>
      <c r="C94" s="50" t="s">
        <v>74</v>
      </c>
      <c r="D94" s="60"/>
      <c r="E94" s="19">
        <v>2.0</v>
      </c>
      <c r="F94" s="19">
        <v>0.0</v>
      </c>
      <c r="G94" s="19">
        <v>0.0</v>
      </c>
      <c r="H94" s="19">
        <v>2.0</v>
      </c>
      <c r="I94" s="19">
        <v>4.0</v>
      </c>
      <c r="J94" s="19">
        <v>0.0</v>
      </c>
      <c r="K94" s="19">
        <v>0.0</v>
      </c>
      <c r="L94" s="19">
        <v>3.0</v>
      </c>
      <c r="M94" s="19">
        <v>0.0</v>
      </c>
      <c r="N94" s="19">
        <v>0.0</v>
      </c>
      <c r="O94" s="19">
        <v>1.0</v>
      </c>
      <c r="P94" s="19">
        <v>6.0</v>
      </c>
      <c r="Q94" s="19">
        <v>12.0</v>
      </c>
      <c r="R94" s="19">
        <v>0.0</v>
      </c>
      <c r="S94" s="19">
        <v>4.0</v>
      </c>
      <c r="T94" s="19">
        <v>4.0</v>
      </c>
      <c r="U94" s="19">
        <v>8.0</v>
      </c>
      <c r="V94" s="19">
        <v>1.0</v>
      </c>
      <c r="W94" s="19">
        <v>11.0</v>
      </c>
      <c r="X94" s="19">
        <v>3.0</v>
      </c>
      <c r="Y94" s="13">
        <f t="shared" si="22"/>
        <v>61</v>
      </c>
    </row>
    <row r="95" ht="12.75" customHeight="1">
      <c r="A95" s="18"/>
      <c r="B95" s="55">
        <v>2.0</v>
      </c>
      <c r="C95" s="50" t="s">
        <v>75</v>
      </c>
      <c r="D95" s="60"/>
      <c r="E95" s="19">
        <v>0.0</v>
      </c>
      <c r="F95" s="19">
        <v>0.0</v>
      </c>
      <c r="G95" s="19">
        <v>0.0</v>
      </c>
      <c r="H95" s="19">
        <v>0.0</v>
      </c>
      <c r="I95" s="19">
        <v>1.0</v>
      </c>
      <c r="J95" s="19">
        <v>0.0</v>
      </c>
      <c r="K95" s="19">
        <v>0.0</v>
      </c>
      <c r="L95" s="19">
        <v>0.0</v>
      </c>
      <c r="M95" s="19">
        <v>0.0</v>
      </c>
      <c r="N95" s="19">
        <v>0.0</v>
      </c>
      <c r="O95" s="19">
        <v>0.0</v>
      </c>
      <c r="P95" s="19">
        <v>0.0</v>
      </c>
      <c r="Q95" s="19">
        <v>0.0</v>
      </c>
      <c r="R95" s="19">
        <v>0.0</v>
      </c>
      <c r="S95" s="19">
        <v>0.0</v>
      </c>
      <c r="T95" s="19">
        <v>0.0</v>
      </c>
      <c r="U95" s="19">
        <v>0.0</v>
      </c>
      <c r="V95" s="19">
        <v>0.0</v>
      </c>
      <c r="W95" s="19">
        <v>0.0</v>
      </c>
      <c r="X95" s="19">
        <v>0.0</v>
      </c>
      <c r="Y95" s="13">
        <f t="shared" si="22"/>
        <v>1</v>
      </c>
    </row>
    <row r="96" ht="12.75" customHeight="1">
      <c r="A96" s="18"/>
      <c r="B96" s="55">
        <v>3.0</v>
      </c>
      <c r="C96" s="50" t="s">
        <v>76</v>
      </c>
      <c r="D96" s="60"/>
      <c r="E96" s="19">
        <v>0.0</v>
      </c>
      <c r="F96" s="19">
        <v>0.0</v>
      </c>
      <c r="G96" s="19">
        <v>0.0</v>
      </c>
      <c r="H96" s="19">
        <v>0.0</v>
      </c>
      <c r="I96" s="19">
        <v>0.0</v>
      </c>
      <c r="J96" s="19">
        <v>0.0</v>
      </c>
      <c r="K96" s="19">
        <v>0.0</v>
      </c>
      <c r="L96" s="19">
        <v>0.0</v>
      </c>
      <c r="M96" s="19">
        <v>0.0</v>
      </c>
      <c r="N96" s="19">
        <v>0.0</v>
      </c>
      <c r="O96" s="19">
        <v>0.0</v>
      </c>
      <c r="P96" s="19">
        <v>1.0</v>
      </c>
      <c r="Q96" s="19">
        <v>0.0</v>
      </c>
      <c r="R96" s="19">
        <v>1.0</v>
      </c>
      <c r="S96" s="19">
        <v>0.0</v>
      </c>
      <c r="T96" s="19">
        <v>0.0</v>
      </c>
      <c r="U96" s="19">
        <v>0.0</v>
      </c>
      <c r="V96" s="19">
        <v>0.0</v>
      </c>
      <c r="W96" s="19">
        <v>0.0</v>
      </c>
      <c r="X96" s="19">
        <v>0.0</v>
      </c>
      <c r="Y96" s="13">
        <f t="shared" si="22"/>
        <v>2</v>
      </c>
    </row>
    <row r="97" ht="12.75" customHeight="1">
      <c r="A97" s="18"/>
      <c r="B97" s="55">
        <v>4.0</v>
      </c>
      <c r="C97" s="50" t="s">
        <v>77</v>
      </c>
      <c r="D97" s="60"/>
      <c r="E97" s="19">
        <v>0.0</v>
      </c>
      <c r="F97" s="19">
        <v>0.0</v>
      </c>
      <c r="G97" s="19">
        <v>0.0</v>
      </c>
      <c r="H97" s="19">
        <v>0.0</v>
      </c>
      <c r="I97" s="19">
        <v>0.0</v>
      </c>
      <c r="J97" s="19">
        <v>0.0</v>
      </c>
      <c r="K97" s="19">
        <v>0.0</v>
      </c>
      <c r="L97" s="19">
        <v>0.0</v>
      </c>
      <c r="M97" s="19">
        <v>0.0</v>
      </c>
      <c r="N97" s="19">
        <v>0.0</v>
      </c>
      <c r="O97" s="19">
        <v>0.0</v>
      </c>
      <c r="P97" s="19">
        <v>0.0</v>
      </c>
      <c r="Q97" s="19">
        <v>1.0</v>
      </c>
      <c r="R97" s="19">
        <v>0.0</v>
      </c>
      <c r="S97" s="19">
        <v>0.0</v>
      </c>
      <c r="T97" s="19">
        <v>0.0</v>
      </c>
      <c r="U97" s="19">
        <v>0.0</v>
      </c>
      <c r="V97" s="19">
        <v>0.0</v>
      </c>
      <c r="W97" s="19">
        <v>3.0</v>
      </c>
      <c r="X97" s="19">
        <v>0.0</v>
      </c>
      <c r="Y97" s="13">
        <f t="shared" si="22"/>
        <v>4</v>
      </c>
    </row>
    <row r="98" ht="12.75" customHeight="1">
      <c r="A98" s="18"/>
      <c r="B98" s="55">
        <v>5.0</v>
      </c>
      <c r="C98" s="50" t="s">
        <v>78</v>
      </c>
      <c r="D98" s="60"/>
      <c r="E98" s="19">
        <v>0.0</v>
      </c>
      <c r="F98" s="19">
        <v>0.0</v>
      </c>
      <c r="G98" s="19">
        <v>0.0</v>
      </c>
      <c r="H98" s="19">
        <v>0.0</v>
      </c>
      <c r="I98" s="19">
        <v>0.0</v>
      </c>
      <c r="J98" s="19">
        <v>0.0</v>
      </c>
      <c r="K98" s="19">
        <v>0.0</v>
      </c>
      <c r="L98" s="19">
        <v>0.0</v>
      </c>
      <c r="M98" s="19">
        <v>0.0</v>
      </c>
      <c r="N98" s="19">
        <v>0.0</v>
      </c>
      <c r="O98" s="19">
        <v>0.0</v>
      </c>
      <c r="P98" s="19">
        <v>0.0</v>
      </c>
      <c r="Q98" s="19">
        <v>0.0</v>
      </c>
      <c r="R98" s="19">
        <v>0.0</v>
      </c>
      <c r="S98" s="19">
        <v>0.0</v>
      </c>
      <c r="T98" s="19">
        <v>0.0</v>
      </c>
      <c r="U98" s="19">
        <v>0.0</v>
      </c>
      <c r="V98" s="19">
        <v>0.0</v>
      </c>
      <c r="W98" s="19">
        <v>0.0</v>
      </c>
      <c r="X98" s="19">
        <v>0.0</v>
      </c>
      <c r="Y98" s="13">
        <f t="shared" si="22"/>
        <v>0</v>
      </c>
    </row>
    <row r="99" ht="12.75" customHeight="1">
      <c r="A99" s="18"/>
      <c r="B99" s="55">
        <v>6.0</v>
      </c>
      <c r="C99" s="50" t="s">
        <v>79</v>
      </c>
      <c r="D99" s="60"/>
      <c r="E99" s="19">
        <v>0.0</v>
      </c>
      <c r="F99" s="19">
        <v>1.0</v>
      </c>
      <c r="G99" s="19">
        <v>0.0</v>
      </c>
      <c r="H99" s="19">
        <v>0.0</v>
      </c>
      <c r="I99" s="19">
        <v>0.0</v>
      </c>
      <c r="J99" s="19">
        <v>0.0</v>
      </c>
      <c r="K99" s="19">
        <v>0.0</v>
      </c>
      <c r="L99" s="19">
        <v>0.0</v>
      </c>
      <c r="M99" s="19">
        <v>0.0</v>
      </c>
      <c r="N99" s="19">
        <v>2.0</v>
      </c>
      <c r="O99" s="19">
        <v>0.0</v>
      </c>
      <c r="P99" s="19">
        <v>0.0</v>
      </c>
      <c r="Q99" s="19">
        <v>0.0</v>
      </c>
      <c r="R99" s="19">
        <v>0.0</v>
      </c>
      <c r="S99" s="19">
        <v>0.0</v>
      </c>
      <c r="T99" s="19">
        <v>0.0</v>
      </c>
      <c r="U99" s="19">
        <v>0.0</v>
      </c>
      <c r="V99" s="19">
        <v>2.0</v>
      </c>
      <c r="W99" s="19">
        <v>3.0</v>
      </c>
      <c r="X99" s="19">
        <v>0.0</v>
      </c>
      <c r="Y99" s="13">
        <f t="shared" si="22"/>
        <v>8</v>
      </c>
    </row>
    <row r="100" ht="12.75" customHeight="1">
      <c r="A100" s="18"/>
      <c r="B100" s="55">
        <v>7.0</v>
      </c>
      <c r="C100" s="50" t="s">
        <v>80</v>
      </c>
      <c r="D100" s="60"/>
      <c r="E100" s="19">
        <v>0.0</v>
      </c>
      <c r="F100" s="19">
        <v>0.0</v>
      </c>
      <c r="G100" s="19">
        <v>0.0</v>
      </c>
      <c r="H100" s="19">
        <v>0.0</v>
      </c>
      <c r="I100" s="19">
        <v>0.0</v>
      </c>
      <c r="J100" s="19">
        <v>0.0</v>
      </c>
      <c r="K100" s="19">
        <v>0.0</v>
      </c>
      <c r="L100" s="19">
        <v>0.0</v>
      </c>
      <c r="M100" s="19">
        <v>0.0</v>
      </c>
      <c r="N100" s="19">
        <v>0.0</v>
      </c>
      <c r="O100" s="19">
        <v>0.0</v>
      </c>
      <c r="P100" s="19">
        <v>0.0</v>
      </c>
      <c r="Q100" s="19">
        <v>0.0</v>
      </c>
      <c r="R100" s="19">
        <v>0.0</v>
      </c>
      <c r="S100" s="19">
        <v>0.0</v>
      </c>
      <c r="T100" s="19">
        <v>1.0</v>
      </c>
      <c r="U100" s="19">
        <v>0.0</v>
      </c>
      <c r="V100" s="19">
        <v>1.0</v>
      </c>
      <c r="W100" s="19">
        <v>0.0</v>
      </c>
      <c r="X100" s="19">
        <v>0.0</v>
      </c>
      <c r="Y100" s="13">
        <f t="shared" si="22"/>
        <v>2</v>
      </c>
    </row>
    <row r="101" ht="12.75" customHeight="1">
      <c r="A101" s="18"/>
      <c r="B101" s="56"/>
      <c r="C101" s="57"/>
      <c r="D101" s="62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3">
        <f t="shared" si="22"/>
        <v>0</v>
      </c>
    </row>
    <row r="102" ht="12.75" customHeight="1">
      <c r="A102" s="18"/>
      <c r="B102" s="56"/>
      <c r="C102" s="57"/>
      <c r="D102" s="62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3">
        <f t="shared" si="22"/>
        <v>0</v>
      </c>
    </row>
    <row r="103" ht="12.75" customHeight="1">
      <c r="A103" s="19" t="s">
        <v>15</v>
      </c>
      <c r="B103" s="47" t="s">
        <v>47</v>
      </c>
      <c r="C103" s="15"/>
      <c r="D103" s="16"/>
      <c r="E103" s="13">
        <f t="shared" ref="E103:Y103" si="23">SUM(E93:E102)</f>
        <v>2</v>
      </c>
      <c r="F103" s="13">
        <f t="shared" si="23"/>
        <v>1</v>
      </c>
      <c r="G103" s="13">
        <f t="shared" si="23"/>
        <v>2</v>
      </c>
      <c r="H103" s="13">
        <f t="shared" si="23"/>
        <v>4</v>
      </c>
      <c r="I103" s="13">
        <f t="shared" si="23"/>
        <v>6</v>
      </c>
      <c r="J103" s="13">
        <f t="shared" si="23"/>
        <v>0</v>
      </c>
      <c r="K103" s="13">
        <f t="shared" si="23"/>
        <v>0</v>
      </c>
      <c r="L103" s="13">
        <f t="shared" si="23"/>
        <v>3</v>
      </c>
      <c r="M103" s="13">
        <f t="shared" si="23"/>
        <v>0</v>
      </c>
      <c r="N103" s="13">
        <f t="shared" si="23"/>
        <v>3</v>
      </c>
      <c r="O103" s="13">
        <f t="shared" si="23"/>
        <v>2</v>
      </c>
      <c r="P103" s="13">
        <f t="shared" si="23"/>
        <v>7</v>
      </c>
      <c r="Q103" s="13">
        <f t="shared" si="23"/>
        <v>13</v>
      </c>
      <c r="R103" s="13">
        <f t="shared" si="23"/>
        <v>2</v>
      </c>
      <c r="S103" s="13">
        <f t="shared" si="23"/>
        <v>7</v>
      </c>
      <c r="T103" s="13">
        <f t="shared" si="23"/>
        <v>6</v>
      </c>
      <c r="U103" s="13">
        <f t="shared" si="23"/>
        <v>8</v>
      </c>
      <c r="V103" s="13">
        <f t="shared" si="23"/>
        <v>6</v>
      </c>
      <c r="W103" s="13">
        <f t="shared" si="23"/>
        <v>17</v>
      </c>
      <c r="X103" s="13">
        <f t="shared" si="23"/>
        <v>3</v>
      </c>
      <c r="Y103" s="13">
        <f t="shared" si="23"/>
        <v>92</v>
      </c>
    </row>
    <row r="104" ht="12.75" customHeight="1">
      <c r="A104" s="45"/>
      <c r="B104" s="44"/>
      <c r="C104" s="44"/>
      <c r="D104" s="44"/>
      <c r="E104" s="44"/>
      <c r="F104" s="84"/>
      <c r="G104" s="84"/>
      <c r="H104" s="84"/>
      <c r="I104" s="84"/>
      <c r="J104" s="84"/>
      <c r="K104" s="84"/>
      <c r="L104" s="84"/>
      <c r="M104" s="84"/>
      <c r="N104" s="84"/>
      <c r="O104" s="84"/>
      <c r="P104" s="84"/>
      <c r="Q104" s="84"/>
      <c r="R104" s="84"/>
      <c r="S104" s="84"/>
      <c r="T104" s="84"/>
      <c r="U104" s="84"/>
      <c r="V104" s="84"/>
      <c r="W104" s="84"/>
      <c r="X104" s="84"/>
      <c r="Y104" s="84"/>
    </row>
    <row r="105" ht="12.75" customHeight="1">
      <c r="A105" s="30" t="s">
        <v>37</v>
      </c>
      <c r="B105" s="47" t="s">
        <v>81</v>
      </c>
      <c r="C105" s="48" t="s">
        <v>82</v>
      </c>
      <c r="D105" s="16"/>
      <c r="E105" s="19">
        <v>0.0</v>
      </c>
      <c r="F105" s="19">
        <v>1.0</v>
      </c>
      <c r="G105" s="19">
        <v>0.0</v>
      </c>
      <c r="H105" s="19">
        <v>0.0</v>
      </c>
      <c r="I105" s="19">
        <v>0.0</v>
      </c>
      <c r="J105" s="19">
        <v>1.0</v>
      </c>
      <c r="K105" s="19">
        <v>0.0</v>
      </c>
      <c r="L105" s="19">
        <v>0.0</v>
      </c>
      <c r="M105" s="19">
        <v>0.0</v>
      </c>
      <c r="N105" s="19">
        <v>0.0</v>
      </c>
      <c r="O105" s="19">
        <v>0.0</v>
      </c>
      <c r="P105" s="19">
        <v>0.0</v>
      </c>
      <c r="Q105" s="19">
        <v>0.0</v>
      </c>
      <c r="R105" s="19">
        <v>1.0</v>
      </c>
      <c r="S105" s="19">
        <v>0.0</v>
      </c>
      <c r="T105" s="19">
        <v>0.0</v>
      </c>
      <c r="U105" s="19">
        <v>5.0</v>
      </c>
      <c r="V105" s="19">
        <v>0.0</v>
      </c>
      <c r="W105" s="19">
        <v>1.0</v>
      </c>
      <c r="X105" s="19">
        <v>0.0</v>
      </c>
      <c r="Y105" s="13">
        <f t="shared" ref="Y105:Y114" si="24">SUM(E105:X105)</f>
        <v>9</v>
      </c>
    </row>
    <row r="106" ht="12.75" customHeight="1">
      <c r="A106" s="30" t="s">
        <v>39</v>
      </c>
      <c r="B106" s="55">
        <v>1.0</v>
      </c>
      <c r="C106" s="50" t="s">
        <v>83</v>
      </c>
      <c r="D106" s="60"/>
      <c r="E106" s="19">
        <v>0.0</v>
      </c>
      <c r="F106" s="19">
        <v>0.0</v>
      </c>
      <c r="G106" s="19">
        <v>0.0</v>
      </c>
      <c r="H106" s="19">
        <v>0.0</v>
      </c>
      <c r="I106" s="19">
        <v>0.0</v>
      </c>
      <c r="J106" s="19">
        <v>0.0</v>
      </c>
      <c r="K106" s="19">
        <v>0.0</v>
      </c>
      <c r="L106" s="19">
        <v>1.0</v>
      </c>
      <c r="M106" s="19">
        <v>2.0</v>
      </c>
      <c r="N106" s="19">
        <v>0.0</v>
      </c>
      <c r="O106" s="19">
        <v>0.0</v>
      </c>
      <c r="P106" s="19">
        <v>0.0</v>
      </c>
      <c r="Q106" s="19">
        <v>0.0</v>
      </c>
      <c r="R106" s="19">
        <v>0.0</v>
      </c>
      <c r="S106" s="19">
        <v>0.0</v>
      </c>
      <c r="T106" s="19">
        <v>0.0</v>
      </c>
      <c r="U106" s="19">
        <v>0.0</v>
      </c>
      <c r="V106" s="19">
        <v>0.0</v>
      </c>
      <c r="W106" s="19">
        <v>0.0</v>
      </c>
      <c r="X106" s="19">
        <v>0.0</v>
      </c>
      <c r="Y106" s="13">
        <f t="shared" si="24"/>
        <v>3</v>
      </c>
    </row>
    <row r="107" ht="12.75" customHeight="1">
      <c r="A107" s="18"/>
      <c r="B107" s="55">
        <v>2.0</v>
      </c>
      <c r="C107" s="50" t="s">
        <v>84</v>
      </c>
      <c r="D107" s="60"/>
      <c r="E107" s="19">
        <v>0.0</v>
      </c>
      <c r="F107" s="19">
        <v>0.0</v>
      </c>
      <c r="G107" s="19">
        <v>0.0</v>
      </c>
      <c r="H107" s="19">
        <v>0.0</v>
      </c>
      <c r="I107" s="19">
        <v>0.0</v>
      </c>
      <c r="J107" s="19">
        <v>1.0</v>
      </c>
      <c r="K107" s="19">
        <v>0.0</v>
      </c>
      <c r="L107" s="19">
        <v>0.0</v>
      </c>
      <c r="M107" s="19">
        <v>0.0</v>
      </c>
      <c r="N107" s="19">
        <v>0.0</v>
      </c>
      <c r="O107" s="19">
        <v>0.0</v>
      </c>
      <c r="P107" s="19">
        <v>0.0</v>
      </c>
      <c r="Q107" s="19">
        <v>0.0</v>
      </c>
      <c r="R107" s="19">
        <v>0.0</v>
      </c>
      <c r="S107" s="19">
        <v>0.0</v>
      </c>
      <c r="T107" s="19">
        <v>1.0</v>
      </c>
      <c r="U107" s="19">
        <v>0.0</v>
      </c>
      <c r="V107" s="19">
        <v>0.0</v>
      </c>
      <c r="W107" s="19">
        <v>0.0</v>
      </c>
      <c r="X107" s="19">
        <v>0.0</v>
      </c>
      <c r="Y107" s="13">
        <f t="shared" si="24"/>
        <v>2</v>
      </c>
    </row>
    <row r="108" ht="12.75" customHeight="1">
      <c r="A108" s="18"/>
      <c r="B108" s="55">
        <v>3.0</v>
      </c>
      <c r="C108" s="50" t="s">
        <v>85</v>
      </c>
      <c r="D108" s="60"/>
      <c r="E108" s="85">
        <v>0.0</v>
      </c>
      <c r="F108" s="19">
        <v>0.0</v>
      </c>
      <c r="G108" s="19">
        <v>0.0</v>
      </c>
      <c r="H108" s="19">
        <v>0.0</v>
      </c>
      <c r="I108" s="19">
        <v>0.0</v>
      </c>
      <c r="J108" s="19">
        <v>0.0</v>
      </c>
      <c r="K108" s="19">
        <v>0.0</v>
      </c>
      <c r="L108" s="19">
        <v>0.0</v>
      </c>
      <c r="M108" s="19">
        <v>0.0</v>
      </c>
      <c r="N108" s="19">
        <v>0.0</v>
      </c>
      <c r="O108" s="19">
        <v>0.0</v>
      </c>
      <c r="P108" s="19">
        <v>0.0</v>
      </c>
      <c r="Q108" s="19">
        <v>1.0</v>
      </c>
      <c r="R108" s="19">
        <v>0.0</v>
      </c>
      <c r="S108" s="19">
        <v>0.0</v>
      </c>
      <c r="T108" s="19">
        <v>0.0</v>
      </c>
      <c r="U108" s="19">
        <v>0.0</v>
      </c>
      <c r="V108" s="19">
        <v>0.0</v>
      </c>
      <c r="W108" s="19">
        <v>0.0</v>
      </c>
      <c r="X108" s="19">
        <v>0.0</v>
      </c>
      <c r="Y108" s="13">
        <f t="shared" si="24"/>
        <v>1</v>
      </c>
    </row>
    <row r="109" ht="12.75" customHeight="1">
      <c r="A109" s="18"/>
      <c r="B109" s="55">
        <v>4.0</v>
      </c>
      <c r="C109" s="50" t="s">
        <v>86</v>
      </c>
      <c r="D109" s="60"/>
      <c r="E109" s="85">
        <v>0.0</v>
      </c>
      <c r="F109" s="19">
        <v>0.0</v>
      </c>
      <c r="G109" s="19">
        <v>0.0</v>
      </c>
      <c r="H109" s="19">
        <v>0.0</v>
      </c>
      <c r="I109" s="19">
        <v>0.0</v>
      </c>
      <c r="J109" s="19">
        <v>0.0</v>
      </c>
      <c r="K109" s="19">
        <v>0.0</v>
      </c>
      <c r="L109" s="19">
        <v>0.0</v>
      </c>
      <c r="M109" s="19">
        <v>0.0</v>
      </c>
      <c r="N109" s="19">
        <v>0.0</v>
      </c>
      <c r="O109" s="19">
        <v>0.0</v>
      </c>
      <c r="P109" s="19">
        <v>0.0</v>
      </c>
      <c r="Q109" s="19">
        <v>0.0</v>
      </c>
      <c r="R109" s="19">
        <v>0.0</v>
      </c>
      <c r="S109" s="19">
        <v>0.0</v>
      </c>
      <c r="T109" s="19">
        <v>0.0</v>
      </c>
      <c r="U109" s="19">
        <v>0.0</v>
      </c>
      <c r="V109" s="19">
        <v>0.0</v>
      </c>
      <c r="W109" s="19">
        <v>0.0</v>
      </c>
      <c r="X109" s="19">
        <v>0.0</v>
      </c>
      <c r="Y109" s="13">
        <f t="shared" si="24"/>
        <v>0</v>
      </c>
    </row>
    <row r="110" ht="12.75" customHeight="1">
      <c r="A110" s="18"/>
      <c r="B110" s="55">
        <v>5.0</v>
      </c>
      <c r="C110" s="50" t="s">
        <v>87</v>
      </c>
      <c r="D110" s="60"/>
      <c r="E110" s="85">
        <v>0.0</v>
      </c>
      <c r="F110" s="19">
        <v>0.0</v>
      </c>
      <c r="G110" s="19">
        <v>0.0</v>
      </c>
      <c r="H110" s="19">
        <v>0.0</v>
      </c>
      <c r="I110" s="19">
        <v>0.0</v>
      </c>
      <c r="J110" s="19">
        <v>0.0</v>
      </c>
      <c r="K110" s="19">
        <v>0.0</v>
      </c>
      <c r="L110" s="19">
        <v>0.0</v>
      </c>
      <c r="M110" s="19">
        <v>0.0</v>
      </c>
      <c r="N110" s="19">
        <v>1.0</v>
      </c>
      <c r="O110" s="19">
        <v>0.0</v>
      </c>
      <c r="P110" s="19">
        <v>0.0</v>
      </c>
      <c r="Q110" s="19">
        <v>0.0</v>
      </c>
      <c r="R110" s="19">
        <v>0.0</v>
      </c>
      <c r="S110" s="19">
        <v>0.0</v>
      </c>
      <c r="T110" s="19">
        <v>0.0</v>
      </c>
      <c r="U110" s="19">
        <v>0.0</v>
      </c>
      <c r="V110" s="19">
        <v>0.0</v>
      </c>
      <c r="W110" s="19">
        <v>0.0</v>
      </c>
      <c r="X110" s="19">
        <v>0.0</v>
      </c>
      <c r="Y110" s="13">
        <f t="shared" si="24"/>
        <v>1</v>
      </c>
    </row>
    <row r="111" ht="12.75" customHeight="1">
      <c r="A111" s="18"/>
      <c r="B111" s="55">
        <v>6.0</v>
      </c>
      <c r="C111" s="50" t="s">
        <v>88</v>
      </c>
      <c r="D111" s="60"/>
      <c r="E111" s="85">
        <v>0.0</v>
      </c>
      <c r="F111" s="19">
        <v>0.0</v>
      </c>
      <c r="G111" s="19">
        <v>0.0</v>
      </c>
      <c r="H111" s="19">
        <v>0.0</v>
      </c>
      <c r="I111" s="19">
        <v>0.0</v>
      </c>
      <c r="J111" s="19">
        <v>0.0</v>
      </c>
      <c r="K111" s="19">
        <v>0.0</v>
      </c>
      <c r="L111" s="19">
        <v>0.0</v>
      </c>
      <c r="M111" s="19">
        <v>0.0</v>
      </c>
      <c r="N111" s="19">
        <v>0.0</v>
      </c>
      <c r="O111" s="19">
        <v>0.0</v>
      </c>
      <c r="P111" s="19">
        <v>0.0</v>
      </c>
      <c r="Q111" s="19">
        <v>0.0</v>
      </c>
      <c r="R111" s="19">
        <v>0.0</v>
      </c>
      <c r="S111" s="19">
        <v>0.0</v>
      </c>
      <c r="T111" s="19">
        <v>0.0</v>
      </c>
      <c r="U111" s="19">
        <v>1.0</v>
      </c>
      <c r="V111" s="19">
        <v>0.0</v>
      </c>
      <c r="W111" s="19">
        <v>0.0</v>
      </c>
      <c r="X111" s="19">
        <v>0.0</v>
      </c>
      <c r="Y111" s="13">
        <f t="shared" si="24"/>
        <v>1</v>
      </c>
    </row>
    <row r="112" ht="12.75" customHeight="1">
      <c r="A112" s="18"/>
      <c r="B112" s="55">
        <v>7.0</v>
      </c>
      <c r="C112" s="50" t="s">
        <v>89</v>
      </c>
      <c r="D112" s="60"/>
      <c r="E112" s="85">
        <v>0.0</v>
      </c>
      <c r="F112" s="19">
        <v>0.0</v>
      </c>
      <c r="G112" s="19">
        <v>0.0</v>
      </c>
      <c r="H112" s="19">
        <v>0.0</v>
      </c>
      <c r="I112" s="19">
        <v>0.0</v>
      </c>
      <c r="J112" s="19">
        <v>0.0</v>
      </c>
      <c r="K112" s="19">
        <v>0.0</v>
      </c>
      <c r="L112" s="19">
        <v>0.0</v>
      </c>
      <c r="M112" s="19">
        <v>0.0</v>
      </c>
      <c r="N112" s="19">
        <v>0.0</v>
      </c>
      <c r="O112" s="19">
        <v>0.0</v>
      </c>
      <c r="P112" s="19">
        <v>0.0</v>
      </c>
      <c r="Q112" s="19">
        <v>0.0</v>
      </c>
      <c r="R112" s="19">
        <v>0.0</v>
      </c>
      <c r="S112" s="19">
        <v>0.0</v>
      </c>
      <c r="T112" s="19">
        <v>0.0</v>
      </c>
      <c r="U112" s="19">
        <v>0.0</v>
      </c>
      <c r="V112" s="19">
        <v>0.0</v>
      </c>
      <c r="W112" s="19">
        <v>0.0</v>
      </c>
      <c r="X112" s="19">
        <v>0.0</v>
      </c>
      <c r="Y112" s="13">
        <f t="shared" si="24"/>
        <v>0</v>
      </c>
    </row>
    <row r="113" ht="12.75" customHeight="1">
      <c r="A113" s="18"/>
      <c r="B113" s="56"/>
      <c r="C113" s="57"/>
      <c r="D113" s="62"/>
      <c r="E113" s="85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3">
        <f t="shared" si="24"/>
        <v>0</v>
      </c>
    </row>
    <row r="114" ht="12.75" customHeight="1">
      <c r="A114" s="18"/>
      <c r="B114" s="56"/>
      <c r="C114" s="57"/>
      <c r="D114" s="62"/>
      <c r="E114" s="85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3">
        <f t="shared" si="24"/>
        <v>0</v>
      </c>
    </row>
    <row r="115" ht="12.75" customHeight="1">
      <c r="A115" s="19" t="s">
        <v>15</v>
      </c>
      <c r="B115" s="47" t="s">
        <v>47</v>
      </c>
      <c r="C115" s="15"/>
      <c r="D115" s="16"/>
      <c r="E115" s="13">
        <f t="shared" ref="E115:Y115" si="25">SUM(E105:E114)</f>
        <v>0</v>
      </c>
      <c r="F115" s="13">
        <f t="shared" si="25"/>
        <v>1</v>
      </c>
      <c r="G115" s="13">
        <f t="shared" si="25"/>
        <v>0</v>
      </c>
      <c r="H115" s="13">
        <f t="shared" si="25"/>
        <v>0</v>
      </c>
      <c r="I115" s="13">
        <f t="shared" si="25"/>
        <v>0</v>
      </c>
      <c r="J115" s="13">
        <f t="shared" si="25"/>
        <v>2</v>
      </c>
      <c r="K115" s="13">
        <f t="shared" si="25"/>
        <v>0</v>
      </c>
      <c r="L115" s="13">
        <f t="shared" si="25"/>
        <v>1</v>
      </c>
      <c r="M115" s="13">
        <f t="shared" si="25"/>
        <v>2</v>
      </c>
      <c r="N115" s="13">
        <f t="shared" si="25"/>
        <v>1</v>
      </c>
      <c r="O115" s="13">
        <f t="shared" si="25"/>
        <v>0</v>
      </c>
      <c r="P115" s="13">
        <f t="shared" si="25"/>
        <v>0</v>
      </c>
      <c r="Q115" s="13">
        <f t="shared" si="25"/>
        <v>1</v>
      </c>
      <c r="R115" s="13">
        <f t="shared" si="25"/>
        <v>1</v>
      </c>
      <c r="S115" s="13">
        <f t="shared" si="25"/>
        <v>0</v>
      </c>
      <c r="T115" s="13">
        <f t="shared" si="25"/>
        <v>1</v>
      </c>
      <c r="U115" s="13">
        <f t="shared" si="25"/>
        <v>6</v>
      </c>
      <c r="V115" s="13">
        <f t="shared" si="25"/>
        <v>0</v>
      </c>
      <c r="W115" s="13">
        <f t="shared" si="25"/>
        <v>1</v>
      </c>
      <c r="X115" s="13">
        <f t="shared" si="25"/>
        <v>0</v>
      </c>
      <c r="Y115" s="13">
        <f t="shared" si="25"/>
        <v>17</v>
      </c>
    </row>
    <row r="116" ht="12.75" customHeight="1">
      <c r="A116" s="24"/>
      <c r="B116" s="15"/>
      <c r="C116" s="15"/>
      <c r="D116" s="15"/>
      <c r="E116" s="16"/>
      <c r="F116" s="84"/>
      <c r="G116" s="84"/>
      <c r="H116" s="84"/>
      <c r="I116" s="84"/>
      <c r="J116" s="84"/>
      <c r="K116" s="84"/>
      <c r="L116" s="84"/>
      <c r="M116" s="84"/>
      <c r="N116" s="84"/>
      <c r="O116" s="84"/>
      <c r="P116" s="84"/>
      <c r="Q116" s="84"/>
      <c r="R116" s="84"/>
      <c r="S116" s="84"/>
      <c r="T116" s="84"/>
      <c r="U116" s="84"/>
      <c r="V116" s="84"/>
      <c r="W116" s="84"/>
      <c r="X116" s="84"/>
      <c r="Y116" s="13"/>
    </row>
    <row r="117" ht="12.75" customHeight="1">
      <c r="A117" s="30" t="s">
        <v>37</v>
      </c>
      <c r="B117" s="47" t="s">
        <v>90</v>
      </c>
      <c r="C117" s="48" t="s">
        <v>91</v>
      </c>
      <c r="D117" s="16"/>
      <c r="E117" s="19">
        <v>0.0</v>
      </c>
      <c r="F117" s="19">
        <v>3.0</v>
      </c>
      <c r="G117" s="19">
        <v>1.0</v>
      </c>
      <c r="H117" s="19">
        <v>0.0</v>
      </c>
      <c r="I117" s="19">
        <v>0.0</v>
      </c>
      <c r="J117" s="19">
        <v>2.0</v>
      </c>
      <c r="K117" s="19">
        <v>0.0</v>
      </c>
      <c r="L117" s="19">
        <v>0.0</v>
      </c>
      <c r="M117" s="19">
        <v>1.0</v>
      </c>
      <c r="N117" s="19">
        <v>1.0</v>
      </c>
      <c r="O117" s="19">
        <v>0.0</v>
      </c>
      <c r="P117" s="19">
        <v>1.0</v>
      </c>
      <c r="Q117" s="19">
        <v>0.0</v>
      </c>
      <c r="R117" s="19">
        <v>2.0</v>
      </c>
      <c r="S117" s="19">
        <v>0.0</v>
      </c>
      <c r="T117" s="19">
        <v>1.0</v>
      </c>
      <c r="U117" s="19">
        <v>2.0</v>
      </c>
      <c r="V117" s="19">
        <v>0.0</v>
      </c>
      <c r="W117" s="19">
        <v>0.0</v>
      </c>
      <c r="X117" s="19">
        <v>2.0</v>
      </c>
      <c r="Y117" s="13">
        <f t="shared" ref="Y117:Y126" si="26">SUM(E117:X117)</f>
        <v>16</v>
      </c>
    </row>
    <row r="118" ht="12.75" customHeight="1">
      <c r="A118" s="30" t="s">
        <v>39</v>
      </c>
      <c r="B118" s="55">
        <v>1.0</v>
      </c>
      <c r="C118" s="50" t="s">
        <v>92</v>
      </c>
      <c r="D118" s="60"/>
      <c r="E118" s="19">
        <v>0.0</v>
      </c>
      <c r="F118" s="19">
        <v>0.0</v>
      </c>
      <c r="G118" s="19">
        <v>0.0</v>
      </c>
      <c r="H118" s="19">
        <v>0.0</v>
      </c>
      <c r="I118" s="19">
        <v>0.0</v>
      </c>
      <c r="J118" s="19">
        <v>0.0</v>
      </c>
      <c r="K118" s="19">
        <v>0.0</v>
      </c>
      <c r="L118" s="19">
        <v>0.0</v>
      </c>
      <c r="M118" s="19">
        <v>0.0</v>
      </c>
      <c r="N118" s="19">
        <v>0.0</v>
      </c>
      <c r="O118" s="19">
        <v>0.0</v>
      </c>
      <c r="P118" s="19">
        <v>0.0</v>
      </c>
      <c r="Q118" s="19">
        <v>0.0</v>
      </c>
      <c r="R118" s="19">
        <v>1.0</v>
      </c>
      <c r="S118" s="19">
        <v>0.0</v>
      </c>
      <c r="T118" s="19">
        <v>1.0</v>
      </c>
      <c r="U118" s="19">
        <v>0.0</v>
      </c>
      <c r="V118" s="19">
        <v>0.0</v>
      </c>
      <c r="W118" s="19">
        <v>0.0</v>
      </c>
      <c r="X118" s="19">
        <v>0.0</v>
      </c>
      <c r="Y118" s="13">
        <f t="shared" si="26"/>
        <v>2</v>
      </c>
    </row>
    <row r="119" ht="12.75" customHeight="1">
      <c r="A119" s="18"/>
      <c r="B119" s="55">
        <v>2.0</v>
      </c>
      <c r="C119" s="50" t="s">
        <v>93</v>
      </c>
      <c r="D119" s="60"/>
      <c r="E119" s="19">
        <v>0.0</v>
      </c>
      <c r="F119" s="19">
        <v>0.0</v>
      </c>
      <c r="G119" s="19">
        <v>0.0</v>
      </c>
      <c r="H119" s="19">
        <v>0.0</v>
      </c>
      <c r="I119" s="19">
        <v>0.0</v>
      </c>
      <c r="J119" s="19">
        <v>0.0</v>
      </c>
      <c r="K119" s="19">
        <v>0.0</v>
      </c>
      <c r="L119" s="19">
        <v>0.0</v>
      </c>
      <c r="M119" s="19">
        <v>0.0</v>
      </c>
      <c r="N119" s="19">
        <v>0.0</v>
      </c>
      <c r="O119" s="19">
        <v>0.0</v>
      </c>
      <c r="P119" s="19">
        <v>0.0</v>
      </c>
      <c r="Q119" s="19">
        <v>0.0</v>
      </c>
      <c r="R119" s="19">
        <v>0.0</v>
      </c>
      <c r="S119" s="19">
        <v>0.0</v>
      </c>
      <c r="T119" s="19">
        <v>0.0</v>
      </c>
      <c r="U119" s="19">
        <v>1.0</v>
      </c>
      <c r="V119" s="19">
        <v>0.0</v>
      </c>
      <c r="W119" s="19">
        <v>0.0</v>
      </c>
      <c r="X119" s="19">
        <v>0.0</v>
      </c>
      <c r="Y119" s="13">
        <f t="shared" si="26"/>
        <v>1</v>
      </c>
    </row>
    <row r="120" ht="12.75" customHeight="1">
      <c r="A120" s="18"/>
      <c r="B120" s="55">
        <v>3.0</v>
      </c>
      <c r="C120" s="50" t="s">
        <v>94</v>
      </c>
      <c r="D120" s="60"/>
      <c r="E120" s="19">
        <v>0.0</v>
      </c>
      <c r="F120" s="19">
        <v>0.0</v>
      </c>
      <c r="G120" s="19">
        <v>0.0</v>
      </c>
      <c r="H120" s="19">
        <v>0.0</v>
      </c>
      <c r="I120" s="19">
        <v>0.0</v>
      </c>
      <c r="J120" s="19">
        <v>0.0</v>
      </c>
      <c r="K120" s="19">
        <v>0.0</v>
      </c>
      <c r="L120" s="19">
        <v>0.0</v>
      </c>
      <c r="M120" s="19">
        <v>0.0</v>
      </c>
      <c r="N120" s="19">
        <v>0.0</v>
      </c>
      <c r="O120" s="19">
        <v>0.0</v>
      </c>
      <c r="P120" s="19">
        <v>0.0</v>
      </c>
      <c r="Q120" s="19">
        <v>0.0</v>
      </c>
      <c r="R120" s="19">
        <v>0.0</v>
      </c>
      <c r="S120" s="19">
        <v>0.0</v>
      </c>
      <c r="T120" s="19">
        <v>0.0</v>
      </c>
      <c r="U120" s="19">
        <v>1.0</v>
      </c>
      <c r="V120" s="19">
        <v>0.0</v>
      </c>
      <c r="W120" s="19">
        <v>0.0</v>
      </c>
      <c r="X120" s="19">
        <v>0.0</v>
      </c>
      <c r="Y120" s="13">
        <f t="shared" si="26"/>
        <v>1</v>
      </c>
    </row>
    <row r="121" ht="12.75" customHeight="1">
      <c r="A121" s="18"/>
      <c r="B121" s="56"/>
      <c r="C121" s="57"/>
      <c r="D121" s="62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3">
        <f t="shared" si="26"/>
        <v>0</v>
      </c>
    </row>
    <row r="122" ht="12.75" customHeight="1">
      <c r="A122" s="18"/>
      <c r="B122" s="56"/>
      <c r="C122" s="57"/>
      <c r="D122" s="62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3">
        <f t="shared" si="26"/>
        <v>0</v>
      </c>
    </row>
    <row r="123" ht="12.75" customHeight="1">
      <c r="A123" s="18"/>
      <c r="B123" s="56"/>
      <c r="C123" s="57"/>
      <c r="D123" s="62"/>
      <c r="E123" s="63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40"/>
      <c r="Y123" s="13">
        <f t="shared" si="26"/>
        <v>0</v>
      </c>
    </row>
    <row r="124" ht="12.75" customHeight="1">
      <c r="A124" s="18"/>
      <c r="B124" s="56"/>
      <c r="C124" s="57"/>
      <c r="D124" s="62"/>
      <c r="E124" s="63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40"/>
      <c r="Y124" s="13">
        <f t="shared" si="26"/>
        <v>0</v>
      </c>
    </row>
    <row r="125" ht="12.75" customHeight="1">
      <c r="A125" s="18"/>
      <c r="B125" s="56"/>
      <c r="C125" s="57"/>
      <c r="D125" s="62"/>
      <c r="E125" s="63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13">
        <f t="shared" si="26"/>
        <v>0</v>
      </c>
    </row>
    <row r="126" ht="12.75" customHeight="1">
      <c r="A126" s="18"/>
      <c r="B126" s="56"/>
      <c r="C126" s="57"/>
      <c r="D126" s="62"/>
      <c r="E126" s="63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40"/>
      <c r="Y126" s="13">
        <f t="shared" si="26"/>
        <v>0</v>
      </c>
    </row>
    <row r="127" ht="12.75" customHeight="1">
      <c r="A127" s="19" t="s">
        <v>15</v>
      </c>
      <c r="B127" s="47" t="s">
        <v>47</v>
      </c>
      <c r="C127" s="15"/>
      <c r="D127" s="16"/>
      <c r="E127" s="13">
        <f t="shared" ref="E127:Y127" si="27">SUM(E117:E126)</f>
        <v>0</v>
      </c>
      <c r="F127" s="13">
        <f t="shared" si="27"/>
        <v>3</v>
      </c>
      <c r="G127" s="13">
        <f t="shared" si="27"/>
        <v>1</v>
      </c>
      <c r="H127" s="13">
        <f t="shared" si="27"/>
        <v>0</v>
      </c>
      <c r="I127" s="13">
        <f t="shared" si="27"/>
        <v>0</v>
      </c>
      <c r="J127" s="13">
        <f t="shared" si="27"/>
        <v>2</v>
      </c>
      <c r="K127" s="13">
        <f t="shared" si="27"/>
        <v>0</v>
      </c>
      <c r="L127" s="13">
        <f t="shared" si="27"/>
        <v>0</v>
      </c>
      <c r="M127" s="13">
        <f t="shared" si="27"/>
        <v>1</v>
      </c>
      <c r="N127" s="13">
        <f t="shared" si="27"/>
        <v>1</v>
      </c>
      <c r="O127" s="13">
        <f t="shared" si="27"/>
        <v>0</v>
      </c>
      <c r="P127" s="13">
        <f t="shared" si="27"/>
        <v>1</v>
      </c>
      <c r="Q127" s="13">
        <f t="shared" si="27"/>
        <v>0</v>
      </c>
      <c r="R127" s="13">
        <f t="shared" si="27"/>
        <v>3</v>
      </c>
      <c r="S127" s="13">
        <f t="shared" si="27"/>
        <v>0</v>
      </c>
      <c r="T127" s="13">
        <f t="shared" si="27"/>
        <v>2</v>
      </c>
      <c r="U127" s="13">
        <f t="shared" si="27"/>
        <v>4</v>
      </c>
      <c r="V127" s="13">
        <f t="shared" si="27"/>
        <v>0</v>
      </c>
      <c r="W127" s="13">
        <f t="shared" si="27"/>
        <v>0</v>
      </c>
      <c r="X127" s="13">
        <f t="shared" si="27"/>
        <v>2</v>
      </c>
      <c r="Y127" s="13">
        <f t="shared" si="27"/>
        <v>20</v>
      </c>
    </row>
    <row r="128" ht="12.75" customHeight="1">
      <c r="A128" s="24"/>
      <c r="B128" s="15"/>
      <c r="C128" s="15"/>
      <c r="D128" s="15"/>
      <c r="E128" s="16"/>
      <c r="F128" s="84"/>
      <c r="G128" s="84"/>
      <c r="H128" s="84"/>
      <c r="I128" s="84"/>
      <c r="J128" s="84"/>
      <c r="K128" s="84"/>
      <c r="L128" s="84"/>
      <c r="M128" s="84"/>
      <c r="N128" s="84"/>
      <c r="O128" s="84"/>
      <c r="P128" s="84"/>
      <c r="Q128" s="84"/>
      <c r="R128" s="84"/>
      <c r="S128" s="84"/>
      <c r="T128" s="84"/>
      <c r="U128" s="84"/>
      <c r="V128" s="84"/>
      <c r="W128" s="84"/>
      <c r="X128" s="84"/>
      <c r="Y128" s="84"/>
    </row>
    <row r="129" ht="12.75" customHeight="1">
      <c r="A129" s="30" t="s">
        <v>37</v>
      </c>
      <c r="B129" s="47" t="s">
        <v>95</v>
      </c>
      <c r="C129" s="48" t="s">
        <v>96</v>
      </c>
      <c r="D129" s="16"/>
      <c r="E129" s="19">
        <v>0.0</v>
      </c>
      <c r="F129" s="19">
        <v>0.0</v>
      </c>
      <c r="G129" s="19">
        <v>0.0</v>
      </c>
      <c r="H129" s="19">
        <v>0.0</v>
      </c>
      <c r="I129" s="19">
        <v>1.0</v>
      </c>
      <c r="J129" s="19">
        <v>0.0</v>
      </c>
      <c r="K129" s="19">
        <v>0.0</v>
      </c>
      <c r="L129" s="19">
        <v>1.0</v>
      </c>
      <c r="M129" s="19">
        <v>0.0</v>
      </c>
      <c r="N129" s="19">
        <v>0.0</v>
      </c>
      <c r="O129" s="19">
        <v>0.0</v>
      </c>
      <c r="P129" s="19">
        <v>2.0</v>
      </c>
      <c r="Q129" s="19">
        <v>0.0</v>
      </c>
      <c r="R129" s="19">
        <v>1.0</v>
      </c>
      <c r="S129" s="19">
        <v>1.0</v>
      </c>
      <c r="T129" s="19">
        <v>0.0</v>
      </c>
      <c r="U129" s="19">
        <v>0.0</v>
      </c>
      <c r="V129" s="19">
        <v>1.0</v>
      </c>
      <c r="W129" s="19">
        <v>2.0</v>
      </c>
      <c r="X129" s="19">
        <v>0.0</v>
      </c>
      <c r="Y129" s="13">
        <f t="shared" ref="Y129:Y138" si="28">SUM(E129:X129)</f>
        <v>9</v>
      </c>
    </row>
    <row r="130" ht="12.75" customHeight="1">
      <c r="A130" s="30" t="s">
        <v>39</v>
      </c>
      <c r="B130" s="55">
        <v>1.0</v>
      </c>
      <c r="C130" s="50" t="s">
        <v>97</v>
      </c>
      <c r="D130" s="59"/>
      <c r="E130" s="19">
        <v>0.0</v>
      </c>
      <c r="F130" s="19">
        <v>1.0</v>
      </c>
      <c r="G130" s="19">
        <v>2.0</v>
      </c>
      <c r="H130" s="19">
        <v>0.0</v>
      </c>
      <c r="I130" s="19">
        <v>1.0</v>
      </c>
      <c r="J130" s="19">
        <v>0.0</v>
      </c>
      <c r="K130" s="19">
        <v>0.0</v>
      </c>
      <c r="L130" s="19">
        <v>0.0</v>
      </c>
      <c r="M130" s="19">
        <v>1.0</v>
      </c>
      <c r="N130" s="19">
        <v>0.0</v>
      </c>
      <c r="O130" s="19">
        <v>1.0</v>
      </c>
      <c r="P130" s="19">
        <v>0.0</v>
      </c>
      <c r="Q130" s="19">
        <v>0.0</v>
      </c>
      <c r="R130" s="19">
        <v>0.0</v>
      </c>
      <c r="S130" s="19">
        <v>0.0</v>
      </c>
      <c r="T130" s="19">
        <v>0.0</v>
      </c>
      <c r="U130" s="19">
        <v>0.0</v>
      </c>
      <c r="V130" s="19">
        <v>0.0</v>
      </c>
      <c r="W130" s="19">
        <v>0.0</v>
      </c>
      <c r="X130" s="19">
        <v>1.0</v>
      </c>
      <c r="Y130" s="13">
        <f t="shared" si="28"/>
        <v>7</v>
      </c>
    </row>
    <row r="131" ht="12.75" customHeight="1">
      <c r="A131" s="18"/>
      <c r="B131" s="55">
        <v>2.0</v>
      </c>
      <c r="C131" s="50" t="s">
        <v>98</v>
      </c>
      <c r="D131" s="59"/>
      <c r="E131" s="19">
        <v>0.0</v>
      </c>
      <c r="F131" s="19">
        <v>0.0</v>
      </c>
      <c r="G131" s="19">
        <v>1.0</v>
      </c>
      <c r="H131" s="19">
        <v>0.0</v>
      </c>
      <c r="I131" s="19">
        <v>0.0</v>
      </c>
      <c r="J131" s="19">
        <v>0.0</v>
      </c>
      <c r="K131" s="19">
        <v>1.0</v>
      </c>
      <c r="L131" s="19">
        <v>0.0</v>
      </c>
      <c r="M131" s="19">
        <v>0.0</v>
      </c>
      <c r="N131" s="19">
        <v>0.0</v>
      </c>
      <c r="O131" s="19">
        <v>0.0</v>
      </c>
      <c r="P131" s="19">
        <v>0.0</v>
      </c>
      <c r="Q131" s="19">
        <v>0.0</v>
      </c>
      <c r="R131" s="19">
        <v>0.0</v>
      </c>
      <c r="S131" s="19">
        <v>0.0</v>
      </c>
      <c r="T131" s="19">
        <v>0.0</v>
      </c>
      <c r="U131" s="19">
        <v>0.0</v>
      </c>
      <c r="V131" s="19">
        <v>1.0</v>
      </c>
      <c r="W131" s="19">
        <v>3.0</v>
      </c>
      <c r="X131" s="19">
        <v>0.0</v>
      </c>
      <c r="Y131" s="13">
        <f t="shared" si="28"/>
        <v>6</v>
      </c>
    </row>
    <row r="132" ht="12.75" customHeight="1">
      <c r="A132" s="18"/>
      <c r="B132" s="55">
        <v>3.0</v>
      </c>
      <c r="C132" s="50" t="s">
        <v>99</v>
      </c>
      <c r="D132" s="59"/>
      <c r="E132" s="19">
        <v>0.0</v>
      </c>
      <c r="F132" s="19">
        <v>0.0</v>
      </c>
      <c r="G132" s="19">
        <v>0.0</v>
      </c>
      <c r="H132" s="19">
        <v>0.0</v>
      </c>
      <c r="I132" s="19">
        <v>0.0</v>
      </c>
      <c r="J132" s="19">
        <v>0.0</v>
      </c>
      <c r="K132" s="19">
        <v>0.0</v>
      </c>
      <c r="L132" s="19">
        <v>0.0</v>
      </c>
      <c r="M132" s="19">
        <v>0.0</v>
      </c>
      <c r="N132" s="19">
        <v>0.0</v>
      </c>
      <c r="O132" s="19">
        <v>0.0</v>
      </c>
      <c r="P132" s="19">
        <v>0.0</v>
      </c>
      <c r="Q132" s="19">
        <v>0.0</v>
      </c>
      <c r="R132" s="19">
        <v>1.0</v>
      </c>
      <c r="S132" s="19">
        <v>0.0</v>
      </c>
      <c r="T132" s="19">
        <v>0.0</v>
      </c>
      <c r="U132" s="19">
        <v>1.0</v>
      </c>
      <c r="V132" s="19">
        <v>0.0</v>
      </c>
      <c r="W132" s="19">
        <v>0.0</v>
      </c>
      <c r="X132" s="19">
        <v>0.0</v>
      </c>
      <c r="Y132" s="13">
        <f t="shared" si="28"/>
        <v>2</v>
      </c>
    </row>
    <row r="133" ht="12.75" customHeight="1">
      <c r="A133" s="18"/>
      <c r="B133" s="55">
        <v>4.0</v>
      </c>
      <c r="C133" s="50" t="s">
        <v>100</v>
      </c>
      <c r="D133" s="59"/>
      <c r="E133" s="19">
        <v>0.0</v>
      </c>
      <c r="F133" s="19">
        <v>0.0</v>
      </c>
      <c r="G133" s="19">
        <v>0.0</v>
      </c>
      <c r="H133" s="19">
        <v>0.0</v>
      </c>
      <c r="I133" s="19">
        <v>0.0</v>
      </c>
      <c r="J133" s="19">
        <v>0.0</v>
      </c>
      <c r="K133" s="19">
        <v>0.0</v>
      </c>
      <c r="L133" s="19">
        <v>0.0</v>
      </c>
      <c r="M133" s="19">
        <v>0.0</v>
      </c>
      <c r="N133" s="19">
        <v>0.0</v>
      </c>
      <c r="O133" s="19">
        <v>1.0</v>
      </c>
      <c r="P133" s="19">
        <v>0.0</v>
      </c>
      <c r="Q133" s="19">
        <v>0.0</v>
      </c>
      <c r="R133" s="19">
        <v>0.0</v>
      </c>
      <c r="S133" s="19">
        <v>0.0</v>
      </c>
      <c r="T133" s="19">
        <v>1.0</v>
      </c>
      <c r="U133" s="19">
        <v>0.0</v>
      </c>
      <c r="V133" s="19">
        <v>0.0</v>
      </c>
      <c r="W133" s="19">
        <v>0.0</v>
      </c>
      <c r="X133" s="19">
        <v>2.0</v>
      </c>
      <c r="Y133" s="13">
        <f t="shared" si="28"/>
        <v>4</v>
      </c>
    </row>
    <row r="134" ht="12.75" customHeight="1">
      <c r="A134" s="18"/>
      <c r="B134" s="55">
        <v>5.0</v>
      </c>
      <c r="C134" s="50" t="s">
        <v>101</v>
      </c>
      <c r="D134" s="59"/>
      <c r="E134" s="19">
        <v>0.0</v>
      </c>
      <c r="F134" s="19">
        <v>0.0</v>
      </c>
      <c r="G134" s="19">
        <v>0.0</v>
      </c>
      <c r="H134" s="19">
        <v>0.0</v>
      </c>
      <c r="I134" s="19">
        <v>0.0</v>
      </c>
      <c r="J134" s="19">
        <v>0.0</v>
      </c>
      <c r="K134" s="19">
        <v>0.0</v>
      </c>
      <c r="L134" s="19">
        <v>0.0</v>
      </c>
      <c r="M134" s="19">
        <v>0.0</v>
      </c>
      <c r="N134" s="19">
        <v>0.0</v>
      </c>
      <c r="O134" s="19">
        <v>0.0</v>
      </c>
      <c r="P134" s="19">
        <v>0.0</v>
      </c>
      <c r="Q134" s="19">
        <v>0.0</v>
      </c>
      <c r="R134" s="19">
        <v>0.0</v>
      </c>
      <c r="S134" s="19">
        <v>0.0</v>
      </c>
      <c r="T134" s="19">
        <v>0.0</v>
      </c>
      <c r="U134" s="19">
        <v>0.0</v>
      </c>
      <c r="V134" s="19">
        <v>0.0</v>
      </c>
      <c r="W134" s="19">
        <v>0.0</v>
      </c>
      <c r="X134" s="19">
        <v>0.0</v>
      </c>
      <c r="Y134" s="13">
        <f t="shared" si="28"/>
        <v>0</v>
      </c>
    </row>
    <row r="135" ht="12.75" customHeight="1">
      <c r="A135" s="18"/>
      <c r="B135" s="55">
        <v>6.0</v>
      </c>
      <c r="C135" s="50" t="s">
        <v>102</v>
      </c>
      <c r="D135" s="60"/>
      <c r="E135" s="19">
        <v>0.0</v>
      </c>
      <c r="F135" s="19">
        <v>0.0</v>
      </c>
      <c r="G135" s="19">
        <v>0.0</v>
      </c>
      <c r="H135" s="19">
        <v>0.0</v>
      </c>
      <c r="I135" s="19">
        <v>0.0</v>
      </c>
      <c r="J135" s="19">
        <v>0.0</v>
      </c>
      <c r="K135" s="19">
        <v>0.0</v>
      </c>
      <c r="L135" s="19">
        <v>0.0</v>
      </c>
      <c r="M135" s="19">
        <v>0.0</v>
      </c>
      <c r="N135" s="19">
        <v>0.0</v>
      </c>
      <c r="O135" s="19">
        <v>0.0</v>
      </c>
      <c r="P135" s="19">
        <v>0.0</v>
      </c>
      <c r="Q135" s="19">
        <v>0.0</v>
      </c>
      <c r="R135" s="19">
        <v>0.0</v>
      </c>
      <c r="S135" s="19">
        <v>0.0</v>
      </c>
      <c r="T135" s="19">
        <v>0.0</v>
      </c>
      <c r="U135" s="19">
        <v>0.0</v>
      </c>
      <c r="V135" s="19">
        <v>0.0</v>
      </c>
      <c r="W135" s="19">
        <v>0.0</v>
      </c>
      <c r="X135" s="19">
        <v>0.0</v>
      </c>
      <c r="Y135" s="13">
        <f t="shared" si="28"/>
        <v>0</v>
      </c>
    </row>
    <row r="136" ht="12.75" customHeight="1">
      <c r="A136" s="18"/>
      <c r="B136" s="55">
        <v>7.0</v>
      </c>
      <c r="C136" s="50" t="s">
        <v>103</v>
      </c>
      <c r="D136" s="59"/>
      <c r="E136" s="19">
        <v>0.0</v>
      </c>
      <c r="F136" s="19">
        <v>0.0</v>
      </c>
      <c r="G136" s="19">
        <v>0.0</v>
      </c>
      <c r="H136" s="19">
        <v>0.0</v>
      </c>
      <c r="I136" s="19">
        <v>0.0</v>
      </c>
      <c r="J136" s="19">
        <v>0.0</v>
      </c>
      <c r="K136" s="19">
        <v>0.0</v>
      </c>
      <c r="L136" s="19">
        <v>0.0</v>
      </c>
      <c r="M136" s="19">
        <v>0.0</v>
      </c>
      <c r="N136" s="19">
        <v>0.0</v>
      </c>
      <c r="O136" s="19">
        <v>0.0</v>
      </c>
      <c r="P136" s="19">
        <v>0.0</v>
      </c>
      <c r="Q136" s="19">
        <v>0.0</v>
      </c>
      <c r="R136" s="19">
        <v>0.0</v>
      </c>
      <c r="S136" s="19">
        <v>0.0</v>
      </c>
      <c r="T136" s="19">
        <v>0.0</v>
      </c>
      <c r="U136" s="19">
        <v>0.0</v>
      </c>
      <c r="V136" s="19">
        <v>0.0</v>
      </c>
      <c r="W136" s="19">
        <v>0.0</v>
      </c>
      <c r="X136" s="19">
        <v>0.0</v>
      </c>
      <c r="Y136" s="13">
        <f t="shared" si="28"/>
        <v>0</v>
      </c>
    </row>
    <row r="137" ht="12.75" customHeight="1">
      <c r="A137" s="18"/>
      <c r="B137" s="56"/>
      <c r="C137" s="57"/>
      <c r="D137" s="61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3">
        <f t="shared" si="28"/>
        <v>0</v>
      </c>
    </row>
    <row r="138" ht="12.75" customHeight="1">
      <c r="A138" s="18"/>
      <c r="B138" s="56"/>
      <c r="C138" s="57"/>
      <c r="D138" s="61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3">
        <f t="shared" si="28"/>
        <v>0</v>
      </c>
    </row>
    <row r="139" ht="12.75" customHeight="1">
      <c r="A139" s="19" t="s">
        <v>15</v>
      </c>
      <c r="B139" s="47" t="s">
        <v>47</v>
      </c>
      <c r="C139" s="15"/>
      <c r="D139" s="16"/>
      <c r="E139" s="13">
        <f t="shared" ref="E139:Y139" si="29">SUM(E129:E138)</f>
        <v>0</v>
      </c>
      <c r="F139" s="13">
        <f t="shared" si="29"/>
        <v>1</v>
      </c>
      <c r="G139" s="13">
        <f t="shared" si="29"/>
        <v>3</v>
      </c>
      <c r="H139" s="13">
        <f t="shared" si="29"/>
        <v>0</v>
      </c>
      <c r="I139" s="13">
        <f t="shared" si="29"/>
        <v>2</v>
      </c>
      <c r="J139" s="13">
        <f t="shared" si="29"/>
        <v>0</v>
      </c>
      <c r="K139" s="13">
        <f t="shared" si="29"/>
        <v>1</v>
      </c>
      <c r="L139" s="13">
        <f t="shared" si="29"/>
        <v>1</v>
      </c>
      <c r="M139" s="13">
        <f t="shared" si="29"/>
        <v>1</v>
      </c>
      <c r="N139" s="13">
        <f t="shared" si="29"/>
        <v>0</v>
      </c>
      <c r="O139" s="13">
        <f t="shared" si="29"/>
        <v>2</v>
      </c>
      <c r="P139" s="13">
        <f t="shared" si="29"/>
        <v>2</v>
      </c>
      <c r="Q139" s="13">
        <f t="shared" si="29"/>
        <v>0</v>
      </c>
      <c r="R139" s="13">
        <f t="shared" si="29"/>
        <v>2</v>
      </c>
      <c r="S139" s="13">
        <f t="shared" si="29"/>
        <v>1</v>
      </c>
      <c r="T139" s="13">
        <f t="shared" si="29"/>
        <v>1</v>
      </c>
      <c r="U139" s="13">
        <f t="shared" si="29"/>
        <v>1</v>
      </c>
      <c r="V139" s="13">
        <f t="shared" si="29"/>
        <v>2</v>
      </c>
      <c r="W139" s="13">
        <f t="shared" si="29"/>
        <v>5</v>
      </c>
      <c r="X139" s="13">
        <f t="shared" si="29"/>
        <v>3</v>
      </c>
      <c r="Y139" s="13">
        <f t="shared" si="29"/>
        <v>28</v>
      </c>
    </row>
    <row r="140" ht="12.75" customHeight="1">
      <c r="A140" s="24"/>
      <c r="B140" s="15"/>
      <c r="C140" s="15"/>
      <c r="D140" s="15"/>
      <c r="E140" s="16"/>
      <c r="F140" s="84"/>
      <c r="G140" s="84"/>
      <c r="H140" s="84"/>
      <c r="I140" s="84"/>
      <c r="J140" s="84"/>
      <c r="K140" s="84"/>
      <c r="L140" s="84"/>
      <c r="M140" s="84"/>
      <c r="N140" s="84"/>
      <c r="O140" s="84"/>
      <c r="P140" s="84"/>
      <c r="Q140" s="84"/>
      <c r="R140" s="84"/>
      <c r="S140" s="84"/>
      <c r="T140" s="84"/>
      <c r="U140" s="84"/>
      <c r="V140" s="84"/>
      <c r="W140" s="84"/>
      <c r="X140" s="84"/>
      <c r="Y140" s="84"/>
    </row>
    <row r="141" ht="12.75" customHeight="1">
      <c r="A141" s="30" t="s">
        <v>37</v>
      </c>
      <c r="B141" s="47" t="s">
        <v>104</v>
      </c>
      <c r="C141" s="48" t="s">
        <v>105</v>
      </c>
      <c r="D141" s="16"/>
      <c r="E141" s="19">
        <v>0.0</v>
      </c>
      <c r="F141" s="19">
        <v>0.0</v>
      </c>
      <c r="G141" s="19">
        <v>0.0</v>
      </c>
      <c r="H141" s="19">
        <v>0.0</v>
      </c>
      <c r="I141" s="19">
        <v>0.0</v>
      </c>
      <c r="J141" s="19">
        <v>0.0</v>
      </c>
      <c r="K141" s="19">
        <v>0.0</v>
      </c>
      <c r="L141" s="19">
        <v>0.0</v>
      </c>
      <c r="M141" s="19">
        <v>0.0</v>
      </c>
      <c r="N141" s="19">
        <v>0.0</v>
      </c>
      <c r="O141" s="19">
        <v>0.0</v>
      </c>
      <c r="P141" s="19">
        <v>0.0</v>
      </c>
      <c r="Q141" s="19">
        <v>0.0</v>
      </c>
      <c r="R141" s="19">
        <v>0.0</v>
      </c>
      <c r="S141" s="19">
        <v>0.0</v>
      </c>
      <c r="T141" s="19">
        <v>0.0</v>
      </c>
      <c r="U141" s="19">
        <v>0.0</v>
      </c>
      <c r="V141" s="19">
        <v>0.0</v>
      </c>
      <c r="W141" s="19">
        <v>0.0</v>
      </c>
      <c r="X141" s="19">
        <v>0.0</v>
      </c>
      <c r="Y141" s="13">
        <f t="shared" ref="Y141:Y150" si="30">SUM(E141:X141)</f>
        <v>0</v>
      </c>
    </row>
    <row r="142" ht="12.75" customHeight="1">
      <c r="A142" s="30" t="s">
        <v>39</v>
      </c>
      <c r="B142" s="55">
        <v>1.0</v>
      </c>
      <c r="C142" s="50" t="s">
        <v>106</v>
      </c>
      <c r="D142" s="60"/>
      <c r="E142" s="19">
        <v>0.0</v>
      </c>
      <c r="F142" s="19">
        <v>0.0</v>
      </c>
      <c r="G142" s="19">
        <v>0.0</v>
      </c>
      <c r="H142" s="19">
        <v>0.0</v>
      </c>
      <c r="I142" s="19">
        <v>0.0</v>
      </c>
      <c r="J142" s="19">
        <v>0.0</v>
      </c>
      <c r="K142" s="19">
        <v>0.0</v>
      </c>
      <c r="L142" s="19">
        <v>0.0</v>
      </c>
      <c r="M142" s="19">
        <v>0.0</v>
      </c>
      <c r="N142" s="19">
        <v>0.0</v>
      </c>
      <c r="O142" s="19">
        <v>0.0</v>
      </c>
      <c r="P142" s="19">
        <v>0.0</v>
      </c>
      <c r="Q142" s="19">
        <v>0.0</v>
      </c>
      <c r="R142" s="19">
        <v>0.0</v>
      </c>
      <c r="S142" s="19">
        <v>0.0</v>
      </c>
      <c r="T142" s="19">
        <v>0.0</v>
      </c>
      <c r="U142" s="19">
        <v>0.0</v>
      </c>
      <c r="V142" s="19">
        <v>0.0</v>
      </c>
      <c r="W142" s="19">
        <v>0.0</v>
      </c>
      <c r="X142" s="19">
        <v>0.0</v>
      </c>
      <c r="Y142" s="13">
        <f t="shared" si="30"/>
        <v>0</v>
      </c>
    </row>
    <row r="143" ht="12.75" customHeight="1">
      <c r="A143" s="18"/>
      <c r="B143" s="55">
        <v>2.0</v>
      </c>
      <c r="C143" s="50" t="s">
        <v>107</v>
      </c>
      <c r="D143" s="60"/>
      <c r="E143" s="19">
        <v>0.0</v>
      </c>
      <c r="F143" s="19">
        <v>0.0</v>
      </c>
      <c r="G143" s="19">
        <v>0.0</v>
      </c>
      <c r="H143" s="19">
        <v>0.0</v>
      </c>
      <c r="I143" s="19">
        <v>0.0</v>
      </c>
      <c r="J143" s="19">
        <v>0.0</v>
      </c>
      <c r="K143" s="19">
        <v>0.0</v>
      </c>
      <c r="L143" s="19">
        <v>0.0</v>
      </c>
      <c r="M143" s="19">
        <v>0.0</v>
      </c>
      <c r="N143" s="19">
        <v>0.0</v>
      </c>
      <c r="O143" s="19">
        <v>0.0</v>
      </c>
      <c r="P143" s="19">
        <v>0.0</v>
      </c>
      <c r="Q143" s="19">
        <v>0.0</v>
      </c>
      <c r="R143" s="19">
        <v>0.0</v>
      </c>
      <c r="S143" s="19">
        <v>0.0</v>
      </c>
      <c r="T143" s="19">
        <v>0.0</v>
      </c>
      <c r="U143" s="19">
        <v>0.0</v>
      </c>
      <c r="V143" s="19">
        <v>0.0</v>
      </c>
      <c r="W143" s="19">
        <v>0.0</v>
      </c>
      <c r="X143" s="19">
        <v>0.0</v>
      </c>
      <c r="Y143" s="13">
        <f t="shared" si="30"/>
        <v>0</v>
      </c>
    </row>
    <row r="144" ht="12.75" customHeight="1">
      <c r="A144" s="18"/>
      <c r="B144" s="55">
        <v>3.0</v>
      </c>
      <c r="C144" s="50" t="s">
        <v>108</v>
      </c>
      <c r="D144" s="60"/>
      <c r="E144" s="19">
        <v>0.0</v>
      </c>
      <c r="F144" s="19">
        <v>0.0</v>
      </c>
      <c r="G144" s="19">
        <v>0.0</v>
      </c>
      <c r="H144" s="19">
        <v>0.0</v>
      </c>
      <c r="I144" s="19">
        <v>0.0</v>
      </c>
      <c r="J144" s="19">
        <v>0.0</v>
      </c>
      <c r="K144" s="19">
        <v>0.0</v>
      </c>
      <c r="L144" s="19">
        <v>0.0</v>
      </c>
      <c r="M144" s="19">
        <v>0.0</v>
      </c>
      <c r="N144" s="19">
        <v>0.0</v>
      </c>
      <c r="O144" s="19">
        <v>0.0</v>
      </c>
      <c r="P144" s="19">
        <v>0.0</v>
      </c>
      <c r="Q144" s="19">
        <v>0.0</v>
      </c>
      <c r="R144" s="19">
        <v>0.0</v>
      </c>
      <c r="S144" s="19">
        <v>0.0</v>
      </c>
      <c r="T144" s="19">
        <v>0.0</v>
      </c>
      <c r="U144" s="19">
        <v>0.0</v>
      </c>
      <c r="V144" s="19">
        <v>0.0</v>
      </c>
      <c r="W144" s="19">
        <v>0.0</v>
      </c>
      <c r="X144" s="19">
        <v>0.0</v>
      </c>
      <c r="Y144" s="13">
        <f t="shared" si="30"/>
        <v>0</v>
      </c>
    </row>
    <row r="145" ht="12.75" customHeight="1">
      <c r="A145" s="18"/>
      <c r="B145" s="55">
        <v>4.0</v>
      </c>
      <c r="C145" s="50" t="s">
        <v>109</v>
      </c>
      <c r="D145" s="60"/>
      <c r="E145" s="19">
        <v>0.0</v>
      </c>
      <c r="F145" s="19">
        <v>0.0</v>
      </c>
      <c r="G145" s="19">
        <v>0.0</v>
      </c>
      <c r="H145" s="19">
        <v>0.0</v>
      </c>
      <c r="I145" s="19">
        <v>0.0</v>
      </c>
      <c r="J145" s="19">
        <v>0.0</v>
      </c>
      <c r="K145" s="19">
        <v>0.0</v>
      </c>
      <c r="L145" s="19">
        <v>0.0</v>
      </c>
      <c r="M145" s="19">
        <v>0.0</v>
      </c>
      <c r="N145" s="19">
        <v>0.0</v>
      </c>
      <c r="O145" s="19">
        <v>0.0</v>
      </c>
      <c r="P145" s="19">
        <v>0.0</v>
      </c>
      <c r="Q145" s="19">
        <v>0.0</v>
      </c>
      <c r="R145" s="19">
        <v>0.0</v>
      </c>
      <c r="S145" s="19">
        <v>0.0</v>
      </c>
      <c r="T145" s="19">
        <v>0.0</v>
      </c>
      <c r="U145" s="19">
        <v>0.0</v>
      </c>
      <c r="V145" s="19">
        <v>0.0</v>
      </c>
      <c r="W145" s="19">
        <v>0.0</v>
      </c>
      <c r="X145" s="19">
        <v>0.0</v>
      </c>
      <c r="Y145" s="13">
        <f t="shared" si="30"/>
        <v>0</v>
      </c>
    </row>
    <row r="146" ht="12.75" customHeight="1">
      <c r="A146" s="18"/>
      <c r="B146" s="55">
        <v>5.0</v>
      </c>
      <c r="C146" s="50" t="s">
        <v>110</v>
      </c>
      <c r="D146" s="60"/>
      <c r="E146" s="19">
        <v>0.0</v>
      </c>
      <c r="F146" s="19">
        <v>0.0</v>
      </c>
      <c r="G146" s="19">
        <v>0.0</v>
      </c>
      <c r="H146" s="19">
        <v>0.0</v>
      </c>
      <c r="I146" s="19">
        <v>0.0</v>
      </c>
      <c r="J146" s="19">
        <v>0.0</v>
      </c>
      <c r="K146" s="19">
        <v>0.0</v>
      </c>
      <c r="L146" s="19">
        <v>0.0</v>
      </c>
      <c r="M146" s="19">
        <v>0.0</v>
      </c>
      <c r="N146" s="19">
        <v>0.0</v>
      </c>
      <c r="O146" s="19">
        <v>0.0</v>
      </c>
      <c r="P146" s="19">
        <v>0.0</v>
      </c>
      <c r="Q146" s="19">
        <v>0.0</v>
      </c>
      <c r="R146" s="19">
        <v>0.0</v>
      </c>
      <c r="S146" s="19">
        <v>0.0</v>
      </c>
      <c r="T146" s="19">
        <v>0.0</v>
      </c>
      <c r="U146" s="19">
        <v>0.0</v>
      </c>
      <c r="V146" s="19">
        <v>0.0</v>
      </c>
      <c r="W146" s="19">
        <v>0.0</v>
      </c>
      <c r="X146" s="19">
        <v>0.0</v>
      </c>
      <c r="Y146" s="13">
        <f t="shared" si="30"/>
        <v>0</v>
      </c>
    </row>
    <row r="147" ht="12.75" customHeight="1">
      <c r="A147" s="18"/>
      <c r="B147" s="55">
        <v>6.0</v>
      </c>
      <c r="C147" s="50" t="s">
        <v>111</v>
      </c>
      <c r="D147" s="60"/>
      <c r="E147" s="19">
        <v>0.0</v>
      </c>
      <c r="F147" s="19">
        <v>0.0</v>
      </c>
      <c r="G147" s="19">
        <v>0.0</v>
      </c>
      <c r="H147" s="19">
        <v>0.0</v>
      </c>
      <c r="I147" s="19">
        <v>0.0</v>
      </c>
      <c r="J147" s="19">
        <v>0.0</v>
      </c>
      <c r="K147" s="19">
        <v>0.0</v>
      </c>
      <c r="L147" s="19">
        <v>0.0</v>
      </c>
      <c r="M147" s="19">
        <v>0.0</v>
      </c>
      <c r="N147" s="19">
        <v>0.0</v>
      </c>
      <c r="O147" s="19">
        <v>0.0</v>
      </c>
      <c r="P147" s="19">
        <v>0.0</v>
      </c>
      <c r="Q147" s="19">
        <v>0.0</v>
      </c>
      <c r="R147" s="19">
        <v>0.0</v>
      </c>
      <c r="S147" s="19">
        <v>0.0</v>
      </c>
      <c r="T147" s="19">
        <v>0.0</v>
      </c>
      <c r="U147" s="19">
        <v>0.0</v>
      </c>
      <c r="V147" s="19">
        <v>0.0</v>
      </c>
      <c r="W147" s="19">
        <v>0.0</v>
      </c>
      <c r="X147" s="19">
        <v>0.0</v>
      </c>
      <c r="Y147" s="13">
        <f t="shared" si="30"/>
        <v>0</v>
      </c>
    </row>
    <row r="148" ht="12.75" customHeight="1">
      <c r="A148" s="18"/>
      <c r="B148" s="55">
        <v>7.0</v>
      </c>
      <c r="C148" s="50" t="s">
        <v>112</v>
      </c>
      <c r="D148" s="60"/>
      <c r="E148" s="19">
        <v>0.0</v>
      </c>
      <c r="F148" s="19">
        <v>0.0</v>
      </c>
      <c r="G148" s="19">
        <v>0.0</v>
      </c>
      <c r="H148" s="19">
        <v>0.0</v>
      </c>
      <c r="I148" s="19">
        <v>0.0</v>
      </c>
      <c r="J148" s="19">
        <v>0.0</v>
      </c>
      <c r="K148" s="19">
        <v>0.0</v>
      </c>
      <c r="L148" s="19">
        <v>0.0</v>
      </c>
      <c r="M148" s="19">
        <v>0.0</v>
      </c>
      <c r="N148" s="19">
        <v>0.0</v>
      </c>
      <c r="O148" s="19">
        <v>0.0</v>
      </c>
      <c r="P148" s="19">
        <v>0.0</v>
      </c>
      <c r="Q148" s="19">
        <v>0.0</v>
      </c>
      <c r="R148" s="19">
        <v>0.0</v>
      </c>
      <c r="S148" s="19">
        <v>0.0</v>
      </c>
      <c r="T148" s="19">
        <v>0.0</v>
      </c>
      <c r="U148" s="19">
        <v>0.0</v>
      </c>
      <c r="V148" s="19">
        <v>0.0</v>
      </c>
      <c r="W148" s="19">
        <v>0.0</v>
      </c>
      <c r="X148" s="19">
        <v>0.0</v>
      </c>
      <c r="Y148" s="13">
        <f t="shared" si="30"/>
        <v>0</v>
      </c>
    </row>
    <row r="149" ht="12.75" customHeight="1">
      <c r="A149" s="18"/>
      <c r="B149" s="56"/>
      <c r="C149" s="57"/>
      <c r="D149" s="62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3">
        <f t="shared" si="30"/>
        <v>0</v>
      </c>
    </row>
    <row r="150" ht="12.75" customHeight="1">
      <c r="A150" s="18"/>
      <c r="B150" s="56"/>
      <c r="C150" s="57"/>
      <c r="D150" s="62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3">
        <f t="shared" si="30"/>
        <v>0</v>
      </c>
    </row>
    <row r="151" ht="12.75" customHeight="1">
      <c r="A151" s="19" t="s">
        <v>15</v>
      </c>
      <c r="B151" s="47" t="s">
        <v>47</v>
      </c>
      <c r="C151" s="15"/>
      <c r="D151" s="16"/>
      <c r="E151" s="13">
        <f t="shared" ref="E151:Y151" si="31">SUM(E141:E150)</f>
        <v>0</v>
      </c>
      <c r="F151" s="13">
        <f t="shared" si="31"/>
        <v>0</v>
      </c>
      <c r="G151" s="13">
        <f t="shared" si="31"/>
        <v>0</v>
      </c>
      <c r="H151" s="13">
        <f t="shared" si="31"/>
        <v>0</v>
      </c>
      <c r="I151" s="13">
        <f t="shared" si="31"/>
        <v>0</v>
      </c>
      <c r="J151" s="13">
        <f t="shared" si="31"/>
        <v>0</v>
      </c>
      <c r="K151" s="13">
        <f t="shared" si="31"/>
        <v>0</v>
      </c>
      <c r="L151" s="13">
        <f t="shared" si="31"/>
        <v>0</v>
      </c>
      <c r="M151" s="13">
        <f t="shared" si="31"/>
        <v>0</v>
      </c>
      <c r="N151" s="13">
        <f t="shared" si="31"/>
        <v>0</v>
      </c>
      <c r="O151" s="13">
        <f t="shared" si="31"/>
        <v>0</v>
      </c>
      <c r="P151" s="13">
        <f t="shared" si="31"/>
        <v>0</v>
      </c>
      <c r="Q151" s="13">
        <f t="shared" si="31"/>
        <v>0</v>
      </c>
      <c r="R151" s="13">
        <f t="shared" si="31"/>
        <v>0</v>
      </c>
      <c r="S151" s="13">
        <f t="shared" si="31"/>
        <v>0</v>
      </c>
      <c r="T151" s="13">
        <f t="shared" si="31"/>
        <v>0</v>
      </c>
      <c r="U151" s="13">
        <f t="shared" si="31"/>
        <v>0</v>
      </c>
      <c r="V151" s="13">
        <f t="shared" si="31"/>
        <v>0</v>
      </c>
      <c r="W151" s="13">
        <f t="shared" si="31"/>
        <v>0</v>
      </c>
      <c r="X151" s="13">
        <f t="shared" si="31"/>
        <v>0</v>
      </c>
      <c r="Y151" s="13">
        <f t="shared" si="31"/>
        <v>0</v>
      </c>
    </row>
    <row r="152" ht="12.75" customHeight="1">
      <c r="A152" s="24"/>
      <c r="B152" s="15"/>
      <c r="C152" s="15"/>
      <c r="D152" s="15"/>
      <c r="E152" s="16"/>
      <c r="F152" s="84"/>
      <c r="G152" s="84"/>
      <c r="H152" s="84"/>
      <c r="I152" s="84"/>
      <c r="J152" s="84"/>
      <c r="K152" s="84"/>
      <c r="L152" s="84"/>
      <c r="M152" s="84"/>
      <c r="N152" s="84"/>
      <c r="O152" s="84"/>
      <c r="P152" s="84"/>
      <c r="Q152" s="84"/>
      <c r="R152" s="84"/>
      <c r="S152" s="84"/>
      <c r="T152" s="84"/>
      <c r="U152" s="84"/>
      <c r="V152" s="84"/>
      <c r="W152" s="84"/>
      <c r="X152" s="84"/>
      <c r="Y152" s="13"/>
    </row>
    <row r="153" ht="12.75" customHeight="1">
      <c r="A153" s="30" t="s">
        <v>37</v>
      </c>
      <c r="B153" s="17" t="s">
        <v>113</v>
      </c>
      <c r="C153" s="65" t="s">
        <v>114</v>
      </c>
      <c r="D153" s="23"/>
      <c r="E153" s="19">
        <v>1.0</v>
      </c>
      <c r="F153" s="19">
        <v>0.0</v>
      </c>
      <c r="G153" s="19">
        <v>0.0</v>
      </c>
      <c r="H153" s="19">
        <v>0.0</v>
      </c>
      <c r="I153" s="19">
        <v>0.0</v>
      </c>
      <c r="J153" s="19">
        <v>0.0</v>
      </c>
      <c r="K153" s="19">
        <v>0.0</v>
      </c>
      <c r="L153" s="19">
        <v>0.0</v>
      </c>
      <c r="M153" s="19">
        <v>4.0</v>
      </c>
      <c r="N153" s="19">
        <v>1.0</v>
      </c>
      <c r="O153" s="19">
        <v>0.0</v>
      </c>
      <c r="P153" s="19">
        <v>0.0</v>
      </c>
      <c r="Q153" s="19">
        <v>0.0</v>
      </c>
      <c r="R153" s="19">
        <v>0.0</v>
      </c>
      <c r="S153" s="19">
        <v>2.0</v>
      </c>
      <c r="T153" s="19">
        <v>1.0</v>
      </c>
      <c r="U153" s="19">
        <v>1.0</v>
      </c>
      <c r="V153" s="19">
        <v>2.0</v>
      </c>
      <c r="W153" s="19">
        <v>1.0</v>
      </c>
      <c r="X153" s="19">
        <v>0.0</v>
      </c>
      <c r="Y153" s="13">
        <f t="shared" ref="Y153:Y163" si="32">SUM(E153:X153)</f>
        <v>13</v>
      </c>
    </row>
    <row r="154" ht="12.75" customHeight="1">
      <c r="A154" s="66" t="s">
        <v>39</v>
      </c>
      <c r="B154" s="55">
        <v>1.0</v>
      </c>
      <c r="C154" s="67" t="s">
        <v>115</v>
      </c>
      <c r="D154" s="60"/>
      <c r="E154" s="86">
        <v>1.0</v>
      </c>
      <c r="F154" s="19">
        <v>1.0</v>
      </c>
      <c r="G154" s="19">
        <v>0.0</v>
      </c>
      <c r="H154" s="19">
        <v>1.0</v>
      </c>
      <c r="I154" s="19">
        <v>0.0</v>
      </c>
      <c r="J154" s="19">
        <v>0.0</v>
      </c>
      <c r="K154" s="19">
        <v>0.0</v>
      </c>
      <c r="L154" s="19">
        <v>2.0</v>
      </c>
      <c r="M154" s="19">
        <v>0.0</v>
      </c>
      <c r="N154" s="19">
        <v>0.0</v>
      </c>
      <c r="O154" s="19">
        <v>0.0</v>
      </c>
      <c r="P154" s="19">
        <v>0.0</v>
      </c>
      <c r="Q154" s="19">
        <v>2.0</v>
      </c>
      <c r="R154" s="19">
        <v>0.0</v>
      </c>
      <c r="S154" s="19">
        <v>1.0</v>
      </c>
      <c r="T154" s="19">
        <v>0.0</v>
      </c>
      <c r="U154" s="19">
        <v>0.0</v>
      </c>
      <c r="V154" s="19">
        <v>0.0</v>
      </c>
      <c r="W154" s="19">
        <v>1.0</v>
      </c>
      <c r="X154" s="19">
        <v>1.0</v>
      </c>
      <c r="Y154" s="13">
        <f t="shared" si="32"/>
        <v>10</v>
      </c>
    </row>
    <row r="155" ht="12.75" customHeight="1">
      <c r="A155" s="18"/>
      <c r="B155" s="55">
        <v>2.0</v>
      </c>
      <c r="C155" s="67" t="s">
        <v>116</v>
      </c>
      <c r="D155" s="60"/>
      <c r="E155" s="86">
        <v>1.0</v>
      </c>
      <c r="F155" s="19">
        <v>0.0</v>
      </c>
      <c r="G155" s="19">
        <v>0.0</v>
      </c>
      <c r="H155" s="19">
        <v>0.0</v>
      </c>
      <c r="I155" s="19">
        <v>0.0</v>
      </c>
      <c r="J155" s="19">
        <v>0.0</v>
      </c>
      <c r="K155" s="19">
        <v>0.0</v>
      </c>
      <c r="L155" s="19">
        <v>1.0</v>
      </c>
      <c r="M155" s="19">
        <v>0.0</v>
      </c>
      <c r="N155" s="19">
        <v>0.0</v>
      </c>
      <c r="O155" s="19">
        <v>0.0</v>
      </c>
      <c r="P155" s="19">
        <v>0.0</v>
      </c>
      <c r="Q155" s="19">
        <v>3.0</v>
      </c>
      <c r="R155" s="19">
        <v>0.0</v>
      </c>
      <c r="S155" s="19">
        <v>0.0</v>
      </c>
      <c r="T155" s="19">
        <v>0.0</v>
      </c>
      <c r="U155" s="19">
        <v>0.0</v>
      </c>
      <c r="V155" s="19">
        <v>0.0</v>
      </c>
      <c r="W155" s="19">
        <v>0.0</v>
      </c>
      <c r="X155" s="19">
        <v>0.0</v>
      </c>
      <c r="Y155" s="13">
        <f t="shared" si="32"/>
        <v>5</v>
      </c>
    </row>
    <row r="156" ht="12.75" customHeight="1">
      <c r="A156" s="18"/>
      <c r="B156" s="55">
        <v>3.0</v>
      </c>
      <c r="C156" s="67" t="s">
        <v>117</v>
      </c>
      <c r="D156" s="60"/>
      <c r="E156" s="86">
        <v>0.0</v>
      </c>
      <c r="F156" s="19">
        <v>0.0</v>
      </c>
      <c r="G156" s="19">
        <v>0.0</v>
      </c>
      <c r="H156" s="19">
        <v>0.0</v>
      </c>
      <c r="I156" s="19">
        <v>0.0</v>
      </c>
      <c r="J156" s="19">
        <v>0.0</v>
      </c>
      <c r="K156" s="19">
        <v>0.0</v>
      </c>
      <c r="L156" s="19">
        <v>0.0</v>
      </c>
      <c r="M156" s="19">
        <v>0.0</v>
      </c>
      <c r="N156" s="19">
        <v>0.0</v>
      </c>
      <c r="O156" s="19">
        <v>0.0</v>
      </c>
      <c r="P156" s="19">
        <v>2.0</v>
      </c>
      <c r="Q156" s="19">
        <v>1.0</v>
      </c>
      <c r="R156" s="19">
        <v>0.0</v>
      </c>
      <c r="S156" s="19">
        <v>0.0</v>
      </c>
      <c r="T156" s="19">
        <v>0.0</v>
      </c>
      <c r="U156" s="19">
        <v>0.0</v>
      </c>
      <c r="V156" s="19">
        <v>0.0</v>
      </c>
      <c r="W156" s="19">
        <v>0.0</v>
      </c>
      <c r="X156" s="19">
        <v>0.0</v>
      </c>
      <c r="Y156" s="13">
        <f t="shared" si="32"/>
        <v>3</v>
      </c>
    </row>
    <row r="157" ht="12.75" customHeight="1">
      <c r="A157" s="18"/>
      <c r="B157" s="55">
        <v>4.0</v>
      </c>
      <c r="C157" s="67" t="s">
        <v>118</v>
      </c>
      <c r="D157" s="60"/>
      <c r="E157" s="86">
        <v>2.0</v>
      </c>
      <c r="F157" s="19">
        <v>0.0</v>
      </c>
      <c r="G157" s="19">
        <v>0.0</v>
      </c>
      <c r="H157" s="19">
        <v>0.0</v>
      </c>
      <c r="I157" s="19">
        <v>0.0</v>
      </c>
      <c r="J157" s="19">
        <v>5.0</v>
      </c>
      <c r="K157" s="19">
        <v>0.0</v>
      </c>
      <c r="L157" s="19">
        <v>0.0</v>
      </c>
      <c r="M157" s="19">
        <v>0.0</v>
      </c>
      <c r="N157" s="19">
        <v>2.0</v>
      </c>
      <c r="O157" s="19">
        <v>0.0</v>
      </c>
      <c r="P157" s="19">
        <v>3.0</v>
      </c>
      <c r="Q157" s="19">
        <v>0.0</v>
      </c>
      <c r="R157" s="19">
        <v>0.0</v>
      </c>
      <c r="S157" s="19">
        <v>0.0</v>
      </c>
      <c r="T157" s="19">
        <v>0.0</v>
      </c>
      <c r="U157" s="19">
        <v>0.0</v>
      </c>
      <c r="V157" s="19">
        <v>0.0</v>
      </c>
      <c r="W157" s="19">
        <v>0.0</v>
      </c>
      <c r="X157" s="19">
        <v>0.0</v>
      </c>
      <c r="Y157" s="13">
        <f t="shared" si="32"/>
        <v>12</v>
      </c>
    </row>
    <row r="158" ht="12.75" customHeight="1">
      <c r="A158" s="18"/>
      <c r="B158" s="56"/>
      <c r="C158" s="57"/>
      <c r="D158" s="62"/>
      <c r="E158" s="86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3">
        <f t="shared" si="32"/>
        <v>0</v>
      </c>
    </row>
    <row r="159" ht="12.75" customHeight="1">
      <c r="A159" s="18"/>
      <c r="B159" s="56"/>
      <c r="C159" s="57"/>
      <c r="D159" s="62"/>
      <c r="E159" s="86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3">
        <f t="shared" si="32"/>
        <v>0</v>
      </c>
    </row>
    <row r="160" ht="12.75" customHeight="1">
      <c r="A160" s="18"/>
      <c r="B160" s="56"/>
      <c r="C160" s="57"/>
      <c r="D160" s="62"/>
      <c r="E160" s="86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3">
        <f t="shared" si="32"/>
        <v>0</v>
      </c>
    </row>
    <row r="161" ht="12.75" customHeight="1">
      <c r="A161" s="18"/>
      <c r="B161" s="56"/>
      <c r="C161" s="68"/>
      <c r="D161" s="62"/>
      <c r="E161" s="86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3">
        <f t="shared" si="32"/>
        <v>0</v>
      </c>
    </row>
    <row r="162" ht="12.75" customHeight="1">
      <c r="A162" s="18"/>
      <c r="B162" s="56"/>
      <c r="C162" s="68"/>
      <c r="D162" s="62"/>
      <c r="E162" s="86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3">
        <f t="shared" si="32"/>
        <v>0</v>
      </c>
    </row>
    <row r="163" ht="12.75" customHeight="1">
      <c r="A163" s="19" t="s">
        <v>15</v>
      </c>
      <c r="B163" s="69" t="s">
        <v>47</v>
      </c>
      <c r="C163" s="44"/>
      <c r="D163" s="28"/>
      <c r="E163" s="13">
        <f t="shared" ref="E163:X163" si="33">SUM(E153:E162)</f>
        <v>5</v>
      </c>
      <c r="F163" s="13">
        <f t="shared" si="33"/>
        <v>1</v>
      </c>
      <c r="G163" s="13">
        <f t="shared" si="33"/>
        <v>0</v>
      </c>
      <c r="H163" s="13">
        <f t="shared" si="33"/>
        <v>1</v>
      </c>
      <c r="I163" s="13">
        <f t="shared" si="33"/>
        <v>0</v>
      </c>
      <c r="J163" s="13">
        <f t="shared" si="33"/>
        <v>5</v>
      </c>
      <c r="K163" s="13">
        <f t="shared" si="33"/>
        <v>0</v>
      </c>
      <c r="L163" s="13">
        <f t="shared" si="33"/>
        <v>3</v>
      </c>
      <c r="M163" s="13">
        <f t="shared" si="33"/>
        <v>4</v>
      </c>
      <c r="N163" s="13">
        <f t="shared" si="33"/>
        <v>3</v>
      </c>
      <c r="O163" s="13">
        <f t="shared" si="33"/>
        <v>0</v>
      </c>
      <c r="P163" s="13">
        <f t="shared" si="33"/>
        <v>5</v>
      </c>
      <c r="Q163" s="13">
        <f t="shared" si="33"/>
        <v>6</v>
      </c>
      <c r="R163" s="13">
        <f t="shared" si="33"/>
        <v>0</v>
      </c>
      <c r="S163" s="13">
        <f t="shared" si="33"/>
        <v>3</v>
      </c>
      <c r="T163" s="13">
        <f t="shared" si="33"/>
        <v>1</v>
      </c>
      <c r="U163" s="13">
        <f t="shared" si="33"/>
        <v>1</v>
      </c>
      <c r="V163" s="13">
        <f t="shared" si="33"/>
        <v>2</v>
      </c>
      <c r="W163" s="13">
        <f t="shared" si="33"/>
        <v>2</v>
      </c>
      <c r="X163" s="13">
        <f t="shared" si="33"/>
        <v>1</v>
      </c>
      <c r="Y163" s="13">
        <f t="shared" si="32"/>
        <v>43</v>
      </c>
    </row>
    <row r="164" ht="12.75" customHeight="1">
      <c r="A164" s="24"/>
      <c r="B164" s="15"/>
      <c r="C164" s="15"/>
      <c r="D164" s="15"/>
      <c r="E164" s="16"/>
      <c r="F164" s="84"/>
      <c r="G164" s="84"/>
      <c r="H164" s="84"/>
      <c r="I164" s="84"/>
      <c r="J164" s="84"/>
      <c r="K164" s="84"/>
      <c r="L164" s="84"/>
      <c r="M164" s="84"/>
      <c r="N164" s="84"/>
      <c r="O164" s="84"/>
      <c r="P164" s="84"/>
      <c r="Q164" s="84"/>
      <c r="R164" s="84"/>
      <c r="S164" s="84"/>
      <c r="T164" s="84"/>
      <c r="U164" s="84"/>
      <c r="V164" s="84"/>
      <c r="W164" s="84"/>
      <c r="X164" s="84"/>
      <c r="Y164" s="84"/>
    </row>
    <row r="165" ht="12.75" customHeight="1">
      <c r="A165" s="30" t="s">
        <v>37</v>
      </c>
      <c r="B165" s="47" t="s">
        <v>119</v>
      </c>
      <c r="C165" s="48" t="s">
        <v>120</v>
      </c>
      <c r="D165" s="16"/>
      <c r="E165" s="19">
        <v>1.0</v>
      </c>
      <c r="F165" s="19">
        <v>0.0</v>
      </c>
      <c r="G165" s="19">
        <v>0.0</v>
      </c>
      <c r="H165" s="19">
        <v>0.0</v>
      </c>
      <c r="I165" s="19">
        <v>0.0</v>
      </c>
      <c r="J165" s="19">
        <v>0.0</v>
      </c>
      <c r="K165" s="19">
        <v>0.0</v>
      </c>
      <c r="L165" s="19">
        <v>0.0</v>
      </c>
      <c r="M165" s="19">
        <v>0.0</v>
      </c>
      <c r="N165" s="19">
        <v>0.0</v>
      </c>
      <c r="O165" s="19">
        <v>1.0</v>
      </c>
      <c r="P165" s="19">
        <v>1.0</v>
      </c>
      <c r="Q165" s="19">
        <v>0.0</v>
      </c>
      <c r="R165" s="19">
        <v>0.0</v>
      </c>
      <c r="S165" s="19">
        <v>0.0</v>
      </c>
      <c r="T165" s="19">
        <v>0.0</v>
      </c>
      <c r="U165" s="19">
        <v>0.0</v>
      </c>
      <c r="V165" s="19">
        <v>0.0</v>
      </c>
      <c r="W165" s="19">
        <v>0.0</v>
      </c>
      <c r="X165" s="19">
        <v>0.0</v>
      </c>
      <c r="Y165" s="13">
        <f t="shared" ref="Y165:Y174" si="34">SUM(E165:X165)</f>
        <v>3</v>
      </c>
    </row>
    <row r="166" ht="12.75" customHeight="1">
      <c r="A166" s="30" t="s">
        <v>39</v>
      </c>
      <c r="B166" s="55">
        <v>1.0</v>
      </c>
      <c r="C166" s="50" t="s">
        <v>121</v>
      </c>
      <c r="D166" s="60"/>
      <c r="E166" s="19">
        <v>0.0</v>
      </c>
      <c r="F166" s="19">
        <v>0.0</v>
      </c>
      <c r="G166" s="19">
        <v>1.0</v>
      </c>
      <c r="H166" s="19">
        <v>0.0</v>
      </c>
      <c r="I166" s="19">
        <v>0.0</v>
      </c>
      <c r="J166" s="19">
        <v>0.0</v>
      </c>
      <c r="K166" s="19">
        <v>0.0</v>
      </c>
      <c r="L166" s="19">
        <v>0.0</v>
      </c>
      <c r="M166" s="19">
        <v>1.0</v>
      </c>
      <c r="N166" s="19">
        <v>0.0</v>
      </c>
      <c r="O166" s="19">
        <v>0.0</v>
      </c>
      <c r="P166" s="19">
        <v>0.0</v>
      </c>
      <c r="Q166" s="19">
        <v>0.0</v>
      </c>
      <c r="R166" s="19">
        <v>0.0</v>
      </c>
      <c r="S166" s="19">
        <v>0.0</v>
      </c>
      <c r="T166" s="19">
        <v>0.0</v>
      </c>
      <c r="U166" s="19">
        <v>0.0</v>
      </c>
      <c r="V166" s="19">
        <v>2.0</v>
      </c>
      <c r="W166" s="19">
        <v>0.0</v>
      </c>
      <c r="X166" s="19">
        <v>0.0</v>
      </c>
      <c r="Y166" s="13">
        <f t="shared" si="34"/>
        <v>4</v>
      </c>
    </row>
    <row r="167" ht="12.75" customHeight="1">
      <c r="A167" s="18"/>
      <c r="B167" s="55">
        <v>2.0</v>
      </c>
      <c r="C167" s="50" t="s">
        <v>122</v>
      </c>
      <c r="D167" s="60"/>
      <c r="E167" s="19">
        <v>0.0</v>
      </c>
      <c r="F167" s="19">
        <v>0.0</v>
      </c>
      <c r="G167" s="19">
        <v>0.0</v>
      </c>
      <c r="H167" s="19">
        <v>0.0</v>
      </c>
      <c r="I167" s="19">
        <v>0.0</v>
      </c>
      <c r="J167" s="19">
        <v>0.0</v>
      </c>
      <c r="K167" s="19">
        <v>0.0</v>
      </c>
      <c r="L167" s="19">
        <v>0.0</v>
      </c>
      <c r="M167" s="19">
        <v>0.0</v>
      </c>
      <c r="N167" s="19">
        <v>0.0</v>
      </c>
      <c r="O167" s="19">
        <v>0.0</v>
      </c>
      <c r="P167" s="19">
        <v>0.0</v>
      </c>
      <c r="Q167" s="19">
        <v>0.0</v>
      </c>
      <c r="R167" s="19">
        <v>0.0</v>
      </c>
      <c r="S167" s="19">
        <v>0.0</v>
      </c>
      <c r="T167" s="19">
        <v>0.0</v>
      </c>
      <c r="U167" s="19">
        <v>1.0</v>
      </c>
      <c r="V167" s="19">
        <v>0.0</v>
      </c>
      <c r="W167" s="19">
        <v>1.0</v>
      </c>
      <c r="X167" s="19">
        <v>0.0</v>
      </c>
      <c r="Y167" s="13">
        <f t="shared" si="34"/>
        <v>2</v>
      </c>
    </row>
    <row r="168" ht="12.75" customHeight="1">
      <c r="A168" s="18"/>
      <c r="B168" s="55">
        <v>3.0</v>
      </c>
      <c r="C168" s="50" t="s">
        <v>123</v>
      </c>
      <c r="D168" s="60"/>
      <c r="E168" s="19">
        <v>0.0</v>
      </c>
      <c r="F168" s="19">
        <v>0.0</v>
      </c>
      <c r="G168" s="19">
        <v>0.0</v>
      </c>
      <c r="H168" s="19">
        <v>0.0</v>
      </c>
      <c r="I168" s="19">
        <v>0.0</v>
      </c>
      <c r="J168" s="19">
        <v>0.0</v>
      </c>
      <c r="K168" s="19">
        <v>0.0</v>
      </c>
      <c r="L168" s="19">
        <v>1.0</v>
      </c>
      <c r="M168" s="19">
        <v>0.0</v>
      </c>
      <c r="N168" s="19">
        <v>0.0</v>
      </c>
      <c r="O168" s="19">
        <v>0.0</v>
      </c>
      <c r="P168" s="19">
        <v>0.0</v>
      </c>
      <c r="Q168" s="19">
        <v>0.0</v>
      </c>
      <c r="R168" s="19">
        <v>0.0</v>
      </c>
      <c r="S168" s="19">
        <v>0.0</v>
      </c>
      <c r="T168" s="19">
        <v>0.0</v>
      </c>
      <c r="U168" s="19">
        <v>0.0</v>
      </c>
      <c r="V168" s="19">
        <v>0.0</v>
      </c>
      <c r="W168" s="19">
        <v>0.0</v>
      </c>
      <c r="X168" s="19">
        <v>0.0</v>
      </c>
      <c r="Y168" s="13">
        <f t="shared" si="34"/>
        <v>1</v>
      </c>
    </row>
    <row r="169" ht="12.75" customHeight="1">
      <c r="A169" s="18"/>
      <c r="B169" s="55">
        <v>4.0</v>
      </c>
      <c r="C169" s="50" t="s">
        <v>124</v>
      </c>
      <c r="D169" s="60"/>
      <c r="E169" s="19">
        <v>0.0</v>
      </c>
      <c r="F169" s="19">
        <v>0.0</v>
      </c>
      <c r="G169" s="19">
        <v>0.0</v>
      </c>
      <c r="H169" s="19">
        <v>0.0</v>
      </c>
      <c r="I169" s="19">
        <v>0.0</v>
      </c>
      <c r="J169" s="19">
        <v>1.0</v>
      </c>
      <c r="K169" s="19">
        <v>0.0</v>
      </c>
      <c r="L169" s="19">
        <v>0.0</v>
      </c>
      <c r="M169" s="19">
        <v>0.0</v>
      </c>
      <c r="N169" s="19">
        <v>0.0</v>
      </c>
      <c r="O169" s="19">
        <v>0.0</v>
      </c>
      <c r="P169" s="19">
        <v>0.0</v>
      </c>
      <c r="Q169" s="19">
        <v>0.0</v>
      </c>
      <c r="R169" s="19">
        <v>0.0</v>
      </c>
      <c r="S169" s="19">
        <v>0.0</v>
      </c>
      <c r="T169" s="19">
        <v>0.0</v>
      </c>
      <c r="U169" s="19">
        <v>0.0</v>
      </c>
      <c r="V169" s="19">
        <v>0.0</v>
      </c>
      <c r="W169" s="19">
        <v>0.0</v>
      </c>
      <c r="X169" s="19">
        <v>0.0</v>
      </c>
      <c r="Y169" s="13">
        <f t="shared" si="34"/>
        <v>1</v>
      </c>
    </row>
    <row r="170" ht="12.75" customHeight="1">
      <c r="A170" s="18"/>
      <c r="B170" s="55">
        <v>5.0</v>
      </c>
      <c r="C170" s="50" t="s">
        <v>125</v>
      </c>
      <c r="D170" s="60"/>
      <c r="E170" s="19">
        <v>0.0</v>
      </c>
      <c r="F170" s="19">
        <v>0.0</v>
      </c>
      <c r="G170" s="19">
        <v>0.0</v>
      </c>
      <c r="H170" s="19">
        <v>0.0</v>
      </c>
      <c r="I170" s="19">
        <v>0.0</v>
      </c>
      <c r="J170" s="19">
        <v>0.0</v>
      </c>
      <c r="K170" s="19">
        <v>0.0</v>
      </c>
      <c r="L170" s="19">
        <v>0.0</v>
      </c>
      <c r="M170" s="19">
        <v>0.0</v>
      </c>
      <c r="N170" s="19">
        <v>0.0</v>
      </c>
      <c r="O170" s="19">
        <v>0.0</v>
      </c>
      <c r="P170" s="19">
        <v>0.0</v>
      </c>
      <c r="Q170" s="19">
        <v>0.0</v>
      </c>
      <c r="R170" s="19">
        <v>0.0</v>
      </c>
      <c r="S170" s="19">
        <v>0.0</v>
      </c>
      <c r="T170" s="19">
        <v>0.0</v>
      </c>
      <c r="U170" s="19">
        <v>0.0</v>
      </c>
      <c r="V170" s="19">
        <v>0.0</v>
      </c>
      <c r="W170" s="19">
        <v>0.0</v>
      </c>
      <c r="X170" s="19">
        <v>0.0</v>
      </c>
      <c r="Y170" s="13">
        <f t="shared" si="34"/>
        <v>0</v>
      </c>
    </row>
    <row r="171" ht="12.75" customHeight="1">
      <c r="A171" s="18"/>
      <c r="B171" s="55">
        <v>6.0</v>
      </c>
      <c r="C171" s="50" t="s">
        <v>126</v>
      </c>
      <c r="D171" s="60"/>
      <c r="E171" s="19">
        <v>0.0</v>
      </c>
      <c r="F171" s="19">
        <v>0.0</v>
      </c>
      <c r="G171" s="19">
        <v>0.0</v>
      </c>
      <c r="H171" s="19">
        <v>0.0</v>
      </c>
      <c r="I171" s="19">
        <v>0.0</v>
      </c>
      <c r="J171" s="19">
        <v>0.0</v>
      </c>
      <c r="K171" s="19">
        <v>0.0</v>
      </c>
      <c r="L171" s="19">
        <v>0.0</v>
      </c>
      <c r="M171" s="19">
        <v>0.0</v>
      </c>
      <c r="N171" s="19">
        <v>0.0</v>
      </c>
      <c r="O171" s="19">
        <v>0.0</v>
      </c>
      <c r="P171" s="19">
        <v>0.0</v>
      </c>
      <c r="Q171" s="19">
        <v>0.0</v>
      </c>
      <c r="R171" s="19">
        <v>0.0</v>
      </c>
      <c r="S171" s="19">
        <v>0.0</v>
      </c>
      <c r="T171" s="19">
        <v>0.0</v>
      </c>
      <c r="U171" s="19">
        <v>0.0</v>
      </c>
      <c r="V171" s="19">
        <v>0.0</v>
      </c>
      <c r="W171" s="19">
        <v>0.0</v>
      </c>
      <c r="X171" s="19">
        <v>0.0</v>
      </c>
      <c r="Y171" s="13">
        <f t="shared" si="34"/>
        <v>0</v>
      </c>
    </row>
    <row r="172" ht="12.75" customHeight="1">
      <c r="A172" s="18"/>
      <c r="B172" s="55">
        <v>7.0</v>
      </c>
      <c r="C172" s="50" t="s">
        <v>127</v>
      </c>
      <c r="D172" s="60"/>
      <c r="E172" s="19">
        <v>0.0</v>
      </c>
      <c r="F172" s="19">
        <v>0.0</v>
      </c>
      <c r="G172" s="19">
        <v>0.0</v>
      </c>
      <c r="H172" s="19">
        <v>0.0</v>
      </c>
      <c r="I172" s="19">
        <v>0.0</v>
      </c>
      <c r="J172" s="19">
        <v>0.0</v>
      </c>
      <c r="K172" s="19">
        <v>0.0</v>
      </c>
      <c r="L172" s="19">
        <v>0.0</v>
      </c>
      <c r="M172" s="19">
        <v>0.0</v>
      </c>
      <c r="N172" s="19">
        <v>0.0</v>
      </c>
      <c r="O172" s="19">
        <v>0.0</v>
      </c>
      <c r="P172" s="19">
        <v>0.0</v>
      </c>
      <c r="Q172" s="19">
        <v>0.0</v>
      </c>
      <c r="R172" s="19">
        <v>0.0</v>
      </c>
      <c r="S172" s="19">
        <v>0.0</v>
      </c>
      <c r="T172" s="19">
        <v>0.0</v>
      </c>
      <c r="U172" s="19">
        <v>0.0</v>
      </c>
      <c r="V172" s="19">
        <v>0.0</v>
      </c>
      <c r="W172" s="19">
        <v>0.0</v>
      </c>
      <c r="X172" s="19">
        <v>0.0</v>
      </c>
      <c r="Y172" s="13">
        <f t="shared" si="34"/>
        <v>0</v>
      </c>
    </row>
    <row r="173" ht="12.75" customHeight="1">
      <c r="A173" s="18"/>
      <c r="B173" s="56"/>
      <c r="C173" s="57"/>
      <c r="D173" s="62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3">
        <f t="shared" si="34"/>
        <v>0</v>
      </c>
    </row>
    <row r="174" ht="12.75" customHeight="1">
      <c r="A174" s="18"/>
      <c r="B174" s="56"/>
      <c r="C174" s="57"/>
      <c r="D174" s="62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3">
        <f t="shared" si="34"/>
        <v>0</v>
      </c>
    </row>
    <row r="175" ht="12.75" customHeight="1">
      <c r="A175" s="19" t="s">
        <v>15</v>
      </c>
      <c r="B175" s="47" t="s">
        <v>47</v>
      </c>
      <c r="C175" s="15"/>
      <c r="D175" s="16"/>
      <c r="E175" s="13">
        <f t="shared" ref="E175:Y175" si="35">SUM(E165:E174)</f>
        <v>1</v>
      </c>
      <c r="F175" s="13">
        <f t="shared" si="35"/>
        <v>0</v>
      </c>
      <c r="G175" s="13">
        <f t="shared" si="35"/>
        <v>1</v>
      </c>
      <c r="H175" s="13">
        <f t="shared" si="35"/>
        <v>0</v>
      </c>
      <c r="I175" s="13">
        <f t="shared" si="35"/>
        <v>0</v>
      </c>
      <c r="J175" s="13">
        <f t="shared" si="35"/>
        <v>1</v>
      </c>
      <c r="K175" s="13">
        <f t="shared" si="35"/>
        <v>0</v>
      </c>
      <c r="L175" s="13">
        <f t="shared" si="35"/>
        <v>1</v>
      </c>
      <c r="M175" s="13">
        <f t="shared" si="35"/>
        <v>1</v>
      </c>
      <c r="N175" s="13">
        <f t="shared" si="35"/>
        <v>0</v>
      </c>
      <c r="O175" s="13">
        <f t="shared" si="35"/>
        <v>1</v>
      </c>
      <c r="P175" s="13">
        <f t="shared" si="35"/>
        <v>1</v>
      </c>
      <c r="Q175" s="13">
        <f t="shared" si="35"/>
        <v>0</v>
      </c>
      <c r="R175" s="13">
        <f t="shared" si="35"/>
        <v>0</v>
      </c>
      <c r="S175" s="13">
        <f t="shared" si="35"/>
        <v>0</v>
      </c>
      <c r="T175" s="13">
        <f t="shared" si="35"/>
        <v>0</v>
      </c>
      <c r="U175" s="13">
        <f t="shared" si="35"/>
        <v>1</v>
      </c>
      <c r="V175" s="13">
        <f t="shared" si="35"/>
        <v>2</v>
      </c>
      <c r="W175" s="13">
        <f t="shared" si="35"/>
        <v>1</v>
      </c>
      <c r="X175" s="13">
        <f t="shared" si="35"/>
        <v>0</v>
      </c>
      <c r="Y175" s="13">
        <f t="shared" si="35"/>
        <v>11</v>
      </c>
    </row>
    <row r="176" ht="12.75" customHeight="1">
      <c r="A176" s="24"/>
      <c r="B176" s="15"/>
      <c r="C176" s="15"/>
      <c r="D176" s="15"/>
      <c r="E176" s="16"/>
      <c r="F176" s="84"/>
      <c r="G176" s="84"/>
      <c r="H176" s="84"/>
      <c r="I176" s="84"/>
      <c r="J176" s="84"/>
      <c r="K176" s="84"/>
      <c r="L176" s="84"/>
      <c r="M176" s="84"/>
      <c r="N176" s="84"/>
      <c r="O176" s="84"/>
      <c r="P176" s="84"/>
      <c r="Q176" s="84"/>
      <c r="R176" s="84"/>
      <c r="S176" s="84"/>
      <c r="T176" s="84"/>
      <c r="U176" s="84"/>
      <c r="V176" s="84"/>
      <c r="W176" s="84"/>
      <c r="X176" s="84"/>
      <c r="Y176" s="84"/>
    </row>
    <row r="177" ht="12.75" customHeight="1">
      <c r="A177" s="30" t="s">
        <v>37</v>
      </c>
      <c r="B177" s="47" t="s">
        <v>128</v>
      </c>
      <c r="C177" s="48" t="s">
        <v>129</v>
      </c>
      <c r="D177" s="16"/>
      <c r="E177" s="19">
        <v>0.0</v>
      </c>
      <c r="F177" s="19">
        <v>0.0</v>
      </c>
      <c r="G177" s="19">
        <v>1.0</v>
      </c>
      <c r="H177" s="19">
        <v>0.0</v>
      </c>
      <c r="I177" s="19">
        <v>0.0</v>
      </c>
      <c r="J177" s="19">
        <v>0.0</v>
      </c>
      <c r="K177" s="19">
        <v>0.0</v>
      </c>
      <c r="L177" s="19">
        <v>0.0</v>
      </c>
      <c r="M177" s="19">
        <v>0.0</v>
      </c>
      <c r="N177" s="19">
        <v>1.0</v>
      </c>
      <c r="O177" s="19">
        <v>0.0</v>
      </c>
      <c r="P177" s="19">
        <v>1.0</v>
      </c>
      <c r="Q177" s="19">
        <v>0.0</v>
      </c>
      <c r="R177" s="19">
        <v>2.0</v>
      </c>
      <c r="S177" s="19">
        <v>1.0</v>
      </c>
      <c r="T177" s="19">
        <v>0.0</v>
      </c>
      <c r="U177" s="19">
        <v>0.0</v>
      </c>
      <c r="V177" s="19">
        <v>0.0</v>
      </c>
      <c r="W177" s="19">
        <v>1.0</v>
      </c>
      <c r="X177" s="19">
        <v>0.0</v>
      </c>
      <c r="Y177" s="13">
        <f t="shared" ref="Y177:Y186" si="36">SUM(E177:X177)</f>
        <v>7</v>
      </c>
    </row>
    <row r="178" ht="12.75" customHeight="1">
      <c r="A178" s="30" t="s">
        <v>39</v>
      </c>
      <c r="B178" s="55">
        <v>1.0</v>
      </c>
      <c r="C178" s="50" t="s">
        <v>130</v>
      </c>
      <c r="D178" s="60"/>
      <c r="E178" s="19">
        <v>0.0</v>
      </c>
      <c r="F178" s="19">
        <v>0.0</v>
      </c>
      <c r="G178" s="19">
        <v>0.0</v>
      </c>
      <c r="H178" s="19">
        <v>0.0</v>
      </c>
      <c r="I178" s="19">
        <v>0.0</v>
      </c>
      <c r="J178" s="19">
        <v>0.0</v>
      </c>
      <c r="K178" s="19">
        <v>0.0</v>
      </c>
      <c r="L178" s="19">
        <v>3.0</v>
      </c>
      <c r="M178" s="19">
        <v>0.0</v>
      </c>
      <c r="N178" s="19">
        <v>0.0</v>
      </c>
      <c r="O178" s="19">
        <v>0.0</v>
      </c>
      <c r="P178" s="19">
        <v>0.0</v>
      </c>
      <c r="Q178" s="19">
        <v>0.0</v>
      </c>
      <c r="R178" s="19">
        <v>0.0</v>
      </c>
      <c r="S178" s="19">
        <v>1.0</v>
      </c>
      <c r="T178" s="19">
        <v>0.0</v>
      </c>
      <c r="U178" s="19">
        <v>0.0</v>
      </c>
      <c r="V178" s="19">
        <v>0.0</v>
      </c>
      <c r="W178" s="19">
        <v>1.0</v>
      </c>
      <c r="X178" s="19">
        <v>0.0</v>
      </c>
      <c r="Y178" s="13">
        <f t="shared" si="36"/>
        <v>5</v>
      </c>
    </row>
    <row r="179" ht="12.75" customHeight="1">
      <c r="A179" s="18"/>
      <c r="B179" s="55">
        <v>2.0</v>
      </c>
      <c r="C179" s="50" t="s">
        <v>131</v>
      </c>
      <c r="D179" s="60"/>
      <c r="E179" s="19">
        <v>0.0</v>
      </c>
      <c r="F179" s="19">
        <v>0.0</v>
      </c>
      <c r="G179" s="19">
        <v>0.0</v>
      </c>
      <c r="H179" s="19">
        <v>0.0</v>
      </c>
      <c r="I179" s="19">
        <v>0.0</v>
      </c>
      <c r="J179" s="19">
        <v>0.0</v>
      </c>
      <c r="K179" s="19">
        <v>0.0</v>
      </c>
      <c r="L179" s="19">
        <v>0.0</v>
      </c>
      <c r="M179" s="19">
        <v>0.0</v>
      </c>
      <c r="N179" s="19">
        <v>0.0</v>
      </c>
      <c r="O179" s="19">
        <v>0.0</v>
      </c>
      <c r="P179" s="19">
        <v>0.0</v>
      </c>
      <c r="Q179" s="19">
        <v>0.0</v>
      </c>
      <c r="R179" s="19">
        <v>0.0</v>
      </c>
      <c r="S179" s="19">
        <v>0.0</v>
      </c>
      <c r="T179" s="19">
        <v>0.0</v>
      </c>
      <c r="U179" s="19">
        <v>0.0</v>
      </c>
      <c r="V179" s="19">
        <v>0.0</v>
      </c>
      <c r="W179" s="19">
        <v>0.0</v>
      </c>
      <c r="X179" s="19">
        <v>0.0</v>
      </c>
      <c r="Y179" s="13">
        <f t="shared" si="36"/>
        <v>0</v>
      </c>
    </row>
    <row r="180" ht="12.75" customHeight="1">
      <c r="A180" s="18"/>
      <c r="B180" s="55">
        <v>3.0</v>
      </c>
      <c r="C180" s="50" t="s">
        <v>132</v>
      </c>
      <c r="D180" s="60"/>
      <c r="E180" s="19">
        <v>0.0</v>
      </c>
      <c r="F180" s="19">
        <v>0.0</v>
      </c>
      <c r="G180" s="19">
        <v>0.0</v>
      </c>
      <c r="H180" s="19">
        <v>0.0</v>
      </c>
      <c r="I180" s="19">
        <v>0.0</v>
      </c>
      <c r="J180" s="19">
        <v>0.0</v>
      </c>
      <c r="K180" s="19">
        <v>0.0</v>
      </c>
      <c r="L180" s="19">
        <v>0.0</v>
      </c>
      <c r="M180" s="19">
        <v>0.0</v>
      </c>
      <c r="N180" s="19">
        <v>1.0</v>
      </c>
      <c r="O180" s="19">
        <v>1.0</v>
      </c>
      <c r="P180" s="19">
        <v>1.0</v>
      </c>
      <c r="Q180" s="19">
        <v>0.0</v>
      </c>
      <c r="R180" s="19">
        <v>0.0</v>
      </c>
      <c r="S180" s="19">
        <v>0.0</v>
      </c>
      <c r="T180" s="19">
        <v>0.0</v>
      </c>
      <c r="U180" s="19">
        <v>0.0</v>
      </c>
      <c r="V180" s="19">
        <v>0.0</v>
      </c>
      <c r="W180" s="19">
        <v>0.0</v>
      </c>
      <c r="X180" s="19">
        <v>0.0</v>
      </c>
      <c r="Y180" s="13">
        <f t="shared" si="36"/>
        <v>3</v>
      </c>
    </row>
    <row r="181" ht="12.75" customHeight="1">
      <c r="A181" s="18"/>
      <c r="B181" s="55">
        <v>4.0</v>
      </c>
      <c r="C181" s="50" t="s">
        <v>133</v>
      </c>
      <c r="D181" s="60"/>
      <c r="E181" s="19">
        <v>0.0</v>
      </c>
      <c r="F181" s="19">
        <v>0.0</v>
      </c>
      <c r="G181" s="19">
        <v>0.0</v>
      </c>
      <c r="H181" s="19">
        <v>0.0</v>
      </c>
      <c r="I181" s="19">
        <v>0.0</v>
      </c>
      <c r="J181" s="19">
        <v>0.0</v>
      </c>
      <c r="K181" s="19">
        <v>0.0</v>
      </c>
      <c r="L181" s="19">
        <v>0.0</v>
      </c>
      <c r="M181" s="19">
        <v>0.0</v>
      </c>
      <c r="N181" s="19">
        <v>0.0</v>
      </c>
      <c r="O181" s="19">
        <v>0.0</v>
      </c>
      <c r="P181" s="19">
        <v>0.0</v>
      </c>
      <c r="Q181" s="19">
        <v>0.0</v>
      </c>
      <c r="R181" s="19">
        <v>0.0</v>
      </c>
      <c r="S181" s="19">
        <v>0.0</v>
      </c>
      <c r="T181" s="19">
        <v>0.0</v>
      </c>
      <c r="U181" s="19">
        <v>0.0</v>
      </c>
      <c r="V181" s="19">
        <v>0.0</v>
      </c>
      <c r="W181" s="19">
        <v>0.0</v>
      </c>
      <c r="X181" s="19">
        <v>0.0</v>
      </c>
      <c r="Y181" s="13">
        <f t="shared" si="36"/>
        <v>0</v>
      </c>
    </row>
    <row r="182" ht="12.75" customHeight="1">
      <c r="A182" s="18"/>
      <c r="B182" s="55">
        <v>5.0</v>
      </c>
      <c r="C182" s="50" t="s">
        <v>134</v>
      </c>
      <c r="D182" s="60"/>
      <c r="E182" s="19">
        <v>1.0</v>
      </c>
      <c r="F182" s="19">
        <v>0.0</v>
      </c>
      <c r="G182" s="19">
        <v>0.0</v>
      </c>
      <c r="H182" s="19">
        <v>0.0</v>
      </c>
      <c r="I182" s="19">
        <v>0.0</v>
      </c>
      <c r="J182" s="19">
        <v>0.0</v>
      </c>
      <c r="K182" s="19">
        <v>0.0</v>
      </c>
      <c r="L182" s="19">
        <v>0.0</v>
      </c>
      <c r="M182" s="19">
        <v>0.0</v>
      </c>
      <c r="N182" s="19">
        <v>0.0</v>
      </c>
      <c r="O182" s="19">
        <v>0.0</v>
      </c>
      <c r="P182" s="19">
        <v>0.0</v>
      </c>
      <c r="Q182" s="19">
        <v>0.0</v>
      </c>
      <c r="R182" s="19">
        <v>0.0</v>
      </c>
      <c r="S182" s="19">
        <v>0.0</v>
      </c>
      <c r="T182" s="19">
        <v>0.0</v>
      </c>
      <c r="U182" s="19">
        <v>1.0</v>
      </c>
      <c r="V182" s="19">
        <v>7.0</v>
      </c>
      <c r="W182" s="19">
        <v>0.0</v>
      </c>
      <c r="X182" s="19">
        <v>0.0</v>
      </c>
      <c r="Y182" s="13">
        <f t="shared" si="36"/>
        <v>9</v>
      </c>
    </row>
    <row r="183" ht="12.75" customHeight="1">
      <c r="A183" s="18"/>
      <c r="B183" s="55">
        <v>6.0</v>
      </c>
      <c r="C183" s="50" t="s">
        <v>135</v>
      </c>
      <c r="D183" s="60"/>
      <c r="E183" s="19">
        <v>0.0</v>
      </c>
      <c r="F183" s="19">
        <v>0.0</v>
      </c>
      <c r="G183" s="19">
        <v>0.0</v>
      </c>
      <c r="H183" s="19">
        <v>0.0</v>
      </c>
      <c r="I183" s="19">
        <v>0.0</v>
      </c>
      <c r="J183" s="19">
        <v>0.0</v>
      </c>
      <c r="K183" s="19">
        <v>0.0</v>
      </c>
      <c r="L183" s="19">
        <v>0.0</v>
      </c>
      <c r="M183" s="19">
        <v>0.0</v>
      </c>
      <c r="N183" s="19">
        <v>0.0</v>
      </c>
      <c r="O183" s="19">
        <v>0.0</v>
      </c>
      <c r="P183" s="19">
        <v>0.0</v>
      </c>
      <c r="Q183" s="19">
        <v>0.0</v>
      </c>
      <c r="R183" s="19">
        <v>0.0</v>
      </c>
      <c r="S183" s="19">
        <v>0.0</v>
      </c>
      <c r="T183" s="19">
        <v>0.0</v>
      </c>
      <c r="U183" s="19">
        <v>0.0</v>
      </c>
      <c r="V183" s="19">
        <v>0.0</v>
      </c>
      <c r="W183" s="19">
        <v>0.0</v>
      </c>
      <c r="X183" s="19">
        <v>0.0</v>
      </c>
      <c r="Y183" s="13">
        <f t="shared" si="36"/>
        <v>0</v>
      </c>
    </row>
    <row r="184" ht="12.75" customHeight="1">
      <c r="A184" s="18"/>
      <c r="B184" s="55">
        <v>7.0</v>
      </c>
      <c r="C184" s="50" t="s">
        <v>136</v>
      </c>
      <c r="D184" s="60"/>
      <c r="E184" s="19">
        <v>0.0</v>
      </c>
      <c r="F184" s="19">
        <v>0.0</v>
      </c>
      <c r="G184" s="19">
        <v>0.0</v>
      </c>
      <c r="H184" s="19">
        <v>0.0</v>
      </c>
      <c r="I184" s="19">
        <v>0.0</v>
      </c>
      <c r="J184" s="19">
        <v>0.0</v>
      </c>
      <c r="K184" s="19">
        <v>0.0</v>
      </c>
      <c r="L184" s="19">
        <v>0.0</v>
      </c>
      <c r="M184" s="19">
        <v>0.0</v>
      </c>
      <c r="N184" s="19">
        <v>0.0</v>
      </c>
      <c r="O184" s="19">
        <v>0.0</v>
      </c>
      <c r="P184" s="19">
        <v>0.0</v>
      </c>
      <c r="Q184" s="19">
        <v>0.0</v>
      </c>
      <c r="R184" s="19">
        <v>0.0</v>
      </c>
      <c r="S184" s="19">
        <v>0.0</v>
      </c>
      <c r="T184" s="19">
        <v>0.0</v>
      </c>
      <c r="U184" s="19">
        <v>0.0</v>
      </c>
      <c r="V184" s="19">
        <v>0.0</v>
      </c>
      <c r="W184" s="19">
        <v>0.0</v>
      </c>
      <c r="X184" s="19">
        <v>0.0</v>
      </c>
      <c r="Y184" s="13">
        <f t="shared" si="36"/>
        <v>0</v>
      </c>
    </row>
    <row r="185" ht="12.75" customHeight="1">
      <c r="A185" s="18"/>
      <c r="B185" s="56"/>
      <c r="C185" s="57"/>
      <c r="D185" s="62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3">
        <f t="shared" si="36"/>
        <v>0</v>
      </c>
    </row>
    <row r="186" ht="12.75" customHeight="1">
      <c r="A186" s="18"/>
      <c r="B186" s="56"/>
      <c r="C186" s="57"/>
      <c r="D186" s="62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3">
        <f t="shared" si="36"/>
        <v>0</v>
      </c>
    </row>
    <row r="187" ht="12.75" customHeight="1">
      <c r="A187" s="19" t="s">
        <v>15</v>
      </c>
      <c r="B187" s="47" t="s">
        <v>47</v>
      </c>
      <c r="C187" s="15"/>
      <c r="D187" s="16"/>
      <c r="E187" s="13">
        <f t="shared" ref="E187:Y187" si="37">SUM(E177:E186)</f>
        <v>1</v>
      </c>
      <c r="F187" s="13">
        <f t="shared" si="37"/>
        <v>0</v>
      </c>
      <c r="G187" s="13">
        <f t="shared" si="37"/>
        <v>1</v>
      </c>
      <c r="H187" s="13">
        <f t="shared" si="37"/>
        <v>0</v>
      </c>
      <c r="I187" s="13">
        <f t="shared" si="37"/>
        <v>0</v>
      </c>
      <c r="J187" s="13">
        <f t="shared" si="37"/>
        <v>0</v>
      </c>
      <c r="K187" s="13">
        <f t="shared" si="37"/>
        <v>0</v>
      </c>
      <c r="L187" s="13">
        <f t="shared" si="37"/>
        <v>3</v>
      </c>
      <c r="M187" s="13">
        <f t="shared" si="37"/>
        <v>0</v>
      </c>
      <c r="N187" s="13">
        <f t="shared" si="37"/>
        <v>2</v>
      </c>
      <c r="O187" s="13">
        <f t="shared" si="37"/>
        <v>1</v>
      </c>
      <c r="P187" s="13">
        <f t="shared" si="37"/>
        <v>2</v>
      </c>
      <c r="Q187" s="13">
        <f t="shared" si="37"/>
        <v>0</v>
      </c>
      <c r="R187" s="13">
        <f t="shared" si="37"/>
        <v>2</v>
      </c>
      <c r="S187" s="13">
        <f t="shared" si="37"/>
        <v>2</v>
      </c>
      <c r="T187" s="13">
        <f t="shared" si="37"/>
        <v>0</v>
      </c>
      <c r="U187" s="13">
        <f t="shared" si="37"/>
        <v>1</v>
      </c>
      <c r="V187" s="13">
        <f t="shared" si="37"/>
        <v>7</v>
      </c>
      <c r="W187" s="13">
        <f t="shared" si="37"/>
        <v>2</v>
      </c>
      <c r="X187" s="13">
        <f t="shared" si="37"/>
        <v>0</v>
      </c>
      <c r="Y187" s="13">
        <f t="shared" si="37"/>
        <v>24</v>
      </c>
    </row>
    <row r="188" ht="12.75" customHeight="1">
      <c r="A188" s="24"/>
      <c r="B188" s="15"/>
      <c r="C188" s="15"/>
      <c r="D188" s="15"/>
      <c r="E188" s="16"/>
      <c r="F188" s="84"/>
      <c r="G188" s="84"/>
      <c r="H188" s="84"/>
      <c r="I188" s="84"/>
      <c r="J188" s="84"/>
      <c r="K188" s="84"/>
      <c r="L188" s="84"/>
      <c r="M188" s="84"/>
      <c r="N188" s="84"/>
      <c r="R188" s="84"/>
      <c r="S188" s="84"/>
      <c r="T188" s="84"/>
      <c r="Y188" s="13"/>
    </row>
    <row r="189" ht="12.75" customHeight="1">
      <c r="A189" s="30" t="s">
        <v>37</v>
      </c>
      <c r="B189" s="47" t="s">
        <v>137</v>
      </c>
      <c r="C189" s="48" t="s">
        <v>138</v>
      </c>
      <c r="D189" s="16"/>
      <c r="E189" s="19">
        <v>0.0</v>
      </c>
      <c r="F189" s="19">
        <v>0.0</v>
      </c>
      <c r="G189" s="19">
        <v>0.0</v>
      </c>
      <c r="H189" s="19">
        <v>0.0</v>
      </c>
      <c r="I189" s="19">
        <v>0.0</v>
      </c>
      <c r="J189" s="19">
        <v>0.0</v>
      </c>
      <c r="K189" s="19">
        <v>1.0</v>
      </c>
      <c r="L189" s="19">
        <v>0.0</v>
      </c>
      <c r="M189" s="19">
        <v>0.0</v>
      </c>
      <c r="N189" s="19">
        <v>0.0</v>
      </c>
      <c r="O189" s="19">
        <v>0.0</v>
      </c>
      <c r="P189" s="19">
        <v>0.0</v>
      </c>
      <c r="Q189" s="19">
        <v>0.0</v>
      </c>
      <c r="R189" s="19">
        <v>0.0</v>
      </c>
      <c r="S189" s="19">
        <v>0.0</v>
      </c>
      <c r="T189" s="19">
        <v>0.0</v>
      </c>
      <c r="U189" s="19">
        <v>0.0</v>
      </c>
      <c r="V189" s="19">
        <v>1.0</v>
      </c>
      <c r="W189" s="19">
        <v>0.0</v>
      </c>
      <c r="X189" s="19">
        <v>0.0</v>
      </c>
      <c r="Y189" s="13">
        <f t="shared" ref="Y189:Y198" si="38">SUM(E189:X189)</f>
        <v>2</v>
      </c>
    </row>
    <row r="190" ht="12.75" customHeight="1">
      <c r="A190" s="30" t="s">
        <v>39</v>
      </c>
      <c r="B190" s="55">
        <v>1.0</v>
      </c>
      <c r="C190" s="50" t="s">
        <v>139</v>
      </c>
      <c r="D190" s="60"/>
      <c r="E190" s="19">
        <v>0.0</v>
      </c>
      <c r="F190" s="19">
        <v>0.0</v>
      </c>
      <c r="G190" s="19">
        <v>0.0</v>
      </c>
      <c r="H190" s="19">
        <v>0.0</v>
      </c>
      <c r="I190" s="19">
        <v>0.0</v>
      </c>
      <c r="J190" s="19">
        <v>0.0</v>
      </c>
      <c r="K190" s="19">
        <v>0.0</v>
      </c>
      <c r="L190" s="19">
        <v>0.0</v>
      </c>
      <c r="M190" s="19">
        <v>0.0</v>
      </c>
      <c r="N190" s="19">
        <v>0.0</v>
      </c>
      <c r="O190" s="19">
        <v>0.0</v>
      </c>
      <c r="P190" s="19">
        <v>0.0</v>
      </c>
      <c r="Q190" s="19">
        <v>0.0</v>
      </c>
      <c r="R190" s="19">
        <v>0.0</v>
      </c>
      <c r="S190" s="19">
        <v>0.0</v>
      </c>
      <c r="T190" s="19">
        <v>0.0</v>
      </c>
      <c r="U190" s="19">
        <v>0.0</v>
      </c>
      <c r="V190" s="19">
        <v>2.0</v>
      </c>
      <c r="W190" s="19">
        <v>0.0</v>
      </c>
      <c r="X190" s="19">
        <v>0.0</v>
      </c>
      <c r="Y190" s="13">
        <f t="shared" si="38"/>
        <v>2</v>
      </c>
    </row>
    <row r="191" ht="12.75" customHeight="1">
      <c r="A191" s="18"/>
      <c r="B191" s="55">
        <v>2.0</v>
      </c>
      <c r="C191" s="50" t="s">
        <v>140</v>
      </c>
      <c r="D191" s="60"/>
      <c r="E191" s="19">
        <v>0.0</v>
      </c>
      <c r="F191" s="19">
        <v>0.0</v>
      </c>
      <c r="G191" s="19">
        <v>0.0</v>
      </c>
      <c r="H191" s="19">
        <v>0.0</v>
      </c>
      <c r="I191" s="19">
        <v>0.0</v>
      </c>
      <c r="J191" s="19">
        <v>0.0</v>
      </c>
      <c r="K191" s="19">
        <v>0.0</v>
      </c>
      <c r="L191" s="19">
        <v>2.0</v>
      </c>
      <c r="M191" s="19">
        <v>0.0</v>
      </c>
      <c r="N191" s="19">
        <v>0.0</v>
      </c>
      <c r="O191" s="19">
        <v>0.0</v>
      </c>
      <c r="P191" s="19">
        <v>0.0</v>
      </c>
      <c r="Q191" s="19">
        <v>0.0</v>
      </c>
      <c r="R191" s="19">
        <v>0.0</v>
      </c>
      <c r="S191" s="19">
        <v>0.0</v>
      </c>
      <c r="T191" s="19">
        <v>0.0</v>
      </c>
      <c r="U191" s="19">
        <v>0.0</v>
      </c>
      <c r="V191" s="19">
        <v>0.0</v>
      </c>
      <c r="W191" s="19">
        <v>0.0</v>
      </c>
      <c r="X191" s="19">
        <v>2.0</v>
      </c>
      <c r="Y191" s="13">
        <f t="shared" si="38"/>
        <v>4</v>
      </c>
    </row>
    <row r="192" ht="12.75" customHeight="1">
      <c r="A192" s="18"/>
      <c r="B192" s="55">
        <v>3.0</v>
      </c>
      <c r="C192" s="50" t="s">
        <v>141</v>
      </c>
      <c r="D192" s="60"/>
      <c r="E192" s="19">
        <v>0.0</v>
      </c>
      <c r="F192" s="19">
        <v>0.0</v>
      </c>
      <c r="G192" s="19">
        <v>0.0</v>
      </c>
      <c r="H192" s="19">
        <v>0.0</v>
      </c>
      <c r="I192" s="19">
        <v>0.0</v>
      </c>
      <c r="J192" s="19">
        <v>0.0</v>
      </c>
      <c r="K192" s="19">
        <v>0.0</v>
      </c>
      <c r="L192" s="19">
        <v>0.0</v>
      </c>
      <c r="M192" s="19">
        <v>0.0</v>
      </c>
      <c r="N192" s="19">
        <v>0.0</v>
      </c>
      <c r="O192" s="19">
        <v>0.0</v>
      </c>
      <c r="P192" s="19">
        <v>0.0</v>
      </c>
      <c r="Q192" s="19">
        <v>0.0</v>
      </c>
      <c r="R192" s="19">
        <v>0.0</v>
      </c>
      <c r="S192" s="19">
        <v>0.0</v>
      </c>
      <c r="T192" s="19">
        <v>0.0</v>
      </c>
      <c r="U192" s="19">
        <v>0.0</v>
      </c>
      <c r="V192" s="19">
        <v>0.0</v>
      </c>
      <c r="W192" s="19">
        <v>0.0</v>
      </c>
      <c r="X192" s="19">
        <v>0.0</v>
      </c>
      <c r="Y192" s="13">
        <f t="shared" si="38"/>
        <v>0</v>
      </c>
    </row>
    <row r="193" ht="12.75" customHeight="1">
      <c r="A193" s="18"/>
      <c r="B193" s="55">
        <v>4.0</v>
      </c>
      <c r="C193" s="50" t="s">
        <v>142</v>
      </c>
      <c r="D193" s="60"/>
      <c r="E193" s="19">
        <v>0.0</v>
      </c>
      <c r="F193" s="19">
        <v>0.0</v>
      </c>
      <c r="G193" s="19">
        <v>0.0</v>
      </c>
      <c r="H193" s="19">
        <v>0.0</v>
      </c>
      <c r="I193" s="19">
        <v>0.0</v>
      </c>
      <c r="J193" s="19">
        <v>0.0</v>
      </c>
      <c r="K193" s="19">
        <v>0.0</v>
      </c>
      <c r="L193" s="19">
        <v>0.0</v>
      </c>
      <c r="M193" s="19">
        <v>0.0</v>
      </c>
      <c r="N193" s="19">
        <v>0.0</v>
      </c>
      <c r="O193" s="19">
        <v>0.0</v>
      </c>
      <c r="P193" s="19">
        <v>0.0</v>
      </c>
      <c r="Q193" s="19">
        <v>0.0</v>
      </c>
      <c r="R193" s="19">
        <v>0.0</v>
      </c>
      <c r="S193" s="19">
        <v>0.0</v>
      </c>
      <c r="T193" s="19">
        <v>0.0</v>
      </c>
      <c r="U193" s="19">
        <v>0.0</v>
      </c>
      <c r="V193" s="19">
        <v>0.0</v>
      </c>
      <c r="W193" s="19">
        <v>0.0</v>
      </c>
      <c r="X193" s="19">
        <v>0.0</v>
      </c>
      <c r="Y193" s="13">
        <f t="shared" si="38"/>
        <v>0</v>
      </c>
    </row>
    <row r="194" ht="12.75" customHeight="1">
      <c r="A194" s="18"/>
      <c r="B194" s="55">
        <v>5.0</v>
      </c>
      <c r="C194" s="50" t="s">
        <v>143</v>
      </c>
      <c r="D194" s="60"/>
      <c r="E194" s="19">
        <v>0.0</v>
      </c>
      <c r="F194" s="19">
        <v>0.0</v>
      </c>
      <c r="G194" s="19">
        <v>0.0</v>
      </c>
      <c r="H194" s="19">
        <v>1.0</v>
      </c>
      <c r="I194" s="19">
        <v>0.0</v>
      </c>
      <c r="J194" s="19">
        <v>0.0</v>
      </c>
      <c r="K194" s="19">
        <v>0.0</v>
      </c>
      <c r="L194" s="19">
        <v>0.0</v>
      </c>
      <c r="M194" s="19">
        <v>0.0</v>
      </c>
      <c r="N194" s="19">
        <v>0.0</v>
      </c>
      <c r="O194" s="19">
        <v>0.0</v>
      </c>
      <c r="P194" s="19">
        <v>0.0</v>
      </c>
      <c r="Q194" s="19">
        <v>1.0</v>
      </c>
      <c r="R194" s="19">
        <v>0.0</v>
      </c>
      <c r="S194" s="19">
        <v>0.0</v>
      </c>
      <c r="T194" s="19">
        <v>0.0</v>
      </c>
      <c r="U194" s="19">
        <v>0.0</v>
      </c>
      <c r="V194" s="19">
        <v>0.0</v>
      </c>
      <c r="W194" s="19">
        <v>0.0</v>
      </c>
      <c r="X194" s="19">
        <v>0.0</v>
      </c>
      <c r="Y194" s="13">
        <f t="shared" si="38"/>
        <v>2</v>
      </c>
    </row>
    <row r="195" ht="12.75" customHeight="1">
      <c r="A195" s="18"/>
      <c r="B195" s="55">
        <v>6.0</v>
      </c>
      <c r="C195" s="50" t="s">
        <v>144</v>
      </c>
      <c r="D195" s="60"/>
      <c r="E195" s="19">
        <v>0.0</v>
      </c>
      <c r="F195" s="19">
        <v>0.0</v>
      </c>
      <c r="G195" s="19">
        <v>0.0</v>
      </c>
      <c r="H195" s="19">
        <v>0.0</v>
      </c>
      <c r="I195" s="19">
        <v>0.0</v>
      </c>
      <c r="J195" s="19">
        <v>0.0</v>
      </c>
      <c r="K195" s="19">
        <v>0.0</v>
      </c>
      <c r="L195" s="19">
        <v>0.0</v>
      </c>
      <c r="M195" s="19">
        <v>0.0</v>
      </c>
      <c r="N195" s="19">
        <v>0.0</v>
      </c>
      <c r="O195" s="19">
        <v>0.0</v>
      </c>
      <c r="P195" s="19">
        <v>0.0</v>
      </c>
      <c r="Q195" s="19">
        <v>0.0</v>
      </c>
      <c r="R195" s="19">
        <v>0.0</v>
      </c>
      <c r="S195" s="19">
        <v>0.0</v>
      </c>
      <c r="T195" s="19">
        <v>0.0</v>
      </c>
      <c r="U195" s="19">
        <v>0.0</v>
      </c>
      <c r="V195" s="19">
        <v>0.0</v>
      </c>
      <c r="W195" s="19">
        <v>0.0</v>
      </c>
      <c r="X195" s="19">
        <v>0.0</v>
      </c>
      <c r="Y195" s="13">
        <f t="shared" si="38"/>
        <v>0</v>
      </c>
    </row>
    <row r="196" ht="12.75" customHeight="1">
      <c r="A196" s="18"/>
      <c r="B196" s="55">
        <v>7.0</v>
      </c>
      <c r="C196" s="50" t="s">
        <v>145</v>
      </c>
      <c r="D196" s="60"/>
      <c r="E196" s="19">
        <v>0.0</v>
      </c>
      <c r="F196" s="19">
        <v>0.0</v>
      </c>
      <c r="G196" s="19">
        <v>0.0</v>
      </c>
      <c r="H196" s="19">
        <v>0.0</v>
      </c>
      <c r="I196" s="19">
        <v>0.0</v>
      </c>
      <c r="J196" s="19">
        <v>0.0</v>
      </c>
      <c r="K196" s="19">
        <v>0.0</v>
      </c>
      <c r="L196" s="19">
        <v>0.0</v>
      </c>
      <c r="M196" s="19">
        <v>0.0</v>
      </c>
      <c r="N196" s="19">
        <v>0.0</v>
      </c>
      <c r="O196" s="19">
        <v>0.0</v>
      </c>
      <c r="P196" s="19">
        <v>0.0</v>
      </c>
      <c r="Q196" s="19">
        <v>0.0</v>
      </c>
      <c r="R196" s="19">
        <v>0.0</v>
      </c>
      <c r="S196" s="19">
        <v>0.0</v>
      </c>
      <c r="T196" s="19">
        <v>0.0</v>
      </c>
      <c r="U196" s="19">
        <v>0.0</v>
      </c>
      <c r="V196" s="19">
        <v>0.0</v>
      </c>
      <c r="W196" s="19">
        <v>0.0</v>
      </c>
      <c r="X196" s="19">
        <v>0.0</v>
      </c>
      <c r="Y196" s="13">
        <f t="shared" si="38"/>
        <v>0</v>
      </c>
    </row>
    <row r="197" ht="12.75" customHeight="1">
      <c r="A197" s="18"/>
      <c r="B197" s="56"/>
      <c r="C197" s="57"/>
      <c r="D197" s="62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3">
        <f t="shared" si="38"/>
        <v>0</v>
      </c>
    </row>
    <row r="198" ht="12.75" customHeight="1">
      <c r="A198" s="18"/>
      <c r="B198" s="56"/>
      <c r="C198" s="57"/>
      <c r="D198" s="62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3">
        <f t="shared" si="38"/>
        <v>0</v>
      </c>
    </row>
    <row r="199" ht="12.75" customHeight="1">
      <c r="A199" s="19" t="s">
        <v>15</v>
      </c>
      <c r="B199" s="47" t="s">
        <v>47</v>
      </c>
      <c r="C199" s="15"/>
      <c r="D199" s="16"/>
      <c r="E199" s="13">
        <f t="shared" ref="E199:Y199" si="39">SUM(E189:E198)</f>
        <v>0</v>
      </c>
      <c r="F199" s="13">
        <f t="shared" si="39"/>
        <v>0</v>
      </c>
      <c r="G199" s="13">
        <f t="shared" si="39"/>
        <v>0</v>
      </c>
      <c r="H199" s="13">
        <f t="shared" si="39"/>
        <v>1</v>
      </c>
      <c r="I199" s="13">
        <f t="shared" si="39"/>
        <v>0</v>
      </c>
      <c r="J199" s="13">
        <f t="shared" si="39"/>
        <v>0</v>
      </c>
      <c r="K199" s="13">
        <f t="shared" si="39"/>
        <v>1</v>
      </c>
      <c r="L199" s="13">
        <f t="shared" si="39"/>
        <v>2</v>
      </c>
      <c r="M199" s="13">
        <f t="shared" si="39"/>
        <v>0</v>
      </c>
      <c r="N199" s="13">
        <f t="shared" si="39"/>
        <v>0</v>
      </c>
      <c r="O199" s="13">
        <f t="shared" si="39"/>
        <v>0</v>
      </c>
      <c r="P199" s="13">
        <f t="shared" si="39"/>
        <v>0</v>
      </c>
      <c r="Q199" s="13">
        <f t="shared" si="39"/>
        <v>1</v>
      </c>
      <c r="R199" s="13">
        <f t="shared" si="39"/>
        <v>0</v>
      </c>
      <c r="S199" s="13">
        <f t="shared" si="39"/>
        <v>0</v>
      </c>
      <c r="T199" s="13">
        <f t="shared" si="39"/>
        <v>0</v>
      </c>
      <c r="U199" s="13">
        <f t="shared" si="39"/>
        <v>0</v>
      </c>
      <c r="V199" s="13">
        <f t="shared" si="39"/>
        <v>3</v>
      </c>
      <c r="W199" s="13">
        <f t="shared" si="39"/>
        <v>0</v>
      </c>
      <c r="X199" s="13">
        <f t="shared" si="39"/>
        <v>2</v>
      </c>
      <c r="Y199" s="13">
        <f t="shared" si="39"/>
        <v>10</v>
      </c>
    </row>
    <row r="200" ht="12.75" customHeight="1">
      <c r="A200" s="24"/>
      <c r="B200" s="15"/>
      <c r="C200" s="15"/>
      <c r="D200" s="15"/>
      <c r="E200" s="16"/>
      <c r="F200" s="84"/>
      <c r="G200" s="84"/>
      <c r="H200" s="84"/>
      <c r="I200" s="84"/>
      <c r="J200" s="84"/>
      <c r="K200" s="84"/>
      <c r="L200" s="84"/>
      <c r="M200" s="84"/>
      <c r="N200" s="84"/>
      <c r="O200" s="84"/>
      <c r="P200" s="84"/>
      <c r="Q200" s="84"/>
      <c r="R200" s="84"/>
      <c r="S200" s="84"/>
      <c r="T200" s="84"/>
      <c r="U200" s="84"/>
      <c r="V200" s="84"/>
      <c r="W200" s="84"/>
      <c r="X200" s="84"/>
      <c r="Y200" s="84"/>
    </row>
    <row r="201" ht="12.75" customHeight="1">
      <c r="A201" s="30" t="s">
        <v>37</v>
      </c>
      <c r="B201" s="47" t="s">
        <v>146</v>
      </c>
      <c r="C201" s="48" t="s">
        <v>147</v>
      </c>
      <c r="D201" s="16"/>
      <c r="E201" s="19">
        <v>6.0</v>
      </c>
      <c r="F201" s="19">
        <v>8.0</v>
      </c>
      <c r="G201" s="19">
        <v>5.0</v>
      </c>
      <c r="H201" s="19">
        <v>3.0</v>
      </c>
      <c r="I201" s="19">
        <v>6.0</v>
      </c>
      <c r="J201" s="19">
        <v>3.0</v>
      </c>
      <c r="K201" s="19">
        <v>0.0</v>
      </c>
      <c r="L201" s="19">
        <v>4.0</v>
      </c>
      <c r="M201" s="19">
        <v>1.0</v>
      </c>
      <c r="N201" s="19">
        <v>1.0</v>
      </c>
      <c r="O201" s="19">
        <v>3.0</v>
      </c>
      <c r="P201" s="19">
        <v>1.0</v>
      </c>
      <c r="Q201" s="19">
        <v>0.0</v>
      </c>
      <c r="R201" s="19">
        <v>2.0</v>
      </c>
      <c r="S201" s="19">
        <v>0.0</v>
      </c>
      <c r="T201" s="19">
        <v>3.0</v>
      </c>
      <c r="U201" s="19">
        <v>1.0</v>
      </c>
      <c r="V201" s="19">
        <v>2.0</v>
      </c>
      <c r="W201" s="19">
        <v>4.0</v>
      </c>
      <c r="X201" s="19">
        <v>4.0</v>
      </c>
      <c r="Y201" s="13">
        <f t="shared" ref="Y201:Y210" si="40">SUM(E201:X201)</f>
        <v>57</v>
      </c>
    </row>
    <row r="202" ht="12.75" customHeight="1">
      <c r="A202" s="30" t="s">
        <v>39</v>
      </c>
      <c r="B202" s="55">
        <v>1.0</v>
      </c>
      <c r="C202" s="50" t="s">
        <v>148</v>
      </c>
      <c r="D202" s="60"/>
      <c r="E202" s="19">
        <v>30.0</v>
      </c>
      <c r="F202" s="19">
        <v>31.0</v>
      </c>
      <c r="G202" s="19">
        <v>24.0</v>
      </c>
      <c r="H202" s="19">
        <v>9.0</v>
      </c>
      <c r="I202" s="19">
        <v>75.0</v>
      </c>
      <c r="J202" s="19">
        <v>19.0</v>
      </c>
      <c r="K202" s="19">
        <v>9.0</v>
      </c>
      <c r="L202" s="19">
        <v>27.0</v>
      </c>
      <c r="M202" s="19">
        <v>2.0</v>
      </c>
      <c r="N202" s="19">
        <v>3.0</v>
      </c>
      <c r="O202" s="19">
        <v>2.0</v>
      </c>
      <c r="P202" s="19">
        <v>2.0</v>
      </c>
      <c r="Q202" s="19">
        <v>5.0</v>
      </c>
      <c r="R202" s="19">
        <v>6.0</v>
      </c>
      <c r="S202" s="19">
        <v>6.0</v>
      </c>
      <c r="T202" s="19">
        <v>13.0</v>
      </c>
      <c r="U202" s="19">
        <v>7.0</v>
      </c>
      <c r="V202" s="19">
        <v>27.0</v>
      </c>
      <c r="W202" s="19">
        <v>2.0</v>
      </c>
      <c r="X202" s="19">
        <v>2.0</v>
      </c>
      <c r="Y202" s="13">
        <f t="shared" si="40"/>
        <v>301</v>
      </c>
    </row>
    <row r="203" ht="12.75" customHeight="1">
      <c r="A203" s="18"/>
      <c r="B203" s="55">
        <v>2.0</v>
      </c>
      <c r="C203" s="50" t="s">
        <v>149</v>
      </c>
      <c r="D203" s="60"/>
      <c r="E203" s="19">
        <v>1.0</v>
      </c>
      <c r="F203" s="19">
        <v>0.0</v>
      </c>
      <c r="G203" s="19">
        <v>2.0</v>
      </c>
      <c r="H203" s="19">
        <v>1.0</v>
      </c>
      <c r="I203" s="19">
        <v>1.0</v>
      </c>
      <c r="J203" s="19">
        <v>1.0</v>
      </c>
      <c r="K203" s="19">
        <v>0.0</v>
      </c>
      <c r="L203" s="19">
        <v>0.0</v>
      </c>
      <c r="M203" s="19">
        <v>0.0</v>
      </c>
      <c r="N203" s="19">
        <v>2.0</v>
      </c>
      <c r="O203" s="19">
        <v>1.0</v>
      </c>
      <c r="P203" s="19">
        <v>0.0</v>
      </c>
      <c r="Q203" s="19">
        <v>0.0</v>
      </c>
      <c r="R203" s="19">
        <v>0.0</v>
      </c>
      <c r="S203" s="19">
        <v>0.0</v>
      </c>
      <c r="T203" s="19">
        <v>1.0</v>
      </c>
      <c r="U203" s="19">
        <v>3.0</v>
      </c>
      <c r="V203" s="19">
        <v>1.0</v>
      </c>
      <c r="W203" s="19">
        <v>0.0</v>
      </c>
      <c r="X203" s="19">
        <v>1.0</v>
      </c>
      <c r="Y203" s="13">
        <f t="shared" si="40"/>
        <v>15</v>
      </c>
    </row>
    <row r="204" ht="12.75" customHeight="1">
      <c r="A204" s="18"/>
      <c r="B204" s="55">
        <v>3.0</v>
      </c>
      <c r="C204" s="50" t="s">
        <v>150</v>
      </c>
      <c r="D204" s="60"/>
      <c r="E204" s="19">
        <v>0.0</v>
      </c>
      <c r="F204" s="19">
        <v>0.0</v>
      </c>
      <c r="G204" s="19">
        <v>0.0</v>
      </c>
      <c r="H204" s="19">
        <v>0.0</v>
      </c>
      <c r="I204" s="19">
        <v>0.0</v>
      </c>
      <c r="J204" s="19">
        <v>0.0</v>
      </c>
      <c r="K204" s="19">
        <v>0.0</v>
      </c>
      <c r="L204" s="19">
        <v>0.0</v>
      </c>
      <c r="M204" s="19">
        <v>0.0</v>
      </c>
      <c r="N204" s="19">
        <v>0.0</v>
      </c>
      <c r="O204" s="19">
        <v>0.0</v>
      </c>
      <c r="P204" s="19">
        <v>0.0</v>
      </c>
      <c r="Q204" s="19">
        <v>0.0</v>
      </c>
      <c r="R204" s="19">
        <v>0.0</v>
      </c>
      <c r="S204" s="19">
        <v>0.0</v>
      </c>
      <c r="T204" s="19">
        <v>1.0</v>
      </c>
      <c r="U204" s="19">
        <v>0.0</v>
      </c>
      <c r="V204" s="19">
        <v>0.0</v>
      </c>
      <c r="W204" s="19">
        <v>0.0</v>
      </c>
      <c r="X204" s="19">
        <v>0.0</v>
      </c>
      <c r="Y204" s="13">
        <f t="shared" si="40"/>
        <v>1</v>
      </c>
    </row>
    <row r="205" ht="12.75" customHeight="1">
      <c r="A205" s="18"/>
      <c r="B205" s="55">
        <v>4.0</v>
      </c>
      <c r="C205" s="50" t="s">
        <v>151</v>
      </c>
      <c r="D205" s="60"/>
      <c r="E205" s="19">
        <v>0.0</v>
      </c>
      <c r="F205" s="19">
        <v>0.0</v>
      </c>
      <c r="G205" s="19">
        <v>0.0</v>
      </c>
      <c r="H205" s="19">
        <v>0.0</v>
      </c>
      <c r="I205" s="19">
        <v>0.0</v>
      </c>
      <c r="J205" s="19">
        <v>1.0</v>
      </c>
      <c r="K205" s="19">
        <v>0.0</v>
      </c>
      <c r="L205" s="19">
        <v>0.0</v>
      </c>
      <c r="M205" s="19">
        <v>3.0</v>
      </c>
      <c r="N205" s="19">
        <v>0.0</v>
      </c>
      <c r="O205" s="19">
        <v>0.0</v>
      </c>
      <c r="P205" s="19">
        <v>0.0</v>
      </c>
      <c r="Q205" s="19">
        <v>0.0</v>
      </c>
      <c r="R205" s="19">
        <v>0.0</v>
      </c>
      <c r="S205" s="19">
        <v>1.0</v>
      </c>
      <c r="T205" s="19">
        <v>0.0</v>
      </c>
      <c r="U205" s="19">
        <v>0.0</v>
      </c>
      <c r="V205" s="19">
        <v>0.0</v>
      </c>
      <c r="W205" s="19">
        <v>0.0</v>
      </c>
      <c r="X205" s="19">
        <v>0.0</v>
      </c>
      <c r="Y205" s="13">
        <f t="shared" si="40"/>
        <v>5</v>
      </c>
    </row>
    <row r="206" ht="12.75" customHeight="1">
      <c r="A206" s="18"/>
      <c r="B206" s="55">
        <v>5.0</v>
      </c>
      <c r="C206" s="50" t="s">
        <v>152</v>
      </c>
      <c r="D206" s="60"/>
      <c r="E206" s="19">
        <v>0.0</v>
      </c>
      <c r="F206" s="19">
        <v>0.0</v>
      </c>
      <c r="G206" s="19">
        <v>0.0</v>
      </c>
      <c r="H206" s="19">
        <v>0.0</v>
      </c>
      <c r="I206" s="19">
        <v>0.0</v>
      </c>
      <c r="J206" s="19">
        <v>1.0</v>
      </c>
      <c r="K206" s="19">
        <v>0.0</v>
      </c>
      <c r="L206" s="19">
        <v>0.0</v>
      </c>
      <c r="M206" s="19">
        <v>0.0</v>
      </c>
      <c r="N206" s="19">
        <v>0.0</v>
      </c>
      <c r="O206" s="19">
        <v>0.0</v>
      </c>
      <c r="P206" s="19">
        <v>0.0</v>
      </c>
      <c r="Q206" s="19">
        <v>0.0</v>
      </c>
      <c r="R206" s="19">
        <v>0.0</v>
      </c>
      <c r="S206" s="19">
        <v>0.0</v>
      </c>
      <c r="T206" s="19">
        <v>1.0</v>
      </c>
      <c r="U206" s="19">
        <v>0.0</v>
      </c>
      <c r="V206" s="19">
        <v>0.0</v>
      </c>
      <c r="W206" s="19">
        <v>0.0</v>
      </c>
      <c r="X206" s="19">
        <v>0.0</v>
      </c>
      <c r="Y206" s="13">
        <f t="shared" si="40"/>
        <v>2</v>
      </c>
    </row>
    <row r="207" ht="12.75" customHeight="1">
      <c r="A207" s="18"/>
      <c r="B207" s="55">
        <v>6.0</v>
      </c>
      <c r="C207" s="50" t="s">
        <v>153</v>
      </c>
      <c r="D207" s="60"/>
      <c r="E207" s="19">
        <v>0.0</v>
      </c>
      <c r="F207" s="19">
        <v>0.0</v>
      </c>
      <c r="G207" s="19">
        <v>0.0</v>
      </c>
      <c r="H207" s="19">
        <v>0.0</v>
      </c>
      <c r="I207" s="19">
        <v>0.0</v>
      </c>
      <c r="J207" s="19">
        <v>1.0</v>
      </c>
      <c r="K207" s="19">
        <v>0.0</v>
      </c>
      <c r="L207" s="19">
        <v>0.0</v>
      </c>
      <c r="M207" s="19">
        <v>0.0</v>
      </c>
      <c r="N207" s="19">
        <v>0.0</v>
      </c>
      <c r="O207" s="19">
        <v>0.0</v>
      </c>
      <c r="P207" s="19">
        <v>0.0</v>
      </c>
      <c r="Q207" s="19">
        <v>2.0</v>
      </c>
      <c r="R207" s="19">
        <v>0.0</v>
      </c>
      <c r="S207" s="19">
        <v>0.0</v>
      </c>
      <c r="T207" s="19">
        <v>0.0</v>
      </c>
      <c r="U207" s="19">
        <v>0.0</v>
      </c>
      <c r="V207" s="19">
        <v>0.0</v>
      </c>
      <c r="W207" s="19">
        <v>0.0</v>
      </c>
      <c r="X207" s="19">
        <v>0.0</v>
      </c>
      <c r="Y207" s="13">
        <f t="shared" si="40"/>
        <v>3</v>
      </c>
    </row>
    <row r="208" ht="12.75" customHeight="1">
      <c r="A208" s="18"/>
      <c r="B208" s="55">
        <v>7.0</v>
      </c>
      <c r="C208" s="50" t="s">
        <v>154</v>
      </c>
      <c r="D208" s="60"/>
      <c r="E208" s="19">
        <v>0.0</v>
      </c>
      <c r="F208" s="19">
        <v>0.0</v>
      </c>
      <c r="G208" s="19">
        <v>0.0</v>
      </c>
      <c r="H208" s="19">
        <v>0.0</v>
      </c>
      <c r="I208" s="19">
        <v>0.0</v>
      </c>
      <c r="J208" s="19">
        <v>1.0</v>
      </c>
      <c r="K208" s="19">
        <v>0.0</v>
      </c>
      <c r="L208" s="19">
        <v>0.0</v>
      </c>
      <c r="M208" s="19">
        <v>0.0</v>
      </c>
      <c r="N208" s="19">
        <v>0.0</v>
      </c>
      <c r="O208" s="19">
        <v>0.0</v>
      </c>
      <c r="P208" s="19">
        <v>0.0</v>
      </c>
      <c r="Q208" s="19">
        <v>0.0</v>
      </c>
      <c r="R208" s="19">
        <v>0.0</v>
      </c>
      <c r="S208" s="19">
        <v>0.0</v>
      </c>
      <c r="T208" s="19">
        <v>0.0</v>
      </c>
      <c r="U208" s="19">
        <v>0.0</v>
      </c>
      <c r="V208" s="19">
        <v>0.0</v>
      </c>
      <c r="W208" s="19">
        <v>0.0</v>
      </c>
      <c r="X208" s="19">
        <v>0.0</v>
      </c>
      <c r="Y208" s="13">
        <f t="shared" si="40"/>
        <v>1</v>
      </c>
    </row>
    <row r="209" ht="12.75" customHeight="1">
      <c r="A209" s="18"/>
      <c r="B209" s="56"/>
      <c r="C209" s="57"/>
      <c r="D209" s="62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3">
        <f t="shared" si="40"/>
        <v>0</v>
      </c>
    </row>
    <row r="210" ht="12.75" customHeight="1">
      <c r="A210" s="18"/>
      <c r="B210" s="56"/>
      <c r="C210" s="57"/>
      <c r="D210" s="62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3">
        <f t="shared" si="40"/>
        <v>0</v>
      </c>
    </row>
    <row r="211" ht="12.75" customHeight="1">
      <c r="A211" s="19" t="s">
        <v>15</v>
      </c>
      <c r="B211" s="47" t="s">
        <v>47</v>
      </c>
      <c r="C211" s="15"/>
      <c r="D211" s="16"/>
      <c r="E211" s="13">
        <f t="shared" ref="E211:Y211" si="41">SUM(E201:E210)</f>
        <v>37</v>
      </c>
      <c r="F211" s="13">
        <f t="shared" si="41"/>
        <v>39</v>
      </c>
      <c r="G211" s="13">
        <f t="shared" si="41"/>
        <v>31</v>
      </c>
      <c r="H211" s="13">
        <f t="shared" si="41"/>
        <v>13</v>
      </c>
      <c r="I211" s="13">
        <f t="shared" si="41"/>
        <v>82</v>
      </c>
      <c r="J211" s="13">
        <f t="shared" si="41"/>
        <v>27</v>
      </c>
      <c r="K211" s="13">
        <f t="shared" si="41"/>
        <v>9</v>
      </c>
      <c r="L211" s="13">
        <f t="shared" si="41"/>
        <v>31</v>
      </c>
      <c r="M211" s="13">
        <f t="shared" si="41"/>
        <v>6</v>
      </c>
      <c r="N211" s="13">
        <f t="shared" si="41"/>
        <v>6</v>
      </c>
      <c r="O211" s="13">
        <f t="shared" si="41"/>
        <v>6</v>
      </c>
      <c r="P211" s="13">
        <f t="shared" si="41"/>
        <v>3</v>
      </c>
      <c r="Q211" s="13">
        <f t="shared" si="41"/>
        <v>7</v>
      </c>
      <c r="R211" s="13">
        <f t="shared" si="41"/>
        <v>8</v>
      </c>
      <c r="S211" s="13">
        <f t="shared" si="41"/>
        <v>7</v>
      </c>
      <c r="T211" s="13">
        <f t="shared" si="41"/>
        <v>19</v>
      </c>
      <c r="U211" s="13">
        <f t="shared" si="41"/>
        <v>11</v>
      </c>
      <c r="V211" s="13">
        <f t="shared" si="41"/>
        <v>30</v>
      </c>
      <c r="W211" s="13">
        <f t="shared" si="41"/>
        <v>6</v>
      </c>
      <c r="X211" s="13">
        <f t="shared" si="41"/>
        <v>7</v>
      </c>
      <c r="Y211" s="13">
        <f t="shared" si="41"/>
        <v>385</v>
      </c>
    </row>
    <row r="212" ht="12.75" customHeight="1">
      <c r="A212" s="24"/>
      <c r="B212" s="15"/>
      <c r="C212" s="15"/>
      <c r="D212" s="15"/>
      <c r="E212" s="16"/>
      <c r="F212" s="84"/>
      <c r="G212" s="84"/>
      <c r="H212" s="84"/>
      <c r="I212" s="84"/>
      <c r="J212" s="84"/>
      <c r="K212" s="84"/>
      <c r="L212" s="84"/>
      <c r="M212" s="84"/>
      <c r="N212" s="84"/>
      <c r="O212" s="84"/>
      <c r="P212" s="84"/>
      <c r="Q212" s="84"/>
      <c r="R212" s="84"/>
      <c r="S212" s="84"/>
      <c r="T212" s="84"/>
      <c r="U212" s="84"/>
      <c r="V212" s="84"/>
      <c r="W212" s="84"/>
      <c r="X212" s="84"/>
      <c r="Y212" s="84"/>
    </row>
    <row r="213" ht="12.75" customHeight="1">
      <c r="A213" s="30" t="s">
        <v>37</v>
      </c>
      <c r="B213" s="47" t="s">
        <v>155</v>
      </c>
      <c r="C213" s="48" t="s">
        <v>156</v>
      </c>
      <c r="D213" s="16"/>
      <c r="E213" s="19">
        <v>0.0</v>
      </c>
      <c r="F213" s="19">
        <v>4.0</v>
      </c>
      <c r="G213" s="19">
        <v>0.0</v>
      </c>
      <c r="H213" s="19">
        <v>0.0</v>
      </c>
      <c r="I213" s="19">
        <v>0.0</v>
      </c>
      <c r="J213" s="19">
        <v>2.0</v>
      </c>
      <c r="K213" s="19">
        <v>1.0</v>
      </c>
      <c r="L213" s="19">
        <v>1.0</v>
      </c>
      <c r="M213" s="19">
        <v>3.0</v>
      </c>
      <c r="N213" s="19">
        <v>0.0</v>
      </c>
      <c r="O213" s="19">
        <v>1.0</v>
      </c>
      <c r="P213" s="19">
        <v>1.0</v>
      </c>
      <c r="Q213" s="19">
        <v>0.0</v>
      </c>
      <c r="R213" s="19">
        <v>2.0</v>
      </c>
      <c r="S213" s="19">
        <v>1.0</v>
      </c>
      <c r="T213" s="19">
        <v>1.0</v>
      </c>
      <c r="U213" s="19">
        <v>0.0</v>
      </c>
      <c r="V213" s="19">
        <v>3.0</v>
      </c>
      <c r="W213" s="19">
        <v>1.0</v>
      </c>
      <c r="X213" s="19">
        <v>1.0</v>
      </c>
      <c r="Y213" s="13">
        <f t="shared" ref="Y213:Y222" si="42">SUM(E213:X213)</f>
        <v>22</v>
      </c>
    </row>
    <row r="214" ht="12.75" customHeight="1">
      <c r="A214" s="30" t="s">
        <v>39</v>
      </c>
      <c r="B214" s="55">
        <v>1.0</v>
      </c>
      <c r="C214" s="50" t="s">
        <v>157</v>
      </c>
      <c r="D214" s="59"/>
      <c r="E214" s="19">
        <v>0.0</v>
      </c>
      <c r="F214" s="19">
        <v>5.0</v>
      </c>
      <c r="G214" s="19">
        <v>10.0</v>
      </c>
      <c r="H214" s="19">
        <v>9.0</v>
      </c>
      <c r="I214" s="19">
        <v>2.0</v>
      </c>
      <c r="J214" s="19">
        <v>22.0</v>
      </c>
      <c r="K214" s="19">
        <v>21.0</v>
      </c>
      <c r="L214" s="19">
        <v>8.0</v>
      </c>
      <c r="M214" s="19">
        <v>32.0</v>
      </c>
      <c r="N214" s="19">
        <v>2.0</v>
      </c>
      <c r="O214" s="19">
        <v>7.0</v>
      </c>
      <c r="P214" s="19">
        <v>9.0</v>
      </c>
      <c r="Q214" s="19">
        <v>8.0</v>
      </c>
      <c r="R214" s="19">
        <v>44.0</v>
      </c>
      <c r="S214" s="19">
        <v>5.0</v>
      </c>
      <c r="T214" s="19">
        <v>10.0</v>
      </c>
      <c r="U214" s="19">
        <v>9.0</v>
      </c>
      <c r="V214" s="19">
        <v>13.0</v>
      </c>
      <c r="W214" s="19">
        <v>9.0</v>
      </c>
      <c r="X214" s="19">
        <v>5.0</v>
      </c>
      <c r="Y214" s="13">
        <f t="shared" si="42"/>
        <v>230</v>
      </c>
    </row>
    <row r="215" ht="12.75" customHeight="1">
      <c r="A215" s="18"/>
      <c r="B215" s="55">
        <v>2.0</v>
      </c>
      <c r="C215" s="50" t="s">
        <v>158</v>
      </c>
      <c r="D215" s="59"/>
      <c r="E215" s="19">
        <v>0.0</v>
      </c>
      <c r="F215" s="19">
        <v>4.0</v>
      </c>
      <c r="G215" s="19">
        <v>1.0</v>
      </c>
      <c r="H215" s="19">
        <v>2.0</v>
      </c>
      <c r="I215" s="19">
        <v>0.0</v>
      </c>
      <c r="J215" s="19">
        <v>0.0</v>
      </c>
      <c r="K215" s="19">
        <v>11.0</v>
      </c>
      <c r="L215" s="19">
        <v>1.0</v>
      </c>
      <c r="M215" s="19">
        <v>3.0</v>
      </c>
      <c r="N215" s="19">
        <v>2.0</v>
      </c>
      <c r="O215" s="19">
        <v>5.0</v>
      </c>
      <c r="P215" s="19">
        <v>10.0</v>
      </c>
      <c r="Q215" s="19">
        <v>1.0</v>
      </c>
      <c r="R215" s="19">
        <v>0.0</v>
      </c>
      <c r="S215" s="19">
        <v>4.0</v>
      </c>
      <c r="T215" s="19">
        <v>0.0</v>
      </c>
      <c r="U215" s="19">
        <v>0.0</v>
      </c>
      <c r="V215" s="19">
        <v>5.0</v>
      </c>
      <c r="W215" s="19">
        <v>4.0</v>
      </c>
      <c r="X215" s="19">
        <v>0.0</v>
      </c>
      <c r="Y215" s="13">
        <f t="shared" si="42"/>
        <v>53</v>
      </c>
    </row>
    <row r="216" ht="12.75" customHeight="1">
      <c r="A216" s="18"/>
      <c r="B216" s="55">
        <v>3.0</v>
      </c>
      <c r="C216" s="70" t="s">
        <v>159</v>
      </c>
      <c r="E216" s="19">
        <v>0.0</v>
      </c>
      <c r="F216" s="19">
        <v>0.0</v>
      </c>
      <c r="G216" s="19">
        <v>0.0</v>
      </c>
      <c r="H216" s="19">
        <v>0.0</v>
      </c>
      <c r="I216" s="19">
        <v>0.0</v>
      </c>
      <c r="J216" s="19">
        <v>0.0</v>
      </c>
      <c r="K216" s="19">
        <v>0.0</v>
      </c>
      <c r="L216" s="19">
        <v>0.0</v>
      </c>
      <c r="M216" s="19">
        <v>0.0</v>
      </c>
      <c r="N216" s="19">
        <v>0.0</v>
      </c>
      <c r="O216" s="19">
        <v>1.0</v>
      </c>
      <c r="P216" s="19">
        <v>0.0</v>
      </c>
      <c r="Q216" s="19">
        <v>1.0</v>
      </c>
      <c r="R216" s="19">
        <v>1.0</v>
      </c>
      <c r="S216" s="19">
        <v>0.0</v>
      </c>
      <c r="T216" s="19">
        <v>0.0</v>
      </c>
      <c r="U216" s="19">
        <v>0.0</v>
      </c>
      <c r="V216" s="19">
        <v>0.0</v>
      </c>
      <c r="W216" s="19">
        <v>1.0</v>
      </c>
      <c r="X216" s="19">
        <v>0.0</v>
      </c>
      <c r="Y216" s="13">
        <f t="shared" si="42"/>
        <v>4</v>
      </c>
    </row>
    <row r="217" ht="12.75" customHeight="1">
      <c r="A217" s="18"/>
      <c r="B217" s="55">
        <v>4.0</v>
      </c>
      <c r="C217" s="50" t="s">
        <v>160</v>
      </c>
      <c r="D217" s="59"/>
      <c r="E217" s="19">
        <v>0.0</v>
      </c>
      <c r="F217" s="19">
        <v>0.0</v>
      </c>
      <c r="G217" s="19">
        <v>0.0</v>
      </c>
      <c r="H217" s="19">
        <v>0.0</v>
      </c>
      <c r="I217" s="19">
        <v>0.0</v>
      </c>
      <c r="J217" s="19">
        <v>0.0</v>
      </c>
      <c r="K217" s="19">
        <v>0.0</v>
      </c>
      <c r="L217" s="19">
        <v>0.0</v>
      </c>
      <c r="M217" s="19">
        <v>0.0</v>
      </c>
      <c r="N217" s="19">
        <v>0.0</v>
      </c>
      <c r="O217" s="19">
        <v>0.0</v>
      </c>
      <c r="P217" s="19">
        <v>0.0</v>
      </c>
      <c r="Q217" s="19">
        <v>0.0</v>
      </c>
      <c r="R217" s="19">
        <v>0.0</v>
      </c>
      <c r="S217" s="19">
        <v>0.0</v>
      </c>
      <c r="T217" s="19">
        <v>0.0</v>
      </c>
      <c r="U217" s="19">
        <v>0.0</v>
      </c>
      <c r="V217" s="19">
        <v>0.0</v>
      </c>
      <c r="W217" s="19">
        <v>0.0</v>
      </c>
      <c r="X217" s="19">
        <v>0.0</v>
      </c>
      <c r="Y217" s="13">
        <f t="shared" si="42"/>
        <v>0</v>
      </c>
    </row>
    <row r="218" ht="12.75" customHeight="1">
      <c r="A218" s="18"/>
      <c r="B218" s="55">
        <v>5.0</v>
      </c>
      <c r="C218" s="50" t="s">
        <v>161</v>
      </c>
      <c r="D218" s="59"/>
      <c r="E218" s="19">
        <v>0.0</v>
      </c>
      <c r="F218" s="19">
        <v>0.0</v>
      </c>
      <c r="G218" s="19">
        <v>0.0</v>
      </c>
      <c r="H218" s="19">
        <v>0.0</v>
      </c>
      <c r="I218" s="19">
        <v>0.0</v>
      </c>
      <c r="J218" s="19">
        <v>0.0</v>
      </c>
      <c r="K218" s="19">
        <v>0.0</v>
      </c>
      <c r="L218" s="19">
        <v>0.0</v>
      </c>
      <c r="M218" s="19">
        <v>0.0</v>
      </c>
      <c r="N218" s="19">
        <v>0.0</v>
      </c>
      <c r="O218" s="19">
        <v>0.0</v>
      </c>
      <c r="P218" s="19">
        <v>0.0</v>
      </c>
      <c r="Q218" s="19">
        <v>0.0</v>
      </c>
      <c r="R218" s="19">
        <v>0.0</v>
      </c>
      <c r="S218" s="19">
        <v>0.0</v>
      </c>
      <c r="T218" s="19">
        <v>0.0</v>
      </c>
      <c r="U218" s="19">
        <v>0.0</v>
      </c>
      <c r="V218" s="19">
        <v>0.0</v>
      </c>
      <c r="W218" s="19">
        <v>0.0</v>
      </c>
      <c r="X218" s="19">
        <v>0.0</v>
      </c>
      <c r="Y218" s="13">
        <f t="shared" si="42"/>
        <v>0</v>
      </c>
    </row>
    <row r="219" ht="12.75" customHeight="1">
      <c r="A219" s="18"/>
      <c r="B219" s="55">
        <v>6.0</v>
      </c>
      <c r="C219" s="50" t="s">
        <v>162</v>
      </c>
      <c r="D219" s="59"/>
      <c r="E219" s="19">
        <v>0.0</v>
      </c>
      <c r="F219" s="19">
        <v>0.0</v>
      </c>
      <c r="G219" s="19">
        <v>0.0</v>
      </c>
      <c r="H219" s="19">
        <v>1.0</v>
      </c>
      <c r="I219" s="19">
        <v>0.0</v>
      </c>
      <c r="J219" s="19">
        <v>0.0</v>
      </c>
      <c r="K219" s="19">
        <v>0.0</v>
      </c>
      <c r="L219" s="19">
        <v>0.0</v>
      </c>
      <c r="M219" s="19">
        <v>0.0</v>
      </c>
      <c r="N219" s="19">
        <v>0.0</v>
      </c>
      <c r="O219" s="19">
        <v>0.0</v>
      </c>
      <c r="P219" s="19">
        <v>0.0</v>
      </c>
      <c r="Q219" s="19">
        <v>0.0</v>
      </c>
      <c r="R219" s="19">
        <v>0.0</v>
      </c>
      <c r="S219" s="19">
        <v>0.0</v>
      </c>
      <c r="T219" s="19">
        <v>0.0</v>
      </c>
      <c r="U219" s="19">
        <v>0.0</v>
      </c>
      <c r="V219" s="19">
        <v>0.0</v>
      </c>
      <c r="W219" s="19">
        <v>0.0</v>
      </c>
      <c r="X219" s="19">
        <v>0.0</v>
      </c>
      <c r="Y219" s="13">
        <f t="shared" si="42"/>
        <v>1</v>
      </c>
    </row>
    <row r="220" ht="12.75" customHeight="1">
      <c r="A220" s="18"/>
      <c r="B220" s="55">
        <v>7.0</v>
      </c>
      <c r="C220" s="50" t="s">
        <v>163</v>
      </c>
      <c r="D220" s="59"/>
      <c r="E220" s="19">
        <v>0.0</v>
      </c>
      <c r="F220" s="19">
        <v>0.0</v>
      </c>
      <c r="G220" s="19">
        <v>0.0</v>
      </c>
      <c r="H220" s="19">
        <v>0.0</v>
      </c>
      <c r="I220" s="19">
        <v>0.0</v>
      </c>
      <c r="J220" s="19">
        <v>0.0</v>
      </c>
      <c r="K220" s="19">
        <v>0.0</v>
      </c>
      <c r="L220" s="19">
        <v>0.0</v>
      </c>
      <c r="M220" s="19">
        <v>0.0</v>
      </c>
      <c r="N220" s="19">
        <v>0.0</v>
      </c>
      <c r="O220" s="19">
        <v>0.0</v>
      </c>
      <c r="P220" s="19">
        <v>0.0</v>
      </c>
      <c r="Q220" s="19">
        <v>0.0</v>
      </c>
      <c r="R220" s="19">
        <v>0.0</v>
      </c>
      <c r="S220" s="19">
        <v>0.0</v>
      </c>
      <c r="T220" s="19">
        <v>0.0</v>
      </c>
      <c r="U220" s="19">
        <v>0.0</v>
      </c>
      <c r="V220" s="19">
        <v>0.0</v>
      </c>
      <c r="W220" s="19">
        <v>0.0</v>
      </c>
      <c r="X220" s="19">
        <v>0.0</v>
      </c>
      <c r="Y220" s="13">
        <f t="shared" si="42"/>
        <v>0</v>
      </c>
    </row>
    <row r="221" ht="12.75" customHeight="1">
      <c r="A221" s="18"/>
      <c r="B221" s="56"/>
      <c r="C221" s="57"/>
      <c r="D221" s="61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3">
        <f t="shared" si="42"/>
        <v>0</v>
      </c>
    </row>
    <row r="222" ht="12.75" customHeight="1">
      <c r="A222" s="18"/>
      <c r="B222" s="56"/>
      <c r="C222" s="57"/>
      <c r="D222" s="61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3">
        <f t="shared" si="42"/>
        <v>0</v>
      </c>
    </row>
    <row r="223" ht="12.75" customHeight="1">
      <c r="A223" s="19" t="s">
        <v>15</v>
      </c>
      <c r="B223" s="47" t="s">
        <v>47</v>
      </c>
      <c r="C223" s="15"/>
      <c r="D223" s="16"/>
      <c r="E223" s="13">
        <f t="shared" ref="E223:Y223" si="43">SUM(E213:E222)</f>
        <v>0</v>
      </c>
      <c r="F223" s="13">
        <f t="shared" si="43"/>
        <v>13</v>
      </c>
      <c r="G223" s="13">
        <f t="shared" si="43"/>
        <v>11</v>
      </c>
      <c r="H223" s="13">
        <f t="shared" si="43"/>
        <v>12</v>
      </c>
      <c r="I223" s="13">
        <f t="shared" si="43"/>
        <v>2</v>
      </c>
      <c r="J223" s="13">
        <f t="shared" si="43"/>
        <v>24</v>
      </c>
      <c r="K223" s="13">
        <f t="shared" si="43"/>
        <v>33</v>
      </c>
      <c r="L223" s="13">
        <f t="shared" si="43"/>
        <v>10</v>
      </c>
      <c r="M223" s="13">
        <f t="shared" si="43"/>
        <v>38</v>
      </c>
      <c r="N223" s="13">
        <f t="shared" si="43"/>
        <v>4</v>
      </c>
      <c r="O223" s="13">
        <f t="shared" si="43"/>
        <v>14</v>
      </c>
      <c r="P223" s="13">
        <f t="shared" si="43"/>
        <v>20</v>
      </c>
      <c r="Q223" s="13">
        <f t="shared" si="43"/>
        <v>10</v>
      </c>
      <c r="R223" s="13">
        <f t="shared" si="43"/>
        <v>47</v>
      </c>
      <c r="S223" s="13">
        <f t="shared" si="43"/>
        <v>10</v>
      </c>
      <c r="T223" s="13">
        <f t="shared" si="43"/>
        <v>11</v>
      </c>
      <c r="U223" s="13">
        <f t="shared" si="43"/>
        <v>9</v>
      </c>
      <c r="V223" s="13">
        <f t="shared" si="43"/>
        <v>21</v>
      </c>
      <c r="W223" s="13">
        <f t="shared" si="43"/>
        <v>15</v>
      </c>
      <c r="X223" s="13">
        <f t="shared" si="43"/>
        <v>6</v>
      </c>
      <c r="Y223" s="13">
        <f t="shared" si="43"/>
        <v>310</v>
      </c>
    </row>
    <row r="224" ht="12.75" customHeight="1">
      <c r="A224" s="24"/>
      <c r="B224" s="15"/>
      <c r="C224" s="15"/>
      <c r="D224" s="15"/>
      <c r="E224" s="16"/>
      <c r="F224" s="84"/>
      <c r="G224" s="84"/>
      <c r="H224" s="84"/>
      <c r="I224" s="84"/>
      <c r="J224" s="84"/>
      <c r="K224" s="84"/>
      <c r="L224" s="84"/>
      <c r="M224" s="84"/>
      <c r="N224" s="84"/>
      <c r="O224" s="84"/>
      <c r="P224" s="84"/>
      <c r="Q224" s="84"/>
      <c r="R224" s="84"/>
      <c r="S224" s="84"/>
      <c r="T224" s="84"/>
      <c r="U224" s="84"/>
      <c r="V224" s="84"/>
      <c r="W224" s="84"/>
      <c r="X224" s="84"/>
      <c r="Y224" s="84"/>
    </row>
    <row r="225" ht="12.75" customHeight="1">
      <c r="A225" s="30" t="s">
        <v>37</v>
      </c>
      <c r="B225" s="47" t="s">
        <v>164</v>
      </c>
      <c r="C225" s="48" t="s">
        <v>165</v>
      </c>
      <c r="D225" s="16"/>
      <c r="E225" s="19">
        <v>0.0</v>
      </c>
      <c r="F225" s="19">
        <v>0.0</v>
      </c>
      <c r="G225" s="19">
        <v>0.0</v>
      </c>
      <c r="H225" s="19">
        <v>0.0</v>
      </c>
      <c r="I225" s="19">
        <v>0.0</v>
      </c>
      <c r="J225" s="19">
        <v>0.0</v>
      </c>
      <c r="K225" s="19">
        <v>1.0</v>
      </c>
      <c r="L225" s="19">
        <v>0.0</v>
      </c>
      <c r="M225" s="19">
        <v>0.0</v>
      </c>
      <c r="N225" s="19">
        <v>0.0</v>
      </c>
      <c r="O225" s="19">
        <v>0.0</v>
      </c>
      <c r="P225" s="19">
        <v>0.0</v>
      </c>
      <c r="Q225" s="19">
        <v>0.0</v>
      </c>
      <c r="R225" s="19">
        <v>0.0</v>
      </c>
      <c r="S225" s="19">
        <v>0.0</v>
      </c>
      <c r="T225" s="19">
        <v>0.0</v>
      </c>
      <c r="U225" s="19">
        <v>1.0</v>
      </c>
      <c r="V225" s="19">
        <v>0.0</v>
      </c>
      <c r="W225" s="19">
        <v>0.0</v>
      </c>
      <c r="X225" s="19">
        <v>0.0</v>
      </c>
      <c r="Y225" s="13">
        <f t="shared" ref="Y225:Y234" si="44">SUM(E225:X225)</f>
        <v>2</v>
      </c>
    </row>
    <row r="226" ht="12.75" customHeight="1">
      <c r="A226" s="30" t="s">
        <v>39</v>
      </c>
      <c r="B226" s="55">
        <v>1.0</v>
      </c>
      <c r="C226" s="50" t="s">
        <v>166</v>
      </c>
      <c r="D226" s="60"/>
      <c r="E226" s="19">
        <v>0.0</v>
      </c>
      <c r="F226" s="19">
        <v>0.0</v>
      </c>
      <c r="G226" s="19">
        <v>0.0</v>
      </c>
      <c r="H226" s="19">
        <v>0.0</v>
      </c>
      <c r="I226" s="19">
        <v>0.0</v>
      </c>
      <c r="J226" s="19">
        <v>0.0</v>
      </c>
      <c r="K226" s="19">
        <v>0.0</v>
      </c>
      <c r="L226" s="19">
        <v>0.0</v>
      </c>
      <c r="M226" s="19">
        <v>0.0</v>
      </c>
      <c r="N226" s="19">
        <v>0.0</v>
      </c>
      <c r="O226" s="19">
        <v>0.0</v>
      </c>
      <c r="P226" s="19">
        <v>0.0</v>
      </c>
      <c r="Q226" s="19">
        <v>0.0</v>
      </c>
      <c r="R226" s="19">
        <v>0.0</v>
      </c>
      <c r="S226" s="19">
        <v>0.0</v>
      </c>
      <c r="T226" s="19">
        <v>0.0</v>
      </c>
      <c r="U226" s="19">
        <v>0.0</v>
      </c>
      <c r="V226" s="19">
        <v>0.0</v>
      </c>
      <c r="W226" s="19">
        <v>0.0</v>
      </c>
      <c r="X226" s="19">
        <v>0.0</v>
      </c>
      <c r="Y226" s="13">
        <f t="shared" si="44"/>
        <v>0</v>
      </c>
    </row>
    <row r="227" ht="12.75" customHeight="1">
      <c r="A227" s="18"/>
      <c r="B227" s="55">
        <v>2.0</v>
      </c>
      <c r="C227" s="50" t="s">
        <v>167</v>
      </c>
      <c r="D227" s="60"/>
      <c r="E227" s="19">
        <v>0.0</v>
      </c>
      <c r="F227" s="19">
        <v>0.0</v>
      </c>
      <c r="G227" s="19">
        <v>0.0</v>
      </c>
      <c r="H227" s="19">
        <v>0.0</v>
      </c>
      <c r="I227" s="19">
        <v>0.0</v>
      </c>
      <c r="J227" s="19">
        <v>0.0</v>
      </c>
      <c r="K227" s="19">
        <v>0.0</v>
      </c>
      <c r="L227" s="19">
        <v>0.0</v>
      </c>
      <c r="M227" s="19">
        <v>0.0</v>
      </c>
      <c r="N227" s="19">
        <v>0.0</v>
      </c>
      <c r="O227" s="19">
        <v>0.0</v>
      </c>
      <c r="P227" s="19">
        <v>0.0</v>
      </c>
      <c r="Q227" s="19">
        <v>0.0</v>
      </c>
      <c r="R227" s="19">
        <v>0.0</v>
      </c>
      <c r="S227" s="19">
        <v>0.0</v>
      </c>
      <c r="T227" s="19">
        <v>0.0</v>
      </c>
      <c r="U227" s="19">
        <v>0.0</v>
      </c>
      <c r="V227" s="19">
        <v>0.0</v>
      </c>
      <c r="W227" s="19">
        <v>0.0</v>
      </c>
      <c r="X227" s="19">
        <v>0.0</v>
      </c>
      <c r="Y227" s="13">
        <f t="shared" si="44"/>
        <v>0</v>
      </c>
    </row>
    <row r="228" ht="12.75" customHeight="1">
      <c r="A228" s="18"/>
      <c r="B228" s="55">
        <v>3.0</v>
      </c>
      <c r="C228" s="50" t="s">
        <v>168</v>
      </c>
      <c r="D228" s="60"/>
      <c r="E228" s="19">
        <v>0.0</v>
      </c>
      <c r="F228" s="19">
        <v>0.0</v>
      </c>
      <c r="G228" s="19">
        <v>0.0</v>
      </c>
      <c r="H228" s="19">
        <v>0.0</v>
      </c>
      <c r="I228" s="19">
        <v>0.0</v>
      </c>
      <c r="J228" s="19">
        <v>0.0</v>
      </c>
      <c r="K228" s="19">
        <v>0.0</v>
      </c>
      <c r="L228" s="19">
        <v>0.0</v>
      </c>
      <c r="M228" s="19">
        <v>0.0</v>
      </c>
      <c r="N228" s="19">
        <v>1.0</v>
      </c>
      <c r="O228" s="19">
        <v>0.0</v>
      </c>
      <c r="P228" s="19">
        <v>0.0</v>
      </c>
      <c r="Q228" s="19">
        <v>0.0</v>
      </c>
      <c r="R228" s="19">
        <v>0.0</v>
      </c>
      <c r="S228" s="19">
        <v>0.0</v>
      </c>
      <c r="T228" s="19">
        <v>0.0</v>
      </c>
      <c r="U228" s="19">
        <v>0.0</v>
      </c>
      <c r="V228" s="19">
        <v>0.0</v>
      </c>
      <c r="W228" s="19">
        <v>0.0</v>
      </c>
      <c r="X228" s="19">
        <v>0.0</v>
      </c>
      <c r="Y228" s="13">
        <f t="shared" si="44"/>
        <v>1</v>
      </c>
    </row>
    <row r="229" ht="12.75" customHeight="1">
      <c r="A229" s="18"/>
      <c r="B229" s="55">
        <v>4.0</v>
      </c>
      <c r="C229" s="50" t="s">
        <v>169</v>
      </c>
      <c r="D229" s="60"/>
      <c r="E229" s="19">
        <v>0.0</v>
      </c>
      <c r="F229" s="19">
        <v>0.0</v>
      </c>
      <c r="G229" s="19">
        <v>0.0</v>
      </c>
      <c r="H229" s="19">
        <v>0.0</v>
      </c>
      <c r="I229" s="19">
        <v>0.0</v>
      </c>
      <c r="J229" s="19">
        <v>0.0</v>
      </c>
      <c r="K229" s="19">
        <v>0.0</v>
      </c>
      <c r="L229" s="19">
        <v>0.0</v>
      </c>
      <c r="M229" s="19">
        <v>0.0</v>
      </c>
      <c r="N229" s="19">
        <v>0.0</v>
      </c>
      <c r="O229" s="19">
        <v>0.0</v>
      </c>
      <c r="P229" s="19">
        <v>0.0</v>
      </c>
      <c r="Q229" s="19">
        <v>0.0</v>
      </c>
      <c r="R229" s="19">
        <v>0.0</v>
      </c>
      <c r="S229" s="19">
        <v>0.0</v>
      </c>
      <c r="T229" s="19">
        <v>0.0</v>
      </c>
      <c r="U229" s="19">
        <v>0.0</v>
      </c>
      <c r="V229" s="19">
        <v>0.0</v>
      </c>
      <c r="W229" s="19">
        <v>0.0</v>
      </c>
      <c r="X229" s="19">
        <v>0.0</v>
      </c>
      <c r="Y229" s="13">
        <f t="shared" si="44"/>
        <v>0</v>
      </c>
    </row>
    <row r="230" ht="12.75" customHeight="1">
      <c r="A230" s="18"/>
      <c r="B230" s="55">
        <v>5.0</v>
      </c>
      <c r="C230" s="50" t="s">
        <v>170</v>
      </c>
      <c r="D230" s="60"/>
      <c r="E230" s="19">
        <v>0.0</v>
      </c>
      <c r="F230" s="19">
        <v>0.0</v>
      </c>
      <c r="G230" s="19">
        <v>0.0</v>
      </c>
      <c r="H230" s="19">
        <v>0.0</v>
      </c>
      <c r="I230" s="19">
        <v>0.0</v>
      </c>
      <c r="J230" s="19">
        <v>0.0</v>
      </c>
      <c r="K230" s="19">
        <v>0.0</v>
      </c>
      <c r="L230" s="19">
        <v>0.0</v>
      </c>
      <c r="M230" s="19">
        <v>0.0</v>
      </c>
      <c r="N230" s="19">
        <v>0.0</v>
      </c>
      <c r="O230" s="19">
        <v>0.0</v>
      </c>
      <c r="P230" s="19">
        <v>0.0</v>
      </c>
      <c r="Q230" s="19">
        <v>1.0</v>
      </c>
      <c r="R230" s="19">
        <v>0.0</v>
      </c>
      <c r="S230" s="19">
        <v>0.0</v>
      </c>
      <c r="T230" s="19">
        <v>0.0</v>
      </c>
      <c r="U230" s="19">
        <v>0.0</v>
      </c>
      <c r="V230" s="19">
        <v>0.0</v>
      </c>
      <c r="W230" s="19">
        <v>0.0</v>
      </c>
      <c r="X230" s="19">
        <v>0.0</v>
      </c>
      <c r="Y230" s="13">
        <f t="shared" si="44"/>
        <v>1</v>
      </c>
    </row>
    <row r="231" ht="12.75" customHeight="1">
      <c r="A231" s="18"/>
      <c r="B231" s="55">
        <v>6.0</v>
      </c>
      <c r="C231" s="50" t="s">
        <v>171</v>
      </c>
      <c r="D231" s="60"/>
      <c r="E231" s="19">
        <v>0.0</v>
      </c>
      <c r="F231" s="19">
        <v>0.0</v>
      </c>
      <c r="G231" s="19">
        <v>0.0</v>
      </c>
      <c r="H231" s="19">
        <v>0.0</v>
      </c>
      <c r="I231" s="19">
        <v>0.0</v>
      </c>
      <c r="J231" s="19">
        <v>0.0</v>
      </c>
      <c r="K231" s="19">
        <v>0.0</v>
      </c>
      <c r="L231" s="19">
        <v>0.0</v>
      </c>
      <c r="M231" s="19">
        <v>0.0</v>
      </c>
      <c r="N231" s="19">
        <v>0.0</v>
      </c>
      <c r="O231" s="19">
        <v>0.0</v>
      </c>
      <c r="P231" s="19">
        <v>0.0</v>
      </c>
      <c r="Q231" s="19">
        <v>0.0</v>
      </c>
      <c r="R231" s="19">
        <v>0.0</v>
      </c>
      <c r="S231" s="19">
        <v>0.0</v>
      </c>
      <c r="T231" s="19">
        <v>0.0</v>
      </c>
      <c r="U231" s="19">
        <v>0.0</v>
      </c>
      <c r="V231" s="19">
        <v>0.0</v>
      </c>
      <c r="W231" s="19">
        <v>0.0</v>
      </c>
      <c r="X231" s="19">
        <v>0.0</v>
      </c>
      <c r="Y231" s="13">
        <f t="shared" si="44"/>
        <v>0</v>
      </c>
    </row>
    <row r="232" ht="12.75" customHeight="1">
      <c r="A232" s="18"/>
      <c r="B232" s="55">
        <v>7.0</v>
      </c>
      <c r="C232" s="50" t="s">
        <v>172</v>
      </c>
      <c r="D232" s="60"/>
      <c r="E232" s="19">
        <v>0.0</v>
      </c>
      <c r="F232" s="19">
        <v>0.0</v>
      </c>
      <c r="G232" s="19">
        <v>0.0</v>
      </c>
      <c r="H232" s="19">
        <v>0.0</v>
      </c>
      <c r="I232" s="19">
        <v>0.0</v>
      </c>
      <c r="J232" s="19">
        <v>0.0</v>
      </c>
      <c r="K232" s="19">
        <v>0.0</v>
      </c>
      <c r="L232" s="19">
        <v>0.0</v>
      </c>
      <c r="M232" s="19">
        <v>0.0</v>
      </c>
      <c r="N232" s="19">
        <v>0.0</v>
      </c>
      <c r="O232" s="19">
        <v>0.0</v>
      </c>
      <c r="P232" s="19">
        <v>0.0</v>
      </c>
      <c r="Q232" s="19">
        <v>0.0</v>
      </c>
      <c r="R232" s="19">
        <v>0.0</v>
      </c>
      <c r="S232" s="19">
        <v>0.0</v>
      </c>
      <c r="T232" s="19">
        <v>0.0</v>
      </c>
      <c r="U232" s="19">
        <v>0.0</v>
      </c>
      <c r="V232" s="19">
        <v>0.0</v>
      </c>
      <c r="W232" s="19">
        <v>0.0</v>
      </c>
      <c r="X232" s="19">
        <v>0.0</v>
      </c>
      <c r="Y232" s="13">
        <f t="shared" si="44"/>
        <v>0</v>
      </c>
    </row>
    <row r="233" ht="12.75" customHeight="1">
      <c r="A233" s="18"/>
      <c r="B233" s="56"/>
      <c r="C233" s="57"/>
      <c r="D233" s="62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3">
        <f t="shared" si="44"/>
        <v>0</v>
      </c>
    </row>
    <row r="234" ht="12.75" customHeight="1">
      <c r="A234" s="18"/>
      <c r="B234" s="56"/>
      <c r="C234" s="57"/>
      <c r="D234" s="62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3">
        <f t="shared" si="44"/>
        <v>0</v>
      </c>
    </row>
    <row r="235" ht="12.75" customHeight="1">
      <c r="A235" s="19" t="s">
        <v>15</v>
      </c>
      <c r="B235" s="47" t="s">
        <v>47</v>
      </c>
      <c r="C235" s="15"/>
      <c r="D235" s="16"/>
      <c r="E235" s="13">
        <f t="shared" ref="E235:Y235" si="45">SUM(E225:E234)</f>
        <v>0</v>
      </c>
      <c r="F235" s="13">
        <f t="shared" si="45"/>
        <v>0</v>
      </c>
      <c r="G235" s="13">
        <f t="shared" si="45"/>
        <v>0</v>
      </c>
      <c r="H235" s="13">
        <f t="shared" si="45"/>
        <v>0</v>
      </c>
      <c r="I235" s="13">
        <f t="shared" si="45"/>
        <v>0</v>
      </c>
      <c r="J235" s="13">
        <f t="shared" si="45"/>
        <v>0</v>
      </c>
      <c r="K235" s="13">
        <f t="shared" si="45"/>
        <v>1</v>
      </c>
      <c r="L235" s="13">
        <f t="shared" si="45"/>
        <v>0</v>
      </c>
      <c r="M235" s="13">
        <f t="shared" si="45"/>
        <v>0</v>
      </c>
      <c r="N235" s="13">
        <f t="shared" si="45"/>
        <v>1</v>
      </c>
      <c r="O235" s="13">
        <f t="shared" si="45"/>
        <v>0</v>
      </c>
      <c r="P235" s="13">
        <f t="shared" si="45"/>
        <v>0</v>
      </c>
      <c r="Q235" s="13">
        <f t="shared" si="45"/>
        <v>1</v>
      </c>
      <c r="R235" s="13">
        <f t="shared" si="45"/>
        <v>0</v>
      </c>
      <c r="S235" s="13">
        <f t="shared" si="45"/>
        <v>0</v>
      </c>
      <c r="T235" s="13">
        <f t="shared" si="45"/>
        <v>0</v>
      </c>
      <c r="U235" s="13">
        <f t="shared" si="45"/>
        <v>1</v>
      </c>
      <c r="V235" s="13">
        <f t="shared" si="45"/>
        <v>0</v>
      </c>
      <c r="W235" s="13">
        <f t="shared" si="45"/>
        <v>0</v>
      </c>
      <c r="X235" s="13">
        <f t="shared" si="45"/>
        <v>0</v>
      </c>
      <c r="Y235" s="13">
        <f t="shared" si="45"/>
        <v>4</v>
      </c>
    </row>
    <row r="236" ht="12.75" customHeight="1">
      <c r="A236" s="24"/>
      <c r="B236" s="15"/>
      <c r="C236" s="15"/>
      <c r="D236" s="15"/>
      <c r="E236" s="16"/>
      <c r="F236" s="84"/>
      <c r="G236" s="84"/>
      <c r="H236" s="84"/>
      <c r="I236" s="84"/>
      <c r="J236" s="84"/>
      <c r="K236" s="84"/>
      <c r="L236" s="84"/>
      <c r="M236" s="84"/>
      <c r="N236" s="84"/>
      <c r="O236" s="84"/>
      <c r="P236" s="84"/>
      <c r="Q236" s="84"/>
      <c r="R236" s="84"/>
      <c r="S236" s="84"/>
      <c r="T236" s="84"/>
      <c r="U236" s="84"/>
      <c r="V236" s="84"/>
      <c r="W236" s="84"/>
      <c r="X236" s="84"/>
      <c r="Y236" s="84"/>
    </row>
    <row r="237" ht="12.75" customHeight="1">
      <c r="A237" s="30" t="s">
        <v>37</v>
      </c>
      <c r="B237" s="47" t="s">
        <v>173</v>
      </c>
      <c r="C237" s="48" t="s">
        <v>174</v>
      </c>
      <c r="D237" s="16"/>
      <c r="E237" s="19">
        <v>5.0</v>
      </c>
      <c r="F237" s="19">
        <v>0.0</v>
      </c>
      <c r="G237" s="19">
        <v>2.0</v>
      </c>
      <c r="H237" s="19">
        <v>3.0</v>
      </c>
      <c r="I237" s="19">
        <v>3.0</v>
      </c>
      <c r="J237" s="19">
        <v>3.0</v>
      </c>
      <c r="K237" s="19">
        <v>1.0</v>
      </c>
      <c r="L237" s="19">
        <v>3.0</v>
      </c>
      <c r="M237" s="19">
        <v>1.0</v>
      </c>
      <c r="N237" s="19">
        <v>6.0</v>
      </c>
      <c r="O237" s="19">
        <v>1.0</v>
      </c>
      <c r="P237" s="19">
        <v>5.0</v>
      </c>
      <c r="Q237" s="19">
        <v>4.0</v>
      </c>
      <c r="R237" s="19">
        <v>0.0</v>
      </c>
      <c r="S237" s="19">
        <v>0.0</v>
      </c>
      <c r="T237" s="19">
        <v>0.0</v>
      </c>
      <c r="U237" s="19">
        <v>1.0</v>
      </c>
      <c r="V237" s="19">
        <v>2.0</v>
      </c>
      <c r="W237" s="19">
        <v>0.0</v>
      </c>
      <c r="X237" s="19">
        <v>0.0</v>
      </c>
      <c r="Y237" s="13">
        <f t="shared" ref="Y237:Y246" si="46">SUM(E237:X237)</f>
        <v>40</v>
      </c>
    </row>
    <row r="238" ht="12.75" customHeight="1">
      <c r="A238" s="30" t="s">
        <v>39</v>
      </c>
      <c r="B238" s="55">
        <v>1.0</v>
      </c>
      <c r="C238" s="50" t="s">
        <v>175</v>
      </c>
      <c r="D238" s="60"/>
      <c r="E238" s="19">
        <v>2.0</v>
      </c>
      <c r="F238" s="19">
        <v>1.0</v>
      </c>
      <c r="G238" s="19">
        <v>0.0</v>
      </c>
      <c r="H238" s="19">
        <v>0.0</v>
      </c>
      <c r="I238" s="19">
        <v>4.0</v>
      </c>
      <c r="J238" s="19">
        <v>2.0</v>
      </c>
      <c r="K238" s="19">
        <v>0.0</v>
      </c>
      <c r="L238" s="19">
        <v>0.0</v>
      </c>
      <c r="M238" s="19">
        <v>3.0</v>
      </c>
      <c r="N238" s="19">
        <v>1.0</v>
      </c>
      <c r="O238" s="19">
        <v>1.0</v>
      </c>
      <c r="P238" s="19">
        <v>0.0</v>
      </c>
      <c r="Q238" s="19">
        <v>0.0</v>
      </c>
      <c r="R238" s="19">
        <v>0.0</v>
      </c>
      <c r="S238" s="19">
        <v>2.0</v>
      </c>
      <c r="T238" s="19">
        <v>0.0</v>
      </c>
      <c r="U238" s="19">
        <v>1.0</v>
      </c>
      <c r="V238" s="19">
        <v>1.0</v>
      </c>
      <c r="W238" s="19">
        <v>0.0</v>
      </c>
      <c r="X238" s="19">
        <v>0.0</v>
      </c>
      <c r="Y238" s="13">
        <f t="shared" si="46"/>
        <v>18</v>
      </c>
    </row>
    <row r="239" ht="12.75" customHeight="1">
      <c r="A239" s="18"/>
      <c r="B239" s="55">
        <v>2.0</v>
      </c>
      <c r="C239" s="50" t="s">
        <v>176</v>
      </c>
      <c r="D239" s="60"/>
      <c r="E239" s="19">
        <v>94.0</v>
      </c>
      <c r="F239" s="19">
        <v>35.0</v>
      </c>
      <c r="G239" s="19">
        <v>46.0</v>
      </c>
      <c r="H239" s="19">
        <v>10.0</v>
      </c>
      <c r="I239" s="19">
        <v>24.0</v>
      </c>
      <c r="J239" s="19">
        <v>58.0</v>
      </c>
      <c r="K239" s="19">
        <v>12.0</v>
      </c>
      <c r="L239" s="19">
        <v>50.0</v>
      </c>
      <c r="M239" s="19">
        <v>33.0</v>
      </c>
      <c r="N239" s="19">
        <v>44.0</v>
      </c>
      <c r="O239" s="19">
        <v>28.0</v>
      </c>
      <c r="P239" s="19">
        <v>59.0</v>
      </c>
      <c r="Q239" s="19">
        <v>58.0</v>
      </c>
      <c r="R239" s="19">
        <v>14.0</v>
      </c>
      <c r="S239" s="19">
        <v>14.0</v>
      </c>
      <c r="T239" s="19">
        <v>18.0</v>
      </c>
      <c r="U239" s="19">
        <v>8.0</v>
      </c>
      <c r="V239" s="19">
        <v>4.0</v>
      </c>
      <c r="W239" s="19">
        <v>23.0</v>
      </c>
      <c r="X239" s="19">
        <v>10.0</v>
      </c>
      <c r="Y239" s="13">
        <f t="shared" si="46"/>
        <v>642</v>
      </c>
    </row>
    <row r="240" ht="12.75" customHeight="1">
      <c r="A240" s="18"/>
      <c r="B240" s="55">
        <v>3.0</v>
      </c>
      <c r="C240" s="50" t="s">
        <v>177</v>
      </c>
      <c r="D240" s="60"/>
      <c r="E240" s="19">
        <v>0.0</v>
      </c>
      <c r="F240" s="19">
        <v>1.0</v>
      </c>
      <c r="G240" s="19">
        <v>0.0</v>
      </c>
      <c r="H240" s="19">
        <v>0.0</v>
      </c>
      <c r="I240" s="19">
        <v>0.0</v>
      </c>
      <c r="J240" s="19">
        <v>0.0</v>
      </c>
      <c r="K240" s="19">
        <v>0.0</v>
      </c>
      <c r="L240" s="19">
        <v>0.0</v>
      </c>
      <c r="M240" s="19">
        <v>1.0</v>
      </c>
      <c r="N240" s="19">
        <v>0.0</v>
      </c>
      <c r="O240" s="19">
        <v>0.0</v>
      </c>
      <c r="P240" s="19">
        <v>0.0</v>
      </c>
      <c r="Q240" s="19">
        <v>0.0</v>
      </c>
      <c r="R240" s="19">
        <v>1.0</v>
      </c>
      <c r="S240" s="19">
        <v>0.0</v>
      </c>
      <c r="T240" s="19">
        <v>0.0</v>
      </c>
      <c r="U240" s="19">
        <v>0.0</v>
      </c>
      <c r="V240" s="19">
        <v>0.0</v>
      </c>
      <c r="W240" s="19">
        <v>0.0</v>
      </c>
      <c r="X240" s="19">
        <v>0.0</v>
      </c>
      <c r="Y240" s="13">
        <f t="shared" si="46"/>
        <v>3</v>
      </c>
    </row>
    <row r="241" ht="12.75" customHeight="1">
      <c r="A241" s="18"/>
      <c r="B241" s="55">
        <v>4.0</v>
      </c>
      <c r="C241" s="50" t="s">
        <v>178</v>
      </c>
      <c r="D241" s="60"/>
      <c r="E241" s="19">
        <v>0.0</v>
      </c>
      <c r="F241" s="19">
        <v>1.0</v>
      </c>
      <c r="G241" s="19">
        <v>0.0</v>
      </c>
      <c r="H241" s="19">
        <v>0.0</v>
      </c>
      <c r="I241" s="19">
        <v>0.0</v>
      </c>
      <c r="J241" s="19">
        <v>0.0</v>
      </c>
      <c r="K241" s="19">
        <v>0.0</v>
      </c>
      <c r="L241" s="19">
        <v>0.0</v>
      </c>
      <c r="M241" s="19">
        <v>0.0</v>
      </c>
      <c r="N241" s="19">
        <v>0.0</v>
      </c>
      <c r="O241" s="19">
        <v>0.0</v>
      </c>
      <c r="P241" s="19">
        <v>1.0</v>
      </c>
      <c r="Q241" s="19">
        <v>1.0</v>
      </c>
      <c r="R241" s="19">
        <v>0.0</v>
      </c>
      <c r="S241" s="19">
        <v>0.0</v>
      </c>
      <c r="T241" s="19">
        <v>0.0</v>
      </c>
      <c r="U241" s="19">
        <v>1.0</v>
      </c>
      <c r="V241" s="19">
        <v>0.0</v>
      </c>
      <c r="W241" s="19">
        <v>0.0</v>
      </c>
      <c r="X241" s="19">
        <v>0.0</v>
      </c>
      <c r="Y241" s="13">
        <f t="shared" si="46"/>
        <v>4</v>
      </c>
    </row>
    <row r="242" ht="12.75" customHeight="1">
      <c r="A242" s="18"/>
      <c r="B242" s="55">
        <v>5.0</v>
      </c>
      <c r="C242" s="50" t="s">
        <v>179</v>
      </c>
      <c r="D242" s="60"/>
      <c r="E242" s="19">
        <v>0.0</v>
      </c>
      <c r="F242" s="19">
        <v>0.0</v>
      </c>
      <c r="G242" s="19">
        <v>0.0</v>
      </c>
      <c r="H242" s="19">
        <v>0.0</v>
      </c>
      <c r="I242" s="19">
        <v>0.0</v>
      </c>
      <c r="J242" s="19">
        <v>0.0</v>
      </c>
      <c r="K242" s="19">
        <v>0.0</v>
      </c>
      <c r="L242" s="19">
        <v>0.0</v>
      </c>
      <c r="M242" s="19">
        <v>0.0</v>
      </c>
      <c r="N242" s="19">
        <v>0.0</v>
      </c>
      <c r="O242" s="19">
        <v>0.0</v>
      </c>
      <c r="P242" s="19">
        <v>0.0</v>
      </c>
      <c r="Q242" s="19">
        <v>0.0</v>
      </c>
      <c r="R242" s="19">
        <v>0.0</v>
      </c>
      <c r="S242" s="19">
        <v>0.0</v>
      </c>
      <c r="T242" s="19">
        <v>0.0</v>
      </c>
      <c r="U242" s="19">
        <v>0.0</v>
      </c>
      <c r="V242" s="19">
        <v>0.0</v>
      </c>
      <c r="W242" s="19">
        <v>0.0</v>
      </c>
      <c r="X242" s="19">
        <v>0.0</v>
      </c>
      <c r="Y242" s="13">
        <f t="shared" si="46"/>
        <v>0</v>
      </c>
    </row>
    <row r="243" ht="12.75" customHeight="1">
      <c r="A243" s="18"/>
      <c r="B243" s="55">
        <v>6.0</v>
      </c>
      <c r="C243" s="50" t="s">
        <v>180</v>
      </c>
      <c r="D243" s="60"/>
      <c r="E243" s="19">
        <v>0.0</v>
      </c>
      <c r="F243" s="19">
        <v>0.0</v>
      </c>
      <c r="G243" s="19">
        <v>0.0</v>
      </c>
      <c r="H243" s="19">
        <v>0.0</v>
      </c>
      <c r="I243" s="19">
        <v>0.0</v>
      </c>
      <c r="J243" s="19">
        <v>0.0</v>
      </c>
      <c r="K243" s="19">
        <v>0.0</v>
      </c>
      <c r="L243" s="19">
        <v>0.0</v>
      </c>
      <c r="M243" s="19">
        <v>0.0</v>
      </c>
      <c r="N243" s="19">
        <v>0.0</v>
      </c>
      <c r="O243" s="19">
        <v>0.0</v>
      </c>
      <c r="P243" s="19">
        <v>0.0</v>
      </c>
      <c r="Q243" s="19">
        <v>1.0</v>
      </c>
      <c r="R243" s="19">
        <v>0.0</v>
      </c>
      <c r="S243" s="19">
        <v>0.0</v>
      </c>
      <c r="T243" s="19">
        <v>0.0</v>
      </c>
      <c r="U243" s="19">
        <v>0.0</v>
      </c>
      <c r="V243" s="19">
        <v>1.0</v>
      </c>
      <c r="W243" s="19">
        <v>0.0</v>
      </c>
      <c r="X243" s="19">
        <v>0.0</v>
      </c>
      <c r="Y243" s="13">
        <f t="shared" si="46"/>
        <v>2</v>
      </c>
    </row>
    <row r="244" ht="12.75" customHeight="1">
      <c r="A244" s="18"/>
      <c r="B244" s="55">
        <v>7.0</v>
      </c>
      <c r="C244" s="50" t="s">
        <v>181</v>
      </c>
      <c r="D244" s="60"/>
      <c r="E244" s="19">
        <v>0.0</v>
      </c>
      <c r="F244" s="19">
        <v>0.0</v>
      </c>
      <c r="G244" s="19">
        <v>0.0</v>
      </c>
      <c r="H244" s="19">
        <v>0.0</v>
      </c>
      <c r="I244" s="19">
        <v>0.0</v>
      </c>
      <c r="J244" s="19">
        <v>0.0</v>
      </c>
      <c r="K244" s="19">
        <v>5.0</v>
      </c>
      <c r="L244" s="19">
        <v>1.0</v>
      </c>
      <c r="M244" s="19">
        <v>0.0</v>
      </c>
      <c r="N244" s="19">
        <v>0.0</v>
      </c>
      <c r="O244" s="19">
        <v>0.0</v>
      </c>
      <c r="P244" s="19">
        <v>0.0</v>
      </c>
      <c r="Q244" s="19">
        <v>0.0</v>
      </c>
      <c r="R244" s="19">
        <v>0.0</v>
      </c>
      <c r="S244" s="19">
        <v>0.0</v>
      </c>
      <c r="T244" s="19">
        <v>1.0</v>
      </c>
      <c r="U244" s="19">
        <v>0.0</v>
      </c>
      <c r="V244" s="19">
        <v>2.0</v>
      </c>
      <c r="W244" s="19">
        <v>0.0</v>
      </c>
      <c r="X244" s="19">
        <v>0.0</v>
      </c>
      <c r="Y244" s="13">
        <f t="shared" si="46"/>
        <v>9</v>
      </c>
    </row>
    <row r="245" ht="12.75" customHeight="1">
      <c r="A245" s="18"/>
      <c r="B245" s="56"/>
      <c r="C245" s="57"/>
      <c r="D245" s="62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3">
        <f t="shared" si="46"/>
        <v>0</v>
      </c>
    </row>
    <row r="246" ht="12.75" customHeight="1">
      <c r="A246" s="18"/>
      <c r="B246" s="56"/>
      <c r="C246" s="57"/>
      <c r="D246" s="62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3">
        <f t="shared" si="46"/>
        <v>0</v>
      </c>
    </row>
    <row r="247" ht="12.75" customHeight="1">
      <c r="A247" s="19" t="s">
        <v>15</v>
      </c>
      <c r="B247" s="47" t="s">
        <v>47</v>
      </c>
      <c r="C247" s="15"/>
      <c r="D247" s="16"/>
      <c r="E247" s="13">
        <f t="shared" ref="E247:Y247" si="47">SUM(E237:E246)</f>
        <v>101</v>
      </c>
      <c r="F247" s="13">
        <f t="shared" si="47"/>
        <v>38</v>
      </c>
      <c r="G247" s="13">
        <f t="shared" si="47"/>
        <v>48</v>
      </c>
      <c r="H247" s="13">
        <f t="shared" si="47"/>
        <v>13</v>
      </c>
      <c r="I247" s="13">
        <f t="shared" si="47"/>
        <v>31</v>
      </c>
      <c r="J247" s="13">
        <f t="shared" si="47"/>
        <v>63</v>
      </c>
      <c r="K247" s="13">
        <f t="shared" si="47"/>
        <v>18</v>
      </c>
      <c r="L247" s="13">
        <f t="shared" si="47"/>
        <v>54</v>
      </c>
      <c r="M247" s="13">
        <f t="shared" si="47"/>
        <v>38</v>
      </c>
      <c r="N247" s="13">
        <f t="shared" si="47"/>
        <v>51</v>
      </c>
      <c r="O247" s="13">
        <f t="shared" si="47"/>
        <v>30</v>
      </c>
      <c r="P247" s="13">
        <f t="shared" si="47"/>
        <v>65</v>
      </c>
      <c r="Q247" s="13">
        <f t="shared" si="47"/>
        <v>64</v>
      </c>
      <c r="R247" s="13">
        <f t="shared" si="47"/>
        <v>15</v>
      </c>
      <c r="S247" s="13">
        <f t="shared" si="47"/>
        <v>16</v>
      </c>
      <c r="T247" s="13">
        <f t="shared" si="47"/>
        <v>19</v>
      </c>
      <c r="U247" s="13">
        <f t="shared" si="47"/>
        <v>11</v>
      </c>
      <c r="V247" s="13">
        <f t="shared" si="47"/>
        <v>10</v>
      </c>
      <c r="W247" s="13">
        <f t="shared" si="47"/>
        <v>23</v>
      </c>
      <c r="X247" s="13">
        <f t="shared" si="47"/>
        <v>10</v>
      </c>
      <c r="Y247" s="13">
        <f t="shared" si="47"/>
        <v>718</v>
      </c>
    </row>
    <row r="248" ht="12.75" customHeight="1">
      <c r="A248" s="24"/>
      <c r="B248" s="15"/>
      <c r="C248" s="15"/>
      <c r="D248" s="15"/>
      <c r="E248" s="16"/>
    </row>
    <row r="249" ht="12.75" customHeight="1">
      <c r="A249" s="30" t="s">
        <v>37</v>
      </c>
      <c r="B249" s="47" t="s">
        <v>182</v>
      </c>
      <c r="C249" s="48" t="s">
        <v>183</v>
      </c>
      <c r="D249" s="16"/>
      <c r="E249" s="19">
        <v>0.0</v>
      </c>
      <c r="F249" s="19">
        <v>0.0</v>
      </c>
      <c r="G249" s="19">
        <v>0.0</v>
      </c>
      <c r="H249" s="19">
        <v>0.0</v>
      </c>
      <c r="I249" s="19">
        <v>0.0</v>
      </c>
      <c r="J249" s="19">
        <v>0.0</v>
      </c>
      <c r="K249" s="19">
        <v>0.0</v>
      </c>
      <c r="L249" s="19">
        <v>0.0</v>
      </c>
      <c r="M249" s="19">
        <v>0.0</v>
      </c>
      <c r="N249" s="19">
        <v>0.0</v>
      </c>
      <c r="O249" s="19">
        <v>0.0</v>
      </c>
      <c r="P249" s="19">
        <v>0.0</v>
      </c>
      <c r="Q249" s="19">
        <v>0.0</v>
      </c>
      <c r="R249" s="19">
        <v>0.0</v>
      </c>
      <c r="S249" s="19">
        <v>1.0</v>
      </c>
      <c r="T249" s="19">
        <v>0.0</v>
      </c>
      <c r="U249" s="19">
        <v>0.0</v>
      </c>
      <c r="V249" s="19">
        <v>0.0</v>
      </c>
      <c r="W249" s="19">
        <v>0.0</v>
      </c>
      <c r="X249" s="19">
        <v>0.0</v>
      </c>
      <c r="Y249" s="13">
        <f t="shared" ref="Y249:Y258" si="48">SUM(E249:X249)</f>
        <v>1</v>
      </c>
    </row>
    <row r="250" ht="12.75" customHeight="1">
      <c r="A250" s="30" t="s">
        <v>39</v>
      </c>
      <c r="B250" s="55">
        <v>1.0</v>
      </c>
      <c r="C250" s="67" t="s">
        <v>184</v>
      </c>
      <c r="D250" s="60"/>
      <c r="E250" s="19">
        <v>0.0</v>
      </c>
      <c r="F250" s="19">
        <v>0.0</v>
      </c>
      <c r="G250" s="19">
        <v>0.0</v>
      </c>
      <c r="H250" s="19">
        <v>0.0</v>
      </c>
      <c r="I250" s="19">
        <v>0.0</v>
      </c>
      <c r="J250" s="19">
        <v>1.0</v>
      </c>
      <c r="K250" s="19">
        <v>0.0</v>
      </c>
      <c r="L250" s="19">
        <v>0.0</v>
      </c>
      <c r="M250" s="19">
        <v>0.0</v>
      </c>
      <c r="N250" s="19">
        <v>0.0</v>
      </c>
      <c r="O250" s="19">
        <v>0.0</v>
      </c>
      <c r="P250" s="19">
        <v>0.0</v>
      </c>
      <c r="Q250" s="19">
        <v>0.0</v>
      </c>
      <c r="R250" s="19">
        <v>0.0</v>
      </c>
      <c r="S250" s="19">
        <v>0.0</v>
      </c>
      <c r="T250" s="19">
        <v>0.0</v>
      </c>
      <c r="U250" s="19">
        <v>0.0</v>
      </c>
      <c r="V250" s="19">
        <v>0.0</v>
      </c>
      <c r="W250" s="19">
        <v>0.0</v>
      </c>
      <c r="X250" s="19">
        <v>0.0</v>
      </c>
      <c r="Y250" s="13">
        <f t="shared" si="48"/>
        <v>1</v>
      </c>
    </row>
    <row r="251" ht="12.75" customHeight="1">
      <c r="A251" s="18"/>
      <c r="B251" s="55">
        <v>2.0</v>
      </c>
      <c r="C251" s="67" t="s">
        <v>185</v>
      </c>
      <c r="D251" s="60"/>
      <c r="E251" s="19">
        <v>0.0</v>
      </c>
      <c r="F251" s="19">
        <v>0.0</v>
      </c>
      <c r="G251" s="19">
        <v>0.0</v>
      </c>
      <c r="H251" s="19">
        <v>0.0</v>
      </c>
      <c r="I251" s="19">
        <v>0.0</v>
      </c>
      <c r="J251" s="19">
        <v>0.0</v>
      </c>
      <c r="K251" s="19">
        <v>0.0</v>
      </c>
      <c r="L251" s="19">
        <v>0.0</v>
      </c>
      <c r="M251" s="19">
        <v>0.0</v>
      </c>
      <c r="N251" s="19">
        <v>1.0</v>
      </c>
      <c r="O251" s="19">
        <v>0.0</v>
      </c>
      <c r="P251" s="19">
        <v>0.0</v>
      </c>
      <c r="Q251" s="19">
        <v>0.0</v>
      </c>
      <c r="R251" s="19">
        <v>0.0</v>
      </c>
      <c r="S251" s="19">
        <v>0.0</v>
      </c>
      <c r="T251" s="19">
        <v>0.0</v>
      </c>
      <c r="U251" s="19">
        <v>0.0</v>
      </c>
      <c r="V251" s="19">
        <v>0.0</v>
      </c>
      <c r="W251" s="19">
        <v>0.0</v>
      </c>
      <c r="X251" s="19">
        <v>0.0</v>
      </c>
      <c r="Y251" s="13">
        <f t="shared" si="48"/>
        <v>1</v>
      </c>
    </row>
    <row r="252" ht="12.75" customHeight="1">
      <c r="A252" s="18"/>
      <c r="B252" s="55">
        <v>3.0</v>
      </c>
      <c r="C252" s="67" t="s">
        <v>186</v>
      </c>
      <c r="D252" s="60"/>
      <c r="E252" s="19">
        <v>0.0</v>
      </c>
      <c r="F252" s="19">
        <v>0.0</v>
      </c>
      <c r="G252" s="19">
        <v>0.0</v>
      </c>
      <c r="H252" s="19">
        <v>0.0</v>
      </c>
      <c r="I252" s="19">
        <v>0.0</v>
      </c>
      <c r="J252" s="19">
        <v>0.0</v>
      </c>
      <c r="K252" s="19">
        <v>0.0</v>
      </c>
      <c r="L252" s="19">
        <v>0.0</v>
      </c>
      <c r="M252" s="19">
        <v>0.0</v>
      </c>
      <c r="N252" s="19">
        <v>0.0</v>
      </c>
      <c r="O252" s="19">
        <v>0.0</v>
      </c>
      <c r="P252" s="19">
        <v>0.0</v>
      </c>
      <c r="Q252" s="19">
        <v>0.0</v>
      </c>
      <c r="R252" s="19">
        <v>0.0</v>
      </c>
      <c r="S252" s="19">
        <v>0.0</v>
      </c>
      <c r="T252" s="19">
        <v>0.0</v>
      </c>
      <c r="U252" s="19">
        <v>0.0</v>
      </c>
      <c r="V252" s="19">
        <v>0.0</v>
      </c>
      <c r="W252" s="19">
        <v>0.0</v>
      </c>
      <c r="X252" s="19">
        <v>0.0</v>
      </c>
      <c r="Y252" s="13">
        <f t="shared" si="48"/>
        <v>0</v>
      </c>
    </row>
    <row r="253" ht="12.75" customHeight="1">
      <c r="A253" s="18"/>
      <c r="B253" s="55">
        <v>4.0</v>
      </c>
      <c r="C253" s="67" t="s">
        <v>187</v>
      </c>
      <c r="D253" s="60"/>
      <c r="E253" s="19">
        <v>0.0</v>
      </c>
      <c r="F253" s="19">
        <v>0.0</v>
      </c>
      <c r="G253" s="19">
        <v>0.0</v>
      </c>
      <c r="H253" s="19">
        <v>0.0</v>
      </c>
      <c r="I253" s="19">
        <v>0.0</v>
      </c>
      <c r="J253" s="19">
        <v>0.0</v>
      </c>
      <c r="K253" s="19">
        <v>0.0</v>
      </c>
      <c r="L253" s="19">
        <v>0.0</v>
      </c>
      <c r="M253" s="19">
        <v>0.0</v>
      </c>
      <c r="N253" s="19">
        <v>0.0</v>
      </c>
      <c r="O253" s="19">
        <v>0.0</v>
      </c>
      <c r="P253" s="19">
        <v>0.0</v>
      </c>
      <c r="Q253" s="19">
        <v>0.0</v>
      </c>
      <c r="R253" s="19">
        <v>0.0</v>
      </c>
      <c r="S253" s="19">
        <v>0.0</v>
      </c>
      <c r="T253" s="19">
        <v>0.0</v>
      </c>
      <c r="U253" s="19">
        <v>0.0</v>
      </c>
      <c r="V253" s="19">
        <v>0.0</v>
      </c>
      <c r="W253" s="19">
        <v>0.0</v>
      </c>
      <c r="X253" s="19">
        <v>0.0</v>
      </c>
      <c r="Y253" s="13">
        <f t="shared" si="48"/>
        <v>0</v>
      </c>
    </row>
    <row r="254" ht="12.75" customHeight="1">
      <c r="A254" s="18"/>
      <c r="B254" s="55">
        <v>5.0</v>
      </c>
      <c r="C254" s="67" t="s">
        <v>188</v>
      </c>
      <c r="D254" s="60"/>
      <c r="E254" s="19">
        <v>0.0</v>
      </c>
      <c r="F254" s="19">
        <v>0.0</v>
      </c>
      <c r="G254" s="19">
        <v>0.0</v>
      </c>
      <c r="H254" s="19">
        <v>0.0</v>
      </c>
      <c r="I254" s="19">
        <v>0.0</v>
      </c>
      <c r="J254" s="19">
        <v>0.0</v>
      </c>
      <c r="K254" s="19">
        <v>0.0</v>
      </c>
      <c r="L254" s="19">
        <v>0.0</v>
      </c>
      <c r="M254" s="19">
        <v>0.0</v>
      </c>
      <c r="N254" s="19">
        <v>0.0</v>
      </c>
      <c r="O254" s="19">
        <v>0.0</v>
      </c>
      <c r="P254" s="19">
        <v>0.0</v>
      </c>
      <c r="Q254" s="19">
        <v>0.0</v>
      </c>
      <c r="R254" s="19">
        <v>0.0</v>
      </c>
      <c r="S254" s="19">
        <v>0.0</v>
      </c>
      <c r="T254" s="19">
        <v>0.0</v>
      </c>
      <c r="U254" s="19">
        <v>0.0</v>
      </c>
      <c r="V254" s="19">
        <v>0.0</v>
      </c>
      <c r="W254" s="19">
        <v>0.0</v>
      </c>
      <c r="X254" s="19">
        <v>0.0</v>
      </c>
      <c r="Y254" s="13">
        <f t="shared" si="48"/>
        <v>0</v>
      </c>
    </row>
    <row r="255" ht="12.75" customHeight="1">
      <c r="A255" s="18"/>
      <c r="B255" s="55">
        <v>6.0</v>
      </c>
      <c r="C255" s="67" t="s">
        <v>189</v>
      </c>
      <c r="D255" s="60"/>
      <c r="E255" s="19">
        <v>0.0</v>
      </c>
      <c r="F255" s="19">
        <v>0.0</v>
      </c>
      <c r="G255" s="19">
        <v>0.0</v>
      </c>
      <c r="H255" s="19">
        <v>0.0</v>
      </c>
      <c r="I255" s="19">
        <v>0.0</v>
      </c>
      <c r="J255" s="19">
        <v>0.0</v>
      </c>
      <c r="K255" s="19">
        <v>0.0</v>
      </c>
      <c r="L255" s="19">
        <v>0.0</v>
      </c>
      <c r="M255" s="19">
        <v>0.0</v>
      </c>
      <c r="N255" s="19">
        <v>0.0</v>
      </c>
      <c r="O255" s="19">
        <v>0.0</v>
      </c>
      <c r="P255" s="19">
        <v>0.0</v>
      </c>
      <c r="Q255" s="19">
        <v>0.0</v>
      </c>
      <c r="R255" s="19">
        <v>0.0</v>
      </c>
      <c r="S255" s="19">
        <v>0.0</v>
      </c>
      <c r="T255" s="19">
        <v>0.0</v>
      </c>
      <c r="U255" s="19">
        <v>0.0</v>
      </c>
      <c r="V255" s="19">
        <v>0.0</v>
      </c>
      <c r="W255" s="19">
        <v>0.0</v>
      </c>
      <c r="X255" s="19">
        <v>0.0</v>
      </c>
      <c r="Y255" s="13">
        <f t="shared" si="48"/>
        <v>0</v>
      </c>
    </row>
    <row r="256" ht="12.75" customHeight="1">
      <c r="A256" s="18"/>
      <c r="B256" s="56"/>
      <c r="C256" s="68"/>
      <c r="D256" s="62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3">
        <f t="shared" si="48"/>
        <v>0</v>
      </c>
    </row>
    <row r="257" ht="12.75" customHeight="1">
      <c r="A257" s="18"/>
      <c r="B257" s="56"/>
      <c r="C257" s="68"/>
      <c r="D257" s="62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3">
        <f t="shared" si="48"/>
        <v>0</v>
      </c>
    </row>
    <row r="258" ht="12.75" customHeight="1">
      <c r="A258" s="18"/>
      <c r="B258" s="56"/>
      <c r="C258" s="68"/>
      <c r="D258" s="62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3">
        <f t="shared" si="48"/>
        <v>0</v>
      </c>
    </row>
    <row r="259" ht="12.75" customHeight="1">
      <c r="A259" s="19" t="s">
        <v>15</v>
      </c>
      <c r="B259" s="47" t="s">
        <v>47</v>
      </c>
      <c r="C259" s="15"/>
      <c r="D259" s="16"/>
      <c r="E259" s="13">
        <f t="shared" ref="E259:Y259" si="49">SUM(E249:E258)</f>
        <v>0</v>
      </c>
      <c r="F259" s="13">
        <f t="shared" si="49"/>
        <v>0</v>
      </c>
      <c r="G259" s="13">
        <f t="shared" si="49"/>
        <v>0</v>
      </c>
      <c r="H259" s="13">
        <f t="shared" si="49"/>
        <v>0</v>
      </c>
      <c r="I259" s="13">
        <f t="shared" si="49"/>
        <v>0</v>
      </c>
      <c r="J259" s="13">
        <f t="shared" si="49"/>
        <v>1</v>
      </c>
      <c r="K259" s="13">
        <f t="shared" si="49"/>
        <v>0</v>
      </c>
      <c r="L259" s="13">
        <f t="shared" si="49"/>
        <v>0</v>
      </c>
      <c r="M259" s="13">
        <f t="shared" si="49"/>
        <v>0</v>
      </c>
      <c r="N259" s="13">
        <f t="shared" si="49"/>
        <v>1</v>
      </c>
      <c r="O259" s="13">
        <f t="shared" si="49"/>
        <v>0</v>
      </c>
      <c r="P259" s="13">
        <f t="shared" si="49"/>
        <v>0</v>
      </c>
      <c r="Q259" s="13">
        <f t="shared" si="49"/>
        <v>0</v>
      </c>
      <c r="R259" s="13">
        <f t="shared" si="49"/>
        <v>0</v>
      </c>
      <c r="S259" s="13">
        <f t="shared" si="49"/>
        <v>1</v>
      </c>
      <c r="T259" s="13">
        <f t="shared" si="49"/>
        <v>0</v>
      </c>
      <c r="U259" s="13">
        <f t="shared" si="49"/>
        <v>0</v>
      </c>
      <c r="V259" s="13">
        <f t="shared" si="49"/>
        <v>0</v>
      </c>
      <c r="W259" s="13">
        <f t="shared" si="49"/>
        <v>0</v>
      </c>
      <c r="X259" s="13">
        <f t="shared" si="49"/>
        <v>0</v>
      </c>
      <c r="Y259" s="13">
        <f t="shared" si="49"/>
        <v>3</v>
      </c>
    </row>
    <row r="260" ht="12.75" customHeight="1"/>
    <row r="261" ht="12.75" customHeight="1">
      <c r="A261" s="42" t="s">
        <v>190</v>
      </c>
      <c r="B261" s="14" t="s">
        <v>191</v>
      </c>
      <c r="C261" s="15"/>
      <c r="D261" s="16"/>
      <c r="E261" s="13"/>
      <c r="F261" s="13"/>
      <c r="G261" s="13"/>
      <c r="H261" s="13"/>
      <c r="I261" s="13"/>
      <c r="J261" s="13"/>
      <c r="K261" s="13"/>
      <c r="L261" s="13"/>
      <c r="M261" s="13"/>
      <c r="N261" s="78"/>
      <c r="O261" s="78"/>
      <c r="P261" s="78"/>
      <c r="Q261" s="78"/>
      <c r="R261" s="13"/>
      <c r="S261" s="13"/>
      <c r="T261" s="78"/>
      <c r="U261" s="78"/>
      <c r="V261" s="78"/>
      <c r="W261" s="78"/>
      <c r="X261" s="78"/>
      <c r="Y261" s="13"/>
    </row>
    <row r="262" ht="12.75" customHeight="1">
      <c r="A262" s="42"/>
      <c r="B262" s="71" t="s">
        <v>192</v>
      </c>
      <c r="C262" s="72" t="s">
        <v>193</v>
      </c>
      <c r="D262" s="16"/>
      <c r="E262" s="19">
        <f t="shared" ref="E262:X262" si="50">E55+E67+E79+E91+E103+E115+E127+E139+E151+E163+E175+E187+E199+E211+E223+E235+E247+E259</f>
        <v>195</v>
      </c>
      <c r="F262" s="19">
        <f t="shared" si="50"/>
        <v>196</v>
      </c>
      <c r="G262" s="19">
        <f t="shared" si="50"/>
        <v>215</v>
      </c>
      <c r="H262" s="19">
        <f t="shared" si="50"/>
        <v>201</v>
      </c>
      <c r="I262" s="19">
        <f t="shared" si="50"/>
        <v>191</v>
      </c>
      <c r="J262" s="19">
        <f t="shared" si="50"/>
        <v>237</v>
      </c>
      <c r="K262" s="19">
        <f t="shared" si="50"/>
        <v>212</v>
      </c>
      <c r="L262" s="19">
        <f t="shared" si="50"/>
        <v>208</v>
      </c>
      <c r="M262" s="19">
        <f t="shared" si="50"/>
        <v>195</v>
      </c>
      <c r="N262" s="19">
        <f t="shared" si="50"/>
        <v>178</v>
      </c>
      <c r="O262" s="19">
        <f t="shared" si="50"/>
        <v>200</v>
      </c>
      <c r="P262" s="19">
        <f t="shared" si="50"/>
        <v>198</v>
      </c>
      <c r="Q262" s="19">
        <f t="shared" si="50"/>
        <v>183</v>
      </c>
      <c r="R262" s="19">
        <f t="shared" si="50"/>
        <v>196</v>
      </c>
      <c r="S262" s="19">
        <f t="shared" si="50"/>
        <v>195</v>
      </c>
      <c r="T262" s="19">
        <f t="shared" si="50"/>
        <v>162</v>
      </c>
      <c r="U262" s="19">
        <f t="shared" si="50"/>
        <v>260</v>
      </c>
      <c r="V262" s="19">
        <f t="shared" si="50"/>
        <v>221</v>
      </c>
      <c r="W262" s="19">
        <f t="shared" si="50"/>
        <v>205</v>
      </c>
      <c r="X262" s="19">
        <f t="shared" si="50"/>
        <v>190</v>
      </c>
      <c r="Y262" s="13">
        <f t="shared" ref="Y262:Y264" si="51">SUM(E262:X262)</f>
        <v>4038</v>
      </c>
    </row>
    <row r="263" ht="12.75" customHeight="1">
      <c r="A263" s="35"/>
      <c r="B263" s="71" t="s">
        <v>194</v>
      </c>
      <c r="C263" s="72" t="s">
        <v>195</v>
      </c>
      <c r="D263" s="16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3">
        <f t="shared" si="51"/>
        <v>0</v>
      </c>
    </row>
    <row r="264" ht="12.75" customHeight="1">
      <c r="A264" s="41"/>
      <c r="B264" s="71" t="s">
        <v>196</v>
      </c>
      <c r="C264" s="72" t="s">
        <v>197</v>
      </c>
      <c r="D264" s="16"/>
      <c r="E264" s="13">
        <f t="shared" ref="E264:X264" si="52">SUM(E262:E263)</f>
        <v>195</v>
      </c>
      <c r="F264" s="13">
        <f t="shared" si="52"/>
        <v>196</v>
      </c>
      <c r="G264" s="13">
        <f t="shared" si="52"/>
        <v>215</v>
      </c>
      <c r="H264" s="13">
        <f t="shared" si="52"/>
        <v>201</v>
      </c>
      <c r="I264" s="13">
        <f t="shared" si="52"/>
        <v>191</v>
      </c>
      <c r="J264" s="13">
        <f t="shared" si="52"/>
        <v>237</v>
      </c>
      <c r="K264" s="13">
        <f t="shared" si="52"/>
        <v>212</v>
      </c>
      <c r="L264" s="13">
        <f t="shared" si="52"/>
        <v>208</v>
      </c>
      <c r="M264" s="13">
        <f t="shared" si="52"/>
        <v>195</v>
      </c>
      <c r="N264" s="13">
        <f t="shared" si="52"/>
        <v>178</v>
      </c>
      <c r="O264" s="13">
        <f t="shared" si="52"/>
        <v>200</v>
      </c>
      <c r="P264" s="13">
        <f t="shared" si="52"/>
        <v>198</v>
      </c>
      <c r="Q264" s="13">
        <f t="shared" si="52"/>
        <v>183</v>
      </c>
      <c r="R264" s="13">
        <f t="shared" si="52"/>
        <v>196</v>
      </c>
      <c r="S264" s="13">
        <f t="shared" si="52"/>
        <v>195</v>
      </c>
      <c r="T264" s="13">
        <f t="shared" si="52"/>
        <v>162</v>
      </c>
      <c r="U264" s="13">
        <f t="shared" si="52"/>
        <v>260</v>
      </c>
      <c r="V264" s="13">
        <f t="shared" si="52"/>
        <v>221</v>
      </c>
      <c r="W264" s="13">
        <f t="shared" si="52"/>
        <v>205</v>
      </c>
      <c r="X264" s="13">
        <f t="shared" si="52"/>
        <v>190</v>
      </c>
      <c r="Y264" s="13">
        <f t="shared" si="51"/>
        <v>4038</v>
      </c>
    </row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93">
    <mergeCell ref="B55:D55"/>
    <mergeCell ref="A56:E56"/>
    <mergeCell ref="C57:D57"/>
    <mergeCell ref="B67:D67"/>
    <mergeCell ref="A68:E68"/>
    <mergeCell ref="C69:D69"/>
    <mergeCell ref="B79:D79"/>
    <mergeCell ref="A80:E80"/>
    <mergeCell ref="C81:D81"/>
    <mergeCell ref="B91:D91"/>
    <mergeCell ref="A92:E92"/>
    <mergeCell ref="C93:D93"/>
    <mergeCell ref="B103:D103"/>
    <mergeCell ref="A104:E104"/>
    <mergeCell ref="B127:D127"/>
    <mergeCell ref="A128:E128"/>
    <mergeCell ref="C129:D129"/>
    <mergeCell ref="B139:D139"/>
    <mergeCell ref="A140:E140"/>
    <mergeCell ref="C141:D141"/>
    <mergeCell ref="B151:D151"/>
    <mergeCell ref="A152:E152"/>
    <mergeCell ref="C153:D153"/>
    <mergeCell ref="B163:D163"/>
    <mergeCell ref="A164:E164"/>
    <mergeCell ref="C165:D165"/>
    <mergeCell ref="B175:D175"/>
    <mergeCell ref="A176:E176"/>
    <mergeCell ref="C177:D177"/>
    <mergeCell ref="B187:D187"/>
    <mergeCell ref="A188:E188"/>
    <mergeCell ref="C189:D189"/>
    <mergeCell ref="B199:D199"/>
    <mergeCell ref="A200:E200"/>
    <mergeCell ref="C201:D201"/>
    <mergeCell ref="B211:D211"/>
    <mergeCell ref="A212:E212"/>
    <mergeCell ref="C213:D213"/>
    <mergeCell ref="B223:D223"/>
    <mergeCell ref="A224:E224"/>
    <mergeCell ref="C225:D225"/>
    <mergeCell ref="B235:D235"/>
    <mergeCell ref="C262:D262"/>
    <mergeCell ref="C263:D263"/>
    <mergeCell ref="C264:D264"/>
    <mergeCell ref="A236:E236"/>
    <mergeCell ref="C237:D237"/>
    <mergeCell ref="B247:D247"/>
    <mergeCell ref="A248:E248"/>
    <mergeCell ref="C249:D249"/>
    <mergeCell ref="B259:D259"/>
    <mergeCell ref="B261:D261"/>
    <mergeCell ref="B12:D12"/>
    <mergeCell ref="E12:X12"/>
    <mergeCell ref="Y12:Y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B38:D38"/>
    <mergeCell ref="B39:C41"/>
    <mergeCell ref="A42:D42"/>
    <mergeCell ref="E42:I42"/>
    <mergeCell ref="B43:D43"/>
    <mergeCell ref="A44:D44"/>
    <mergeCell ref="C45:D45"/>
    <mergeCell ref="C46:D46"/>
    <mergeCell ref="C47:D47"/>
    <mergeCell ref="C48:D48"/>
    <mergeCell ref="C49:D49"/>
    <mergeCell ref="C50:D50"/>
    <mergeCell ref="C51:D51"/>
    <mergeCell ref="C52:D52"/>
    <mergeCell ref="C105:D105"/>
    <mergeCell ref="B115:D115"/>
    <mergeCell ref="A116:E116"/>
    <mergeCell ref="C117:D117"/>
  </mergeCells>
  <conditionalFormatting sqref="E14:X15">
    <cfRule type="containsBlanks" dxfId="1" priority="1">
      <formula>LEN(TRIM(E14))=0</formula>
    </cfRule>
  </conditionalFormatting>
  <conditionalFormatting sqref="E19:X20">
    <cfRule type="containsBlanks" dxfId="1" priority="2">
      <formula>LEN(TRIM(E19))=0</formula>
    </cfRule>
  </conditionalFormatting>
  <conditionalFormatting sqref="E22:X23 E25:X26 E33:X33 E35:X35 E39:X40">
    <cfRule type="containsBlanks" dxfId="1" priority="3">
      <formula>LEN(TRIM(E22))=0</formula>
    </cfRule>
  </conditionalFormatting>
  <conditionalFormatting sqref="E30:X30">
    <cfRule type="expression" dxfId="0" priority="4">
      <formula>E30&lt;&gt;E47</formula>
    </cfRule>
  </conditionalFormatting>
  <conditionalFormatting sqref="E30:X30">
    <cfRule type="expression" dxfId="0" priority="5">
      <formula>E30&lt;&gt;E34</formula>
    </cfRule>
  </conditionalFormatting>
  <conditionalFormatting sqref="E34:X34">
    <cfRule type="expression" dxfId="2" priority="6">
      <formula>E30&lt;&gt;E34</formula>
    </cfRule>
  </conditionalFormatting>
  <conditionalFormatting sqref="E34:X34">
    <cfRule type="expression" dxfId="3" priority="7">
      <formula>E30=E34</formula>
    </cfRule>
  </conditionalFormatting>
  <conditionalFormatting sqref="E34:X34">
    <cfRule type="expression" dxfId="0" priority="8">
      <formula>E34&lt;&gt;E30</formula>
    </cfRule>
  </conditionalFormatting>
  <conditionalFormatting sqref="E34:X34">
    <cfRule type="expression" dxfId="0" priority="9">
      <formula>E34&lt;&gt;E64</formula>
    </cfRule>
  </conditionalFormatting>
  <conditionalFormatting sqref="E45:X54">
    <cfRule type="containsBlanks" dxfId="1" priority="10">
      <formula>LEN(TRIM(E45))=0</formula>
    </cfRule>
  </conditionalFormatting>
  <conditionalFormatting sqref="E57:X66">
    <cfRule type="containsBlanks" dxfId="1" priority="11">
      <formula>LEN(TRIM(E57))=0</formula>
    </cfRule>
  </conditionalFormatting>
  <conditionalFormatting sqref="E69:X78">
    <cfRule type="containsBlanks" dxfId="1" priority="12">
      <formula>LEN(TRIM(E69))=0</formula>
    </cfRule>
  </conditionalFormatting>
  <conditionalFormatting sqref="E81:X90">
    <cfRule type="containsBlanks" dxfId="1" priority="13">
      <formula>LEN(TRIM(E81))=0</formula>
    </cfRule>
  </conditionalFormatting>
  <conditionalFormatting sqref="E93:X102">
    <cfRule type="containsBlanks" dxfId="1" priority="14">
      <formula>LEN(TRIM(E93))=0</formula>
    </cfRule>
  </conditionalFormatting>
  <conditionalFormatting sqref="E105:X114">
    <cfRule type="containsBlanks" dxfId="1" priority="15">
      <formula>LEN(TRIM(E105))=0</formula>
    </cfRule>
  </conditionalFormatting>
  <conditionalFormatting sqref="E117:X126">
    <cfRule type="containsBlanks" dxfId="1" priority="16">
      <formula>LEN(TRIM(E117))=0</formula>
    </cfRule>
  </conditionalFormatting>
  <conditionalFormatting sqref="E129:X138">
    <cfRule type="containsBlanks" dxfId="1" priority="17">
      <formula>LEN(TRIM(E129))=0</formula>
    </cfRule>
  </conditionalFormatting>
  <conditionalFormatting sqref="E141:X150">
    <cfRule type="containsBlanks" dxfId="1" priority="18">
      <formula>LEN(TRIM(E141))=0</formula>
    </cfRule>
  </conditionalFormatting>
  <conditionalFormatting sqref="E153:X162">
    <cfRule type="containsBlanks" dxfId="1" priority="19">
      <formula>LEN(TRIM(E153))=0</formula>
    </cfRule>
  </conditionalFormatting>
  <conditionalFormatting sqref="E165:X174">
    <cfRule type="containsBlanks" dxfId="1" priority="20">
      <formula>LEN(TRIM(E165))=0</formula>
    </cfRule>
  </conditionalFormatting>
  <conditionalFormatting sqref="E177:X186">
    <cfRule type="containsBlanks" dxfId="1" priority="21">
      <formula>LEN(TRIM(E177))=0</formula>
    </cfRule>
  </conditionalFormatting>
  <conditionalFormatting sqref="E189:X198">
    <cfRule type="containsBlanks" dxfId="1" priority="22">
      <formula>LEN(TRIM(E189))=0</formula>
    </cfRule>
  </conditionalFormatting>
  <conditionalFormatting sqref="E201:X210">
    <cfRule type="containsBlanks" dxfId="1" priority="23">
      <formula>LEN(TRIM(E201))=0</formula>
    </cfRule>
  </conditionalFormatting>
  <conditionalFormatting sqref="E213:X222">
    <cfRule type="containsBlanks" dxfId="1" priority="24">
      <formula>LEN(TRIM(E213))=0</formula>
    </cfRule>
  </conditionalFormatting>
  <conditionalFormatting sqref="E225:X234">
    <cfRule type="containsBlanks" dxfId="1" priority="25">
      <formula>LEN(TRIM(E225))=0</formula>
    </cfRule>
  </conditionalFormatting>
  <conditionalFormatting sqref="E237:X246">
    <cfRule type="containsBlanks" dxfId="1" priority="26">
      <formula>LEN(TRIM(E237))=0</formula>
    </cfRule>
  </conditionalFormatting>
  <conditionalFormatting sqref="E249:X258">
    <cfRule type="containsBlanks" dxfId="1" priority="27">
      <formula>LEN(TRIM(E249))=0</formula>
    </cfRule>
  </conditionalFormatting>
  <conditionalFormatting sqref="E262:X263">
    <cfRule type="containsBlanks" dxfId="1" priority="28">
      <formula>LEN(TRIM(E262))=0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32" width="8.71"/>
    <col customWidth="1" min="33" max="33" width="13.29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198</v>
      </c>
      <c r="D9" s="8" t="s">
        <v>221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  <c r="O11" s="1"/>
      <c r="P11" s="1"/>
      <c r="Q11" s="1"/>
      <c r="R11" s="1"/>
      <c r="S11" s="1"/>
      <c r="T11" s="1"/>
      <c r="U11" s="1"/>
      <c r="V11" s="1"/>
      <c r="W11" s="1"/>
      <c r="X11" s="2"/>
      <c r="Y11" s="1"/>
      <c r="Z11" s="1"/>
      <c r="AA11" s="1"/>
      <c r="AB11" s="1"/>
      <c r="AC11" s="1"/>
      <c r="AD11" s="1"/>
      <c r="AE11" s="1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75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200</v>
      </c>
      <c r="F13" s="13" t="s">
        <v>201</v>
      </c>
      <c r="G13" s="13" t="s">
        <v>202</v>
      </c>
      <c r="H13" s="13" t="s">
        <v>203</v>
      </c>
      <c r="I13" s="13" t="s">
        <v>204</v>
      </c>
      <c r="J13" s="13" t="s">
        <v>205</v>
      </c>
      <c r="K13" s="13" t="s">
        <v>206</v>
      </c>
      <c r="L13" s="13" t="s">
        <v>207</v>
      </c>
      <c r="M13" s="13" t="s">
        <v>208</v>
      </c>
      <c r="N13" s="13" t="s">
        <v>209</v>
      </c>
      <c r="O13" s="13" t="s">
        <v>210</v>
      </c>
      <c r="P13" s="13" t="s">
        <v>211</v>
      </c>
      <c r="Q13" s="13" t="s">
        <v>212</v>
      </c>
      <c r="R13" s="13" t="s">
        <v>213</v>
      </c>
      <c r="S13" s="13" t="s">
        <v>214</v>
      </c>
      <c r="T13" s="13" t="s">
        <v>215</v>
      </c>
      <c r="U13" s="13" t="s">
        <v>216</v>
      </c>
      <c r="V13" s="13" t="s">
        <v>217</v>
      </c>
      <c r="W13" s="13" t="s">
        <v>219</v>
      </c>
      <c r="X13" s="13" t="s">
        <v>220</v>
      </c>
      <c r="Y13" s="13" t="s">
        <v>222</v>
      </c>
      <c r="Z13" s="13" t="s">
        <v>223</v>
      </c>
      <c r="AA13" s="13" t="s">
        <v>224</v>
      </c>
      <c r="AB13" s="13" t="s">
        <v>225</v>
      </c>
      <c r="AC13" s="13" t="s">
        <v>226</v>
      </c>
      <c r="AD13" s="13" t="s">
        <v>227</v>
      </c>
      <c r="AE13" s="13" t="s">
        <v>228</v>
      </c>
      <c r="AF13" s="13" t="s">
        <v>229</v>
      </c>
      <c r="AG13" s="36"/>
    </row>
    <row r="14" ht="12.75" customHeight="1">
      <c r="A14" s="18"/>
      <c r="B14" s="22" t="s">
        <v>11</v>
      </c>
      <c r="C14" s="23"/>
      <c r="D14" s="19" t="s">
        <v>12</v>
      </c>
      <c r="E14" s="19">
        <v>152.0</v>
      </c>
      <c r="F14" s="19">
        <v>132.0</v>
      </c>
      <c r="G14" s="19">
        <v>152.0</v>
      </c>
      <c r="H14" s="19">
        <v>172.0</v>
      </c>
      <c r="I14" s="19">
        <v>136.0</v>
      </c>
      <c r="J14" s="19">
        <v>167.0</v>
      </c>
      <c r="K14" s="19">
        <v>143.0</v>
      </c>
      <c r="L14" s="19">
        <v>151.0</v>
      </c>
      <c r="M14" s="19">
        <v>160.0</v>
      </c>
      <c r="N14" s="19">
        <v>142.0</v>
      </c>
      <c r="O14" s="19">
        <v>147.0</v>
      </c>
      <c r="P14" s="19">
        <v>140.0</v>
      </c>
      <c r="Q14" s="19">
        <v>116.0</v>
      </c>
      <c r="R14" s="19">
        <v>134.0</v>
      </c>
      <c r="S14" s="19">
        <v>135.0</v>
      </c>
      <c r="T14" s="19">
        <v>154.0</v>
      </c>
      <c r="U14" s="19">
        <v>129.0</v>
      </c>
      <c r="V14" s="19">
        <v>155.0</v>
      </c>
      <c r="W14" s="19">
        <v>147.0</v>
      </c>
      <c r="X14" s="19">
        <v>147.0</v>
      </c>
      <c r="Y14" s="19">
        <v>128.0</v>
      </c>
      <c r="Z14" s="19">
        <v>123.0</v>
      </c>
      <c r="AA14" s="19">
        <v>151.0</v>
      </c>
      <c r="AB14" s="19">
        <v>115.0</v>
      </c>
      <c r="AC14" s="19">
        <v>135.0</v>
      </c>
      <c r="AD14" s="19">
        <v>141.0</v>
      </c>
      <c r="AE14" s="19">
        <v>118.0</v>
      </c>
      <c r="AF14" s="19">
        <v>124.0</v>
      </c>
      <c r="AG14" s="13">
        <f t="shared" ref="AG14:AG16" si="1">SUM(E14:AF14)</f>
        <v>3946</v>
      </c>
    </row>
    <row r="15" ht="12.75" customHeight="1">
      <c r="A15" s="18"/>
      <c r="B15" s="26"/>
      <c r="C15" s="27"/>
      <c r="D15" s="19" t="s">
        <v>13</v>
      </c>
      <c r="E15" s="19">
        <v>145.0</v>
      </c>
      <c r="F15" s="19">
        <v>168.0</v>
      </c>
      <c r="G15" s="19">
        <v>145.0</v>
      </c>
      <c r="H15" s="19">
        <v>127.0</v>
      </c>
      <c r="I15" s="19">
        <v>163.0</v>
      </c>
      <c r="J15" s="19">
        <v>130.0</v>
      </c>
      <c r="K15" s="19">
        <v>156.0</v>
      </c>
      <c r="L15" s="19">
        <v>148.0</v>
      </c>
      <c r="M15" s="19">
        <v>139.0</v>
      </c>
      <c r="N15" s="19">
        <v>157.0</v>
      </c>
      <c r="O15" s="19">
        <v>139.0</v>
      </c>
      <c r="P15" s="19">
        <v>154.0</v>
      </c>
      <c r="Q15" s="19">
        <v>126.0</v>
      </c>
      <c r="R15" s="19">
        <v>151.0</v>
      </c>
      <c r="S15" s="19">
        <v>145.0</v>
      </c>
      <c r="T15" s="19">
        <v>143.0</v>
      </c>
      <c r="U15" s="19">
        <v>133.0</v>
      </c>
      <c r="V15" s="19">
        <v>142.0</v>
      </c>
      <c r="W15" s="19">
        <v>152.0</v>
      </c>
      <c r="X15" s="19">
        <v>153.0</v>
      </c>
      <c r="Y15" s="19">
        <v>141.0</v>
      </c>
      <c r="Z15" s="19">
        <v>120.0</v>
      </c>
      <c r="AA15" s="19">
        <v>149.0</v>
      </c>
      <c r="AB15" s="19">
        <v>100.0</v>
      </c>
      <c r="AC15" s="19">
        <v>145.0</v>
      </c>
      <c r="AD15" s="19">
        <v>137.0</v>
      </c>
      <c r="AE15" s="19">
        <v>120.0</v>
      </c>
      <c r="AF15" s="19">
        <v>141.0</v>
      </c>
      <c r="AG15" s="13">
        <f t="shared" si="1"/>
        <v>3969</v>
      </c>
    </row>
    <row r="16" ht="12.75" customHeight="1">
      <c r="A16" s="25"/>
      <c r="B16" s="21"/>
      <c r="C16" s="28"/>
      <c r="D16" s="13" t="s">
        <v>14</v>
      </c>
      <c r="E16" s="13">
        <f t="shared" ref="E16:AF16" si="2">SUM(E14:E15)</f>
        <v>297</v>
      </c>
      <c r="F16" s="13">
        <f t="shared" si="2"/>
        <v>300</v>
      </c>
      <c r="G16" s="13">
        <f t="shared" si="2"/>
        <v>297</v>
      </c>
      <c r="H16" s="13">
        <f t="shared" si="2"/>
        <v>299</v>
      </c>
      <c r="I16" s="13">
        <f t="shared" si="2"/>
        <v>299</v>
      </c>
      <c r="J16" s="13">
        <f t="shared" si="2"/>
        <v>297</v>
      </c>
      <c r="K16" s="13">
        <f t="shared" si="2"/>
        <v>299</v>
      </c>
      <c r="L16" s="13">
        <f t="shared" si="2"/>
        <v>299</v>
      </c>
      <c r="M16" s="13">
        <f t="shared" si="2"/>
        <v>299</v>
      </c>
      <c r="N16" s="13">
        <f t="shared" si="2"/>
        <v>299</v>
      </c>
      <c r="O16" s="13">
        <f t="shared" si="2"/>
        <v>286</v>
      </c>
      <c r="P16" s="13">
        <f t="shared" si="2"/>
        <v>294</v>
      </c>
      <c r="Q16" s="13">
        <f t="shared" si="2"/>
        <v>242</v>
      </c>
      <c r="R16" s="13">
        <f t="shared" si="2"/>
        <v>285</v>
      </c>
      <c r="S16" s="13">
        <f t="shared" si="2"/>
        <v>280</v>
      </c>
      <c r="T16" s="13">
        <f t="shared" si="2"/>
        <v>297</v>
      </c>
      <c r="U16" s="13">
        <f t="shared" si="2"/>
        <v>262</v>
      </c>
      <c r="V16" s="13">
        <f t="shared" si="2"/>
        <v>297</v>
      </c>
      <c r="W16" s="13">
        <f t="shared" si="2"/>
        <v>299</v>
      </c>
      <c r="X16" s="13">
        <f t="shared" si="2"/>
        <v>300</v>
      </c>
      <c r="Y16" s="13">
        <f t="shared" si="2"/>
        <v>269</v>
      </c>
      <c r="Z16" s="13">
        <f t="shared" si="2"/>
        <v>243</v>
      </c>
      <c r="AA16" s="13">
        <f t="shared" si="2"/>
        <v>300</v>
      </c>
      <c r="AB16" s="13">
        <f t="shared" si="2"/>
        <v>215</v>
      </c>
      <c r="AC16" s="13">
        <f t="shared" si="2"/>
        <v>280</v>
      </c>
      <c r="AD16" s="13">
        <f t="shared" si="2"/>
        <v>278</v>
      </c>
      <c r="AE16" s="13">
        <f t="shared" si="2"/>
        <v>238</v>
      </c>
      <c r="AF16" s="13">
        <f t="shared" si="2"/>
        <v>265</v>
      </c>
      <c r="AG16" s="13">
        <f t="shared" si="1"/>
        <v>7915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76"/>
      <c r="O17" s="19"/>
      <c r="P17" s="19"/>
      <c r="Q17" s="19"/>
      <c r="R17" s="19"/>
      <c r="S17" s="19"/>
      <c r="T17" s="19"/>
      <c r="U17" s="19"/>
      <c r="V17" s="19"/>
      <c r="W17" s="19"/>
      <c r="X17" s="76"/>
      <c r="Y17" s="19"/>
      <c r="Z17" s="19"/>
      <c r="AA17" s="19"/>
      <c r="AB17" s="19"/>
      <c r="AC17" s="19"/>
      <c r="AD17" s="19"/>
      <c r="AE17" s="19"/>
      <c r="AF17" s="76"/>
      <c r="AG17" s="77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76"/>
      <c r="O18" s="19"/>
      <c r="P18" s="19"/>
      <c r="Q18" s="19"/>
      <c r="R18" s="19"/>
      <c r="S18" s="19"/>
      <c r="T18" s="19"/>
      <c r="U18" s="19"/>
      <c r="V18" s="19"/>
      <c r="W18" s="19"/>
      <c r="X18" s="76"/>
      <c r="Y18" s="19"/>
      <c r="Z18" s="19"/>
      <c r="AA18" s="19"/>
      <c r="AB18" s="19"/>
      <c r="AC18" s="19"/>
      <c r="AD18" s="19"/>
      <c r="AE18" s="19"/>
      <c r="AF18" s="76"/>
      <c r="AG18" s="77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19">
        <v>109.0</v>
      </c>
      <c r="F19" s="19">
        <v>120.0</v>
      </c>
      <c r="G19" s="19">
        <v>113.0</v>
      </c>
      <c r="H19" s="19">
        <v>126.0</v>
      </c>
      <c r="I19" s="19">
        <v>83.0</v>
      </c>
      <c r="J19" s="19">
        <v>116.0</v>
      </c>
      <c r="K19" s="19">
        <v>93.0</v>
      </c>
      <c r="L19" s="19">
        <v>97.0</v>
      </c>
      <c r="M19" s="19">
        <v>125.0</v>
      </c>
      <c r="N19" s="19">
        <v>109.0</v>
      </c>
      <c r="O19" s="19">
        <v>111.0</v>
      </c>
      <c r="P19" s="19">
        <v>118.0</v>
      </c>
      <c r="Q19" s="19">
        <v>85.0</v>
      </c>
      <c r="R19" s="19">
        <v>101.0</v>
      </c>
      <c r="S19" s="19">
        <v>97.0</v>
      </c>
      <c r="T19" s="19">
        <v>98.0</v>
      </c>
      <c r="U19" s="19">
        <v>99.0</v>
      </c>
      <c r="V19" s="19">
        <v>104.0</v>
      </c>
      <c r="W19" s="19">
        <v>93.0</v>
      </c>
      <c r="X19" s="19">
        <v>124.0</v>
      </c>
      <c r="Y19" s="19">
        <v>104.0</v>
      </c>
      <c r="Z19" s="19">
        <v>89.0</v>
      </c>
      <c r="AA19" s="19">
        <v>101.0</v>
      </c>
      <c r="AB19" s="19">
        <v>92.0</v>
      </c>
      <c r="AC19" s="19">
        <v>113.0</v>
      </c>
      <c r="AD19" s="19">
        <v>104.0</v>
      </c>
      <c r="AE19" s="19">
        <v>101.0</v>
      </c>
      <c r="AF19" s="19">
        <v>85.0</v>
      </c>
      <c r="AG19" s="13">
        <f t="shared" ref="AG19:AG30" si="3">SUM(E19:AF19)</f>
        <v>2910</v>
      </c>
    </row>
    <row r="20" ht="12.75" customHeight="1">
      <c r="A20" s="33"/>
      <c r="B20" s="27"/>
      <c r="C20" s="34"/>
      <c r="D20" s="19" t="s">
        <v>13</v>
      </c>
      <c r="E20" s="19">
        <v>106.0</v>
      </c>
      <c r="F20" s="19">
        <v>86.0</v>
      </c>
      <c r="G20" s="19">
        <v>99.0</v>
      </c>
      <c r="H20" s="19">
        <v>104.0</v>
      </c>
      <c r="I20" s="19">
        <v>137.0</v>
      </c>
      <c r="J20" s="19">
        <v>101.0</v>
      </c>
      <c r="K20" s="19">
        <v>110.0</v>
      </c>
      <c r="L20" s="19">
        <v>127.0</v>
      </c>
      <c r="M20" s="19">
        <v>122.0</v>
      </c>
      <c r="N20" s="19">
        <v>137.0</v>
      </c>
      <c r="O20" s="19">
        <v>109.0</v>
      </c>
      <c r="P20" s="19">
        <v>126.0</v>
      </c>
      <c r="Q20" s="19">
        <v>94.0</v>
      </c>
      <c r="R20" s="19">
        <v>115.0</v>
      </c>
      <c r="S20" s="19">
        <v>101.0</v>
      </c>
      <c r="T20" s="19">
        <v>92.0</v>
      </c>
      <c r="U20" s="19">
        <v>98.0</v>
      </c>
      <c r="V20" s="19">
        <v>98.0</v>
      </c>
      <c r="W20" s="19">
        <v>117.0</v>
      </c>
      <c r="X20" s="19">
        <v>124.0</v>
      </c>
      <c r="Y20" s="19">
        <v>110.0</v>
      </c>
      <c r="Z20" s="19">
        <v>92.0</v>
      </c>
      <c r="AA20" s="19">
        <v>115.0</v>
      </c>
      <c r="AB20" s="19">
        <v>87.0</v>
      </c>
      <c r="AC20" s="19">
        <v>120.0</v>
      </c>
      <c r="AD20" s="19">
        <v>122.0</v>
      </c>
      <c r="AE20" s="19">
        <v>97.0</v>
      </c>
      <c r="AF20" s="19">
        <v>102.0</v>
      </c>
      <c r="AG20" s="13">
        <f t="shared" si="3"/>
        <v>3048</v>
      </c>
    </row>
    <row r="21" ht="12.75" customHeight="1">
      <c r="A21" s="35"/>
      <c r="B21" s="28"/>
      <c r="C21" s="36"/>
      <c r="D21" s="13" t="s">
        <v>14</v>
      </c>
      <c r="E21" s="13">
        <f t="shared" ref="E21:AF21" si="4">SUM(E19:E20)</f>
        <v>215</v>
      </c>
      <c r="F21" s="13">
        <f t="shared" si="4"/>
        <v>206</v>
      </c>
      <c r="G21" s="13">
        <f t="shared" si="4"/>
        <v>212</v>
      </c>
      <c r="H21" s="13">
        <f t="shared" si="4"/>
        <v>230</v>
      </c>
      <c r="I21" s="13">
        <f t="shared" si="4"/>
        <v>220</v>
      </c>
      <c r="J21" s="13">
        <f t="shared" si="4"/>
        <v>217</v>
      </c>
      <c r="K21" s="13">
        <f t="shared" si="4"/>
        <v>203</v>
      </c>
      <c r="L21" s="13">
        <f t="shared" si="4"/>
        <v>224</v>
      </c>
      <c r="M21" s="13">
        <f t="shared" si="4"/>
        <v>247</v>
      </c>
      <c r="N21" s="13">
        <f t="shared" si="4"/>
        <v>246</v>
      </c>
      <c r="O21" s="13">
        <f t="shared" si="4"/>
        <v>220</v>
      </c>
      <c r="P21" s="13">
        <f t="shared" si="4"/>
        <v>244</v>
      </c>
      <c r="Q21" s="13">
        <f t="shared" si="4"/>
        <v>179</v>
      </c>
      <c r="R21" s="13">
        <f t="shared" si="4"/>
        <v>216</v>
      </c>
      <c r="S21" s="13">
        <f t="shared" si="4"/>
        <v>198</v>
      </c>
      <c r="T21" s="13">
        <f t="shared" si="4"/>
        <v>190</v>
      </c>
      <c r="U21" s="13">
        <f t="shared" si="4"/>
        <v>197</v>
      </c>
      <c r="V21" s="13">
        <f t="shared" si="4"/>
        <v>202</v>
      </c>
      <c r="W21" s="13">
        <f t="shared" si="4"/>
        <v>210</v>
      </c>
      <c r="X21" s="13">
        <f t="shared" si="4"/>
        <v>248</v>
      </c>
      <c r="Y21" s="13">
        <f t="shared" si="4"/>
        <v>214</v>
      </c>
      <c r="Z21" s="13">
        <f t="shared" si="4"/>
        <v>181</v>
      </c>
      <c r="AA21" s="13">
        <f t="shared" si="4"/>
        <v>216</v>
      </c>
      <c r="AB21" s="13">
        <f t="shared" si="4"/>
        <v>179</v>
      </c>
      <c r="AC21" s="13">
        <f t="shared" si="4"/>
        <v>233</v>
      </c>
      <c r="AD21" s="13">
        <f t="shared" si="4"/>
        <v>226</v>
      </c>
      <c r="AE21" s="13">
        <f t="shared" si="4"/>
        <v>198</v>
      </c>
      <c r="AF21" s="13">
        <f t="shared" si="4"/>
        <v>187</v>
      </c>
      <c r="AG21" s="13">
        <f t="shared" si="3"/>
        <v>5958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19">
        <v>0.0</v>
      </c>
      <c r="F22" s="19">
        <v>1.0</v>
      </c>
      <c r="G22" s="19">
        <v>0.0</v>
      </c>
      <c r="H22" s="19">
        <v>0.0</v>
      </c>
      <c r="I22" s="19">
        <v>0.0</v>
      </c>
      <c r="J22" s="19">
        <v>0.0</v>
      </c>
      <c r="K22" s="19">
        <v>1.0</v>
      </c>
      <c r="L22" s="19">
        <v>0.0</v>
      </c>
      <c r="M22" s="19">
        <v>0.0</v>
      </c>
      <c r="N22" s="19">
        <v>0.0</v>
      </c>
      <c r="O22" s="19">
        <v>0.0</v>
      </c>
      <c r="P22" s="19">
        <v>0.0</v>
      </c>
      <c r="Q22" s="19">
        <v>0.0</v>
      </c>
      <c r="R22" s="19">
        <v>0.0</v>
      </c>
      <c r="S22" s="19">
        <v>0.0</v>
      </c>
      <c r="T22" s="19">
        <v>0.0</v>
      </c>
      <c r="U22" s="19">
        <v>0.0</v>
      </c>
      <c r="V22" s="19">
        <v>0.0</v>
      </c>
      <c r="W22" s="19">
        <v>0.0</v>
      </c>
      <c r="X22" s="19">
        <v>0.0</v>
      </c>
      <c r="Y22" s="19">
        <v>0.0</v>
      </c>
      <c r="Z22" s="19">
        <v>0.0</v>
      </c>
      <c r="AA22" s="19">
        <v>0.0</v>
      </c>
      <c r="AB22" s="19">
        <v>0.0</v>
      </c>
      <c r="AC22" s="19">
        <v>0.0</v>
      </c>
      <c r="AD22" s="19">
        <v>0.0</v>
      </c>
      <c r="AE22" s="19">
        <v>1.0</v>
      </c>
      <c r="AF22" s="19">
        <v>0.0</v>
      </c>
      <c r="AG22" s="13">
        <f t="shared" si="3"/>
        <v>3</v>
      </c>
    </row>
    <row r="23" ht="12.75" customHeight="1">
      <c r="A23" s="33"/>
      <c r="B23" s="27"/>
      <c r="C23" s="34"/>
      <c r="D23" s="19" t="s">
        <v>13</v>
      </c>
      <c r="E23" s="19">
        <v>0.0</v>
      </c>
      <c r="F23" s="19">
        <v>1.0</v>
      </c>
      <c r="G23" s="19">
        <v>0.0</v>
      </c>
      <c r="H23" s="19">
        <v>0.0</v>
      </c>
      <c r="I23" s="19">
        <v>0.0</v>
      </c>
      <c r="J23" s="19">
        <v>0.0</v>
      </c>
      <c r="K23" s="19">
        <v>0.0</v>
      </c>
      <c r="L23" s="19">
        <v>0.0</v>
      </c>
      <c r="M23" s="19">
        <v>0.0</v>
      </c>
      <c r="N23" s="19">
        <v>0.0</v>
      </c>
      <c r="O23" s="19">
        <v>0.0</v>
      </c>
      <c r="P23" s="19">
        <v>0.0</v>
      </c>
      <c r="Q23" s="19">
        <v>0.0</v>
      </c>
      <c r="R23" s="19">
        <v>0.0</v>
      </c>
      <c r="S23" s="19">
        <v>0.0</v>
      </c>
      <c r="T23" s="19">
        <v>0.0</v>
      </c>
      <c r="U23" s="19">
        <v>0.0</v>
      </c>
      <c r="V23" s="19">
        <v>0.0</v>
      </c>
      <c r="W23" s="19">
        <v>0.0</v>
      </c>
      <c r="X23" s="19">
        <v>0.0</v>
      </c>
      <c r="Y23" s="19">
        <v>0.0</v>
      </c>
      <c r="Z23" s="19">
        <v>0.0</v>
      </c>
      <c r="AA23" s="19">
        <v>0.0</v>
      </c>
      <c r="AB23" s="19">
        <v>0.0</v>
      </c>
      <c r="AC23" s="19">
        <v>0.0</v>
      </c>
      <c r="AD23" s="19">
        <v>0.0</v>
      </c>
      <c r="AE23" s="19">
        <v>0.0</v>
      </c>
      <c r="AF23" s="19">
        <v>0.0</v>
      </c>
      <c r="AG23" s="13">
        <f t="shared" si="3"/>
        <v>1</v>
      </c>
    </row>
    <row r="24" ht="12.75" customHeight="1">
      <c r="A24" s="35"/>
      <c r="B24" s="28"/>
      <c r="C24" s="36"/>
      <c r="D24" s="13" t="s">
        <v>14</v>
      </c>
      <c r="E24" s="13">
        <f t="shared" ref="E24:AF24" si="5">SUM(E22:E23)</f>
        <v>0</v>
      </c>
      <c r="F24" s="13">
        <f t="shared" si="5"/>
        <v>2</v>
      </c>
      <c r="G24" s="13">
        <f t="shared" si="5"/>
        <v>0</v>
      </c>
      <c r="H24" s="13">
        <f t="shared" si="5"/>
        <v>0</v>
      </c>
      <c r="I24" s="13">
        <f t="shared" si="5"/>
        <v>0</v>
      </c>
      <c r="J24" s="13">
        <f t="shared" si="5"/>
        <v>0</v>
      </c>
      <c r="K24" s="13">
        <f t="shared" si="5"/>
        <v>1</v>
      </c>
      <c r="L24" s="13">
        <f t="shared" si="5"/>
        <v>0</v>
      </c>
      <c r="M24" s="13">
        <f t="shared" si="5"/>
        <v>0</v>
      </c>
      <c r="N24" s="13">
        <f t="shared" si="5"/>
        <v>0</v>
      </c>
      <c r="O24" s="13">
        <f t="shared" si="5"/>
        <v>0</v>
      </c>
      <c r="P24" s="13">
        <f t="shared" si="5"/>
        <v>0</v>
      </c>
      <c r="Q24" s="13">
        <f t="shared" si="5"/>
        <v>0</v>
      </c>
      <c r="R24" s="13">
        <f t="shared" si="5"/>
        <v>0</v>
      </c>
      <c r="S24" s="13">
        <f t="shared" si="5"/>
        <v>0</v>
      </c>
      <c r="T24" s="13">
        <f t="shared" si="5"/>
        <v>0</v>
      </c>
      <c r="U24" s="13">
        <f t="shared" si="5"/>
        <v>0</v>
      </c>
      <c r="V24" s="13">
        <f t="shared" si="5"/>
        <v>0</v>
      </c>
      <c r="W24" s="13">
        <f t="shared" si="5"/>
        <v>0</v>
      </c>
      <c r="X24" s="13">
        <f t="shared" si="5"/>
        <v>0</v>
      </c>
      <c r="Y24" s="13">
        <f t="shared" si="5"/>
        <v>0</v>
      </c>
      <c r="Z24" s="13">
        <f t="shared" si="5"/>
        <v>0</v>
      </c>
      <c r="AA24" s="13">
        <f t="shared" si="5"/>
        <v>0</v>
      </c>
      <c r="AB24" s="13">
        <f t="shared" si="5"/>
        <v>0</v>
      </c>
      <c r="AC24" s="13">
        <f t="shared" si="5"/>
        <v>0</v>
      </c>
      <c r="AD24" s="13">
        <f t="shared" si="5"/>
        <v>0</v>
      </c>
      <c r="AE24" s="13">
        <f t="shared" si="5"/>
        <v>1</v>
      </c>
      <c r="AF24" s="13">
        <f t="shared" si="5"/>
        <v>0</v>
      </c>
      <c r="AG24" s="13">
        <f t="shared" si="3"/>
        <v>4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19">
        <v>0.0</v>
      </c>
      <c r="F25" s="19">
        <v>0.0</v>
      </c>
      <c r="G25" s="19">
        <v>0.0</v>
      </c>
      <c r="H25" s="19">
        <v>0.0</v>
      </c>
      <c r="I25" s="19">
        <v>0.0</v>
      </c>
      <c r="J25" s="19">
        <v>0.0</v>
      </c>
      <c r="K25" s="19">
        <v>0.0</v>
      </c>
      <c r="L25" s="19">
        <v>0.0</v>
      </c>
      <c r="M25" s="19">
        <v>0.0</v>
      </c>
      <c r="N25" s="19">
        <v>0.0</v>
      </c>
      <c r="O25" s="19">
        <v>0.0</v>
      </c>
      <c r="P25" s="19">
        <v>0.0</v>
      </c>
      <c r="Q25" s="19">
        <v>1.0</v>
      </c>
      <c r="R25" s="19">
        <v>0.0</v>
      </c>
      <c r="S25" s="19">
        <v>0.0</v>
      </c>
      <c r="T25" s="19">
        <v>0.0</v>
      </c>
      <c r="U25" s="19">
        <v>0.0</v>
      </c>
      <c r="V25" s="19">
        <v>0.0</v>
      </c>
      <c r="W25" s="19">
        <v>0.0</v>
      </c>
      <c r="X25" s="19">
        <v>0.0</v>
      </c>
      <c r="Y25" s="19">
        <v>6.0</v>
      </c>
      <c r="Z25" s="19">
        <v>0.0</v>
      </c>
      <c r="AA25" s="19">
        <v>0.0</v>
      </c>
      <c r="AB25" s="19">
        <v>0.0</v>
      </c>
      <c r="AC25" s="19">
        <v>0.0</v>
      </c>
      <c r="AD25" s="19">
        <v>0.0</v>
      </c>
      <c r="AE25" s="19">
        <v>0.0</v>
      </c>
      <c r="AF25" s="19">
        <v>8.0</v>
      </c>
      <c r="AG25" s="13">
        <f t="shared" si="3"/>
        <v>15</v>
      </c>
    </row>
    <row r="26" ht="12.75" customHeight="1">
      <c r="A26" s="33"/>
      <c r="B26" s="27"/>
      <c r="C26" s="34"/>
      <c r="D26" s="19" t="s">
        <v>13</v>
      </c>
      <c r="E26" s="19">
        <v>0.0</v>
      </c>
      <c r="F26" s="19">
        <v>0.0</v>
      </c>
      <c r="G26" s="19">
        <v>0.0</v>
      </c>
      <c r="H26" s="19">
        <v>0.0</v>
      </c>
      <c r="I26" s="19">
        <v>0.0</v>
      </c>
      <c r="J26" s="19">
        <v>0.0</v>
      </c>
      <c r="K26" s="19">
        <v>0.0</v>
      </c>
      <c r="L26" s="19">
        <v>0.0</v>
      </c>
      <c r="M26" s="19">
        <v>0.0</v>
      </c>
      <c r="N26" s="19">
        <v>0.0</v>
      </c>
      <c r="O26" s="19">
        <v>0.0</v>
      </c>
      <c r="P26" s="19">
        <v>0.0</v>
      </c>
      <c r="Q26" s="19">
        <v>2.0</v>
      </c>
      <c r="R26" s="19">
        <v>0.0</v>
      </c>
      <c r="S26" s="19">
        <v>0.0</v>
      </c>
      <c r="T26" s="19">
        <v>0.0</v>
      </c>
      <c r="U26" s="19">
        <v>0.0</v>
      </c>
      <c r="V26" s="19">
        <v>0.0</v>
      </c>
      <c r="W26" s="19">
        <v>0.0</v>
      </c>
      <c r="X26" s="19">
        <v>0.0</v>
      </c>
      <c r="Y26" s="19">
        <v>10.0</v>
      </c>
      <c r="Z26" s="19">
        <v>0.0</v>
      </c>
      <c r="AA26" s="19">
        <v>0.0</v>
      </c>
      <c r="AB26" s="19">
        <v>0.0</v>
      </c>
      <c r="AC26" s="19">
        <v>0.0</v>
      </c>
      <c r="AD26" s="19">
        <v>0.0</v>
      </c>
      <c r="AE26" s="19">
        <v>0.0</v>
      </c>
      <c r="AF26" s="19">
        <v>6.0</v>
      </c>
      <c r="AG26" s="13">
        <f t="shared" si="3"/>
        <v>18</v>
      </c>
    </row>
    <row r="27" ht="12.75" customHeight="1">
      <c r="A27" s="35"/>
      <c r="B27" s="28"/>
      <c r="C27" s="36"/>
      <c r="D27" s="13" t="s">
        <v>14</v>
      </c>
      <c r="E27" s="13">
        <f t="shared" ref="E27:AF27" si="6">SUM(E25:E26)</f>
        <v>0</v>
      </c>
      <c r="F27" s="13">
        <f t="shared" si="6"/>
        <v>0</v>
      </c>
      <c r="G27" s="13">
        <f t="shared" si="6"/>
        <v>0</v>
      </c>
      <c r="H27" s="13">
        <f t="shared" si="6"/>
        <v>0</v>
      </c>
      <c r="I27" s="13">
        <f t="shared" si="6"/>
        <v>0</v>
      </c>
      <c r="J27" s="13">
        <f t="shared" si="6"/>
        <v>0</v>
      </c>
      <c r="K27" s="13">
        <f t="shared" si="6"/>
        <v>0</v>
      </c>
      <c r="L27" s="13">
        <f t="shared" si="6"/>
        <v>0</v>
      </c>
      <c r="M27" s="13">
        <f t="shared" si="6"/>
        <v>0</v>
      </c>
      <c r="N27" s="13">
        <f t="shared" si="6"/>
        <v>0</v>
      </c>
      <c r="O27" s="13">
        <f t="shared" si="6"/>
        <v>0</v>
      </c>
      <c r="P27" s="13">
        <f t="shared" si="6"/>
        <v>0</v>
      </c>
      <c r="Q27" s="13">
        <f t="shared" si="6"/>
        <v>3</v>
      </c>
      <c r="R27" s="13">
        <f t="shared" si="6"/>
        <v>0</v>
      </c>
      <c r="S27" s="13">
        <f t="shared" si="6"/>
        <v>0</v>
      </c>
      <c r="T27" s="13">
        <f t="shared" si="6"/>
        <v>0</v>
      </c>
      <c r="U27" s="13">
        <f t="shared" si="6"/>
        <v>0</v>
      </c>
      <c r="V27" s="13">
        <f t="shared" si="6"/>
        <v>0</v>
      </c>
      <c r="W27" s="13">
        <f t="shared" si="6"/>
        <v>0</v>
      </c>
      <c r="X27" s="13">
        <f t="shared" si="6"/>
        <v>0</v>
      </c>
      <c r="Y27" s="13">
        <f t="shared" si="6"/>
        <v>16</v>
      </c>
      <c r="Z27" s="13">
        <f t="shared" si="6"/>
        <v>0</v>
      </c>
      <c r="AA27" s="13">
        <f t="shared" si="6"/>
        <v>0</v>
      </c>
      <c r="AB27" s="13">
        <f t="shared" si="6"/>
        <v>0</v>
      </c>
      <c r="AC27" s="13">
        <f t="shared" si="6"/>
        <v>0</v>
      </c>
      <c r="AD27" s="13">
        <f t="shared" si="6"/>
        <v>0</v>
      </c>
      <c r="AE27" s="13">
        <f t="shared" si="6"/>
        <v>0</v>
      </c>
      <c r="AF27" s="13">
        <f t="shared" si="6"/>
        <v>14</v>
      </c>
      <c r="AG27" s="13">
        <f t="shared" si="3"/>
        <v>33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AF28" si="7">SUM(E19,E22,E25)</f>
        <v>109</v>
      </c>
      <c r="F28" s="13">
        <f t="shared" si="7"/>
        <v>121</v>
      </c>
      <c r="G28" s="13">
        <f t="shared" si="7"/>
        <v>113</v>
      </c>
      <c r="H28" s="13">
        <f t="shared" si="7"/>
        <v>126</v>
      </c>
      <c r="I28" s="13">
        <f t="shared" si="7"/>
        <v>83</v>
      </c>
      <c r="J28" s="13">
        <f t="shared" si="7"/>
        <v>116</v>
      </c>
      <c r="K28" s="13">
        <f t="shared" si="7"/>
        <v>94</v>
      </c>
      <c r="L28" s="13">
        <f t="shared" si="7"/>
        <v>97</v>
      </c>
      <c r="M28" s="13">
        <f t="shared" si="7"/>
        <v>125</v>
      </c>
      <c r="N28" s="13">
        <f t="shared" si="7"/>
        <v>109</v>
      </c>
      <c r="O28" s="13">
        <f t="shared" si="7"/>
        <v>111</v>
      </c>
      <c r="P28" s="13">
        <f t="shared" si="7"/>
        <v>118</v>
      </c>
      <c r="Q28" s="13">
        <f t="shared" si="7"/>
        <v>86</v>
      </c>
      <c r="R28" s="13">
        <f t="shared" si="7"/>
        <v>101</v>
      </c>
      <c r="S28" s="13">
        <f t="shared" si="7"/>
        <v>97</v>
      </c>
      <c r="T28" s="13">
        <f t="shared" si="7"/>
        <v>98</v>
      </c>
      <c r="U28" s="13">
        <f t="shared" si="7"/>
        <v>99</v>
      </c>
      <c r="V28" s="13">
        <f t="shared" si="7"/>
        <v>104</v>
      </c>
      <c r="W28" s="13">
        <f t="shared" si="7"/>
        <v>93</v>
      </c>
      <c r="X28" s="13">
        <f t="shared" si="7"/>
        <v>124</v>
      </c>
      <c r="Y28" s="13">
        <f t="shared" si="7"/>
        <v>110</v>
      </c>
      <c r="Z28" s="13">
        <f t="shared" si="7"/>
        <v>89</v>
      </c>
      <c r="AA28" s="13">
        <f t="shared" si="7"/>
        <v>101</v>
      </c>
      <c r="AB28" s="13">
        <f t="shared" si="7"/>
        <v>92</v>
      </c>
      <c r="AC28" s="13">
        <f t="shared" si="7"/>
        <v>113</v>
      </c>
      <c r="AD28" s="13">
        <f t="shared" si="7"/>
        <v>104</v>
      </c>
      <c r="AE28" s="13">
        <f t="shared" si="7"/>
        <v>102</v>
      </c>
      <c r="AF28" s="13">
        <f t="shared" si="7"/>
        <v>93</v>
      </c>
      <c r="AG28" s="13">
        <f t="shared" si="3"/>
        <v>2928</v>
      </c>
    </row>
    <row r="29" ht="12.75" customHeight="1">
      <c r="A29" s="35"/>
      <c r="B29" s="27"/>
      <c r="C29" s="34"/>
      <c r="D29" s="13" t="s">
        <v>13</v>
      </c>
      <c r="E29" s="13">
        <f t="shared" ref="E29:AF29" si="8">SUM(E20,E23,E26)</f>
        <v>106</v>
      </c>
      <c r="F29" s="13">
        <f t="shared" si="8"/>
        <v>87</v>
      </c>
      <c r="G29" s="13">
        <f t="shared" si="8"/>
        <v>99</v>
      </c>
      <c r="H29" s="13">
        <f t="shared" si="8"/>
        <v>104</v>
      </c>
      <c r="I29" s="13">
        <f t="shared" si="8"/>
        <v>137</v>
      </c>
      <c r="J29" s="13">
        <f t="shared" si="8"/>
        <v>101</v>
      </c>
      <c r="K29" s="13">
        <f t="shared" si="8"/>
        <v>110</v>
      </c>
      <c r="L29" s="13">
        <f t="shared" si="8"/>
        <v>127</v>
      </c>
      <c r="M29" s="13">
        <f t="shared" si="8"/>
        <v>122</v>
      </c>
      <c r="N29" s="13">
        <f t="shared" si="8"/>
        <v>137</v>
      </c>
      <c r="O29" s="13">
        <f t="shared" si="8"/>
        <v>109</v>
      </c>
      <c r="P29" s="13">
        <f t="shared" si="8"/>
        <v>126</v>
      </c>
      <c r="Q29" s="13">
        <f t="shared" si="8"/>
        <v>96</v>
      </c>
      <c r="R29" s="13">
        <f t="shared" si="8"/>
        <v>115</v>
      </c>
      <c r="S29" s="13">
        <f t="shared" si="8"/>
        <v>101</v>
      </c>
      <c r="T29" s="13">
        <f t="shared" si="8"/>
        <v>92</v>
      </c>
      <c r="U29" s="13">
        <f t="shared" si="8"/>
        <v>98</v>
      </c>
      <c r="V29" s="13">
        <f t="shared" si="8"/>
        <v>98</v>
      </c>
      <c r="W29" s="13">
        <f t="shared" si="8"/>
        <v>117</v>
      </c>
      <c r="X29" s="13">
        <f t="shared" si="8"/>
        <v>124</v>
      </c>
      <c r="Y29" s="13">
        <f t="shared" si="8"/>
        <v>120</v>
      </c>
      <c r="Z29" s="13">
        <f t="shared" si="8"/>
        <v>92</v>
      </c>
      <c r="AA29" s="13">
        <f t="shared" si="8"/>
        <v>115</v>
      </c>
      <c r="AB29" s="13">
        <f t="shared" si="8"/>
        <v>87</v>
      </c>
      <c r="AC29" s="13">
        <f t="shared" si="8"/>
        <v>120</v>
      </c>
      <c r="AD29" s="13">
        <f t="shared" si="8"/>
        <v>122</v>
      </c>
      <c r="AE29" s="13">
        <f t="shared" si="8"/>
        <v>97</v>
      </c>
      <c r="AF29" s="13">
        <f t="shared" si="8"/>
        <v>108</v>
      </c>
      <c r="AG29" s="13">
        <f t="shared" si="3"/>
        <v>3067</v>
      </c>
    </row>
    <row r="30" ht="12.75" customHeight="1">
      <c r="A30" s="35"/>
      <c r="B30" s="28"/>
      <c r="C30" s="36"/>
      <c r="D30" s="13" t="s">
        <v>14</v>
      </c>
      <c r="E30" s="13">
        <f t="shared" ref="E30:AF30" si="9">SUM(E28:E29)</f>
        <v>215</v>
      </c>
      <c r="F30" s="13">
        <f t="shared" si="9"/>
        <v>208</v>
      </c>
      <c r="G30" s="13">
        <f t="shared" si="9"/>
        <v>212</v>
      </c>
      <c r="H30" s="13">
        <f t="shared" si="9"/>
        <v>230</v>
      </c>
      <c r="I30" s="13">
        <f t="shared" si="9"/>
        <v>220</v>
      </c>
      <c r="J30" s="13">
        <f t="shared" si="9"/>
        <v>217</v>
      </c>
      <c r="K30" s="13">
        <f t="shared" si="9"/>
        <v>204</v>
      </c>
      <c r="L30" s="13">
        <f t="shared" si="9"/>
        <v>224</v>
      </c>
      <c r="M30" s="13">
        <f t="shared" si="9"/>
        <v>247</v>
      </c>
      <c r="N30" s="13">
        <f t="shared" si="9"/>
        <v>246</v>
      </c>
      <c r="O30" s="13">
        <f t="shared" si="9"/>
        <v>220</v>
      </c>
      <c r="P30" s="13">
        <f t="shared" si="9"/>
        <v>244</v>
      </c>
      <c r="Q30" s="13">
        <f t="shared" si="9"/>
        <v>182</v>
      </c>
      <c r="R30" s="13">
        <f t="shared" si="9"/>
        <v>216</v>
      </c>
      <c r="S30" s="13">
        <f t="shared" si="9"/>
        <v>198</v>
      </c>
      <c r="T30" s="13">
        <f t="shared" si="9"/>
        <v>190</v>
      </c>
      <c r="U30" s="13">
        <f t="shared" si="9"/>
        <v>197</v>
      </c>
      <c r="V30" s="13">
        <f t="shared" si="9"/>
        <v>202</v>
      </c>
      <c r="W30" s="13">
        <f t="shared" si="9"/>
        <v>210</v>
      </c>
      <c r="X30" s="13">
        <f t="shared" si="9"/>
        <v>248</v>
      </c>
      <c r="Y30" s="13">
        <f t="shared" si="9"/>
        <v>230</v>
      </c>
      <c r="Z30" s="13">
        <f t="shared" si="9"/>
        <v>181</v>
      </c>
      <c r="AA30" s="13">
        <f t="shared" si="9"/>
        <v>216</v>
      </c>
      <c r="AB30" s="13">
        <f t="shared" si="9"/>
        <v>179</v>
      </c>
      <c r="AC30" s="13">
        <f t="shared" si="9"/>
        <v>233</v>
      </c>
      <c r="AD30" s="13">
        <f t="shared" si="9"/>
        <v>226</v>
      </c>
      <c r="AE30" s="13">
        <f t="shared" si="9"/>
        <v>199</v>
      </c>
      <c r="AF30" s="13">
        <f t="shared" si="9"/>
        <v>201</v>
      </c>
      <c r="AG30" s="13">
        <f t="shared" si="3"/>
        <v>5995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76"/>
      <c r="O31" s="19"/>
      <c r="P31" s="19"/>
      <c r="Q31" s="19"/>
      <c r="R31" s="19"/>
      <c r="S31" s="19"/>
      <c r="T31" s="19"/>
      <c r="U31" s="19"/>
      <c r="V31" s="19"/>
      <c r="W31" s="19"/>
      <c r="X31" s="76"/>
      <c r="Y31" s="19"/>
      <c r="Z31" s="19"/>
      <c r="AA31" s="19"/>
      <c r="AB31" s="19"/>
      <c r="AC31" s="19"/>
      <c r="AD31" s="19"/>
      <c r="AE31" s="19"/>
      <c r="AF31" s="76"/>
      <c r="AG31" s="77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78"/>
      <c r="O32" s="13"/>
      <c r="P32" s="13"/>
      <c r="Q32" s="13"/>
      <c r="R32" s="13"/>
      <c r="S32" s="13"/>
      <c r="T32" s="13"/>
      <c r="U32" s="13"/>
      <c r="V32" s="13"/>
      <c r="W32" s="13"/>
      <c r="X32" s="78"/>
      <c r="Y32" s="13"/>
      <c r="Z32" s="13"/>
      <c r="AA32" s="13"/>
      <c r="AB32" s="13"/>
      <c r="AC32" s="13"/>
      <c r="AD32" s="13"/>
      <c r="AE32" s="13"/>
      <c r="AF32" s="78"/>
      <c r="AG32" s="77"/>
    </row>
    <row r="33" ht="12.75" customHeight="1">
      <c r="A33" s="19">
        <v>1.0</v>
      </c>
      <c r="B33" s="20" t="s">
        <v>27</v>
      </c>
      <c r="C33" s="15"/>
      <c r="D33" s="16"/>
      <c r="E33" s="19">
        <v>293.0</v>
      </c>
      <c r="F33" s="19">
        <v>306.0</v>
      </c>
      <c r="G33" s="19">
        <v>303.0</v>
      </c>
      <c r="H33" s="19">
        <v>305.0</v>
      </c>
      <c r="I33" s="19">
        <v>305.0</v>
      </c>
      <c r="J33" s="19">
        <v>303.0</v>
      </c>
      <c r="K33" s="19">
        <v>305.0</v>
      </c>
      <c r="L33" s="19">
        <v>305.0</v>
      </c>
      <c r="M33" s="19">
        <v>305.0</v>
      </c>
      <c r="N33" s="19">
        <v>305.0</v>
      </c>
      <c r="O33" s="19">
        <v>292.0</v>
      </c>
      <c r="P33" s="19">
        <v>300.0</v>
      </c>
      <c r="Q33" s="19">
        <v>247.0</v>
      </c>
      <c r="R33" s="19">
        <v>291.0</v>
      </c>
      <c r="S33" s="19">
        <v>286.0</v>
      </c>
      <c r="T33" s="19">
        <v>303.0</v>
      </c>
      <c r="U33" s="19">
        <v>268.0</v>
      </c>
      <c r="V33" s="19">
        <v>303.0</v>
      </c>
      <c r="W33" s="19">
        <v>305.0</v>
      </c>
      <c r="X33" s="19">
        <v>306.0</v>
      </c>
      <c r="Y33" s="19">
        <v>275.0</v>
      </c>
      <c r="Z33" s="19">
        <v>248.0</v>
      </c>
      <c r="AA33" s="19">
        <v>306.0</v>
      </c>
      <c r="AB33" s="19">
        <v>220.0</v>
      </c>
      <c r="AC33" s="19">
        <v>286.0</v>
      </c>
      <c r="AD33" s="19">
        <v>284.0</v>
      </c>
      <c r="AE33" s="19">
        <v>243.0</v>
      </c>
      <c r="AF33" s="19">
        <v>271.0</v>
      </c>
      <c r="AG33" s="13">
        <f t="shared" ref="AG33:AG36" si="10">SUM(E33:AF33)</f>
        <v>8069</v>
      </c>
    </row>
    <row r="34" ht="12.75" customHeight="1">
      <c r="A34" s="19">
        <v>2.0</v>
      </c>
      <c r="B34" s="20" t="s">
        <v>28</v>
      </c>
      <c r="C34" s="15"/>
      <c r="D34" s="16"/>
      <c r="E34" s="13">
        <v>215.0</v>
      </c>
      <c r="F34" s="13">
        <v>208.0</v>
      </c>
      <c r="G34" s="13">
        <v>212.0</v>
      </c>
      <c r="H34" s="13">
        <v>230.0</v>
      </c>
      <c r="I34" s="13">
        <v>220.0</v>
      </c>
      <c r="J34" s="13">
        <v>217.0</v>
      </c>
      <c r="K34" s="13">
        <v>204.0</v>
      </c>
      <c r="L34" s="13">
        <v>224.0</v>
      </c>
      <c r="M34" s="13">
        <v>247.0</v>
      </c>
      <c r="N34" s="13">
        <v>246.0</v>
      </c>
      <c r="O34" s="13">
        <v>220.0</v>
      </c>
      <c r="P34" s="13">
        <v>244.0</v>
      </c>
      <c r="Q34" s="13">
        <v>182.0</v>
      </c>
      <c r="R34" s="13">
        <v>216.0</v>
      </c>
      <c r="S34" s="13">
        <v>198.0</v>
      </c>
      <c r="T34" s="13">
        <v>190.0</v>
      </c>
      <c r="U34" s="13">
        <v>197.0</v>
      </c>
      <c r="V34" s="13">
        <v>202.0</v>
      </c>
      <c r="W34" s="13">
        <v>210.0</v>
      </c>
      <c r="X34" s="13">
        <v>248.0</v>
      </c>
      <c r="Y34" s="13">
        <v>230.0</v>
      </c>
      <c r="Z34" s="13">
        <v>181.0</v>
      </c>
      <c r="AA34" s="13">
        <v>216.0</v>
      </c>
      <c r="AB34" s="13">
        <v>179.0</v>
      </c>
      <c r="AC34" s="13">
        <v>233.0</v>
      </c>
      <c r="AD34" s="13">
        <v>226.0</v>
      </c>
      <c r="AE34" s="13">
        <v>199.0</v>
      </c>
      <c r="AF34" s="13">
        <v>201.0</v>
      </c>
      <c r="AG34" s="13">
        <f t="shared" si="10"/>
        <v>5995</v>
      </c>
    </row>
    <row r="35" ht="12.75" customHeight="1">
      <c r="A35" s="19">
        <v>3.0</v>
      </c>
      <c r="B35" s="20" t="s">
        <v>29</v>
      </c>
      <c r="C35" s="15"/>
      <c r="D35" s="16"/>
      <c r="E35" s="19">
        <v>1.0</v>
      </c>
      <c r="F35" s="19">
        <v>0.0</v>
      </c>
      <c r="G35" s="19">
        <v>0.0</v>
      </c>
      <c r="H35" s="19">
        <v>0.0</v>
      </c>
      <c r="I35" s="19">
        <v>0.0</v>
      </c>
      <c r="J35" s="19">
        <v>1.0</v>
      </c>
      <c r="K35" s="19">
        <v>3.0</v>
      </c>
      <c r="L35" s="19">
        <v>0.0</v>
      </c>
      <c r="M35" s="19">
        <v>0.0</v>
      </c>
      <c r="N35" s="19">
        <v>0.0</v>
      </c>
      <c r="O35" s="19">
        <v>0.0</v>
      </c>
      <c r="P35" s="19">
        <v>0.0</v>
      </c>
      <c r="Q35" s="19">
        <v>0.0</v>
      </c>
      <c r="R35" s="19">
        <v>0.0</v>
      </c>
      <c r="S35" s="19">
        <v>0.0</v>
      </c>
      <c r="T35" s="19">
        <v>0.0</v>
      </c>
      <c r="U35" s="19">
        <v>0.0</v>
      </c>
      <c r="V35" s="19">
        <v>0.0</v>
      </c>
      <c r="W35" s="19">
        <v>0.0</v>
      </c>
      <c r="X35" s="19">
        <v>0.0</v>
      </c>
      <c r="Y35" s="19">
        <v>0.0</v>
      </c>
      <c r="Z35" s="19">
        <v>0.0</v>
      </c>
      <c r="AA35" s="19">
        <v>0.0</v>
      </c>
      <c r="AB35" s="19">
        <v>0.0</v>
      </c>
      <c r="AC35" s="19">
        <v>5.0</v>
      </c>
      <c r="AD35" s="19">
        <v>1.0</v>
      </c>
      <c r="AE35" s="19">
        <v>0.0</v>
      </c>
      <c r="AF35" s="19">
        <v>0.0</v>
      </c>
      <c r="AG35" s="13">
        <f t="shared" si="10"/>
        <v>11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AF36" si="11">E33-(E34+E35)</f>
        <v>77</v>
      </c>
      <c r="F36" s="13">
        <f t="shared" si="11"/>
        <v>98</v>
      </c>
      <c r="G36" s="13">
        <f t="shared" si="11"/>
        <v>91</v>
      </c>
      <c r="H36" s="13">
        <f t="shared" si="11"/>
        <v>75</v>
      </c>
      <c r="I36" s="13">
        <f t="shared" si="11"/>
        <v>85</v>
      </c>
      <c r="J36" s="13">
        <f t="shared" si="11"/>
        <v>85</v>
      </c>
      <c r="K36" s="13">
        <f t="shared" si="11"/>
        <v>98</v>
      </c>
      <c r="L36" s="13">
        <f t="shared" si="11"/>
        <v>81</v>
      </c>
      <c r="M36" s="13">
        <f t="shared" si="11"/>
        <v>58</v>
      </c>
      <c r="N36" s="13">
        <f t="shared" si="11"/>
        <v>59</v>
      </c>
      <c r="O36" s="13">
        <f t="shared" si="11"/>
        <v>72</v>
      </c>
      <c r="P36" s="13">
        <f t="shared" si="11"/>
        <v>56</v>
      </c>
      <c r="Q36" s="13">
        <f t="shared" si="11"/>
        <v>65</v>
      </c>
      <c r="R36" s="13">
        <f t="shared" si="11"/>
        <v>75</v>
      </c>
      <c r="S36" s="13">
        <f t="shared" si="11"/>
        <v>88</v>
      </c>
      <c r="T36" s="13">
        <f t="shared" si="11"/>
        <v>113</v>
      </c>
      <c r="U36" s="13">
        <f t="shared" si="11"/>
        <v>71</v>
      </c>
      <c r="V36" s="13">
        <f t="shared" si="11"/>
        <v>101</v>
      </c>
      <c r="W36" s="13">
        <f t="shared" si="11"/>
        <v>95</v>
      </c>
      <c r="X36" s="13">
        <f t="shared" si="11"/>
        <v>58</v>
      </c>
      <c r="Y36" s="13">
        <f t="shared" si="11"/>
        <v>45</v>
      </c>
      <c r="Z36" s="13">
        <f t="shared" si="11"/>
        <v>67</v>
      </c>
      <c r="AA36" s="13">
        <f t="shared" si="11"/>
        <v>90</v>
      </c>
      <c r="AB36" s="13">
        <f t="shared" si="11"/>
        <v>41</v>
      </c>
      <c r="AC36" s="13">
        <f t="shared" si="11"/>
        <v>48</v>
      </c>
      <c r="AD36" s="13">
        <f t="shared" si="11"/>
        <v>57</v>
      </c>
      <c r="AE36" s="13">
        <f t="shared" si="11"/>
        <v>44</v>
      </c>
      <c r="AF36" s="13">
        <f t="shared" si="11"/>
        <v>70</v>
      </c>
      <c r="AG36" s="13">
        <f t="shared" si="10"/>
        <v>2063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6"/>
      <c r="AC37" s="19"/>
      <c r="AD37" s="19"/>
      <c r="AE37" s="19"/>
      <c r="AF37" s="79"/>
      <c r="AG37" s="77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78"/>
      <c r="O38" s="13"/>
      <c r="P38" s="13"/>
      <c r="Q38" s="13"/>
      <c r="R38" s="13"/>
      <c r="S38" s="13"/>
      <c r="T38" s="13"/>
      <c r="U38" s="13"/>
      <c r="V38" s="13"/>
      <c r="W38" s="13"/>
      <c r="X38" s="78"/>
      <c r="Y38" s="13"/>
      <c r="Z38" s="13"/>
      <c r="AA38" s="13"/>
      <c r="AB38" s="13"/>
      <c r="AC38" s="13"/>
      <c r="AD38" s="13"/>
      <c r="AE38" s="13"/>
      <c r="AF38" s="78"/>
      <c r="AG38" s="77"/>
    </row>
    <row r="39" ht="12.75" customHeight="1">
      <c r="A39" s="30"/>
      <c r="B39" s="43" t="s">
        <v>33</v>
      </c>
      <c r="C39" s="23"/>
      <c r="D39" s="19" t="s">
        <v>12</v>
      </c>
      <c r="E39" s="19">
        <v>0.0</v>
      </c>
      <c r="F39" s="19">
        <v>0.0</v>
      </c>
      <c r="G39" s="19">
        <v>0.0</v>
      </c>
      <c r="H39" s="19">
        <v>0.0</v>
      </c>
      <c r="I39" s="19">
        <v>0.0</v>
      </c>
      <c r="J39" s="19">
        <v>0.0</v>
      </c>
      <c r="K39" s="19">
        <v>0.0</v>
      </c>
      <c r="L39" s="19">
        <v>0.0</v>
      </c>
      <c r="M39" s="19">
        <v>0.0</v>
      </c>
      <c r="N39" s="19">
        <v>0.0</v>
      </c>
      <c r="O39" s="19">
        <v>0.0</v>
      </c>
      <c r="P39" s="19">
        <v>0.0</v>
      </c>
      <c r="Q39" s="19">
        <v>0.0</v>
      </c>
      <c r="R39" s="19">
        <v>0.0</v>
      </c>
      <c r="S39" s="19">
        <v>0.0</v>
      </c>
      <c r="T39" s="19">
        <v>0.0</v>
      </c>
      <c r="U39" s="19">
        <v>0.0</v>
      </c>
      <c r="V39" s="19">
        <v>0.0</v>
      </c>
      <c r="W39" s="19">
        <v>0.0</v>
      </c>
      <c r="X39" s="19">
        <v>0.0</v>
      </c>
      <c r="Y39" s="19">
        <v>0.0</v>
      </c>
      <c r="Z39" s="19">
        <v>0.0</v>
      </c>
      <c r="AA39" s="19">
        <v>0.0</v>
      </c>
      <c r="AB39" s="19">
        <v>0.0</v>
      </c>
      <c r="AC39" s="19">
        <v>0.0</v>
      </c>
      <c r="AD39" s="19">
        <v>0.0</v>
      </c>
      <c r="AE39" s="19">
        <v>0.0</v>
      </c>
      <c r="AF39" s="19">
        <v>0.0</v>
      </c>
      <c r="AG39" s="13">
        <f t="shared" ref="AG39:AG41" si="12">SUM(E39:AF39)</f>
        <v>0</v>
      </c>
    </row>
    <row r="40" ht="12.75" customHeight="1">
      <c r="A40" s="33"/>
      <c r="C40" s="27"/>
      <c r="D40" s="19" t="s">
        <v>13</v>
      </c>
      <c r="E40" s="19">
        <v>0.0</v>
      </c>
      <c r="F40" s="19">
        <v>0.0</v>
      </c>
      <c r="G40" s="19">
        <v>0.0</v>
      </c>
      <c r="H40" s="19">
        <v>0.0</v>
      </c>
      <c r="I40" s="19">
        <v>0.0</v>
      </c>
      <c r="J40" s="19">
        <v>0.0</v>
      </c>
      <c r="K40" s="19">
        <v>0.0</v>
      </c>
      <c r="L40" s="19">
        <v>0.0</v>
      </c>
      <c r="M40" s="19">
        <v>0.0</v>
      </c>
      <c r="N40" s="19">
        <v>0.0</v>
      </c>
      <c r="O40" s="19">
        <v>0.0</v>
      </c>
      <c r="P40" s="19">
        <v>0.0</v>
      </c>
      <c r="Q40" s="19">
        <v>0.0</v>
      </c>
      <c r="R40" s="19">
        <v>0.0</v>
      </c>
      <c r="S40" s="19">
        <v>0.0</v>
      </c>
      <c r="T40" s="19">
        <v>0.0</v>
      </c>
      <c r="U40" s="19">
        <v>0.0</v>
      </c>
      <c r="V40" s="19">
        <v>0.0</v>
      </c>
      <c r="W40" s="19">
        <v>0.0</v>
      </c>
      <c r="X40" s="19">
        <v>0.0</v>
      </c>
      <c r="Y40" s="19">
        <v>0.0</v>
      </c>
      <c r="Z40" s="19">
        <v>0.0</v>
      </c>
      <c r="AA40" s="19">
        <v>2.0</v>
      </c>
      <c r="AB40" s="19">
        <v>0.0</v>
      </c>
      <c r="AC40" s="19">
        <v>0.0</v>
      </c>
      <c r="AD40" s="19">
        <v>0.0</v>
      </c>
      <c r="AE40" s="19">
        <v>0.0</v>
      </c>
      <c r="AF40" s="19">
        <v>0.0</v>
      </c>
      <c r="AG40" s="13">
        <f t="shared" si="12"/>
        <v>2</v>
      </c>
    </row>
    <row r="41" ht="12.75" customHeight="1">
      <c r="A41" s="41"/>
      <c r="B41" s="44"/>
      <c r="C41" s="28"/>
      <c r="D41" s="13" t="s">
        <v>14</v>
      </c>
      <c r="E41" s="13">
        <f t="shared" ref="E41:AF41" si="13">SUM(E39:E40)</f>
        <v>0</v>
      </c>
      <c r="F41" s="13">
        <f t="shared" si="13"/>
        <v>0</v>
      </c>
      <c r="G41" s="13">
        <f t="shared" si="13"/>
        <v>0</v>
      </c>
      <c r="H41" s="13">
        <f t="shared" si="13"/>
        <v>0</v>
      </c>
      <c r="I41" s="13">
        <f t="shared" si="13"/>
        <v>0</v>
      </c>
      <c r="J41" s="13">
        <f t="shared" si="13"/>
        <v>0</v>
      </c>
      <c r="K41" s="13">
        <f t="shared" si="13"/>
        <v>0</v>
      </c>
      <c r="L41" s="13">
        <f t="shared" si="13"/>
        <v>0</v>
      </c>
      <c r="M41" s="13">
        <f t="shared" si="13"/>
        <v>0</v>
      </c>
      <c r="N41" s="13">
        <f t="shared" si="13"/>
        <v>0</v>
      </c>
      <c r="O41" s="13">
        <f t="shared" si="13"/>
        <v>0</v>
      </c>
      <c r="P41" s="13">
        <f t="shared" si="13"/>
        <v>0</v>
      </c>
      <c r="Q41" s="13">
        <f t="shared" si="13"/>
        <v>0</v>
      </c>
      <c r="R41" s="13">
        <f t="shared" si="13"/>
        <v>0</v>
      </c>
      <c r="S41" s="13">
        <f t="shared" si="13"/>
        <v>0</v>
      </c>
      <c r="T41" s="13">
        <f t="shared" si="13"/>
        <v>0</v>
      </c>
      <c r="U41" s="13">
        <f t="shared" si="13"/>
        <v>0</v>
      </c>
      <c r="V41" s="13">
        <f t="shared" si="13"/>
        <v>0</v>
      </c>
      <c r="W41" s="13">
        <f t="shared" si="13"/>
        <v>0</v>
      </c>
      <c r="X41" s="13">
        <f t="shared" si="13"/>
        <v>0</v>
      </c>
      <c r="Y41" s="13">
        <f t="shared" si="13"/>
        <v>0</v>
      </c>
      <c r="Z41" s="13">
        <f t="shared" si="13"/>
        <v>0</v>
      </c>
      <c r="AA41" s="13">
        <f t="shared" si="13"/>
        <v>2</v>
      </c>
      <c r="AB41" s="13">
        <f t="shared" si="13"/>
        <v>0</v>
      </c>
      <c r="AC41" s="13">
        <f t="shared" si="13"/>
        <v>0</v>
      </c>
      <c r="AD41" s="13">
        <f t="shared" si="13"/>
        <v>0</v>
      </c>
      <c r="AE41" s="13">
        <f t="shared" si="13"/>
        <v>0</v>
      </c>
      <c r="AF41" s="13">
        <f t="shared" si="13"/>
        <v>0</v>
      </c>
      <c r="AG41" s="13">
        <f t="shared" si="12"/>
        <v>2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6"/>
      <c r="AC42" s="19"/>
      <c r="AD42" s="19"/>
      <c r="AE42" s="19"/>
      <c r="AF42" s="19"/>
      <c r="AG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78"/>
      <c r="O43" s="13"/>
      <c r="P43" s="13"/>
      <c r="Q43" s="13"/>
      <c r="R43" s="13"/>
      <c r="S43" s="13"/>
      <c r="T43" s="13"/>
      <c r="U43" s="13"/>
      <c r="V43" s="13"/>
      <c r="W43" s="13"/>
      <c r="X43" s="78"/>
      <c r="Y43" s="13"/>
      <c r="Z43" s="13"/>
      <c r="AA43" s="13"/>
      <c r="AB43" s="13"/>
      <c r="AC43" s="13"/>
      <c r="AD43" s="13"/>
      <c r="AE43" s="13"/>
      <c r="AF43" s="13"/>
      <c r="AG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76"/>
      <c r="O44" s="19"/>
      <c r="P44" s="19"/>
      <c r="Q44" s="19"/>
      <c r="R44" s="19"/>
      <c r="S44" s="19"/>
      <c r="T44" s="19"/>
      <c r="U44" s="19"/>
      <c r="V44" s="19"/>
      <c r="W44" s="19"/>
      <c r="X44" s="76"/>
      <c r="Y44" s="19"/>
      <c r="Z44" s="19"/>
      <c r="AA44" s="19"/>
      <c r="AB44" s="19"/>
      <c r="AC44" s="19"/>
      <c r="AD44" s="19"/>
      <c r="AE44" s="19"/>
      <c r="AF44" s="19"/>
      <c r="AG44" s="13"/>
    </row>
    <row r="45" ht="12.75" customHeight="1">
      <c r="A45" s="30" t="s">
        <v>37</v>
      </c>
      <c r="B45" s="47" t="s">
        <v>17</v>
      </c>
      <c r="C45" s="48" t="s">
        <v>38</v>
      </c>
      <c r="D45" s="16"/>
      <c r="E45" s="19">
        <v>16.0</v>
      </c>
      <c r="F45" s="19">
        <v>6.0</v>
      </c>
      <c r="G45" s="19">
        <v>7.0</v>
      </c>
      <c r="H45" s="19">
        <v>8.0</v>
      </c>
      <c r="I45" s="19">
        <v>11.0</v>
      </c>
      <c r="J45" s="19">
        <v>5.0</v>
      </c>
      <c r="K45" s="19">
        <v>16.0</v>
      </c>
      <c r="L45" s="19">
        <v>17.0</v>
      </c>
      <c r="M45" s="19">
        <v>13.0</v>
      </c>
      <c r="N45" s="19">
        <v>9.0</v>
      </c>
      <c r="O45" s="19">
        <v>15.0</v>
      </c>
      <c r="P45" s="19">
        <v>14.0</v>
      </c>
      <c r="Q45" s="19">
        <v>16.0</v>
      </c>
      <c r="R45" s="19">
        <v>8.0</v>
      </c>
      <c r="S45" s="19">
        <v>5.0</v>
      </c>
      <c r="T45" s="19">
        <v>5.0</v>
      </c>
      <c r="U45" s="19">
        <v>9.0</v>
      </c>
      <c r="V45" s="19">
        <v>17.0</v>
      </c>
      <c r="W45" s="19">
        <v>17.0</v>
      </c>
      <c r="X45" s="19">
        <v>10.0</v>
      </c>
      <c r="Y45" s="19">
        <v>10.0</v>
      </c>
      <c r="Z45" s="19">
        <v>22.0</v>
      </c>
      <c r="AA45" s="19">
        <v>15.0</v>
      </c>
      <c r="AB45" s="19">
        <v>0.0</v>
      </c>
      <c r="AC45" s="19">
        <v>8.0</v>
      </c>
      <c r="AD45" s="19">
        <v>5.0</v>
      </c>
      <c r="AE45" s="19">
        <v>15.0</v>
      </c>
      <c r="AF45" s="19">
        <v>12.0</v>
      </c>
      <c r="AG45" s="13">
        <f t="shared" ref="AG45:AG54" si="14">SUM(E45:AF45)</f>
        <v>311</v>
      </c>
    </row>
    <row r="46" ht="12.75" customHeight="1">
      <c r="A46" s="30" t="s">
        <v>39</v>
      </c>
      <c r="B46" s="49">
        <v>1.0</v>
      </c>
      <c r="C46" s="50" t="s">
        <v>40</v>
      </c>
      <c r="D46" s="16"/>
      <c r="E46" s="19">
        <v>12.0</v>
      </c>
      <c r="F46" s="19">
        <v>6.0</v>
      </c>
      <c r="G46" s="19">
        <v>6.0</v>
      </c>
      <c r="H46" s="19">
        <v>5.0</v>
      </c>
      <c r="I46" s="19">
        <v>13.0</v>
      </c>
      <c r="J46" s="19">
        <v>7.0</v>
      </c>
      <c r="K46" s="19">
        <v>18.0</v>
      </c>
      <c r="L46" s="19">
        <v>29.0</v>
      </c>
      <c r="M46" s="19">
        <v>24.0</v>
      </c>
      <c r="N46" s="19">
        <v>7.0</v>
      </c>
      <c r="O46" s="19">
        <v>15.0</v>
      </c>
      <c r="P46" s="19">
        <v>17.0</v>
      </c>
      <c r="Q46" s="19">
        <v>8.0</v>
      </c>
      <c r="R46" s="19">
        <v>8.0</v>
      </c>
      <c r="S46" s="19">
        <v>10.0</v>
      </c>
      <c r="T46" s="19">
        <v>12.0</v>
      </c>
      <c r="U46" s="19">
        <v>17.0</v>
      </c>
      <c r="V46" s="19">
        <v>12.0</v>
      </c>
      <c r="W46" s="19">
        <v>19.0</v>
      </c>
      <c r="X46" s="19">
        <v>11.0</v>
      </c>
      <c r="Y46" s="19">
        <v>6.0</v>
      </c>
      <c r="Z46" s="19">
        <v>3.0</v>
      </c>
      <c r="AA46" s="19">
        <v>2.0</v>
      </c>
      <c r="AB46" s="19">
        <v>5.0</v>
      </c>
      <c r="AC46" s="19">
        <v>6.0</v>
      </c>
      <c r="AD46" s="19">
        <v>13.0</v>
      </c>
      <c r="AE46" s="19">
        <v>15.0</v>
      </c>
      <c r="AF46" s="19">
        <v>21.0</v>
      </c>
      <c r="AG46" s="13">
        <f t="shared" si="14"/>
        <v>327</v>
      </c>
    </row>
    <row r="47" ht="12.75" customHeight="1">
      <c r="A47" s="18"/>
      <c r="B47" s="55">
        <v>2.0</v>
      </c>
      <c r="C47" s="50" t="s">
        <v>41</v>
      </c>
      <c r="D47" s="16"/>
      <c r="E47" s="19">
        <v>8.0</v>
      </c>
      <c r="F47" s="19">
        <v>6.0</v>
      </c>
      <c r="G47" s="19">
        <v>7.0</v>
      </c>
      <c r="H47" s="19">
        <v>6.0</v>
      </c>
      <c r="I47" s="19">
        <v>6.0</v>
      </c>
      <c r="J47" s="19">
        <v>13.0</v>
      </c>
      <c r="K47" s="19">
        <v>4.0</v>
      </c>
      <c r="L47" s="19">
        <v>4.0</v>
      </c>
      <c r="M47" s="19">
        <v>22.0</v>
      </c>
      <c r="N47" s="19">
        <v>5.0</v>
      </c>
      <c r="O47" s="19">
        <v>14.0</v>
      </c>
      <c r="P47" s="19">
        <v>11.0</v>
      </c>
      <c r="Q47" s="19">
        <v>1.0</v>
      </c>
      <c r="R47" s="19">
        <v>11.0</v>
      </c>
      <c r="S47" s="19">
        <v>6.0</v>
      </c>
      <c r="T47" s="19">
        <v>12.0</v>
      </c>
      <c r="U47" s="19">
        <v>4.0</v>
      </c>
      <c r="V47" s="19">
        <v>23.0</v>
      </c>
      <c r="W47" s="19">
        <v>18.0</v>
      </c>
      <c r="X47" s="19">
        <v>16.0</v>
      </c>
      <c r="Y47" s="19">
        <v>16.0</v>
      </c>
      <c r="Z47" s="19">
        <v>20.0</v>
      </c>
      <c r="AA47" s="19">
        <v>13.0</v>
      </c>
      <c r="AB47" s="19">
        <v>14.0</v>
      </c>
      <c r="AC47" s="19">
        <v>61.0</v>
      </c>
      <c r="AD47" s="19">
        <v>25.0</v>
      </c>
      <c r="AE47" s="19">
        <v>49.0</v>
      </c>
      <c r="AF47" s="19">
        <v>11.0</v>
      </c>
      <c r="AG47" s="13">
        <f t="shared" si="14"/>
        <v>406</v>
      </c>
    </row>
    <row r="48" ht="12.75" customHeight="1">
      <c r="A48" s="18"/>
      <c r="B48" s="55">
        <v>3.0</v>
      </c>
      <c r="C48" s="50" t="s">
        <v>42</v>
      </c>
      <c r="D48" s="16"/>
      <c r="E48" s="19">
        <v>9.0</v>
      </c>
      <c r="F48" s="19">
        <v>7.0</v>
      </c>
      <c r="G48" s="19">
        <v>9.0</v>
      </c>
      <c r="H48" s="19">
        <v>8.0</v>
      </c>
      <c r="I48" s="19">
        <v>7.0</v>
      </c>
      <c r="J48" s="19">
        <v>18.0</v>
      </c>
      <c r="K48" s="19">
        <v>28.0</v>
      </c>
      <c r="L48" s="19">
        <v>41.0</v>
      </c>
      <c r="M48" s="19">
        <v>10.0</v>
      </c>
      <c r="N48" s="19">
        <v>2.0</v>
      </c>
      <c r="O48" s="19">
        <v>7.0</v>
      </c>
      <c r="P48" s="19">
        <v>24.0</v>
      </c>
      <c r="Q48" s="19">
        <v>0.0</v>
      </c>
      <c r="R48" s="19">
        <v>3.0</v>
      </c>
      <c r="S48" s="19">
        <v>13.0</v>
      </c>
      <c r="T48" s="19">
        <v>4.0</v>
      </c>
      <c r="U48" s="19">
        <v>12.0</v>
      </c>
      <c r="V48" s="19">
        <v>8.0</v>
      </c>
      <c r="W48" s="19">
        <v>1.0</v>
      </c>
      <c r="X48" s="19">
        <v>2.0</v>
      </c>
      <c r="Y48" s="19">
        <v>2.0</v>
      </c>
      <c r="Z48" s="19">
        <v>1.0</v>
      </c>
      <c r="AA48" s="19">
        <v>2.0</v>
      </c>
      <c r="AB48" s="19">
        <v>0.0</v>
      </c>
      <c r="AC48" s="19">
        <v>1.0</v>
      </c>
      <c r="AD48" s="19">
        <v>7.0</v>
      </c>
      <c r="AE48" s="19">
        <v>3.0</v>
      </c>
      <c r="AF48" s="19">
        <v>4.0</v>
      </c>
      <c r="AG48" s="13">
        <f t="shared" si="14"/>
        <v>233</v>
      </c>
    </row>
    <row r="49" ht="12.75" customHeight="1">
      <c r="A49" s="18"/>
      <c r="B49" s="55">
        <v>4.0</v>
      </c>
      <c r="C49" s="50" t="s">
        <v>43</v>
      </c>
      <c r="D49" s="16"/>
      <c r="E49" s="19">
        <v>0.0</v>
      </c>
      <c r="F49" s="19">
        <v>2.0</v>
      </c>
      <c r="G49" s="19">
        <v>0.0</v>
      </c>
      <c r="H49" s="19">
        <v>5.0</v>
      </c>
      <c r="I49" s="19">
        <v>0.0</v>
      </c>
      <c r="J49" s="19">
        <v>4.0</v>
      </c>
      <c r="K49" s="19">
        <v>0.0</v>
      </c>
      <c r="L49" s="19">
        <v>0.0</v>
      </c>
      <c r="M49" s="19">
        <v>1.0</v>
      </c>
      <c r="N49" s="19">
        <v>0.0</v>
      </c>
      <c r="O49" s="19">
        <v>0.0</v>
      </c>
      <c r="P49" s="19">
        <v>0.0</v>
      </c>
      <c r="Q49" s="19">
        <v>1.0</v>
      </c>
      <c r="R49" s="19">
        <v>1.0</v>
      </c>
      <c r="S49" s="19">
        <v>3.0</v>
      </c>
      <c r="T49" s="19">
        <v>1.0</v>
      </c>
      <c r="U49" s="19">
        <v>2.0</v>
      </c>
      <c r="V49" s="19">
        <v>2.0</v>
      </c>
      <c r="W49" s="19">
        <v>4.0</v>
      </c>
      <c r="X49" s="19">
        <v>4.0</v>
      </c>
      <c r="Y49" s="19">
        <v>1.0</v>
      </c>
      <c r="Z49" s="19">
        <v>1.0</v>
      </c>
      <c r="AA49" s="19">
        <v>0.0</v>
      </c>
      <c r="AB49" s="19">
        <v>0.0</v>
      </c>
      <c r="AC49" s="19">
        <v>1.0</v>
      </c>
      <c r="AD49" s="19">
        <v>1.0</v>
      </c>
      <c r="AE49" s="19">
        <v>1.0</v>
      </c>
      <c r="AF49" s="19">
        <v>1.0</v>
      </c>
      <c r="AG49" s="13">
        <f t="shared" si="14"/>
        <v>36</v>
      </c>
    </row>
    <row r="50" ht="12.75" customHeight="1">
      <c r="A50" s="18"/>
      <c r="B50" s="55">
        <v>5.0</v>
      </c>
      <c r="C50" s="50" t="s">
        <v>44</v>
      </c>
      <c r="D50" s="16"/>
      <c r="E50" s="19">
        <v>0.0</v>
      </c>
      <c r="F50" s="19">
        <v>0.0</v>
      </c>
      <c r="G50" s="19">
        <v>1.0</v>
      </c>
      <c r="H50" s="19">
        <v>0.0</v>
      </c>
      <c r="I50" s="19">
        <v>0.0</v>
      </c>
      <c r="J50" s="19">
        <v>0.0</v>
      </c>
      <c r="K50" s="19">
        <v>1.0</v>
      </c>
      <c r="L50" s="19">
        <v>0.0</v>
      </c>
      <c r="M50" s="19">
        <v>1.0</v>
      </c>
      <c r="N50" s="19">
        <v>0.0</v>
      </c>
      <c r="O50" s="19">
        <v>1.0</v>
      </c>
      <c r="P50" s="19">
        <v>1.0</v>
      </c>
      <c r="Q50" s="19">
        <v>0.0</v>
      </c>
      <c r="R50" s="19">
        <v>1.0</v>
      </c>
      <c r="S50" s="19">
        <v>0.0</v>
      </c>
      <c r="T50" s="19">
        <v>0.0</v>
      </c>
      <c r="U50" s="19">
        <v>0.0</v>
      </c>
      <c r="V50" s="19">
        <v>2.0</v>
      </c>
      <c r="W50" s="19">
        <v>1.0</v>
      </c>
      <c r="X50" s="19">
        <v>0.0</v>
      </c>
      <c r="Y50" s="19">
        <v>2.0</v>
      </c>
      <c r="Z50" s="19">
        <v>1.0</v>
      </c>
      <c r="AA50" s="19">
        <v>0.0</v>
      </c>
      <c r="AB50" s="19">
        <v>0.0</v>
      </c>
      <c r="AC50" s="19">
        <v>0.0</v>
      </c>
      <c r="AD50" s="19">
        <v>0.0</v>
      </c>
      <c r="AE50" s="19">
        <v>0.0</v>
      </c>
      <c r="AF50" s="19">
        <v>1.0</v>
      </c>
      <c r="AG50" s="13">
        <f t="shared" si="14"/>
        <v>13</v>
      </c>
    </row>
    <row r="51" ht="12.75" customHeight="1">
      <c r="A51" s="18"/>
      <c r="B51" s="55">
        <v>6.0</v>
      </c>
      <c r="C51" s="50" t="s">
        <v>45</v>
      </c>
      <c r="D51" s="16"/>
      <c r="E51" s="19">
        <v>0.0</v>
      </c>
      <c r="F51" s="19">
        <v>0.0</v>
      </c>
      <c r="G51" s="19">
        <v>0.0</v>
      </c>
      <c r="H51" s="19">
        <v>0.0</v>
      </c>
      <c r="I51" s="19">
        <v>0.0</v>
      </c>
      <c r="J51" s="19">
        <v>0.0</v>
      </c>
      <c r="K51" s="19">
        <v>0.0</v>
      </c>
      <c r="L51" s="19">
        <v>0.0</v>
      </c>
      <c r="M51" s="19">
        <v>0.0</v>
      </c>
      <c r="N51" s="19">
        <v>0.0</v>
      </c>
      <c r="O51" s="19">
        <v>1.0</v>
      </c>
      <c r="P51" s="19">
        <v>0.0</v>
      </c>
      <c r="Q51" s="19">
        <v>0.0</v>
      </c>
      <c r="R51" s="19">
        <v>0.0</v>
      </c>
      <c r="S51" s="19">
        <v>1.0</v>
      </c>
      <c r="T51" s="19">
        <v>0.0</v>
      </c>
      <c r="U51" s="19">
        <v>0.0</v>
      </c>
      <c r="V51" s="19">
        <v>0.0</v>
      </c>
      <c r="W51" s="19">
        <v>1.0</v>
      </c>
      <c r="X51" s="19">
        <v>0.0</v>
      </c>
      <c r="Y51" s="19">
        <v>0.0</v>
      </c>
      <c r="Z51" s="19">
        <v>0.0</v>
      </c>
      <c r="AA51" s="19">
        <v>1.0</v>
      </c>
      <c r="AB51" s="19">
        <v>0.0</v>
      </c>
      <c r="AC51" s="19">
        <v>1.0</v>
      </c>
      <c r="AD51" s="19">
        <v>0.0</v>
      </c>
      <c r="AE51" s="19">
        <v>0.0</v>
      </c>
      <c r="AF51" s="19">
        <v>0.0</v>
      </c>
      <c r="AG51" s="13">
        <f t="shared" si="14"/>
        <v>5</v>
      </c>
    </row>
    <row r="52" ht="12.75" customHeight="1">
      <c r="A52" s="18"/>
      <c r="B52" s="55">
        <v>7.0</v>
      </c>
      <c r="C52" s="50" t="s">
        <v>46</v>
      </c>
      <c r="D52" s="16"/>
      <c r="E52" s="19">
        <v>0.0</v>
      </c>
      <c r="F52" s="19">
        <v>0.0</v>
      </c>
      <c r="G52" s="19">
        <v>0.0</v>
      </c>
      <c r="H52" s="19">
        <v>0.0</v>
      </c>
      <c r="I52" s="19">
        <v>0.0</v>
      </c>
      <c r="J52" s="19">
        <v>0.0</v>
      </c>
      <c r="K52" s="19">
        <v>0.0</v>
      </c>
      <c r="L52" s="19">
        <v>0.0</v>
      </c>
      <c r="M52" s="19">
        <v>0.0</v>
      </c>
      <c r="N52" s="19">
        <v>0.0</v>
      </c>
      <c r="O52" s="19">
        <v>0.0</v>
      </c>
      <c r="P52" s="19">
        <v>0.0</v>
      </c>
      <c r="Q52" s="19">
        <v>1.0</v>
      </c>
      <c r="R52" s="19">
        <v>1.0</v>
      </c>
      <c r="S52" s="19">
        <v>0.0</v>
      </c>
      <c r="T52" s="19">
        <v>0.0</v>
      </c>
      <c r="U52" s="19">
        <v>0.0</v>
      </c>
      <c r="V52" s="19">
        <v>1.0</v>
      </c>
      <c r="W52" s="19">
        <v>1.0</v>
      </c>
      <c r="X52" s="19">
        <v>0.0</v>
      </c>
      <c r="Y52" s="19">
        <v>0.0</v>
      </c>
      <c r="Z52" s="19">
        <v>0.0</v>
      </c>
      <c r="AA52" s="19">
        <v>0.0</v>
      </c>
      <c r="AB52" s="19">
        <v>0.0</v>
      </c>
      <c r="AC52" s="19">
        <v>0.0</v>
      </c>
      <c r="AD52" s="19">
        <v>0.0</v>
      </c>
      <c r="AE52" s="19">
        <v>0.0</v>
      </c>
      <c r="AF52" s="19">
        <v>0.0</v>
      </c>
      <c r="AG52" s="13">
        <f t="shared" si="14"/>
        <v>4</v>
      </c>
    </row>
    <row r="53" ht="12.75" customHeight="1">
      <c r="A53" s="18"/>
      <c r="B53" s="56"/>
      <c r="C53" s="57"/>
      <c r="D53" s="57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19"/>
      <c r="AG53" s="13">
        <f t="shared" si="14"/>
        <v>0</v>
      </c>
    </row>
    <row r="54" ht="12.75" customHeight="1">
      <c r="A54" s="18"/>
      <c r="B54" s="56"/>
      <c r="C54" s="57"/>
      <c r="D54" s="57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  <c r="AF54" s="19"/>
      <c r="AG54" s="13">
        <f t="shared" si="14"/>
        <v>0</v>
      </c>
    </row>
    <row r="55" ht="12.75" customHeight="1">
      <c r="A55" s="19" t="s">
        <v>15</v>
      </c>
      <c r="B55" s="47" t="s">
        <v>47</v>
      </c>
      <c r="C55" s="15"/>
      <c r="D55" s="16"/>
      <c r="E55" s="13">
        <f t="shared" ref="E55:AG55" si="15">SUM(E45:E54)</f>
        <v>45</v>
      </c>
      <c r="F55" s="13">
        <f t="shared" si="15"/>
        <v>27</v>
      </c>
      <c r="G55" s="13">
        <f t="shared" si="15"/>
        <v>30</v>
      </c>
      <c r="H55" s="13">
        <f t="shared" si="15"/>
        <v>32</v>
      </c>
      <c r="I55" s="13">
        <f t="shared" si="15"/>
        <v>37</v>
      </c>
      <c r="J55" s="13">
        <f t="shared" si="15"/>
        <v>47</v>
      </c>
      <c r="K55" s="13">
        <f t="shared" si="15"/>
        <v>67</v>
      </c>
      <c r="L55" s="13">
        <f t="shared" si="15"/>
        <v>91</v>
      </c>
      <c r="M55" s="13">
        <f t="shared" si="15"/>
        <v>71</v>
      </c>
      <c r="N55" s="13">
        <f t="shared" si="15"/>
        <v>23</v>
      </c>
      <c r="O55" s="13">
        <f t="shared" si="15"/>
        <v>53</v>
      </c>
      <c r="P55" s="13">
        <f t="shared" si="15"/>
        <v>67</v>
      </c>
      <c r="Q55" s="13">
        <f t="shared" si="15"/>
        <v>27</v>
      </c>
      <c r="R55" s="13">
        <f t="shared" si="15"/>
        <v>33</v>
      </c>
      <c r="S55" s="13">
        <f t="shared" si="15"/>
        <v>38</v>
      </c>
      <c r="T55" s="13">
        <f t="shared" si="15"/>
        <v>34</v>
      </c>
      <c r="U55" s="13">
        <f t="shared" si="15"/>
        <v>44</v>
      </c>
      <c r="V55" s="13">
        <f t="shared" si="15"/>
        <v>65</v>
      </c>
      <c r="W55" s="13">
        <f t="shared" si="15"/>
        <v>62</v>
      </c>
      <c r="X55" s="13">
        <f t="shared" si="15"/>
        <v>43</v>
      </c>
      <c r="Y55" s="13">
        <f t="shared" si="15"/>
        <v>37</v>
      </c>
      <c r="Z55" s="13">
        <f t="shared" si="15"/>
        <v>48</v>
      </c>
      <c r="AA55" s="13">
        <f t="shared" si="15"/>
        <v>33</v>
      </c>
      <c r="AB55" s="13">
        <f t="shared" si="15"/>
        <v>19</v>
      </c>
      <c r="AC55" s="13">
        <f t="shared" si="15"/>
        <v>78</v>
      </c>
      <c r="AD55" s="13">
        <f t="shared" si="15"/>
        <v>51</v>
      </c>
      <c r="AE55" s="13">
        <f t="shared" si="15"/>
        <v>83</v>
      </c>
      <c r="AF55" s="13">
        <f t="shared" si="15"/>
        <v>50</v>
      </c>
      <c r="AG55" s="13">
        <f t="shared" si="15"/>
        <v>1335</v>
      </c>
    </row>
    <row r="56" ht="12.75" customHeight="1">
      <c r="A56" s="45"/>
      <c r="B56" s="44"/>
      <c r="C56" s="44"/>
      <c r="D56" s="44"/>
      <c r="E56" s="44"/>
      <c r="AG56" s="13"/>
    </row>
    <row r="57" ht="12.75" customHeight="1">
      <c r="A57" s="30" t="s">
        <v>37</v>
      </c>
      <c r="B57" s="47" t="s">
        <v>19</v>
      </c>
      <c r="C57" s="48" t="s">
        <v>48</v>
      </c>
      <c r="D57" s="16"/>
      <c r="E57" s="19">
        <v>21.0</v>
      </c>
      <c r="F57" s="19">
        <v>18.0</v>
      </c>
      <c r="G57" s="19">
        <v>19.0</v>
      </c>
      <c r="H57" s="19">
        <v>8.0</v>
      </c>
      <c r="I57" s="19">
        <v>18.0</v>
      </c>
      <c r="J57" s="19">
        <v>9.0</v>
      </c>
      <c r="K57" s="19">
        <v>10.0</v>
      </c>
      <c r="L57" s="19">
        <v>9.0</v>
      </c>
      <c r="M57" s="19">
        <v>8.0</v>
      </c>
      <c r="N57" s="19">
        <v>6.0</v>
      </c>
      <c r="O57" s="19">
        <v>15.0</v>
      </c>
      <c r="P57" s="19">
        <v>13.0</v>
      </c>
      <c r="Q57" s="19">
        <v>8.0</v>
      </c>
      <c r="R57" s="19">
        <v>12.0</v>
      </c>
      <c r="S57" s="19">
        <v>6.0</v>
      </c>
      <c r="T57" s="19">
        <v>11.0</v>
      </c>
      <c r="U57" s="19">
        <v>9.0</v>
      </c>
      <c r="V57" s="19">
        <v>18.0</v>
      </c>
      <c r="W57" s="19">
        <v>20.0</v>
      </c>
      <c r="X57" s="19">
        <v>7.0</v>
      </c>
      <c r="Y57" s="19">
        <v>15.0</v>
      </c>
      <c r="Z57" s="19">
        <v>19.0</v>
      </c>
      <c r="AA57" s="19">
        <v>12.0</v>
      </c>
      <c r="AB57" s="19">
        <v>4.0</v>
      </c>
      <c r="AC57" s="19">
        <v>5.0</v>
      </c>
      <c r="AD57" s="19">
        <v>11.0</v>
      </c>
      <c r="AE57" s="19">
        <v>12.0</v>
      </c>
      <c r="AF57" s="19">
        <v>13.0</v>
      </c>
      <c r="AG57" s="13">
        <f t="shared" ref="AG57:AG66" si="16">SUM(E57:AF57)</f>
        <v>336</v>
      </c>
    </row>
    <row r="58" ht="12.75" customHeight="1">
      <c r="A58" s="30" t="s">
        <v>39</v>
      </c>
      <c r="B58" s="55">
        <v>1.0</v>
      </c>
      <c r="C58" s="50" t="s">
        <v>49</v>
      </c>
      <c r="D58" s="59"/>
      <c r="E58" s="19">
        <v>41.0</v>
      </c>
      <c r="F58" s="19">
        <v>69.0</v>
      </c>
      <c r="G58" s="19">
        <v>66.0</v>
      </c>
      <c r="H58" s="19">
        <v>43.0</v>
      </c>
      <c r="I58" s="19">
        <v>43.0</v>
      </c>
      <c r="J58" s="19">
        <v>51.0</v>
      </c>
      <c r="K58" s="19">
        <v>26.0</v>
      </c>
      <c r="L58" s="19">
        <v>53.0</v>
      </c>
      <c r="M58" s="19">
        <v>33.0</v>
      </c>
      <c r="N58" s="19">
        <v>60.0</v>
      </c>
      <c r="O58" s="19">
        <v>46.0</v>
      </c>
      <c r="P58" s="19">
        <v>53.0</v>
      </c>
      <c r="Q58" s="19">
        <v>76.0</v>
      </c>
      <c r="R58" s="19">
        <v>70.0</v>
      </c>
      <c r="S58" s="19">
        <v>41.0</v>
      </c>
      <c r="T58" s="19">
        <v>39.0</v>
      </c>
      <c r="U58" s="19">
        <v>44.0</v>
      </c>
      <c r="V58" s="19">
        <v>38.0</v>
      </c>
      <c r="W58" s="19">
        <v>62.0</v>
      </c>
      <c r="X58" s="19">
        <v>37.0</v>
      </c>
      <c r="Y58" s="19">
        <v>47.0</v>
      </c>
      <c r="Z58" s="19">
        <v>34.0</v>
      </c>
      <c r="AA58" s="19">
        <v>66.0</v>
      </c>
      <c r="AB58" s="19">
        <v>54.0</v>
      </c>
      <c r="AC58" s="19">
        <v>33.0</v>
      </c>
      <c r="AD58" s="19">
        <v>67.0</v>
      </c>
      <c r="AE58" s="19">
        <v>41.0</v>
      </c>
      <c r="AF58" s="19">
        <v>49.0</v>
      </c>
      <c r="AG58" s="13">
        <f t="shared" si="16"/>
        <v>1382</v>
      </c>
    </row>
    <row r="59" ht="12.75" customHeight="1">
      <c r="A59" s="18"/>
      <c r="B59" s="55">
        <v>2.0</v>
      </c>
      <c r="C59" s="50" t="s">
        <v>50</v>
      </c>
      <c r="D59" s="59"/>
      <c r="E59" s="19">
        <v>8.0</v>
      </c>
      <c r="F59" s="19">
        <v>5.0</v>
      </c>
      <c r="G59" s="19">
        <v>2.0</v>
      </c>
      <c r="H59" s="19">
        <v>0.0</v>
      </c>
      <c r="I59" s="19">
        <v>4.0</v>
      </c>
      <c r="J59" s="19">
        <v>3.0</v>
      </c>
      <c r="K59" s="19">
        <v>1.0</v>
      </c>
      <c r="L59" s="19">
        <v>4.0</v>
      </c>
      <c r="M59" s="19">
        <v>7.0</v>
      </c>
      <c r="N59" s="19">
        <v>2.0</v>
      </c>
      <c r="O59" s="19">
        <v>3.0</v>
      </c>
      <c r="P59" s="19">
        <v>2.0</v>
      </c>
      <c r="Q59" s="19">
        <v>1.0</v>
      </c>
      <c r="R59" s="19">
        <v>1.0</v>
      </c>
      <c r="S59" s="19">
        <v>1.0</v>
      </c>
      <c r="T59" s="19">
        <v>2.0</v>
      </c>
      <c r="U59" s="19">
        <v>2.0</v>
      </c>
      <c r="V59" s="19">
        <v>0.0</v>
      </c>
      <c r="W59" s="19">
        <v>2.0</v>
      </c>
      <c r="X59" s="19">
        <v>1.0</v>
      </c>
      <c r="Y59" s="19">
        <v>7.0</v>
      </c>
      <c r="Z59" s="19">
        <v>3.0</v>
      </c>
      <c r="AA59" s="19">
        <v>2.0</v>
      </c>
      <c r="AB59" s="19">
        <v>0.0</v>
      </c>
      <c r="AC59" s="19">
        <v>2.0</v>
      </c>
      <c r="AD59" s="19">
        <v>3.0</v>
      </c>
      <c r="AE59" s="19">
        <v>6.0</v>
      </c>
      <c r="AF59" s="19">
        <v>1.0</v>
      </c>
      <c r="AG59" s="13">
        <f t="shared" si="16"/>
        <v>75</v>
      </c>
    </row>
    <row r="60" ht="12.75" customHeight="1">
      <c r="A60" s="18"/>
      <c r="B60" s="55">
        <v>3.0</v>
      </c>
      <c r="C60" s="50" t="s">
        <v>51</v>
      </c>
      <c r="D60" s="59"/>
      <c r="E60" s="19">
        <v>3.0</v>
      </c>
      <c r="F60" s="19">
        <v>2.0</v>
      </c>
      <c r="G60" s="19">
        <v>0.0</v>
      </c>
      <c r="H60" s="19">
        <v>0.0</v>
      </c>
      <c r="I60" s="19">
        <v>0.0</v>
      </c>
      <c r="J60" s="19">
        <v>0.0</v>
      </c>
      <c r="K60" s="19">
        <v>0.0</v>
      </c>
      <c r="L60" s="19">
        <v>1.0</v>
      </c>
      <c r="M60" s="19">
        <v>2.0</v>
      </c>
      <c r="N60" s="19">
        <v>0.0</v>
      </c>
      <c r="O60" s="19">
        <v>1.0</v>
      </c>
      <c r="P60" s="19">
        <v>0.0</v>
      </c>
      <c r="Q60" s="19">
        <v>0.0</v>
      </c>
      <c r="R60" s="19">
        <v>0.0</v>
      </c>
      <c r="S60" s="19">
        <v>0.0</v>
      </c>
      <c r="T60" s="19">
        <v>0.0</v>
      </c>
      <c r="U60" s="19">
        <v>3.0</v>
      </c>
      <c r="V60" s="19">
        <v>2.0</v>
      </c>
      <c r="W60" s="19">
        <v>0.0</v>
      </c>
      <c r="X60" s="19">
        <v>1.0</v>
      </c>
      <c r="Y60" s="19">
        <v>1.0</v>
      </c>
      <c r="Z60" s="19">
        <v>0.0</v>
      </c>
      <c r="AA60" s="19">
        <v>0.0</v>
      </c>
      <c r="AB60" s="19">
        <v>0.0</v>
      </c>
      <c r="AC60" s="19">
        <v>1.0</v>
      </c>
      <c r="AD60" s="19">
        <v>1.0</v>
      </c>
      <c r="AE60" s="19">
        <v>0.0</v>
      </c>
      <c r="AF60" s="19">
        <v>0.0</v>
      </c>
      <c r="AG60" s="13">
        <f t="shared" si="16"/>
        <v>18</v>
      </c>
    </row>
    <row r="61" ht="12.75" customHeight="1">
      <c r="A61" s="18"/>
      <c r="B61" s="55">
        <v>4.0</v>
      </c>
      <c r="C61" s="50" t="s">
        <v>52</v>
      </c>
      <c r="D61" s="59"/>
      <c r="E61" s="19">
        <v>1.0</v>
      </c>
      <c r="F61" s="19">
        <v>0.0</v>
      </c>
      <c r="G61" s="19">
        <v>2.0</v>
      </c>
      <c r="H61" s="19">
        <v>0.0</v>
      </c>
      <c r="I61" s="19">
        <v>3.0</v>
      </c>
      <c r="J61" s="19">
        <v>1.0</v>
      </c>
      <c r="K61" s="19">
        <v>0.0</v>
      </c>
      <c r="L61" s="19">
        <v>0.0</v>
      </c>
      <c r="M61" s="19">
        <v>0.0</v>
      </c>
      <c r="N61" s="19">
        <v>0.0</v>
      </c>
      <c r="O61" s="19">
        <v>1.0</v>
      </c>
      <c r="P61" s="19">
        <v>0.0</v>
      </c>
      <c r="Q61" s="19">
        <v>0.0</v>
      </c>
      <c r="R61" s="19">
        <v>0.0</v>
      </c>
      <c r="S61" s="19">
        <v>7.0</v>
      </c>
      <c r="T61" s="19">
        <v>2.0</v>
      </c>
      <c r="U61" s="19">
        <v>0.0</v>
      </c>
      <c r="V61" s="19">
        <v>1.0</v>
      </c>
      <c r="W61" s="19">
        <v>0.0</v>
      </c>
      <c r="X61" s="19">
        <v>0.0</v>
      </c>
      <c r="Y61" s="19">
        <v>1.0</v>
      </c>
      <c r="Z61" s="19">
        <v>1.0</v>
      </c>
      <c r="AA61" s="19">
        <v>0.0</v>
      </c>
      <c r="AB61" s="19">
        <v>0.0</v>
      </c>
      <c r="AC61" s="19">
        <v>0.0</v>
      </c>
      <c r="AD61" s="19">
        <v>1.0</v>
      </c>
      <c r="AE61" s="19">
        <v>2.0</v>
      </c>
      <c r="AF61" s="19">
        <v>1.0</v>
      </c>
      <c r="AG61" s="13">
        <f t="shared" si="16"/>
        <v>24</v>
      </c>
    </row>
    <row r="62" ht="12.75" customHeight="1">
      <c r="A62" s="18"/>
      <c r="B62" s="55">
        <v>5.0</v>
      </c>
      <c r="C62" s="50" t="s">
        <v>53</v>
      </c>
      <c r="D62" s="59"/>
      <c r="E62" s="19">
        <v>0.0</v>
      </c>
      <c r="F62" s="19">
        <v>0.0</v>
      </c>
      <c r="G62" s="19">
        <v>0.0</v>
      </c>
      <c r="H62" s="19">
        <v>0.0</v>
      </c>
      <c r="I62" s="19">
        <v>0.0</v>
      </c>
      <c r="J62" s="19">
        <v>0.0</v>
      </c>
      <c r="K62" s="19">
        <v>0.0</v>
      </c>
      <c r="L62" s="19">
        <v>0.0</v>
      </c>
      <c r="M62" s="19">
        <v>1.0</v>
      </c>
      <c r="N62" s="19">
        <v>2.0</v>
      </c>
      <c r="O62" s="19">
        <v>0.0</v>
      </c>
      <c r="P62" s="19">
        <v>1.0</v>
      </c>
      <c r="Q62" s="19">
        <v>0.0</v>
      </c>
      <c r="R62" s="19">
        <v>0.0</v>
      </c>
      <c r="S62" s="19">
        <v>1.0</v>
      </c>
      <c r="T62" s="19">
        <v>0.0</v>
      </c>
      <c r="U62" s="19">
        <v>0.0</v>
      </c>
      <c r="V62" s="19">
        <v>1.0</v>
      </c>
      <c r="W62" s="19">
        <v>0.0</v>
      </c>
      <c r="X62" s="19">
        <v>0.0</v>
      </c>
      <c r="Y62" s="19">
        <v>0.0</v>
      </c>
      <c r="Z62" s="19">
        <v>0.0</v>
      </c>
      <c r="AA62" s="19">
        <v>0.0</v>
      </c>
      <c r="AB62" s="19">
        <v>0.0</v>
      </c>
      <c r="AC62" s="19">
        <v>0.0</v>
      </c>
      <c r="AD62" s="19">
        <v>0.0</v>
      </c>
      <c r="AE62" s="19">
        <v>0.0</v>
      </c>
      <c r="AF62" s="19">
        <v>0.0</v>
      </c>
      <c r="AG62" s="13">
        <f t="shared" si="16"/>
        <v>6</v>
      </c>
    </row>
    <row r="63" ht="12.75" customHeight="1">
      <c r="A63" s="18"/>
      <c r="B63" s="55">
        <v>6.0</v>
      </c>
      <c r="C63" s="50" t="s">
        <v>54</v>
      </c>
      <c r="D63" s="60"/>
      <c r="E63" s="19">
        <v>0.0</v>
      </c>
      <c r="F63" s="19">
        <v>1.0</v>
      </c>
      <c r="G63" s="19">
        <v>0.0</v>
      </c>
      <c r="H63" s="19">
        <v>0.0</v>
      </c>
      <c r="I63" s="19">
        <v>0.0</v>
      </c>
      <c r="J63" s="19">
        <v>0.0</v>
      </c>
      <c r="K63" s="19">
        <v>0.0</v>
      </c>
      <c r="L63" s="19">
        <v>0.0</v>
      </c>
      <c r="M63" s="19">
        <v>0.0</v>
      </c>
      <c r="N63" s="19">
        <v>0.0</v>
      </c>
      <c r="O63" s="19">
        <v>1.0</v>
      </c>
      <c r="P63" s="19">
        <v>0.0</v>
      </c>
      <c r="Q63" s="19">
        <v>0.0</v>
      </c>
      <c r="R63" s="19">
        <v>0.0</v>
      </c>
      <c r="S63" s="19">
        <v>0.0</v>
      </c>
      <c r="T63" s="19">
        <v>0.0</v>
      </c>
      <c r="U63" s="19">
        <v>0.0</v>
      </c>
      <c r="V63" s="19">
        <v>1.0</v>
      </c>
      <c r="W63" s="19">
        <v>0.0</v>
      </c>
      <c r="X63" s="19">
        <v>1.0</v>
      </c>
      <c r="Y63" s="19">
        <v>1.0</v>
      </c>
      <c r="Z63" s="19">
        <v>0.0</v>
      </c>
      <c r="AA63" s="19">
        <v>1.0</v>
      </c>
      <c r="AB63" s="19">
        <v>0.0</v>
      </c>
      <c r="AC63" s="19">
        <v>0.0</v>
      </c>
      <c r="AD63" s="19">
        <v>2.0</v>
      </c>
      <c r="AE63" s="19">
        <v>0.0</v>
      </c>
      <c r="AF63" s="19">
        <v>0.0</v>
      </c>
      <c r="AG63" s="13">
        <f t="shared" si="16"/>
        <v>8</v>
      </c>
    </row>
    <row r="64" ht="12.75" customHeight="1">
      <c r="A64" s="18"/>
      <c r="B64" s="55">
        <v>7.0</v>
      </c>
      <c r="C64" s="50" t="s">
        <v>55</v>
      </c>
      <c r="D64" s="59"/>
      <c r="E64" s="19">
        <v>0.0</v>
      </c>
      <c r="F64" s="19">
        <v>0.0</v>
      </c>
      <c r="G64" s="19">
        <v>0.0</v>
      </c>
      <c r="H64" s="19">
        <v>0.0</v>
      </c>
      <c r="I64" s="19">
        <v>0.0</v>
      </c>
      <c r="J64" s="19">
        <v>0.0</v>
      </c>
      <c r="K64" s="19">
        <v>0.0</v>
      </c>
      <c r="L64" s="19">
        <v>0.0</v>
      </c>
      <c r="M64" s="19">
        <v>0.0</v>
      </c>
      <c r="N64" s="19">
        <v>0.0</v>
      </c>
      <c r="O64" s="19">
        <v>0.0</v>
      </c>
      <c r="P64" s="19">
        <v>1.0</v>
      </c>
      <c r="Q64" s="19">
        <v>0.0</v>
      </c>
      <c r="R64" s="19">
        <v>0.0</v>
      </c>
      <c r="S64" s="19">
        <v>0.0</v>
      </c>
      <c r="T64" s="19">
        <v>0.0</v>
      </c>
      <c r="U64" s="19">
        <v>0.0</v>
      </c>
      <c r="V64" s="19">
        <v>0.0</v>
      </c>
      <c r="W64" s="19">
        <v>0.0</v>
      </c>
      <c r="X64" s="19">
        <v>1.0</v>
      </c>
      <c r="Y64" s="19">
        <v>1.0</v>
      </c>
      <c r="Z64" s="19">
        <v>0.0</v>
      </c>
      <c r="AA64" s="19">
        <v>0.0</v>
      </c>
      <c r="AB64" s="19">
        <v>0.0</v>
      </c>
      <c r="AC64" s="19">
        <v>0.0</v>
      </c>
      <c r="AD64" s="19">
        <v>0.0</v>
      </c>
      <c r="AE64" s="19">
        <v>0.0</v>
      </c>
      <c r="AF64" s="19">
        <v>0.0</v>
      </c>
      <c r="AG64" s="13">
        <f t="shared" si="16"/>
        <v>3</v>
      </c>
    </row>
    <row r="65" ht="12.75" customHeight="1">
      <c r="A65" s="18"/>
      <c r="B65" s="56"/>
      <c r="C65" s="57"/>
      <c r="D65" s="61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9"/>
      <c r="AF65" s="19"/>
      <c r="AG65" s="13">
        <f t="shared" si="16"/>
        <v>0</v>
      </c>
    </row>
    <row r="66" ht="12.75" customHeight="1">
      <c r="A66" s="18"/>
      <c r="B66" s="56"/>
      <c r="C66" s="57"/>
      <c r="D66" s="61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9"/>
      <c r="AG66" s="13">
        <f t="shared" si="16"/>
        <v>0</v>
      </c>
    </row>
    <row r="67" ht="12.75" customHeight="1">
      <c r="A67" s="19" t="s">
        <v>15</v>
      </c>
      <c r="B67" s="47" t="s">
        <v>47</v>
      </c>
      <c r="C67" s="15"/>
      <c r="D67" s="16"/>
      <c r="E67" s="13">
        <f t="shared" ref="E67:AG67" si="17">SUM(E57:E66)</f>
        <v>74</v>
      </c>
      <c r="F67" s="13">
        <f t="shared" si="17"/>
        <v>95</v>
      </c>
      <c r="G67" s="13">
        <f t="shared" si="17"/>
        <v>89</v>
      </c>
      <c r="H67" s="13">
        <f t="shared" si="17"/>
        <v>51</v>
      </c>
      <c r="I67" s="13">
        <f t="shared" si="17"/>
        <v>68</v>
      </c>
      <c r="J67" s="13">
        <f t="shared" si="17"/>
        <v>64</v>
      </c>
      <c r="K67" s="13">
        <f t="shared" si="17"/>
        <v>37</v>
      </c>
      <c r="L67" s="13">
        <f t="shared" si="17"/>
        <v>67</v>
      </c>
      <c r="M67" s="13">
        <f t="shared" si="17"/>
        <v>51</v>
      </c>
      <c r="N67" s="13">
        <f t="shared" si="17"/>
        <v>70</v>
      </c>
      <c r="O67" s="13">
        <f t="shared" si="17"/>
        <v>67</v>
      </c>
      <c r="P67" s="13">
        <f t="shared" si="17"/>
        <v>70</v>
      </c>
      <c r="Q67" s="13">
        <f t="shared" si="17"/>
        <v>85</v>
      </c>
      <c r="R67" s="13">
        <f t="shared" si="17"/>
        <v>83</v>
      </c>
      <c r="S67" s="13">
        <f t="shared" si="17"/>
        <v>56</v>
      </c>
      <c r="T67" s="13">
        <f t="shared" si="17"/>
        <v>54</v>
      </c>
      <c r="U67" s="13">
        <f t="shared" si="17"/>
        <v>58</v>
      </c>
      <c r="V67" s="13">
        <f t="shared" si="17"/>
        <v>61</v>
      </c>
      <c r="W67" s="13">
        <f t="shared" si="17"/>
        <v>84</v>
      </c>
      <c r="X67" s="13">
        <f t="shared" si="17"/>
        <v>48</v>
      </c>
      <c r="Y67" s="13">
        <f t="shared" si="17"/>
        <v>73</v>
      </c>
      <c r="Z67" s="13">
        <f t="shared" si="17"/>
        <v>57</v>
      </c>
      <c r="AA67" s="13">
        <f t="shared" si="17"/>
        <v>81</v>
      </c>
      <c r="AB67" s="13">
        <f t="shared" si="17"/>
        <v>58</v>
      </c>
      <c r="AC67" s="13">
        <f t="shared" si="17"/>
        <v>41</v>
      </c>
      <c r="AD67" s="13">
        <f t="shared" si="17"/>
        <v>85</v>
      </c>
      <c r="AE67" s="13">
        <f t="shared" si="17"/>
        <v>61</v>
      </c>
      <c r="AF67" s="13">
        <f t="shared" si="17"/>
        <v>64</v>
      </c>
      <c r="AG67" s="13">
        <f t="shared" si="17"/>
        <v>1852</v>
      </c>
    </row>
    <row r="68" ht="12.75" customHeight="1">
      <c r="A68" s="45"/>
      <c r="B68" s="44"/>
      <c r="C68" s="44"/>
      <c r="D68" s="44"/>
      <c r="E68" s="44"/>
    </row>
    <row r="69" ht="12.75" customHeight="1">
      <c r="A69" s="30" t="s">
        <v>37</v>
      </c>
      <c r="B69" s="47" t="s">
        <v>21</v>
      </c>
      <c r="C69" s="48" t="s">
        <v>56</v>
      </c>
      <c r="D69" s="16"/>
      <c r="E69" s="19">
        <v>7.0</v>
      </c>
      <c r="F69" s="19">
        <v>8.0</v>
      </c>
      <c r="G69" s="19">
        <v>4.0</v>
      </c>
      <c r="H69" s="19">
        <v>9.0</v>
      </c>
      <c r="I69" s="19">
        <v>3.0</v>
      </c>
      <c r="J69" s="19">
        <v>9.0</v>
      </c>
      <c r="K69" s="19">
        <v>9.0</v>
      </c>
      <c r="L69" s="19">
        <v>3.0</v>
      </c>
      <c r="M69" s="19">
        <v>12.0</v>
      </c>
      <c r="N69" s="19">
        <v>1.0</v>
      </c>
      <c r="O69" s="19">
        <v>3.0</v>
      </c>
      <c r="P69" s="19">
        <v>13.0</v>
      </c>
      <c r="Q69" s="19">
        <v>2.0</v>
      </c>
      <c r="R69" s="19">
        <v>2.0</v>
      </c>
      <c r="S69" s="19">
        <v>3.0</v>
      </c>
      <c r="T69" s="19">
        <v>7.0</v>
      </c>
      <c r="U69" s="19">
        <v>5.0</v>
      </c>
      <c r="V69" s="19">
        <v>5.0</v>
      </c>
      <c r="W69" s="19">
        <v>3.0</v>
      </c>
      <c r="X69" s="19">
        <v>10.0</v>
      </c>
      <c r="Y69" s="19">
        <v>4.0</v>
      </c>
      <c r="Z69" s="19">
        <v>9.0</v>
      </c>
      <c r="AA69" s="19">
        <v>4.0</v>
      </c>
      <c r="AB69" s="19">
        <v>8.0</v>
      </c>
      <c r="AC69" s="19">
        <v>4.0</v>
      </c>
      <c r="AD69" s="19">
        <v>3.0</v>
      </c>
      <c r="AE69" s="19">
        <v>3.0</v>
      </c>
      <c r="AF69" s="19">
        <v>6.0</v>
      </c>
      <c r="AG69" s="13">
        <f t="shared" ref="AG69:AG78" si="18">SUM(E69:AF69)</f>
        <v>159</v>
      </c>
    </row>
    <row r="70" ht="12.75" customHeight="1">
      <c r="A70" s="30" t="s">
        <v>39</v>
      </c>
      <c r="B70" s="55">
        <v>1.0</v>
      </c>
      <c r="C70" s="50" t="s">
        <v>57</v>
      </c>
      <c r="D70" s="60"/>
      <c r="E70" s="19">
        <v>1.0</v>
      </c>
      <c r="F70" s="19">
        <v>7.0</v>
      </c>
      <c r="G70" s="19">
        <v>9.0</v>
      </c>
      <c r="H70" s="19">
        <v>17.0</v>
      </c>
      <c r="I70" s="19">
        <v>12.0</v>
      </c>
      <c r="J70" s="19">
        <v>14.0</v>
      </c>
      <c r="K70" s="19">
        <v>11.0</v>
      </c>
      <c r="L70" s="19">
        <v>14.0</v>
      </c>
      <c r="M70" s="19">
        <v>8.0</v>
      </c>
      <c r="N70" s="19">
        <v>2.0</v>
      </c>
      <c r="O70" s="19">
        <v>2.0</v>
      </c>
      <c r="P70" s="19">
        <v>21.0</v>
      </c>
      <c r="Q70" s="19">
        <v>3.0</v>
      </c>
      <c r="R70" s="19">
        <v>3.0</v>
      </c>
      <c r="S70" s="19">
        <v>12.0</v>
      </c>
      <c r="T70" s="19">
        <v>8.0</v>
      </c>
      <c r="U70" s="19">
        <v>1.0</v>
      </c>
      <c r="V70" s="19">
        <v>4.0</v>
      </c>
      <c r="W70" s="19">
        <v>3.0</v>
      </c>
      <c r="X70" s="19">
        <v>13.0</v>
      </c>
      <c r="Y70" s="19">
        <v>5.0</v>
      </c>
      <c r="Z70" s="19">
        <v>10.0</v>
      </c>
      <c r="AA70" s="19">
        <v>4.0</v>
      </c>
      <c r="AB70" s="19">
        <v>20.0</v>
      </c>
      <c r="AC70" s="19">
        <v>3.0</v>
      </c>
      <c r="AD70" s="19">
        <v>17.0</v>
      </c>
      <c r="AE70" s="19">
        <v>3.0</v>
      </c>
      <c r="AF70" s="19">
        <v>11.0</v>
      </c>
      <c r="AG70" s="13">
        <f t="shared" si="18"/>
        <v>238</v>
      </c>
    </row>
    <row r="71" ht="12.75" customHeight="1">
      <c r="A71" s="18"/>
      <c r="B71" s="55">
        <v>2.0</v>
      </c>
      <c r="C71" s="50" t="s">
        <v>58</v>
      </c>
      <c r="D71" s="60"/>
      <c r="E71" s="19">
        <v>12.0</v>
      </c>
      <c r="F71" s="19">
        <v>2.0</v>
      </c>
      <c r="G71" s="19">
        <v>10.0</v>
      </c>
      <c r="H71" s="19">
        <v>5.0</v>
      </c>
      <c r="I71" s="19">
        <v>4.0</v>
      </c>
      <c r="J71" s="19">
        <v>1.0</v>
      </c>
      <c r="K71" s="19">
        <v>3.0</v>
      </c>
      <c r="L71" s="19">
        <v>1.0</v>
      </c>
      <c r="M71" s="19">
        <v>2.0</v>
      </c>
      <c r="N71" s="19">
        <v>1.0</v>
      </c>
      <c r="O71" s="19">
        <v>0.0</v>
      </c>
      <c r="P71" s="19">
        <v>0.0</v>
      </c>
      <c r="Q71" s="19">
        <v>0.0</v>
      </c>
      <c r="R71" s="19">
        <v>1.0</v>
      </c>
      <c r="S71" s="19">
        <v>1.0</v>
      </c>
      <c r="T71" s="19">
        <v>3.0</v>
      </c>
      <c r="U71" s="19">
        <v>0.0</v>
      </c>
      <c r="V71" s="19">
        <v>1.0</v>
      </c>
      <c r="W71" s="19">
        <v>1.0</v>
      </c>
      <c r="X71" s="19">
        <v>8.0</v>
      </c>
      <c r="Y71" s="19">
        <v>2.0</v>
      </c>
      <c r="Z71" s="19">
        <v>2.0</v>
      </c>
      <c r="AA71" s="19">
        <v>0.0</v>
      </c>
      <c r="AB71" s="19">
        <v>1.0</v>
      </c>
      <c r="AC71" s="19">
        <v>0.0</v>
      </c>
      <c r="AD71" s="19">
        <v>2.0</v>
      </c>
      <c r="AE71" s="19">
        <v>2.0</v>
      </c>
      <c r="AF71" s="19">
        <v>2.0</v>
      </c>
      <c r="AG71" s="13">
        <f t="shared" si="18"/>
        <v>67</v>
      </c>
    </row>
    <row r="72" ht="12.75" customHeight="1">
      <c r="A72" s="18"/>
      <c r="B72" s="55">
        <v>3.0</v>
      </c>
      <c r="C72" s="50" t="s">
        <v>59</v>
      </c>
      <c r="D72" s="60"/>
      <c r="E72" s="19">
        <v>1.0</v>
      </c>
      <c r="F72" s="19">
        <v>2.0</v>
      </c>
      <c r="G72" s="19">
        <v>1.0</v>
      </c>
      <c r="H72" s="19">
        <v>0.0</v>
      </c>
      <c r="I72" s="19">
        <v>3.0</v>
      </c>
      <c r="J72" s="19">
        <v>0.0</v>
      </c>
      <c r="K72" s="19">
        <v>0.0</v>
      </c>
      <c r="L72" s="19">
        <v>2.0</v>
      </c>
      <c r="M72" s="19">
        <v>1.0</v>
      </c>
      <c r="N72" s="19">
        <v>0.0</v>
      </c>
      <c r="O72" s="19">
        <v>0.0</v>
      </c>
      <c r="P72" s="19">
        <v>1.0</v>
      </c>
      <c r="Q72" s="19">
        <v>0.0</v>
      </c>
      <c r="R72" s="19">
        <v>1.0</v>
      </c>
      <c r="S72" s="19">
        <v>1.0</v>
      </c>
      <c r="T72" s="19">
        <v>1.0</v>
      </c>
      <c r="U72" s="19">
        <v>1.0</v>
      </c>
      <c r="V72" s="19">
        <v>0.0</v>
      </c>
      <c r="W72" s="19">
        <v>2.0</v>
      </c>
      <c r="X72" s="19">
        <v>22.0</v>
      </c>
      <c r="Y72" s="19">
        <v>0.0</v>
      </c>
      <c r="Z72" s="19">
        <v>0.0</v>
      </c>
      <c r="AA72" s="19">
        <v>1.0</v>
      </c>
      <c r="AB72" s="19">
        <v>2.0</v>
      </c>
      <c r="AC72" s="19">
        <v>0.0</v>
      </c>
      <c r="AD72" s="19">
        <v>0.0</v>
      </c>
      <c r="AE72" s="19">
        <v>0.0</v>
      </c>
      <c r="AF72" s="19">
        <v>5.0</v>
      </c>
      <c r="AG72" s="13">
        <f t="shared" si="18"/>
        <v>47</v>
      </c>
    </row>
    <row r="73" ht="12.75" customHeight="1">
      <c r="A73" s="18"/>
      <c r="B73" s="55">
        <v>4.0</v>
      </c>
      <c r="C73" s="50" t="s">
        <v>60</v>
      </c>
      <c r="D73" s="60"/>
      <c r="E73" s="19">
        <v>0.0</v>
      </c>
      <c r="F73" s="19">
        <v>0.0</v>
      </c>
      <c r="G73" s="19">
        <v>1.0</v>
      </c>
      <c r="H73" s="19">
        <v>0.0</v>
      </c>
      <c r="I73" s="19">
        <v>0.0</v>
      </c>
      <c r="J73" s="19">
        <v>0.0</v>
      </c>
      <c r="K73" s="19">
        <v>0.0</v>
      </c>
      <c r="L73" s="19">
        <v>0.0</v>
      </c>
      <c r="M73" s="19">
        <v>1.0</v>
      </c>
      <c r="N73" s="19">
        <v>0.0</v>
      </c>
      <c r="O73" s="19">
        <v>0.0</v>
      </c>
      <c r="P73" s="19">
        <v>0.0</v>
      </c>
      <c r="Q73" s="19">
        <v>1.0</v>
      </c>
      <c r="R73" s="19">
        <v>0.0</v>
      </c>
      <c r="S73" s="19">
        <v>0.0</v>
      </c>
      <c r="T73" s="19">
        <v>0.0</v>
      </c>
      <c r="U73" s="19">
        <v>0.0</v>
      </c>
      <c r="V73" s="19">
        <v>0.0</v>
      </c>
      <c r="W73" s="19">
        <v>0.0</v>
      </c>
      <c r="X73" s="19">
        <v>1.0</v>
      </c>
      <c r="Y73" s="19">
        <v>0.0</v>
      </c>
      <c r="Z73" s="19">
        <v>1.0</v>
      </c>
      <c r="AA73" s="19">
        <v>0.0</v>
      </c>
      <c r="AB73" s="19">
        <v>0.0</v>
      </c>
      <c r="AC73" s="19">
        <v>0.0</v>
      </c>
      <c r="AD73" s="19">
        <v>0.0</v>
      </c>
      <c r="AE73" s="19">
        <v>1.0</v>
      </c>
      <c r="AF73" s="19">
        <v>1.0</v>
      </c>
      <c r="AG73" s="13">
        <f t="shared" si="18"/>
        <v>7</v>
      </c>
    </row>
    <row r="74" ht="12.75" customHeight="1">
      <c r="A74" s="18"/>
      <c r="B74" s="55">
        <v>5.0</v>
      </c>
      <c r="C74" s="50" t="s">
        <v>61</v>
      </c>
      <c r="D74" s="60"/>
      <c r="E74" s="19">
        <v>1.0</v>
      </c>
      <c r="F74" s="19">
        <v>1.0</v>
      </c>
      <c r="G74" s="19">
        <v>0.0</v>
      </c>
      <c r="H74" s="19">
        <v>0.0</v>
      </c>
      <c r="I74" s="19">
        <v>0.0</v>
      </c>
      <c r="J74" s="19">
        <v>1.0</v>
      </c>
      <c r="K74" s="19">
        <v>0.0</v>
      </c>
      <c r="L74" s="19">
        <v>0.0</v>
      </c>
      <c r="M74" s="19">
        <v>1.0</v>
      </c>
      <c r="N74" s="19">
        <v>0.0</v>
      </c>
      <c r="O74" s="19">
        <v>1.0</v>
      </c>
      <c r="P74" s="19">
        <v>0.0</v>
      </c>
      <c r="Q74" s="19">
        <v>0.0</v>
      </c>
      <c r="R74" s="19">
        <v>0.0</v>
      </c>
      <c r="S74" s="19">
        <v>0.0</v>
      </c>
      <c r="T74" s="19">
        <v>0.0</v>
      </c>
      <c r="U74" s="19">
        <v>1.0</v>
      </c>
      <c r="V74" s="19">
        <v>2.0</v>
      </c>
      <c r="W74" s="19">
        <v>1.0</v>
      </c>
      <c r="X74" s="19">
        <v>1.0</v>
      </c>
      <c r="Y74" s="19">
        <v>0.0</v>
      </c>
      <c r="Z74" s="19">
        <v>0.0</v>
      </c>
      <c r="AA74" s="19">
        <v>0.0</v>
      </c>
      <c r="AB74" s="19">
        <v>0.0</v>
      </c>
      <c r="AC74" s="19">
        <v>0.0</v>
      </c>
      <c r="AD74" s="19">
        <v>2.0</v>
      </c>
      <c r="AE74" s="19">
        <v>0.0</v>
      </c>
      <c r="AF74" s="19">
        <v>1.0</v>
      </c>
      <c r="AG74" s="13">
        <f t="shared" si="18"/>
        <v>13</v>
      </c>
    </row>
    <row r="75" ht="12.75" customHeight="1">
      <c r="A75" s="18"/>
      <c r="B75" s="55">
        <v>6.0</v>
      </c>
      <c r="C75" s="50" t="s">
        <v>62</v>
      </c>
      <c r="D75" s="60"/>
      <c r="E75" s="19">
        <v>3.0</v>
      </c>
      <c r="F75" s="19">
        <v>0.0</v>
      </c>
      <c r="G75" s="19">
        <v>0.0</v>
      </c>
      <c r="H75" s="19">
        <v>0.0</v>
      </c>
      <c r="I75" s="19">
        <v>1.0</v>
      </c>
      <c r="J75" s="19">
        <v>0.0</v>
      </c>
      <c r="K75" s="19">
        <v>0.0</v>
      </c>
      <c r="L75" s="19">
        <v>0.0</v>
      </c>
      <c r="M75" s="19">
        <v>0.0</v>
      </c>
      <c r="N75" s="19">
        <v>0.0</v>
      </c>
      <c r="O75" s="19">
        <v>0.0</v>
      </c>
      <c r="P75" s="19">
        <v>0.0</v>
      </c>
      <c r="Q75" s="19">
        <v>0.0</v>
      </c>
      <c r="R75" s="19">
        <v>0.0</v>
      </c>
      <c r="S75" s="19">
        <v>0.0</v>
      </c>
      <c r="T75" s="19">
        <v>0.0</v>
      </c>
      <c r="U75" s="19">
        <v>0.0</v>
      </c>
      <c r="V75" s="19">
        <v>0.0</v>
      </c>
      <c r="W75" s="19">
        <v>1.0</v>
      </c>
      <c r="X75" s="19">
        <v>0.0</v>
      </c>
      <c r="Y75" s="19">
        <v>0.0</v>
      </c>
      <c r="Z75" s="19">
        <v>0.0</v>
      </c>
      <c r="AA75" s="19">
        <v>0.0</v>
      </c>
      <c r="AB75" s="19">
        <v>1.0</v>
      </c>
      <c r="AC75" s="19">
        <v>0.0</v>
      </c>
      <c r="AD75" s="19">
        <v>1.0</v>
      </c>
      <c r="AE75" s="19">
        <v>0.0</v>
      </c>
      <c r="AF75" s="19">
        <v>0.0</v>
      </c>
      <c r="AG75" s="13">
        <f t="shared" si="18"/>
        <v>7</v>
      </c>
    </row>
    <row r="76" ht="12.75" customHeight="1">
      <c r="A76" s="18"/>
      <c r="B76" s="55">
        <v>7.0</v>
      </c>
      <c r="C76" s="50" t="s">
        <v>63</v>
      </c>
      <c r="D76" s="60"/>
      <c r="E76" s="19">
        <v>9.0</v>
      </c>
      <c r="F76" s="19">
        <v>15.0</v>
      </c>
      <c r="G76" s="19">
        <v>23.0</v>
      </c>
      <c r="H76" s="19">
        <v>23.0</v>
      </c>
      <c r="I76" s="19">
        <v>16.0</v>
      </c>
      <c r="J76" s="19">
        <v>23.0</v>
      </c>
      <c r="K76" s="19">
        <v>33.0</v>
      </c>
      <c r="L76" s="19">
        <v>9.0</v>
      </c>
      <c r="M76" s="19">
        <v>6.0</v>
      </c>
      <c r="N76" s="19">
        <v>1.0</v>
      </c>
      <c r="O76" s="19">
        <v>6.0</v>
      </c>
      <c r="P76" s="19">
        <v>0.0</v>
      </c>
      <c r="Q76" s="19">
        <v>0.0</v>
      </c>
      <c r="R76" s="19">
        <v>2.0</v>
      </c>
      <c r="S76" s="19">
        <v>26.0</v>
      </c>
      <c r="T76" s="19">
        <v>26.0</v>
      </c>
      <c r="U76" s="19">
        <v>35.0</v>
      </c>
      <c r="V76" s="19">
        <v>8.0</v>
      </c>
      <c r="W76" s="19">
        <v>7.0</v>
      </c>
      <c r="X76" s="19">
        <v>3.0</v>
      </c>
      <c r="Y76" s="19">
        <v>3.0</v>
      </c>
      <c r="Z76" s="19">
        <v>5.0</v>
      </c>
      <c r="AA76" s="19">
        <v>3.0</v>
      </c>
      <c r="AB76" s="19">
        <v>34.0</v>
      </c>
      <c r="AC76" s="19">
        <v>1.0</v>
      </c>
      <c r="AD76" s="19">
        <v>0.0</v>
      </c>
      <c r="AE76" s="19">
        <v>4.0</v>
      </c>
      <c r="AF76" s="19">
        <v>4.0</v>
      </c>
      <c r="AG76" s="13">
        <f t="shared" si="18"/>
        <v>325</v>
      </c>
    </row>
    <row r="77" ht="12.75" customHeight="1">
      <c r="A77" s="18"/>
      <c r="B77" s="56"/>
      <c r="C77" s="57"/>
      <c r="D77" s="62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13">
        <f t="shared" si="18"/>
        <v>0</v>
      </c>
    </row>
    <row r="78" ht="12.75" customHeight="1">
      <c r="A78" s="18"/>
      <c r="B78" s="56"/>
      <c r="C78" s="57"/>
      <c r="D78" s="62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  <c r="AG78" s="13">
        <f t="shared" si="18"/>
        <v>0</v>
      </c>
    </row>
    <row r="79" ht="12.75" customHeight="1">
      <c r="A79" s="19" t="s">
        <v>15</v>
      </c>
      <c r="B79" s="47" t="s">
        <v>47</v>
      </c>
      <c r="C79" s="15"/>
      <c r="D79" s="16"/>
      <c r="E79" s="13">
        <f t="shared" ref="E79:AG79" si="19">SUM(E69:E78)</f>
        <v>34</v>
      </c>
      <c r="F79" s="13">
        <f t="shared" si="19"/>
        <v>35</v>
      </c>
      <c r="G79" s="13">
        <f t="shared" si="19"/>
        <v>48</v>
      </c>
      <c r="H79" s="13">
        <f t="shared" si="19"/>
        <v>54</v>
      </c>
      <c r="I79" s="13">
        <f t="shared" si="19"/>
        <v>39</v>
      </c>
      <c r="J79" s="13">
        <f t="shared" si="19"/>
        <v>48</v>
      </c>
      <c r="K79" s="13">
        <f t="shared" si="19"/>
        <v>56</v>
      </c>
      <c r="L79" s="13">
        <f t="shared" si="19"/>
        <v>29</v>
      </c>
      <c r="M79" s="13">
        <f t="shared" si="19"/>
        <v>31</v>
      </c>
      <c r="N79" s="13">
        <f t="shared" si="19"/>
        <v>5</v>
      </c>
      <c r="O79" s="13">
        <f t="shared" si="19"/>
        <v>12</v>
      </c>
      <c r="P79" s="13">
        <f t="shared" si="19"/>
        <v>35</v>
      </c>
      <c r="Q79" s="13">
        <f t="shared" si="19"/>
        <v>6</v>
      </c>
      <c r="R79" s="13">
        <f t="shared" si="19"/>
        <v>9</v>
      </c>
      <c r="S79" s="13">
        <f t="shared" si="19"/>
        <v>43</v>
      </c>
      <c r="T79" s="13">
        <f t="shared" si="19"/>
        <v>45</v>
      </c>
      <c r="U79" s="13">
        <f t="shared" si="19"/>
        <v>43</v>
      </c>
      <c r="V79" s="13">
        <f t="shared" si="19"/>
        <v>20</v>
      </c>
      <c r="W79" s="13">
        <f t="shared" si="19"/>
        <v>18</v>
      </c>
      <c r="X79" s="13">
        <f t="shared" si="19"/>
        <v>58</v>
      </c>
      <c r="Y79" s="13">
        <f t="shared" si="19"/>
        <v>14</v>
      </c>
      <c r="Z79" s="13">
        <f t="shared" si="19"/>
        <v>27</v>
      </c>
      <c r="AA79" s="13">
        <f t="shared" si="19"/>
        <v>12</v>
      </c>
      <c r="AB79" s="13">
        <f t="shared" si="19"/>
        <v>66</v>
      </c>
      <c r="AC79" s="13">
        <f t="shared" si="19"/>
        <v>8</v>
      </c>
      <c r="AD79" s="13">
        <f t="shared" si="19"/>
        <v>25</v>
      </c>
      <c r="AE79" s="13">
        <f t="shared" si="19"/>
        <v>13</v>
      </c>
      <c r="AF79" s="13">
        <f t="shared" si="19"/>
        <v>30</v>
      </c>
      <c r="AG79" s="13">
        <f t="shared" si="19"/>
        <v>863</v>
      </c>
    </row>
    <row r="80" ht="12.75" customHeight="1">
      <c r="A80" s="45"/>
      <c r="B80" s="44"/>
      <c r="C80" s="44"/>
      <c r="D80" s="44"/>
      <c r="E80" s="44"/>
    </row>
    <row r="81" ht="12.75" customHeight="1">
      <c r="A81" s="30" t="s">
        <v>37</v>
      </c>
      <c r="B81" s="47" t="s">
        <v>23</v>
      </c>
      <c r="C81" s="48" t="s">
        <v>64</v>
      </c>
      <c r="D81" s="16"/>
      <c r="E81" s="19">
        <v>3.0</v>
      </c>
      <c r="F81" s="19">
        <v>6.0</v>
      </c>
      <c r="G81" s="19">
        <v>1.0</v>
      </c>
      <c r="H81" s="19">
        <v>12.0</v>
      </c>
      <c r="I81" s="19">
        <v>4.0</v>
      </c>
      <c r="J81" s="19">
        <v>6.0</v>
      </c>
      <c r="K81" s="19">
        <v>5.0</v>
      </c>
      <c r="L81" s="19">
        <v>6.0</v>
      </c>
      <c r="M81" s="19">
        <v>6.0</v>
      </c>
      <c r="N81" s="19">
        <v>3.0</v>
      </c>
      <c r="O81" s="19">
        <v>0.0</v>
      </c>
      <c r="P81" s="19">
        <v>4.0</v>
      </c>
      <c r="Q81" s="19">
        <v>0.0</v>
      </c>
      <c r="R81" s="19">
        <v>2.0</v>
      </c>
      <c r="S81" s="19">
        <v>4.0</v>
      </c>
      <c r="T81" s="19">
        <v>5.0</v>
      </c>
      <c r="U81" s="19">
        <v>4.0</v>
      </c>
      <c r="V81" s="19">
        <v>5.0</v>
      </c>
      <c r="W81" s="19">
        <v>1.0</v>
      </c>
      <c r="X81" s="19">
        <v>2.0</v>
      </c>
      <c r="Y81" s="19">
        <v>3.0</v>
      </c>
      <c r="Z81" s="19">
        <v>1.0</v>
      </c>
      <c r="AA81" s="19">
        <v>1.0</v>
      </c>
      <c r="AB81" s="19">
        <v>1.0</v>
      </c>
      <c r="AC81" s="19">
        <v>3.0</v>
      </c>
      <c r="AD81" s="19">
        <v>4.0</v>
      </c>
      <c r="AE81" s="19">
        <v>2.0</v>
      </c>
      <c r="AF81" s="19">
        <v>4.0</v>
      </c>
      <c r="AG81" s="13">
        <f t="shared" ref="AG81:AG90" si="20">SUM(E81:AF81)</f>
        <v>98</v>
      </c>
    </row>
    <row r="82" ht="12.75" customHeight="1">
      <c r="A82" s="30" t="s">
        <v>39</v>
      </c>
      <c r="B82" s="55">
        <v>1.0</v>
      </c>
      <c r="C82" s="50" t="s">
        <v>65</v>
      </c>
      <c r="D82" s="60"/>
      <c r="E82" s="19">
        <v>1.0</v>
      </c>
      <c r="F82" s="19">
        <v>2.0</v>
      </c>
      <c r="G82" s="19">
        <v>7.0</v>
      </c>
      <c r="H82" s="19">
        <v>22.0</v>
      </c>
      <c r="I82" s="19">
        <v>25.0</v>
      </c>
      <c r="J82" s="19">
        <v>15.0</v>
      </c>
      <c r="K82" s="19">
        <v>4.0</v>
      </c>
      <c r="L82" s="19">
        <v>3.0</v>
      </c>
      <c r="M82" s="19">
        <v>0.0</v>
      </c>
      <c r="N82" s="19">
        <v>3.0</v>
      </c>
      <c r="O82" s="19">
        <v>1.0</v>
      </c>
      <c r="P82" s="19">
        <v>1.0</v>
      </c>
      <c r="Q82" s="19">
        <v>1.0</v>
      </c>
      <c r="R82" s="19">
        <v>0.0</v>
      </c>
      <c r="S82" s="19">
        <v>1.0</v>
      </c>
      <c r="T82" s="19">
        <v>3.0</v>
      </c>
      <c r="U82" s="19">
        <v>6.0</v>
      </c>
      <c r="V82" s="19">
        <v>8.0</v>
      </c>
      <c r="W82" s="19">
        <v>2.0</v>
      </c>
      <c r="X82" s="19">
        <v>0.0</v>
      </c>
      <c r="Y82" s="19">
        <v>9.0</v>
      </c>
      <c r="Z82" s="19">
        <v>6.0</v>
      </c>
      <c r="AA82" s="19">
        <v>5.0</v>
      </c>
      <c r="AB82" s="19">
        <v>2.0</v>
      </c>
      <c r="AC82" s="19">
        <v>67.0</v>
      </c>
      <c r="AD82" s="19">
        <v>3.0</v>
      </c>
      <c r="AE82" s="19">
        <v>9.0</v>
      </c>
      <c r="AF82" s="19">
        <v>0.0</v>
      </c>
      <c r="AG82" s="13">
        <f t="shared" si="20"/>
        <v>206</v>
      </c>
    </row>
    <row r="83" ht="12.75" customHeight="1">
      <c r="A83" s="18"/>
      <c r="B83" s="55">
        <v>2.0</v>
      </c>
      <c r="C83" s="50" t="s">
        <v>66</v>
      </c>
      <c r="D83" s="60"/>
      <c r="E83" s="19">
        <v>0.0</v>
      </c>
      <c r="F83" s="19">
        <v>1.0</v>
      </c>
      <c r="G83" s="19">
        <v>4.0</v>
      </c>
      <c r="H83" s="19">
        <v>11.0</v>
      </c>
      <c r="I83" s="19">
        <v>7.0</v>
      </c>
      <c r="J83" s="19">
        <v>8.0</v>
      </c>
      <c r="K83" s="19">
        <v>7.0</v>
      </c>
      <c r="L83" s="19">
        <v>4.0</v>
      </c>
      <c r="M83" s="19">
        <v>0.0</v>
      </c>
      <c r="N83" s="19">
        <v>1.0</v>
      </c>
      <c r="O83" s="19">
        <v>1.0</v>
      </c>
      <c r="P83" s="19">
        <v>0.0</v>
      </c>
      <c r="Q83" s="19">
        <v>0.0</v>
      </c>
      <c r="R83" s="19">
        <v>0.0</v>
      </c>
      <c r="S83" s="19">
        <v>0.0</v>
      </c>
      <c r="T83" s="19">
        <v>0.0</v>
      </c>
      <c r="U83" s="19">
        <v>1.0</v>
      </c>
      <c r="V83" s="19">
        <v>0.0</v>
      </c>
      <c r="W83" s="19">
        <v>0.0</v>
      </c>
      <c r="X83" s="19">
        <v>1.0</v>
      </c>
      <c r="Y83" s="19">
        <v>1.0</v>
      </c>
      <c r="Z83" s="19">
        <v>2.0</v>
      </c>
      <c r="AA83" s="19">
        <v>0.0</v>
      </c>
      <c r="AB83" s="19">
        <v>0.0</v>
      </c>
      <c r="AC83" s="19">
        <v>2.0</v>
      </c>
      <c r="AD83" s="19">
        <v>3.0</v>
      </c>
      <c r="AE83" s="19">
        <v>0.0</v>
      </c>
      <c r="AF83" s="19">
        <v>0.0</v>
      </c>
      <c r="AG83" s="13">
        <f t="shared" si="20"/>
        <v>54</v>
      </c>
    </row>
    <row r="84" ht="12.75" customHeight="1">
      <c r="A84" s="18"/>
      <c r="B84" s="55">
        <v>3.0</v>
      </c>
      <c r="C84" s="50" t="s">
        <v>67</v>
      </c>
      <c r="D84" s="60"/>
      <c r="E84" s="19">
        <v>0.0</v>
      </c>
      <c r="F84" s="19">
        <v>0.0</v>
      </c>
      <c r="G84" s="19">
        <v>0.0</v>
      </c>
      <c r="H84" s="19">
        <v>5.0</v>
      </c>
      <c r="I84" s="19">
        <v>0.0</v>
      </c>
      <c r="J84" s="19">
        <v>1.0</v>
      </c>
      <c r="K84" s="19">
        <v>1.0</v>
      </c>
      <c r="L84" s="19">
        <v>0.0</v>
      </c>
      <c r="M84" s="19">
        <v>0.0</v>
      </c>
      <c r="N84" s="19">
        <v>0.0</v>
      </c>
      <c r="O84" s="19">
        <v>0.0</v>
      </c>
      <c r="P84" s="19">
        <v>0.0</v>
      </c>
      <c r="Q84" s="19">
        <v>0.0</v>
      </c>
      <c r="R84" s="19">
        <v>0.0</v>
      </c>
      <c r="S84" s="19">
        <v>2.0</v>
      </c>
      <c r="T84" s="19">
        <v>0.0</v>
      </c>
      <c r="U84" s="19">
        <v>1.0</v>
      </c>
      <c r="V84" s="19">
        <v>0.0</v>
      </c>
      <c r="W84" s="19">
        <v>0.0</v>
      </c>
      <c r="X84" s="19">
        <v>0.0</v>
      </c>
      <c r="Y84" s="19">
        <v>0.0</v>
      </c>
      <c r="Z84" s="19">
        <v>1.0</v>
      </c>
      <c r="AA84" s="19">
        <v>0.0</v>
      </c>
      <c r="AB84" s="19">
        <v>0.0</v>
      </c>
      <c r="AC84" s="19">
        <v>0.0</v>
      </c>
      <c r="AD84" s="19">
        <v>0.0</v>
      </c>
      <c r="AE84" s="19">
        <v>0.0</v>
      </c>
      <c r="AF84" s="19">
        <v>0.0</v>
      </c>
      <c r="AG84" s="13">
        <f t="shared" si="20"/>
        <v>11</v>
      </c>
    </row>
    <row r="85" ht="12.75" customHeight="1">
      <c r="A85" s="18"/>
      <c r="B85" s="55">
        <v>4.0</v>
      </c>
      <c r="C85" s="50" t="s">
        <v>68</v>
      </c>
      <c r="D85" s="60"/>
      <c r="E85" s="19">
        <v>0.0</v>
      </c>
      <c r="F85" s="19">
        <v>0.0</v>
      </c>
      <c r="G85" s="19">
        <v>0.0</v>
      </c>
      <c r="H85" s="19">
        <v>3.0</v>
      </c>
      <c r="I85" s="19">
        <v>0.0</v>
      </c>
      <c r="J85" s="19">
        <v>1.0</v>
      </c>
      <c r="K85" s="19">
        <v>1.0</v>
      </c>
      <c r="L85" s="19">
        <v>0.0</v>
      </c>
      <c r="M85" s="19">
        <v>3.0</v>
      </c>
      <c r="N85" s="19">
        <v>0.0</v>
      </c>
      <c r="O85" s="19">
        <v>0.0</v>
      </c>
      <c r="P85" s="19">
        <v>1.0</v>
      </c>
      <c r="Q85" s="19">
        <v>0.0</v>
      </c>
      <c r="R85" s="19">
        <v>0.0</v>
      </c>
      <c r="S85" s="19">
        <v>0.0</v>
      </c>
      <c r="T85" s="19">
        <v>0.0</v>
      </c>
      <c r="U85" s="19">
        <v>0.0</v>
      </c>
      <c r="V85" s="19">
        <v>0.0</v>
      </c>
      <c r="W85" s="19">
        <v>0.0</v>
      </c>
      <c r="X85" s="19">
        <v>0.0</v>
      </c>
      <c r="Y85" s="19">
        <v>0.0</v>
      </c>
      <c r="Z85" s="19">
        <v>1.0</v>
      </c>
      <c r="AA85" s="19">
        <v>0.0</v>
      </c>
      <c r="AB85" s="19">
        <v>0.0</v>
      </c>
      <c r="AC85" s="19">
        <v>0.0</v>
      </c>
      <c r="AD85" s="19">
        <v>0.0</v>
      </c>
      <c r="AE85" s="19">
        <v>0.0</v>
      </c>
      <c r="AF85" s="19">
        <v>0.0</v>
      </c>
      <c r="AG85" s="13">
        <f t="shared" si="20"/>
        <v>10</v>
      </c>
    </row>
    <row r="86" ht="12.75" customHeight="1">
      <c r="A86" s="18"/>
      <c r="B86" s="55">
        <v>5.0</v>
      </c>
      <c r="C86" s="50" t="s">
        <v>69</v>
      </c>
      <c r="D86" s="60"/>
      <c r="E86" s="19">
        <v>0.0</v>
      </c>
      <c r="F86" s="19">
        <v>0.0</v>
      </c>
      <c r="G86" s="19">
        <v>0.0</v>
      </c>
      <c r="H86" s="19">
        <v>0.0</v>
      </c>
      <c r="I86" s="19">
        <v>0.0</v>
      </c>
      <c r="J86" s="19">
        <v>0.0</v>
      </c>
      <c r="K86" s="19">
        <v>0.0</v>
      </c>
      <c r="L86" s="19">
        <v>0.0</v>
      </c>
      <c r="M86" s="19">
        <v>1.0</v>
      </c>
      <c r="N86" s="19">
        <v>0.0</v>
      </c>
      <c r="O86" s="19">
        <v>1.0</v>
      </c>
      <c r="P86" s="19">
        <v>0.0</v>
      </c>
      <c r="Q86" s="19">
        <v>0.0</v>
      </c>
      <c r="R86" s="19">
        <v>0.0</v>
      </c>
      <c r="S86" s="19">
        <v>0.0</v>
      </c>
      <c r="T86" s="19">
        <v>0.0</v>
      </c>
      <c r="U86" s="19">
        <v>0.0</v>
      </c>
      <c r="V86" s="19">
        <v>0.0</v>
      </c>
      <c r="W86" s="19">
        <v>0.0</v>
      </c>
      <c r="X86" s="19">
        <v>0.0</v>
      </c>
      <c r="Y86" s="19">
        <v>0.0</v>
      </c>
      <c r="Z86" s="19">
        <v>0.0</v>
      </c>
      <c r="AA86" s="19">
        <v>0.0</v>
      </c>
      <c r="AB86" s="19">
        <v>0.0</v>
      </c>
      <c r="AC86" s="19">
        <v>0.0</v>
      </c>
      <c r="AD86" s="19">
        <v>0.0</v>
      </c>
      <c r="AE86" s="19">
        <v>0.0</v>
      </c>
      <c r="AF86" s="19">
        <v>1.0</v>
      </c>
      <c r="AG86" s="13">
        <f t="shared" si="20"/>
        <v>3</v>
      </c>
    </row>
    <row r="87" ht="12.75" customHeight="1">
      <c r="A87" s="18"/>
      <c r="B87" s="55">
        <v>6.0</v>
      </c>
      <c r="C87" s="50" t="s">
        <v>70</v>
      </c>
      <c r="D87" s="60"/>
      <c r="E87" s="19">
        <v>0.0</v>
      </c>
      <c r="F87" s="19">
        <v>0.0</v>
      </c>
      <c r="G87" s="19">
        <v>0.0</v>
      </c>
      <c r="H87" s="19">
        <v>0.0</v>
      </c>
      <c r="I87" s="19">
        <v>0.0</v>
      </c>
      <c r="J87" s="19">
        <v>1.0</v>
      </c>
      <c r="K87" s="19">
        <v>0.0</v>
      </c>
      <c r="L87" s="19">
        <v>0.0</v>
      </c>
      <c r="M87" s="19">
        <v>0.0</v>
      </c>
      <c r="N87" s="19">
        <v>0.0</v>
      </c>
      <c r="O87" s="19">
        <v>0.0</v>
      </c>
      <c r="P87" s="19">
        <v>0.0</v>
      </c>
      <c r="Q87" s="19">
        <v>0.0</v>
      </c>
      <c r="R87" s="19">
        <v>0.0</v>
      </c>
      <c r="S87" s="19">
        <v>0.0</v>
      </c>
      <c r="T87" s="19">
        <v>0.0</v>
      </c>
      <c r="U87" s="19">
        <v>0.0</v>
      </c>
      <c r="V87" s="19">
        <v>0.0</v>
      </c>
      <c r="W87" s="19">
        <v>0.0</v>
      </c>
      <c r="X87" s="19">
        <v>0.0</v>
      </c>
      <c r="Y87" s="19">
        <v>0.0</v>
      </c>
      <c r="Z87" s="19">
        <v>0.0</v>
      </c>
      <c r="AA87" s="19">
        <v>0.0</v>
      </c>
      <c r="AB87" s="19">
        <v>0.0</v>
      </c>
      <c r="AC87" s="19">
        <v>0.0</v>
      </c>
      <c r="AD87" s="19">
        <v>0.0</v>
      </c>
      <c r="AE87" s="19">
        <v>0.0</v>
      </c>
      <c r="AF87" s="19">
        <v>0.0</v>
      </c>
      <c r="AG87" s="13">
        <f t="shared" si="20"/>
        <v>1</v>
      </c>
    </row>
    <row r="88" ht="12.75" customHeight="1">
      <c r="A88" s="18"/>
      <c r="B88" s="55">
        <v>7.0</v>
      </c>
      <c r="C88" s="50" t="s">
        <v>71</v>
      </c>
      <c r="D88" s="60"/>
      <c r="E88" s="19">
        <v>0.0</v>
      </c>
      <c r="F88" s="19">
        <v>0.0</v>
      </c>
      <c r="G88" s="19">
        <v>0.0</v>
      </c>
      <c r="H88" s="19">
        <v>0.0</v>
      </c>
      <c r="I88" s="19">
        <v>0.0</v>
      </c>
      <c r="J88" s="19">
        <v>0.0</v>
      </c>
      <c r="K88" s="19">
        <v>0.0</v>
      </c>
      <c r="L88" s="19">
        <v>0.0</v>
      </c>
      <c r="M88" s="19">
        <v>1.0</v>
      </c>
      <c r="N88" s="19">
        <v>0.0</v>
      </c>
      <c r="O88" s="19">
        <v>0.0</v>
      </c>
      <c r="P88" s="19">
        <v>0.0</v>
      </c>
      <c r="Q88" s="19">
        <v>0.0</v>
      </c>
      <c r="R88" s="19">
        <v>0.0</v>
      </c>
      <c r="S88" s="19">
        <v>0.0</v>
      </c>
      <c r="T88" s="19">
        <v>0.0</v>
      </c>
      <c r="U88" s="19">
        <v>0.0</v>
      </c>
      <c r="V88" s="19">
        <v>0.0</v>
      </c>
      <c r="W88" s="19">
        <v>0.0</v>
      </c>
      <c r="X88" s="19">
        <v>0.0</v>
      </c>
      <c r="Y88" s="19">
        <v>1.0</v>
      </c>
      <c r="Z88" s="19">
        <v>1.0</v>
      </c>
      <c r="AA88" s="19">
        <v>0.0</v>
      </c>
      <c r="AB88" s="19">
        <v>0.0</v>
      </c>
      <c r="AC88" s="19">
        <v>0.0</v>
      </c>
      <c r="AD88" s="19">
        <v>0.0</v>
      </c>
      <c r="AE88" s="19">
        <v>0.0</v>
      </c>
      <c r="AF88" s="19">
        <v>0.0</v>
      </c>
      <c r="AG88" s="13">
        <f t="shared" si="20"/>
        <v>3</v>
      </c>
    </row>
    <row r="89" ht="12.75" customHeight="1">
      <c r="A89" s="18"/>
      <c r="B89" s="56"/>
      <c r="C89" s="57"/>
      <c r="D89" s="62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3">
        <f t="shared" si="20"/>
        <v>0</v>
      </c>
    </row>
    <row r="90" ht="12.75" customHeight="1">
      <c r="A90" s="18"/>
      <c r="B90" s="56"/>
      <c r="C90" s="57"/>
      <c r="D90" s="62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  <c r="AF90" s="19"/>
      <c r="AG90" s="13">
        <f t="shared" si="20"/>
        <v>0</v>
      </c>
    </row>
    <row r="91" ht="12.75" customHeight="1">
      <c r="A91" s="19" t="s">
        <v>15</v>
      </c>
      <c r="B91" s="47" t="s">
        <v>47</v>
      </c>
      <c r="C91" s="15"/>
      <c r="D91" s="16"/>
      <c r="E91" s="13">
        <f t="shared" ref="E91:AG91" si="21">SUM(E81:E90)</f>
        <v>4</v>
      </c>
      <c r="F91" s="13">
        <f t="shared" si="21"/>
        <v>9</v>
      </c>
      <c r="G91" s="13">
        <f t="shared" si="21"/>
        <v>12</v>
      </c>
      <c r="H91" s="13">
        <f t="shared" si="21"/>
        <v>53</v>
      </c>
      <c r="I91" s="13">
        <f t="shared" si="21"/>
        <v>36</v>
      </c>
      <c r="J91" s="13">
        <f t="shared" si="21"/>
        <v>32</v>
      </c>
      <c r="K91" s="13">
        <f t="shared" si="21"/>
        <v>18</v>
      </c>
      <c r="L91" s="13">
        <f t="shared" si="21"/>
        <v>13</v>
      </c>
      <c r="M91" s="13">
        <f t="shared" si="21"/>
        <v>11</v>
      </c>
      <c r="N91" s="13">
        <f t="shared" si="21"/>
        <v>7</v>
      </c>
      <c r="O91" s="13">
        <f t="shared" si="21"/>
        <v>3</v>
      </c>
      <c r="P91" s="13">
        <f t="shared" si="21"/>
        <v>6</v>
      </c>
      <c r="Q91" s="13">
        <f t="shared" si="21"/>
        <v>1</v>
      </c>
      <c r="R91" s="13">
        <f t="shared" si="21"/>
        <v>2</v>
      </c>
      <c r="S91" s="13">
        <f t="shared" si="21"/>
        <v>7</v>
      </c>
      <c r="T91" s="13">
        <f t="shared" si="21"/>
        <v>8</v>
      </c>
      <c r="U91" s="13">
        <f t="shared" si="21"/>
        <v>12</v>
      </c>
      <c r="V91" s="13">
        <f t="shared" si="21"/>
        <v>13</v>
      </c>
      <c r="W91" s="13">
        <f t="shared" si="21"/>
        <v>3</v>
      </c>
      <c r="X91" s="13">
        <f t="shared" si="21"/>
        <v>3</v>
      </c>
      <c r="Y91" s="13">
        <f t="shared" si="21"/>
        <v>14</v>
      </c>
      <c r="Z91" s="13">
        <f t="shared" si="21"/>
        <v>12</v>
      </c>
      <c r="AA91" s="13">
        <f t="shared" si="21"/>
        <v>6</v>
      </c>
      <c r="AB91" s="13">
        <f t="shared" si="21"/>
        <v>3</v>
      </c>
      <c r="AC91" s="13">
        <f t="shared" si="21"/>
        <v>72</v>
      </c>
      <c r="AD91" s="13">
        <f t="shared" si="21"/>
        <v>10</v>
      </c>
      <c r="AE91" s="13">
        <f t="shared" si="21"/>
        <v>11</v>
      </c>
      <c r="AF91" s="13">
        <f t="shared" si="21"/>
        <v>5</v>
      </c>
      <c r="AG91" s="13">
        <f t="shared" si="21"/>
        <v>386</v>
      </c>
    </row>
    <row r="92" ht="12.75" customHeight="1">
      <c r="A92" s="45"/>
      <c r="B92" s="44"/>
      <c r="C92" s="44"/>
      <c r="D92" s="44"/>
      <c r="E92" s="44"/>
    </row>
    <row r="93" ht="12.75" customHeight="1">
      <c r="A93" s="30" t="s">
        <v>37</v>
      </c>
      <c r="B93" s="47" t="s">
        <v>72</v>
      </c>
      <c r="C93" s="48" t="s">
        <v>73</v>
      </c>
      <c r="D93" s="16"/>
      <c r="E93" s="19">
        <v>0.0</v>
      </c>
      <c r="F93" s="19">
        <v>1.0</v>
      </c>
      <c r="G93" s="19">
        <v>1.0</v>
      </c>
      <c r="H93" s="19">
        <v>0.0</v>
      </c>
      <c r="I93" s="19">
        <v>0.0</v>
      </c>
      <c r="J93" s="19">
        <v>1.0</v>
      </c>
      <c r="K93" s="19">
        <v>0.0</v>
      </c>
      <c r="L93" s="19">
        <v>0.0</v>
      </c>
      <c r="M93" s="19">
        <v>1.0</v>
      </c>
      <c r="N93" s="19">
        <v>1.0</v>
      </c>
      <c r="O93" s="19">
        <v>0.0</v>
      </c>
      <c r="P93" s="19">
        <v>3.0</v>
      </c>
      <c r="Q93" s="19">
        <v>1.0</v>
      </c>
      <c r="R93" s="19">
        <v>0.0</v>
      </c>
      <c r="S93" s="19">
        <v>2.0</v>
      </c>
      <c r="T93" s="19">
        <v>2.0</v>
      </c>
      <c r="U93" s="19">
        <v>2.0</v>
      </c>
      <c r="V93" s="19">
        <v>2.0</v>
      </c>
      <c r="W93" s="19">
        <v>1.0</v>
      </c>
      <c r="X93" s="19">
        <v>3.0</v>
      </c>
      <c r="Y93" s="19">
        <v>8.0</v>
      </c>
      <c r="Z93" s="19">
        <v>7.0</v>
      </c>
      <c r="AA93" s="19">
        <v>3.0</v>
      </c>
      <c r="AB93" s="19">
        <v>5.0</v>
      </c>
      <c r="AC93" s="19">
        <v>0.0</v>
      </c>
      <c r="AD93" s="19">
        <v>4.0</v>
      </c>
      <c r="AE93" s="19">
        <v>1.0</v>
      </c>
      <c r="AF93" s="19">
        <v>0.0</v>
      </c>
      <c r="AG93" s="13">
        <f t="shared" ref="AG93:AG102" si="22">SUM(E93:AF93)</f>
        <v>49</v>
      </c>
    </row>
    <row r="94" ht="12.75" customHeight="1">
      <c r="A94" s="30" t="s">
        <v>39</v>
      </c>
      <c r="B94" s="55">
        <v>1.0</v>
      </c>
      <c r="C94" s="50" t="s">
        <v>74</v>
      </c>
      <c r="D94" s="60"/>
      <c r="E94" s="19">
        <v>1.0</v>
      </c>
      <c r="F94" s="19">
        <v>0.0</v>
      </c>
      <c r="G94" s="19">
        <v>0.0</v>
      </c>
      <c r="H94" s="19">
        <v>1.0</v>
      </c>
      <c r="I94" s="19">
        <v>3.0</v>
      </c>
      <c r="J94" s="19">
        <v>2.0</v>
      </c>
      <c r="K94" s="19">
        <v>1.0</v>
      </c>
      <c r="L94" s="19">
        <v>1.0</v>
      </c>
      <c r="M94" s="19">
        <v>1.0</v>
      </c>
      <c r="N94" s="19">
        <v>2.0</v>
      </c>
      <c r="O94" s="19">
        <v>1.0</v>
      </c>
      <c r="P94" s="19">
        <v>1.0</v>
      </c>
      <c r="Q94" s="19">
        <v>0.0</v>
      </c>
      <c r="R94" s="19">
        <v>0.0</v>
      </c>
      <c r="S94" s="19">
        <v>1.0</v>
      </c>
      <c r="T94" s="19">
        <v>3.0</v>
      </c>
      <c r="U94" s="19">
        <v>1.0</v>
      </c>
      <c r="V94" s="19">
        <v>0.0</v>
      </c>
      <c r="W94" s="19">
        <v>0.0</v>
      </c>
      <c r="X94" s="19">
        <v>1.0</v>
      </c>
      <c r="Y94" s="19">
        <v>5.0</v>
      </c>
      <c r="Z94" s="19">
        <v>1.0</v>
      </c>
      <c r="AA94" s="19">
        <v>2.0</v>
      </c>
      <c r="AB94" s="19">
        <v>1.0</v>
      </c>
      <c r="AC94" s="19">
        <v>2.0</v>
      </c>
      <c r="AD94" s="19">
        <v>2.0</v>
      </c>
      <c r="AE94" s="19">
        <v>2.0</v>
      </c>
      <c r="AF94" s="19">
        <v>1.0</v>
      </c>
      <c r="AG94" s="13">
        <f t="shared" si="22"/>
        <v>36</v>
      </c>
    </row>
    <row r="95" ht="12.75" customHeight="1">
      <c r="A95" s="18"/>
      <c r="B95" s="55">
        <v>2.0</v>
      </c>
      <c r="C95" s="50" t="s">
        <v>75</v>
      </c>
      <c r="D95" s="60"/>
      <c r="E95" s="19">
        <v>0.0</v>
      </c>
      <c r="F95" s="19">
        <v>0.0</v>
      </c>
      <c r="G95" s="19">
        <v>0.0</v>
      </c>
      <c r="H95" s="19">
        <v>0.0</v>
      </c>
      <c r="I95" s="19">
        <v>1.0</v>
      </c>
      <c r="J95" s="19">
        <v>0.0</v>
      </c>
      <c r="K95" s="19">
        <v>1.0</v>
      </c>
      <c r="L95" s="19">
        <v>0.0</v>
      </c>
      <c r="M95" s="19">
        <v>0.0</v>
      </c>
      <c r="N95" s="19">
        <v>0.0</v>
      </c>
      <c r="O95" s="19">
        <v>0.0</v>
      </c>
      <c r="P95" s="19">
        <v>0.0</v>
      </c>
      <c r="Q95" s="19">
        <v>0.0</v>
      </c>
      <c r="R95" s="19">
        <v>0.0</v>
      </c>
      <c r="S95" s="19">
        <v>0.0</v>
      </c>
      <c r="T95" s="19">
        <v>0.0</v>
      </c>
      <c r="U95" s="19">
        <v>0.0</v>
      </c>
      <c r="V95" s="19">
        <v>1.0</v>
      </c>
      <c r="W95" s="19">
        <v>0.0</v>
      </c>
      <c r="X95" s="19">
        <v>0.0</v>
      </c>
      <c r="Y95" s="19">
        <v>1.0</v>
      </c>
      <c r="Z95" s="19">
        <v>0.0</v>
      </c>
      <c r="AA95" s="19">
        <v>0.0</v>
      </c>
      <c r="AB95" s="19">
        <v>1.0</v>
      </c>
      <c r="AC95" s="19">
        <v>0.0</v>
      </c>
      <c r="AD95" s="19">
        <v>0.0</v>
      </c>
      <c r="AE95" s="19">
        <v>0.0</v>
      </c>
      <c r="AF95" s="19">
        <v>0.0</v>
      </c>
      <c r="AG95" s="13">
        <f t="shared" si="22"/>
        <v>5</v>
      </c>
    </row>
    <row r="96" ht="12.75" customHeight="1">
      <c r="A96" s="18"/>
      <c r="B96" s="55">
        <v>3.0</v>
      </c>
      <c r="C96" s="50" t="s">
        <v>76</v>
      </c>
      <c r="D96" s="60"/>
      <c r="E96" s="19">
        <v>0.0</v>
      </c>
      <c r="F96" s="19">
        <v>0.0</v>
      </c>
      <c r="G96" s="19">
        <v>0.0</v>
      </c>
      <c r="H96" s="19">
        <v>0.0</v>
      </c>
      <c r="I96" s="19">
        <v>0.0</v>
      </c>
      <c r="J96" s="19">
        <v>0.0</v>
      </c>
      <c r="K96" s="19">
        <v>0.0</v>
      </c>
      <c r="L96" s="19">
        <v>0.0</v>
      </c>
      <c r="M96" s="19">
        <v>0.0</v>
      </c>
      <c r="N96" s="19">
        <v>0.0</v>
      </c>
      <c r="O96" s="19">
        <v>0.0</v>
      </c>
      <c r="P96" s="19">
        <v>1.0</v>
      </c>
      <c r="Q96" s="19">
        <v>0.0</v>
      </c>
      <c r="R96" s="19">
        <v>0.0</v>
      </c>
      <c r="S96" s="19">
        <v>0.0</v>
      </c>
      <c r="T96" s="19">
        <v>1.0</v>
      </c>
      <c r="U96" s="19">
        <v>0.0</v>
      </c>
      <c r="V96" s="19">
        <v>0.0</v>
      </c>
      <c r="W96" s="19">
        <v>0.0</v>
      </c>
      <c r="X96" s="19">
        <v>0.0</v>
      </c>
      <c r="Y96" s="19">
        <v>0.0</v>
      </c>
      <c r="Z96" s="19">
        <v>0.0</v>
      </c>
      <c r="AA96" s="19">
        <v>0.0</v>
      </c>
      <c r="AB96" s="19">
        <v>1.0</v>
      </c>
      <c r="AC96" s="19">
        <v>0.0</v>
      </c>
      <c r="AD96" s="19">
        <v>0.0</v>
      </c>
      <c r="AE96" s="19">
        <v>1.0</v>
      </c>
      <c r="AF96" s="19">
        <v>0.0</v>
      </c>
      <c r="AG96" s="13">
        <f t="shared" si="22"/>
        <v>4</v>
      </c>
    </row>
    <row r="97" ht="12.75" customHeight="1">
      <c r="A97" s="18"/>
      <c r="B97" s="55">
        <v>4.0</v>
      </c>
      <c r="C97" s="50" t="s">
        <v>77</v>
      </c>
      <c r="D97" s="60"/>
      <c r="E97" s="19">
        <v>0.0</v>
      </c>
      <c r="F97" s="19">
        <v>0.0</v>
      </c>
      <c r="G97" s="19">
        <v>0.0</v>
      </c>
      <c r="H97" s="19">
        <v>0.0</v>
      </c>
      <c r="I97" s="19">
        <v>0.0</v>
      </c>
      <c r="J97" s="19">
        <v>0.0</v>
      </c>
      <c r="K97" s="19">
        <v>0.0</v>
      </c>
      <c r="L97" s="19">
        <v>0.0</v>
      </c>
      <c r="M97" s="19">
        <v>0.0</v>
      </c>
      <c r="N97" s="19">
        <v>0.0</v>
      </c>
      <c r="O97" s="19">
        <v>0.0</v>
      </c>
      <c r="P97" s="19">
        <v>0.0</v>
      </c>
      <c r="Q97" s="19">
        <v>0.0</v>
      </c>
      <c r="R97" s="19">
        <v>0.0</v>
      </c>
      <c r="S97" s="19">
        <v>0.0</v>
      </c>
      <c r="T97" s="19">
        <v>0.0</v>
      </c>
      <c r="U97" s="19">
        <v>0.0</v>
      </c>
      <c r="V97" s="19">
        <v>1.0</v>
      </c>
      <c r="W97" s="19">
        <v>1.0</v>
      </c>
      <c r="X97" s="19">
        <v>0.0</v>
      </c>
      <c r="Y97" s="19">
        <v>0.0</v>
      </c>
      <c r="Z97" s="19">
        <v>1.0</v>
      </c>
      <c r="AA97" s="19">
        <v>0.0</v>
      </c>
      <c r="AB97" s="19">
        <v>1.0</v>
      </c>
      <c r="AC97" s="19">
        <v>1.0</v>
      </c>
      <c r="AD97" s="19">
        <v>1.0</v>
      </c>
      <c r="AE97" s="19">
        <v>1.0</v>
      </c>
      <c r="AF97" s="19">
        <v>0.0</v>
      </c>
      <c r="AG97" s="13">
        <f t="shared" si="22"/>
        <v>7</v>
      </c>
    </row>
    <row r="98" ht="12.75" customHeight="1">
      <c r="A98" s="18"/>
      <c r="B98" s="55">
        <v>5.0</v>
      </c>
      <c r="C98" s="50" t="s">
        <v>78</v>
      </c>
      <c r="D98" s="60"/>
      <c r="E98" s="19">
        <v>0.0</v>
      </c>
      <c r="F98" s="19">
        <v>0.0</v>
      </c>
      <c r="G98" s="19">
        <v>0.0</v>
      </c>
      <c r="H98" s="19">
        <v>0.0</v>
      </c>
      <c r="I98" s="19">
        <v>0.0</v>
      </c>
      <c r="J98" s="19">
        <v>0.0</v>
      </c>
      <c r="K98" s="19">
        <v>0.0</v>
      </c>
      <c r="L98" s="19">
        <v>0.0</v>
      </c>
      <c r="M98" s="19">
        <v>0.0</v>
      </c>
      <c r="N98" s="19">
        <v>0.0</v>
      </c>
      <c r="O98" s="19">
        <v>0.0</v>
      </c>
      <c r="P98" s="19">
        <v>0.0</v>
      </c>
      <c r="Q98" s="19">
        <v>0.0</v>
      </c>
      <c r="R98" s="19">
        <v>1.0</v>
      </c>
      <c r="S98" s="19">
        <v>0.0</v>
      </c>
      <c r="T98" s="19">
        <v>0.0</v>
      </c>
      <c r="U98" s="19">
        <v>0.0</v>
      </c>
      <c r="V98" s="19">
        <v>0.0</v>
      </c>
      <c r="W98" s="19">
        <v>0.0</v>
      </c>
      <c r="X98" s="19">
        <v>0.0</v>
      </c>
      <c r="Y98" s="19">
        <v>1.0</v>
      </c>
      <c r="Z98" s="19">
        <v>2.0</v>
      </c>
      <c r="AA98" s="19">
        <v>0.0</v>
      </c>
      <c r="AB98" s="19">
        <v>0.0</v>
      </c>
      <c r="AC98" s="19">
        <v>0.0</v>
      </c>
      <c r="AD98" s="19">
        <v>1.0</v>
      </c>
      <c r="AE98" s="19">
        <v>4.0</v>
      </c>
      <c r="AF98" s="19">
        <v>0.0</v>
      </c>
      <c r="AG98" s="13">
        <f t="shared" si="22"/>
        <v>9</v>
      </c>
    </row>
    <row r="99" ht="12.75" customHeight="1">
      <c r="A99" s="18"/>
      <c r="B99" s="55">
        <v>6.0</v>
      </c>
      <c r="C99" s="50" t="s">
        <v>79</v>
      </c>
      <c r="D99" s="60"/>
      <c r="E99" s="19">
        <v>1.0</v>
      </c>
      <c r="F99" s="19">
        <v>0.0</v>
      </c>
      <c r="G99" s="19">
        <v>0.0</v>
      </c>
      <c r="H99" s="19">
        <v>0.0</v>
      </c>
      <c r="I99" s="19">
        <v>0.0</v>
      </c>
      <c r="J99" s="19">
        <v>1.0</v>
      </c>
      <c r="K99" s="19">
        <v>0.0</v>
      </c>
      <c r="L99" s="19">
        <v>0.0</v>
      </c>
      <c r="M99" s="19">
        <v>0.0</v>
      </c>
      <c r="N99" s="19">
        <v>0.0</v>
      </c>
      <c r="O99" s="19">
        <v>0.0</v>
      </c>
      <c r="P99" s="19">
        <v>0.0</v>
      </c>
      <c r="Q99" s="19">
        <v>0.0</v>
      </c>
      <c r="R99" s="19">
        <v>3.0</v>
      </c>
      <c r="S99" s="19">
        <v>1.0</v>
      </c>
      <c r="T99" s="19">
        <v>2.0</v>
      </c>
      <c r="U99" s="19">
        <v>0.0</v>
      </c>
      <c r="V99" s="19">
        <v>0.0</v>
      </c>
      <c r="W99" s="19">
        <v>0.0</v>
      </c>
      <c r="X99" s="19">
        <v>2.0</v>
      </c>
      <c r="Y99" s="19">
        <v>10.0</v>
      </c>
      <c r="Z99" s="19">
        <v>3.0</v>
      </c>
      <c r="AA99" s="19">
        <v>3.0</v>
      </c>
      <c r="AB99" s="19">
        <v>5.0</v>
      </c>
      <c r="AC99" s="19">
        <v>6.0</v>
      </c>
      <c r="AD99" s="19">
        <v>1.0</v>
      </c>
      <c r="AE99" s="19">
        <v>2.0</v>
      </c>
      <c r="AF99" s="19">
        <v>0.0</v>
      </c>
      <c r="AG99" s="13">
        <f t="shared" si="22"/>
        <v>40</v>
      </c>
    </row>
    <row r="100" ht="12.75" customHeight="1">
      <c r="A100" s="18"/>
      <c r="B100" s="55">
        <v>7.0</v>
      </c>
      <c r="C100" s="50" t="s">
        <v>80</v>
      </c>
      <c r="D100" s="60"/>
      <c r="E100" s="19">
        <v>0.0</v>
      </c>
      <c r="F100" s="19">
        <v>0.0</v>
      </c>
      <c r="G100" s="19">
        <v>0.0</v>
      </c>
      <c r="H100" s="19">
        <v>0.0</v>
      </c>
      <c r="I100" s="19">
        <v>0.0</v>
      </c>
      <c r="J100" s="19">
        <v>0.0</v>
      </c>
      <c r="K100" s="19">
        <v>0.0</v>
      </c>
      <c r="L100" s="19">
        <v>0.0</v>
      </c>
      <c r="M100" s="19">
        <v>0.0</v>
      </c>
      <c r="N100" s="19">
        <v>0.0</v>
      </c>
      <c r="O100" s="19">
        <v>0.0</v>
      </c>
      <c r="P100" s="19">
        <v>0.0</v>
      </c>
      <c r="Q100" s="19">
        <v>0.0</v>
      </c>
      <c r="R100" s="19">
        <v>1.0</v>
      </c>
      <c r="S100" s="19">
        <v>0.0</v>
      </c>
      <c r="T100" s="19">
        <v>0.0</v>
      </c>
      <c r="U100" s="19">
        <v>0.0</v>
      </c>
      <c r="V100" s="19">
        <v>0.0</v>
      </c>
      <c r="W100" s="19">
        <v>0.0</v>
      </c>
      <c r="X100" s="19">
        <v>0.0</v>
      </c>
      <c r="Y100" s="19">
        <v>3.0</v>
      </c>
      <c r="Z100" s="19">
        <v>0.0</v>
      </c>
      <c r="AA100" s="19">
        <v>6.0</v>
      </c>
      <c r="AB100" s="19">
        <v>0.0</v>
      </c>
      <c r="AC100" s="19">
        <v>3.0</v>
      </c>
      <c r="AD100" s="19">
        <v>0.0</v>
      </c>
      <c r="AE100" s="19">
        <v>1.0</v>
      </c>
      <c r="AF100" s="19">
        <v>0.0</v>
      </c>
      <c r="AG100" s="13">
        <f t="shared" si="22"/>
        <v>14</v>
      </c>
    </row>
    <row r="101" ht="12.75" customHeight="1">
      <c r="A101" s="18"/>
      <c r="B101" s="56"/>
      <c r="C101" s="57"/>
      <c r="D101" s="62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9"/>
      <c r="AB101" s="19"/>
      <c r="AC101" s="19"/>
      <c r="AD101" s="19"/>
      <c r="AE101" s="19"/>
      <c r="AF101" s="19"/>
      <c r="AG101" s="13">
        <f t="shared" si="22"/>
        <v>0</v>
      </c>
    </row>
    <row r="102" ht="12.75" customHeight="1">
      <c r="A102" s="18"/>
      <c r="B102" s="56"/>
      <c r="C102" s="57"/>
      <c r="D102" s="62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9"/>
      <c r="AB102" s="19"/>
      <c r="AC102" s="19"/>
      <c r="AD102" s="19"/>
      <c r="AE102" s="19"/>
      <c r="AF102" s="19"/>
      <c r="AG102" s="13">
        <f t="shared" si="22"/>
        <v>0</v>
      </c>
    </row>
    <row r="103" ht="12.75" customHeight="1">
      <c r="A103" s="19" t="s">
        <v>15</v>
      </c>
      <c r="B103" s="47" t="s">
        <v>47</v>
      </c>
      <c r="C103" s="15"/>
      <c r="D103" s="16"/>
      <c r="E103" s="13">
        <f t="shared" ref="E103:AG103" si="23">SUM(E93:E102)</f>
        <v>2</v>
      </c>
      <c r="F103" s="13">
        <f t="shared" si="23"/>
        <v>1</v>
      </c>
      <c r="G103" s="13">
        <f t="shared" si="23"/>
        <v>1</v>
      </c>
      <c r="H103" s="13">
        <f t="shared" si="23"/>
        <v>1</v>
      </c>
      <c r="I103" s="13">
        <f t="shared" si="23"/>
        <v>4</v>
      </c>
      <c r="J103" s="13">
        <f t="shared" si="23"/>
        <v>4</v>
      </c>
      <c r="K103" s="13">
        <f t="shared" si="23"/>
        <v>2</v>
      </c>
      <c r="L103" s="13">
        <f t="shared" si="23"/>
        <v>1</v>
      </c>
      <c r="M103" s="13">
        <f t="shared" si="23"/>
        <v>2</v>
      </c>
      <c r="N103" s="13">
        <f t="shared" si="23"/>
        <v>3</v>
      </c>
      <c r="O103" s="13">
        <f t="shared" si="23"/>
        <v>1</v>
      </c>
      <c r="P103" s="13">
        <f t="shared" si="23"/>
        <v>5</v>
      </c>
      <c r="Q103" s="13">
        <f t="shared" si="23"/>
        <v>1</v>
      </c>
      <c r="R103" s="13">
        <f t="shared" si="23"/>
        <v>5</v>
      </c>
      <c r="S103" s="13">
        <f t="shared" si="23"/>
        <v>4</v>
      </c>
      <c r="T103" s="13">
        <f t="shared" si="23"/>
        <v>8</v>
      </c>
      <c r="U103" s="13">
        <f t="shared" si="23"/>
        <v>3</v>
      </c>
      <c r="V103" s="13">
        <f t="shared" si="23"/>
        <v>4</v>
      </c>
      <c r="W103" s="13">
        <f t="shared" si="23"/>
        <v>2</v>
      </c>
      <c r="X103" s="13">
        <f t="shared" si="23"/>
        <v>6</v>
      </c>
      <c r="Y103" s="13">
        <f t="shared" si="23"/>
        <v>28</v>
      </c>
      <c r="Z103" s="13">
        <f t="shared" si="23"/>
        <v>14</v>
      </c>
      <c r="AA103" s="13">
        <f t="shared" si="23"/>
        <v>14</v>
      </c>
      <c r="AB103" s="13">
        <f t="shared" si="23"/>
        <v>14</v>
      </c>
      <c r="AC103" s="13">
        <f t="shared" si="23"/>
        <v>12</v>
      </c>
      <c r="AD103" s="13">
        <f t="shared" si="23"/>
        <v>9</v>
      </c>
      <c r="AE103" s="13">
        <f t="shared" si="23"/>
        <v>12</v>
      </c>
      <c r="AF103" s="13">
        <f t="shared" si="23"/>
        <v>1</v>
      </c>
      <c r="AG103" s="13">
        <f t="shared" si="23"/>
        <v>164</v>
      </c>
    </row>
    <row r="104" ht="12.75" customHeight="1">
      <c r="A104" s="45"/>
      <c r="B104" s="44"/>
      <c r="C104" s="44"/>
      <c r="D104" s="44"/>
      <c r="E104" s="44"/>
      <c r="F104" s="84"/>
      <c r="G104" s="84"/>
      <c r="H104" s="84"/>
      <c r="I104" s="84"/>
      <c r="J104" s="84"/>
      <c r="K104" s="84"/>
      <c r="L104" s="84"/>
      <c r="M104" s="84"/>
      <c r="N104" s="84"/>
      <c r="O104" s="84"/>
      <c r="P104" s="84"/>
      <c r="Q104" s="84"/>
      <c r="R104" s="84"/>
      <c r="S104" s="84"/>
      <c r="T104" s="84"/>
      <c r="U104" s="84"/>
      <c r="V104" s="84"/>
      <c r="W104" s="84"/>
      <c r="X104" s="84"/>
      <c r="Y104" s="84"/>
      <c r="Z104" s="84"/>
      <c r="AA104" s="84"/>
      <c r="AB104" s="84"/>
      <c r="AC104" s="84"/>
      <c r="AD104" s="84"/>
      <c r="AE104" s="84"/>
      <c r="AF104" s="84"/>
      <c r="AG104" s="84"/>
    </row>
    <row r="105" ht="12.75" customHeight="1">
      <c r="A105" s="30" t="s">
        <v>37</v>
      </c>
      <c r="B105" s="47" t="s">
        <v>81</v>
      </c>
      <c r="C105" s="48" t="s">
        <v>82</v>
      </c>
      <c r="D105" s="16"/>
      <c r="E105" s="19">
        <v>0.0</v>
      </c>
      <c r="F105" s="19">
        <v>0.0</v>
      </c>
      <c r="G105" s="19">
        <v>1.0</v>
      </c>
      <c r="H105" s="19">
        <v>0.0</v>
      </c>
      <c r="I105" s="19">
        <v>0.0</v>
      </c>
      <c r="J105" s="19">
        <v>0.0</v>
      </c>
      <c r="K105" s="19">
        <v>0.0</v>
      </c>
      <c r="L105" s="19">
        <v>0.0</v>
      </c>
      <c r="M105" s="19">
        <v>1.0</v>
      </c>
      <c r="N105" s="19">
        <v>1.0</v>
      </c>
      <c r="O105" s="19">
        <v>1.0</v>
      </c>
      <c r="P105" s="19">
        <v>0.0</v>
      </c>
      <c r="Q105" s="19">
        <v>0.0</v>
      </c>
      <c r="R105" s="19">
        <v>0.0</v>
      </c>
      <c r="S105" s="19">
        <v>0.0</v>
      </c>
      <c r="T105" s="19">
        <v>1.0</v>
      </c>
      <c r="U105" s="19">
        <v>3.0</v>
      </c>
      <c r="V105" s="19">
        <v>2.0</v>
      </c>
      <c r="W105" s="19">
        <v>0.0</v>
      </c>
      <c r="X105" s="19">
        <v>0.0</v>
      </c>
      <c r="Y105" s="19">
        <v>6.0</v>
      </c>
      <c r="Z105" s="19">
        <v>2.0</v>
      </c>
      <c r="AA105" s="19">
        <v>2.0</v>
      </c>
      <c r="AB105" s="19">
        <v>0.0</v>
      </c>
      <c r="AC105" s="19">
        <v>1.0</v>
      </c>
      <c r="AD105" s="19">
        <v>1.0</v>
      </c>
      <c r="AE105" s="19">
        <v>0.0</v>
      </c>
      <c r="AF105" s="19">
        <v>1.0</v>
      </c>
      <c r="AG105" s="13">
        <f t="shared" ref="AG105:AG114" si="24">SUM(E105:AF105)</f>
        <v>23</v>
      </c>
    </row>
    <row r="106" ht="12.75" customHeight="1">
      <c r="A106" s="30" t="s">
        <v>39</v>
      </c>
      <c r="B106" s="55">
        <v>1.0</v>
      </c>
      <c r="C106" s="50" t="s">
        <v>83</v>
      </c>
      <c r="D106" s="60"/>
      <c r="E106" s="19">
        <v>0.0</v>
      </c>
      <c r="F106" s="19">
        <v>0.0</v>
      </c>
      <c r="G106" s="19">
        <v>0.0</v>
      </c>
      <c r="H106" s="19">
        <v>0.0</v>
      </c>
      <c r="I106" s="19">
        <v>0.0</v>
      </c>
      <c r="J106" s="19">
        <v>0.0</v>
      </c>
      <c r="K106" s="19">
        <v>0.0</v>
      </c>
      <c r="L106" s="19">
        <v>0.0</v>
      </c>
      <c r="M106" s="19">
        <v>0.0</v>
      </c>
      <c r="N106" s="19">
        <v>0.0</v>
      </c>
      <c r="O106" s="19">
        <v>0.0</v>
      </c>
      <c r="P106" s="19">
        <v>0.0</v>
      </c>
      <c r="Q106" s="19">
        <v>0.0</v>
      </c>
      <c r="R106" s="19">
        <v>0.0</v>
      </c>
      <c r="S106" s="19">
        <v>0.0</v>
      </c>
      <c r="T106" s="19">
        <v>0.0</v>
      </c>
      <c r="U106" s="19">
        <v>0.0</v>
      </c>
      <c r="V106" s="19">
        <v>0.0</v>
      </c>
      <c r="W106" s="19">
        <v>0.0</v>
      </c>
      <c r="X106" s="19">
        <v>0.0</v>
      </c>
      <c r="Y106" s="19">
        <v>0.0</v>
      </c>
      <c r="Z106" s="19">
        <v>0.0</v>
      </c>
      <c r="AA106" s="19">
        <v>0.0</v>
      </c>
      <c r="AB106" s="19">
        <v>0.0</v>
      </c>
      <c r="AC106" s="19">
        <v>0.0</v>
      </c>
      <c r="AD106" s="19">
        <v>0.0</v>
      </c>
      <c r="AE106" s="19">
        <v>2.0</v>
      </c>
      <c r="AF106" s="19">
        <v>0.0</v>
      </c>
      <c r="AG106" s="13">
        <f t="shared" si="24"/>
        <v>2</v>
      </c>
    </row>
    <row r="107" ht="12.75" customHeight="1">
      <c r="A107" s="18"/>
      <c r="B107" s="55">
        <v>2.0</v>
      </c>
      <c r="C107" s="50" t="s">
        <v>84</v>
      </c>
      <c r="D107" s="60"/>
      <c r="E107" s="19">
        <v>1.0</v>
      </c>
      <c r="F107" s="19">
        <v>0.0</v>
      </c>
      <c r="G107" s="19">
        <v>0.0</v>
      </c>
      <c r="H107" s="19">
        <v>0.0</v>
      </c>
      <c r="I107" s="19">
        <v>0.0</v>
      </c>
      <c r="J107" s="19">
        <v>0.0</v>
      </c>
      <c r="K107" s="19">
        <v>0.0</v>
      </c>
      <c r="L107" s="19">
        <v>0.0</v>
      </c>
      <c r="M107" s="19">
        <v>2.0</v>
      </c>
      <c r="N107" s="19">
        <v>0.0</v>
      </c>
      <c r="O107" s="19">
        <v>0.0</v>
      </c>
      <c r="P107" s="19">
        <v>0.0</v>
      </c>
      <c r="Q107" s="19">
        <v>0.0</v>
      </c>
      <c r="R107" s="19">
        <v>0.0</v>
      </c>
      <c r="S107" s="19">
        <v>0.0</v>
      </c>
      <c r="T107" s="19">
        <v>0.0</v>
      </c>
      <c r="U107" s="19">
        <v>0.0</v>
      </c>
      <c r="V107" s="19">
        <v>0.0</v>
      </c>
      <c r="W107" s="19">
        <v>0.0</v>
      </c>
      <c r="X107" s="19">
        <v>0.0</v>
      </c>
      <c r="Y107" s="19">
        <v>0.0</v>
      </c>
      <c r="Z107" s="19">
        <v>0.0</v>
      </c>
      <c r="AA107" s="19">
        <v>0.0</v>
      </c>
      <c r="AB107" s="19">
        <v>1.0</v>
      </c>
      <c r="AC107" s="19">
        <v>0.0</v>
      </c>
      <c r="AD107" s="19">
        <v>0.0</v>
      </c>
      <c r="AE107" s="19">
        <v>0.0</v>
      </c>
      <c r="AF107" s="19">
        <v>0.0</v>
      </c>
      <c r="AG107" s="13">
        <f t="shared" si="24"/>
        <v>4</v>
      </c>
    </row>
    <row r="108" ht="12.75" customHeight="1">
      <c r="A108" s="18"/>
      <c r="B108" s="55">
        <v>3.0</v>
      </c>
      <c r="C108" s="50" t="s">
        <v>85</v>
      </c>
      <c r="D108" s="60"/>
      <c r="E108" s="85">
        <v>0.0</v>
      </c>
      <c r="F108" s="19">
        <v>0.0</v>
      </c>
      <c r="G108" s="19">
        <v>0.0</v>
      </c>
      <c r="H108" s="19">
        <v>0.0</v>
      </c>
      <c r="I108" s="19">
        <v>0.0</v>
      </c>
      <c r="J108" s="19">
        <v>0.0</v>
      </c>
      <c r="K108" s="19">
        <v>0.0</v>
      </c>
      <c r="L108" s="19">
        <v>0.0</v>
      </c>
      <c r="M108" s="19">
        <v>0.0</v>
      </c>
      <c r="N108" s="19">
        <v>0.0</v>
      </c>
      <c r="O108" s="19">
        <v>0.0</v>
      </c>
      <c r="P108" s="19">
        <v>0.0</v>
      </c>
      <c r="Q108" s="19">
        <v>0.0</v>
      </c>
      <c r="R108" s="19">
        <v>0.0</v>
      </c>
      <c r="S108" s="19">
        <v>0.0</v>
      </c>
      <c r="T108" s="19">
        <v>0.0</v>
      </c>
      <c r="U108" s="19">
        <v>0.0</v>
      </c>
      <c r="V108" s="19">
        <v>0.0</v>
      </c>
      <c r="W108" s="19">
        <v>0.0</v>
      </c>
      <c r="X108" s="19">
        <v>0.0</v>
      </c>
      <c r="Y108" s="19">
        <v>0.0</v>
      </c>
      <c r="Z108" s="19">
        <v>0.0</v>
      </c>
      <c r="AA108" s="19">
        <v>0.0</v>
      </c>
      <c r="AB108" s="19">
        <v>0.0</v>
      </c>
      <c r="AC108" s="19">
        <v>0.0</v>
      </c>
      <c r="AD108" s="19">
        <v>0.0</v>
      </c>
      <c r="AE108" s="19">
        <v>0.0</v>
      </c>
      <c r="AF108" s="19">
        <v>0.0</v>
      </c>
      <c r="AG108" s="13">
        <f t="shared" si="24"/>
        <v>0</v>
      </c>
    </row>
    <row r="109" ht="12.75" customHeight="1">
      <c r="A109" s="18"/>
      <c r="B109" s="55">
        <v>4.0</v>
      </c>
      <c r="C109" s="50" t="s">
        <v>86</v>
      </c>
      <c r="D109" s="60"/>
      <c r="E109" s="85">
        <v>0.0</v>
      </c>
      <c r="F109" s="19">
        <v>0.0</v>
      </c>
      <c r="G109" s="19">
        <v>0.0</v>
      </c>
      <c r="H109" s="19">
        <v>1.0</v>
      </c>
      <c r="I109" s="19">
        <v>0.0</v>
      </c>
      <c r="J109" s="19">
        <v>0.0</v>
      </c>
      <c r="K109" s="19">
        <v>0.0</v>
      </c>
      <c r="L109" s="19">
        <v>0.0</v>
      </c>
      <c r="M109" s="19">
        <v>0.0</v>
      </c>
      <c r="N109" s="19">
        <v>0.0</v>
      </c>
      <c r="O109" s="19">
        <v>0.0</v>
      </c>
      <c r="P109" s="19">
        <v>0.0</v>
      </c>
      <c r="Q109" s="19">
        <v>0.0</v>
      </c>
      <c r="R109" s="19">
        <v>0.0</v>
      </c>
      <c r="S109" s="19">
        <v>0.0</v>
      </c>
      <c r="T109" s="19">
        <v>0.0</v>
      </c>
      <c r="U109" s="19">
        <v>0.0</v>
      </c>
      <c r="V109" s="19">
        <v>0.0</v>
      </c>
      <c r="W109" s="19">
        <v>0.0</v>
      </c>
      <c r="X109" s="19">
        <v>0.0</v>
      </c>
      <c r="Y109" s="19">
        <v>0.0</v>
      </c>
      <c r="Z109" s="19">
        <v>0.0</v>
      </c>
      <c r="AA109" s="19">
        <v>0.0</v>
      </c>
      <c r="AB109" s="19">
        <v>0.0</v>
      </c>
      <c r="AC109" s="19">
        <v>0.0</v>
      </c>
      <c r="AD109" s="19">
        <v>0.0</v>
      </c>
      <c r="AE109" s="19">
        <v>0.0</v>
      </c>
      <c r="AF109" s="19">
        <v>0.0</v>
      </c>
      <c r="AG109" s="13">
        <f t="shared" si="24"/>
        <v>1</v>
      </c>
    </row>
    <row r="110" ht="12.75" customHeight="1">
      <c r="A110" s="18"/>
      <c r="B110" s="55">
        <v>5.0</v>
      </c>
      <c r="C110" s="50" t="s">
        <v>87</v>
      </c>
      <c r="D110" s="60"/>
      <c r="E110" s="85">
        <v>0.0</v>
      </c>
      <c r="F110" s="19">
        <v>0.0</v>
      </c>
      <c r="G110" s="19">
        <v>0.0</v>
      </c>
      <c r="H110" s="19">
        <v>0.0</v>
      </c>
      <c r="I110" s="19">
        <v>0.0</v>
      </c>
      <c r="J110" s="19">
        <v>0.0</v>
      </c>
      <c r="K110" s="19">
        <v>0.0</v>
      </c>
      <c r="L110" s="19">
        <v>0.0</v>
      </c>
      <c r="M110" s="19">
        <v>0.0</v>
      </c>
      <c r="N110" s="19">
        <v>0.0</v>
      </c>
      <c r="O110" s="19">
        <v>0.0</v>
      </c>
      <c r="P110" s="19">
        <v>0.0</v>
      </c>
      <c r="Q110" s="19">
        <v>0.0</v>
      </c>
      <c r="R110" s="19">
        <v>0.0</v>
      </c>
      <c r="S110" s="19">
        <v>0.0</v>
      </c>
      <c r="T110" s="19">
        <v>0.0</v>
      </c>
      <c r="U110" s="19">
        <v>0.0</v>
      </c>
      <c r="V110" s="19">
        <v>0.0</v>
      </c>
      <c r="W110" s="19">
        <v>0.0</v>
      </c>
      <c r="X110" s="19">
        <v>0.0</v>
      </c>
      <c r="Y110" s="19">
        <v>0.0</v>
      </c>
      <c r="Z110" s="19">
        <v>0.0</v>
      </c>
      <c r="AA110" s="19">
        <v>0.0</v>
      </c>
      <c r="AB110" s="19">
        <v>0.0</v>
      </c>
      <c r="AC110" s="19">
        <v>0.0</v>
      </c>
      <c r="AD110" s="19">
        <v>0.0</v>
      </c>
      <c r="AE110" s="19">
        <v>0.0</v>
      </c>
      <c r="AF110" s="19">
        <v>0.0</v>
      </c>
      <c r="AG110" s="13">
        <f t="shared" si="24"/>
        <v>0</v>
      </c>
    </row>
    <row r="111" ht="12.75" customHeight="1">
      <c r="A111" s="18"/>
      <c r="B111" s="55">
        <v>6.0</v>
      </c>
      <c r="C111" s="50" t="s">
        <v>88</v>
      </c>
      <c r="D111" s="60"/>
      <c r="E111" s="85">
        <v>0.0</v>
      </c>
      <c r="F111" s="19">
        <v>0.0</v>
      </c>
      <c r="G111" s="19">
        <v>0.0</v>
      </c>
      <c r="H111" s="19">
        <v>0.0</v>
      </c>
      <c r="I111" s="19">
        <v>0.0</v>
      </c>
      <c r="J111" s="19">
        <v>0.0</v>
      </c>
      <c r="K111" s="19">
        <v>0.0</v>
      </c>
      <c r="L111" s="19">
        <v>0.0</v>
      </c>
      <c r="M111" s="19">
        <v>0.0</v>
      </c>
      <c r="N111" s="19">
        <v>0.0</v>
      </c>
      <c r="O111" s="19">
        <v>0.0</v>
      </c>
      <c r="P111" s="19">
        <v>0.0</v>
      </c>
      <c r="Q111" s="19">
        <v>0.0</v>
      </c>
      <c r="R111" s="19">
        <v>0.0</v>
      </c>
      <c r="S111" s="19">
        <v>0.0</v>
      </c>
      <c r="T111" s="19">
        <v>0.0</v>
      </c>
      <c r="U111" s="19">
        <v>0.0</v>
      </c>
      <c r="V111" s="19">
        <v>0.0</v>
      </c>
      <c r="W111" s="19">
        <v>0.0</v>
      </c>
      <c r="X111" s="19">
        <v>0.0</v>
      </c>
      <c r="Y111" s="19">
        <v>0.0</v>
      </c>
      <c r="Z111" s="19">
        <v>0.0</v>
      </c>
      <c r="AA111" s="19">
        <v>1.0</v>
      </c>
      <c r="AB111" s="19">
        <v>0.0</v>
      </c>
      <c r="AC111" s="19">
        <v>1.0</v>
      </c>
      <c r="AD111" s="19">
        <v>0.0</v>
      </c>
      <c r="AE111" s="19">
        <v>0.0</v>
      </c>
      <c r="AF111" s="19">
        <v>0.0</v>
      </c>
      <c r="AG111" s="13">
        <f t="shared" si="24"/>
        <v>2</v>
      </c>
    </row>
    <row r="112" ht="12.75" customHeight="1">
      <c r="A112" s="18"/>
      <c r="B112" s="55">
        <v>7.0</v>
      </c>
      <c r="C112" s="50" t="s">
        <v>89</v>
      </c>
      <c r="D112" s="60"/>
      <c r="E112" s="85">
        <v>0.0</v>
      </c>
      <c r="F112" s="19">
        <v>0.0</v>
      </c>
      <c r="G112" s="19">
        <v>0.0</v>
      </c>
      <c r="H112" s="19">
        <v>0.0</v>
      </c>
      <c r="I112" s="19">
        <v>0.0</v>
      </c>
      <c r="J112" s="19">
        <v>0.0</v>
      </c>
      <c r="K112" s="19">
        <v>0.0</v>
      </c>
      <c r="L112" s="19">
        <v>0.0</v>
      </c>
      <c r="M112" s="19">
        <v>0.0</v>
      </c>
      <c r="N112" s="19">
        <v>0.0</v>
      </c>
      <c r="O112" s="19">
        <v>0.0</v>
      </c>
      <c r="P112" s="19">
        <v>0.0</v>
      </c>
      <c r="Q112" s="19">
        <v>0.0</v>
      </c>
      <c r="R112" s="19">
        <v>0.0</v>
      </c>
      <c r="S112" s="19">
        <v>0.0</v>
      </c>
      <c r="T112" s="19">
        <v>0.0</v>
      </c>
      <c r="U112" s="19">
        <v>0.0</v>
      </c>
      <c r="V112" s="19">
        <v>0.0</v>
      </c>
      <c r="W112" s="19">
        <v>0.0</v>
      </c>
      <c r="X112" s="19">
        <v>0.0</v>
      </c>
      <c r="Y112" s="19">
        <v>0.0</v>
      </c>
      <c r="Z112" s="19">
        <v>0.0</v>
      </c>
      <c r="AA112" s="19">
        <v>0.0</v>
      </c>
      <c r="AB112" s="19">
        <v>0.0</v>
      </c>
      <c r="AC112" s="19">
        <v>0.0</v>
      </c>
      <c r="AD112" s="19">
        <v>0.0</v>
      </c>
      <c r="AE112" s="19">
        <v>0.0</v>
      </c>
      <c r="AF112" s="19">
        <v>0.0</v>
      </c>
      <c r="AG112" s="13">
        <f t="shared" si="24"/>
        <v>0</v>
      </c>
    </row>
    <row r="113" ht="12.75" customHeight="1">
      <c r="A113" s="18"/>
      <c r="B113" s="56"/>
      <c r="C113" s="57"/>
      <c r="D113" s="62"/>
      <c r="E113" s="85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19"/>
      <c r="AC113" s="19"/>
      <c r="AD113" s="19"/>
      <c r="AE113" s="19"/>
      <c r="AF113" s="19"/>
      <c r="AG113" s="13">
        <f t="shared" si="24"/>
        <v>0</v>
      </c>
    </row>
    <row r="114" ht="12.75" customHeight="1">
      <c r="A114" s="18"/>
      <c r="B114" s="56"/>
      <c r="C114" s="57"/>
      <c r="D114" s="62"/>
      <c r="E114" s="85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  <c r="AB114" s="19"/>
      <c r="AC114" s="19"/>
      <c r="AD114" s="19"/>
      <c r="AE114" s="19"/>
      <c r="AF114" s="19"/>
      <c r="AG114" s="13">
        <f t="shared" si="24"/>
        <v>0</v>
      </c>
    </row>
    <row r="115" ht="12.75" customHeight="1">
      <c r="A115" s="19" t="s">
        <v>15</v>
      </c>
      <c r="B115" s="47" t="s">
        <v>47</v>
      </c>
      <c r="C115" s="15"/>
      <c r="D115" s="16"/>
      <c r="E115" s="13">
        <f t="shared" ref="E115:AG115" si="25">SUM(E105:E114)</f>
        <v>1</v>
      </c>
      <c r="F115" s="13">
        <f t="shared" si="25"/>
        <v>0</v>
      </c>
      <c r="G115" s="13">
        <f t="shared" si="25"/>
        <v>1</v>
      </c>
      <c r="H115" s="13">
        <f t="shared" si="25"/>
        <v>1</v>
      </c>
      <c r="I115" s="13">
        <f t="shared" si="25"/>
        <v>0</v>
      </c>
      <c r="J115" s="13">
        <f t="shared" si="25"/>
        <v>0</v>
      </c>
      <c r="K115" s="13">
        <f t="shared" si="25"/>
        <v>0</v>
      </c>
      <c r="L115" s="13">
        <f t="shared" si="25"/>
        <v>0</v>
      </c>
      <c r="M115" s="13">
        <f t="shared" si="25"/>
        <v>3</v>
      </c>
      <c r="N115" s="13">
        <f t="shared" si="25"/>
        <v>1</v>
      </c>
      <c r="O115" s="13">
        <f t="shared" si="25"/>
        <v>1</v>
      </c>
      <c r="P115" s="13">
        <f t="shared" si="25"/>
        <v>0</v>
      </c>
      <c r="Q115" s="13">
        <f t="shared" si="25"/>
        <v>0</v>
      </c>
      <c r="R115" s="13">
        <f t="shared" si="25"/>
        <v>0</v>
      </c>
      <c r="S115" s="13">
        <f t="shared" si="25"/>
        <v>0</v>
      </c>
      <c r="T115" s="13">
        <f t="shared" si="25"/>
        <v>1</v>
      </c>
      <c r="U115" s="13">
        <f t="shared" si="25"/>
        <v>3</v>
      </c>
      <c r="V115" s="13">
        <f t="shared" si="25"/>
        <v>2</v>
      </c>
      <c r="W115" s="13">
        <f t="shared" si="25"/>
        <v>0</v>
      </c>
      <c r="X115" s="13">
        <f t="shared" si="25"/>
        <v>0</v>
      </c>
      <c r="Y115" s="13">
        <f t="shared" si="25"/>
        <v>6</v>
      </c>
      <c r="Z115" s="13">
        <f t="shared" si="25"/>
        <v>2</v>
      </c>
      <c r="AA115" s="13">
        <f t="shared" si="25"/>
        <v>3</v>
      </c>
      <c r="AB115" s="13">
        <f t="shared" si="25"/>
        <v>1</v>
      </c>
      <c r="AC115" s="13">
        <f t="shared" si="25"/>
        <v>2</v>
      </c>
      <c r="AD115" s="13">
        <f t="shared" si="25"/>
        <v>1</v>
      </c>
      <c r="AE115" s="13">
        <f t="shared" si="25"/>
        <v>2</v>
      </c>
      <c r="AF115" s="13">
        <f t="shared" si="25"/>
        <v>1</v>
      </c>
      <c r="AG115" s="13">
        <f t="shared" si="25"/>
        <v>32</v>
      </c>
    </row>
    <row r="116" ht="12.75" customHeight="1">
      <c r="A116" s="24"/>
      <c r="B116" s="15"/>
      <c r="C116" s="15"/>
      <c r="D116" s="15"/>
      <c r="E116" s="16"/>
      <c r="F116" s="84"/>
      <c r="G116" s="84"/>
      <c r="H116" s="84"/>
      <c r="I116" s="84"/>
      <c r="J116" s="84"/>
      <c r="K116" s="84"/>
      <c r="L116" s="84"/>
      <c r="M116" s="84"/>
      <c r="N116" s="84"/>
      <c r="O116" s="84"/>
      <c r="P116" s="84"/>
      <c r="Q116" s="84"/>
      <c r="R116" s="84"/>
      <c r="S116" s="84"/>
      <c r="T116" s="84"/>
      <c r="U116" s="84"/>
      <c r="V116" s="84"/>
      <c r="W116" s="84"/>
      <c r="X116" s="84"/>
      <c r="Y116" s="84"/>
      <c r="Z116" s="84"/>
      <c r="AA116" s="84"/>
      <c r="AB116" s="84"/>
      <c r="AC116" s="84"/>
      <c r="AD116" s="84"/>
      <c r="AE116" s="84"/>
      <c r="AF116" s="84"/>
      <c r="AG116" s="13"/>
    </row>
    <row r="117" ht="12.75" customHeight="1">
      <c r="A117" s="30" t="s">
        <v>37</v>
      </c>
      <c r="B117" s="47" t="s">
        <v>90</v>
      </c>
      <c r="C117" s="48" t="s">
        <v>91</v>
      </c>
      <c r="D117" s="16"/>
      <c r="E117" s="19">
        <v>1.0</v>
      </c>
      <c r="F117" s="19">
        <v>1.0</v>
      </c>
      <c r="G117" s="19">
        <v>0.0</v>
      </c>
      <c r="H117" s="19">
        <v>1.0</v>
      </c>
      <c r="I117" s="19">
        <v>0.0</v>
      </c>
      <c r="J117" s="19">
        <v>0.0</v>
      </c>
      <c r="K117" s="19">
        <v>1.0</v>
      </c>
      <c r="L117" s="19">
        <v>1.0</v>
      </c>
      <c r="M117" s="19">
        <v>0.0</v>
      </c>
      <c r="N117" s="19">
        <v>0.0</v>
      </c>
      <c r="O117" s="19">
        <v>0.0</v>
      </c>
      <c r="P117" s="19">
        <v>0.0</v>
      </c>
      <c r="Q117" s="19">
        <v>0.0</v>
      </c>
      <c r="R117" s="19">
        <v>0.0</v>
      </c>
      <c r="S117" s="19">
        <v>0.0</v>
      </c>
      <c r="T117" s="19">
        <v>2.0</v>
      </c>
      <c r="U117" s="19">
        <v>0.0</v>
      </c>
      <c r="V117" s="19">
        <v>0.0</v>
      </c>
      <c r="W117" s="19">
        <v>0.0</v>
      </c>
      <c r="X117" s="19">
        <v>0.0</v>
      </c>
      <c r="Y117" s="19">
        <v>0.0</v>
      </c>
      <c r="Z117" s="19">
        <v>0.0</v>
      </c>
      <c r="AA117" s="19">
        <v>2.0</v>
      </c>
      <c r="AB117" s="19">
        <v>3.0</v>
      </c>
      <c r="AC117" s="19">
        <v>0.0</v>
      </c>
      <c r="AD117" s="19">
        <v>1.0</v>
      </c>
      <c r="AE117" s="19">
        <v>0.0</v>
      </c>
      <c r="AF117" s="19">
        <v>0.0</v>
      </c>
      <c r="AG117" s="13">
        <f t="shared" ref="AG117:AG126" si="26">SUM(E117:AF117)</f>
        <v>13</v>
      </c>
    </row>
    <row r="118" ht="12.75" customHeight="1">
      <c r="A118" s="30" t="s">
        <v>39</v>
      </c>
      <c r="B118" s="55">
        <v>1.0</v>
      </c>
      <c r="C118" s="50" t="s">
        <v>92</v>
      </c>
      <c r="D118" s="60"/>
      <c r="E118" s="19">
        <v>0.0</v>
      </c>
      <c r="F118" s="19">
        <v>0.0</v>
      </c>
      <c r="G118" s="19">
        <v>0.0</v>
      </c>
      <c r="H118" s="19">
        <v>0.0</v>
      </c>
      <c r="I118" s="19">
        <v>0.0</v>
      </c>
      <c r="J118" s="19">
        <v>0.0</v>
      </c>
      <c r="K118" s="19">
        <v>1.0</v>
      </c>
      <c r="L118" s="19">
        <v>0.0</v>
      </c>
      <c r="M118" s="19">
        <v>0.0</v>
      </c>
      <c r="N118" s="19">
        <v>0.0</v>
      </c>
      <c r="O118" s="19">
        <v>0.0</v>
      </c>
      <c r="P118" s="19">
        <v>0.0</v>
      </c>
      <c r="Q118" s="19">
        <v>0.0</v>
      </c>
      <c r="R118" s="19">
        <v>0.0</v>
      </c>
      <c r="S118" s="19">
        <v>0.0</v>
      </c>
      <c r="T118" s="19">
        <v>0.0</v>
      </c>
      <c r="U118" s="19">
        <v>0.0</v>
      </c>
      <c r="V118" s="19">
        <v>0.0</v>
      </c>
      <c r="W118" s="19">
        <v>0.0</v>
      </c>
      <c r="X118" s="19">
        <v>0.0</v>
      </c>
      <c r="Y118" s="19">
        <v>0.0</v>
      </c>
      <c r="Z118" s="19">
        <v>0.0</v>
      </c>
      <c r="AA118" s="19">
        <v>0.0</v>
      </c>
      <c r="AB118" s="19">
        <v>0.0</v>
      </c>
      <c r="AC118" s="19">
        <v>0.0</v>
      </c>
      <c r="AD118" s="19">
        <v>1.0</v>
      </c>
      <c r="AE118" s="19">
        <v>0.0</v>
      </c>
      <c r="AF118" s="19">
        <v>0.0</v>
      </c>
      <c r="AG118" s="13">
        <f t="shared" si="26"/>
        <v>2</v>
      </c>
    </row>
    <row r="119" ht="12.75" customHeight="1">
      <c r="A119" s="18"/>
      <c r="B119" s="55">
        <v>2.0</v>
      </c>
      <c r="C119" s="50" t="s">
        <v>93</v>
      </c>
      <c r="D119" s="60"/>
      <c r="E119" s="19">
        <v>0.0</v>
      </c>
      <c r="F119" s="19">
        <v>0.0</v>
      </c>
      <c r="G119" s="19">
        <v>0.0</v>
      </c>
      <c r="H119" s="19">
        <v>0.0</v>
      </c>
      <c r="I119" s="19">
        <v>0.0</v>
      </c>
      <c r="J119" s="19">
        <v>0.0</v>
      </c>
      <c r="K119" s="19">
        <v>0.0</v>
      </c>
      <c r="L119" s="19">
        <v>0.0</v>
      </c>
      <c r="M119" s="19">
        <v>0.0</v>
      </c>
      <c r="N119" s="19">
        <v>0.0</v>
      </c>
      <c r="O119" s="19">
        <v>0.0</v>
      </c>
      <c r="P119" s="19">
        <v>0.0</v>
      </c>
      <c r="Q119" s="19">
        <v>0.0</v>
      </c>
      <c r="R119" s="19">
        <v>0.0</v>
      </c>
      <c r="S119" s="19">
        <v>0.0</v>
      </c>
      <c r="T119" s="19">
        <v>0.0</v>
      </c>
      <c r="U119" s="19">
        <v>0.0</v>
      </c>
      <c r="V119" s="19">
        <v>0.0</v>
      </c>
      <c r="W119" s="19">
        <v>0.0</v>
      </c>
      <c r="X119" s="19">
        <v>0.0</v>
      </c>
      <c r="Y119" s="19">
        <v>0.0</v>
      </c>
      <c r="Z119" s="19">
        <v>0.0</v>
      </c>
      <c r="AA119" s="19">
        <v>0.0</v>
      </c>
      <c r="AB119" s="19">
        <v>0.0</v>
      </c>
      <c r="AC119" s="19">
        <v>0.0</v>
      </c>
      <c r="AD119" s="19">
        <v>0.0</v>
      </c>
      <c r="AE119" s="19">
        <v>0.0</v>
      </c>
      <c r="AF119" s="19">
        <v>0.0</v>
      </c>
      <c r="AG119" s="13">
        <f t="shared" si="26"/>
        <v>0</v>
      </c>
    </row>
    <row r="120" ht="12.75" customHeight="1">
      <c r="A120" s="18"/>
      <c r="B120" s="55">
        <v>3.0</v>
      </c>
      <c r="C120" s="50" t="s">
        <v>94</v>
      </c>
      <c r="D120" s="60"/>
      <c r="E120" s="19">
        <v>0.0</v>
      </c>
      <c r="F120" s="19">
        <v>0.0</v>
      </c>
      <c r="G120" s="19">
        <v>0.0</v>
      </c>
      <c r="H120" s="19">
        <v>0.0</v>
      </c>
      <c r="I120" s="19">
        <v>0.0</v>
      </c>
      <c r="J120" s="19">
        <v>0.0</v>
      </c>
      <c r="K120" s="19">
        <v>0.0</v>
      </c>
      <c r="L120" s="19">
        <v>0.0</v>
      </c>
      <c r="M120" s="19">
        <v>0.0</v>
      </c>
      <c r="N120" s="19">
        <v>0.0</v>
      </c>
      <c r="O120" s="19">
        <v>0.0</v>
      </c>
      <c r="P120" s="19">
        <v>0.0</v>
      </c>
      <c r="Q120" s="19">
        <v>0.0</v>
      </c>
      <c r="R120" s="19">
        <v>0.0</v>
      </c>
      <c r="S120" s="19">
        <v>0.0</v>
      </c>
      <c r="T120" s="19">
        <v>0.0</v>
      </c>
      <c r="U120" s="19">
        <v>0.0</v>
      </c>
      <c r="V120" s="19">
        <v>0.0</v>
      </c>
      <c r="W120" s="19">
        <v>0.0</v>
      </c>
      <c r="X120" s="19">
        <v>0.0</v>
      </c>
      <c r="Y120" s="19">
        <v>0.0</v>
      </c>
      <c r="Z120" s="19">
        <v>0.0</v>
      </c>
      <c r="AA120" s="19">
        <v>0.0</v>
      </c>
      <c r="AB120" s="19">
        <v>1.0</v>
      </c>
      <c r="AC120" s="19">
        <v>0.0</v>
      </c>
      <c r="AD120" s="19">
        <v>0.0</v>
      </c>
      <c r="AE120" s="19">
        <v>0.0</v>
      </c>
      <c r="AF120" s="19">
        <v>0.0</v>
      </c>
      <c r="AG120" s="13">
        <f t="shared" si="26"/>
        <v>1</v>
      </c>
    </row>
    <row r="121" ht="12.75" customHeight="1">
      <c r="A121" s="18"/>
      <c r="B121" s="56"/>
      <c r="C121" s="57"/>
      <c r="D121" s="62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  <c r="AA121" s="19"/>
      <c r="AB121" s="19"/>
      <c r="AC121" s="19"/>
      <c r="AD121" s="19"/>
      <c r="AE121" s="19"/>
      <c r="AF121" s="19"/>
      <c r="AG121" s="13">
        <f t="shared" si="26"/>
        <v>0</v>
      </c>
    </row>
    <row r="122" ht="12.75" customHeight="1">
      <c r="A122" s="18"/>
      <c r="B122" s="56"/>
      <c r="C122" s="57"/>
      <c r="D122" s="62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  <c r="AA122" s="19"/>
      <c r="AB122" s="19"/>
      <c r="AC122" s="19"/>
      <c r="AD122" s="19"/>
      <c r="AE122" s="19"/>
      <c r="AF122" s="19"/>
      <c r="AG122" s="13">
        <f t="shared" si="26"/>
        <v>0</v>
      </c>
    </row>
    <row r="123" ht="12.75" customHeight="1">
      <c r="A123" s="18"/>
      <c r="B123" s="56"/>
      <c r="C123" s="57"/>
      <c r="D123" s="62"/>
      <c r="E123" s="63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40"/>
      <c r="Y123" s="40"/>
      <c r="Z123" s="40"/>
      <c r="AA123" s="40"/>
      <c r="AB123" s="40"/>
      <c r="AC123" s="40"/>
      <c r="AD123" s="40"/>
      <c r="AE123" s="40"/>
      <c r="AF123" s="40"/>
      <c r="AG123" s="13">
        <f t="shared" si="26"/>
        <v>0</v>
      </c>
    </row>
    <row r="124" ht="12.75" customHeight="1">
      <c r="A124" s="18"/>
      <c r="B124" s="56"/>
      <c r="C124" s="57"/>
      <c r="D124" s="62"/>
      <c r="E124" s="63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40"/>
      <c r="Y124" s="40"/>
      <c r="Z124" s="40"/>
      <c r="AA124" s="40"/>
      <c r="AB124" s="40"/>
      <c r="AC124" s="40"/>
      <c r="AD124" s="40"/>
      <c r="AE124" s="40"/>
      <c r="AF124" s="40"/>
      <c r="AG124" s="13">
        <f t="shared" si="26"/>
        <v>0</v>
      </c>
    </row>
    <row r="125" ht="12.75" customHeight="1">
      <c r="A125" s="18"/>
      <c r="B125" s="56"/>
      <c r="C125" s="57"/>
      <c r="D125" s="62"/>
      <c r="E125" s="63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40"/>
      <c r="AA125" s="40"/>
      <c r="AB125" s="40"/>
      <c r="AC125" s="40"/>
      <c r="AD125" s="40"/>
      <c r="AE125" s="40"/>
      <c r="AF125" s="40"/>
      <c r="AG125" s="13">
        <f t="shared" si="26"/>
        <v>0</v>
      </c>
    </row>
    <row r="126" ht="12.75" customHeight="1">
      <c r="A126" s="18"/>
      <c r="B126" s="56"/>
      <c r="C126" s="57"/>
      <c r="D126" s="62"/>
      <c r="E126" s="63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40"/>
      <c r="Y126" s="40"/>
      <c r="Z126" s="40"/>
      <c r="AA126" s="40"/>
      <c r="AB126" s="40"/>
      <c r="AC126" s="40"/>
      <c r="AD126" s="40"/>
      <c r="AE126" s="40"/>
      <c r="AF126" s="40"/>
      <c r="AG126" s="13">
        <f t="shared" si="26"/>
        <v>0</v>
      </c>
    </row>
    <row r="127" ht="12.75" customHeight="1">
      <c r="A127" s="19" t="s">
        <v>15</v>
      </c>
      <c r="B127" s="47" t="s">
        <v>47</v>
      </c>
      <c r="C127" s="15"/>
      <c r="D127" s="16"/>
      <c r="E127" s="13">
        <f t="shared" ref="E127:AG127" si="27">SUM(E117:E126)</f>
        <v>1</v>
      </c>
      <c r="F127" s="13">
        <f t="shared" si="27"/>
        <v>1</v>
      </c>
      <c r="G127" s="13">
        <f t="shared" si="27"/>
        <v>0</v>
      </c>
      <c r="H127" s="13">
        <f t="shared" si="27"/>
        <v>1</v>
      </c>
      <c r="I127" s="13">
        <f t="shared" si="27"/>
        <v>0</v>
      </c>
      <c r="J127" s="13">
        <f t="shared" si="27"/>
        <v>0</v>
      </c>
      <c r="K127" s="13">
        <f t="shared" si="27"/>
        <v>2</v>
      </c>
      <c r="L127" s="13">
        <f t="shared" si="27"/>
        <v>1</v>
      </c>
      <c r="M127" s="13">
        <f t="shared" si="27"/>
        <v>0</v>
      </c>
      <c r="N127" s="13">
        <f t="shared" si="27"/>
        <v>0</v>
      </c>
      <c r="O127" s="13">
        <f t="shared" si="27"/>
        <v>0</v>
      </c>
      <c r="P127" s="13">
        <f t="shared" si="27"/>
        <v>0</v>
      </c>
      <c r="Q127" s="13">
        <f t="shared" si="27"/>
        <v>0</v>
      </c>
      <c r="R127" s="13">
        <f t="shared" si="27"/>
        <v>0</v>
      </c>
      <c r="S127" s="13">
        <f t="shared" si="27"/>
        <v>0</v>
      </c>
      <c r="T127" s="13">
        <f t="shared" si="27"/>
        <v>2</v>
      </c>
      <c r="U127" s="13">
        <f t="shared" si="27"/>
        <v>0</v>
      </c>
      <c r="V127" s="13">
        <f t="shared" si="27"/>
        <v>0</v>
      </c>
      <c r="W127" s="13">
        <f t="shared" si="27"/>
        <v>0</v>
      </c>
      <c r="X127" s="13">
        <f t="shared" si="27"/>
        <v>0</v>
      </c>
      <c r="Y127" s="13">
        <f t="shared" si="27"/>
        <v>0</v>
      </c>
      <c r="Z127" s="13">
        <f t="shared" si="27"/>
        <v>0</v>
      </c>
      <c r="AA127" s="13">
        <f t="shared" si="27"/>
        <v>2</v>
      </c>
      <c r="AB127" s="13">
        <f t="shared" si="27"/>
        <v>4</v>
      </c>
      <c r="AC127" s="13">
        <f t="shared" si="27"/>
        <v>0</v>
      </c>
      <c r="AD127" s="13">
        <f t="shared" si="27"/>
        <v>2</v>
      </c>
      <c r="AE127" s="13">
        <f t="shared" si="27"/>
        <v>0</v>
      </c>
      <c r="AF127" s="13">
        <f t="shared" si="27"/>
        <v>0</v>
      </c>
      <c r="AG127" s="13">
        <f t="shared" si="27"/>
        <v>16</v>
      </c>
    </row>
    <row r="128" ht="12.75" customHeight="1">
      <c r="A128" s="24"/>
      <c r="B128" s="15"/>
      <c r="C128" s="15"/>
      <c r="D128" s="15"/>
      <c r="E128" s="16"/>
      <c r="F128" s="84"/>
      <c r="G128" s="84"/>
      <c r="H128" s="84"/>
      <c r="I128" s="84"/>
      <c r="J128" s="84"/>
      <c r="K128" s="84"/>
      <c r="L128" s="84"/>
      <c r="M128" s="84"/>
      <c r="N128" s="84"/>
      <c r="O128" s="84"/>
      <c r="P128" s="84"/>
      <c r="Q128" s="84"/>
      <c r="R128" s="84"/>
      <c r="S128" s="84"/>
      <c r="T128" s="84"/>
      <c r="U128" s="84"/>
      <c r="V128" s="84"/>
      <c r="W128" s="84"/>
      <c r="X128" s="84"/>
      <c r="Y128" s="84"/>
      <c r="Z128" s="84"/>
      <c r="AA128" s="84"/>
      <c r="AB128" s="84"/>
      <c r="AC128" s="84"/>
      <c r="AD128" s="84"/>
      <c r="AE128" s="84"/>
      <c r="AF128" s="84"/>
      <c r="AG128" s="84"/>
    </row>
    <row r="129" ht="12.75" customHeight="1">
      <c r="A129" s="30" t="s">
        <v>37</v>
      </c>
      <c r="B129" s="47" t="s">
        <v>95</v>
      </c>
      <c r="C129" s="48" t="s">
        <v>96</v>
      </c>
      <c r="D129" s="16"/>
      <c r="E129" s="19">
        <v>2.0</v>
      </c>
      <c r="F129" s="19">
        <v>0.0</v>
      </c>
      <c r="G129" s="19">
        <v>0.0</v>
      </c>
      <c r="H129" s="19">
        <v>0.0</v>
      </c>
      <c r="I129" s="19">
        <v>0.0</v>
      </c>
      <c r="J129" s="19">
        <v>0.0</v>
      </c>
      <c r="K129" s="19">
        <v>1.0</v>
      </c>
      <c r="L129" s="19">
        <v>3.0</v>
      </c>
      <c r="M129" s="19">
        <v>0.0</v>
      </c>
      <c r="N129" s="19">
        <v>0.0</v>
      </c>
      <c r="O129" s="19">
        <v>0.0</v>
      </c>
      <c r="P129" s="19">
        <v>0.0</v>
      </c>
      <c r="Q129" s="19">
        <v>5.0</v>
      </c>
      <c r="R129" s="19">
        <v>1.0</v>
      </c>
      <c r="S129" s="19">
        <v>1.0</v>
      </c>
      <c r="T129" s="19">
        <v>0.0</v>
      </c>
      <c r="U129" s="19">
        <v>0.0</v>
      </c>
      <c r="V129" s="19">
        <v>1.0</v>
      </c>
      <c r="W129" s="19">
        <v>0.0</v>
      </c>
      <c r="X129" s="19">
        <v>0.0</v>
      </c>
      <c r="Y129" s="19">
        <v>1.0</v>
      </c>
      <c r="Z129" s="19">
        <v>1.0</v>
      </c>
      <c r="AA129" s="19">
        <v>2.0</v>
      </c>
      <c r="AB129" s="19">
        <v>0.0</v>
      </c>
      <c r="AC129" s="19">
        <v>1.0</v>
      </c>
      <c r="AD129" s="19">
        <v>0.0</v>
      </c>
      <c r="AE129" s="19">
        <v>0.0</v>
      </c>
      <c r="AF129" s="19">
        <v>1.0</v>
      </c>
      <c r="AG129" s="13">
        <f t="shared" ref="AG129:AG138" si="28">SUM(E129:AF129)</f>
        <v>20</v>
      </c>
    </row>
    <row r="130" ht="12.75" customHeight="1">
      <c r="A130" s="30" t="s">
        <v>39</v>
      </c>
      <c r="B130" s="55">
        <v>1.0</v>
      </c>
      <c r="C130" s="50" t="s">
        <v>97</v>
      </c>
      <c r="D130" s="59"/>
      <c r="E130" s="19">
        <v>3.0</v>
      </c>
      <c r="F130" s="19">
        <v>0.0</v>
      </c>
      <c r="G130" s="19">
        <v>1.0</v>
      </c>
      <c r="H130" s="19">
        <v>3.0</v>
      </c>
      <c r="I130" s="19">
        <v>0.0</v>
      </c>
      <c r="J130" s="19">
        <v>0.0</v>
      </c>
      <c r="K130" s="19">
        <v>1.0</v>
      </c>
      <c r="L130" s="19">
        <v>0.0</v>
      </c>
      <c r="M130" s="19">
        <v>2.0</v>
      </c>
      <c r="N130" s="19">
        <v>0.0</v>
      </c>
      <c r="O130" s="19">
        <v>2.0</v>
      </c>
      <c r="P130" s="19">
        <v>0.0</v>
      </c>
      <c r="Q130" s="19">
        <v>12.0</v>
      </c>
      <c r="R130" s="19">
        <v>5.0</v>
      </c>
      <c r="S130" s="19">
        <v>2.0</v>
      </c>
      <c r="T130" s="19">
        <v>0.0</v>
      </c>
      <c r="U130" s="19">
        <v>0.0</v>
      </c>
      <c r="V130" s="19">
        <v>0.0</v>
      </c>
      <c r="W130" s="19">
        <v>0.0</v>
      </c>
      <c r="X130" s="19">
        <v>4.0</v>
      </c>
      <c r="Y130" s="19">
        <v>3.0</v>
      </c>
      <c r="Z130" s="19">
        <v>0.0</v>
      </c>
      <c r="AA130" s="19">
        <v>2.0</v>
      </c>
      <c r="AB130" s="19">
        <v>1.0</v>
      </c>
      <c r="AC130" s="19">
        <v>3.0</v>
      </c>
      <c r="AD130" s="19">
        <v>0.0</v>
      </c>
      <c r="AE130" s="19">
        <v>0.0</v>
      </c>
      <c r="AF130" s="19">
        <v>2.0</v>
      </c>
      <c r="AG130" s="13">
        <f t="shared" si="28"/>
        <v>46</v>
      </c>
    </row>
    <row r="131" ht="12.75" customHeight="1">
      <c r="A131" s="18"/>
      <c r="B131" s="55">
        <v>2.0</v>
      </c>
      <c r="C131" s="50" t="s">
        <v>98</v>
      </c>
      <c r="D131" s="59"/>
      <c r="E131" s="19">
        <v>0.0</v>
      </c>
      <c r="F131" s="19">
        <v>0.0</v>
      </c>
      <c r="G131" s="19">
        <v>0.0</v>
      </c>
      <c r="H131" s="19">
        <v>0.0</v>
      </c>
      <c r="I131" s="19">
        <v>2.0</v>
      </c>
      <c r="J131" s="19">
        <v>0.0</v>
      </c>
      <c r="K131" s="19">
        <v>1.0</v>
      </c>
      <c r="L131" s="19">
        <v>2.0</v>
      </c>
      <c r="M131" s="19">
        <v>0.0</v>
      </c>
      <c r="N131" s="19">
        <v>0.0</v>
      </c>
      <c r="O131" s="19">
        <v>0.0</v>
      </c>
      <c r="P131" s="19">
        <v>0.0</v>
      </c>
      <c r="Q131" s="19">
        <v>1.0</v>
      </c>
      <c r="R131" s="19">
        <v>0.0</v>
      </c>
      <c r="S131" s="19">
        <v>0.0</v>
      </c>
      <c r="T131" s="19">
        <v>0.0</v>
      </c>
      <c r="U131" s="19">
        <v>0.0</v>
      </c>
      <c r="V131" s="19">
        <v>0.0</v>
      </c>
      <c r="W131" s="19">
        <v>0.0</v>
      </c>
      <c r="X131" s="19">
        <v>0.0</v>
      </c>
      <c r="Y131" s="19">
        <v>0.0</v>
      </c>
      <c r="Z131" s="19">
        <v>0.0</v>
      </c>
      <c r="AA131" s="19">
        <v>2.0</v>
      </c>
      <c r="AB131" s="19">
        <v>0.0</v>
      </c>
      <c r="AC131" s="19">
        <v>2.0</v>
      </c>
      <c r="AD131" s="19">
        <v>1.0</v>
      </c>
      <c r="AE131" s="19">
        <v>0.0</v>
      </c>
      <c r="AF131" s="19">
        <v>4.0</v>
      </c>
      <c r="AG131" s="13">
        <f t="shared" si="28"/>
        <v>15</v>
      </c>
    </row>
    <row r="132" ht="12.75" customHeight="1">
      <c r="A132" s="18"/>
      <c r="B132" s="55">
        <v>3.0</v>
      </c>
      <c r="C132" s="50" t="s">
        <v>99</v>
      </c>
      <c r="D132" s="59"/>
      <c r="E132" s="19">
        <v>0.0</v>
      </c>
      <c r="F132" s="19">
        <v>0.0</v>
      </c>
      <c r="G132" s="19">
        <v>0.0</v>
      </c>
      <c r="H132" s="19">
        <v>0.0</v>
      </c>
      <c r="I132" s="19">
        <v>1.0</v>
      </c>
      <c r="J132" s="19">
        <v>0.0</v>
      </c>
      <c r="K132" s="19">
        <v>1.0</v>
      </c>
      <c r="L132" s="19">
        <v>0.0</v>
      </c>
      <c r="M132" s="19">
        <v>0.0</v>
      </c>
      <c r="N132" s="19">
        <v>0.0</v>
      </c>
      <c r="O132" s="19">
        <v>0.0</v>
      </c>
      <c r="P132" s="19">
        <v>0.0</v>
      </c>
      <c r="Q132" s="19">
        <v>0.0</v>
      </c>
      <c r="R132" s="19">
        <v>0.0</v>
      </c>
      <c r="S132" s="19">
        <v>0.0</v>
      </c>
      <c r="T132" s="19">
        <v>0.0</v>
      </c>
      <c r="U132" s="19">
        <v>0.0</v>
      </c>
      <c r="V132" s="19">
        <v>0.0</v>
      </c>
      <c r="W132" s="19">
        <v>0.0</v>
      </c>
      <c r="X132" s="19">
        <v>0.0</v>
      </c>
      <c r="Y132" s="19">
        <v>0.0</v>
      </c>
      <c r="Z132" s="19">
        <v>0.0</v>
      </c>
      <c r="AA132" s="19">
        <v>0.0</v>
      </c>
      <c r="AB132" s="19">
        <v>0.0</v>
      </c>
      <c r="AC132" s="19">
        <v>0.0</v>
      </c>
      <c r="AD132" s="19">
        <v>0.0</v>
      </c>
      <c r="AE132" s="19">
        <v>0.0</v>
      </c>
      <c r="AF132" s="19">
        <v>0.0</v>
      </c>
      <c r="AG132" s="13">
        <f t="shared" si="28"/>
        <v>2</v>
      </c>
    </row>
    <row r="133" ht="12.75" customHeight="1">
      <c r="A133" s="18"/>
      <c r="B133" s="55">
        <v>4.0</v>
      </c>
      <c r="C133" s="50" t="s">
        <v>100</v>
      </c>
      <c r="D133" s="59"/>
      <c r="E133" s="19">
        <v>0.0</v>
      </c>
      <c r="F133" s="19">
        <v>0.0</v>
      </c>
      <c r="G133" s="19">
        <v>0.0</v>
      </c>
      <c r="H133" s="19">
        <v>0.0</v>
      </c>
      <c r="I133" s="19">
        <v>1.0</v>
      </c>
      <c r="J133" s="19">
        <v>0.0</v>
      </c>
      <c r="K133" s="19">
        <v>0.0</v>
      </c>
      <c r="L133" s="19">
        <v>0.0</v>
      </c>
      <c r="M133" s="19">
        <v>0.0</v>
      </c>
      <c r="N133" s="19">
        <v>0.0</v>
      </c>
      <c r="O133" s="19">
        <v>0.0</v>
      </c>
      <c r="P133" s="19">
        <v>0.0</v>
      </c>
      <c r="Q133" s="19">
        <v>2.0</v>
      </c>
      <c r="R133" s="19">
        <v>0.0</v>
      </c>
      <c r="S133" s="19">
        <v>0.0</v>
      </c>
      <c r="T133" s="19">
        <v>0.0</v>
      </c>
      <c r="U133" s="19">
        <v>0.0</v>
      </c>
      <c r="V133" s="19">
        <v>0.0</v>
      </c>
      <c r="W133" s="19">
        <v>0.0</v>
      </c>
      <c r="X133" s="19">
        <v>0.0</v>
      </c>
      <c r="Y133" s="19">
        <v>0.0</v>
      </c>
      <c r="Z133" s="19">
        <v>0.0</v>
      </c>
      <c r="AA133" s="19">
        <v>0.0</v>
      </c>
      <c r="AB133" s="19">
        <v>0.0</v>
      </c>
      <c r="AC133" s="19">
        <v>0.0</v>
      </c>
      <c r="AD133" s="19">
        <v>0.0</v>
      </c>
      <c r="AE133" s="19">
        <v>0.0</v>
      </c>
      <c r="AF133" s="19">
        <v>0.0</v>
      </c>
      <c r="AG133" s="13">
        <f t="shared" si="28"/>
        <v>3</v>
      </c>
    </row>
    <row r="134" ht="12.75" customHeight="1">
      <c r="A134" s="18"/>
      <c r="B134" s="55">
        <v>5.0</v>
      </c>
      <c r="C134" s="50" t="s">
        <v>101</v>
      </c>
      <c r="D134" s="59"/>
      <c r="E134" s="19">
        <v>0.0</v>
      </c>
      <c r="F134" s="19">
        <v>0.0</v>
      </c>
      <c r="G134" s="19">
        <v>0.0</v>
      </c>
      <c r="H134" s="19">
        <v>0.0</v>
      </c>
      <c r="I134" s="19">
        <v>0.0</v>
      </c>
      <c r="J134" s="19">
        <v>0.0</v>
      </c>
      <c r="K134" s="19">
        <v>0.0</v>
      </c>
      <c r="L134" s="19">
        <v>0.0</v>
      </c>
      <c r="M134" s="19">
        <v>0.0</v>
      </c>
      <c r="N134" s="19">
        <v>0.0</v>
      </c>
      <c r="O134" s="19">
        <v>0.0</v>
      </c>
      <c r="P134" s="19">
        <v>0.0</v>
      </c>
      <c r="Q134" s="19">
        <v>0.0</v>
      </c>
      <c r="R134" s="19">
        <v>0.0</v>
      </c>
      <c r="S134" s="19">
        <v>0.0</v>
      </c>
      <c r="T134" s="19">
        <v>0.0</v>
      </c>
      <c r="U134" s="19">
        <v>0.0</v>
      </c>
      <c r="V134" s="19">
        <v>0.0</v>
      </c>
      <c r="W134" s="19">
        <v>0.0</v>
      </c>
      <c r="X134" s="19">
        <v>0.0</v>
      </c>
      <c r="Y134" s="19">
        <v>0.0</v>
      </c>
      <c r="Z134" s="19">
        <v>0.0</v>
      </c>
      <c r="AA134" s="19">
        <v>0.0</v>
      </c>
      <c r="AB134" s="19">
        <v>0.0</v>
      </c>
      <c r="AC134" s="19">
        <v>0.0</v>
      </c>
      <c r="AD134" s="19">
        <v>0.0</v>
      </c>
      <c r="AE134" s="19">
        <v>0.0</v>
      </c>
      <c r="AF134" s="19">
        <v>0.0</v>
      </c>
      <c r="AG134" s="13">
        <f t="shared" si="28"/>
        <v>0</v>
      </c>
    </row>
    <row r="135" ht="12.75" customHeight="1">
      <c r="A135" s="18"/>
      <c r="B135" s="55">
        <v>6.0</v>
      </c>
      <c r="C135" s="50" t="s">
        <v>102</v>
      </c>
      <c r="D135" s="60"/>
      <c r="E135" s="19">
        <v>0.0</v>
      </c>
      <c r="F135" s="19">
        <v>0.0</v>
      </c>
      <c r="G135" s="19">
        <v>0.0</v>
      </c>
      <c r="H135" s="19">
        <v>0.0</v>
      </c>
      <c r="I135" s="19">
        <v>0.0</v>
      </c>
      <c r="J135" s="19">
        <v>0.0</v>
      </c>
      <c r="K135" s="19">
        <v>0.0</v>
      </c>
      <c r="L135" s="19">
        <v>0.0</v>
      </c>
      <c r="M135" s="19">
        <v>0.0</v>
      </c>
      <c r="N135" s="19">
        <v>0.0</v>
      </c>
      <c r="O135" s="19">
        <v>0.0</v>
      </c>
      <c r="P135" s="19">
        <v>0.0</v>
      </c>
      <c r="Q135" s="19">
        <v>0.0</v>
      </c>
      <c r="R135" s="19">
        <v>1.0</v>
      </c>
      <c r="S135" s="19">
        <v>0.0</v>
      </c>
      <c r="T135" s="19">
        <v>0.0</v>
      </c>
      <c r="U135" s="19">
        <v>0.0</v>
      </c>
      <c r="V135" s="19">
        <v>0.0</v>
      </c>
      <c r="W135" s="19">
        <v>0.0</v>
      </c>
      <c r="X135" s="19">
        <v>0.0</v>
      </c>
      <c r="Y135" s="19">
        <v>0.0</v>
      </c>
      <c r="Z135" s="19">
        <v>0.0</v>
      </c>
      <c r="AA135" s="19">
        <v>0.0</v>
      </c>
      <c r="AB135" s="19">
        <v>0.0</v>
      </c>
      <c r="AC135" s="19">
        <v>0.0</v>
      </c>
      <c r="AD135" s="19">
        <v>0.0</v>
      </c>
      <c r="AE135" s="19">
        <v>0.0</v>
      </c>
      <c r="AF135" s="19">
        <v>0.0</v>
      </c>
      <c r="AG135" s="13">
        <f t="shared" si="28"/>
        <v>1</v>
      </c>
    </row>
    <row r="136" ht="12.75" customHeight="1">
      <c r="A136" s="18"/>
      <c r="B136" s="55">
        <v>7.0</v>
      </c>
      <c r="C136" s="50" t="s">
        <v>103</v>
      </c>
      <c r="D136" s="59"/>
      <c r="E136" s="19">
        <v>0.0</v>
      </c>
      <c r="F136" s="19">
        <v>0.0</v>
      </c>
      <c r="G136" s="19">
        <v>0.0</v>
      </c>
      <c r="H136" s="19">
        <v>0.0</v>
      </c>
      <c r="I136" s="19">
        <v>0.0</v>
      </c>
      <c r="J136" s="19">
        <v>0.0</v>
      </c>
      <c r="K136" s="19">
        <v>0.0</v>
      </c>
      <c r="L136" s="19">
        <v>0.0</v>
      </c>
      <c r="M136" s="19">
        <v>0.0</v>
      </c>
      <c r="N136" s="19">
        <v>0.0</v>
      </c>
      <c r="O136" s="19">
        <v>0.0</v>
      </c>
      <c r="P136" s="19">
        <v>0.0</v>
      </c>
      <c r="Q136" s="19">
        <v>0.0</v>
      </c>
      <c r="R136" s="19">
        <v>0.0</v>
      </c>
      <c r="S136" s="19">
        <v>0.0</v>
      </c>
      <c r="T136" s="19">
        <v>0.0</v>
      </c>
      <c r="U136" s="19">
        <v>0.0</v>
      </c>
      <c r="V136" s="19">
        <v>0.0</v>
      </c>
      <c r="W136" s="19">
        <v>0.0</v>
      </c>
      <c r="X136" s="19">
        <v>0.0</v>
      </c>
      <c r="Y136" s="19">
        <v>0.0</v>
      </c>
      <c r="Z136" s="19">
        <v>0.0</v>
      </c>
      <c r="AA136" s="19">
        <v>0.0</v>
      </c>
      <c r="AB136" s="19">
        <v>0.0</v>
      </c>
      <c r="AC136" s="19">
        <v>1.0</v>
      </c>
      <c r="AD136" s="19">
        <v>0.0</v>
      </c>
      <c r="AE136" s="19">
        <v>0.0</v>
      </c>
      <c r="AF136" s="19">
        <v>0.0</v>
      </c>
      <c r="AG136" s="13">
        <f t="shared" si="28"/>
        <v>1</v>
      </c>
    </row>
    <row r="137" ht="12.75" customHeight="1">
      <c r="A137" s="18"/>
      <c r="B137" s="56"/>
      <c r="C137" s="57"/>
      <c r="D137" s="61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  <c r="AA137" s="19"/>
      <c r="AB137" s="19"/>
      <c r="AC137" s="19"/>
      <c r="AD137" s="19"/>
      <c r="AE137" s="19"/>
      <c r="AF137" s="19"/>
      <c r="AG137" s="13">
        <f t="shared" si="28"/>
        <v>0</v>
      </c>
    </row>
    <row r="138" ht="12.75" customHeight="1">
      <c r="A138" s="18"/>
      <c r="B138" s="56"/>
      <c r="C138" s="57"/>
      <c r="D138" s="61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  <c r="AA138" s="19"/>
      <c r="AB138" s="19"/>
      <c r="AC138" s="19"/>
      <c r="AD138" s="19"/>
      <c r="AE138" s="19"/>
      <c r="AF138" s="19"/>
      <c r="AG138" s="13">
        <f t="shared" si="28"/>
        <v>0</v>
      </c>
    </row>
    <row r="139" ht="12.75" customHeight="1">
      <c r="A139" s="19" t="s">
        <v>15</v>
      </c>
      <c r="B139" s="47" t="s">
        <v>47</v>
      </c>
      <c r="C139" s="15"/>
      <c r="D139" s="16"/>
      <c r="E139" s="13">
        <f t="shared" ref="E139:AG139" si="29">SUM(E129:E138)</f>
        <v>5</v>
      </c>
      <c r="F139" s="13">
        <f t="shared" si="29"/>
        <v>0</v>
      </c>
      <c r="G139" s="13">
        <f t="shared" si="29"/>
        <v>1</v>
      </c>
      <c r="H139" s="13">
        <f t="shared" si="29"/>
        <v>3</v>
      </c>
      <c r="I139" s="13">
        <f t="shared" si="29"/>
        <v>4</v>
      </c>
      <c r="J139" s="13">
        <f t="shared" si="29"/>
        <v>0</v>
      </c>
      <c r="K139" s="13">
        <f t="shared" si="29"/>
        <v>4</v>
      </c>
      <c r="L139" s="13">
        <f t="shared" si="29"/>
        <v>5</v>
      </c>
      <c r="M139" s="13">
        <f t="shared" si="29"/>
        <v>2</v>
      </c>
      <c r="N139" s="13">
        <f t="shared" si="29"/>
        <v>0</v>
      </c>
      <c r="O139" s="13">
        <f t="shared" si="29"/>
        <v>2</v>
      </c>
      <c r="P139" s="13">
        <f t="shared" si="29"/>
        <v>0</v>
      </c>
      <c r="Q139" s="13">
        <f t="shared" si="29"/>
        <v>20</v>
      </c>
      <c r="R139" s="13">
        <f t="shared" si="29"/>
        <v>7</v>
      </c>
      <c r="S139" s="13">
        <f t="shared" si="29"/>
        <v>3</v>
      </c>
      <c r="T139" s="13">
        <f t="shared" si="29"/>
        <v>0</v>
      </c>
      <c r="U139" s="13">
        <f t="shared" si="29"/>
        <v>0</v>
      </c>
      <c r="V139" s="13">
        <f t="shared" si="29"/>
        <v>1</v>
      </c>
      <c r="W139" s="13">
        <f t="shared" si="29"/>
        <v>0</v>
      </c>
      <c r="X139" s="13">
        <f t="shared" si="29"/>
        <v>4</v>
      </c>
      <c r="Y139" s="13">
        <f t="shared" si="29"/>
        <v>4</v>
      </c>
      <c r="Z139" s="13">
        <f t="shared" si="29"/>
        <v>1</v>
      </c>
      <c r="AA139" s="13">
        <f t="shared" si="29"/>
        <v>6</v>
      </c>
      <c r="AB139" s="13">
        <f t="shared" si="29"/>
        <v>1</v>
      </c>
      <c r="AC139" s="13">
        <f t="shared" si="29"/>
        <v>7</v>
      </c>
      <c r="AD139" s="13">
        <f t="shared" si="29"/>
        <v>1</v>
      </c>
      <c r="AE139" s="13">
        <f t="shared" si="29"/>
        <v>0</v>
      </c>
      <c r="AF139" s="13">
        <f t="shared" si="29"/>
        <v>7</v>
      </c>
      <c r="AG139" s="13">
        <f t="shared" si="29"/>
        <v>88</v>
      </c>
    </row>
    <row r="140" ht="12.75" customHeight="1">
      <c r="A140" s="24"/>
      <c r="B140" s="15"/>
      <c r="C140" s="15"/>
      <c r="D140" s="15"/>
      <c r="E140" s="16"/>
      <c r="F140" s="84"/>
      <c r="G140" s="84"/>
      <c r="H140" s="84"/>
      <c r="I140" s="84"/>
      <c r="J140" s="84"/>
      <c r="K140" s="84"/>
      <c r="L140" s="84"/>
      <c r="M140" s="84"/>
      <c r="N140" s="84"/>
      <c r="O140" s="84"/>
      <c r="P140" s="84"/>
      <c r="Q140" s="84"/>
      <c r="R140" s="84"/>
      <c r="S140" s="84"/>
      <c r="T140" s="84"/>
      <c r="U140" s="84"/>
      <c r="V140" s="84"/>
      <c r="W140" s="84"/>
      <c r="X140" s="84"/>
      <c r="Y140" s="84"/>
      <c r="Z140" s="84"/>
      <c r="AA140" s="84"/>
      <c r="AB140" s="84"/>
      <c r="AC140" s="84"/>
      <c r="AD140" s="84"/>
      <c r="AE140" s="84"/>
      <c r="AF140" s="84"/>
      <c r="AG140" s="84"/>
    </row>
    <row r="141" ht="12.75" customHeight="1">
      <c r="A141" s="30" t="s">
        <v>37</v>
      </c>
      <c r="B141" s="47" t="s">
        <v>104</v>
      </c>
      <c r="C141" s="48" t="s">
        <v>105</v>
      </c>
      <c r="D141" s="16"/>
      <c r="E141" s="19">
        <v>0.0</v>
      </c>
      <c r="F141" s="19">
        <v>0.0</v>
      </c>
      <c r="G141" s="19">
        <v>0.0</v>
      </c>
      <c r="H141" s="19">
        <v>0.0</v>
      </c>
      <c r="I141" s="19">
        <v>0.0</v>
      </c>
      <c r="J141" s="19">
        <v>0.0</v>
      </c>
      <c r="K141" s="19">
        <v>0.0</v>
      </c>
      <c r="L141" s="19">
        <v>0.0</v>
      </c>
      <c r="M141" s="19">
        <v>0.0</v>
      </c>
      <c r="N141" s="19">
        <v>0.0</v>
      </c>
      <c r="O141" s="19">
        <v>0.0</v>
      </c>
      <c r="P141" s="19">
        <v>0.0</v>
      </c>
      <c r="Q141" s="19">
        <v>0.0</v>
      </c>
      <c r="R141" s="19">
        <v>0.0</v>
      </c>
      <c r="S141" s="19">
        <v>0.0</v>
      </c>
      <c r="T141" s="19">
        <v>0.0</v>
      </c>
      <c r="U141" s="19">
        <v>0.0</v>
      </c>
      <c r="V141" s="19">
        <v>1.0</v>
      </c>
      <c r="W141" s="19">
        <v>0.0</v>
      </c>
      <c r="X141" s="19">
        <v>0.0</v>
      </c>
      <c r="Y141" s="19">
        <v>1.0</v>
      </c>
      <c r="Z141" s="19">
        <v>0.0</v>
      </c>
      <c r="AA141" s="19">
        <v>1.0</v>
      </c>
      <c r="AB141" s="19">
        <v>0.0</v>
      </c>
      <c r="AC141" s="19">
        <v>1.0</v>
      </c>
      <c r="AD141" s="19">
        <v>0.0</v>
      </c>
      <c r="AE141" s="19">
        <v>0.0</v>
      </c>
      <c r="AF141" s="19">
        <v>0.0</v>
      </c>
      <c r="AG141" s="13">
        <f t="shared" ref="AG141:AG150" si="30">SUM(E141:AF141)</f>
        <v>4</v>
      </c>
    </row>
    <row r="142" ht="12.75" customHeight="1">
      <c r="A142" s="30" t="s">
        <v>39</v>
      </c>
      <c r="B142" s="55">
        <v>1.0</v>
      </c>
      <c r="C142" s="50" t="s">
        <v>106</v>
      </c>
      <c r="D142" s="60"/>
      <c r="E142" s="19">
        <v>0.0</v>
      </c>
      <c r="F142" s="19">
        <v>2.0</v>
      </c>
      <c r="G142" s="19">
        <v>1.0</v>
      </c>
      <c r="H142" s="19">
        <v>0.0</v>
      </c>
      <c r="I142" s="19">
        <v>0.0</v>
      </c>
      <c r="J142" s="19">
        <v>0.0</v>
      </c>
      <c r="K142" s="19">
        <v>0.0</v>
      </c>
      <c r="L142" s="19">
        <v>0.0</v>
      </c>
      <c r="M142" s="19">
        <v>0.0</v>
      </c>
      <c r="N142" s="19">
        <v>0.0</v>
      </c>
      <c r="O142" s="19">
        <v>0.0</v>
      </c>
      <c r="P142" s="19">
        <v>0.0</v>
      </c>
      <c r="Q142" s="19">
        <v>0.0</v>
      </c>
      <c r="R142" s="19">
        <v>0.0</v>
      </c>
      <c r="S142" s="19">
        <v>0.0</v>
      </c>
      <c r="T142" s="19">
        <v>0.0</v>
      </c>
      <c r="U142" s="19">
        <v>0.0</v>
      </c>
      <c r="V142" s="19">
        <v>0.0</v>
      </c>
      <c r="W142" s="19">
        <v>0.0</v>
      </c>
      <c r="X142" s="19">
        <v>0.0</v>
      </c>
      <c r="Y142" s="19">
        <v>0.0</v>
      </c>
      <c r="Z142" s="19">
        <v>0.0</v>
      </c>
      <c r="AA142" s="19">
        <v>0.0</v>
      </c>
      <c r="AB142" s="19">
        <v>0.0</v>
      </c>
      <c r="AC142" s="19">
        <v>0.0</v>
      </c>
      <c r="AD142" s="19">
        <v>0.0</v>
      </c>
      <c r="AE142" s="19">
        <v>0.0</v>
      </c>
      <c r="AF142" s="19">
        <v>0.0</v>
      </c>
      <c r="AG142" s="13">
        <f t="shared" si="30"/>
        <v>3</v>
      </c>
    </row>
    <row r="143" ht="12.75" customHeight="1">
      <c r="A143" s="18"/>
      <c r="B143" s="55">
        <v>2.0</v>
      </c>
      <c r="C143" s="50" t="s">
        <v>107</v>
      </c>
      <c r="D143" s="60"/>
      <c r="E143" s="19">
        <v>0.0</v>
      </c>
      <c r="F143" s="19">
        <v>0.0</v>
      </c>
      <c r="G143" s="19">
        <v>0.0</v>
      </c>
      <c r="H143" s="19">
        <v>0.0</v>
      </c>
      <c r="I143" s="19">
        <v>0.0</v>
      </c>
      <c r="J143" s="19">
        <v>0.0</v>
      </c>
      <c r="K143" s="19">
        <v>0.0</v>
      </c>
      <c r="L143" s="19">
        <v>0.0</v>
      </c>
      <c r="M143" s="19">
        <v>0.0</v>
      </c>
      <c r="N143" s="19">
        <v>0.0</v>
      </c>
      <c r="O143" s="19">
        <v>0.0</v>
      </c>
      <c r="P143" s="19">
        <v>0.0</v>
      </c>
      <c r="Q143" s="19">
        <v>0.0</v>
      </c>
      <c r="R143" s="19">
        <v>0.0</v>
      </c>
      <c r="S143" s="19">
        <v>0.0</v>
      </c>
      <c r="T143" s="19">
        <v>0.0</v>
      </c>
      <c r="U143" s="19">
        <v>0.0</v>
      </c>
      <c r="V143" s="19">
        <v>0.0</v>
      </c>
      <c r="W143" s="19">
        <v>0.0</v>
      </c>
      <c r="X143" s="19">
        <v>0.0</v>
      </c>
      <c r="Y143" s="19">
        <v>0.0</v>
      </c>
      <c r="Z143" s="19">
        <v>1.0</v>
      </c>
      <c r="AA143" s="19">
        <v>0.0</v>
      </c>
      <c r="AB143" s="19">
        <v>0.0</v>
      </c>
      <c r="AC143" s="19">
        <v>0.0</v>
      </c>
      <c r="AD143" s="19">
        <v>0.0</v>
      </c>
      <c r="AE143" s="19">
        <v>0.0</v>
      </c>
      <c r="AF143" s="19">
        <v>0.0</v>
      </c>
      <c r="AG143" s="13">
        <f t="shared" si="30"/>
        <v>1</v>
      </c>
    </row>
    <row r="144" ht="12.75" customHeight="1">
      <c r="A144" s="18"/>
      <c r="B144" s="55">
        <v>3.0</v>
      </c>
      <c r="C144" s="50" t="s">
        <v>108</v>
      </c>
      <c r="D144" s="60"/>
      <c r="E144" s="19">
        <v>0.0</v>
      </c>
      <c r="F144" s="19">
        <v>0.0</v>
      </c>
      <c r="G144" s="19">
        <v>0.0</v>
      </c>
      <c r="H144" s="19">
        <v>0.0</v>
      </c>
      <c r="I144" s="19">
        <v>0.0</v>
      </c>
      <c r="J144" s="19">
        <v>0.0</v>
      </c>
      <c r="K144" s="19">
        <v>0.0</v>
      </c>
      <c r="L144" s="19">
        <v>0.0</v>
      </c>
      <c r="M144" s="19">
        <v>0.0</v>
      </c>
      <c r="N144" s="19">
        <v>0.0</v>
      </c>
      <c r="O144" s="19">
        <v>0.0</v>
      </c>
      <c r="P144" s="19">
        <v>0.0</v>
      </c>
      <c r="Q144" s="19">
        <v>0.0</v>
      </c>
      <c r="R144" s="19">
        <v>0.0</v>
      </c>
      <c r="S144" s="19">
        <v>0.0</v>
      </c>
      <c r="T144" s="19">
        <v>0.0</v>
      </c>
      <c r="U144" s="19">
        <v>0.0</v>
      </c>
      <c r="V144" s="19">
        <v>0.0</v>
      </c>
      <c r="W144" s="19">
        <v>0.0</v>
      </c>
      <c r="X144" s="19">
        <v>0.0</v>
      </c>
      <c r="Y144" s="19">
        <v>0.0</v>
      </c>
      <c r="Z144" s="19">
        <v>0.0</v>
      </c>
      <c r="AA144" s="19">
        <v>0.0</v>
      </c>
      <c r="AB144" s="19">
        <v>0.0</v>
      </c>
      <c r="AC144" s="19">
        <v>0.0</v>
      </c>
      <c r="AD144" s="19">
        <v>0.0</v>
      </c>
      <c r="AE144" s="19">
        <v>0.0</v>
      </c>
      <c r="AF144" s="19">
        <v>0.0</v>
      </c>
      <c r="AG144" s="13">
        <f t="shared" si="30"/>
        <v>0</v>
      </c>
    </row>
    <row r="145" ht="12.75" customHeight="1">
      <c r="A145" s="18"/>
      <c r="B145" s="55">
        <v>4.0</v>
      </c>
      <c r="C145" s="50" t="s">
        <v>109</v>
      </c>
      <c r="D145" s="60"/>
      <c r="E145" s="19">
        <v>0.0</v>
      </c>
      <c r="F145" s="19">
        <v>0.0</v>
      </c>
      <c r="G145" s="19">
        <v>0.0</v>
      </c>
      <c r="H145" s="19">
        <v>0.0</v>
      </c>
      <c r="I145" s="19">
        <v>0.0</v>
      </c>
      <c r="J145" s="19">
        <v>0.0</v>
      </c>
      <c r="K145" s="19">
        <v>0.0</v>
      </c>
      <c r="L145" s="19">
        <v>0.0</v>
      </c>
      <c r="M145" s="19">
        <v>0.0</v>
      </c>
      <c r="N145" s="19">
        <v>0.0</v>
      </c>
      <c r="O145" s="19">
        <v>0.0</v>
      </c>
      <c r="P145" s="19">
        <v>0.0</v>
      </c>
      <c r="Q145" s="19">
        <v>0.0</v>
      </c>
      <c r="R145" s="19">
        <v>0.0</v>
      </c>
      <c r="S145" s="19">
        <v>0.0</v>
      </c>
      <c r="T145" s="19">
        <v>0.0</v>
      </c>
      <c r="U145" s="19">
        <v>0.0</v>
      </c>
      <c r="V145" s="19">
        <v>0.0</v>
      </c>
      <c r="W145" s="19">
        <v>0.0</v>
      </c>
      <c r="X145" s="19">
        <v>0.0</v>
      </c>
      <c r="Y145" s="19">
        <v>0.0</v>
      </c>
      <c r="Z145" s="19">
        <v>0.0</v>
      </c>
      <c r="AA145" s="19">
        <v>0.0</v>
      </c>
      <c r="AB145" s="19">
        <v>0.0</v>
      </c>
      <c r="AC145" s="19">
        <v>0.0</v>
      </c>
      <c r="AD145" s="19">
        <v>0.0</v>
      </c>
      <c r="AE145" s="19">
        <v>0.0</v>
      </c>
      <c r="AF145" s="19">
        <v>0.0</v>
      </c>
      <c r="AG145" s="13">
        <f t="shared" si="30"/>
        <v>0</v>
      </c>
    </row>
    <row r="146" ht="12.75" customHeight="1">
      <c r="A146" s="18"/>
      <c r="B146" s="55">
        <v>5.0</v>
      </c>
      <c r="C146" s="50" t="s">
        <v>110</v>
      </c>
      <c r="D146" s="60"/>
      <c r="E146" s="19">
        <v>0.0</v>
      </c>
      <c r="F146" s="19">
        <v>0.0</v>
      </c>
      <c r="G146" s="19">
        <v>0.0</v>
      </c>
      <c r="H146" s="19">
        <v>0.0</v>
      </c>
      <c r="I146" s="19">
        <v>0.0</v>
      </c>
      <c r="J146" s="19">
        <v>0.0</v>
      </c>
      <c r="K146" s="19">
        <v>0.0</v>
      </c>
      <c r="L146" s="19">
        <v>0.0</v>
      </c>
      <c r="M146" s="19">
        <v>0.0</v>
      </c>
      <c r="N146" s="19">
        <v>0.0</v>
      </c>
      <c r="O146" s="19">
        <v>0.0</v>
      </c>
      <c r="P146" s="19">
        <v>0.0</v>
      </c>
      <c r="Q146" s="19">
        <v>0.0</v>
      </c>
      <c r="R146" s="19">
        <v>0.0</v>
      </c>
      <c r="S146" s="19">
        <v>0.0</v>
      </c>
      <c r="T146" s="19">
        <v>0.0</v>
      </c>
      <c r="U146" s="19">
        <v>0.0</v>
      </c>
      <c r="V146" s="19">
        <v>0.0</v>
      </c>
      <c r="W146" s="19">
        <v>0.0</v>
      </c>
      <c r="X146" s="19">
        <v>0.0</v>
      </c>
      <c r="Y146" s="19">
        <v>0.0</v>
      </c>
      <c r="Z146" s="19">
        <v>0.0</v>
      </c>
      <c r="AA146" s="19">
        <v>0.0</v>
      </c>
      <c r="AB146" s="19">
        <v>0.0</v>
      </c>
      <c r="AC146" s="19">
        <v>0.0</v>
      </c>
      <c r="AD146" s="19">
        <v>0.0</v>
      </c>
      <c r="AE146" s="19">
        <v>0.0</v>
      </c>
      <c r="AF146" s="19">
        <v>0.0</v>
      </c>
      <c r="AG146" s="13">
        <f t="shared" si="30"/>
        <v>0</v>
      </c>
    </row>
    <row r="147" ht="12.75" customHeight="1">
      <c r="A147" s="18"/>
      <c r="B147" s="55">
        <v>6.0</v>
      </c>
      <c r="C147" s="50" t="s">
        <v>111</v>
      </c>
      <c r="D147" s="60"/>
      <c r="E147" s="19">
        <v>0.0</v>
      </c>
      <c r="F147" s="19">
        <v>0.0</v>
      </c>
      <c r="G147" s="19">
        <v>0.0</v>
      </c>
      <c r="H147" s="19">
        <v>0.0</v>
      </c>
      <c r="I147" s="19">
        <v>0.0</v>
      </c>
      <c r="J147" s="19">
        <v>0.0</v>
      </c>
      <c r="K147" s="19">
        <v>0.0</v>
      </c>
      <c r="L147" s="19">
        <v>0.0</v>
      </c>
      <c r="M147" s="19">
        <v>0.0</v>
      </c>
      <c r="N147" s="19">
        <v>0.0</v>
      </c>
      <c r="O147" s="19">
        <v>0.0</v>
      </c>
      <c r="P147" s="19">
        <v>0.0</v>
      </c>
      <c r="Q147" s="19">
        <v>0.0</v>
      </c>
      <c r="R147" s="19">
        <v>0.0</v>
      </c>
      <c r="S147" s="19">
        <v>0.0</v>
      </c>
      <c r="T147" s="19">
        <v>0.0</v>
      </c>
      <c r="U147" s="19">
        <v>0.0</v>
      </c>
      <c r="V147" s="19">
        <v>0.0</v>
      </c>
      <c r="W147" s="19">
        <v>0.0</v>
      </c>
      <c r="X147" s="19">
        <v>0.0</v>
      </c>
      <c r="Y147" s="19">
        <v>0.0</v>
      </c>
      <c r="Z147" s="19">
        <v>0.0</v>
      </c>
      <c r="AA147" s="19">
        <v>0.0</v>
      </c>
      <c r="AB147" s="19">
        <v>0.0</v>
      </c>
      <c r="AC147" s="19">
        <v>0.0</v>
      </c>
      <c r="AD147" s="19">
        <v>0.0</v>
      </c>
      <c r="AE147" s="19">
        <v>0.0</v>
      </c>
      <c r="AF147" s="19">
        <v>0.0</v>
      </c>
      <c r="AG147" s="13">
        <f t="shared" si="30"/>
        <v>0</v>
      </c>
    </row>
    <row r="148" ht="12.75" customHeight="1">
      <c r="A148" s="18"/>
      <c r="B148" s="55">
        <v>7.0</v>
      </c>
      <c r="C148" s="50" t="s">
        <v>112</v>
      </c>
      <c r="D148" s="60"/>
      <c r="E148" s="19">
        <v>0.0</v>
      </c>
      <c r="F148" s="19">
        <v>0.0</v>
      </c>
      <c r="G148" s="19">
        <v>0.0</v>
      </c>
      <c r="H148" s="19">
        <v>0.0</v>
      </c>
      <c r="I148" s="19">
        <v>0.0</v>
      </c>
      <c r="J148" s="19">
        <v>0.0</v>
      </c>
      <c r="K148" s="19">
        <v>0.0</v>
      </c>
      <c r="L148" s="19">
        <v>0.0</v>
      </c>
      <c r="M148" s="19">
        <v>0.0</v>
      </c>
      <c r="N148" s="19">
        <v>0.0</v>
      </c>
      <c r="O148" s="19">
        <v>0.0</v>
      </c>
      <c r="P148" s="19">
        <v>0.0</v>
      </c>
      <c r="Q148" s="19">
        <v>0.0</v>
      </c>
      <c r="R148" s="19">
        <v>0.0</v>
      </c>
      <c r="S148" s="19">
        <v>0.0</v>
      </c>
      <c r="T148" s="19">
        <v>0.0</v>
      </c>
      <c r="U148" s="19">
        <v>0.0</v>
      </c>
      <c r="V148" s="19">
        <v>0.0</v>
      </c>
      <c r="W148" s="19">
        <v>0.0</v>
      </c>
      <c r="X148" s="19">
        <v>0.0</v>
      </c>
      <c r="Y148" s="19">
        <v>0.0</v>
      </c>
      <c r="Z148" s="19">
        <v>0.0</v>
      </c>
      <c r="AA148" s="19">
        <v>0.0</v>
      </c>
      <c r="AB148" s="19">
        <v>0.0</v>
      </c>
      <c r="AC148" s="19">
        <v>0.0</v>
      </c>
      <c r="AD148" s="19">
        <v>0.0</v>
      </c>
      <c r="AE148" s="19">
        <v>0.0</v>
      </c>
      <c r="AF148" s="19">
        <v>0.0</v>
      </c>
      <c r="AG148" s="13">
        <f t="shared" si="30"/>
        <v>0</v>
      </c>
    </row>
    <row r="149" ht="12.75" customHeight="1">
      <c r="A149" s="18"/>
      <c r="B149" s="56"/>
      <c r="C149" s="57"/>
      <c r="D149" s="62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  <c r="AB149" s="19"/>
      <c r="AC149" s="19"/>
      <c r="AD149" s="19"/>
      <c r="AE149" s="19"/>
      <c r="AF149" s="19"/>
      <c r="AG149" s="13">
        <f t="shared" si="30"/>
        <v>0</v>
      </c>
    </row>
    <row r="150" ht="12.75" customHeight="1">
      <c r="A150" s="18"/>
      <c r="B150" s="56"/>
      <c r="C150" s="57"/>
      <c r="D150" s="62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  <c r="AB150" s="19"/>
      <c r="AC150" s="19"/>
      <c r="AD150" s="19"/>
      <c r="AE150" s="19"/>
      <c r="AF150" s="19"/>
      <c r="AG150" s="13">
        <f t="shared" si="30"/>
        <v>0</v>
      </c>
    </row>
    <row r="151" ht="12.75" customHeight="1">
      <c r="A151" s="19" t="s">
        <v>15</v>
      </c>
      <c r="B151" s="47" t="s">
        <v>47</v>
      </c>
      <c r="C151" s="15"/>
      <c r="D151" s="16"/>
      <c r="E151" s="13">
        <f t="shared" ref="E151:AG151" si="31">SUM(E141:E150)</f>
        <v>0</v>
      </c>
      <c r="F151" s="13">
        <f t="shared" si="31"/>
        <v>2</v>
      </c>
      <c r="G151" s="13">
        <f t="shared" si="31"/>
        <v>1</v>
      </c>
      <c r="H151" s="13">
        <f t="shared" si="31"/>
        <v>0</v>
      </c>
      <c r="I151" s="13">
        <f t="shared" si="31"/>
        <v>0</v>
      </c>
      <c r="J151" s="13">
        <f t="shared" si="31"/>
        <v>0</v>
      </c>
      <c r="K151" s="13">
        <f t="shared" si="31"/>
        <v>0</v>
      </c>
      <c r="L151" s="13">
        <f t="shared" si="31"/>
        <v>0</v>
      </c>
      <c r="M151" s="13">
        <f t="shared" si="31"/>
        <v>0</v>
      </c>
      <c r="N151" s="13">
        <f t="shared" si="31"/>
        <v>0</v>
      </c>
      <c r="O151" s="13">
        <f t="shared" si="31"/>
        <v>0</v>
      </c>
      <c r="P151" s="13">
        <f t="shared" si="31"/>
        <v>0</v>
      </c>
      <c r="Q151" s="13">
        <f t="shared" si="31"/>
        <v>0</v>
      </c>
      <c r="R151" s="13">
        <f t="shared" si="31"/>
        <v>0</v>
      </c>
      <c r="S151" s="13">
        <f t="shared" si="31"/>
        <v>0</v>
      </c>
      <c r="T151" s="13">
        <f t="shared" si="31"/>
        <v>0</v>
      </c>
      <c r="U151" s="13">
        <f t="shared" si="31"/>
        <v>0</v>
      </c>
      <c r="V151" s="13">
        <f t="shared" si="31"/>
        <v>1</v>
      </c>
      <c r="W151" s="13">
        <f t="shared" si="31"/>
        <v>0</v>
      </c>
      <c r="X151" s="13">
        <f t="shared" si="31"/>
        <v>0</v>
      </c>
      <c r="Y151" s="13">
        <f t="shared" si="31"/>
        <v>1</v>
      </c>
      <c r="Z151" s="13">
        <f t="shared" si="31"/>
        <v>1</v>
      </c>
      <c r="AA151" s="13">
        <f t="shared" si="31"/>
        <v>1</v>
      </c>
      <c r="AB151" s="13">
        <f t="shared" si="31"/>
        <v>0</v>
      </c>
      <c r="AC151" s="13">
        <f t="shared" si="31"/>
        <v>1</v>
      </c>
      <c r="AD151" s="13">
        <f t="shared" si="31"/>
        <v>0</v>
      </c>
      <c r="AE151" s="13">
        <f t="shared" si="31"/>
        <v>0</v>
      </c>
      <c r="AF151" s="13">
        <f t="shared" si="31"/>
        <v>0</v>
      </c>
      <c r="AG151" s="13">
        <f t="shared" si="31"/>
        <v>8</v>
      </c>
    </row>
    <row r="152" ht="12.75" customHeight="1">
      <c r="A152" s="24"/>
      <c r="B152" s="15"/>
      <c r="C152" s="15"/>
      <c r="D152" s="15"/>
      <c r="E152" s="16"/>
      <c r="F152" s="84"/>
      <c r="G152" s="84"/>
      <c r="H152" s="84"/>
      <c r="I152" s="84"/>
      <c r="J152" s="84"/>
      <c r="K152" s="84"/>
      <c r="L152" s="84"/>
      <c r="M152" s="84"/>
      <c r="N152" s="84"/>
      <c r="O152" s="84"/>
      <c r="P152" s="84"/>
      <c r="Q152" s="84"/>
      <c r="R152" s="84"/>
      <c r="S152" s="84"/>
      <c r="T152" s="84"/>
      <c r="U152" s="84"/>
      <c r="V152" s="84"/>
      <c r="W152" s="84"/>
      <c r="X152" s="84"/>
      <c r="Y152" s="84"/>
      <c r="Z152" s="84"/>
      <c r="AA152" s="84"/>
      <c r="AB152" s="84"/>
      <c r="AC152" s="84"/>
      <c r="AD152" s="84"/>
      <c r="AE152" s="84"/>
      <c r="AF152" s="84"/>
      <c r="AG152" s="13"/>
    </row>
    <row r="153" ht="12.75" customHeight="1">
      <c r="A153" s="30" t="s">
        <v>37</v>
      </c>
      <c r="B153" s="17" t="s">
        <v>113</v>
      </c>
      <c r="C153" s="65" t="s">
        <v>114</v>
      </c>
      <c r="D153" s="23"/>
      <c r="E153" s="19">
        <v>0.0</v>
      </c>
      <c r="F153" s="19">
        <v>1.0</v>
      </c>
      <c r="G153" s="19">
        <v>0.0</v>
      </c>
      <c r="H153" s="19">
        <v>0.0</v>
      </c>
      <c r="I153" s="19">
        <v>1.0</v>
      </c>
      <c r="J153" s="19">
        <v>0.0</v>
      </c>
      <c r="K153" s="19">
        <v>0.0</v>
      </c>
      <c r="L153" s="19">
        <v>0.0</v>
      </c>
      <c r="M153" s="19">
        <v>1.0</v>
      </c>
      <c r="N153" s="19">
        <v>0.0</v>
      </c>
      <c r="O153" s="19">
        <v>1.0</v>
      </c>
      <c r="P153" s="19">
        <v>0.0</v>
      </c>
      <c r="Q153" s="19">
        <v>0.0</v>
      </c>
      <c r="R153" s="19">
        <v>1.0</v>
      </c>
      <c r="S153" s="19">
        <v>0.0</v>
      </c>
      <c r="T153" s="19">
        <v>2.0</v>
      </c>
      <c r="U153" s="19">
        <v>0.0</v>
      </c>
      <c r="V153" s="19">
        <v>0.0</v>
      </c>
      <c r="W153" s="19">
        <v>0.0</v>
      </c>
      <c r="X153" s="19">
        <v>0.0</v>
      </c>
      <c r="Y153" s="19">
        <v>2.0</v>
      </c>
      <c r="Z153" s="19">
        <v>0.0</v>
      </c>
      <c r="AA153" s="19">
        <v>0.0</v>
      </c>
      <c r="AB153" s="19">
        <v>0.0</v>
      </c>
      <c r="AC153" s="19">
        <v>0.0</v>
      </c>
      <c r="AD153" s="19">
        <v>1.0</v>
      </c>
      <c r="AE153" s="19">
        <v>0.0</v>
      </c>
      <c r="AF153" s="19">
        <v>0.0</v>
      </c>
      <c r="AG153" s="13">
        <f t="shared" ref="AG153:AG163" si="32">SUM(E153:AF153)</f>
        <v>10</v>
      </c>
    </row>
    <row r="154" ht="12.75" customHeight="1">
      <c r="A154" s="66" t="s">
        <v>39</v>
      </c>
      <c r="B154" s="55">
        <v>1.0</v>
      </c>
      <c r="C154" s="67" t="s">
        <v>115</v>
      </c>
      <c r="D154" s="60"/>
      <c r="E154" s="86">
        <v>0.0</v>
      </c>
      <c r="F154" s="19">
        <v>0.0</v>
      </c>
      <c r="G154" s="19">
        <v>1.0</v>
      </c>
      <c r="H154" s="19">
        <v>1.0</v>
      </c>
      <c r="I154" s="19">
        <v>0.0</v>
      </c>
      <c r="J154" s="19">
        <v>0.0</v>
      </c>
      <c r="K154" s="19">
        <v>0.0</v>
      </c>
      <c r="L154" s="19">
        <v>0.0</v>
      </c>
      <c r="M154" s="19">
        <v>0.0</v>
      </c>
      <c r="N154" s="19">
        <v>0.0</v>
      </c>
      <c r="O154" s="19">
        <v>2.0</v>
      </c>
      <c r="P154" s="19">
        <v>0.0</v>
      </c>
      <c r="Q154" s="19">
        <v>1.0</v>
      </c>
      <c r="R154" s="19">
        <v>0.0</v>
      </c>
      <c r="S154" s="19">
        <v>0.0</v>
      </c>
      <c r="T154" s="19">
        <v>0.0</v>
      </c>
      <c r="U154" s="19">
        <v>0.0</v>
      </c>
      <c r="V154" s="19">
        <v>0.0</v>
      </c>
      <c r="W154" s="19">
        <v>1.0</v>
      </c>
      <c r="X154" s="19">
        <v>0.0</v>
      </c>
      <c r="Y154" s="19">
        <v>1.0</v>
      </c>
      <c r="Z154" s="19">
        <v>0.0</v>
      </c>
      <c r="AA154" s="19">
        <v>0.0</v>
      </c>
      <c r="AB154" s="19">
        <v>0.0</v>
      </c>
      <c r="AC154" s="19">
        <v>0.0</v>
      </c>
      <c r="AD154" s="19">
        <v>0.0</v>
      </c>
      <c r="AE154" s="19">
        <v>0.0</v>
      </c>
      <c r="AF154" s="19">
        <v>0.0</v>
      </c>
      <c r="AG154" s="13">
        <f t="shared" si="32"/>
        <v>7</v>
      </c>
    </row>
    <row r="155" ht="12.75" customHeight="1">
      <c r="A155" s="18"/>
      <c r="B155" s="55">
        <v>2.0</v>
      </c>
      <c r="C155" s="67" t="s">
        <v>116</v>
      </c>
      <c r="D155" s="60"/>
      <c r="E155" s="86">
        <v>0.0</v>
      </c>
      <c r="F155" s="19">
        <v>0.0</v>
      </c>
      <c r="G155" s="19">
        <v>0.0</v>
      </c>
      <c r="H155" s="19">
        <v>1.0</v>
      </c>
      <c r="I155" s="19">
        <v>0.0</v>
      </c>
      <c r="J155" s="19">
        <v>0.0</v>
      </c>
      <c r="K155" s="19">
        <v>0.0</v>
      </c>
      <c r="L155" s="19">
        <v>0.0</v>
      </c>
      <c r="M155" s="19">
        <v>0.0</v>
      </c>
      <c r="N155" s="19">
        <v>0.0</v>
      </c>
      <c r="O155" s="19">
        <v>2.0</v>
      </c>
      <c r="P155" s="19">
        <v>0.0</v>
      </c>
      <c r="Q155" s="19">
        <v>0.0</v>
      </c>
      <c r="R155" s="19">
        <v>1.0</v>
      </c>
      <c r="S155" s="19">
        <v>0.0</v>
      </c>
      <c r="T155" s="19">
        <v>0.0</v>
      </c>
      <c r="U155" s="19">
        <v>1.0</v>
      </c>
      <c r="V155" s="19">
        <v>0.0</v>
      </c>
      <c r="W155" s="19">
        <v>0.0</v>
      </c>
      <c r="X155" s="19">
        <v>0.0</v>
      </c>
      <c r="Y155" s="19">
        <v>0.0</v>
      </c>
      <c r="Z155" s="19">
        <v>0.0</v>
      </c>
      <c r="AA155" s="19">
        <v>1.0</v>
      </c>
      <c r="AB155" s="19">
        <v>0.0</v>
      </c>
      <c r="AC155" s="19">
        <v>0.0</v>
      </c>
      <c r="AD155" s="19">
        <v>0.0</v>
      </c>
      <c r="AE155" s="19">
        <v>2.0</v>
      </c>
      <c r="AF155" s="19">
        <v>0.0</v>
      </c>
      <c r="AG155" s="13">
        <f t="shared" si="32"/>
        <v>8</v>
      </c>
    </row>
    <row r="156" ht="12.75" customHeight="1">
      <c r="A156" s="18"/>
      <c r="B156" s="55">
        <v>3.0</v>
      </c>
      <c r="C156" s="67" t="s">
        <v>117</v>
      </c>
      <c r="D156" s="60"/>
      <c r="E156" s="86">
        <v>0.0</v>
      </c>
      <c r="F156" s="19">
        <v>0.0</v>
      </c>
      <c r="G156" s="19">
        <v>0.0</v>
      </c>
      <c r="H156" s="19">
        <v>0.0</v>
      </c>
      <c r="I156" s="19">
        <v>0.0</v>
      </c>
      <c r="J156" s="19">
        <v>0.0</v>
      </c>
      <c r="K156" s="19">
        <v>0.0</v>
      </c>
      <c r="L156" s="19">
        <v>1.0</v>
      </c>
      <c r="M156" s="19">
        <v>1.0</v>
      </c>
      <c r="N156" s="19">
        <v>0.0</v>
      </c>
      <c r="O156" s="19">
        <v>0.0</v>
      </c>
      <c r="P156" s="19">
        <v>0.0</v>
      </c>
      <c r="Q156" s="19">
        <v>0.0</v>
      </c>
      <c r="R156" s="19">
        <v>0.0</v>
      </c>
      <c r="S156" s="19">
        <v>0.0</v>
      </c>
      <c r="T156" s="19">
        <v>0.0</v>
      </c>
      <c r="U156" s="19">
        <v>0.0</v>
      </c>
      <c r="V156" s="19">
        <v>0.0</v>
      </c>
      <c r="W156" s="19">
        <v>0.0</v>
      </c>
      <c r="X156" s="19">
        <v>0.0</v>
      </c>
      <c r="Y156" s="19">
        <v>0.0</v>
      </c>
      <c r="Z156" s="19">
        <v>0.0</v>
      </c>
      <c r="AA156" s="19">
        <v>0.0</v>
      </c>
      <c r="AB156" s="19">
        <v>0.0</v>
      </c>
      <c r="AC156" s="19">
        <v>0.0</v>
      </c>
      <c r="AD156" s="19">
        <v>0.0</v>
      </c>
      <c r="AE156" s="19">
        <v>0.0</v>
      </c>
      <c r="AF156" s="19">
        <v>0.0</v>
      </c>
      <c r="AG156" s="13">
        <f t="shared" si="32"/>
        <v>2</v>
      </c>
    </row>
    <row r="157" ht="12.75" customHeight="1">
      <c r="A157" s="18"/>
      <c r="B157" s="55">
        <v>4.0</v>
      </c>
      <c r="C157" s="67" t="s">
        <v>118</v>
      </c>
      <c r="D157" s="60"/>
      <c r="E157" s="86">
        <v>2.0</v>
      </c>
      <c r="F157" s="19">
        <v>0.0</v>
      </c>
      <c r="G157" s="19">
        <v>0.0</v>
      </c>
      <c r="H157" s="19">
        <v>0.0</v>
      </c>
      <c r="I157" s="19">
        <v>0.0</v>
      </c>
      <c r="J157" s="19">
        <v>0.0</v>
      </c>
      <c r="K157" s="19">
        <v>0.0</v>
      </c>
      <c r="L157" s="19">
        <v>0.0</v>
      </c>
      <c r="M157" s="19">
        <v>0.0</v>
      </c>
      <c r="N157" s="19">
        <v>0.0</v>
      </c>
      <c r="O157" s="19">
        <v>0.0</v>
      </c>
      <c r="P157" s="19">
        <v>0.0</v>
      </c>
      <c r="Q157" s="19">
        <v>0.0</v>
      </c>
      <c r="R157" s="19">
        <v>0.0</v>
      </c>
      <c r="S157" s="19">
        <v>0.0</v>
      </c>
      <c r="T157" s="19">
        <v>0.0</v>
      </c>
      <c r="U157" s="19">
        <v>0.0</v>
      </c>
      <c r="V157" s="19">
        <v>0.0</v>
      </c>
      <c r="W157" s="19">
        <v>0.0</v>
      </c>
      <c r="X157" s="19">
        <v>0.0</v>
      </c>
      <c r="Y157" s="19">
        <v>1.0</v>
      </c>
      <c r="Z157" s="19">
        <v>1.0</v>
      </c>
      <c r="AA157" s="19">
        <v>0.0</v>
      </c>
      <c r="AB157" s="19">
        <v>0.0</v>
      </c>
      <c r="AC157" s="19">
        <v>1.0</v>
      </c>
      <c r="AD157" s="19">
        <v>0.0</v>
      </c>
      <c r="AE157" s="19">
        <v>0.0</v>
      </c>
      <c r="AF157" s="19">
        <v>0.0</v>
      </c>
      <c r="AG157" s="13">
        <f t="shared" si="32"/>
        <v>5</v>
      </c>
    </row>
    <row r="158" ht="12.75" customHeight="1">
      <c r="A158" s="18"/>
      <c r="B158" s="56"/>
      <c r="C158" s="57"/>
      <c r="D158" s="62"/>
      <c r="E158" s="86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  <c r="AA158" s="19"/>
      <c r="AB158" s="19"/>
      <c r="AC158" s="19"/>
      <c r="AD158" s="19"/>
      <c r="AE158" s="19"/>
      <c r="AF158" s="19"/>
      <c r="AG158" s="13">
        <f t="shared" si="32"/>
        <v>0</v>
      </c>
    </row>
    <row r="159" ht="12.75" customHeight="1">
      <c r="A159" s="18"/>
      <c r="B159" s="56"/>
      <c r="C159" s="57"/>
      <c r="D159" s="62"/>
      <c r="E159" s="86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  <c r="AA159" s="19"/>
      <c r="AB159" s="19"/>
      <c r="AC159" s="19"/>
      <c r="AD159" s="19"/>
      <c r="AE159" s="19"/>
      <c r="AF159" s="19"/>
      <c r="AG159" s="13">
        <f t="shared" si="32"/>
        <v>0</v>
      </c>
    </row>
    <row r="160" ht="12.75" customHeight="1">
      <c r="A160" s="18"/>
      <c r="B160" s="56"/>
      <c r="C160" s="57"/>
      <c r="D160" s="62"/>
      <c r="E160" s="86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  <c r="AA160" s="19"/>
      <c r="AB160" s="19"/>
      <c r="AC160" s="19"/>
      <c r="AD160" s="19"/>
      <c r="AE160" s="19"/>
      <c r="AF160" s="19"/>
      <c r="AG160" s="13">
        <f t="shared" si="32"/>
        <v>0</v>
      </c>
    </row>
    <row r="161" ht="12.75" customHeight="1">
      <c r="A161" s="18"/>
      <c r="B161" s="56"/>
      <c r="C161" s="68"/>
      <c r="D161" s="62"/>
      <c r="E161" s="86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9"/>
      <c r="AB161" s="19"/>
      <c r="AC161" s="19"/>
      <c r="AD161" s="19"/>
      <c r="AE161" s="19"/>
      <c r="AF161" s="19"/>
      <c r="AG161" s="13">
        <f t="shared" si="32"/>
        <v>0</v>
      </c>
    </row>
    <row r="162" ht="12.75" customHeight="1">
      <c r="A162" s="18"/>
      <c r="B162" s="56"/>
      <c r="C162" s="68"/>
      <c r="D162" s="62"/>
      <c r="E162" s="86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9"/>
      <c r="AB162" s="19"/>
      <c r="AC162" s="19"/>
      <c r="AD162" s="19"/>
      <c r="AE162" s="19"/>
      <c r="AF162" s="19"/>
      <c r="AG162" s="13">
        <f t="shared" si="32"/>
        <v>0</v>
      </c>
    </row>
    <row r="163" ht="12.75" customHeight="1">
      <c r="A163" s="19" t="s">
        <v>15</v>
      </c>
      <c r="B163" s="69" t="s">
        <v>47</v>
      </c>
      <c r="C163" s="44"/>
      <c r="D163" s="28"/>
      <c r="E163" s="13">
        <f t="shared" ref="E163:AF163" si="33">SUM(E153:E162)</f>
        <v>2</v>
      </c>
      <c r="F163" s="13">
        <f t="shared" si="33"/>
        <v>1</v>
      </c>
      <c r="G163" s="13">
        <f t="shared" si="33"/>
        <v>1</v>
      </c>
      <c r="H163" s="13">
        <f t="shared" si="33"/>
        <v>2</v>
      </c>
      <c r="I163" s="13">
        <f t="shared" si="33"/>
        <v>1</v>
      </c>
      <c r="J163" s="13">
        <f t="shared" si="33"/>
        <v>0</v>
      </c>
      <c r="K163" s="13">
        <f t="shared" si="33"/>
        <v>0</v>
      </c>
      <c r="L163" s="13">
        <f t="shared" si="33"/>
        <v>1</v>
      </c>
      <c r="M163" s="13">
        <f t="shared" si="33"/>
        <v>2</v>
      </c>
      <c r="N163" s="13">
        <f t="shared" si="33"/>
        <v>0</v>
      </c>
      <c r="O163" s="13">
        <f t="shared" si="33"/>
        <v>5</v>
      </c>
      <c r="P163" s="13">
        <f t="shared" si="33"/>
        <v>0</v>
      </c>
      <c r="Q163" s="13">
        <f t="shared" si="33"/>
        <v>1</v>
      </c>
      <c r="R163" s="13">
        <f t="shared" si="33"/>
        <v>2</v>
      </c>
      <c r="S163" s="13">
        <f t="shared" si="33"/>
        <v>0</v>
      </c>
      <c r="T163" s="13">
        <f t="shared" si="33"/>
        <v>2</v>
      </c>
      <c r="U163" s="13">
        <f t="shared" si="33"/>
        <v>1</v>
      </c>
      <c r="V163" s="13">
        <f t="shared" si="33"/>
        <v>0</v>
      </c>
      <c r="W163" s="13">
        <f t="shared" si="33"/>
        <v>1</v>
      </c>
      <c r="X163" s="13">
        <f t="shared" si="33"/>
        <v>0</v>
      </c>
      <c r="Y163" s="13">
        <f t="shared" si="33"/>
        <v>4</v>
      </c>
      <c r="Z163" s="13">
        <f t="shared" si="33"/>
        <v>1</v>
      </c>
      <c r="AA163" s="13">
        <f t="shared" si="33"/>
        <v>1</v>
      </c>
      <c r="AB163" s="13">
        <f t="shared" si="33"/>
        <v>0</v>
      </c>
      <c r="AC163" s="13">
        <f t="shared" si="33"/>
        <v>1</v>
      </c>
      <c r="AD163" s="13">
        <f t="shared" si="33"/>
        <v>1</v>
      </c>
      <c r="AE163" s="13">
        <f t="shared" si="33"/>
        <v>2</v>
      </c>
      <c r="AF163" s="13">
        <f t="shared" si="33"/>
        <v>0</v>
      </c>
      <c r="AG163" s="13">
        <f t="shared" si="32"/>
        <v>32</v>
      </c>
    </row>
    <row r="164" ht="12.75" customHeight="1">
      <c r="A164" s="24"/>
      <c r="B164" s="15"/>
      <c r="C164" s="15"/>
      <c r="D164" s="15"/>
      <c r="E164" s="16"/>
      <c r="F164" s="84"/>
      <c r="G164" s="84"/>
      <c r="H164" s="84"/>
      <c r="I164" s="84"/>
      <c r="J164" s="84"/>
      <c r="K164" s="84"/>
      <c r="L164" s="84"/>
      <c r="M164" s="84"/>
      <c r="N164" s="84"/>
      <c r="O164" s="84"/>
      <c r="P164" s="84"/>
      <c r="Q164" s="84"/>
      <c r="R164" s="84"/>
      <c r="S164" s="84"/>
      <c r="T164" s="84"/>
      <c r="U164" s="84"/>
      <c r="V164" s="84"/>
      <c r="W164" s="84"/>
      <c r="X164" s="84"/>
      <c r="Y164" s="84"/>
      <c r="Z164" s="84"/>
      <c r="AA164" s="84"/>
      <c r="AB164" s="84"/>
      <c r="AC164" s="84"/>
      <c r="AD164" s="84"/>
      <c r="AE164" s="84"/>
      <c r="AF164" s="84"/>
      <c r="AG164" s="84"/>
    </row>
    <row r="165" ht="12.75" customHeight="1">
      <c r="A165" s="30" t="s">
        <v>37</v>
      </c>
      <c r="B165" s="47" t="s">
        <v>119</v>
      </c>
      <c r="C165" s="48" t="s">
        <v>120</v>
      </c>
      <c r="D165" s="16"/>
      <c r="E165" s="19">
        <v>0.0</v>
      </c>
      <c r="F165" s="19">
        <v>2.0</v>
      </c>
      <c r="G165" s="19">
        <v>0.0</v>
      </c>
      <c r="H165" s="19">
        <v>0.0</v>
      </c>
      <c r="I165" s="19">
        <v>0.0</v>
      </c>
      <c r="J165" s="19">
        <v>0.0</v>
      </c>
      <c r="K165" s="19">
        <v>0.0</v>
      </c>
      <c r="L165" s="19">
        <v>0.0</v>
      </c>
      <c r="M165" s="19">
        <v>0.0</v>
      </c>
      <c r="N165" s="19">
        <v>0.0</v>
      </c>
      <c r="O165" s="19">
        <v>0.0</v>
      </c>
      <c r="P165" s="19">
        <v>0.0</v>
      </c>
      <c r="Q165" s="19">
        <v>1.0</v>
      </c>
      <c r="R165" s="19">
        <v>0.0</v>
      </c>
      <c r="S165" s="19">
        <v>1.0</v>
      </c>
      <c r="T165" s="19">
        <v>0.0</v>
      </c>
      <c r="U165" s="19">
        <v>0.0</v>
      </c>
      <c r="V165" s="19">
        <v>0.0</v>
      </c>
      <c r="W165" s="19">
        <v>1.0</v>
      </c>
      <c r="X165" s="19">
        <v>0.0</v>
      </c>
      <c r="Y165" s="19">
        <v>0.0</v>
      </c>
      <c r="Z165" s="19">
        <v>0.0</v>
      </c>
      <c r="AA165" s="19">
        <v>1.0</v>
      </c>
      <c r="AB165" s="19">
        <v>0.0</v>
      </c>
      <c r="AC165" s="19">
        <v>0.0</v>
      </c>
      <c r="AD165" s="19">
        <v>0.0</v>
      </c>
      <c r="AE165" s="19">
        <v>0.0</v>
      </c>
      <c r="AF165" s="19">
        <v>0.0</v>
      </c>
      <c r="AG165" s="13">
        <f t="shared" ref="AG165:AG174" si="34">SUM(E165:AF165)</f>
        <v>6</v>
      </c>
    </row>
    <row r="166" ht="12.75" customHeight="1">
      <c r="A166" s="30" t="s">
        <v>39</v>
      </c>
      <c r="B166" s="55">
        <v>1.0</v>
      </c>
      <c r="C166" s="50" t="s">
        <v>121</v>
      </c>
      <c r="D166" s="60"/>
      <c r="E166" s="19">
        <v>0.0</v>
      </c>
      <c r="F166" s="19">
        <v>0.0</v>
      </c>
      <c r="G166" s="19">
        <v>0.0</v>
      </c>
      <c r="H166" s="19">
        <v>0.0</v>
      </c>
      <c r="I166" s="19">
        <v>1.0</v>
      </c>
      <c r="J166" s="19">
        <v>0.0</v>
      </c>
      <c r="K166" s="19">
        <v>0.0</v>
      </c>
      <c r="L166" s="19">
        <v>0.0</v>
      </c>
      <c r="M166" s="19">
        <v>1.0</v>
      </c>
      <c r="N166" s="19">
        <v>0.0</v>
      </c>
      <c r="O166" s="19">
        <v>0.0</v>
      </c>
      <c r="P166" s="19">
        <v>1.0</v>
      </c>
      <c r="Q166" s="19">
        <v>0.0</v>
      </c>
      <c r="R166" s="19">
        <v>0.0</v>
      </c>
      <c r="S166" s="19">
        <v>0.0</v>
      </c>
      <c r="T166" s="19">
        <v>1.0</v>
      </c>
      <c r="U166" s="19">
        <v>1.0</v>
      </c>
      <c r="V166" s="19">
        <v>1.0</v>
      </c>
      <c r="W166" s="19">
        <v>0.0</v>
      </c>
      <c r="X166" s="19">
        <v>0.0</v>
      </c>
      <c r="Y166" s="19">
        <v>0.0</v>
      </c>
      <c r="Z166" s="19">
        <v>0.0</v>
      </c>
      <c r="AA166" s="19">
        <v>0.0</v>
      </c>
      <c r="AB166" s="19">
        <v>0.0</v>
      </c>
      <c r="AC166" s="19">
        <v>0.0</v>
      </c>
      <c r="AD166" s="19">
        <v>1.0</v>
      </c>
      <c r="AE166" s="19">
        <v>0.0</v>
      </c>
      <c r="AF166" s="19">
        <v>0.0</v>
      </c>
      <c r="AG166" s="13">
        <f t="shared" si="34"/>
        <v>7</v>
      </c>
    </row>
    <row r="167" ht="12.75" customHeight="1">
      <c r="A167" s="18"/>
      <c r="B167" s="55">
        <v>2.0</v>
      </c>
      <c r="C167" s="50" t="s">
        <v>122</v>
      </c>
      <c r="D167" s="60"/>
      <c r="E167" s="19">
        <v>0.0</v>
      </c>
      <c r="F167" s="19">
        <v>0.0</v>
      </c>
      <c r="G167" s="19">
        <v>0.0</v>
      </c>
      <c r="H167" s="19">
        <v>0.0</v>
      </c>
      <c r="I167" s="19">
        <v>0.0</v>
      </c>
      <c r="J167" s="19">
        <v>0.0</v>
      </c>
      <c r="K167" s="19">
        <v>0.0</v>
      </c>
      <c r="L167" s="19">
        <v>0.0</v>
      </c>
      <c r="M167" s="19">
        <v>0.0</v>
      </c>
      <c r="N167" s="19">
        <v>0.0</v>
      </c>
      <c r="O167" s="19">
        <v>0.0</v>
      </c>
      <c r="P167" s="19">
        <v>0.0</v>
      </c>
      <c r="Q167" s="19">
        <v>0.0</v>
      </c>
      <c r="R167" s="19">
        <v>0.0</v>
      </c>
      <c r="S167" s="19">
        <v>0.0</v>
      </c>
      <c r="T167" s="19">
        <v>0.0</v>
      </c>
      <c r="U167" s="19">
        <v>0.0</v>
      </c>
      <c r="V167" s="19">
        <v>0.0</v>
      </c>
      <c r="W167" s="19">
        <v>0.0</v>
      </c>
      <c r="X167" s="19">
        <v>0.0</v>
      </c>
      <c r="Y167" s="19">
        <v>0.0</v>
      </c>
      <c r="Z167" s="19">
        <v>0.0</v>
      </c>
      <c r="AA167" s="19">
        <v>0.0</v>
      </c>
      <c r="AB167" s="19">
        <v>0.0</v>
      </c>
      <c r="AC167" s="19">
        <v>0.0</v>
      </c>
      <c r="AD167" s="19">
        <v>0.0</v>
      </c>
      <c r="AE167" s="19">
        <v>0.0</v>
      </c>
      <c r="AF167" s="19">
        <v>0.0</v>
      </c>
      <c r="AG167" s="13">
        <f t="shared" si="34"/>
        <v>0</v>
      </c>
    </row>
    <row r="168" ht="12.75" customHeight="1">
      <c r="A168" s="18"/>
      <c r="B168" s="55">
        <v>3.0</v>
      </c>
      <c r="C168" s="50" t="s">
        <v>123</v>
      </c>
      <c r="D168" s="60"/>
      <c r="E168" s="19">
        <v>0.0</v>
      </c>
      <c r="F168" s="19">
        <v>1.0</v>
      </c>
      <c r="G168" s="19">
        <v>0.0</v>
      </c>
      <c r="H168" s="19">
        <v>0.0</v>
      </c>
      <c r="I168" s="19">
        <v>0.0</v>
      </c>
      <c r="J168" s="19">
        <v>0.0</v>
      </c>
      <c r="K168" s="19">
        <v>0.0</v>
      </c>
      <c r="L168" s="19">
        <v>0.0</v>
      </c>
      <c r="M168" s="19">
        <v>0.0</v>
      </c>
      <c r="N168" s="19">
        <v>0.0</v>
      </c>
      <c r="O168" s="19">
        <v>0.0</v>
      </c>
      <c r="P168" s="19">
        <v>0.0</v>
      </c>
      <c r="Q168" s="19">
        <v>0.0</v>
      </c>
      <c r="R168" s="19">
        <v>0.0</v>
      </c>
      <c r="S168" s="19">
        <v>0.0</v>
      </c>
      <c r="T168" s="19">
        <v>0.0</v>
      </c>
      <c r="U168" s="19">
        <v>0.0</v>
      </c>
      <c r="V168" s="19">
        <v>0.0</v>
      </c>
      <c r="W168" s="19">
        <v>0.0</v>
      </c>
      <c r="X168" s="19">
        <v>0.0</v>
      </c>
      <c r="Y168" s="19">
        <v>0.0</v>
      </c>
      <c r="Z168" s="19">
        <v>0.0</v>
      </c>
      <c r="AA168" s="19">
        <v>0.0</v>
      </c>
      <c r="AB168" s="19">
        <v>0.0</v>
      </c>
      <c r="AC168" s="19">
        <v>0.0</v>
      </c>
      <c r="AD168" s="19">
        <v>0.0</v>
      </c>
      <c r="AE168" s="19">
        <v>0.0</v>
      </c>
      <c r="AF168" s="19">
        <v>0.0</v>
      </c>
      <c r="AG168" s="13">
        <f t="shared" si="34"/>
        <v>1</v>
      </c>
    </row>
    <row r="169" ht="12.75" customHeight="1">
      <c r="A169" s="18"/>
      <c r="B169" s="55">
        <v>4.0</v>
      </c>
      <c r="C169" s="50" t="s">
        <v>124</v>
      </c>
      <c r="D169" s="60"/>
      <c r="E169" s="19">
        <v>0.0</v>
      </c>
      <c r="F169" s="19">
        <v>0.0</v>
      </c>
      <c r="G169" s="19">
        <v>0.0</v>
      </c>
      <c r="H169" s="19">
        <v>0.0</v>
      </c>
      <c r="I169" s="19">
        <v>0.0</v>
      </c>
      <c r="J169" s="19">
        <v>0.0</v>
      </c>
      <c r="K169" s="19">
        <v>0.0</v>
      </c>
      <c r="L169" s="19">
        <v>0.0</v>
      </c>
      <c r="M169" s="19">
        <v>0.0</v>
      </c>
      <c r="N169" s="19">
        <v>0.0</v>
      </c>
      <c r="O169" s="19">
        <v>0.0</v>
      </c>
      <c r="P169" s="19">
        <v>1.0</v>
      </c>
      <c r="Q169" s="19">
        <v>0.0</v>
      </c>
      <c r="R169" s="19">
        <v>0.0</v>
      </c>
      <c r="S169" s="19">
        <v>0.0</v>
      </c>
      <c r="T169" s="19">
        <v>0.0</v>
      </c>
      <c r="U169" s="19">
        <v>0.0</v>
      </c>
      <c r="V169" s="19">
        <v>0.0</v>
      </c>
      <c r="W169" s="19">
        <v>0.0</v>
      </c>
      <c r="X169" s="19">
        <v>0.0</v>
      </c>
      <c r="Y169" s="19">
        <v>0.0</v>
      </c>
      <c r="Z169" s="19">
        <v>0.0</v>
      </c>
      <c r="AA169" s="19">
        <v>0.0</v>
      </c>
      <c r="AB169" s="19">
        <v>0.0</v>
      </c>
      <c r="AC169" s="19">
        <v>0.0</v>
      </c>
      <c r="AD169" s="19">
        <v>0.0</v>
      </c>
      <c r="AE169" s="19">
        <v>0.0</v>
      </c>
      <c r="AF169" s="19">
        <v>0.0</v>
      </c>
      <c r="AG169" s="13">
        <f t="shared" si="34"/>
        <v>1</v>
      </c>
    </row>
    <row r="170" ht="12.75" customHeight="1">
      <c r="A170" s="18"/>
      <c r="B170" s="55">
        <v>5.0</v>
      </c>
      <c r="C170" s="50" t="s">
        <v>125</v>
      </c>
      <c r="D170" s="60"/>
      <c r="E170" s="19">
        <v>0.0</v>
      </c>
      <c r="F170" s="19">
        <v>0.0</v>
      </c>
      <c r="G170" s="19">
        <v>0.0</v>
      </c>
      <c r="H170" s="19">
        <v>0.0</v>
      </c>
      <c r="I170" s="19">
        <v>0.0</v>
      </c>
      <c r="J170" s="19">
        <v>0.0</v>
      </c>
      <c r="K170" s="19">
        <v>0.0</v>
      </c>
      <c r="L170" s="19">
        <v>0.0</v>
      </c>
      <c r="M170" s="19">
        <v>0.0</v>
      </c>
      <c r="N170" s="19">
        <v>0.0</v>
      </c>
      <c r="O170" s="19">
        <v>0.0</v>
      </c>
      <c r="P170" s="19">
        <v>0.0</v>
      </c>
      <c r="Q170" s="19">
        <v>0.0</v>
      </c>
      <c r="R170" s="19">
        <v>0.0</v>
      </c>
      <c r="S170" s="19">
        <v>0.0</v>
      </c>
      <c r="T170" s="19">
        <v>0.0</v>
      </c>
      <c r="U170" s="19">
        <v>0.0</v>
      </c>
      <c r="V170" s="19">
        <v>0.0</v>
      </c>
      <c r="W170" s="19">
        <v>0.0</v>
      </c>
      <c r="X170" s="19">
        <v>0.0</v>
      </c>
      <c r="Y170" s="19">
        <v>0.0</v>
      </c>
      <c r="Z170" s="19">
        <v>0.0</v>
      </c>
      <c r="AA170" s="19">
        <v>0.0</v>
      </c>
      <c r="AB170" s="19">
        <v>0.0</v>
      </c>
      <c r="AC170" s="19">
        <v>0.0</v>
      </c>
      <c r="AD170" s="19">
        <v>0.0</v>
      </c>
      <c r="AE170" s="19">
        <v>0.0</v>
      </c>
      <c r="AF170" s="19">
        <v>0.0</v>
      </c>
      <c r="AG170" s="13">
        <f t="shared" si="34"/>
        <v>0</v>
      </c>
    </row>
    <row r="171" ht="12.75" customHeight="1">
      <c r="A171" s="18"/>
      <c r="B171" s="55">
        <v>6.0</v>
      </c>
      <c r="C171" s="50" t="s">
        <v>126</v>
      </c>
      <c r="D171" s="60"/>
      <c r="E171" s="19">
        <v>0.0</v>
      </c>
      <c r="F171" s="19">
        <v>0.0</v>
      </c>
      <c r="G171" s="19">
        <v>0.0</v>
      </c>
      <c r="H171" s="19">
        <v>0.0</v>
      </c>
      <c r="I171" s="19">
        <v>0.0</v>
      </c>
      <c r="J171" s="19">
        <v>0.0</v>
      </c>
      <c r="K171" s="19">
        <v>0.0</v>
      </c>
      <c r="L171" s="19">
        <v>0.0</v>
      </c>
      <c r="M171" s="19">
        <v>0.0</v>
      </c>
      <c r="N171" s="19">
        <v>0.0</v>
      </c>
      <c r="O171" s="19">
        <v>0.0</v>
      </c>
      <c r="P171" s="19">
        <v>0.0</v>
      </c>
      <c r="Q171" s="19">
        <v>0.0</v>
      </c>
      <c r="R171" s="19">
        <v>0.0</v>
      </c>
      <c r="S171" s="19">
        <v>0.0</v>
      </c>
      <c r="T171" s="19">
        <v>0.0</v>
      </c>
      <c r="U171" s="19">
        <v>0.0</v>
      </c>
      <c r="V171" s="19">
        <v>0.0</v>
      </c>
      <c r="W171" s="19">
        <v>0.0</v>
      </c>
      <c r="X171" s="19">
        <v>0.0</v>
      </c>
      <c r="Y171" s="19">
        <v>0.0</v>
      </c>
      <c r="Z171" s="19">
        <v>0.0</v>
      </c>
      <c r="AA171" s="19">
        <v>0.0</v>
      </c>
      <c r="AB171" s="19">
        <v>0.0</v>
      </c>
      <c r="AC171" s="19">
        <v>0.0</v>
      </c>
      <c r="AD171" s="19">
        <v>0.0</v>
      </c>
      <c r="AE171" s="19">
        <v>0.0</v>
      </c>
      <c r="AF171" s="19">
        <v>0.0</v>
      </c>
      <c r="AG171" s="13">
        <f t="shared" si="34"/>
        <v>0</v>
      </c>
    </row>
    <row r="172" ht="12.75" customHeight="1">
      <c r="A172" s="18"/>
      <c r="B172" s="55">
        <v>7.0</v>
      </c>
      <c r="C172" s="50" t="s">
        <v>127</v>
      </c>
      <c r="D172" s="60"/>
      <c r="E172" s="19">
        <v>0.0</v>
      </c>
      <c r="F172" s="19">
        <v>0.0</v>
      </c>
      <c r="G172" s="19">
        <v>0.0</v>
      </c>
      <c r="H172" s="19">
        <v>0.0</v>
      </c>
      <c r="I172" s="19">
        <v>0.0</v>
      </c>
      <c r="J172" s="19">
        <v>0.0</v>
      </c>
      <c r="K172" s="19">
        <v>0.0</v>
      </c>
      <c r="L172" s="19">
        <v>0.0</v>
      </c>
      <c r="M172" s="19">
        <v>0.0</v>
      </c>
      <c r="N172" s="19">
        <v>0.0</v>
      </c>
      <c r="O172" s="19">
        <v>0.0</v>
      </c>
      <c r="P172" s="19">
        <v>0.0</v>
      </c>
      <c r="Q172" s="19">
        <v>0.0</v>
      </c>
      <c r="R172" s="19">
        <v>0.0</v>
      </c>
      <c r="S172" s="19">
        <v>0.0</v>
      </c>
      <c r="T172" s="19">
        <v>0.0</v>
      </c>
      <c r="U172" s="19">
        <v>0.0</v>
      </c>
      <c r="V172" s="19">
        <v>0.0</v>
      </c>
      <c r="W172" s="19">
        <v>0.0</v>
      </c>
      <c r="X172" s="19">
        <v>0.0</v>
      </c>
      <c r="Y172" s="19">
        <v>0.0</v>
      </c>
      <c r="Z172" s="19">
        <v>0.0</v>
      </c>
      <c r="AA172" s="19">
        <v>0.0</v>
      </c>
      <c r="AB172" s="19">
        <v>0.0</v>
      </c>
      <c r="AC172" s="19">
        <v>0.0</v>
      </c>
      <c r="AD172" s="19">
        <v>0.0</v>
      </c>
      <c r="AE172" s="19">
        <v>0.0</v>
      </c>
      <c r="AF172" s="19">
        <v>0.0</v>
      </c>
      <c r="AG172" s="13">
        <f t="shared" si="34"/>
        <v>0</v>
      </c>
    </row>
    <row r="173" ht="12.75" customHeight="1">
      <c r="A173" s="18"/>
      <c r="B173" s="56"/>
      <c r="C173" s="57"/>
      <c r="D173" s="62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9"/>
      <c r="AB173" s="19"/>
      <c r="AC173" s="19"/>
      <c r="AD173" s="19"/>
      <c r="AE173" s="19"/>
      <c r="AF173" s="19"/>
      <c r="AG173" s="13">
        <f t="shared" si="34"/>
        <v>0</v>
      </c>
    </row>
    <row r="174" ht="12.75" customHeight="1">
      <c r="A174" s="18"/>
      <c r="B174" s="56"/>
      <c r="C174" s="57"/>
      <c r="D174" s="62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9"/>
      <c r="AB174" s="19"/>
      <c r="AC174" s="19"/>
      <c r="AD174" s="19"/>
      <c r="AE174" s="19"/>
      <c r="AF174" s="19"/>
      <c r="AG174" s="13">
        <f t="shared" si="34"/>
        <v>0</v>
      </c>
    </row>
    <row r="175" ht="12.75" customHeight="1">
      <c r="A175" s="19" t="s">
        <v>15</v>
      </c>
      <c r="B175" s="47" t="s">
        <v>47</v>
      </c>
      <c r="C175" s="15"/>
      <c r="D175" s="16"/>
      <c r="E175" s="13">
        <f t="shared" ref="E175:AG175" si="35">SUM(E165:E174)</f>
        <v>0</v>
      </c>
      <c r="F175" s="13">
        <f t="shared" si="35"/>
        <v>3</v>
      </c>
      <c r="G175" s="13">
        <f t="shared" si="35"/>
        <v>0</v>
      </c>
      <c r="H175" s="13">
        <f t="shared" si="35"/>
        <v>0</v>
      </c>
      <c r="I175" s="13">
        <f t="shared" si="35"/>
        <v>1</v>
      </c>
      <c r="J175" s="13">
        <f t="shared" si="35"/>
        <v>0</v>
      </c>
      <c r="K175" s="13">
        <f t="shared" si="35"/>
        <v>0</v>
      </c>
      <c r="L175" s="13">
        <f t="shared" si="35"/>
        <v>0</v>
      </c>
      <c r="M175" s="13">
        <f t="shared" si="35"/>
        <v>1</v>
      </c>
      <c r="N175" s="13">
        <f t="shared" si="35"/>
        <v>0</v>
      </c>
      <c r="O175" s="13">
        <f t="shared" si="35"/>
        <v>0</v>
      </c>
      <c r="P175" s="13">
        <f t="shared" si="35"/>
        <v>2</v>
      </c>
      <c r="Q175" s="13">
        <f t="shared" si="35"/>
        <v>1</v>
      </c>
      <c r="R175" s="13">
        <f t="shared" si="35"/>
        <v>0</v>
      </c>
      <c r="S175" s="13">
        <f t="shared" si="35"/>
        <v>1</v>
      </c>
      <c r="T175" s="13">
        <f t="shared" si="35"/>
        <v>1</v>
      </c>
      <c r="U175" s="13">
        <f t="shared" si="35"/>
        <v>1</v>
      </c>
      <c r="V175" s="13">
        <f t="shared" si="35"/>
        <v>1</v>
      </c>
      <c r="W175" s="13">
        <f t="shared" si="35"/>
        <v>1</v>
      </c>
      <c r="X175" s="13">
        <f t="shared" si="35"/>
        <v>0</v>
      </c>
      <c r="Y175" s="13">
        <f t="shared" si="35"/>
        <v>0</v>
      </c>
      <c r="Z175" s="13">
        <f t="shared" si="35"/>
        <v>0</v>
      </c>
      <c r="AA175" s="13">
        <f t="shared" si="35"/>
        <v>1</v>
      </c>
      <c r="AB175" s="13">
        <f t="shared" si="35"/>
        <v>0</v>
      </c>
      <c r="AC175" s="13">
        <f t="shared" si="35"/>
        <v>0</v>
      </c>
      <c r="AD175" s="13">
        <f t="shared" si="35"/>
        <v>1</v>
      </c>
      <c r="AE175" s="13">
        <f t="shared" si="35"/>
        <v>0</v>
      </c>
      <c r="AF175" s="13">
        <f t="shared" si="35"/>
        <v>0</v>
      </c>
      <c r="AG175" s="13">
        <f t="shared" si="35"/>
        <v>15</v>
      </c>
    </row>
    <row r="176" ht="12.75" customHeight="1">
      <c r="A176" s="24"/>
      <c r="B176" s="15"/>
      <c r="C176" s="15"/>
      <c r="D176" s="15"/>
      <c r="E176" s="16"/>
      <c r="F176" s="84"/>
      <c r="G176" s="84"/>
      <c r="H176" s="84"/>
      <c r="I176" s="84"/>
      <c r="J176" s="84"/>
      <c r="K176" s="84"/>
      <c r="L176" s="84"/>
      <c r="M176" s="84"/>
      <c r="N176" s="84"/>
      <c r="O176" s="84"/>
      <c r="P176" s="84"/>
      <c r="Q176" s="84"/>
      <c r="R176" s="84"/>
      <c r="S176" s="84"/>
      <c r="T176" s="84"/>
      <c r="U176" s="84"/>
      <c r="V176" s="84"/>
      <c r="W176" s="84"/>
      <c r="X176" s="84"/>
      <c r="Y176" s="84"/>
      <c r="Z176" s="84"/>
      <c r="AA176" s="84"/>
      <c r="AB176" s="84"/>
      <c r="AC176" s="84"/>
      <c r="AD176" s="84"/>
      <c r="AE176" s="84"/>
      <c r="AF176" s="84"/>
      <c r="AG176" s="84"/>
    </row>
    <row r="177" ht="12.75" customHeight="1">
      <c r="A177" s="30" t="s">
        <v>37</v>
      </c>
      <c r="B177" s="47" t="s">
        <v>128</v>
      </c>
      <c r="C177" s="48" t="s">
        <v>129</v>
      </c>
      <c r="D177" s="16"/>
      <c r="E177" s="19">
        <v>0.0</v>
      </c>
      <c r="F177" s="19">
        <v>2.0</v>
      </c>
      <c r="G177" s="19">
        <v>0.0</v>
      </c>
      <c r="H177" s="19">
        <v>1.0</v>
      </c>
      <c r="I177" s="19">
        <v>0.0</v>
      </c>
      <c r="J177" s="19">
        <v>0.0</v>
      </c>
      <c r="K177" s="19">
        <v>1.0</v>
      </c>
      <c r="L177" s="19">
        <v>0.0</v>
      </c>
      <c r="M177" s="19">
        <v>0.0</v>
      </c>
      <c r="N177" s="19">
        <v>0.0</v>
      </c>
      <c r="O177" s="19">
        <v>1.0</v>
      </c>
      <c r="P177" s="19">
        <v>1.0</v>
      </c>
      <c r="Q177" s="19">
        <v>1.0</v>
      </c>
      <c r="R177" s="19">
        <v>2.0</v>
      </c>
      <c r="S177" s="19">
        <v>2.0</v>
      </c>
      <c r="T177" s="19">
        <v>1.0</v>
      </c>
      <c r="U177" s="19">
        <v>0.0</v>
      </c>
      <c r="V177" s="19">
        <v>0.0</v>
      </c>
      <c r="W177" s="19">
        <v>0.0</v>
      </c>
      <c r="X177" s="19">
        <v>0.0</v>
      </c>
      <c r="Y177" s="19">
        <v>1.0</v>
      </c>
      <c r="Z177" s="19">
        <v>1.0</v>
      </c>
      <c r="AA177" s="19">
        <v>0.0</v>
      </c>
      <c r="AB177" s="19">
        <v>0.0</v>
      </c>
      <c r="AC177" s="19">
        <v>0.0</v>
      </c>
      <c r="AD177" s="19">
        <v>0.0</v>
      </c>
      <c r="AE177" s="19">
        <v>0.0</v>
      </c>
      <c r="AF177" s="19">
        <v>1.0</v>
      </c>
      <c r="AG177" s="13">
        <f t="shared" ref="AG177:AG186" si="36">SUM(E177:AF177)</f>
        <v>15</v>
      </c>
    </row>
    <row r="178" ht="12.75" customHeight="1">
      <c r="A178" s="30" t="s">
        <v>39</v>
      </c>
      <c r="B178" s="55">
        <v>1.0</v>
      </c>
      <c r="C178" s="50" t="s">
        <v>130</v>
      </c>
      <c r="D178" s="60"/>
      <c r="E178" s="19">
        <v>0.0</v>
      </c>
      <c r="F178" s="19">
        <v>0.0</v>
      </c>
      <c r="G178" s="19">
        <v>0.0</v>
      </c>
      <c r="H178" s="19">
        <v>0.0</v>
      </c>
      <c r="I178" s="19">
        <v>0.0</v>
      </c>
      <c r="J178" s="19">
        <v>0.0</v>
      </c>
      <c r="K178" s="19">
        <v>0.0</v>
      </c>
      <c r="L178" s="19">
        <v>0.0</v>
      </c>
      <c r="M178" s="19">
        <v>2.0</v>
      </c>
      <c r="N178" s="19">
        <v>0.0</v>
      </c>
      <c r="O178" s="19">
        <v>1.0</v>
      </c>
      <c r="P178" s="19">
        <v>1.0</v>
      </c>
      <c r="Q178" s="19">
        <v>0.0</v>
      </c>
      <c r="R178" s="19">
        <v>0.0</v>
      </c>
      <c r="S178" s="19">
        <v>0.0</v>
      </c>
      <c r="T178" s="19">
        <v>1.0</v>
      </c>
      <c r="U178" s="19">
        <v>0.0</v>
      </c>
      <c r="V178" s="19">
        <v>0.0</v>
      </c>
      <c r="W178" s="19">
        <v>0.0</v>
      </c>
      <c r="X178" s="19">
        <v>1.0</v>
      </c>
      <c r="Y178" s="19">
        <v>0.0</v>
      </c>
      <c r="Z178" s="19">
        <v>0.0</v>
      </c>
      <c r="AA178" s="19">
        <v>0.0</v>
      </c>
      <c r="AB178" s="19">
        <v>0.0</v>
      </c>
      <c r="AC178" s="19">
        <v>0.0</v>
      </c>
      <c r="AD178" s="19">
        <v>1.0</v>
      </c>
      <c r="AE178" s="19">
        <v>0.0</v>
      </c>
      <c r="AF178" s="19">
        <v>2.0</v>
      </c>
      <c r="AG178" s="13">
        <f t="shared" si="36"/>
        <v>9</v>
      </c>
    </row>
    <row r="179" ht="12.75" customHeight="1">
      <c r="A179" s="18"/>
      <c r="B179" s="55">
        <v>2.0</v>
      </c>
      <c r="C179" s="50" t="s">
        <v>131</v>
      </c>
      <c r="D179" s="60"/>
      <c r="E179" s="19">
        <v>0.0</v>
      </c>
      <c r="F179" s="19">
        <v>0.0</v>
      </c>
      <c r="G179" s="19">
        <v>0.0</v>
      </c>
      <c r="H179" s="19">
        <v>0.0</v>
      </c>
      <c r="I179" s="19">
        <v>0.0</v>
      </c>
      <c r="J179" s="19">
        <v>1.0</v>
      </c>
      <c r="K179" s="19">
        <v>0.0</v>
      </c>
      <c r="L179" s="19">
        <v>0.0</v>
      </c>
      <c r="M179" s="19">
        <v>0.0</v>
      </c>
      <c r="N179" s="19">
        <v>0.0</v>
      </c>
      <c r="O179" s="19">
        <v>0.0</v>
      </c>
      <c r="P179" s="19">
        <v>0.0</v>
      </c>
      <c r="Q179" s="19">
        <v>0.0</v>
      </c>
      <c r="R179" s="19">
        <v>0.0</v>
      </c>
      <c r="S179" s="19">
        <v>0.0</v>
      </c>
      <c r="T179" s="19">
        <v>0.0</v>
      </c>
      <c r="U179" s="19">
        <v>1.0</v>
      </c>
      <c r="V179" s="19">
        <v>0.0</v>
      </c>
      <c r="W179" s="19">
        <v>0.0</v>
      </c>
      <c r="X179" s="19">
        <v>1.0</v>
      </c>
      <c r="Y179" s="19">
        <v>0.0</v>
      </c>
      <c r="Z179" s="19">
        <v>0.0</v>
      </c>
      <c r="AA179" s="19">
        <v>0.0</v>
      </c>
      <c r="AB179" s="19">
        <v>0.0</v>
      </c>
      <c r="AC179" s="19">
        <v>0.0</v>
      </c>
      <c r="AD179" s="19">
        <v>0.0</v>
      </c>
      <c r="AE179" s="19">
        <v>0.0</v>
      </c>
      <c r="AF179" s="19">
        <v>0.0</v>
      </c>
      <c r="AG179" s="13">
        <f t="shared" si="36"/>
        <v>3</v>
      </c>
    </row>
    <row r="180" ht="12.75" customHeight="1">
      <c r="A180" s="18"/>
      <c r="B180" s="55">
        <v>3.0</v>
      </c>
      <c r="C180" s="50" t="s">
        <v>132</v>
      </c>
      <c r="D180" s="60"/>
      <c r="E180" s="19">
        <v>0.0</v>
      </c>
      <c r="F180" s="19">
        <v>0.0</v>
      </c>
      <c r="G180" s="19">
        <v>0.0</v>
      </c>
      <c r="H180" s="19">
        <v>0.0</v>
      </c>
      <c r="I180" s="19">
        <v>0.0</v>
      </c>
      <c r="J180" s="19">
        <v>0.0</v>
      </c>
      <c r="K180" s="19">
        <v>0.0</v>
      </c>
      <c r="L180" s="19">
        <v>0.0</v>
      </c>
      <c r="M180" s="19">
        <v>2.0</v>
      </c>
      <c r="N180" s="19">
        <v>0.0</v>
      </c>
      <c r="O180" s="19">
        <v>0.0</v>
      </c>
      <c r="P180" s="19">
        <v>0.0</v>
      </c>
      <c r="Q180" s="19">
        <v>0.0</v>
      </c>
      <c r="R180" s="19">
        <v>0.0</v>
      </c>
      <c r="S180" s="19">
        <v>0.0</v>
      </c>
      <c r="T180" s="19">
        <v>0.0</v>
      </c>
      <c r="U180" s="19">
        <v>0.0</v>
      </c>
      <c r="V180" s="19">
        <v>0.0</v>
      </c>
      <c r="W180" s="19">
        <v>1.0</v>
      </c>
      <c r="X180" s="19">
        <v>0.0</v>
      </c>
      <c r="Y180" s="19">
        <v>0.0</v>
      </c>
      <c r="Z180" s="19">
        <v>0.0</v>
      </c>
      <c r="AA180" s="19">
        <v>0.0</v>
      </c>
      <c r="AB180" s="19">
        <v>0.0</v>
      </c>
      <c r="AC180" s="19">
        <v>1.0</v>
      </c>
      <c r="AD180" s="19">
        <v>0.0</v>
      </c>
      <c r="AE180" s="19">
        <v>0.0</v>
      </c>
      <c r="AF180" s="19">
        <v>0.0</v>
      </c>
      <c r="AG180" s="13">
        <f t="shared" si="36"/>
        <v>4</v>
      </c>
    </row>
    <row r="181" ht="12.75" customHeight="1">
      <c r="A181" s="18"/>
      <c r="B181" s="55">
        <v>4.0</v>
      </c>
      <c r="C181" s="50" t="s">
        <v>133</v>
      </c>
      <c r="D181" s="60"/>
      <c r="E181" s="19">
        <v>0.0</v>
      </c>
      <c r="F181" s="19">
        <v>0.0</v>
      </c>
      <c r="G181" s="19">
        <v>0.0</v>
      </c>
      <c r="H181" s="19">
        <v>0.0</v>
      </c>
      <c r="I181" s="19">
        <v>0.0</v>
      </c>
      <c r="J181" s="19">
        <v>0.0</v>
      </c>
      <c r="K181" s="19">
        <v>0.0</v>
      </c>
      <c r="L181" s="19">
        <v>0.0</v>
      </c>
      <c r="M181" s="19">
        <v>0.0</v>
      </c>
      <c r="N181" s="19">
        <v>0.0</v>
      </c>
      <c r="O181" s="19">
        <v>0.0</v>
      </c>
      <c r="P181" s="19">
        <v>0.0</v>
      </c>
      <c r="Q181" s="19">
        <v>0.0</v>
      </c>
      <c r="R181" s="19">
        <v>0.0</v>
      </c>
      <c r="S181" s="19">
        <v>0.0</v>
      </c>
      <c r="T181" s="19">
        <v>0.0</v>
      </c>
      <c r="U181" s="19">
        <v>0.0</v>
      </c>
      <c r="V181" s="19">
        <v>0.0</v>
      </c>
      <c r="W181" s="19">
        <v>0.0</v>
      </c>
      <c r="X181" s="19">
        <v>0.0</v>
      </c>
      <c r="Y181" s="19">
        <v>0.0</v>
      </c>
      <c r="Z181" s="19">
        <v>1.0</v>
      </c>
      <c r="AA181" s="19">
        <v>0.0</v>
      </c>
      <c r="AB181" s="19">
        <v>0.0</v>
      </c>
      <c r="AC181" s="19">
        <v>0.0</v>
      </c>
      <c r="AD181" s="19">
        <v>0.0</v>
      </c>
      <c r="AE181" s="19">
        <v>0.0</v>
      </c>
      <c r="AF181" s="19">
        <v>0.0</v>
      </c>
      <c r="AG181" s="13">
        <f t="shared" si="36"/>
        <v>1</v>
      </c>
    </row>
    <row r="182" ht="12.75" customHeight="1">
      <c r="A182" s="18"/>
      <c r="B182" s="55">
        <v>5.0</v>
      </c>
      <c r="C182" s="50" t="s">
        <v>134</v>
      </c>
      <c r="D182" s="60"/>
      <c r="E182" s="19">
        <v>0.0</v>
      </c>
      <c r="F182" s="19">
        <v>1.0</v>
      </c>
      <c r="G182" s="19">
        <v>1.0</v>
      </c>
      <c r="H182" s="19">
        <v>0.0</v>
      </c>
      <c r="I182" s="19">
        <v>0.0</v>
      </c>
      <c r="J182" s="19">
        <v>0.0</v>
      </c>
      <c r="K182" s="19">
        <v>0.0</v>
      </c>
      <c r="L182" s="19">
        <v>0.0</v>
      </c>
      <c r="M182" s="19">
        <v>0.0</v>
      </c>
      <c r="N182" s="19">
        <v>0.0</v>
      </c>
      <c r="O182" s="19">
        <v>0.0</v>
      </c>
      <c r="P182" s="19">
        <v>0.0</v>
      </c>
      <c r="Q182" s="19">
        <v>0.0</v>
      </c>
      <c r="R182" s="19">
        <v>0.0</v>
      </c>
      <c r="S182" s="19">
        <v>0.0</v>
      </c>
      <c r="T182" s="19">
        <v>0.0</v>
      </c>
      <c r="U182" s="19">
        <v>0.0</v>
      </c>
      <c r="V182" s="19">
        <v>0.0</v>
      </c>
      <c r="W182" s="19">
        <v>0.0</v>
      </c>
      <c r="X182" s="19">
        <v>0.0</v>
      </c>
      <c r="Y182" s="19">
        <v>0.0</v>
      </c>
      <c r="Z182" s="19">
        <v>0.0</v>
      </c>
      <c r="AA182" s="19">
        <v>0.0</v>
      </c>
      <c r="AB182" s="19">
        <v>0.0</v>
      </c>
      <c r="AC182" s="19">
        <v>0.0</v>
      </c>
      <c r="AD182" s="19">
        <v>0.0</v>
      </c>
      <c r="AE182" s="19">
        <v>0.0</v>
      </c>
      <c r="AF182" s="19">
        <v>0.0</v>
      </c>
      <c r="AG182" s="13">
        <f t="shared" si="36"/>
        <v>2</v>
      </c>
    </row>
    <row r="183" ht="12.75" customHeight="1">
      <c r="A183" s="18"/>
      <c r="B183" s="55">
        <v>6.0</v>
      </c>
      <c r="C183" s="50" t="s">
        <v>135</v>
      </c>
      <c r="D183" s="60"/>
      <c r="E183" s="19">
        <v>0.0</v>
      </c>
      <c r="F183" s="19">
        <v>0.0</v>
      </c>
      <c r="G183" s="19">
        <v>0.0</v>
      </c>
      <c r="H183" s="19">
        <v>0.0</v>
      </c>
      <c r="I183" s="19">
        <v>0.0</v>
      </c>
      <c r="J183" s="19">
        <v>0.0</v>
      </c>
      <c r="K183" s="19">
        <v>0.0</v>
      </c>
      <c r="L183" s="19">
        <v>1.0</v>
      </c>
      <c r="M183" s="19">
        <v>0.0</v>
      </c>
      <c r="N183" s="19">
        <v>0.0</v>
      </c>
      <c r="O183" s="19">
        <v>0.0</v>
      </c>
      <c r="P183" s="19">
        <v>0.0</v>
      </c>
      <c r="Q183" s="19">
        <v>0.0</v>
      </c>
      <c r="R183" s="19">
        <v>0.0</v>
      </c>
      <c r="S183" s="19">
        <v>0.0</v>
      </c>
      <c r="T183" s="19">
        <v>0.0</v>
      </c>
      <c r="U183" s="19">
        <v>0.0</v>
      </c>
      <c r="V183" s="19">
        <v>1.0</v>
      </c>
      <c r="W183" s="19">
        <v>0.0</v>
      </c>
      <c r="X183" s="19">
        <v>0.0</v>
      </c>
      <c r="Y183" s="19">
        <v>0.0</v>
      </c>
      <c r="Z183" s="19">
        <v>0.0</v>
      </c>
      <c r="AA183" s="19">
        <v>0.0</v>
      </c>
      <c r="AB183" s="19">
        <v>0.0</v>
      </c>
      <c r="AC183" s="19">
        <v>0.0</v>
      </c>
      <c r="AD183" s="19">
        <v>0.0</v>
      </c>
      <c r="AE183" s="19">
        <v>0.0</v>
      </c>
      <c r="AF183" s="19">
        <v>0.0</v>
      </c>
      <c r="AG183" s="13">
        <f t="shared" si="36"/>
        <v>2</v>
      </c>
    </row>
    <row r="184" ht="12.75" customHeight="1">
      <c r="A184" s="18"/>
      <c r="B184" s="55">
        <v>7.0</v>
      </c>
      <c r="C184" s="50" t="s">
        <v>136</v>
      </c>
      <c r="D184" s="60"/>
      <c r="E184" s="19">
        <v>0.0</v>
      </c>
      <c r="F184" s="19">
        <v>0.0</v>
      </c>
      <c r="G184" s="19">
        <v>0.0</v>
      </c>
      <c r="H184" s="19">
        <v>0.0</v>
      </c>
      <c r="I184" s="19">
        <v>0.0</v>
      </c>
      <c r="J184" s="19">
        <v>0.0</v>
      </c>
      <c r="K184" s="19">
        <v>0.0</v>
      </c>
      <c r="L184" s="19">
        <v>0.0</v>
      </c>
      <c r="M184" s="19">
        <v>0.0</v>
      </c>
      <c r="N184" s="19">
        <v>0.0</v>
      </c>
      <c r="O184" s="19">
        <v>0.0</v>
      </c>
      <c r="P184" s="19">
        <v>0.0</v>
      </c>
      <c r="Q184" s="19">
        <v>0.0</v>
      </c>
      <c r="R184" s="19">
        <v>0.0</v>
      </c>
      <c r="S184" s="19">
        <v>1.0</v>
      </c>
      <c r="T184" s="19">
        <v>0.0</v>
      </c>
      <c r="U184" s="19">
        <v>0.0</v>
      </c>
      <c r="V184" s="19">
        <v>0.0</v>
      </c>
      <c r="W184" s="19">
        <v>0.0</v>
      </c>
      <c r="X184" s="19">
        <v>0.0</v>
      </c>
      <c r="Y184" s="19">
        <v>0.0</v>
      </c>
      <c r="Z184" s="19">
        <v>0.0</v>
      </c>
      <c r="AA184" s="19">
        <v>0.0</v>
      </c>
      <c r="AB184" s="19">
        <v>0.0</v>
      </c>
      <c r="AC184" s="19">
        <v>0.0</v>
      </c>
      <c r="AD184" s="19">
        <v>0.0</v>
      </c>
      <c r="AE184" s="19">
        <v>0.0</v>
      </c>
      <c r="AF184" s="19">
        <v>0.0</v>
      </c>
      <c r="AG184" s="13">
        <f t="shared" si="36"/>
        <v>1</v>
      </c>
    </row>
    <row r="185" ht="12.75" customHeight="1">
      <c r="A185" s="18"/>
      <c r="B185" s="56"/>
      <c r="C185" s="57"/>
      <c r="D185" s="62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  <c r="AA185" s="19"/>
      <c r="AB185" s="19"/>
      <c r="AC185" s="19"/>
      <c r="AD185" s="19"/>
      <c r="AE185" s="19"/>
      <c r="AF185" s="19"/>
      <c r="AG185" s="13">
        <f t="shared" si="36"/>
        <v>0</v>
      </c>
    </row>
    <row r="186" ht="12.75" customHeight="1">
      <c r="A186" s="18"/>
      <c r="B186" s="56"/>
      <c r="C186" s="57"/>
      <c r="D186" s="62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  <c r="AA186" s="19"/>
      <c r="AB186" s="19"/>
      <c r="AC186" s="19"/>
      <c r="AD186" s="19"/>
      <c r="AE186" s="19"/>
      <c r="AF186" s="19"/>
      <c r="AG186" s="13">
        <f t="shared" si="36"/>
        <v>0</v>
      </c>
    </row>
    <row r="187" ht="12.75" customHeight="1">
      <c r="A187" s="19" t="s">
        <v>15</v>
      </c>
      <c r="B187" s="47" t="s">
        <v>47</v>
      </c>
      <c r="C187" s="15"/>
      <c r="D187" s="16"/>
      <c r="E187" s="13">
        <f t="shared" ref="E187:AG187" si="37">SUM(E177:E186)</f>
        <v>0</v>
      </c>
      <c r="F187" s="13">
        <f t="shared" si="37"/>
        <v>3</v>
      </c>
      <c r="G187" s="13">
        <f t="shared" si="37"/>
        <v>1</v>
      </c>
      <c r="H187" s="13">
        <f t="shared" si="37"/>
        <v>1</v>
      </c>
      <c r="I187" s="13">
        <f t="shared" si="37"/>
        <v>0</v>
      </c>
      <c r="J187" s="13">
        <f t="shared" si="37"/>
        <v>1</v>
      </c>
      <c r="K187" s="13">
        <f t="shared" si="37"/>
        <v>1</v>
      </c>
      <c r="L187" s="13">
        <f t="shared" si="37"/>
        <v>1</v>
      </c>
      <c r="M187" s="13">
        <f t="shared" si="37"/>
        <v>4</v>
      </c>
      <c r="N187" s="13">
        <f t="shared" si="37"/>
        <v>0</v>
      </c>
      <c r="O187" s="13">
        <f t="shared" si="37"/>
        <v>2</v>
      </c>
      <c r="P187" s="13">
        <f t="shared" si="37"/>
        <v>2</v>
      </c>
      <c r="Q187" s="13">
        <f t="shared" si="37"/>
        <v>1</v>
      </c>
      <c r="R187" s="13">
        <f t="shared" si="37"/>
        <v>2</v>
      </c>
      <c r="S187" s="13">
        <f t="shared" si="37"/>
        <v>3</v>
      </c>
      <c r="T187" s="13">
        <f t="shared" si="37"/>
        <v>2</v>
      </c>
      <c r="U187" s="13">
        <f t="shared" si="37"/>
        <v>1</v>
      </c>
      <c r="V187" s="13">
        <f t="shared" si="37"/>
        <v>1</v>
      </c>
      <c r="W187" s="13">
        <f t="shared" si="37"/>
        <v>1</v>
      </c>
      <c r="X187" s="13">
        <f t="shared" si="37"/>
        <v>2</v>
      </c>
      <c r="Y187" s="13">
        <f t="shared" si="37"/>
        <v>1</v>
      </c>
      <c r="Z187" s="13">
        <f t="shared" si="37"/>
        <v>2</v>
      </c>
      <c r="AA187" s="13">
        <f t="shared" si="37"/>
        <v>0</v>
      </c>
      <c r="AB187" s="13">
        <f t="shared" si="37"/>
        <v>0</v>
      </c>
      <c r="AC187" s="13">
        <f t="shared" si="37"/>
        <v>1</v>
      </c>
      <c r="AD187" s="13">
        <f t="shared" si="37"/>
        <v>1</v>
      </c>
      <c r="AE187" s="13">
        <f t="shared" si="37"/>
        <v>0</v>
      </c>
      <c r="AF187" s="13">
        <f t="shared" si="37"/>
        <v>3</v>
      </c>
      <c r="AG187" s="13">
        <f t="shared" si="37"/>
        <v>37</v>
      </c>
    </row>
    <row r="188" ht="12.75" customHeight="1">
      <c r="A188" s="24"/>
      <c r="B188" s="15"/>
      <c r="C188" s="15"/>
      <c r="D188" s="15"/>
      <c r="E188" s="16"/>
      <c r="F188" s="84"/>
      <c r="G188" s="84"/>
      <c r="H188" s="84"/>
      <c r="I188" s="84"/>
      <c r="J188" s="84"/>
      <c r="K188" s="84"/>
      <c r="L188" s="84"/>
      <c r="M188" s="84"/>
      <c r="N188" s="84"/>
      <c r="O188" s="84"/>
      <c r="P188" s="84"/>
      <c r="Q188" s="84"/>
      <c r="R188" s="84"/>
      <c r="S188" s="84"/>
      <c r="T188" s="84"/>
      <c r="U188" s="84"/>
      <c r="V188" s="84"/>
      <c r="W188" s="84"/>
      <c r="X188" s="84"/>
      <c r="Y188" s="84"/>
      <c r="Z188" s="84"/>
      <c r="AA188" s="84"/>
      <c r="AB188" s="84"/>
      <c r="AC188" s="84"/>
      <c r="AD188" s="84"/>
      <c r="AE188" s="84"/>
      <c r="AG188" s="13"/>
    </row>
    <row r="189" ht="12.75" customHeight="1">
      <c r="A189" s="30" t="s">
        <v>37</v>
      </c>
      <c r="B189" s="47" t="s">
        <v>137</v>
      </c>
      <c r="C189" s="48" t="s">
        <v>138</v>
      </c>
      <c r="D189" s="16"/>
      <c r="E189" s="19">
        <v>1.0</v>
      </c>
      <c r="F189" s="19">
        <v>1.0</v>
      </c>
      <c r="G189" s="19">
        <v>0.0</v>
      </c>
      <c r="H189" s="19">
        <v>0.0</v>
      </c>
      <c r="I189" s="19">
        <v>0.0</v>
      </c>
      <c r="J189" s="19">
        <v>0.0</v>
      </c>
      <c r="K189" s="19">
        <v>0.0</v>
      </c>
      <c r="L189" s="19">
        <v>0.0</v>
      </c>
      <c r="M189" s="19">
        <v>0.0</v>
      </c>
      <c r="N189" s="19">
        <v>0.0</v>
      </c>
      <c r="O189" s="19">
        <v>0.0</v>
      </c>
      <c r="P189" s="19">
        <v>0.0</v>
      </c>
      <c r="Q189" s="19">
        <v>0.0</v>
      </c>
      <c r="R189" s="19">
        <v>0.0</v>
      </c>
      <c r="S189" s="19">
        <v>0.0</v>
      </c>
      <c r="T189" s="19">
        <v>0.0</v>
      </c>
      <c r="U189" s="19">
        <v>0.0</v>
      </c>
      <c r="V189" s="19">
        <v>0.0</v>
      </c>
      <c r="W189" s="19">
        <v>0.0</v>
      </c>
      <c r="X189" s="19">
        <v>0.0</v>
      </c>
      <c r="Y189" s="19">
        <v>0.0</v>
      </c>
      <c r="Z189" s="19">
        <v>0.0</v>
      </c>
      <c r="AA189" s="19">
        <v>1.0</v>
      </c>
      <c r="AB189" s="19">
        <v>0.0</v>
      </c>
      <c r="AC189" s="19">
        <v>1.0</v>
      </c>
      <c r="AD189" s="19">
        <v>0.0</v>
      </c>
      <c r="AE189" s="19">
        <v>0.0</v>
      </c>
      <c r="AF189" s="19">
        <v>2.0</v>
      </c>
      <c r="AG189" s="13">
        <f t="shared" ref="AG189:AG198" si="38">SUM(E189:AF189)</f>
        <v>6</v>
      </c>
    </row>
    <row r="190" ht="12.75" customHeight="1">
      <c r="A190" s="30" t="s">
        <v>39</v>
      </c>
      <c r="B190" s="55">
        <v>1.0</v>
      </c>
      <c r="C190" s="50" t="s">
        <v>139</v>
      </c>
      <c r="D190" s="60"/>
      <c r="E190" s="19">
        <v>1.0</v>
      </c>
      <c r="F190" s="19">
        <v>0.0</v>
      </c>
      <c r="G190" s="19">
        <v>0.0</v>
      </c>
      <c r="H190" s="19">
        <v>0.0</v>
      </c>
      <c r="I190" s="19">
        <v>0.0</v>
      </c>
      <c r="J190" s="19">
        <v>0.0</v>
      </c>
      <c r="K190" s="19">
        <v>0.0</v>
      </c>
      <c r="L190" s="19">
        <v>0.0</v>
      </c>
      <c r="M190" s="19">
        <v>0.0</v>
      </c>
      <c r="N190" s="19">
        <v>0.0</v>
      </c>
      <c r="O190" s="19">
        <v>0.0</v>
      </c>
      <c r="P190" s="19">
        <v>0.0</v>
      </c>
      <c r="Q190" s="19">
        <v>1.0</v>
      </c>
      <c r="R190" s="19">
        <v>0.0</v>
      </c>
      <c r="S190" s="19">
        <v>0.0</v>
      </c>
      <c r="T190" s="19">
        <v>0.0</v>
      </c>
      <c r="U190" s="19">
        <v>0.0</v>
      </c>
      <c r="V190" s="19">
        <v>0.0</v>
      </c>
      <c r="W190" s="19">
        <v>0.0</v>
      </c>
      <c r="X190" s="19">
        <v>1.0</v>
      </c>
      <c r="Y190" s="19">
        <v>0.0</v>
      </c>
      <c r="Z190" s="19">
        <v>0.0</v>
      </c>
      <c r="AA190" s="19">
        <v>0.0</v>
      </c>
      <c r="AB190" s="19">
        <v>0.0</v>
      </c>
      <c r="AC190" s="19">
        <v>0.0</v>
      </c>
      <c r="AD190" s="19">
        <v>0.0</v>
      </c>
      <c r="AE190" s="19">
        <v>0.0</v>
      </c>
      <c r="AF190" s="19">
        <v>0.0</v>
      </c>
      <c r="AG190" s="13">
        <f t="shared" si="38"/>
        <v>3</v>
      </c>
    </row>
    <row r="191" ht="12.75" customHeight="1">
      <c r="A191" s="18"/>
      <c r="B191" s="55">
        <v>2.0</v>
      </c>
      <c r="C191" s="50" t="s">
        <v>140</v>
      </c>
      <c r="D191" s="60"/>
      <c r="E191" s="19">
        <v>0.0</v>
      </c>
      <c r="F191" s="19">
        <v>0.0</v>
      </c>
      <c r="G191" s="19">
        <v>0.0</v>
      </c>
      <c r="H191" s="19">
        <v>0.0</v>
      </c>
      <c r="I191" s="19">
        <v>0.0</v>
      </c>
      <c r="J191" s="19">
        <v>0.0</v>
      </c>
      <c r="K191" s="19">
        <v>0.0</v>
      </c>
      <c r="L191" s="19">
        <v>0.0</v>
      </c>
      <c r="M191" s="19">
        <v>0.0</v>
      </c>
      <c r="N191" s="19">
        <v>0.0</v>
      </c>
      <c r="O191" s="19">
        <v>1.0</v>
      </c>
      <c r="P191" s="19">
        <v>0.0</v>
      </c>
      <c r="Q191" s="19">
        <v>0.0</v>
      </c>
      <c r="R191" s="19">
        <v>0.0</v>
      </c>
      <c r="S191" s="19">
        <v>0.0</v>
      </c>
      <c r="T191" s="19">
        <v>0.0</v>
      </c>
      <c r="U191" s="19">
        <v>0.0</v>
      </c>
      <c r="V191" s="19">
        <v>0.0</v>
      </c>
      <c r="W191" s="19">
        <v>0.0</v>
      </c>
      <c r="X191" s="19">
        <v>0.0</v>
      </c>
      <c r="Y191" s="19">
        <v>1.0</v>
      </c>
      <c r="Z191" s="19">
        <v>0.0</v>
      </c>
      <c r="AA191" s="19">
        <v>0.0</v>
      </c>
      <c r="AB191" s="19">
        <v>0.0</v>
      </c>
      <c r="AC191" s="19">
        <v>0.0</v>
      </c>
      <c r="AD191" s="19">
        <v>0.0</v>
      </c>
      <c r="AE191" s="19">
        <v>0.0</v>
      </c>
      <c r="AF191" s="19">
        <v>0.0</v>
      </c>
      <c r="AG191" s="13">
        <f t="shared" si="38"/>
        <v>2</v>
      </c>
    </row>
    <row r="192" ht="12.75" customHeight="1">
      <c r="A192" s="18"/>
      <c r="B192" s="55">
        <v>3.0</v>
      </c>
      <c r="C192" s="50" t="s">
        <v>141</v>
      </c>
      <c r="D192" s="60"/>
      <c r="E192" s="19">
        <v>0.0</v>
      </c>
      <c r="F192" s="19">
        <v>0.0</v>
      </c>
      <c r="G192" s="19">
        <v>0.0</v>
      </c>
      <c r="H192" s="19">
        <v>0.0</v>
      </c>
      <c r="I192" s="19">
        <v>0.0</v>
      </c>
      <c r="J192" s="19">
        <v>0.0</v>
      </c>
      <c r="K192" s="19">
        <v>0.0</v>
      </c>
      <c r="L192" s="19">
        <v>0.0</v>
      </c>
      <c r="M192" s="19">
        <v>0.0</v>
      </c>
      <c r="N192" s="19">
        <v>0.0</v>
      </c>
      <c r="O192" s="19">
        <v>0.0</v>
      </c>
      <c r="P192" s="19">
        <v>0.0</v>
      </c>
      <c r="Q192" s="19">
        <v>0.0</v>
      </c>
      <c r="R192" s="19">
        <v>0.0</v>
      </c>
      <c r="S192" s="19">
        <v>0.0</v>
      </c>
      <c r="T192" s="19">
        <v>0.0</v>
      </c>
      <c r="U192" s="19">
        <v>0.0</v>
      </c>
      <c r="V192" s="19">
        <v>0.0</v>
      </c>
      <c r="W192" s="19">
        <v>0.0</v>
      </c>
      <c r="X192" s="19">
        <v>0.0</v>
      </c>
      <c r="Y192" s="19">
        <v>0.0</v>
      </c>
      <c r="Z192" s="19">
        <v>0.0</v>
      </c>
      <c r="AA192" s="19">
        <v>0.0</v>
      </c>
      <c r="AB192" s="19">
        <v>0.0</v>
      </c>
      <c r="AC192" s="19">
        <v>0.0</v>
      </c>
      <c r="AD192" s="19">
        <v>0.0</v>
      </c>
      <c r="AE192" s="19">
        <v>0.0</v>
      </c>
      <c r="AF192" s="19">
        <v>0.0</v>
      </c>
      <c r="AG192" s="13">
        <f t="shared" si="38"/>
        <v>0</v>
      </c>
    </row>
    <row r="193" ht="12.75" customHeight="1">
      <c r="A193" s="18"/>
      <c r="B193" s="55">
        <v>4.0</v>
      </c>
      <c r="C193" s="50" t="s">
        <v>142</v>
      </c>
      <c r="D193" s="60"/>
      <c r="E193" s="19">
        <v>0.0</v>
      </c>
      <c r="F193" s="19">
        <v>0.0</v>
      </c>
      <c r="G193" s="19">
        <v>0.0</v>
      </c>
      <c r="H193" s="19">
        <v>0.0</v>
      </c>
      <c r="I193" s="19">
        <v>0.0</v>
      </c>
      <c r="J193" s="19">
        <v>0.0</v>
      </c>
      <c r="K193" s="19">
        <v>0.0</v>
      </c>
      <c r="L193" s="19">
        <v>0.0</v>
      </c>
      <c r="M193" s="19">
        <v>0.0</v>
      </c>
      <c r="N193" s="19">
        <v>0.0</v>
      </c>
      <c r="O193" s="19">
        <v>0.0</v>
      </c>
      <c r="P193" s="19">
        <v>0.0</v>
      </c>
      <c r="Q193" s="19">
        <v>0.0</v>
      </c>
      <c r="R193" s="19">
        <v>0.0</v>
      </c>
      <c r="S193" s="19">
        <v>0.0</v>
      </c>
      <c r="T193" s="19">
        <v>0.0</v>
      </c>
      <c r="U193" s="19">
        <v>0.0</v>
      </c>
      <c r="V193" s="19">
        <v>0.0</v>
      </c>
      <c r="W193" s="19">
        <v>0.0</v>
      </c>
      <c r="X193" s="19">
        <v>0.0</v>
      </c>
      <c r="Y193" s="19">
        <v>0.0</v>
      </c>
      <c r="Z193" s="19">
        <v>0.0</v>
      </c>
      <c r="AA193" s="19">
        <v>0.0</v>
      </c>
      <c r="AB193" s="19">
        <v>0.0</v>
      </c>
      <c r="AC193" s="19">
        <v>0.0</v>
      </c>
      <c r="AD193" s="19">
        <v>1.0</v>
      </c>
      <c r="AE193" s="19">
        <v>0.0</v>
      </c>
      <c r="AF193" s="19">
        <v>0.0</v>
      </c>
      <c r="AG193" s="13">
        <f t="shared" si="38"/>
        <v>1</v>
      </c>
    </row>
    <row r="194" ht="12.75" customHeight="1">
      <c r="A194" s="18"/>
      <c r="B194" s="55">
        <v>5.0</v>
      </c>
      <c r="C194" s="50" t="s">
        <v>143</v>
      </c>
      <c r="D194" s="60"/>
      <c r="E194" s="19">
        <v>0.0</v>
      </c>
      <c r="F194" s="19">
        <v>0.0</v>
      </c>
      <c r="G194" s="19">
        <v>0.0</v>
      </c>
      <c r="H194" s="19">
        <v>0.0</v>
      </c>
      <c r="I194" s="19">
        <v>0.0</v>
      </c>
      <c r="J194" s="19">
        <v>0.0</v>
      </c>
      <c r="K194" s="19">
        <v>0.0</v>
      </c>
      <c r="L194" s="19">
        <v>0.0</v>
      </c>
      <c r="M194" s="19">
        <v>0.0</v>
      </c>
      <c r="N194" s="19">
        <v>0.0</v>
      </c>
      <c r="O194" s="19">
        <v>0.0</v>
      </c>
      <c r="P194" s="19">
        <v>0.0</v>
      </c>
      <c r="Q194" s="19">
        <v>0.0</v>
      </c>
      <c r="R194" s="19">
        <v>0.0</v>
      </c>
      <c r="S194" s="19">
        <v>0.0</v>
      </c>
      <c r="T194" s="19">
        <v>0.0</v>
      </c>
      <c r="U194" s="19">
        <v>0.0</v>
      </c>
      <c r="V194" s="19">
        <v>0.0</v>
      </c>
      <c r="W194" s="19">
        <v>0.0</v>
      </c>
      <c r="X194" s="19">
        <v>0.0</v>
      </c>
      <c r="Y194" s="19">
        <v>0.0</v>
      </c>
      <c r="Z194" s="19">
        <v>0.0</v>
      </c>
      <c r="AA194" s="19">
        <v>0.0</v>
      </c>
      <c r="AB194" s="19">
        <v>0.0</v>
      </c>
      <c r="AC194" s="19">
        <v>0.0</v>
      </c>
      <c r="AD194" s="19">
        <v>0.0</v>
      </c>
      <c r="AE194" s="19">
        <v>0.0</v>
      </c>
      <c r="AF194" s="19">
        <v>1.0</v>
      </c>
      <c r="AG194" s="13">
        <f t="shared" si="38"/>
        <v>1</v>
      </c>
    </row>
    <row r="195" ht="12.75" customHeight="1">
      <c r="A195" s="18"/>
      <c r="B195" s="55">
        <v>6.0</v>
      </c>
      <c r="C195" s="50" t="s">
        <v>144</v>
      </c>
      <c r="D195" s="60"/>
      <c r="E195" s="19">
        <v>0.0</v>
      </c>
      <c r="F195" s="19">
        <v>1.0</v>
      </c>
      <c r="G195" s="19">
        <v>0.0</v>
      </c>
      <c r="H195" s="19">
        <v>0.0</v>
      </c>
      <c r="I195" s="19">
        <v>1.0</v>
      </c>
      <c r="J195" s="19">
        <v>0.0</v>
      </c>
      <c r="K195" s="19">
        <v>0.0</v>
      </c>
      <c r="L195" s="19">
        <v>0.0</v>
      </c>
      <c r="M195" s="19">
        <v>0.0</v>
      </c>
      <c r="N195" s="19">
        <v>0.0</v>
      </c>
      <c r="O195" s="19">
        <v>0.0</v>
      </c>
      <c r="P195" s="19">
        <v>0.0</v>
      </c>
      <c r="Q195" s="19">
        <v>0.0</v>
      </c>
      <c r="R195" s="19">
        <v>1.0</v>
      </c>
      <c r="S195" s="19">
        <v>0.0</v>
      </c>
      <c r="T195" s="19">
        <v>0.0</v>
      </c>
      <c r="U195" s="19">
        <v>0.0</v>
      </c>
      <c r="V195" s="19">
        <v>0.0</v>
      </c>
      <c r="W195" s="19">
        <v>0.0</v>
      </c>
      <c r="X195" s="19">
        <v>0.0</v>
      </c>
      <c r="Y195" s="19">
        <v>0.0</v>
      </c>
      <c r="Z195" s="19">
        <v>0.0</v>
      </c>
      <c r="AA195" s="19">
        <v>0.0</v>
      </c>
      <c r="AB195" s="19">
        <v>0.0</v>
      </c>
      <c r="AC195" s="19">
        <v>0.0</v>
      </c>
      <c r="AD195" s="19">
        <v>0.0</v>
      </c>
      <c r="AE195" s="19">
        <v>0.0</v>
      </c>
      <c r="AF195" s="19">
        <v>0.0</v>
      </c>
      <c r="AG195" s="13">
        <f t="shared" si="38"/>
        <v>3</v>
      </c>
    </row>
    <row r="196" ht="12.75" customHeight="1">
      <c r="A196" s="18"/>
      <c r="B196" s="55">
        <v>7.0</v>
      </c>
      <c r="C196" s="50" t="s">
        <v>145</v>
      </c>
      <c r="D196" s="60"/>
      <c r="E196" s="19">
        <v>0.0</v>
      </c>
      <c r="F196" s="19">
        <v>0.0</v>
      </c>
      <c r="G196" s="19">
        <v>0.0</v>
      </c>
      <c r="H196" s="19">
        <v>0.0</v>
      </c>
      <c r="I196" s="19">
        <v>0.0</v>
      </c>
      <c r="J196" s="19">
        <v>0.0</v>
      </c>
      <c r="K196" s="19">
        <v>0.0</v>
      </c>
      <c r="L196" s="19">
        <v>0.0</v>
      </c>
      <c r="M196" s="19">
        <v>0.0</v>
      </c>
      <c r="N196" s="19">
        <v>0.0</v>
      </c>
      <c r="O196" s="19">
        <v>0.0</v>
      </c>
      <c r="P196" s="19">
        <v>0.0</v>
      </c>
      <c r="Q196" s="19">
        <v>0.0</v>
      </c>
      <c r="R196" s="19">
        <v>0.0</v>
      </c>
      <c r="S196" s="19">
        <v>0.0</v>
      </c>
      <c r="T196" s="19">
        <v>0.0</v>
      </c>
      <c r="U196" s="19">
        <v>0.0</v>
      </c>
      <c r="V196" s="19">
        <v>0.0</v>
      </c>
      <c r="W196" s="19">
        <v>0.0</v>
      </c>
      <c r="X196" s="19">
        <v>0.0</v>
      </c>
      <c r="Y196" s="19">
        <v>0.0</v>
      </c>
      <c r="Z196" s="19">
        <v>0.0</v>
      </c>
      <c r="AA196" s="19">
        <v>0.0</v>
      </c>
      <c r="AB196" s="19">
        <v>0.0</v>
      </c>
      <c r="AC196" s="19">
        <v>0.0</v>
      </c>
      <c r="AD196" s="19">
        <v>0.0</v>
      </c>
      <c r="AE196" s="19">
        <v>0.0</v>
      </c>
      <c r="AF196" s="19">
        <v>0.0</v>
      </c>
      <c r="AG196" s="13">
        <f t="shared" si="38"/>
        <v>0</v>
      </c>
    </row>
    <row r="197" ht="12.75" customHeight="1">
      <c r="A197" s="18"/>
      <c r="B197" s="56"/>
      <c r="C197" s="57"/>
      <c r="D197" s="62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  <c r="AA197" s="19"/>
      <c r="AB197" s="19"/>
      <c r="AC197" s="19"/>
      <c r="AD197" s="19"/>
      <c r="AE197" s="19"/>
      <c r="AF197" s="19"/>
      <c r="AG197" s="13">
        <f t="shared" si="38"/>
        <v>0</v>
      </c>
    </row>
    <row r="198" ht="12.75" customHeight="1">
      <c r="A198" s="18"/>
      <c r="B198" s="56"/>
      <c r="C198" s="57"/>
      <c r="D198" s="62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  <c r="AA198" s="19"/>
      <c r="AB198" s="19"/>
      <c r="AC198" s="19"/>
      <c r="AD198" s="19"/>
      <c r="AE198" s="19"/>
      <c r="AF198" s="19"/>
      <c r="AG198" s="13">
        <f t="shared" si="38"/>
        <v>0</v>
      </c>
    </row>
    <row r="199" ht="12.75" customHeight="1">
      <c r="A199" s="19" t="s">
        <v>15</v>
      </c>
      <c r="B199" s="47" t="s">
        <v>47</v>
      </c>
      <c r="C199" s="15"/>
      <c r="D199" s="16"/>
      <c r="E199" s="13">
        <f t="shared" ref="E199:AG199" si="39">SUM(E189:E198)</f>
        <v>2</v>
      </c>
      <c r="F199" s="13">
        <f t="shared" si="39"/>
        <v>2</v>
      </c>
      <c r="G199" s="13">
        <f t="shared" si="39"/>
        <v>0</v>
      </c>
      <c r="H199" s="13">
        <f t="shared" si="39"/>
        <v>0</v>
      </c>
      <c r="I199" s="13">
        <f t="shared" si="39"/>
        <v>1</v>
      </c>
      <c r="J199" s="13">
        <f t="shared" si="39"/>
        <v>0</v>
      </c>
      <c r="K199" s="13">
        <f t="shared" si="39"/>
        <v>0</v>
      </c>
      <c r="L199" s="13">
        <f t="shared" si="39"/>
        <v>0</v>
      </c>
      <c r="M199" s="13">
        <f t="shared" si="39"/>
        <v>0</v>
      </c>
      <c r="N199" s="13">
        <f t="shared" si="39"/>
        <v>0</v>
      </c>
      <c r="O199" s="13">
        <f t="shared" si="39"/>
        <v>1</v>
      </c>
      <c r="P199" s="13">
        <f t="shared" si="39"/>
        <v>0</v>
      </c>
      <c r="Q199" s="13">
        <f t="shared" si="39"/>
        <v>1</v>
      </c>
      <c r="R199" s="13">
        <f t="shared" si="39"/>
        <v>1</v>
      </c>
      <c r="S199" s="13">
        <f t="shared" si="39"/>
        <v>0</v>
      </c>
      <c r="T199" s="13">
        <f t="shared" si="39"/>
        <v>0</v>
      </c>
      <c r="U199" s="13">
        <f t="shared" si="39"/>
        <v>0</v>
      </c>
      <c r="V199" s="13">
        <f t="shared" si="39"/>
        <v>0</v>
      </c>
      <c r="W199" s="13">
        <f t="shared" si="39"/>
        <v>0</v>
      </c>
      <c r="X199" s="13">
        <f t="shared" si="39"/>
        <v>1</v>
      </c>
      <c r="Y199" s="13">
        <f t="shared" si="39"/>
        <v>1</v>
      </c>
      <c r="Z199" s="13">
        <f t="shared" si="39"/>
        <v>0</v>
      </c>
      <c r="AA199" s="13">
        <f t="shared" si="39"/>
        <v>1</v>
      </c>
      <c r="AB199" s="13">
        <f t="shared" si="39"/>
        <v>0</v>
      </c>
      <c r="AC199" s="13">
        <f t="shared" si="39"/>
        <v>1</v>
      </c>
      <c r="AD199" s="13">
        <f t="shared" si="39"/>
        <v>1</v>
      </c>
      <c r="AE199" s="13">
        <f t="shared" si="39"/>
        <v>0</v>
      </c>
      <c r="AF199" s="13">
        <f t="shared" si="39"/>
        <v>3</v>
      </c>
      <c r="AG199" s="13">
        <f t="shared" si="39"/>
        <v>16</v>
      </c>
    </row>
    <row r="200" ht="12.75" customHeight="1">
      <c r="A200" s="24"/>
      <c r="B200" s="15"/>
      <c r="C200" s="15"/>
      <c r="D200" s="15"/>
      <c r="E200" s="16"/>
      <c r="F200" s="84"/>
      <c r="G200" s="84"/>
      <c r="H200" s="84"/>
      <c r="I200" s="84"/>
      <c r="J200" s="84"/>
      <c r="K200" s="84"/>
      <c r="L200" s="84"/>
      <c r="M200" s="84"/>
      <c r="N200" s="84"/>
      <c r="O200" s="84"/>
      <c r="P200" s="84"/>
      <c r="Q200" s="84"/>
      <c r="R200" s="84"/>
      <c r="S200" s="84"/>
      <c r="T200" s="84"/>
      <c r="U200" s="84"/>
      <c r="V200" s="84"/>
      <c r="W200" s="84"/>
      <c r="X200" s="84"/>
      <c r="Y200" s="84"/>
      <c r="Z200" s="84"/>
      <c r="AA200" s="84"/>
      <c r="AB200" s="84"/>
      <c r="AC200" s="84"/>
      <c r="AD200" s="84"/>
      <c r="AE200" s="84"/>
      <c r="AF200" s="84"/>
      <c r="AG200" s="84"/>
    </row>
    <row r="201" ht="12.75" customHeight="1">
      <c r="A201" s="30" t="s">
        <v>37</v>
      </c>
      <c r="B201" s="47" t="s">
        <v>146</v>
      </c>
      <c r="C201" s="48" t="s">
        <v>147</v>
      </c>
      <c r="D201" s="16"/>
      <c r="E201" s="19">
        <v>0.0</v>
      </c>
      <c r="F201" s="19">
        <v>2.0</v>
      </c>
      <c r="G201" s="19">
        <v>2.0</v>
      </c>
      <c r="H201" s="19">
        <v>0.0</v>
      </c>
      <c r="I201" s="19">
        <v>0.0</v>
      </c>
      <c r="J201" s="19">
        <v>1.0</v>
      </c>
      <c r="K201" s="19">
        <v>0.0</v>
      </c>
      <c r="L201" s="19">
        <v>0.0</v>
      </c>
      <c r="M201" s="19">
        <v>4.0</v>
      </c>
      <c r="N201" s="19">
        <v>2.0</v>
      </c>
      <c r="O201" s="19">
        <v>0.0</v>
      </c>
      <c r="P201" s="19">
        <v>5.0</v>
      </c>
      <c r="Q201" s="19">
        <v>5.0</v>
      </c>
      <c r="R201" s="19">
        <v>3.0</v>
      </c>
      <c r="S201" s="19">
        <v>5.0</v>
      </c>
      <c r="T201" s="19">
        <v>2.0</v>
      </c>
      <c r="U201" s="19">
        <v>0.0</v>
      </c>
      <c r="V201" s="19">
        <v>0.0</v>
      </c>
      <c r="W201" s="19">
        <v>0.0</v>
      </c>
      <c r="X201" s="19">
        <v>4.0</v>
      </c>
      <c r="Y201" s="19">
        <v>1.0</v>
      </c>
      <c r="Z201" s="19">
        <v>1.0</v>
      </c>
      <c r="AA201" s="19">
        <v>0.0</v>
      </c>
      <c r="AB201" s="19">
        <v>0.0</v>
      </c>
      <c r="AC201" s="19">
        <v>0.0</v>
      </c>
      <c r="AD201" s="19">
        <v>6.0</v>
      </c>
      <c r="AE201" s="19">
        <v>2.0</v>
      </c>
      <c r="AF201" s="19">
        <v>1.0</v>
      </c>
      <c r="AG201" s="13">
        <f t="shared" ref="AG201:AG210" si="40">SUM(E201:AF201)</f>
        <v>46</v>
      </c>
    </row>
    <row r="202" ht="12.75" customHeight="1">
      <c r="A202" s="30" t="s">
        <v>39</v>
      </c>
      <c r="B202" s="55">
        <v>1.0</v>
      </c>
      <c r="C202" s="50" t="s">
        <v>148</v>
      </c>
      <c r="D202" s="60"/>
      <c r="E202" s="19">
        <v>2.0</v>
      </c>
      <c r="F202" s="19">
        <v>2.0</v>
      </c>
      <c r="G202" s="19">
        <v>0.0</v>
      </c>
      <c r="H202" s="19">
        <v>5.0</v>
      </c>
      <c r="I202" s="19">
        <v>0.0</v>
      </c>
      <c r="J202" s="19">
        <v>5.0</v>
      </c>
      <c r="K202" s="19">
        <v>0.0</v>
      </c>
      <c r="L202" s="19">
        <v>0.0</v>
      </c>
      <c r="M202" s="19">
        <v>15.0</v>
      </c>
      <c r="N202" s="19">
        <v>14.0</v>
      </c>
      <c r="O202" s="19">
        <v>5.0</v>
      </c>
      <c r="P202" s="19">
        <v>18.0</v>
      </c>
      <c r="Q202" s="19">
        <v>10.0</v>
      </c>
      <c r="R202" s="19">
        <v>9.0</v>
      </c>
      <c r="S202" s="19">
        <v>4.0</v>
      </c>
      <c r="T202" s="19">
        <v>0.0</v>
      </c>
      <c r="U202" s="19">
        <v>1.0</v>
      </c>
      <c r="V202" s="19">
        <v>0.0</v>
      </c>
      <c r="W202" s="19">
        <v>0.0</v>
      </c>
      <c r="X202" s="19">
        <v>0.0</v>
      </c>
      <c r="Y202" s="19">
        <v>0.0</v>
      </c>
      <c r="Z202" s="19">
        <v>2.0</v>
      </c>
      <c r="AA202" s="19">
        <v>1.0</v>
      </c>
      <c r="AB202" s="19">
        <v>3.0</v>
      </c>
      <c r="AC202" s="19">
        <v>1.0</v>
      </c>
      <c r="AD202" s="19">
        <v>3.0</v>
      </c>
      <c r="AE202" s="19">
        <v>0.0</v>
      </c>
      <c r="AF202" s="19">
        <v>2.0</v>
      </c>
      <c r="AG202" s="13">
        <f t="shared" si="40"/>
        <v>102</v>
      </c>
    </row>
    <row r="203" ht="12.75" customHeight="1">
      <c r="A203" s="18"/>
      <c r="B203" s="55">
        <v>2.0</v>
      </c>
      <c r="C203" s="50" t="s">
        <v>149</v>
      </c>
      <c r="D203" s="60"/>
      <c r="E203" s="19">
        <v>1.0</v>
      </c>
      <c r="F203" s="19">
        <v>0.0</v>
      </c>
      <c r="G203" s="19">
        <v>0.0</v>
      </c>
      <c r="H203" s="19">
        <v>1.0</v>
      </c>
      <c r="I203" s="19">
        <v>0.0</v>
      </c>
      <c r="J203" s="19">
        <v>0.0</v>
      </c>
      <c r="K203" s="19">
        <v>0.0</v>
      </c>
      <c r="L203" s="19">
        <v>0.0</v>
      </c>
      <c r="M203" s="19">
        <v>0.0</v>
      </c>
      <c r="N203" s="19">
        <v>2.0</v>
      </c>
      <c r="O203" s="19">
        <v>2.0</v>
      </c>
      <c r="P203" s="19">
        <v>0.0</v>
      </c>
      <c r="Q203" s="19">
        <v>1.0</v>
      </c>
      <c r="R203" s="19">
        <v>1.0</v>
      </c>
      <c r="S203" s="19">
        <v>0.0</v>
      </c>
      <c r="T203" s="19">
        <v>0.0</v>
      </c>
      <c r="U203" s="19">
        <v>0.0</v>
      </c>
      <c r="V203" s="19">
        <v>0.0</v>
      </c>
      <c r="W203" s="19">
        <v>1.0</v>
      </c>
      <c r="X203" s="19">
        <v>0.0</v>
      </c>
      <c r="Y203" s="19">
        <v>0.0</v>
      </c>
      <c r="Z203" s="19">
        <v>1.0</v>
      </c>
      <c r="AA203" s="19">
        <v>0.0</v>
      </c>
      <c r="AB203" s="19">
        <v>1.0</v>
      </c>
      <c r="AC203" s="19">
        <v>0.0</v>
      </c>
      <c r="AD203" s="19">
        <v>0.0</v>
      </c>
      <c r="AE203" s="19">
        <v>0.0</v>
      </c>
      <c r="AF203" s="19">
        <v>0.0</v>
      </c>
      <c r="AG203" s="13">
        <f t="shared" si="40"/>
        <v>11</v>
      </c>
    </row>
    <row r="204" ht="12.75" customHeight="1">
      <c r="A204" s="18"/>
      <c r="B204" s="55">
        <v>3.0</v>
      </c>
      <c r="C204" s="50" t="s">
        <v>150</v>
      </c>
      <c r="D204" s="60"/>
      <c r="E204" s="19">
        <v>0.0</v>
      </c>
      <c r="F204" s="19">
        <v>0.0</v>
      </c>
      <c r="G204" s="19">
        <v>0.0</v>
      </c>
      <c r="H204" s="19">
        <v>0.0</v>
      </c>
      <c r="I204" s="19">
        <v>0.0</v>
      </c>
      <c r="J204" s="19">
        <v>0.0</v>
      </c>
      <c r="K204" s="19">
        <v>0.0</v>
      </c>
      <c r="L204" s="19">
        <v>0.0</v>
      </c>
      <c r="M204" s="19">
        <v>0.0</v>
      </c>
      <c r="N204" s="19">
        <v>0.0</v>
      </c>
      <c r="O204" s="19">
        <v>0.0</v>
      </c>
      <c r="P204" s="19">
        <v>0.0</v>
      </c>
      <c r="Q204" s="19">
        <v>0.0</v>
      </c>
      <c r="R204" s="19">
        <v>0.0</v>
      </c>
      <c r="S204" s="19">
        <v>0.0</v>
      </c>
      <c r="T204" s="19">
        <v>0.0</v>
      </c>
      <c r="U204" s="19">
        <v>0.0</v>
      </c>
      <c r="V204" s="19">
        <v>0.0</v>
      </c>
      <c r="W204" s="19">
        <v>0.0</v>
      </c>
      <c r="X204" s="19">
        <v>0.0</v>
      </c>
      <c r="Y204" s="19">
        <v>0.0</v>
      </c>
      <c r="Z204" s="19">
        <v>0.0</v>
      </c>
      <c r="AA204" s="19">
        <v>0.0</v>
      </c>
      <c r="AB204" s="19">
        <v>0.0</v>
      </c>
      <c r="AC204" s="19">
        <v>0.0</v>
      </c>
      <c r="AD204" s="19">
        <v>0.0</v>
      </c>
      <c r="AE204" s="19">
        <v>0.0</v>
      </c>
      <c r="AF204" s="19">
        <v>1.0</v>
      </c>
      <c r="AG204" s="13">
        <f t="shared" si="40"/>
        <v>1</v>
      </c>
    </row>
    <row r="205" ht="12.75" customHeight="1">
      <c r="A205" s="18"/>
      <c r="B205" s="55">
        <v>4.0</v>
      </c>
      <c r="C205" s="50" t="s">
        <v>151</v>
      </c>
      <c r="D205" s="60"/>
      <c r="E205" s="19">
        <v>0.0</v>
      </c>
      <c r="F205" s="19">
        <v>0.0</v>
      </c>
      <c r="G205" s="19">
        <v>1.0</v>
      </c>
      <c r="H205" s="19">
        <v>0.0</v>
      </c>
      <c r="I205" s="19">
        <v>1.0</v>
      </c>
      <c r="J205" s="19">
        <v>0.0</v>
      </c>
      <c r="K205" s="19">
        <v>0.0</v>
      </c>
      <c r="L205" s="19">
        <v>0.0</v>
      </c>
      <c r="M205" s="19">
        <v>0.0</v>
      </c>
      <c r="N205" s="19">
        <v>0.0</v>
      </c>
      <c r="O205" s="19">
        <v>0.0</v>
      </c>
      <c r="P205" s="19">
        <v>0.0</v>
      </c>
      <c r="Q205" s="19">
        <v>0.0</v>
      </c>
      <c r="R205" s="19">
        <v>0.0</v>
      </c>
      <c r="S205" s="19">
        <v>0.0</v>
      </c>
      <c r="T205" s="19">
        <v>0.0</v>
      </c>
      <c r="U205" s="19">
        <v>0.0</v>
      </c>
      <c r="V205" s="19">
        <v>0.0</v>
      </c>
      <c r="W205" s="19">
        <v>0.0</v>
      </c>
      <c r="X205" s="19">
        <v>0.0</v>
      </c>
      <c r="Y205" s="19">
        <v>0.0</v>
      </c>
      <c r="Z205" s="19">
        <v>0.0</v>
      </c>
      <c r="AA205" s="19">
        <v>1.0</v>
      </c>
      <c r="AB205" s="19">
        <v>0.0</v>
      </c>
      <c r="AC205" s="19">
        <v>1.0</v>
      </c>
      <c r="AD205" s="19">
        <v>0.0</v>
      </c>
      <c r="AE205" s="19">
        <v>0.0</v>
      </c>
      <c r="AF205" s="19">
        <v>0.0</v>
      </c>
      <c r="AG205" s="13">
        <f t="shared" si="40"/>
        <v>4</v>
      </c>
    </row>
    <row r="206" ht="12.75" customHeight="1">
      <c r="A206" s="18"/>
      <c r="B206" s="55">
        <v>5.0</v>
      </c>
      <c r="C206" s="50" t="s">
        <v>152</v>
      </c>
      <c r="D206" s="60"/>
      <c r="E206" s="19">
        <v>1.0</v>
      </c>
      <c r="F206" s="19">
        <v>0.0</v>
      </c>
      <c r="G206" s="19">
        <v>0.0</v>
      </c>
      <c r="H206" s="19">
        <v>0.0</v>
      </c>
      <c r="I206" s="19">
        <v>0.0</v>
      </c>
      <c r="J206" s="19">
        <v>0.0</v>
      </c>
      <c r="K206" s="19">
        <v>0.0</v>
      </c>
      <c r="L206" s="19">
        <v>0.0</v>
      </c>
      <c r="M206" s="19">
        <v>0.0</v>
      </c>
      <c r="N206" s="19">
        <v>0.0</v>
      </c>
      <c r="O206" s="19">
        <v>0.0</v>
      </c>
      <c r="P206" s="19">
        <v>0.0</v>
      </c>
      <c r="Q206" s="19">
        <v>0.0</v>
      </c>
      <c r="R206" s="19">
        <v>0.0</v>
      </c>
      <c r="S206" s="19">
        <v>0.0</v>
      </c>
      <c r="T206" s="19">
        <v>0.0</v>
      </c>
      <c r="U206" s="19">
        <v>1.0</v>
      </c>
      <c r="V206" s="19">
        <v>0.0</v>
      </c>
      <c r="W206" s="19">
        <v>0.0</v>
      </c>
      <c r="X206" s="19">
        <v>0.0</v>
      </c>
      <c r="Y206" s="19">
        <v>0.0</v>
      </c>
      <c r="Z206" s="19">
        <v>0.0</v>
      </c>
      <c r="AA206" s="19">
        <v>0.0</v>
      </c>
      <c r="AB206" s="19">
        <v>0.0</v>
      </c>
      <c r="AC206" s="19">
        <v>0.0</v>
      </c>
      <c r="AD206" s="19">
        <v>0.0</v>
      </c>
      <c r="AE206" s="19">
        <v>0.0</v>
      </c>
      <c r="AF206" s="19">
        <v>0.0</v>
      </c>
      <c r="AG206" s="13">
        <f t="shared" si="40"/>
        <v>2</v>
      </c>
    </row>
    <row r="207" ht="12.75" customHeight="1">
      <c r="A207" s="18"/>
      <c r="B207" s="55">
        <v>6.0</v>
      </c>
      <c r="C207" s="50" t="s">
        <v>153</v>
      </c>
      <c r="D207" s="60"/>
      <c r="E207" s="19">
        <v>0.0</v>
      </c>
      <c r="F207" s="19">
        <v>0.0</v>
      </c>
      <c r="G207" s="19">
        <v>0.0</v>
      </c>
      <c r="H207" s="19">
        <v>0.0</v>
      </c>
      <c r="I207" s="19">
        <v>0.0</v>
      </c>
      <c r="J207" s="19">
        <v>0.0</v>
      </c>
      <c r="K207" s="19">
        <v>0.0</v>
      </c>
      <c r="L207" s="19">
        <v>0.0</v>
      </c>
      <c r="M207" s="19">
        <v>0.0</v>
      </c>
      <c r="N207" s="19">
        <v>0.0</v>
      </c>
      <c r="O207" s="19">
        <v>0.0</v>
      </c>
      <c r="P207" s="19">
        <v>0.0</v>
      </c>
      <c r="Q207" s="19">
        <v>0.0</v>
      </c>
      <c r="R207" s="19">
        <v>0.0</v>
      </c>
      <c r="S207" s="19">
        <v>0.0</v>
      </c>
      <c r="T207" s="19">
        <v>0.0</v>
      </c>
      <c r="U207" s="19">
        <v>0.0</v>
      </c>
      <c r="V207" s="19">
        <v>0.0</v>
      </c>
      <c r="W207" s="19">
        <v>0.0</v>
      </c>
      <c r="X207" s="19">
        <v>0.0</v>
      </c>
      <c r="Y207" s="19">
        <v>0.0</v>
      </c>
      <c r="Z207" s="19">
        <v>0.0</v>
      </c>
      <c r="AA207" s="19">
        <v>0.0</v>
      </c>
      <c r="AB207" s="19">
        <v>0.0</v>
      </c>
      <c r="AC207" s="19">
        <v>0.0</v>
      </c>
      <c r="AD207" s="19">
        <v>0.0</v>
      </c>
      <c r="AE207" s="19">
        <v>0.0</v>
      </c>
      <c r="AF207" s="19">
        <v>0.0</v>
      </c>
      <c r="AG207" s="13">
        <f t="shared" si="40"/>
        <v>0</v>
      </c>
    </row>
    <row r="208" ht="12.75" customHeight="1">
      <c r="A208" s="18"/>
      <c r="B208" s="55">
        <v>7.0</v>
      </c>
      <c r="C208" s="50" t="s">
        <v>154</v>
      </c>
      <c r="D208" s="60"/>
      <c r="E208" s="19">
        <v>0.0</v>
      </c>
      <c r="F208" s="19">
        <v>0.0</v>
      </c>
      <c r="G208" s="19">
        <v>0.0</v>
      </c>
      <c r="H208" s="19">
        <v>0.0</v>
      </c>
      <c r="I208" s="19">
        <v>0.0</v>
      </c>
      <c r="J208" s="19">
        <v>0.0</v>
      </c>
      <c r="K208" s="19">
        <v>0.0</v>
      </c>
      <c r="L208" s="19">
        <v>0.0</v>
      </c>
      <c r="M208" s="19">
        <v>0.0</v>
      </c>
      <c r="N208" s="19">
        <v>0.0</v>
      </c>
      <c r="O208" s="19">
        <v>0.0</v>
      </c>
      <c r="P208" s="19">
        <v>0.0</v>
      </c>
      <c r="Q208" s="19">
        <v>0.0</v>
      </c>
      <c r="R208" s="19">
        <v>0.0</v>
      </c>
      <c r="S208" s="19">
        <v>0.0</v>
      </c>
      <c r="T208" s="19">
        <v>0.0</v>
      </c>
      <c r="U208" s="19">
        <v>0.0</v>
      </c>
      <c r="V208" s="19">
        <v>0.0</v>
      </c>
      <c r="W208" s="19">
        <v>0.0</v>
      </c>
      <c r="X208" s="19">
        <v>0.0</v>
      </c>
      <c r="Y208" s="19">
        <v>1.0</v>
      </c>
      <c r="Z208" s="19">
        <v>0.0</v>
      </c>
      <c r="AA208" s="19">
        <v>0.0</v>
      </c>
      <c r="AB208" s="19">
        <v>0.0</v>
      </c>
      <c r="AC208" s="19">
        <v>0.0</v>
      </c>
      <c r="AD208" s="19">
        <v>1.0</v>
      </c>
      <c r="AE208" s="19">
        <v>0.0</v>
      </c>
      <c r="AF208" s="19">
        <v>0.0</v>
      </c>
      <c r="AG208" s="13">
        <f t="shared" si="40"/>
        <v>2</v>
      </c>
    </row>
    <row r="209" ht="12.75" customHeight="1">
      <c r="A209" s="18"/>
      <c r="B209" s="56"/>
      <c r="C209" s="57"/>
      <c r="D209" s="62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  <c r="AA209" s="19"/>
      <c r="AB209" s="19"/>
      <c r="AC209" s="19"/>
      <c r="AD209" s="19"/>
      <c r="AE209" s="19"/>
      <c r="AF209" s="19"/>
      <c r="AG209" s="13">
        <f t="shared" si="40"/>
        <v>0</v>
      </c>
    </row>
    <row r="210" ht="12.75" customHeight="1">
      <c r="A210" s="18"/>
      <c r="B210" s="56"/>
      <c r="C210" s="57"/>
      <c r="D210" s="62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  <c r="AA210" s="19"/>
      <c r="AB210" s="19"/>
      <c r="AC210" s="19"/>
      <c r="AD210" s="19"/>
      <c r="AE210" s="19"/>
      <c r="AF210" s="19"/>
      <c r="AG210" s="13">
        <f t="shared" si="40"/>
        <v>0</v>
      </c>
    </row>
    <row r="211" ht="12.75" customHeight="1">
      <c r="A211" s="19" t="s">
        <v>15</v>
      </c>
      <c r="B211" s="47" t="s">
        <v>47</v>
      </c>
      <c r="C211" s="15"/>
      <c r="D211" s="16"/>
      <c r="E211" s="13">
        <f t="shared" ref="E211:AG211" si="41">SUM(E201:E210)</f>
        <v>4</v>
      </c>
      <c r="F211" s="13">
        <f t="shared" si="41"/>
        <v>4</v>
      </c>
      <c r="G211" s="13">
        <f t="shared" si="41"/>
        <v>3</v>
      </c>
      <c r="H211" s="13">
        <f t="shared" si="41"/>
        <v>6</v>
      </c>
      <c r="I211" s="13">
        <f t="shared" si="41"/>
        <v>1</v>
      </c>
      <c r="J211" s="13">
        <f t="shared" si="41"/>
        <v>6</v>
      </c>
      <c r="K211" s="13">
        <f t="shared" si="41"/>
        <v>0</v>
      </c>
      <c r="L211" s="13">
        <f t="shared" si="41"/>
        <v>0</v>
      </c>
      <c r="M211" s="13">
        <f t="shared" si="41"/>
        <v>19</v>
      </c>
      <c r="N211" s="13">
        <f t="shared" si="41"/>
        <v>18</v>
      </c>
      <c r="O211" s="13">
        <f t="shared" si="41"/>
        <v>7</v>
      </c>
      <c r="P211" s="13">
        <f t="shared" si="41"/>
        <v>23</v>
      </c>
      <c r="Q211" s="13">
        <f t="shared" si="41"/>
        <v>16</v>
      </c>
      <c r="R211" s="13">
        <f t="shared" si="41"/>
        <v>13</v>
      </c>
      <c r="S211" s="13">
        <f t="shared" si="41"/>
        <v>9</v>
      </c>
      <c r="T211" s="13">
        <f t="shared" si="41"/>
        <v>2</v>
      </c>
      <c r="U211" s="13">
        <f t="shared" si="41"/>
        <v>2</v>
      </c>
      <c r="V211" s="13">
        <f t="shared" si="41"/>
        <v>0</v>
      </c>
      <c r="W211" s="13">
        <f t="shared" si="41"/>
        <v>1</v>
      </c>
      <c r="X211" s="13">
        <f t="shared" si="41"/>
        <v>4</v>
      </c>
      <c r="Y211" s="13">
        <f t="shared" si="41"/>
        <v>2</v>
      </c>
      <c r="Z211" s="13">
        <f t="shared" si="41"/>
        <v>4</v>
      </c>
      <c r="AA211" s="13">
        <f t="shared" si="41"/>
        <v>2</v>
      </c>
      <c r="AB211" s="13">
        <f t="shared" si="41"/>
        <v>4</v>
      </c>
      <c r="AC211" s="13">
        <f t="shared" si="41"/>
        <v>2</v>
      </c>
      <c r="AD211" s="13">
        <f t="shared" si="41"/>
        <v>10</v>
      </c>
      <c r="AE211" s="13">
        <f t="shared" si="41"/>
        <v>2</v>
      </c>
      <c r="AF211" s="13">
        <f t="shared" si="41"/>
        <v>4</v>
      </c>
      <c r="AG211" s="13">
        <f t="shared" si="41"/>
        <v>168</v>
      </c>
    </row>
    <row r="212" ht="12.75" customHeight="1">
      <c r="A212" s="24"/>
      <c r="B212" s="15"/>
      <c r="C212" s="15"/>
      <c r="D212" s="15"/>
      <c r="E212" s="16"/>
      <c r="F212" s="84"/>
      <c r="G212" s="84"/>
      <c r="H212" s="84"/>
      <c r="I212" s="84"/>
      <c r="J212" s="84"/>
      <c r="K212" s="84"/>
      <c r="L212" s="84"/>
      <c r="M212" s="84"/>
      <c r="N212" s="84"/>
      <c r="O212" s="84"/>
      <c r="P212" s="84"/>
      <c r="Q212" s="84"/>
      <c r="R212" s="84"/>
      <c r="S212" s="84"/>
      <c r="T212" s="84"/>
      <c r="U212" s="84"/>
      <c r="V212" s="84"/>
      <c r="W212" s="84"/>
      <c r="X212" s="84"/>
      <c r="Y212" s="84"/>
      <c r="Z212" s="84"/>
      <c r="AA212" s="84"/>
      <c r="AB212" s="84"/>
      <c r="AC212" s="84"/>
      <c r="AD212" s="84"/>
      <c r="AE212" s="84"/>
      <c r="AF212" s="84"/>
      <c r="AG212" s="84"/>
    </row>
    <row r="213" ht="12.75" customHeight="1">
      <c r="A213" s="30" t="s">
        <v>37</v>
      </c>
      <c r="B213" s="47" t="s">
        <v>155</v>
      </c>
      <c r="C213" s="48" t="s">
        <v>156</v>
      </c>
      <c r="D213" s="16"/>
      <c r="E213" s="19">
        <v>1.0</v>
      </c>
      <c r="F213" s="19">
        <v>0.0</v>
      </c>
      <c r="G213" s="19">
        <v>0.0</v>
      </c>
      <c r="H213" s="19">
        <v>0.0</v>
      </c>
      <c r="I213" s="19">
        <v>1.0</v>
      </c>
      <c r="J213" s="19">
        <v>0.0</v>
      </c>
      <c r="K213" s="19">
        <v>0.0</v>
      </c>
      <c r="L213" s="19">
        <v>1.0</v>
      </c>
      <c r="M213" s="19">
        <v>0.0</v>
      </c>
      <c r="N213" s="19">
        <v>0.0</v>
      </c>
      <c r="O213" s="19">
        <v>0.0</v>
      </c>
      <c r="P213" s="19">
        <v>1.0</v>
      </c>
      <c r="Q213" s="19">
        <v>0.0</v>
      </c>
      <c r="R213" s="19">
        <v>0.0</v>
      </c>
      <c r="S213" s="19">
        <v>2.0</v>
      </c>
      <c r="T213" s="19">
        <v>0.0</v>
      </c>
      <c r="U213" s="19">
        <v>0.0</v>
      </c>
      <c r="V213" s="19">
        <v>0.0</v>
      </c>
      <c r="W213" s="19">
        <v>0.0</v>
      </c>
      <c r="X213" s="19">
        <v>0.0</v>
      </c>
      <c r="Y213" s="19">
        <v>2.0</v>
      </c>
      <c r="Z213" s="19">
        <v>0.0</v>
      </c>
      <c r="AA213" s="19">
        <v>1.0</v>
      </c>
      <c r="AB213" s="19">
        <v>0.0</v>
      </c>
      <c r="AC213" s="19">
        <v>0.0</v>
      </c>
      <c r="AD213" s="19">
        <v>1.0</v>
      </c>
      <c r="AE213" s="19">
        <v>0.0</v>
      </c>
      <c r="AF213" s="19">
        <v>0.0</v>
      </c>
      <c r="AG213" s="13">
        <f t="shared" ref="AG213:AG222" si="42">SUM(E213:AF213)</f>
        <v>10</v>
      </c>
    </row>
    <row r="214" ht="12.75" customHeight="1">
      <c r="A214" s="30" t="s">
        <v>39</v>
      </c>
      <c r="B214" s="55">
        <v>1.0</v>
      </c>
      <c r="C214" s="50" t="s">
        <v>157</v>
      </c>
      <c r="D214" s="59"/>
      <c r="E214" s="19">
        <v>9.0</v>
      </c>
      <c r="F214" s="19">
        <v>1.0</v>
      </c>
      <c r="G214" s="19">
        <v>11.0</v>
      </c>
      <c r="H214" s="19">
        <v>3.0</v>
      </c>
      <c r="I214" s="19">
        <v>3.0</v>
      </c>
      <c r="J214" s="19">
        <v>3.0</v>
      </c>
      <c r="K214" s="19">
        <v>0.0</v>
      </c>
      <c r="L214" s="19">
        <v>0.0</v>
      </c>
      <c r="M214" s="19">
        <v>3.0</v>
      </c>
      <c r="N214" s="19">
        <v>12.0</v>
      </c>
      <c r="O214" s="19">
        <v>3.0</v>
      </c>
      <c r="P214" s="19">
        <v>6.0</v>
      </c>
      <c r="Q214" s="19">
        <v>13.0</v>
      </c>
      <c r="R214" s="19">
        <v>3.0</v>
      </c>
      <c r="S214" s="19">
        <v>5.0</v>
      </c>
      <c r="T214" s="19">
        <v>4.0</v>
      </c>
      <c r="U214" s="19">
        <v>2.0</v>
      </c>
      <c r="V214" s="19">
        <v>3.0</v>
      </c>
      <c r="W214" s="19">
        <v>11.0</v>
      </c>
      <c r="X214" s="19">
        <v>2.0</v>
      </c>
      <c r="Y214" s="19">
        <v>1.0</v>
      </c>
      <c r="Z214" s="19">
        <v>1.0</v>
      </c>
      <c r="AA214" s="19">
        <v>1.0</v>
      </c>
      <c r="AB214" s="19">
        <v>1.0</v>
      </c>
      <c r="AC214" s="19">
        <v>0.0</v>
      </c>
      <c r="AD214" s="19">
        <v>1.0</v>
      </c>
      <c r="AE214" s="19">
        <v>0.0</v>
      </c>
      <c r="AF214" s="19">
        <v>4.0</v>
      </c>
      <c r="AG214" s="13">
        <f t="shared" si="42"/>
        <v>106</v>
      </c>
    </row>
    <row r="215" ht="12.75" customHeight="1">
      <c r="A215" s="18"/>
      <c r="B215" s="55">
        <v>2.0</v>
      </c>
      <c r="C215" s="50" t="s">
        <v>158</v>
      </c>
      <c r="D215" s="59"/>
      <c r="E215" s="19">
        <v>0.0</v>
      </c>
      <c r="F215" s="19">
        <v>1.0</v>
      </c>
      <c r="G215" s="19">
        <v>0.0</v>
      </c>
      <c r="H215" s="19">
        <v>2.0</v>
      </c>
      <c r="I215" s="19">
        <v>0.0</v>
      </c>
      <c r="J215" s="19">
        <v>0.0</v>
      </c>
      <c r="K215" s="19">
        <v>0.0</v>
      </c>
      <c r="L215" s="19">
        <v>0.0</v>
      </c>
      <c r="M215" s="19">
        <v>0.0</v>
      </c>
      <c r="N215" s="19">
        <v>0.0</v>
      </c>
      <c r="O215" s="19">
        <v>0.0</v>
      </c>
      <c r="P215" s="19">
        <v>0.0</v>
      </c>
      <c r="Q215" s="19">
        <v>0.0</v>
      </c>
      <c r="R215" s="19">
        <v>0.0</v>
      </c>
      <c r="S215" s="19">
        <v>0.0</v>
      </c>
      <c r="T215" s="19">
        <v>0.0</v>
      </c>
      <c r="U215" s="19">
        <v>0.0</v>
      </c>
      <c r="V215" s="19">
        <v>0.0</v>
      </c>
      <c r="W215" s="19">
        <v>1.0</v>
      </c>
      <c r="X215" s="19">
        <v>2.0</v>
      </c>
      <c r="Y215" s="19">
        <v>2.0</v>
      </c>
      <c r="Z215" s="19">
        <v>0.0</v>
      </c>
      <c r="AA215" s="19">
        <v>0.0</v>
      </c>
      <c r="AB215" s="19">
        <v>0.0</v>
      </c>
      <c r="AC215" s="19">
        <v>1.0</v>
      </c>
      <c r="AD215" s="19">
        <v>2.0</v>
      </c>
      <c r="AE215" s="19">
        <v>0.0</v>
      </c>
      <c r="AF215" s="19">
        <v>1.0</v>
      </c>
      <c r="AG215" s="13">
        <f t="shared" si="42"/>
        <v>12</v>
      </c>
    </row>
    <row r="216" ht="12.75" customHeight="1">
      <c r="A216" s="18"/>
      <c r="B216" s="55">
        <v>3.0</v>
      </c>
      <c r="C216" s="70" t="s">
        <v>159</v>
      </c>
      <c r="E216" s="19">
        <v>0.0</v>
      </c>
      <c r="F216" s="19">
        <v>0.0</v>
      </c>
      <c r="G216" s="19">
        <v>0.0</v>
      </c>
      <c r="H216" s="19">
        <v>0.0</v>
      </c>
      <c r="I216" s="19">
        <v>0.0</v>
      </c>
      <c r="J216" s="19">
        <v>0.0</v>
      </c>
      <c r="K216" s="19">
        <v>0.0</v>
      </c>
      <c r="L216" s="19">
        <v>0.0</v>
      </c>
      <c r="M216" s="19">
        <v>0.0</v>
      </c>
      <c r="N216" s="19">
        <v>0.0</v>
      </c>
      <c r="O216" s="19">
        <v>0.0</v>
      </c>
      <c r="P216" s="19">
        <v>0.0</v>
      </c>
      <c r="Q216" s="19">
        <v>0.0</v>
      </c>
      <c r="R216" s="19">
        <v>0.0</v>
      </c>
      <c r="S216" s="19">
        <v>0.0</v>
      </c>
      <c r="T216" s="19">
        <v>0.0</v>
      </c>
      <c r="U216" s="19">
        <v>0.0</v>
      </c>
      <c r="V216" s="19">
        <v>0.0</v>
      </c>
      <c r="W216" s="19">
        <v>0.0</v>
      </c>
      <c r="X216" s="19">
        <v>0.0</v>
      </c>
      <c r="Y216" s="19">
        <v>0.0</v>
      </c>
      <c r="Z216" s="19">
        <v>0.0</v>
      </c>
      <c r="AA216" s="19">
        <v>0.0</v>
      </c>
      <c r="AB216" s="19">
        <v>0.0</v>
      </c>
      <c r="AC216" s="19">
        <v>0.0</v>
      </c>
      <c r="AD216" s="19">
        <v>2.0</v>
      </c>
      <c r="AE216" s="19">
        <v>0.0</v>
      </c>
      <c r="AF216" s="19">
        <v>0.0</v>
      </c>
      <c r="AG216" s="13">
        <f t="shared" si="42"/>
        <v>2</v>
      </c>
    </row>
    <row r="217" ht="12.75" customHeight="1">
      <c r="A217" s="18"/>
      <c r="B217" s="55">
        <v>4.0</v>
      </c>
      <c r="C217" s="50" t="s">
        <v>160</v>
      </c>
      <c r="D217" s="59"/>
      <c r="E217" s="19">
        <v>0.0</v>
      </c>
      <c r="F217" s="19">
        <v>0.0</v>
      </c>
      <c r="G217" s="19">
        <v>0.0</v>
      </c>
      <c r="H217" s="19">
        <v>0.0</v>
      </c>
      <c r="I217" s="19">
        <v>0.0</v>
      </c>
      <c r="J217" s="19">
        <v>0.0</v>
      </c>
      <c r="K217" s="19">
        <v>0.0</v>
      </c>
      <c r="L217" s="19">
        <v>0.0</v>
      </c>
      <c r="M217" s="19">
        <v>0.0</v>
      </c>
      <c r="N217" s="19">
        <v>0.0</v>
      </c>
      <c r="O217" s="19">
        <v>0.0</v>
      </c>
      <c r="P217" s="19">
        <v>0.0</v>
      </c>
      <c r="Q217" s="19">
        <v>0.0</v>
      </c>
      <c r="R217" s="19">
        <v>0.0</v>
      </c>
      <c r="S217" s="19">
        <v>0.0</v>
      </c>
      <c r="T217" s="19">
        <v>0.0</v>
      </c>
      <c r="U217" s="19">
        <v>0.0</v>
      </c>
      <c r="V217" s="19">
        <v>0.0</v>
      </c>
      <c r="W217" s="19">
        <v>0.0</v>
      </c>
      <c r="X217" s="19">
        <v>0.0</v>
      </c>
      <c r="Y217" s="19">
        <v>0.0</v>
      </c>
      <c r="Z217" s="19">
        <v>0.0</v>
      </c>
      <c r="AA217" s="19">
        <v>0.0</v>
      </c>
      <c r="AB217" s="19">
        <v>0.0</v>
      </c>
      <c r="AC217" s="19">
        <v>0.0</v>
      </c>
      <c r="AD217" s="19">
        <v>0.0</v>
      </c>
      <c r="AE217" s="19">
        <v>0.0</v>
      </c>
      <c r="AF217" s="19">
        <v>0.0</v>
      </c>
      <c r="AG217" s="13">
        <f t="shared" si="42"/>
        <v>0</v>
      </c>
    </row>
    <row r="218" ht="12.75" customHeight="1">
      <c r="A218" s="18"/>
      <c r="B218" s="55">
        <v>5.0</v>
      </c>
      <c r="C218" s="50" t="s">
        <v>161</v>
      </c>
      <c r="D218" s="59"/>
      <c r="E218" s="19">
        <v>0.0</v>
      </c>
      <c r="F218" s="19">
        <v>0.0</v>
      </c>
      <c r="G218" s="19">
        <v>0.0</v>
      </c>
      <c r="H218" s="19">
        <v>0.0</v>
      </c>
      <c r="I218" s="19">
        <v>0.0</v>
      </c>
      <c r="J218" s="19">
        <v>0.0</v>
      </c>
      <c r="K218" s="19">
        <v>0.0</v>
      </c>
      <c r="L218" s="19">
        <v>0.0</v>
      </c>
      <c r="M218" s="19">
        <v>0.0</v>
      </c>
      <c r="N218" s="19">
        <v>0.0</v>
      </c>
      <c r="O218" s="19">
        <v>0.0</v>
      </c>
      <c r="P218" s="19">
        <v>0.0</v>
      </c>
      <c r="Q218" s="19">
        <v>0.0</v>
      </c>
      <c r="R218" s="19">
        <v>0.0</v>
      </c>
      <c r="S218" s="19">
        <v>0.0</v>
      </c>
      <c r="T218" s="19">
        <v>0.0</v>
      </c>
      <c r="U218" s="19">
        <v>0.0</v>
      </c>
      <c r="V218" s="19">
        <v>0.0</v>
      </c>
      <c r="W218" s="19">
        <v>0.0</v>
      </c>
      <c r="X218" s="19">
        <v>0.0</v>
      </c>
      <c r="Y218" s="19">
        <v>0.0</v>
      </c>
      <c r="Z218" s="19">
        <v>0.0</v>
      </c>
      <c r="AA218" s="19">
        <v>0.0</v>
      </c>
      <c r="AB218" s="19">
        <v>0.0</v>
      </c>
      <c r="AC218" s="19">
        <v>0.0</v>
      </c>
      <c r="AD218" s="19">
        <v>0.0</v>
      </c>
      <c r="AE218" s="19">
        <v>0.0</v>
      </c>
      <c r="AF218" s="19">
        <v>1.0</v>
      </c>
      <c r="AG218" s="13">
        <f t="shared" si="42"/>
        <v>1</v>
      </c>
    </row>
    <row r="219" ht="12.75" customHeight="1">
      <c r="A219" s="18"/>
      <c r="B219" s="55">
        <v>6.0</v>
      </c>
      <c r="C219" s="50" t="s">
        <v>162</v>
      </c>
      <c r="D219" s="59"/>
      <c r="E219" s="19">
        <v>0.0</v>
      </c>
      <c r="F219" s="19">
        <v>0.0</v>
      </c>
      <c r="G219" s="19">
        <v>0.0</v>
      </c>
      <c r="H219" s="19">
        <v>0.0</v>
      </c>
      <c r="I219" s="19">
        <v>0.0</v>
      </c>
      <c r="J219" s="19">
        <v>0.0</v>
      </c>
      <c r="K219" s="19">
        <v>0.0</v>
      </c>
      <c r="L219" s="19">
        <v>0.0</v>
      </c>
      <c r="M219" s="19">
        <v>0.0</v>
      </c>
      <c r="N219" s="19">
        <v>0.0</v>
      </c>
      <c r="O219" s="19">
        <v>0.0</v>
      </c>
      <c r="P219" s="19">
        <v>0.0</v>
      </c>
      <c r="Q219" s="19">
        <v>0.0</v>
      </c>
      <c r="R219" s="19">
        <v>0.0</v>
      </c>
      <c r="S219" s="19">
        <v>0.0</v>
      </c>
      <c r="T219" s="19">
        <v>0.0</v>
      </c>
      <c r="U219" s="19">
        <v>0.0</v>
      </c>
      <c r="V219" s="19">
        <v>0.0</v>
      </c>
      <c r="W219" s="19">
        <v>0.0</v>
      </c>
      <c r="X219" s="19">
        <v>0.0</v>
      </c>
      <c r="Y219" s="19">
        <v>0.0</v>
      </c>
      <c r="Z219" s="19">
        <v>0.0</v>
      </c>
      <c r="AA219" s="19">
        <v>0.0</v>
      </c>
      <c r="AB219" s="19">
        <v>0.0</v>
      </c>
      <c r="AC219" s="19">
        <v>0.0</v>
      </c>
      <c r="AD219" s="19">
        <v>0.0</v>
      </c>
      <c r="AE219" s="19">
        <v>0.0</v>
      </c>
      <c r="AF219" s="19">
        <v>0.0</v>
      </c>
      <c r="AG219" s="13">
        <f t="shared" si="42"/>
        <v>0</v>
      </c>
    </row>
    <row r="220" ht="12.75" customHeight="1">
      <c r="A220" s="18"/>
      <c r="B220" s="55">
        <v>7.0</v>
      </c>
      <c r="C220" s="50" t="s">
        <v>163</v>
      </c>
      <c r="D220" s="59"/>
      <c r="E220" s="19">
        <v>0.0</v>
      </c>
      <c r="F220" s="19">
        <v>0.0</v>
      </c>
      <c r="G220" s="19">
        <v>0.0</v>
      </c>
      <c r="H220" s="19">
        <v>0.0</v>
      </c>
      <c r="I220" s="19">
        <v>1.0</v>
      </c>
      <c r="J220" s="19">
        <v>0.0</v>
      </c>
      <c r="K220" s="19">
        <v>0.0</v>
      </c>
      <c r="L220" s="19">
        <v>0.0</v>
      </c>
      <c r="M220" s="19">
        <v>0.0</v>
      </c>
      <c r="N220" s="19">
        <v>0.0</v>
      </c>
      <c r="O220" s="19">
        <v>0.0</v>
      </c>
      <c r="P220" s="19">
        <v>0.0</v>
      </c>
      <c r="Q220" s="19">
        <v>0.0</v>
      </c>
      <c r="R220" s="19">
        <v>0.0</v>
      </c>
      <c r="S220" s="19">
        <v>0.0</v>
      </c>
      <c r="T220" s="19">
        <v>0.0</v>
      </c>
      <c r="U220" s="19">
        <v>0.0</v>
      </c>
      <c r="V220" s="19">
        <v>0.0</v>
      </c>
      <c r="W220" s="19">
        <v>0.0</v>
      </c>
      <c r="X220" s="19">
        <v>0.0</v>
      </c>
      <c r="Y220" s="19">
        <v>0.0</v>
      </c>
      <c r="Z220" s="19">
        <v>0.0</v>
      </c>
      <c r="AA220" s="19">
        <v>0.0</v>
      </c>
      <c r="AB220" s="19">
        <v>0.0</v>
      </c>
      <c r="AC220" s="19">
        <v>0.0</v>
      </c>
      <c r="AD220" s="19">
        <v>0.0</v>
      </c>
      <c r="AE220" s="19">
        <v>0.0</v>
      </c>
      <c r="AF220" s="19">
        <v>0.0</v>
      </c>
      <c r="AG220" s="13">
        <f t="shared" si="42"/>
        <v>1</v>
      </c>
    </row>
    <row r="221" ht="12.75" customHeight="1">
      <c r="A221" s="18"/>
      <c r="B221" s="56"/>
      <c r="C221" s="57"/>
      <c r="D221" s="61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  <c r="AA221" s="19"/>
      <c r="AB221" s="19"/>
      <c r="AC221" s="19"/>
      <c r="AD221" s="19"/>
      <c r="AE221" s="19"/>
      <c r="AF221" s="19"/>
      <c r="AG221" s="13">
        <f t="shared" si="42"/>
        <v>0</v>
      </c>
    </row>
    <row r="222" ht="12.75" customHeight="1">
      <c r="A222" s="18"/>
      <c r="B222" s="56"/>
      <c r="C222" s="57"/>
      <c r="D222" s="61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19"/>
      <c r="AB222" s="19"/>
      <c r="AC222" s="19"/>
      <c r="AD222" s="19"/>
      <c r="AE222" s="19"/>
      <c r="AF222" s="19"/>
      <c r="AG222" s="13">
        <f t="shared" si="42"/>
        <v>0</v>
      </c>
    </row>
    <row r="223" ht="12.75" customHeight="1">
      <c r="A223" s="19" t="s">
        <v>15</v>
      </c>
      <c r="B223" s="47" t="s">
        <v>47</v>
      </c>
      <c r="C223" s="15"/>
      <c r="D223" s="16"/>
      <c r="E223" s="13">
        <f t="shared" ref="E223:AG223" si="43">SUM(E213:E222)</f>
        <v>10</v>
      </c>
      <c r="F223" s="13">
        <f t="shared" si="43"/>
        <v>2</v>
      </c>
      <c r="G223" s="13">
        <f t="shared" si="43"/>
        <v>11</v>
      </c>
      <c r="H223" s="13">
        <f t="shared" si="43"/>
        <v>5</v>
      </c>
      <c r="I223" s="13">
        <f t="shared" si="43"/>
        <v>5</v>
      </c>
      <c r="J223" s="13">
        <f t="shared" si="43"/>
        <v>3</v>
      </c>
      <c r="K223" s="13">
        <f t="shared" si="43"/>
        <v>0</v>
      </c>
      <c r="L223" s="13">
        <f t="shared" si="43"/>
        <v>1</v>
      </c>
      <c r="M223" s="13">
        <f t="shared" si="43"/>
        <v>3</v>
      </c>
      <c r="N223" s="13">
        <f t="shared" si="43"/>
        <v>12</v>
      </c>
      <c r="O223" s="13">
        <f t="shared" si="43"/>
        <v>3</v>
      </c>
      <c r="P223" s="13">
        <f t="shared" si="43"/>
        <v>7</v>
      </c>
      <c r="Q223" s="13">
        <f t="shared" si="43"/>
        <v>13</v>
      </c>
      <c r="R223" s="13">
        <f t="shared" si="43"/>
        <v>3</v>
      </c>
      <c r="S223" s="13">
        <f t="shared" si="43"/>
        <v>7</v>
      </c>
      <c r="T223" s="13">
        <f t="shared" si="43"/>
        <v>4</v>
      </c>
      <c r="U223" s="13">
        <f t="shared" si="43"/>
        <v>2</v>
      </c>
      <c r="V223" s="13">
        <f t="shared" si="43"/>
        <v>3</v>
      </c>
      <c r="W223" s="13">
        <f t="shared" si="43"/>
        <v>12</v>
      </c>
      <c r="X223" s="13">
        <f t="shared" si="43"/>
        <v>4</v>
      </c>
      <c r="Y223" s="13">
        <f t="shared" si="43"/>
        <v>5</v>
      </c>
      <c r="Z223" s="13">
        <f t="shared" si="43"/>
        <v>1</v>
      </c>
      <c r="AA223" s="13">
        <f t="shared" si="43"/>
        <v>2</v>
      </c>
      <c r="AB223" s="13">
        <f t="shared" si="43"/>
        <v>1</v>
      </c>
      <c r="AC223" s="13">
        <f t="shared" si="43"/>
        <v>1</v>
      </c>
      <c r="AD223" s="13">
        <f t="shared" si="43"/>
        <v>6</v>
      </c>
      <c r="AE223" s="13">
        <f t="shared" si="43"/>
        <v>0</v>
      </c>
      <c r="AF223" s="13">
        <f t="shared" si="43"/>
        <v>6</v>
      </c>
      <c r="AG223" s="13">
        <f t="shared" si="43"/>
        <v>132</v>
      </c>
    </row>
    <row r="224" ht="12.75" customHeight="1">
      <c r="A224" s="24"/>
      <c r="B224" s="15"/>
      <c r="C224" s="15"/>
      <c r="D224" s="15"/>
      <c r="E224" s="16"/>
      <c r="F224" s="84"/>
      <c r="G224" s="84"/>
      <c r="H224" s="84"/>
      <c r="I224" s="84"/>
      <c r="J224" s="84"/>
      <c r="K224" s="84"/>
      <c r="L224" s="84"/>
      <c r="M224" s="84"/>
      <c r="N224" s="84"/>
      <c r="O224" s="84"/>
      <c r="P224" s="84"/>
      <c r="Q224" s="84"/>
      <c r="R224" s="84"/>
      <c r="S224" s="84"/>
      <c r="T224" s="84"/>
      <c r="U224" s="84"/>
      <c r="V224" s="84"/>
      <c r="W224" s="84"/>
      <c r="X224" s="84"/>
      <c r="Y224" s="84"/>
      <c r="Z224" s="84"/>
      <c r="AA224" s="84"/>
      <c r="AB224" s="84"/>
      <c r="AC224" s="84"/>
      <c r="AD224" s="84"/>
      <c r="AE224" s="84"/>
      <c r="AF224" s="84"/>
      <c r="AG224" s="84"/>
    </row>
    <row r="225" ht="12.75" customHeight="1">
      <c r="A225" s="30" t="s">
        <v>37</v>
      </c>
      <c r="B225" s="47" t="s">
        <v>164</v>
      </c>
      <c r="C225" s="48" t="s">
        <v>165</v>
      </c>
      <c r="D225" s="16"/>
      <c r="E225" s="19">
        <v>0.0</v>
      </c>
      <c r="F225" s="19">
        <v>0.0</v>
      </c>
      <c r="G225" s="19">
        <v>0.0</v>
      </c>
      <c r="H225" s="19">
        <v>0.0</v>
      </c>
      <c r="I225" s="19">
        <v>0.0</v>
      </c>
      <c r="J225" s="19">
        <v>0.0</v>
      </c>
      <c r="K225" s="19">
        <v>0.0</v>
      </c>
      <c r="L225" s="19">
        <v>0.0</v>
      </c>
      <c r="M225" s="19">
        <v>0.0</v>
      </c>
      <c r="N225" s="19">
        <v>0.0</v>
      </c>
      <c r="O225" s="19">
        <v>0.0</v>
      </c>
      <c r="P225" s="19">
        <v>1.0</v>
      </c>
      <c r="Q225" s="19">
        <v>0.0</v>
      </c>
      <c r="R225" s="19">
        <v>0.0</v>
      </c>
      <c r="S225" s="19">
        <v>0.0</v>
      </c>
      <c r="T225" s="19">
        <v>0.0</v>
      </c>
      <c r="U225" s="19">
        <v>0.0</v>
      </c>
      <c r="V225" s="19">
        <v>0.0</v>
      </c>
      <c r="W225" s="19">
        <v>0.0</v>
      </c>
      <c r="X225" s="19">
        <v>0.0</v>
      </c>
      <c r="Y225" s="19">
        <v>0.0</v>
      </c>
      <c r="Z225" s="19">
        <v>0.0</v>
      </c>
      <c r="AA225" s="19">
        <v>0.0</v>
      </c>
      <c r="AB225" s="19">
        <v>0.0</v>
      </c>
      <c r="AC225" s="19">
        <v>0.0</v>
      </c>
      <c r="AD225" s="19">
        <v>0.0</v>
      </c>
      <c r="AE225" s="19">
        <v>0.0</v>
      </c>
      <c r="AF225" s="19">
        <v>0.0</v>
      </c>
      <c r="AG225" s="13">
        <f t="shared" ref="AG225:AG234" si="44">SUM(E225:AF225)</f>
        <v>1</v>
      </c>
    </row>
    <row r="226" ht="12.75" customHeight="1">
      <c r="A226" s="30" t="s">
        <v>39</v>
      </c>
      <c r="B226" s="55">
        <v>1.0</v>
      </c>
      <c r="C226" s="50" t="s">
        <v>166</v>
      </c>
      <c r="D226" s="60"/>
      <c r="E226" s="19">
        <v>0.0</v>
      </c>
      <c r="F226" s="19">
        <v>0.0</v>
      </c>
      <c r="G226" s="19">
        <v>0.0</v>
      </c>
      <c r="H226" s="19">
        <v>0.0</v>
      </c>
      <c r="I226" s="19">
        <v>0.0</v>
      </c>
      <c r="J226" s="19">
        <v>0.0</v>
      </c>
      <c r="K226" s="19">
        <v>0.0</v>
      </c>
      <c r="L226" s="19">
        <v>0.0</v>
      </c>
      <c r="M226" s="19">
        <v>0.0</v>
      </c>
      <c r="N226" s="19">
        <v>0.0</v>
      </c>
      <c r="O226" s="19">
        <v>0.0</v>
      </c>
      <c r="P226" s="19">
        <v>0.0</v>
      </c>
      <c r="Q226" s="19">
        <v>0.0</v>
      </c>
      <c r="R226" s="19">
        <v>0.0</v>
      </c>
      <c r="S226" s="19">
        <v>1.0</v>
      </c>
      <c r="T226" s="19">
        <v>0.0</v>
      </c>
      <c r="U226" s="19">
        <v>0.0</v>
      </c>
      <c r="V226" s="19">
        <v>0.0</v>
      </c>
      <c r="W226" s="19">
        <v>0.0</v>
      </c>
      <c r="X226" s="19">
        <v>0.0</v>
      </c>
      <c r="Y226" s="19">
        <v>0.0</v>
      </c>
      <c r="Z226" s="19">
        <v>0.0</v>
      </c>
      <c r="AA226" s="19">
        <v>0.0</v>
      </c>
      <c r="AB226" s="19">
        <v>0.0</v>
      </c>
      <c r="AC226" s="19">
        <v>0.0</v>
      </c>
      <c r="AD226" s="19">
        <v>0.0</v>
      </c>
      <c r="AE226" s="19">
        <v>0.0</v>
      </c>
      <c r="AF226" s="19">
        <v>0.0</v>
      </c>
      <c r="AG226" s="13">
        <f t="shared" si="44"/>
        <v>1</v>
      </c>
    </row>
    <row r="227" ht="12.75" customHeight="1">
      <c r="A227" s="18"/>
      <c r="B227" s="55">
        <v>2.0</v>
      </c>
      <c r="C227" s="50" t="s">
        <v>167</v>
      </c>
      <c r="D227" s="60"/>
      <c r="E227" s="19">
        <v>0.0</v>
      </c>
      <c r="F227" s="19">
        <v>0.0</v>
      </c>
      <c r="G227" s="19">
        <v>0.0</v>
      </c>
      <c r="H227" s="19">
        <v>0.0</v>
      </c>
      <c r="I227" s="19">
        <v>0.0</v>
      </c>
      <c r="J227" s="19">
        <v>0.0</v>
      </c>
      <c r="K227" s="19">
        <v>0.0</v>
      </c>
      <c r="L227" s="19">
        <v>0.0</v>
      </c>
      <c r="M227" s="19">
        <v>0.0</v>
      </c>
      <c r="N227" s="19">
        <v>0.0</v>
      </c>
      <c r="O227" s="19">
        <v>0.0</v>
      </c>
      <c r="P227" s="19">
        <v>0.0</v>
      </c>
      <c r="Q227" s="19">
        <v>0.0</v>
      </c>
      <c r="R227" s="19">
        <v>0.0</v>
      </c>
      <c r="S227" s="19">
        <v>0.0</v>
      </c>
      <c r="T227" s="19">
        <v>0.0</v>
      </c>
      <c r="U227" s="19">
        <v>0.0</v>
      </c>
      <c r="V227" s="19">
        <v>0.0</v>
      </c>
      <c r="W227" s="19">
        <v>0.0</v>
      </c>
      <c r="X227" s="19">
        <v>0.0</v>
      </c>
      <c r="Y227" s="19">
        <v>0.0</v>
      </c>
      <c r="Z227" s="19">
        <v>0.0</v>
      </c>
      <c r="AA227" s="19">
        <v>0.0</v>
      </c>
      <c r="AB227" s="19">
        <v>0.0</v>
      </c>
      <c r="AC227" s="19">
        <v>0.0</v>
      </c>
      <c r="AD227" s="19">
        <v>0.0</v>
      </c>
      <c r="AE227" s="19">
        <v>0.0</v>
      </c>
      <c r="AF227" s="19">
        <v>0.0</v>
      </c>
      <c r="AG227" s="13">
        <f t="shared" si="44"/>
        <v>0</v>
      </c>
    </row>
    <row r="228" ht="12.75" customHeight="1">
      <c r="A228" s="18"/>
      <c r="B228" s="55">
        <v>3.0</v>
      </c>
      <c r="C228" s="50" t="s">
        <v>168</v>
      </c>
      <c r="D228" s="60"/>
      <c r="E228" s="19">
        <v>0.0</v>
      </c>
      <c r="F228" s="19">
        <v>0.0</v>
      </c>
      <c r="G228" s="19">
        <v>0.0</v>
      </c>
      <c r="H228" s="19">
        <v>0.0</v>
      </c>
      <c r="I228" s="19">
        <v>1.0</v>
      </c>
      <c r="J228" s="19">
        <v>0.0</v>
      </c>
      <c r="K228" s="19">
        <v>0.0</v>
      </c>
      <c r="L228" s="19">
        <v>0.0</v>
      </c>
      <c r="M228" s="19">
        <v>0.0</v>
      </c>
      <c r="N228" s="19">
        <v>0.0</v>
      </c>
      <c r="O228" s="19">
        <v>0.0</v>
      </c>
      <c r="P228" s="19">
        <v>0.0</v>
      </c>
      <c r="Q228" s="19">
        <v>0.0</v>
      </c>
      <c r="R228" s="19">
        <v>1.0</v>
      </c>
      <c r="S228" s="19">
        <v>0.0</v>
      </c>
      <c r="T228" s="19">
        <v>0.0</v>
      </c>
      <c r="U228" s="19">
        <v>0.0</v>
      </c>
      <c r="V228" s="19">
        <v>0.0</v>
      </c>
      <c r="W228" s="19">
        <v>0.0</v>
      </c>
      <c r="X228" s="19">
        <v>0.0</v>
      </c>
      <c r="Y228" s="19">
        <v>0.0</v>
      </c>
      <c r="Z228" s="19">
        <v>0.0</v>
      </c>
      <c r="AA228" s="19">
        <v>0.0</v>
      </c>
      <c r="AB228" s="19">
        <v>0.0</v>
      </c>
      <c r="AC228" s="19">
        <v>0.0</v>
      </c>
      <c r="AD228" s="19">
        <v>0.0</v>
      </c>
      <c r="AE228" s="19">
        <v>0.0</v>
      </c>
      <c r="AF228" s="19">
        <v>0.0</v>
      </c>
      <c r="AG228" s="13">
        <f t="shared" si="44"/>
        <v>2</v>
      </c>
    </row>
    <row r="229" ht="12.75" customHeight="1">
      <c r="A229" s="18"/>
      <c r="B229" s="55">
        <v>4.0</v>
      </c>
      <c r="C229" s="50" t="s">
        <v>169</v>
      </c>
      <c r="D229" s="60"/>
      <c r="E229" s="19">
        <v>0.0</v>
      </c>
      <c r="F229" s="19">
        <v>0.0</v>
      </c>
      <c r="G229" s="19">
        <v>0.0</v>
      </c>
      <c r="H229" s="19">
        <v>0.0</v>
      </c>
      <c r="I229" s="19">
        <v>0.0</v>
      </c>
      <c r="J229" s="19">
        <v>0.0</v>
      </c>
      <c r="K229" s="19">
        <v>0.0</v>
      </c>
      <c r="L229" s="19">
        <v>0.0</v>
      </c>
      <c r="M229" s="19">
        <v>0.0</v>
      </c>
      <c r="N229" s="19">
        <v>0.0</v>
      </c>
      <c r="O229" s="19">
        <v>0.0</v>
      </c>
      <c r="P229" s="19">
        <v>0.0</v>
      </c>
      <c r="Q229" s="19">
        <v>0.0</v>
      </c>
      <c r="R229" s="19">
        <v>0.0</v>
      </c>
      <c r="S229" s="19">
        <v>0.0</v>
      </c>
      <c r="T229" s="19">
        <v>0.0</v>
      </c>
      <c r="U229" s="19">
        <v>0.0</v>
      </c>
      <c r="V229" s="19">
        <v>0.0</v>
      </c>
      <c r="W229" s="19">
        <v>0.0</v>
      </c>
      <c r="X229" s="19">
        <v>0.0</v>
      </c>
      <c r="Y229" s="19">
        <v>0.0</v>
      </c>
      <c r="Z229" s="19">
        <v>0.0</v>
      </c>
      <c r="AA229" s="19">
        <v>0.0</v>
      </c>
      <c r="AB229" s="19">
        <v>0.0</v>
      </c>
      <c r="AC229" s="19">
        <v>0.0</v>
      </c>
      <c r="AD229" s="19">
        <v>0.0</v>
      </c>
      <c r="AE229" s="19">
        <v>0.0</v>
      </c>
      <c r="AF229" s="19">
        <v>0.0</v>
      </c>
      <c r="AG229" s="13">
        <f t="shared" si="44"/>
        <v>0</v>
      </c>
    </row>
    <row r="230" ht="12.75" customHeight="1">
      <c r="A230" s="18"/>
      <c r="B230" s="55">
        <v>5.0</v>
      </c>
      <c r="C230" s="50" t="s">
        <v>170</v>
      </c>
      <c r="D230" s="60"/>
      <c r="E230" s="19">
        <v>0.0</v>
      </c>
      <c r="F230" s="19">
        <v>0.0</v>
      </c>
      <c r="G230" s="19">
        <v>0.0</v>
      </c>
      <c r="H230" s="19">
        <v>0.0</v>
      </c>
      <c r="I230" s="19">
        <v>0.0</v>
      </c>
      <c r="J230" s="19">
        <v>0.0</v>
      </c>
      <c r="K230" s="19">
        <v>0.0</v>
      </c>
      <c r="L230" s="19">
        <v>0.0</v>
      </c>
      <c r="M230" s="19">
        <v>0.0</v>
      </c>
      <c r="N230" s="19">
        <v>0.0</v>
      </c>
      <c r="O230" s="19">
        <v>0.0</v>
      </c>
      <c r="P230" s="19">
        <v>0.0</v>
      </c>
      <c r="Q230" s="19">
        <v>0.0</v>
      </c>
      <c r="R230" s="19">
        <v>0.0</v>
      </c>
      <c r="S230" s="19">
        <v>0.0</v>
      </c>
      <c r="T230" s="19">
        <v>0.0</v>
      </c>
      <c r="U230" s="19">
        <v>0.0</v>
      </c>
      <c r="V230" s="19">
        <v>0.0</v>
      </c>
      <c r="W230" s="19">
        <v>0.0</v>
      </c>
      <c r="X230" s="19">
        <v>0.0</v>
      </c>
      <c r="Y230" s="19">
        <v>0.0</v>
      </c>
      <c r="Z230" s="19">
        <v>0.0</v>
      </c>
      <c r="AA230" s="19">
        <v>0.0</v>
      </c>
      <c r="AB230" s="19">
        <v>0.0</v>
      </c>
      <c r="AC230" s="19">
        <v>0.0</v>
      </c>
      <c r="AD230" s="19">
        <v>0.0</v>
      </c>
      <c r="AE230" s="19">
        <v>0.0</v>
      </c>
      <c r="AF230" s="19">
        <v>0.0</v>
      </c>
      <c r="AG230" s="13">
        <f t="shared" si="44"/>
        <v>0</v>
      </c>
    </row>
    <row r="231" ht="12.75" customHeight="1">
      <c r="A231" s="18"/>
      <c r="B231" s="55">
        <v>6.0</v>
      </c>
      <c r="C231" s="50" t="s">
        <v>171</v>
      </c>
      <c r="D231" s="60"/>
      <c r="E231" s="19">
        <v>0.0</v>
      </c>
      <c r="F231" s="19">
        <v>0.0</v>
      </c>
      <c r="G231" s="19">
        <v>0.0</v>
      </c>
      <c r="H231" s="19">
        <v>0.0</v>
      </c>
      <c r="I231" s="19">
        <v>0.0</v>
      </c>
      <c r="J231" s="19">
        <v>0.0</v>
      </c>
      <c r="K231" s="19">
        <v>0.0</v>
      </c>
      <c r="L231" s="19">
        <v>0.0</v>
      </c>
      <c r="M231" s="19">
        <v>0.0</v>
      </c>
      <c r="N231" s="19">
        <v>0.0</v>
      </c>
      <c r="O231" s="19">
        <v>0.0</v>
      </c>
      <c r="P231" s="19">
        <v>0.0</v>
      </c>
      <c r="Q231" s="19">
        <v>0.0</v>
      </c>
      <c r="R231" s="19">
        <v>0.0</v>
      </c>
      <c r="S231" s="19">
        <v>0.0</v>
      </c>
      <c r="T231" s="19">
        <v>0.0</v>
      </c>
      <c r="U231" s="19">
        <v>0.0</v>
      </c>
      <c r="V231" s="19">
        <v>0.0</v>
      </c>
      <c r="W231" s="19">
        <v>0.0</v>
      </c>
      <c r="X231" s="19">
        <v>0.0</v>
      </c>
      <c r="Y231" s="19">
        <v>0.0</v>
      </c>
      <c r="Z231" s="19">
        <v>0.0</v>
      </c>
      <c r="AA231" s="19">
        <v>0.0</v>
      </c>
      <c r="AB231" s="19">
        <v>0.0</v>
      </c>
      <c r="AC231" s="19">
        <v>0.0</v>
      </c>
      <c r="AD231" s="19">
        <v>0.0</v>
      </c>
      <c r="AE231" s="19">
        <v>0.0</v>
      </c>
      <c r="AF231" s="19">
        <v>0.0</v>
      </c>
      <c r="AG231" s="13">
        <f t="shared" si="44"/>
        <v>0</v>
      </c>
    </row>
    <row r="232" ht="12.75" customHeight="1">
      <c r="A232" s="18"/>
      <c r="B232" s="55">
        <v>7.0</v>
      </c>
      <c r="C232" s="50" t="s">
        <v>172</v>
      </c>
      <c r="D232" s="60"/>
      <c r="E232" s="19">
        <v>0.0</v>
      </c>
      <c r="F232" s="19">
        <v>0.0</v>
      </c>
      <c r="G232" s="19">
        <v>0.0</v>
      </c>
      <c r="H232" s="19">
        <v>0.0</v>
      </c>
      <c r="I232" s="19">
        <v>0.0</v>
      </c>
      <c r="J232" s="19">
        <v>0.0</v>
      </c>
      <c r="K232" s="19">
        <v>0.0</v>
      </c>
      <c r="L232" s="19">
        <v>0.0</v>
      </c>
      <c r="M232" s="19">
        <v>0.0</v>
      </c>
      <c r="N232" s="19">
        <v>0.0</v>
      </c>
      <c r="O232" s="19">
        <v>0.0</v>
      </c>
      <c r="P232" s="19">
        <v>2.0</v>
      </c>
      <c r="Q232" s="19">
        <v>0.0</v>
      </c>
      <c r="R232" s="19">
        <v>0.0</v>
      </c>
      <c r="S232" s="19">
        <v>0.0</v>
      </c>
      <c r="T232" s="19">
        <v>0.0</v>
      </c>
      <c r="U232" s="19">
        <v>0.0</v>
      </c>
      <c r="V232" s="19">
        <v>0.0</v>
      </c>
      <c r="W232" s="19">
        <v>1.0</v>
      </c>
      <c r="X232" s="19">
        <v>0.0</v>
      </c>
      <c r="Y232" s="19">
        <v>0.0</v>
      </c>
      <c r="Z232" s="19">
        <v>0.0</v>
      </c>
      <c r="AA232" s="19">
        <v>0.0</v>
      </c>
      <c r="AB232" s="19">
        <v>0.0</v>
      </c>
      <c r="AC232" s="19">
        <v>0.0</v>
      </c>
      <c r="AD232" s="19">
        <v>1.0</v>
      </c>
      <c r="AE232" s="19">
        <v>0.0</v>
      </c>
      <c r="AF232" s="19">
        <v>0.0</v>
      </c>
      <c r="AG232" s="13">
        <f t="shared" si="44"/>
        <v>4</v>
      </c>
    </row>
    <row r="233" ht="12.75" customHeight="1">
      <c r="A233" s="18"/>
      <c r="B233" s="56"/>
      <c r="C233" s="57"/>
      <c r="D233" s="62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  <c r="AA233" s="19"/>
      <c r="AB233" s="19"/>
      <c r="AC233" s="19"/>
      <c r="AD233" s="19"/>
      <c r="AE233" s="19"/>
      <c r="AF233" s="19"/>
      <c r="AG233" s="13">
        <f t="shared" si="44"/>
        <v>0</v>
      </c>
    </row>
    <row r="234" ht="12.75" customHeight="1">
      <c r="A234" s="18"/>
      <c r="B234" s="56"/>
      <c r="C234" s="57"/>
      <c r="D234" s="62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  <c r="AA234" s="19"/>
      <c r="AB234" s="19"/>
      <c r="AC234" s="19"/>
      <c r="AD234" s="19"/>
      <c r="AE234" s="19"/>
      <c r="AF234" s="19"/>
      <c r="AG234" s="13">
        <f t="shared" si="44"/>
        <v>0</v>
      </c>
    </row>
    <row r="235" ht="12.75" customHeight="1">
      <c r="A235" s="19" t="s">
        <v>15</v>
      </c>
      <c r="B235" s="47" t="s">
        <v>47</v>
      </c>
      <c r="C235" s="15"/>
      <c r="D235" s="16"/>
      <c r="E235" s="13">
        <f t="shared" ref="E235:AG235" si="45">SUM(E225:E234)</f>
        <v>0</v>
      </c>
      <c r="F235" s="13">
        <f t="shared" si="45"/>
        <v>0</v>
      </c>
      <c r="G235" s="13">
        <f t="shared" si="45"/>
        <v>0</v>
      </c>
      <c r="H235" s="13">
        <f t="shared" si="45"/>
        <v>0</v>
      </c>
      <c r="I235" s="13">
        <f t="shared" si="45"/>
        <v>1</v>
      </c>
      <c r="J235" s="13">
        <f t="shared" si="45"/>
        <v>0</v>
      </c>
      <c r="K235" s="13">
        <f t="shared" si="45"/>
        <v>0</v>
      </c>
      <c r="L235" s="13">
        <f t="shared" si="45"/>
        <v>0</v>
      </c>
      <c r="M235" s="13">
        <f t="shared" si="45"/>
        <v>0</v>
      </c>
      <c r="N235" s="13">
        <f t="shared" si="45"/>
        <v>0</v>
      </c>
      <c r="O235" s="13">
        <f t="shared" si="45"/>
        <v>0</v>
      </c>
      <c r="P235" s="13">
        <f t="shared" si="45"/>
        <v>3</v>
      </c>
      <c r="Q235" s="13">
        <f t="shared" si="45"/>
        <v>0</v>
      </c>
      <c r="R235" s="13">
        <f t="shared" si="45"/>
        <v>1</v>
      </c>
      <c r="S235" s="13">
        <f t="shared" si="45"/>
        <v>1</v>
      </c>
      <c r="T235" s="13">
        <f t="shared" si="45"/>
        <v>0</v>
      </c>
      <c r="U235" s="13">
        <f t="shared" si="45"/>
        <v>0</v>
      </c>
      <c r="V235" s="13">
        <f t="shared" si="45"/>
        <v>0</v>
      </c>
      <c r="W235" s="13">
        <f t="shared" si="45"/>
        <v>1</v>
      </c>
      <c r="X235" s="13">
        <f t="shared" si="45"/>
        <v>0</v>
      </c>
      <c r="Y235" s="13">
        <f t="shared" si="45"/>
        <v>0</v>
      </c>
      <c r="Z235" s="13">
        <f t="shared" si="45"/>
        <v>0</v>
      </c>
      <c r="AA235" s="13">
        <f t="shared" si="45"/>
        <v>0</v>
      </c>
      <c r="AB235" s="13">
        <f t="shared" si="45"/>
        <v>0</v>
      </c>
      <c r="AC235" s="13">
        <f t="shared" si="45"/>
        <v>0</v>
      </c>
      <c r="AD235" s="13">
        <f t="shared" si="45"/>
        <v>1</v>
      </c>
      <c r="AE235" s="13">
        <f t="shared" si="45"/>
        <v>0</v>
      </c>
      <c r="AF235" s="13">
        <f t="shared" si="45"/>
        <v>0</v>
      </c>
      <c r="AG235" s="13">
        <f t="shared" si="45"/>
        <v>8</v>
      </c>
    </row>
    <row r="236" ht="12.75" customHeight="1">
      <c r="A236" s="24"/>
      <c r="B236" s="15"/>
      <c r="C236" s="15"/>
      <c r="D236" s="15"/>
      <c r="E236" s="16"/>
      <c r="F236" s="84"/>
      <c r="G236" s="84"/>
      <c r="H236" s="84"/>
      <c r="I236" s="84"/>
      <c r="J236" s="84"/>
      <c r="K236" s="84"/>
      <c r="L236" s="84"/>
      <c r="M236" s="84"/>
      <c r="N236" s="84"/>
      <c r="O236" s="84"/>
      <c r="P236" s="84"/>
      <c r="Q236" s="84"/>
      <c r="R236" s="84"/>
      <c r="S236" s="84"/>
      <c r="T236" s="84"/>
      <c r="U236" s="84"/>
      <c r="V236" s="84"/>
      <c r="W236" s="84"/>
      <c r="X236" s="84"/>
      <c r="Y236" s="84"/>
      <c r="Z236" s="84"/>
      <c r="AA236" s="84"/>
      <c r="AB236" s="84"/>
      <c r="AC236" s="84"/>
      <c r="AD236" s="84"/>
      <c r="AE236" s="84"/>
      <c r="AF236" s="84"/>
      <c r="AG236" s="84"/>
    </row>
    <row r="237" ht="12.75" customHeight="1">
      <c r="A237" s="30" t="s">
        <v>37</v>
      </c>
      <c r="B237" s="47" t="s">
        <v>173</v>
      </c>
      <c r="C237" s="48" t="s">
        <v>174</v>
      </c>
      <c r="D237" s="16"/>
      <c r="E237" s="19">
        <v>0.0</v>
      </c>
      <c r="F237" s="19">
        <v>0.0</v>
      </c>
      <c r="G237" s="19">
        <v>1.0</v>
      </c>
      <c r="H237" s="19">
        <v>1.0</v>
      </c>
      <c r="I237" s="19">
        <v>0.0</v>
      </c>
      <c r="J237" s="19">
        <v>1.0</v>
      </c>
      <c r="K237" s="19">
        <v>1.0</v>
      </c>
      <c r="L237" s="19">
        <v>0.0</v>
      </c>
      <c r="M237" s="19">
        <v>3.0</v>
      </c>
      <c r="N237" s="19">
        <v>4.0</v>
      </c>
      <c r="O237" s="19">
        <v>1.0</v>
      </c>
      <c r="P237" s="19">
        <v>2.0</v>
      </c>
      <c r="Q237" s="19">
        <v>0.0</v>
      </c>
      <c r="R237" s="19">
        <v>4.0</v>
      </c>
      <c r="S237" s="19">
        <v>3.0</v>
      </c>
      <c r="T237" s="19">
        <v>3.0</v>
      </c>
      <c r="U237" s="19">
        <v>3.0</v>
      </c>
      <c r="V237" s="19">
        <v>1.0</v>
      </c>
      <c r="W237" s="19">
        <v>1.0</v>
      </c>
      <c r="X237" s="19">
        <v>0.0</v>
      </c>
      <c r="Y237" s="19">
        <v>4.0</v>
      </c>
      <c r="Z237" s="19">
        <v>2.0</v>
      </c>
      <c r="AA237" s="19">
        <v>7.0</v>
      </c>
      <c r="AB237" s="19">
        <v>0.0</v>
      </c>
      <c r="AC237" s="19">
        <v>0.0</v>
      </c>
      <c r="AD237" s="19">
        <v>1.0</v>
      </c>
      <c r="AE237" s="19">
        <v>0.0</v>
      </c>
      <c r="AF237" s="19">
        <v>1.0</v>
      </c>
      <c r="AG237" s="13">
        <f t="shared" ref="AG237:AG246" si="46">SUM(E237:AF237)</f>
        <v>44</v>
      </c>
    </row>
    <row r="238" ht="12.75" customHeight="1">
      <c r="A238" s="30" t="s">
        <v>39</v>
      </c>
      <c r="B238" s="55">
        <v>1.0</v>
      </c>
      <c r="C238" s="50" t="s">
        <v>175</v>
      </c>
      <c r="D238" s="60"/>
      <c r="E238" s="19">
        <v>1.0</v>
      </c>
      <c r="F238" s="19">
        <v>2.0</v>
      </c>
      <c r="G238" s="19">
        <v>0.0</v>
      </c>
      <c r="H238" s="19">
        <v>0.0</v>
      </c>
      <c r="I238" s="19">
        <v>0.0</v>
      </c>
      <c r="J238" s="19">
        <v>0.0</v>
      </c>
      <c r="K238" s="19">
        <v>0.0</v>
      </c>
      <c r="L238" s="19">
        <v>1.0</v>
      </c>
      <c r="M238" s="19">
        <v>0.0</v>
      </c>
      <c r="N238" s="19">
        <v>1.0</v>
      </c>
      <c r="O238" s="19">
        <v>3.0</v>
      </c>
      <c r="P238" s="19">
        <v>0.0</v>
      </c>
      <c r="Q238" s="19">
        <v>0.0</v>
      </c>
      <c r="R238" s="19">
        <v>0.0</v>
      </c>
      <c r="S238" s="19">
        <v>0.0</v>
      </c>
      <c r="T238" s="19">
        <v>3.0</v>
      </c>
      <c r="U238" s="19">
        <v>1.0</v>
      </c>
      <c r="V238" s="19">
        <v>0.0</v>
      </c>
      <c r="W238" s="19">
        <v>1.0</v>
      </c>
      <c r="X238" s="19">
        <v>0.0</v>
      </c>
      <c r="Y238" s="19">
        <v>4.0</v>
      </c>
      <c r="Z238" s="19">
        <v>0.0</v>
      </c>
      <c r="AA238" s="19">
        <v>3.0</v>
      </c>
      <c r="AB238" s="19">
        <v>0.0</v>
      </c>
      <c r="AC238" s="19">
        <v>0.0</v>
      </c>
      <c r="AD238" s="19">
        <v>1.0</v>
      </c>
      <c r="AE238" s="19">
        <v>0.0</v>
      </c>
      <c r="AF238" s="19">
        <v>0.0</v>
      </c>
      <c r="AG238" s="13">
        <f t="shared" si="46"/>
        <v>21</v>
      </c>
    </row>
    <row r="239" ht="12.75" customHeight="1">
      <c r="A239" s="18"/>
      <c r="B239" s="55">
        <v>2.0</v>
      </c>
      <c r="C239" s="50" t="s">
        <v>176</v>
      </c>
      <c r="D239" s="60"/>
      <c r="E239" s="19">
        <v>4.0</v>
      </c>
      <c r="F239" s="19">
        <v>11.0</v>
      </c>
      <c r="G239" s="19">
        <v>0.0</v>
      </c>
      <c r="H239" s="19">
        <v>0.0</v>
      </c>
      <c r="I239" s="19">
        <v>3.0</v>
      </c>
      <c r="J239" s="19">
        <v>1.0</v>
      </c>
      <c r="K239" s="19">
        <v>0.0</v>
      </c>
      <c r="L239" s="19">
        <v>3.0</v>
      </c>
      <c r="M239" s="19">
        <v>32.0</v>
      </c>
      <c r="N239" s="19">
        <v>96.0</v>
      </c>
      <c r="O239" s="19">
        <v>29.0</v>
      </c>
      <c r="P239" s="19">
        <v>2.0</v>
      </c>
      <c r="Q239" s="19">
        <v>0.0</v>
      </c>
      <c r="R239" s="19">
        <v>35.0</v>
      </c>
      <c r="S239" s="19">
        <v>12.0</v>
      </c>
      <c r="T239" s="19">
        <v>8.0</v>
      </c>
      <c r="U239" s="19">
        <v>5.0</v>
      </c>
      <c r="V239" s="19">
        <v>1.0</v>
      </c>
      <c r="W239" s="19">
        <v>2.0</v>
      </c>
      <c r="X239" s="19">
        <v>43.0</v>
      </c>
      <c r="Y239" s="19">
        <v>19.0</v>
      </c>
      <c r="Z239" s="19">
        <v>0.0</v>
      </c>
      <c r="AA239" s="19">
        <v>25.0</v>
      </c>
      <c r="AB239" s="19">
        <v>1.0</v>
      </c>
      <c r="AC239" s="19">
        <v>1.0</v>
      </c>
      <c r="AD239" s="19">
        <v>1.0</v>
      </c>
      <c r="AE239" s="19">
        <v>1.0</v>
      </c>
      <c r="AF239" s="19">
        <v>12.0</v>
      </c>
      <c r="AG239" s="13">
        <f t="shared" si="46"/>
        <v>347</v>
      </c>
    </row>
    <row r="240" ht="12.75" customHeight="1">
      <c r="A240" s="18"/>
      <c r="B240" s="55">
        <v>3.0</v>
      </c>
      <c r="C240" s="50" t="s">
        <v>177</v>
      </c>
      <c r="D240" s="60"/>
      <c r="E240" s="19">
        <v>0.0</v>
      </c>
      <c r="F240" s="19">
        <v>0.0</v>
      </c>
      <c r="G240" s="19">
        <v>0.0</v>
      </c>
      <c r="H240" s="19">
        <v>1.0</v>
      </c>
      <c r="I240" s="19">
        <v>0.0</v>
      </c>
      <c r="J240" s="19">
        <v>0.0</v>
      </c>
      <c r="K240" s="19">
        <v>0.0</v>
      </c>
      <c r="L240" s="19">
        <v>0.0</v>
      </c>
      <c r="M240" s="19">
        <v>0.0</v>
      </c>
      <c r="N240" s="19">
        <v>1.0</v>
      </c>
      <c r="O240" s="19">
        <v>1.0</v>
      </c>
      <c r="P240" s="19">
        <v>1.0</v>
      </c>
      <c r="Q240" s="19">
        <v>0.0</v>
      </c>
      <c r="R240" s="19">
        <v>0.0</v>
      </c>
      <c r="S240" s="19">
        <v>0.0</v>
      </c>
      <c r="T240" s="19">
        <v>0.0</v>
      </c>
      <c r="U240" s="19">
        <v>0.0</v>
      </c>
      <c r="V240" s="19">
        <v>0.0</v>
      </c>
      <c r="W240" s="19">
        <v>1.0</v>
      </c>
      <c r="X240" s="19">
        <v>0.0</v>
      </c>
      <c r="Y240" s="19">
        <v>0.0</v>
      </c>
      <c r="Z240" s="19">
        <v>0.0</v>
      </c>
      <c r="AA240" s="19">
        <v>0.0</v>
      </c>
      <c r="AB240" s="19">
        <v>0.0</v>
      </c>
      <c r="AC240" s="19">
        <v>0.0</v>
      </c>
      <c r="AD240" s="19">
        <v>0.0</v>
      </c>
      <c r="AE240" s="19">
        <v>0.0</v>
      </c>
      <c r="AF240" s="19">
        <v>0.0</v>
      </c>
      <c r="AG240" s="13">
        <f t="shared" si="46"/>
        <v>5</v>
      </c>
    </row>
    <row r="241" ht="12.75" customHeight="1">
      <c r="A241" s="18"/>
      <c r="B241" s="55">
        <v>4.0</v>
      </c>
      <c r="C241" s="50" t="s">
        <v>178</v>
      </c>
      <c r="D241" s="60"/>
      <c r="E241" s="19">
        <v>0.0</v>
      </c>
      <c r="F241" s="19">
        <v>0.0</v>
      </c>
      <c r="G241" s="19">
        <v>0.0</v>
      </c>
      <c r="H241" s="19">
        <v>3.0</v>
      </c>
      <c r="I241" s="19">
        <v>2.0</v>
      </c>
      <c r="J241" s="19">
        <v>0.0</v>
      </c>
      <c r="K241" s="19">
        <v>0.0</v>
      </c>
      <c r="L241" s="19">
        <v>0.0</v>
      </c>
      <c r="M241" s="19">
        <v>0.0</v>
      </c>
      <c r="N241" s="19">
        <v>0.0</v>
      </c>
      <c r="O241" s="19">
        <v>6.0</v>
      </c>
      <c r="P241" s="19">
        <v>0.0</v>
      </c>
      <c r="Q241" s="19">
        <v>0.0</v>
      </c>
      <c r="R241" s="19">
        <v>0.0</v>
      </c>
      <c r="S241" s="19">
        <v>1.0</v>
      </c>
      <c r="T241" s="19">
        <v>0.0</v>
      </c>
      <c r="U241" s="19">
        <v>0.0</v>
      </c>
      <c r="V241" s="19">
        <v>0.0</v>
      </c>
      <c r="W241" s="19">
        <v>0.0</v>
      </c>
      <c r="X241" s="19">
        <v>0.0</v>
      </c>
      <c r="Y241" s="19">
        <v>0.0</v>
      </c>
      <c r="Z241" s="19">
        <v>0.0</v>
      </c>
      <c r="AA241" s="19">
        <v>0.0</v>
      </c>
      <c r="AB241" s="19">
        <v>0.0</v>
      </c>
      <c r="AC241" s="19">
        <v>0.0</v>
      </c>
      <c r="AD241" s="19">
        <v>1.0</v>
      </c>
      <c r="AE241" s="19">
        <v>1.0</v>
      </c>
      <c r="AF241" s="19">
        <v>0.0</v>
      </c>
      <c r="AG241" s="13">
        <f t="shared" si="46"/>
        <v>14</v>
      </c>
    </row>
    <row r="242" ht="12.75" customHeight="1">
      <c r="A242" s="18"/>
      <c r="B242" s="55">
        <v>5.0</v>
      </c>
      <c r="C242" s="50" t="s">
        <v>179</v>
      </c>
      <c r="D242" s="60"/>
      <c r="E242" s="19">
        <v>0.0</v>
      </c>
      <c r="F242" s="19">
        <v>0.0</v>
      </c>
      <c r="G242" s="19">
        <v>0.0</v>
      </c>
      <c r="H242" s="19">
        <v>0.0</v>
      </c>
      <c r="I242" s="19">
        <v>0.0</v>
      </c>
      <c r="J242" s="19">
        <v>0.0</v>
      </c>
      <c r="K242" s="19">
        <v>0.0</v>
      </c>
      <c r="L242" s="19">
        <v>0.0</v>
      </c>
      <c r="M242" s="19">
        <v>0.0</v>
      </c>
      <c r="N242" s="19">
        <v>0.0</v>
      </c>
      <c r="O242" s="19">
        <v>0.0</v>
      </c>
      <c r="P242" s="19">
        <v>0.0</v>
      </c>
      <c r="Q242" s="19">
        <v>0.0</v>
      </c>
      <c r="R242" s="19">
        <v>1.0</v>
      </c>
      <c r="S242" s="19">
        <v>0.0</v>
      </c>
      <c r="T242" s="19">
        <v>0.0</v>
      </c>
      <c r="U242" s="19">
        <v>0.0</v>
      </c>
      <c r="V242" s="19">
        <v>0.0</v>
      </c>
      <c r="W242" s="19">
        <v>0.0</v>
      </c>
      <c r="X242" s="19">
        <v>0.0</v>
      </c>
      <c r="Y242" s="19">
        <v>0.0</v>
      </c>
      <c r="Z242" s="19">
        <v>0.0</v>
      </c>
      <c r="AA242" s="19">
        <v>0.0</v>
      </c>
      <c r="AB242" s="19">
        <v>0.0</v>
      </c>
      <c r="AC242" s="19">
        <v>0.0</v>
      </c>
      <c r="AD242" s="19">
        <v>0.0</v>
      </c>
      <c r="AE242" s="19">
        <v>0.0</v>
      </c>
      <c r="AF242" s="19">
        <v>0.0</v>
      </c>
      <c r="AG242" s="13">
        <f t="shared" si="46"/>
        <v>1</v>
      </c>
    </row>
    <row r="243" ht="12.75" customHeight="1">
      <c r="A243" s="18"/>
      <c r="B243" s="55">
        <v>6.0</v>
      </c>
      <c r="C243" s="50" t="s">
        <v>180</v>
      </c>
      <c r="D243" s="60"/>
      <c r="E243" s="19">
        <v>0.0</v>
      </c>
      <c r="F243" s="19">
        <v>0.0</v>
      </c>
      <c r="G243" s="19">
        <v>0.0</v>
      </c>
      <c r="H243" s="19">
        <v>0.0</v>
      </c>
      <c r="I243" s="19">
        <v>0.0</v>
      </c>
      <c r="J243" s="19">
        <v>0.0</v>
      </c>
      <c r="K243" s="19">
        <v>0.0</v>
      </c>
      <c r="L243" s="19">
        <v>0.0</v>
      </c>
      <c r="M243" s="19">
        <v>0.0</v>
      </c>
      <c r="N243" s="19">
        <v>0.0</v>
      </c>
      <c r="O243" s="19">
        <v>0.0</v>
      </c>
      <c r="P243" s="19">
        <v>0.0</v>
      </c>
      <c r="Q243" s="19">
        <v>0.0</v>
      </c>
      <c r="R243" s="19">
        <v>0.0</v>
      </c>
      <c r="S243" s="19">
        <v>0.0</v>
      </c>
      <c r="T243" s="19">
        <v>0.0</v>
      </c>
      <c r="U243" s="19">
        <v>0.0</v>
      </c>
      <c r="V243" s="19">
        <v>0.0</v>
      </c>
      <c r="W243" s="19">
        <v>0.0</v>
      </c>
      <c r="X243" s="19">
        <v>0.0</v>
      </c>
      <c r="Y243" s="19">
        <v>0.0</v>
      </c>
      <c r="Z243" s="19">
        <v>0.0</v>
      </c>
      <c r="AA243" s="19">
        <v>0.0</v>
      </c>
      <c r="AB243" s="19">
        <v>0.0</v>
      </c>
      <c r="AC243" s="19">
        <v>0.0</v>
      </c>
      <c r="AD243" s="19">
        <v>0.0</v>
      </c>
      <c r="AE243" s="19">
        <v>0.0</v>
      </c>
      <c r="AF243" s="19">
        <v>1.0</v>
      </c>
      <c r="AG243" s="13">
        <f t="shared" si="46"/>
        <v>1</v>
      </c>
    </row>
    <row r="244" ht="12.75" customHeight="1">
      <c r="A244" s="18"/>
      <c r="B244" s="55">
        <v>7.0</v>
      </c>
      <c r="C244" s="50" t="s">
        <v>181</v>
      </c>
      <c r="D244" s="60"/>
      <c r="E244" s="19">
        <v>3.0</v>
      </c>
      <c r="F244" s="19">
        <v>0.0</v>
      </c>
      <c r="G244" s="19">
        <v>0.0</v>
      </c>
      <c r="H244" s="19">
        <v>0.0</v>
      </c>
      <c r="I244" s="19">
        <v>5.0</v>
      </c>
      <c r="J244" s="19">
        <v>0.0</v>
      </c>
      <c r="K244" s="19">
        <v>0.0</v>
      </c>
      <c r="L244" s="19">
        <v>0.0</v>
      </c>
      <c r="M244" s="19">
        <v>0.0</v>
      </c>
      <c r="N244" s="19">
        <v>0.0</v>
      </c>
      <c r="O244" s="19">
        <v>1.0</v>
      </c>
      <c r="P244" s="19">
        <v>0.0</v>
      </c>
      <c r="Q244" s="19">
        <v>0.0</v>
      </c>
      <c r="R244" s="19">
        <v>1.0</v>
      </c>
      <c r="S244" s="19">
        <v>0.0</v>
      </c>
      <c r="T244" s="19">
        <v>0.0</v>
      </c>
      <c r="U244" s="19">
        <v>0.0</v>
      </c>
      <c r="V244" s="19">
        <v>5.0</v>
      </c>
      <c r="W244" s="19">
        <v>5.0</v>
      </c>
      <c r="X244" s="19">
        <v>0.0</v>
      </c>
      <c r="Y244" s="19">
        <v>1.0</v>
      </c>
      <c r="Z244" s="19">
        <v>0.0</v>
      </c>
      <c r="AA244" s="19">
        <v>1.0</v>
      </c>
      <c r="AB244" s="19">
        <v>0.0</v>
      </c>
      <c r="AC244" s="19">
        <v>0.0</v>
      </c>
      <c r="AD244" s="19">
        <v>0.0</v>
      </c>
      <c r="AE244" s="19">
        <v>0.0</v>
      </c>
      <c r="AF244" s="19">
        <v>0.0</v>
      </c>
      <c r="AG244" s="13">
        <f t="shared" si="46"/>
        <v>22</v>
      </c>
    </row>
    <row r="245" ht="12.75" customHeight="1">
      <c r="A245" s="18"/>
      <c r="B245" s="56"/>
      <c r="C245" s="57"/>
      <c r="D245" s="62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9"/>
      <c r="AB245" s="19"/>
      <c r="AC245" s="19"/>
      <c r="AD245" s="19"/>
      <c r="AE245" s="19"/>
      <c r="AF245" s="19"/>
      <c r="AG245" s="13">
        <f t="shared" si="46"/>
        <v>0</v>
      </c>
    </row>
    <row r="246" ht="12.75" customHeight="1">
      <c r="A246" s="18"/>
      <c r="B246" s="56"/>
      <c r="C246" s="57"/>
      <c r="D246" s="62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  <c r="AA246" s="19"/>
      <c r="AB246" s="19"/>
      <c r="AC246" s="19"/>
      <c r="AD246" s="19"/>
      <c r="AE246" s="19"/>
      <c r="AF246" s="19"/>
      <c r="AG246" s="13">
        <f t="shared" si="46"/>
        <v>0</v>
      </c>
    </row>
    <row r="247" ht="12.75" customHeight="1">
      <c r="A247" s="19" t="s">
        <v>15</v>
      </c>
      <c r="B247" s="47" t="s">
        <v>47</v>
      </c>
      <c r="C247" s="15"/>
      <c r="D247" s="16"/>
      <c r="E247" s="13">
        <f t="shared" ref="E247:AG247" si="47">SUM(E237:E246)</f>
        <v>8</v>
      </c>
      <c r="F247" s="13">
        <f t="shared" si="47"/>
        <v>13</v>
      </c>
      <c r="G247" s="13">
        <f t="shared" si="47"/>
        <v>1</v>
      </c>
      <c r="H247" s="13">
        <f t="shared" si="47"/>
        <v>5</v>
      </c>
      <c r="I247" s="13">
        <f t="shared" si="47"/>
        <v>10</v>
      </c>
      <c r="J247" s="13">
        <f t="shared" si="47"/>
        <v>2</v>
      </c>
      <c r="K247" s="13">
        <f t="shared" si="47"/>
        <v>1</v>
      </c>
      <c r="L247" s="13">
        <f t="shared" si="47"/>
        <v>4</v>
      </c>
      <c r="M247" s="13">
        <f t="shared" si="47"/>
        <v>35</v>
      </c>
      <c r="N247" s="13">
        <f t="shared" si="47"/>
        <v>102</v>
      </c>
      <c r="O247" s="13">
        <f t="shared" si="47"/>
        <v>41</v>
      </c>
      <c r="P247" s="13">
        <f t="shared" si="47"/>
        <v>5</v>
      </c>
      <c r="Q247" s="13">
        <f t="shared" si="47"/>
        <v>0</v>
      </c>
      <c r="R247" s="13">
        <f t="shared" si="47"/>
        <v>41</v>
      </c>
      <c r="S247" s="13">
        <f t="shared" si="47"/>
        <v>16</v>
      </c>
      <c r="T247" s="13">
        <f t="shared" si="47"/>
        <v>14</v>
      </c>
      <c r="U247" s="13">
        <f t="shared" si="47"/>
        <v>9</v>
      </c>
      <c r="V247" s="13">
        <f t="shared" si="47"/>
        <v>7</v>
      </c>
      <c r="W247" s="13">
        <f t="shared" si="47"/>
        <v>10</v>
      </c>
      <c r="X247" s="13">
        <f t="shared" si="47"/>
        <v>43</v>
      </c>
      <c r="Y247" s="13">
        <f t="shared" si="47"/>
        <v>28</v>
      </c>
      <c r="Z247" s="13">
        <f t="shared" si="47"/>
        <v>2</v>
      </c>
      <c r="AA247" s="13">
        <f t="shared" si="47"/>
        <v>36</v>
      </c>
      <c r="AB247" s="13">
        <f t="shared" si="47"/>
        <v>1</v>
      </c>
      <c r="AC247" s="13">
        <f t="shared" si="47"/>
        <v>1</v>
      </c>
      <c r="AD247" s="13">
        <f t="shared" si="47"/>
        <v>4</v>
      </c>
      <c r="AE247" s="13">
        <f t="shared" si="47"/>
        <v>2</v>
      </c>
      <c r="AF247" s="13">
        <f t="shared" si="47"/>
        <v>14</v>
      </c>
      <c r="AG247" s="13">
        <f t="shared" si="47"/>
        <v>455</v>
      </c>
    </row>
    <row r="248" ht="12.75" customHeight="1">
      <c r="A248" s="24"/>
      <c r="B248" s="15"/>
      <c r="C248" s="15"/>
      <c r="D248" s="15"/>
      <c r="E248" s="16"/>
    </row>
    <row r="249" ht="12.75" customHeight="1">
      <c r="A249" s="30" t="s">
        <v>37</v>
      </c>
      <c r="B249" s="47" t="s">
        <v>182</v>
      </c>
      <c r="C249" s="48" t="s">
        <v>183</v>
      </c>
      <c r="D249" s="16"/>
      <c r="E249" s="19">
        <v>0.0</v>
      </c>
      <c r="F249" s="19">
        <v>0.0</v>
      </c>
      <c r="G249" s="19">
        <v>0.0</v>
      </c>
      <c r="H249" s="19">
        <v>0.0</v>
      </c>
      <c r="I249" s="19">
        <v>1.0</v>
      </c>
      <c r="J249" s="19">
        <v>0.0</v>
      </c>
      <c r="K249" s="19">
        <v>0.0</v>
      </c>
      <c r="L249" s="19">
        <v>1.0</v>
      </c>
      <c r="M249" s="19">
        <v>0.0</v>
      </c>
      <c r="N249" s="19">
        <v>0.0</v>
      </c>
      <c r="O249" s="19">
        <v>0.0</v>
      </c>
      <c r="P249" s="19">
        <v>1.0</v>
      </c>
      <c r="Q249" s="19">
        <v>1.0</v>
      </c>
      <c r="R249" s="19">
        <v>0.0</v>
      </c>
      <c r="S249" s="19">
        <v>0.0</v>
      </c>
      <c r="T249" s="19">
        <v>0.0</v>
      </c>
      <c r="U249" s="19">
        <v>1.0</v>
      </c>
      <c r="V249" s="19">
        <v>0.0</v>
      </c>
      <c r="W249" s="19">
        <v>0.0</v>
      </c>
      <c r="X249" s="19">
        <v>0.0</v>
      </c>
      <c r="Y249" s="19">
        <v>0.0</v>
      </c>
      <c r="Z249" s="19">
        <v>0.0</v>
      </c>
      <c r="AA249" s="19">
        <v>1.0</v>
      </c>
      <c r="AB249" s="19">
        <v>0.0</v>
      </c>
      <c r="AC249" s="19">
        <v>0.0</v>
      </c>
      <c r="AD249" s="19">
        <v>0.0</v>
      </c>
      <c r="AE249" s="19">
        <v>0.0</v>
      </c>
      <c r="AF249" s="19">
        <v>1.0</v>
      </c>
      <c r="AG249" s="13">
        <f t="shared" ref="AG249:AG258" si="48">SUM(E249:AF249)</f>
        <v>7</v>
      </c>
    </row>
    <row r="250" ht="12.75" customHeight="1">
      <c r="A250" s="30" t="s">
        <v>39</v>
      </c>
      <c r="B250" s="55">
        <v>1.0</v>
      </c>
      <c r="C250" s="67" t="s">
        <v>184</v>
      </c>
      <c r="D250" s="60"/>
      <c r="E250" s="19">
        <v>0.0</v>
      </c>
      <c r="F250" s="19">
        <v>0.0</v>
      </c>
      <c r="G250" s="19">
        <v>0.0</v>
      </c>
      <c r="H250" s="19">
        <v>0.0</v>
      </c>
      <c r="I250" s="19">
        <v>0.0</v>
      </c>
      <c r="J250" s="19">
        <v>0.0</v>
      </c>
      <c r="K250" s="19">
        <v>0.0</v>
      </c>
      <c r="L250" s="19">
        <v>1.0</v>
      </c>
      <c r="M250" s="19">
        <v>0.0</v>
      </c>
      <c r="N250" s="19">
        <v>0.0</v>
      </c>
      <c r="O250" s="19">
        <v>0.0</v>
      </c>
      <c r="P250" s="19">
        <v>0.0</v>
      </c>
      <c r="Q250" s="19">
        <v>0.0</v>
      </c>
      <c r="R250" s="19">
        <v>0.0</v>
      </c>
      <c r="S250" s="19">
        <v>0.0</v>
      </c>
      <c r="T250" s="19">
        <v>0.0</v>
      </c>
      <c r="U250" s="19">
        <v>0.0</v>
      </c>
      <c r="V250" s="19">
        <v>0.0</v>
      </c>
      <c r="W250" s="19">
        <v>1.0</v>
      </c>
      <c r="X250" s="19">
        <v>0.0</v>
      </c>
      <c r="Y250" s="19">
        <v>0.0</v>
      </c>
      <c r="Z250" s="19">
        <v>0.0</v>
      </c>
      <c r="AA250" s="19">
        <v>0.0</v>
      </c>
      <c r="AB250" s="19">
        <v>0.0</v>
      </c>
      <c r="AC250" s="19">
        <v>0.0</v>
      </c>
      <c r="AD250" s="19">
        <v>0.0</v>
      </c>
      <c r="AE250" s="19">
        <v>0.0</v>
      </c>
      <c r="AF250" s="19">
        <v>0.0</v>
      </c>
      <c r="AG250" s="13">
        <f t="shared" si="48"/>
        <v>2</v>
      </c>
    </row>
    <row r="251" ht="12.75" customHeight="1">
      <c r="A251" s="18"/>
      <c r="B251" s="55">
        <v>2.0</v>
      </c>
      <c r="C251" s="67" t="s">
        <v>185</v>
      </c>
      <c r="D251" s="60"/>
      <c r="E251" s="19">
        <v>0.0</v>
      </c>
      <c r="F251" s="19">
        <v>0.0</v>
      </c>
      <c r="G251" s="19">
        <v>0.0</v>
      </c>
      <c r="H251" s="19">
        <v>0.0</v>
      </c>
      <c r="I251" s="19">
        <v>0.0</v>
      </c>
      <c r="J251" s="19">
        <v>0.0</v>
      </c>
      <c r="K251" s="19">
        <v>0.0</v>
      </c>
      <c r="L251" s="19">
        <v>0.0</v>
      </c>
      <c r="M251" s="19">
        <v>0.0</v>
      </c>
      <c r="N251" s="19">
        <v>0.0</v>
      </c>
      <c r="O251" s="19">
        <v>0.0</v>
      </c>
      <c r="P251" s="19">
        <v>0.0</v>
      </c>
      <c r="Q251" s="19">
        <v>0.0</v>
      </c>
      <c r="R251" s="19">
        <v>0.0</v>
      </c>
      <c r="S251" s="19">
        <v>0.0</v>
      </c>
      <c r="T251" s="19">
        <v>0.0</v>
      </c>
      <c r="U251" s="19">
        <v>0.0</v>
      </c>
      <c r="V251" s="19">
        <v>0.0</v>
      </c>
      <c r="W251" s="19">
        <v>0.0</v>
      </c>
      <c r="X251" s="19">
        <v>0.0</v>
      </c>
      <c r="Y251" s="19">
        <v>0.0</v>
      </c>
      <c r="Z251" s="19">
        <v>0.0</v>
      </c>
      <c r="AA251" s="19">
        <v>0.0</v>
      </c>
      <c r="AB251" s="19">
        <v>0.0</v>
      </c>
      <c r="AC251" s="19">
        <v>0.0</v>
      </c>
      <c r="AD251" s="19">
        <v>0.0</v>
      </c>
      <c r="AE251" s="19">
        <v>0.0</v>
      </c>
      <c r="AF251" s="19">
        <v>0.0</v>
      </c>
      <c r="AG251" s="13">
        <f t="shared" si="48"/>
        <v>0</v>
      </c>
    </row>
    <row r="252" ht="12.75" customHeight="1">
      <c r="A252" s="18"/>
      <c r="B252" s="55">
        <v>3.0</v>
      </c>
      <c r="C252" s="67" t="s">
        <v>186</v>
      </c>
      <c r="D252" s="60"/>
      <c r="E252" s="19">
        <v>0.0</v>
      </c>
      <c r="F252" s="19">
        <v>0.0</v>
      </c>
      <c r="G252" s="19">
        <v>0.0</v>
      </c>
      <c r="H252" s="19">
        <v>0.0</v>
      </c>
      <c r="I252" s="19">
        <v>0.0</v>
      </c>
      <c r="J252" s="19">
        <v>0.0</v>
      </c>
      <c r="K252" s="19">
        <v>0.0</v>
      </c>
      <c r="L252" s="19">
        <v>0.0</v>
      </c>
      <c r="M252" s="19">
        <v>0.0</v>
      </c>
      <c r="N252" s="19">
        <v>0.0</v>
      </c>
      <c r="O252" s="19">
        <v>0.0</v>
      </c>
      <c r="P252" s="19">
        <v>0.0</v>
      </c>
      <c r="Q252" s="19">
        <v>0.0</v>
      </c>
      <c r="R252" s="19">
        <v>1.0</v>
      </c>
      <c r="S252" s="19">
        <v>0.0</v>
      </c>
      <c r="T252" s="19">
        <v>0.0</v>
      </c>
      <c r="U252" s="19">
        <v>0.0</v>
      </c>
      <c r="V252" s="19">
        <v>0.0</v>
      </c>
      <c r="W252" s="19">
        <v>0.0</v>
      </c>
      <c r="X252" s="19">
        <v>0.0</v>
      </c>
      <c r="Y252" s="19">
        <v>0.0</v>
      </c>
      <c r="Z252" s="19">
        <v>0.0</v>
      </c>
      <c r="AA252" s="19">
        <v>0.0</v>
      </c>
      <c r="AB252" s="19">
        <v>0.0</v>
      </c>
      <c r="AC252" s="19">
        <v>0.0</v>
      </c>
      <c r="AD252" s="19">
        <v>0.0</v>
      </c>
      <c r="AE252" s="19">
        <v>0.0</v>
      </c>
      <c r="AF252" s="19">
        <v>0.0</v>
      </c>
      <c r="AG252" s="13">
        <f t="shared" si="48"/>
        <v>1</v>
      </c>
    </row>
    <row r="253" ht="12.75" customHeight="1">
      <c r="A253" s="18"/>
      <c r="B253" s="55">
        <v>4.0</v>
      </c>
      <c r="C253" s="67" t="s">
        <v>187</v>
      </c>
      <c r="D253" s="60"/>
      <c r="E253" s="19">
        <v>0.0</v>
      </c>
      <c r="F253" s="19">
        <v>0.0</v>
      </c>
      <c r="G253" s="19">
        <v>0.0</v>
      </c>
      <c r="H253" s="19">
        <v>0.0</v>
      </c>
      <c r="I253" s="19">
        <v>0.0</v>
      </c>
      <c r="J253" s="19">
        <v>0.0</v>
      </c>
      <c r="K253" s="19">
        <v>0.0</v>
      </c>
      <c r="L253" s="19">
        <v>0.0</v>
      </c>
      <c r="M253" s="19">
        <v>0.0</v>
      </c>
      <c r="N253" s="19">
        <v>0.0</v>
      </c>
      <c r="O253" s="19">
        <v>0.0</v>
      </c>
      <c r="P253" s="19">
        <v>0.0</v>
      </c>
      <c r="Q253" s="19">
        <v>0.0</v>
      </c>
      <c r="R253" s="19">
        <v>0.0</v>
      </c>
      <c r="S253" s="19">
        <v>0.0</v>
      </c>
      <c r="T253" s="19">
        <v>0.0</v>
      </c>
      <c r="U253" s="19">
        <v>0.0</v>
      </c>
      <c r="V253" s="19">
        <v>0.0</v>
      </c>
      <c r="W253" s="19">
        <v>0.0</v>
      </c>
      <c r="X253" s="19">
        <v>0.0</v>
      </c>
      <c r="Y253" s="19">
        <v>0.0</v>
      </c>
      <c r="Z253" s="19">
        <v>0.0</v>
      </c>
      <c r="AA253" s="19">
        <v>0.0</v>
      </c>
      <c r="AB253" s="19">
        <v>0.0</v>
      </c>
      <c r="AC253" s="19">
        <v>0.0</v>
      </c>
      <c r="AD253" s="19">
        <v>0.0</v>
      </c>
      <c r="AE253" s="19">
        <v>0.0</v>
      </c>
      <c r="AF253" s="19">
        <v>0.0</v>
      </c>
      <c r="AG253" s="13">
        <f t="shared" si="48"/>
        <v>0</v>
      </c>
    </row>
    <row r="254" ht="12.75" customHeight="1">
      <c r="A254" s="18"/>
      <c r="B254" s="55">
        <v>5.0</v>
      </c>
      <c r="C254" s="67" t="s">
        <v>188</v>
      </c>
      <c r="D254" s="60"/>
      <c r="E254" s="19">
        <v>1.0</v>
      </c>
      <c r="F254" s="19">
        <v>0.0</v>
      </c>
      <c r="G254" s="19">
        <v>0.0</v>
      </c>
      <c r="H254" s="19">
        <v>1.0</v>
      </c>
      <c r="I254" s="19">
        <v>0.0</v>
      </c>
      <c r="J254" s="19">
        <v>0.0</v>
      </c>
      <c r="K254" s="19">
        <v>0.0</v>
      </c>
      <c r="L254" s="19">
        <v>0.0</v>
      </c>
      <c r="M254" s="19">
        <v>0.0</v>
      </c>
      <c r="N254" s="19">
        <v>0.0</v>
      </c>
      <c r="O254" s="19">
        <v>0.0</v>
      </c>
      <c r="P254" s="19">
        <v>0.0</v>
      </c>
      <c r="Q254" s="19">
        <v>0.0</v>
      </c>
      <c r="R254" s="19">
        <v>0.0</v>
      </c>
      <c r="S254" s="19">
        <v>0.0</v>
      </c>
      <c r="T254" s="19">
        <v>0.0</v>
      </c>
      <c r="U254" s="19">
        <v>0.0</v>
      </c>
      <c r="V254" s="19">
        <v>0.0</v>
      </c>
      <c r="W254" s="19">
        <v>0.0</v>
      </c>
      <c r="X254" s="19">
        <v>0.0</v>
      </c>
      <c r="Y254" s="19">
        <v>0.0</v>
      </c>
      <c r="Z254" s="19">
        <v>0.0</v>
      </c>
      <c r="AA254" s="19">
        <v>0.0</v>
      </c>
      <c r="AB254" s="19">
        <v>0.0</v>
      </c>
      <c r="AC254" s="19">
        <v>0.0</v>
      </c>
      <c r="AD254" s="19">
        <v>0.0</v>
      </c>
      <c r="AE254" s="19">
        <v>0.0</v>
      </c>
      <c r="AF254" s="19">
        <v>0.0</v>
      </c>
      <c r="AG254" s="13">
        <f t="shared" si="48"/>
        <v>2</v>
      </c>
    </row>
    <row r="255" ht="12.75" customHeight="1">
      <c r="A255" s="18"/>
      <c r="B255" s="55">
        <v>6.0</v>
      </c>
      <c r="C255" s="67" t="s">
        <v>189</v>
      </c>
      <c r="D255" s="60"/>
      <c r="E255" s="19">
        <v>0.0</v>
      </c>
      <c r="F255" s="19">
        <v>0.0</v>
      </c>
      <c r="G255" s="19">
        <v>0.0</v>
      </c>
      <c r="H255" s="19">
        <v>1.0</v>
      </c>
      <c r="I255" s="19">
        <v>0.0</v>
      </c>
      <c r="J255" s="19">
        <v>0.0</v>
      </c>
      <c r="K255" s="19">
        <v>0.0</v>
      </c>
      <c r="L255" s="19">
        <v>0.0</v>
      </c>
      <c r="M255" s="19">
        <v>0.0</v>
      </c>
      <c r="N255" s="19">
        <v>0.0</v>
      </c>
      <c r="O255" s="19">
        <v>0.0</v>
      </c>
      <c r="P255" s="19">
        <v>0.0</v>
      </c>
      <c r="Q255" s="19">
        <v>0.0</v>
      </c>
      <c r="R255" s="19">
        <v>0.0</v>
      </c>
      <c r="S255" s="19">
        <v>0.0</v>
      </c>
      <c r="T255" s="19">
        <v>0.0</v>
      </c>
      <c r="U255" s="19">
        <v>0.0</v>
      </c>
      <c r="V255" s="19">
        <v>0.0</v>
      </c>
      <c r="W255" s="19">
        <v>0.0</v>
      </c>
      <c r="X255" s="19">
        <v>0.0</v>
      </c>
      <c r="Y255" s="19">
        <v>0.0</v>
      </c>
      <c r="Z255" s="19">
        <v>0.0</v>
      </c>
      <c r="AA255" s="19">
        <v>0.0</v>
      </c>
      <c r="AB255" s="19">
        <v>0.0</v>
      </c>
      <c r="AC255" s="19">
        <v>0.0</v>
      </c>
      <c r="AD255" s="19">
        <v>0.0</v>
      </c>
      <c r="AE255" s="19">
        <v>0.0</v>
      </c>
      <c r="AF255" s="19">
        <v>0.0</v>
      </c>
      <c r="AG255" s="13">
        <f t="shared" si="48"/>
        <v>1</v>
      </c>
    </row>
    <row r="256" ht="12.75" customHeight="1">
      <c r="A256" s="18"/>
      <c r="B256" s="56"/>
      <c r="C256" s="68"/>
      <c r="D256" s="62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  <c r="AA256" s="19"/>
      <c r="AB256" s="19"/>
      <c r="AC256" s="19"/>
      <c r="AD256" s="19"/>
      <c r="AE256" s="19"/>
      <c r="AF256" s="19"/>
      <c r="AG256" s="13">
        <f t="shared" si="48"/>
        <v>0</v>
      </c>
    </row>
    <row r="257" ht="12.75" customHeight="1">
      <c r="A257" s="18"/>
      <c r="B257" s="56"/>
      <c r="C257" s="68"/>
      <c r="D257" s="62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  <c r="AA257" s="19"/>
      <c r="AB257" s="19"/>
      <c r="AC257" s="19"/>
      <c r="AD257" s="19"/>
      <c r="AE257" s="19"/>
      <c r="AF257" s="19"/>
      <c r="AG257" s="13">
        <f t="shared" si="48"/>
        <v>0</v>
      </c>
    </row>
    <row r="258" ht="12.75" customHeight="1">
      <c r="A258" s="18"/>
      <c r="B258" s="56"/>
      <c r="C258" s="68"/>
      <c r="D258" s="62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  <c r="AE258" s="19"/>
      <c r="AF258" s="19"/>
      <c r="AG258" s="13">
        <f t="shared" si="48"/>
        <v>0</v>
      </c>
    </row>
    <row r="259" ht="12.75" customHeight="1">
      <c r="A259" s="19" t="s">
        <v>15</v>
      </c>
      <c r="B259" s="47" t="s">
        <v>47</v>
      </c>
      <c r="C259" s="15"/>
      <c r="D259" s="16"/>
      <c r="E259" s="13">
        <f t="shared" ref="E259:AG259" si="49">SUM(E249:E258)</f>
        <v>1</v>
      </c>
      <c r="F259" s="13">
        <f t="shared" si="49"/>
        <v>0</v>
      </c>
      <c r="G259" s="13">
        <f t="shared" si="49"/>
        <v>0</v>
      </c>
      <c r="H259" s="13">
        <f t="shared" si="49"/>
        <v>2</v>
      </c>
      <c r="I259" s="13">
        <f t="shared" si="49"/>
        <v>1</v>
      </c>
      <c r="J259" s="13">
        <f t="shared" si="49"/>
        <v>0</v>
      </c>
      <c r="K259" s="13">
        <f t="shared" si="49"/>
        <v>0</v>
      </c>
      <c r="L259" s="13">
        <f t="shared" si="49"/>
        <v>2</v>
      </c>
      <c r="M259" s="13">
        <f t="shared" si="49"/>
        <v>0</v>
      </c>
      <c r="N259" s="13">
        <f t="shared" si="49"/>
        <v>0</v>
      </c>
      <c r="O259" s="13">
        <f t="shared" si="49"/>
        <v>0</v>
      </c>
      <c r="P259" s="13">
        <f t="shared" si="49"/>
        <v>1</v>
      </c>
      <c r="Q259" s="13">
        <f t="shared" si="49"/>
        <v>1</v>
      </c>
      <c r="R259" s="13">
        <f t="shared" si="49"/>
        <v>1</v>
      </c>
      <c r="S259" s="13">
        <f t="shared" si="49"/>
        <v>0</v>
      </c>
      <c r="T259" s="13">
        <f t="shared" si="49"/>
        <v>0</v>
      </c>
      <c r="U259" s="13">
        <f t="shared" si="49"/>
        <v>1</v>
      </c>
      <c r="V259" s="13">
        <f t="shared" si="49"/>
        <v>0</v>
      </c>
      <c r="W259" s="13">
        <f t="shared" si="49"/>
        <v>1</v>
      </c>
      <c r="X259" s="13">
        <f t="shared" si="49"/>
        <v>0</v>
      </c>
      <c r="Y259" s="13">
        <f t="shared" si="49"/>
        <v>0</v>
      </c>
      <c r="Z259" s="13">
        <f t="shared" si="49"/>
        <v>0</v>
      </c>
      <c r="AA259" s="13">
        <f t="shared" si="49"/>
        <v>1</v>
      </c>
      <c r="AB259" s="13">
        <f t="shared" si="49"/>
        <v>0</v>
      </c>
      <c r="AC259" s="13">
        <f t="shared" si="49"/>
        <v>0</v>
      </c>
      <c r="AD259" s="13">
        <f t="shared" si="49"/>
        <v>0</v>
      </c>
      <c r="AE259" s="13">
        <f t="shared" si="49"/>
        <v>0</v>
      </c>
      <c r="AF259" s="13">
        <f t="shared" si="49"/>
        <v>1</v>
      </c>
      <c r="AG259" s="13">
        <f t="shared" si="49"/>
        <v>13</v>
      </c>
    </row>
    <row r="260" ht="12.75" customHeight="1"/>
    <row r="261" ht="12.75" customHeight="1">
      <c r="A261" s="42" t="s">
        <v>190</v>
      </c>
      <c r="B261" s="14" t="s">
        <v>191</v>
      </c>
      <c r="C261" s="15"/>
      <c r="D261" s="16"/>
      <c r="E261" s="13"/>
      <c r="F261" s="13"/>
      <c r="G261" s="13"/>
      <c r="H261" s="13"/>
      <c r="I261" s="13"/>
      <c r="J261" s="13"/>
      <c r="K261" s="13"/>
      <c r="L261" s="13"/>
      <c r="M261" s="13"/>
      <c r="N261" s="78"/>
      <c r="O261" s="13"/>
      <c r="P261" s="13"/>
      <c r="Q261" s="13"/>
      <c r="R261" s="13"/>
      <c r="S261" s="13"/>
      <c r="T261" s="13"/>
      <c r="U261" s="13"/>
      <c r="V261" s="13"/>
      <c r="W261" s="13"/>
      <c r="X261" s="78"/>
      <c r="Y261" s="13"/>
      <c r="Z261" s="13"/>
      <c r="AA261" s="13"/>
      <c r="AB261" s="13"/>
      <c r="AC261" s="13"/>
      <c r="AD261" s="13"/>
      <c r="AE261" s="13"/>
      <c r="AF261" s="78"/>
      <c r="AG261" s="13"/>
    </row>
    <row r="262" ht="12.75" customHeight="1">
      <c r="A262" s="42"/>
      <c r="B262" s="71" t="s">
        <v>192</v>
      </c>
      <c r="C262" s="72" t="s">
        <v>193</v>
      </c>
      <c r="D262" s="16"/>
      <c r="E262" s="19">
        <f t="shared" ref="E262:AF262" si="50">E55+E67+E79+E91+E103+E115+E127+E139+E151+E163+E175+E187+E199+E211+E223+E235+E247+E259</f>
        <v>193</v>
      </c>
      <c r="F262" s="19">
        <f t="shared" si="50"/>
        <v>198</v>
      </c>
      <c r="G262" s="19">
        <f t="shared" si="50"/>
        <v>200</v>
      </c>
      <c r="H262" s="19">
        <f t="shared" si="50"/>
        <v>217</v>
      </c>
      <c r="I262" s="19">
        <f t="shared" si="50"/>
        <v>209</v>
      </c>
      <c r="J262" s="19">
        <f t="shared" si="50"/>
        <v>207</v>
      </c>
      <c r="K262" s="19">
        <f t="shared" si="50"/>
        <v>188</v>
      </c>
      <c r="L262" s="19">
        <f t="shared" si="50"/>
        <v>216</v>
      </c>
      <c r="M262" s="19">
        <f t="shared" si="50"/>
        <v>235</v>
      </c>
      <c r="N262" s="19">
        <f t="shared" si="50"/>
        <v>241</v>
      </c>
      <c r="O262" s="19">
        <f t="shared" si="50"/>
        <v>198</v>
      </c>
      <c r="P262" s="19">
        <f t="shared" si="50"/>
        <v>226</v>
      </c>
      <c r="Q262" s="19">
        <f t="shared" si="50"/>
        <v>174</v>
      </c>
      <c r="R262" s="19">
        <f t="shared" si="50"/>
        <v>203</v>
      </c>
      <c r="S262" s="19">
        <f t="shared" si="50"/>
        <v>188</v>
      </c>
      <c r="T262" s="19">
        <f t="shared" si="50"/>
        <v>177</v>
      </c>
      <c r="U262" s="19">
        <f t="shared" si="50"/>
        <v>180</v>
      </c>
      <c r="V262" s="19">
        <f t="shared" si="50"/>
        <v>179</v>
      </c>
      <c r="W262" s="19">
        <f t="shared" si="50"/>
        <v>197</v>
      </c>
      <c r="X262" s="19">
        <f t="shared" si="50"/>
        <v>216</v>
      </c>
      <c r="Y262" s="19">
        <f t="shared" si="50"/>
        <v>218</v>
      </c>
      <c r="Z262" s="19">
        <f t="shared" si="50"/>
        <v>172</v>
      </c>
      <c r="AA262" s="19">
        <f t="shared" si="50"/>
        <v>202</v>
      </c>
      <c r="AB262" s="19">
        <f t="shared" si="50"/>
        <v>172</v>
      </c>
      <c r="AC262" s="19">
        <f t="shared" si="50"/>
        <v>228</v>
      </c>
      <c r="AD262" s="19">
        <f t="shared" si="50"/>
        <v>209</v>
      </c>
      <c r="AE262" s="19">
        <f t="shared" si="50"/>
        <v>188</v>
      </c>
      <c r="AF262" s="19">
        <f t="shared" si="50"/>
        <v>189</v>
      </c>
      <c r="AG262" s="13">
        <f t="shared" ref="AG262:AG264" si="51">SUM(E262:AF262)</f>
        <v>5620</v>
      </c>
    </row>
    <row r="263" ht="12.75" customHeight="1">
      <c r="A263" s="35"/>
      <c r="B263" s="71" t="s">
        <v>194</v>
      </c>
      <c r="C263" s="72" t="s">
        <v>195</v>
      </c>
      <c r="D263" s="16"/>
      <c r="E263" s="19">
        <v>22.0</v>
      </c>
      <c r="F263" s="19">
        <v>10.0</v>
      </c>
      <c r="G263" s="19">
        <v>12.0</v>
      </c>
      <c r="H263" s="19">
        <v>13.0</v>
      </c>
      <c r="I263" s="19">
        <v>11.0</v>
      </c>
      <c r="J263" s="19">
        <v>10.0</v>
      </c>
      <c r="K263" s="19">
        <v>16.0</v>
      </c>
      <c r="L263" s="19">
        <v>8.0</v>
      </c>
      <c r="M263" s="19">
        <v>12.0</v>
      </c>
      <c r="N263" s="19">
        <v>5.0</v>
      </c>
      <c r="O263" s="19">
        <v>22.0</v>
      </c>
      <c r="P263" s="19">
        <v>18.0</v>
      </c>
      <c r="Q263" s="19">
        <v>8.0</v>
      </c>
      <c r="R263" s="19">
        <v>13.0</v>
      </c>
      <c r="S263" s="19">
        <v>10.0</v>
      </c>
      <c r="T263" s="19">
        <v>13.0</v>
      </c>
      <c r="U263" s="19">
        <v>17.0</v>
      </c>
      <c r="V263" s="19">
        <v>23.0</v>
      </c>
      <c r="W263" s="19">
        <v>13.0</v>
      </c>
      <c r="X263" s="19">
        <v>32.0</v>
      </c>
      <c r="Y263" s="19">
        <v>12.0</v>
      </c>
      <c r="Z263" s="19">
        <v>9.0</v>
      </c>
      <c r="AA263" s="19">
        <v>14.0</v>
      </c>
      <c r="AB263" s="19">
        <v>7.0</v>
      </c>
      <c r="AC263" s="19">
        <v>5.0</v>
      </c>
      <c r="AD263" s="19">
        <v>17.0</v>
      </c>
      <c r="AE263" s="19">
        <v>11.0</v>
      </c>
      <c r="AF263" s="19">
        <v>12.0</v>
      </c>
      <c r="AG263" s="13">
        <f t="shared" si="51"/>
        <v>375</v>
      </c>
    </row>
    <row r="264" ht="12.75" customHeight="1">
      <c r="A264" s="41"/>
      <c r="B264" s="71" t="s">
        <v>196</v>
      </c>
      <c r="C264" s="72" t="s">
        <v>197</v>
      </c>
      <c r="D264" s="16"/>
      <c r="E264" s="13">
        <f t="shared" ref="E264:AF264" si="52">SUM(E262:E263)</f>
        <v>215</v>
      </c>
      <c r="F264" s="13">
        <f t="shared" si="52"/>
        <v>208</v>
      </c>
      <c r="G264" s="13">
        <f t="shared" si="52"/>
        <v>212</v>
      </c>
      <c r="H264" s="13">
        <f t="shared" si="52"/>
        <v>230</v>
      </c>
      <c r="I264" s="13">
        <f t="shared" si="52"/>
        <v>220</v>
      </c>
      <c r="J264" s="13">
        <f t="shared" si="52"/>
        <v>217</v>
      </c>
      <c r="K264" s="13">
        <f t="shared" si="52"/>
        <v>204</v>
      </c>
      <c r="L264" s="13">
        <f t="shared" si="52"/>
        <v>224</v>
      </c>
      <c r="M264" s="13">
        <f t="shared" si="52"/>
        <v>247</v>
      </c>
      <c r="N264" s="13">
        <f t="shared" si="52"/>
        <v>246</v>
      </c>
      <c r="O264" s="13">
        <f t="shared" si="52"/>
        <v>220</v>
      </c>
      <c r="P264" s="13">
        <f t="shared" si="52"/>
        <v>244</v>
      </c>
      <c r="Q264" s="13">
        <f t="shared" si="52"/>
        <v>182</v>
      </c>
      <c r="R264" s="13">
        <f t="shared" si="52"/>
        <v>216</v>
      </c>
      <c r="S264" s="13">
        <f t="shared" si="52"/>
        <v>198</v>
      </c>
      <c r="T264" s="13">
        <f t="shared" si="52"/>
        <v>190</v>
      </c>
      <c r="U264" s="13">
        <f t="shared" si="52"/>
        <v>197</v>
      </c>
      <c r="V264" s="13">
        <f t="shared" si="52"/>
        <v>202</v>
      </c>
      <c r="W264" s="13">
        <f t="shared" si="52"/>
        <v>210</v>
      </c>
      <c r="X264" s="13">
        <f t="shared" si="52"/>
        <v>248</v>
      </c>
      <c r="Y264" s="13">
        <f t="shared" si="52"/>
        <v>230</v>
      </c>
      <c r="Z264" s="13">
        <f t="shared" si="52"/>
        <v>181</v>
      </c>
      <c r="AA264" s="13">
        <f t="shared" si="52"/>
        <v>216</v>
      </c>
      <c r="AB264" s="13">
        <f t="shared" si="52"/>
        <v>179</v>
      </c>
      <c r="AC264" s="13">
        <f t="shared" si="52"/>
        <v>233</v>
      </c>
      <c r="AD264" s="13">
        <f t="shared" si="52"/>
        <v>226</v>
      </c>
      <c r="AE264" s="13">
        <f t="shared" si="52"/>
        <v>199</v>
      </c>
      <c r="AF264" s="13">
        <f t="shared" si="52"/>
        <v>201</v>
      </c>
      <c r="AG264" s="13">
        <f t="shared" si="51"/>
        <v>5995</v>
      </c>
    </row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93">
    <mergeCell ref="C50:D50"/>
    <mergeCell ref="C51:D51"/>
    <mergeCell ref="C52:D52"/>
    <mergeCell ref="B55:D55"/>
    <mergeCell ref="A56:E56"/>
    <mergeCell ref="C57:D57"/>
    <mergeCell ref="B67:D67"/>
    <mergeCell ref="A68:E68"/>
    <mergeCell ref="C69:D69"/>
    <mergeCell ref="B79:D79"/>
    <mergeCell ref="A80:E80"/>
    <mergeCell ref="C81:D81"/>
    <mergeCell ref="B91:D91"/>
    <mergeCell ref="A92:E92"/>
    <mergeCell ref="B115:D115"/>
    <mergeCell ref="A116:E116"/>
    <mergeCell ref="C117:D117"/>
    <mergeCell ref="B127:D127"/>
    <mergeCell ref="A128:E128"/>
    <mergeCell ref="C129:D129"/>
    <mergeCell ref="B139:D139"/>
    <mergeCell ref="A140:E140"/>
    <mergeCell ref="C141:D141"/>
    <mergeCell ref="B151:D151"/>
    <mergeCell ref="A152:E152"/>
    <mergeCell ref="C153:D153"/>
    <mergeCell ref="B163:D163"/>
    <mergeCell ref="A164:E164"/>
    <mergeCell ref="C165:D165"/>
    <mergeCell ref="B175:D175"/>
    <mergeCell ref="A176:E176"/>
    <mergeCell ref="C177:D177"/>
    <mergeCell ref="B187:D187"/>
    <mergeCell ref="A188:E188"/>
    <mergeCell ref="C189:D189"/>
    <mergeCell ref="B199:D199"/>
    <mergeCell ref="A200:E200"/>
    <mergeCell ref="C201:D201"/>
    <mergeCell ref="B211:D211"/>
    <mergeCell ref="A212:E212"/>
    <mergeCell ref="C213:D213"/>
    <mergeCell ref="B223:D223"/>
    <mergeCell ref="C249:D249"/>
    <mergeCell ref="B259:D259"/>
    <mergeCell ref="B261:D261"/>
    <mergeCell ref="C262:D262"/>
    <mergeCell ref="C263:D263"/>
    <mergeCell ref="C264:D264"/>
    <mergeCell ref="A224:E224"/>
    <mergeCell ref="C225:D225"/>
    <mergeCell ref="B235:D235"/>
    <mergeCell ref="A236:E236"/>
    <mergeCell ref="C237:D237"/>
    <mergeCell ref="B247:D247"/>
    <mergeCell ref="A248:E248"/>
    <mergeCell ref="B12:D12"/>
    <mergeCell ref="E12:AF12"/>
    <mergeCell ref="AG12:AG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AB37"/>
    <mergeCell ref="B38:D38"/>
    <mergeCell ref="B39:C41"/>
    <mergeCell ref="A42:D42"/>
    <mergeCell ref="E42:AB42"/>
    <mergeCell ref="C28:C30"/>
    <mergeCell ref="A31:D31"/>
    <mergeCell ref="B32:D32"/>
    <mergeCell ref="B33:D33"/>
    <mergeCell ref="B34:D34"/>
    <mergeCell ref="B35:D35"/>
    <mergeCell ref="B36:D36"/>
    <mergeCell ref="B43:D43"/>
    <mergeCell ref="A44:D44"/>
    <mergeCell ref="C45:D45"/>
    <mergeCell ref="C46:D46"/>
    <mergeCell ref="C47:D47"/>
    <mergeCell ref="C48:D48"/>
    <mergeCell ref="C49:D49"/>
    <mergeCell ref="C93:D93"/>
    <mergeCell ref="B103:D103"/>
    <mergeCell ref="A104:E104"/>
    <mergeCell ref="C105:D105"/>
  </mergeCells>
  <conditionalFormatting sqref="E14:AF15 E19:AF20 E22:AF23 E25:AF26 E33:AF33 E35:AF35 E39:AF40 E45:AF54 E57:AF66 E69:AF78 E81:AF90 E93:AF102 E105:AF114 E117:AF126 E129:AF138 E141:AF150 E153:AF162 E165:AF174 E177:AF186 E189:AF198 E201:AF210 E213:AF222 E225:AF234 E237:AF246 E249:AF258 E262:AF263">
    <cfRule type="containsBlanks" dxfId="1" priority="1">
      <formula>LEN(TRIM(E14))=0</formula>
    </cfRule>
  </conditionalFormatting>
  <conditionalFormatting sqref="E30:AF30">
    <cfRule type="expression" dxfId="0" priority="2">
      <formula>E30&lt;&gt;E47</formula>
    </cfRule>
  </conditionalFormatting>
  <conditionalFormatting sqref="E30:AF30">
    <cfRule type="expression" dxfId="0" priority="3">
      <formula>E30&lt;&gt;E34</formula>
    </cfRule>
  </conditionalFormatting>
  <conditionalFormatting sqref="E34:AF34">
    <cfRule type="expression" dxfId="2" priority="4">
      <formula>E30&lt;&gt;E34</formula>
    </cfRule>
  </conditionalFormatting>
  <conditionalFormatting sqref="E34:AF34">
    <cfRule type="expression" dxfId="3" priority="5">
      <formula>E30=E34</formula>
    </cfRule>
  </conditionalFormatting>
  <conditionalFormatting sqref="E34:AF34">
    <cfRule type="expression" dxfId="0" priority="6">
      <formula>E34&lt;&gt;E30</formula>
    </cfRule>
  </conditionalFormatting>
  <conditionalFormatting sqref="E34:AF34">
    <cfRule type="expression" dxfId="0" priority="7">
      <formula>E34&lt;&gt;E64</formula>
    </cfRule>
  </conditionalFormatting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38" width="8.71"/>
    <col customWidth="1" min="39" max="39" width="13.29"/>
    <col customWidth="1" min="40" max="41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198</v>
      </c>
      <c r="D9" s="8" t="s">
        <v>1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  <c r="T11" s="1"/>
      <c r="U11" s="1"/>
      <c r="V11" s="1"/>
      <c r="W11" s="1"/>
      <c r="X11" s="1"/>
      <c r="Y11" s="1"/>
      <c r="Z11" s="1"/>
      <c r="AA11" s="1"/>
      <c r="AB11" s="2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75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200</v>
      </c>
      <c r="F13" s="13" t="s">
        <v>201</v>
      </c>
      <c r="G13" s="13" t="s">
        <v>202</v>
      </c>
      <c r="H13" s="13" t="s">
        <v>203</v>
      </c>
      <c r="I13" s="13" t="s">
        <v>204</v>
      </c>
      <c r="J13" s="13" t="s">
        <v>205</v>
      </c>
      <c r="K13" s="13" t="s">
        <v>206</v>
      </c>
      <c r="L13" s="13" t="s">
        <v>207</v>
      </c>
      <c r="M13" s="13" t="s">
        <v>208</v>
      </c>
      <c r="N13" s="13" t="s">
        <v>209</v>
      </c>
      <c r="O13" s="13" t="s">
        <v>210</v>
      </c>
      <c r="P13" s="13" t="s">
        <v>211</v>
      </c>
      <c r="Q13" s="13" t="s">
        <v>212</v>
      </c>
      <c r="R13" s="13" t="s">
        <v>213</v>
      </c>
      <c r="S13" s="13" t="s">
        <v>214</v>
      </c>
      <c r="T13" s="13" t="s">
        <v>215</v>
      </c>
      <c r="U13" s="13" t="s">
        <v>216</v>
      </c>
      <c r="V13" s="13" t="s">
        <v>217</v>
      </c>
      <c r="W13" s="13" t="s">
        <v>219</v>
      </c>
      <c r="X13" s="13" t="s">
        <v>220</v>
      </c>
      <c r="Y13" s="13" t="s">
        <v>222</v>
      </c>
      <c r="Z13" s="13" t="s">
        <v>223</v>
      </c>
      <c r="AA13" s="13" t="s">
        <v>224</v>
      </c>
      <c r="AB13" s="13" t="s">
        <v>225</v>
      </c>
      <c r="AC13" s="13" t="s">
        <v>226</v>
      </c>
      <c r="AD13" s="13" t="s">
        <v>227</v>
      </c>
      <c r="AE13" s="13" t="s">
        <v>228</v>
      </c>
      <c r="AF13" s="13" t="s">
        <v>229</v>
      </c>
      <c r="AG13" s="13" t="s">
        <v>230</v>
      </c>
      <c r="AH13" s="13" t="s">
        <v>231</v>
      </c>
      <c r="AI13" s="13" t="s">
        <v>232</v>
      </c>
      <c r="AJ13" s="13" t="s">
        <v>233</v>
      </c>
      <c r="AK13" s="13" t="s">
        <v>234</v>
      </c>
      <c r="AL13" s="13" t="s">
        <v>235</v>
      </c>
      <c r="AM13" s="36"/>
    </row>
    <row r="14" ht="12.75" customHeight="1">
      <c r="A14" s="18"/>
      <c r="B14" s="22" t="s">
        <v>11</v>
      </c>
      <c r="C14" s="23"/>
      <c r="D14" s="19" t="s">
        <v>12</v>
      </c>
      <c r="E14" s="19">
        <v>119.0</v>
      </c>
      <c r="F14" s="19">
        <v>124.0</v>
      </c>
      <c r="G14" s="19">
        <v>138.0</v>
      </c>
      <c r="H14" s="19">
        <v>131.0</v>
      </c>
      <c r="I14" s="19">
        <v>132.0</v>
      </c>
      <c r="J14" s="19">
        <v>132.0</v>
      </c>
      <c r="K14" s="19">
        <v>122.0</v>
      </c>
      <c r="L14" s="19">
        <v>113.0</v>
      </c>
      <c r="M14" s="19">
        <v>135.0</v>
      </c>
      <c r="N14" s="19">
        <v>124.0</v>
      </c>
      <c r="O14" s="19">
        <v>121.0</v>
      </c>
      <c r="P14" s="19">
        <v>123.0</v>
      </c>
      <c r="Q14" s="19">
        <v>132.0</v>
      </c>
      <c r="R14" s="19">
        <v>132.0</v>
      </c>
      <c r="S14" s="19">
        <v>144.0</v>
      </c>
      <c r="T14" s="19">
        <v>130.0</v>
      </c>
      <c r="U14" s="19">
        <v>123.0</v>
      </c>
      <c r="V14" s="19">
        <v>132.0</v>
      </c>
      <c r="W14" s="19">
        <v>120.0</v>
      </c>
      <c r="X14" s="19">
        <v>125.0</v>
      </c>
      <c r="Y14" s="19">
        <v>90.0</v>
      </c>
      <c r="Z14" s="19">
        <v>116.0</v>
      </c>
      <c r="AA14" s="19">
        <v>127.0</v>
      </c>
      <c r="AB14" s="19">
        <v>120.0</v>
      </c>
      <c r="AC14" s="19">
        <v>118.0</v>
      </c>
      <c r="AD14" s="19">
        <v>139.0</v>
      </c>
      <c r="AE14" s="19">
        <v>119.0</v>
      </c>
      <c r="AF14" s="19">
        <v>114.0</v>
      </c>
      <c r="AG14" s="19">
        <v>137.0</v>
      </c>
      <c r="AH14" s="19">
        <v>116.0</v>
      </c>
      <c r="AI14" s="19">
        <v>141.0</v>
      </c>
      <c r="AJ14" s="19">
        <v>117.0</v>
      </c>
      <c r="AK14" s="19">
        <v>101.0</v>
      </c>
      <c r="AL14" s="19">
        <v>106.0</v>
      </c>
      <c r="AM14" s="13">
        <f t="shared" ref="AM14:AM16" si="1">SUM(E14:AL14)</f>
        <v>4213</v>
      </c>
    </row>
    <row r="15" ht="12.75" customHeight="1">
      <c r="A15" s="18"/>
      <c r="B15" s="26"/>
      <c r="C15" s="27"/>
      <c r="D15" s="19" t="s">
        <v>13</v>
      </c>
      <c r="E15" s="19">
        <v>124.0</v>
      </c>
      <c r="F15" s="19">
        <v>149.0</v>
      </c>
      <c r="G15" s="19">
        <v>136.0</v>
      </c>
      <c r="H15" s="19">
        <v>131.0</v>
      </c>
      <c r="I15" s="19">
        <v>132.0</v>
      </c>
      <c r="J15" s="19">
        <v>139.0</v>
      </c>
      <c r="K15" s="19">
        <v>148.0</v>
      </c>
      <c r="L15" s="19">
        <v>115.0</v>
      </c>
      <c r="M15" s="19">
        <v>134.0</v>
      </c>
      <c r="N15" s="19">
        <v>119.0</v>
      </c>
      <c r="O15" s="19">
        <v>130.0</v>
      </c>
      <c r="P15" s="19">
        <v>131.0</v>
      </c>
      <c r="Q15" s="19">
        <v>138.0</v>
      </c>
      <c r="R15" s="19">
        <v>128.0</v>
      </c>
      <c r="S15" s="19">
        <v>142.0</v>
      </c>
      <c r="T15" s="19">
        <v>134.0</v>
      </c>
      <c r="U15" s="19">
        <v>125.0</v>
      </c>
      <c r="V15" s="19">
        <v>146.0</v>
      </c>
      <c r="W15" s="19">
        <v>131.0</v>
      </c>
      <c r="X15" s="19">
        <v>124.0</v>
      </c>
      <c r="Y15" s="19">
        <v>107.0</v>
      </c>
      <c r="Z15" s="19">
        <v>146.0</v>
      </c>
      <c r="AA15" s="19">
        <v>142.0</v>
      </c>
      <c r="AB15" s="19">
        <v>138.0</v>
      </c>
      <c r="AC15" s="19">
        <v>130.0</v>
      </c>
      <c r="AD15" s="19">
        <v>138.0</v>
      </c>
      <c r="AE15" s="19">
        <v>122.0</v>
      </c>
      <c r="AF15" s="19">
        <v>115.0</v>
      </c>
      <c r="AG15" s="19">
        <v>138.0</v>
      </c>
      <c r="AH15" s="19">
        <v>110.0</v>
      </c>
      <c r="AI15" s="19">
        <v>135.0</v>
      </c>
      <c r="AJ15" s="19">
        <v>115.0</v>
      </c>
      <c r="AK15" s="19">
        <v>111.0</v>
      </c>
      <c r="AL15" s="19">
        <v>101.0</v>
      </c>
      <c r="AM15" s="13">
        <f t="shared" si="1"/>
        <v>4404</v>
      </c>
    </row>
    <row r="16" ht="12.75" customHeight="1">
      <c r="A16" s="25"/>
      <c r="B16" s="21"/>
      <c r="C16" s="28"/>
      <c r="D16" s="13" t="s">
        <v>14</v>
      </c>
      <c r="E16" s="13">
        <f t="shared" ref="E16:AL16" si="2">SUM(E14:E15)</f>
        <v>243</v>
      </c>
      <c r="F16" s="13">
        <f t="shared" si="2"/>
        <v>273</v>
      </c>
      <c r="G16" s="13">
        <f t="shared" si="2"/>
        <v>274</v>
      </c>
      <c r="H16" s="13">
        <f t="shared" si="2"/>
        <v>262</v>
      </c>
      <c r="I16" s="13">
        <f t="shared" si="2"/>
        <v>264</v>
      </c>
      <c r="J16" s="13">
        <f t="shared" si="2"/>
        <v>271</v>
      </c>
      <c r="K16" s="13">
        <f t="shared" si="2"/>
        <v>270</v>
      </c>
      <c r="L16" s="13">
        <f t="shared" si="2"/>
        <v>228</v>
      </c>
      <c r="M16" s="13">
        <f t="shared" si="2"/>
        <v>269</v>
      </c>
      <c r="N16" s="13">
        <f t="shared" si="2"/>
        <v>243</v>
      </c>
      <c r="O16" s="13">
        <f t="shared" si="2"/>
        <v>251</v>
      </c>
      <c r="P16" s="13">
        <f t="shared" si="2"/>
        <v>254</v>
      </c>
      <c r="Q16" s="13">
        <f t="shared" si="2"/>
        <v>270</v>
      </c>
      <c r="R16" s="13">
        <f t="shared" si="2"/>
        <v>260</v>
      </c>
      <c r="S16" s="13">
        <f t="shared" si="2"/>
        <v>286</v>
      </c>
      <c r="T16" s="13">
        <f t="shared" si="2"/>
        <v>264</v>
      </c>
      <c r="U16" s="13">
        <f t="shared" si="2"/>
        <v>248</v>
      </c>
      <c r="V16" s="13">
        <f t="shared" si="2"/>
        <v>278</v>
      </c>
      <c r="W16" s="13">
        <f t="shared" si="2"/>
        <v>251</v>
      </c>
      <c r="X16" s="13">
        <f t="shared" si="2"/>
        <v>249</v>
      </c>
      <c r="Y16" s="13">
        <f t="shared" si="2"/>
        <v>197</v>
      </c>
      <c r="Z16" s="13">
        <f t="shared" si="2"/>
        <v>262</v>
      </c>
      <c r="AA16" s="13">
        <f t="shared" si="2"/>
        <v>269</v>
      </c>
      <c r="AB16" s="13">
        <f t="shared" si="2"/>
        <v>258</v>
      </c>
      <c r="AC16" s="13">
        <f t="shared" si="2"/>
        <v>248</v>
      </c>
      <c r="AD16" s="13">
        <f t="shared" si="2"/>
        <v>277</v>
      </c>
      <c r="AE16" s="13">
        <f t="shared" si="2"/>
        <v>241</v>
      </c>
      <c r="AF16" s="13">
        <f t="shared" si="2"/>
        <v>229</v>
      </c>
      <c r="AG16" s="13">
        <f t="shared" si="2"/>
        <v>275</v>
      </c>
      <c r="AH16" s="13">
        <f t="shared" si="2"/>
        <v>226</v>
      </c>
      <c r="AI16" s="13">
        <f t="shared" si="2"/>
        <v>276</v>
      </c>
      <c r="AJ16" s="13">
        <f t="shared" si="2"/>
        <v>232</v>
      </c>
      <c r="AK16" s="13">
        <f t="shared" si="2"/>
        <v>212</v>
      </c>
      <c r="AL16" s="13">
        <f t="shared" si="2"/>
        <v>207</v>
      </c>
      <c r="AM16" s="13">
        <f t="shared" si="1"/>
        <v>8617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76"/>
      <c r="O17" s="76"/>
      <c r="P17" s="76"/>
      <c r="Q17" s="76"/>
      <c r="R17" s="76"/>
      <c r="S17" s="76"/>
      <c r="T17" s="19"/>
      <c r="U17" s="19"/>
      <c r="V17" s="19"/>
      <c r="W17" s="19"/>
      <c r="X17" s="19"/>
      <c r="Y17" s="19"/>
      <c r="Z17" s="19"/>
      <c r="AA17" s="19"/>
      <c r="AB17" s="76"/>
      <c r="AC17" s="76"/>
      <c r="AD17" s="76"/>
      <c r="AE17" s="76"/>
      <c r="AF17" s="76"/>
      <c r="AG17" s="76"/>
      <c r="AH17" s="76"/>
      <c r="AI17" s="76"/>
      <c r="AJ17" s="76"/>
      <c r="AK17" s="76"/>
      <c r="AL17" s="76"/>
      <c r="AM17" s="77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76"/>
      <c r="O18" s="76"/>
      <c r="P18" s="76"/>
      <c r="Q18" s="76"/>
      <c r="R18" s="76"/>
      <c r="S18" s="76"/>
      <c r="T18" s="19"/>
      <c r="U18" s="19"/>
      <c r="V18" s="19"/>
      <c r="W18" s="19"/>
      <c r="X18" s="19"/>
      <c r="Y18" s="19"/>
      <c r="Z18" s="19"/>
      <c r="AA18" s="19"/>
      <c r="AB18" s="76"/>
      <c r="AC18" s="76"/>
      <c r="AD18" s="76"/>
      <c r="AE18" s="76"/>
      <c r="AF18" s="76"/>
      <c r="AG18" s="76"/>
      <c r="AH18" s="76"/>
      <c r="AI18" s="76"/>
      <c r="AJ18" s="76"/>
      <c r="AK18" s="76"/>
      <c r="AL18" s="76"/>
      <c r="AM18" s="77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19">
        <v>82.0</v>
      </c>
      <c r="F19" s="19">
        <v>86.0</v>
      </c>
      <c r="G19" s="19">
        <v>111.0</v>
      </c>
      <c r="H19" s="19">
        <v>92.0</v>
      </c>
      <c r="I19" s="19">
        <v>98.0</v>
      </c>
      <c r="J19" s="19">
        <v>93.0</v>
      </c>
      <c r="K19" s="19">
        <v>94.0</v>
      </c>
      <c r="L19" s="19">
        <v>90.0</v>
      </c>
      <c r="M19" s="19">
        <v>94.0</v>
      </c>
      <c r="N19" s="19">
        <v>97.0</v>
      </c>
      <c r="O19" s="19">
        <v>90.0</v>
      </c>
      <c r="P19" s="19">
        <v>97.0</v>
      </c>
      <c r="Q19" s="19">
        <v>109.0</v>
      </c>
      <c r="R19" s="19">
        <v>97.0</v>
      </c>
      <c r="S19" s="19">
        <v>118.0</v>
      </c>
      <c r="T19" s="19">
        <v>100.0</v>
      </c>
      <c r="U19" s="19">
        <v>89.0</v>
      </c>
      <c r="V19" s="19">
        <v>105.0</v>
      </c>
      <c r="W19" s="19">
        <v>81.0</v>
      </c>
      <c r="X19" s="19">
        <v>88.0</v>
      </c>
      <c r="Y19" s="19">
        <v>58.0</v>
      </c>
      <c r="Z19" s="19">
        <v>85.0</v>
      </c>
      <c r="AA19" s="19">
        <v>99.0</v>
      </c>
      <c r="AB19" s="19">
        <v>105.0</v>
      </c>
      <c r="AC19" s="19">
        <v>88.0</v>
      </c>
      <c r="AD19" s="19">
        <v>100.0</v>
      </c>
      <c r="AE19" s="19">
        <v>83.0</v>
      </c>
      <c r="AF19" s="19">
        <v>89.0</v>
      </c>
      <c r="AG19" s="19">
        <v>96.0</v>
      </c>
      <c r="AH19" s="19">
        <v>81.0</v>
      </c>
      <c r="AI19" s="19">
        <v>92.0</v>
      </c>
      <c r="AJ19" s="19">
        <v>103.0</v>
      </c>
      <c r="AK19" s="19">
        <v>74.0</v>
      </c>
      <c r="AL19" s="19">
        <v>79.0</v>
      </c>
      <c r="AM19" s="13">
        <f t="shared" ref="AM19:AM30" si="3">SUM(E19:AL19)</f>
        <v>3143</v>
      </c>
    </row>
    <row r="20" ht="12.75" customHeight="1">
      <c r="A20" s="33"/>
      <c r="B20" s="27"/>
      <c r="C20" s="34"/>
      <c r="D20" s="19" t="s">
        <v>13</v>
      </c>
      <c r="E20" s="19">
        <v>93.0</v>
      </c>
      <c r="F20" s="19">
        <v>102.0</v>
      </c>
      <c r="G20" s="19">
        <v>111.0</v>
      </c>
      <c r="H20" s="19">
        <v>123.0</v>
      </c>
      <c r="I20" s="19">
        <v>112.0</v>
      </c>
      <c r="J20" s="19">
        <v>118.0</v>
      </c>
      <c r="K20" s="19">
        <v>117.0</v>
      </c>
      <c r="L20" s="19">
        <v>96.0</v>
      </c>
      <c r="M20" s="19">
        <v>107.0</v>
      </c>
      <c r="N20" s="19">
        <v>100.0</v>
      </c>
      <c r="O20" s="19">
        <v>102.0</v>
      </c>
      <c r="P20" s="19">
        <v>102.0</v>
      </c>
      <c r="Q20" s="19">
        <v>118.0</v>
      </c>
      <c r="R20" s="19">
        <v>106.0</v>
      </c>
      <c r="S20" s="19">
        <v>121.0</v>
      </c>
      <c r="T20" s="19">
        <v>106.0</v>
      </c>
      <c r="U20" s="19">
        <v>93.0</v>
      </c>
      <c r="V20" s="19">
        <v>116.0</v>
      </c>
      <c r="W20" s="19">
        <v>94.0</v>
      </c>
      <c r="X20" s="19">
        <v>91.0</v>
      </c>
      <c r="Y20" s="19">
        <v>79.0</v>
      </c>
      <c r="Z20" s="19">
        <v>109.0</v>
      </c>
      <c r="AA20" s="19">
        <v>105.0</v>
      </c>
      <c r="AB20" s="19">
        <v>118.0</v>
      </c>
      <c r="AC20" s="19">
        <v>99.0</v>
      </c>
      <c r="AD20" s="19">
        <v>113.0</v>
      </c>
      <c r="AE20" s="19">
        <v>84.0</v>
      </c>
      <c r="AF20" s="19">
        <v>87.0</v>
      </c>
      <c r="AG20" s="19">
        <v>109.0</v>
      </c>
      <c r="AH20" s="19">
        <v>76.0</v>
      </c>
      <c r="AI20" s="19">
        <v>80.0</v>
      </c>
      <c r="AJ20" s="19">
        <v>100.0</v>
      </c>
      <c r="AK20" s="19">
        <v>83.0</v>
      </c>
      <c r="AL20" s="19">
        <v>73.0</v>
      </c>
      <c r="AM20" s="13">
        <f t="shared" si="3"/>
        <v>3443</v>
      </c>
    </row>
    <row r="21" ht="12.75" customHeight="1">
      <c r="A21" s="35"/>
      <c r="B21" s="28"/>
      <c r="C21" s="36"/>
      <c r="D21" s="13" t="s">
        <v>14</v>
      </c>
      <c r="E21" s="13">
        <f t="shared" ref="E21:AL21" si="4">SUM(E19:E20)</f>
        <v>175</v>
      </c>
      <c r="F21" s="13">
        <f t="shared" si="4"/>
        <v>188</v>
      </c>
      <c r="G21" s="13">
        <f t="shared" si="4"/>
        <v>222</v>
      </c>
      <c r="H21" s="13">
        <f t="shared" si="4"/>
        <v>215</v>
      </c>
      <c r="I21" s="13">
        <f t="shared" si="4"/>
        <v>210</v>
      </c>
      <c r="J21" s="13">
        <f t="shared" si="4"/>
        <v>211</v>
      </c>
      <c r="K21" s="13">
        <f t="shared" si="4"/>
        <v>211</v>
      </c>
      <c r="L21" s="13">
        <f t="shared" si="4"/>
        <v>186</v>
      </c>
      <c r="M21" s="13">
        <f t="shared" si="4"/>
        <v>201</v>
      </c>
      <c r="N21" s="13">
        <f t="shared" si="4"/>
        <v>197</v>
      </c>
      <c r="O21" s="13">
        <f t="shared" si="4"/>
        <v>192</v>
      </c>
      <c r="P21" s="13">
        <f t="shared" si="4"/>
        <v>199</v>
      </c>
      <c r="Q21" s="13">
        <f t="shared" si="4"/>
        <v>227</v>
      </c>
      <c r="R21" s="13">
        <f t="shared" si="4"/>
        <v>203</v>
      </c>
      <c r="S21" s="13">
        <f t="shared" si="4"/>
        <v>239</v>
      </c>
      <c r="T21" s="13">
        <f t="shared" si="4"/>
        <v>206</v>
      </c>
      <c r="U21" s="13">
        <f t="shared" si="4"/>
        <v>182</v>
      </c>
      <c r="V21" s="13">
        <f t="shared" si="4"/>
        <v>221</v>
      </c>
      <c r="W21" s="13">
        <f t="shared" si="4"/>
        <v>175</v>
      </c>
      <c r="X21" s="13">
        <f t="shared" si="4"/>
        <v>179</v>
      </c>
      <c r="Y21" s="13">
        <f t="shared" si="4"/>
        <v>137</v>
      </c>
      <c r="Z21" s="13">
        <f t="shared" si="4"/>
        <v>194</v>
      </c>
      <c r="AA21" s="13">
        <f t="shared" si="4"/>
        <v>204</v>
      </c>
      <c r="AB21" s="13">
        <f t="shared" si="4"/>
        <v>223</v>
      </c>
      <c r="AC21" s="13">
        <f t="shared" si="4"/>
        <v>187</v>
      </c>
      <c r="AD21" s="13">
        <f t="shared" si="4"/>
        <v>213</v>
      </c>
      <c r="AE21" s="13">
        <f t="shared" si="4"/>
        <v>167</v>
      </c>
      <c r="AF21" s="13">
        <f t="shared" si="4"/>
        <v>176</v>
      </c>
      <c r="AG21" s="13">
        <f t="shared" si="4"/>
        <v>205</v>
      </c>
      <c r="AH21" s="13">
        <f t="shared" si="4"/>
        <v>157</v>
      </c>
      <c r="AI21" s="13">
        <f t="shared" si="4"/>
        <v>172</v>
      </c>
      <c r="AJ21" s="13">
        <f t="shared" si="4"/>
        <v>203</v>
      </c>
      <c r="AK21" s="13">
        <f t="shared" si="4"/>
        <v>157</v>
      </c>
      <c r="AL21" s="13">
        <f t="shared" si="4"/>
        <v>152</v>
      </c>
      <c r="AM21" s="13">
        <f t="shared" si="3"/>
        <v>6586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19">
        <v>0.0</v>
      </c>
      <c r="F22" s="19">
        <v>0.0</v>
      </c>
      <c r="G22" s="19">
        <v>0.0</v>
      </c>
      <c r="H22" s="19">
        <v>0.0</v>
      </c>
      <c r="I22" s="19">
        <v>0.0</v>
      </c>
      <c r="J22" s="19">
        <v>0.0</v>
      </c>
      <c r="K22" s="19">
        <v>0.0</v>
      </c>
      <c r="L22" s="19">
        <v>0.0</v>
      </c>
      <c r="M22" s="19">
        <v>0.0</v>
      </c>
      <c r="N22" s="19">
        <v>0.0</v>
      </c>
      <c r="O22" s="19">
        <v>0.0</v>
      </c>
      <c r="P22" s="19">
        <v>1.0</v>
      </c>
      <c r="Q22" s="19">
        <v>0.0</v>
      </c>
      <c r="R22" s="19">
        <v>0.0</v>
      </c>
      <c r="S22" s="19">
        <v>0.0</v>
      </c>
      <c r="T22" s="19">
        <v>0.0</v>
      </c>
      <c r="U22" s="19">
        <v>0.0</v>
      </c>
      <c r="V22" s="19">
        <v>0.0</v>
      </c>
      <c r="W22" s="19">
        <v>0.0</v>
      </c>
      <c r="X22" s="19">
        <v>0.0</v>
      </c>
      <c r="Y22" s="19">
        <v>0.0</v>
      </c>
      <c r="Z22" s="19">
        <v>0.0</v>
      </c>
      <c r="AA22" s="19">
        <v>0.0</v>
      </c>
      <c r="AB22" s="19">
        <v>0.0</v>
      </c>
      <c r="AC22" s="19">
        <v>0.0</v>
      </c>
      <c r="AD22" s="19">
        <v>0.0</v>
      </c>
      <c r="AE22" s="19">
        <v>1.0</v>
      </c>
      <c r="AF22" s="19">
        <v>1.0</v>
      </c>
      <c r="AG22" s="19">
        <v>4.0</v>
      </c>
      <c r="AH22" s="19">
        <v>3.0</v>
      </c>
      <c r="AI22" s="19">
        <v>0.0</v>
      </c>
      <c r="AJ22" s="19">
        <v>1.0</v>
      </c>
      <c r="AK22" s="19">
        <v>4.0</v>
      </c>
      <c r="AL22" s="19">
        <v>0.0</v>
      </c>
      <c r="AM22" s="13">
        <f t="shared" si="3"/>
        <v>15</v>
      </c>
    </row>
    <row r="23" ht="12.75" customHeight="1">
      <c r="A23" s="33"/>
      <c r="B23" s="27"/>
      <c r="C23" s="34"/>
      <c r="D23" s="19" t="s">
        <v>13</v>
      </c>
      <c r="E23" s="19">
        <v>0.0</v>
      </c>
      <c r="F23" s="19">
        <v>0.0</v>
      </c>
      <c r="G23" s="19">
        <v>0.0</v>
      </c>
      <c r="H23" s="19">
        <v>0.0</v>
      </c>
      <c r="I23" s="19">
        <v>0.0</v>
      </c>
      <c r="J23" s="19">
        <v>0.0</v>
      </c>
      <c r="K23" s="19">
        <v>0.0</v>
      </c>
      <c r="L23" s="19">
        <v>0.0</v>
      </c>
      <c r="M23" s="19">
        <v>0.0</v>
      </c>
      <c r="N23" s="19">
        <v>1.0</v>
      </c>
      <c r="O23" s="19">
        <v>0.0</v>
      </c>
      <c r="P23" s="19">
        <v>1.0</v>
      </c>
      <c r="Q23" s="19">
        <v>0.0</v>
      </c>
      <c r="R23" s="19">
        <v>0.0</v>
      </c>
      <c r="S23" s="19">
        <v>0.0</v>
      </c>
      <c r="T23" s="19">
        <v>0.0</v>
      </c>
      <c r="U23" s="19">
        <v>0.0</v>
      </c>
      <c r="V23" s="19">
        <v>0.0</v>
      </c>
      <c r="W23" s="19">
        <v>0.0</v>
      </c>
      <c r="X23" s="19">
        <v>0.0</v>
      </c>
      <c r="Y23" s="19">
        <v>0.0</v>
      </c>
      <c r="Z23" s="19">
        <v>1.0</v>
      </c>
      <c r="AA23" s="19">
        <v>1.0</v>
      </c>
      <c r="AB23" s="19">
        <v>0.0</v>
      </c>
      <c r="AC23" s="19">
        <v>1.0</v>
      </c>
      <c r="AD23" s="19">
        <v>1.0</v>
      </c>
      <c r="AE23" s="19">
        <v>2.0</v>
      </c>
      <c r="AF23" s="19">
        <v>0.0</v>
      </c>
      <c r="AG23" s="19">
        <v>0.0</v>
      </c>
      <c r="AH23" s="19">
        <v>2.0</v>
      </c>
      <c r="AI23" s="19">
        <v>0.0</v>
      </c>
      <c r="AJ23" s="19">
        <v>0.0</v>
      </c>
      <c r="AK23" s="19">
        <v>1.0</v>
      </c>
      <c r="AL23" s="19">
        <v>0.0</v>
      </c>
      <c r="AM23" s="13">
        <f t="shared" si="3"/>
        <v>11</v>
      </c>
    </row>
    <row r="24" ht="12.75" customHeight="1">
      <c r="A24" s="35"/>
      <c r="B24" s="28"/>
      <c r="C24" s="36"/>
      <c r="D24" s="13" t="s">
        <v>14</v>
      </c>
      <c r="E24" s="13">
        <f t="shared" ref="E24:AL24" si="5">SUM(E22:E23)</f>
        <v>0</v>
      </c>
      <c r="F24" s="13">
        <f t="shared" si="5"/>
        <v>0</v>
      </c>
      <c r="G24" s="13">
        <f t="shared" si="5"/>
        <v>0</v>
      </c>
      <c r="H24" s="13">
        <f t="shared" si="5"/>
        <v>0</v>
      </c>
      <c r="I24" s="13">
        <f t="shared" si="5"/>
        <v>0</v>
      </c>
      <c r="J24" s="13">
        <f t="shared" si="5"/>
        <v>0</v>
      </c>
      <c r="K24" s="13">
        <f t="shared" si="5"/>
        <v>0</v>
      </c>
      <c r="L24" s="13">
        <f t="shared" si="5"/>
        <v>0</v>
      </c>
      <c r="M24" s="13">
        <f t="shared" si="5"/>
        <v>0</v>
      </c>
      <c r="N24" s="13">
        <f t="shared" si="5"/>
        <v>1</v>
      </c>
      <c r="O24" s="13">
        <f t="shared" si="5"/>
        <v>0</v>
      </c>
      <c r="P24" s="13">
        <f t="shared" si="5"/>
        <v>2</v>
      </c>
      <c r="Q24" s="13">
        <f t="shared" si="5"/>
        <v>0</v>
      </c>
      <c r="R24" s="13">
        <f t="shared" si="5"/>
        <v>0</v>
      </c>
      <c r="S24" s="13">
        <f t="shared" si="5"/>
        <v>0</v>
      </c>
      <c r="T24" s="13">
        <f t="shared" si="5"/>
        <v>0</v>
      </c>
      <c r="U24" s="13">
        <f t="shared" si="5"/>
        <v>0</v>
      </c>
      <c r="V24" s="13">
        <f t="shared" si="5"/>
        <v>0</v>
      </c>
      <c r="W24" s="13">
        <f t="shared" si="5"/>
        <v>0</v>
      </c>
      <c r="X24" s="13">
        <f t="shared" si="5"/>
        <v>0</v>
      </c>
      <c r="Y24" s="13">
        <f t="shared" si="5"/>
        <v>0</v>
      </c>
      <c r="Z24" s="13">
        <f t="shared" si="5"/>
        <v>1</v>
      </c>
      <c r="AA24" s="13">
        <f t="shared" si="5"/>
        <v>1</v>
      </c>
      <c r="AB24" s="13">
        <f t="shared" si="5"/>
        <v>0</v>
      </c>
      <c r="AC24" s="13">
        <f t="shared" si="5"/>
        <v>1</v>
      </c>
      <c r="AD24" s="13">
        <f t="shared" si="5"/>
        <v>1</v>
      </c>
      <c r="AE24" s="13">
        <f t="shared" si="5"/>
        <v>3</v>
      </c>
      <c r="AF24" s="13">
        <f t="shared" si="5"/>
        <v>1</v>
      </c>
      <c r="AG24" s="13">
        <f t="shared" si="5"/>
        <v>4</v>
      </c>
      <c r="AH24" s="13">
        <f t="shared" si="5"/>
        <v>5</v>
      </c>
      <c r="AI24" s="13">
        <f t="shared" si="5"/>
        <v>0</v>
      </c>
      <c r="AJ24" s="13">
        <f t="shared" si="5"/>
        <v>1</v>
      </c>
      <c r="AK24" s="13">
        <f t="shared" si="5"/>
        <v>5</v>
      </c>
      <c r="AL24" s="13">
        <f t="shared" si="5"/>
        <v>0</v>
      </c>
      <c r="AM24" s="13">
        <f t="shared" si="3"/>
        <v>26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19">
        <v>1.0</v>
      </c>
      <c r="F25" s="19">
        <v>2.0</v>
      </c>
      <c r="G25" s="19">
        <v>0.0</v>
      </c>
      <c r="H25" s="19">
        <v>5.0</v>
      </c>
      <c r="I25" s="19">
        <v>0.0</v>
      </c>
      <c r="J25" s="19">
        <v>0.0</v>
      </c>
      <c r="K25" s="19">
        <v>0.0</v>
      </c>
      <c r="L25" s="19">
        <v>0.0</v>
      </c>
      <c r="M25" s="19">
        <v>0.0</v>
      </c>
      <c r="N25" s="19">
        <v>0.0</v>
      </c>
      <c r="O25" s="19">
        <v>0.0</v>
      </c>
      <c r="P25" s="19">
        <v>2.0</v>
      </c>
      <c r="Q25" s="19">
        <v>0.0</v>
      </c>
      <c r="R25" s="19">
        <v>0.0</v>
      </c>
      <c r="S25" s="19">
        <v>0.0</v>
      </c>
      <c r="T25" s="19">
        <v>0.0</v>
      </c>
      <c r="U25" s="19">
        <v>0.0</v>
      </c>
      <c r="V25" s="19">
        <v>1.0</v>
      </c>
      <c r="W25" s="19">
        <v>0.0</v>
      </c>
      <c r="X25" s="19">
        <v>1.0</v>
      </c>
      <c r="Y25" s="19">
        <v>0.0</v>
      </c>
      <c r="Z25" s="19">
        <v>1.0</v>
      </c>
      <c r="AA25" s="19">
        <v>1.0</v>
      </c>
      <c r="AB25" s="19">
        <v>2.0</v>
      </c>
      <c r="AC25" s="19">
        <v>3.0</v>
      </c>
      <c r="AD25" s="19">
        <v>1.0</v>
      </c>
      <c r="AE25" s="19">
        <v>0.0</v>
      </c>
      <c r="AF25" s="19">
        <v>0.0</v>
      </c>
      <c r="AG25" s="19">
        <v>1.0</v>
      </c>
      <c r="AH25" s="19">
        <v>0.0</v>
      </c>
      <c r="AI25" s="19">
        <v>4.0</v>
      </c>
      <c r="AJ25" s="19">
        <v>1.0</v>
      </c>
      <c r="AK25" s="19">
        <v>0.0</v>
      </c>
      <c r="AL25" s="19">
        <v>0.0</v>
      </c>
      <c r="AM25" s="13">
        <f t="shared" si="3"/>
        <v>26</v>
      </c>
    </row>
    <row r="26" ht="12.75" customHeight="1">
      <c r="A26" s="33"/>
      <c r="B26" s="27"/>
      <c r="C26" s="34"/>
      <c r="D26" s="19" t="s">
        <v>13</v>
      </c>
      <c r="E26" s="19">
        <v>2.0</v>
      </c>
      <c r="F26" s="19">
        <v>1.0</v>
      </c>
      <c r="G26" s="19">
        <v>0.0</v>
      </c>
      <c r="H26" s="19">
        <v>4.0</v>
      </c>
      <c r="I26" s="19">
        <v>0.0</v>
      </c>
      <c r="J26" s="19">
        <v>3.0</v>
      </c>
      <c r="K26" s="19">
        <v>0.0</v>
      </c>
      <c r="L26" s="19">
        <v>0.0</v>
      </c>
      <c r="M26" s="19">
        <v>0.0</v>
      </c>
      <c r="N26" s="19">
        <v>0.0</v>
      </c>
      <c r="O26" s="19">
        <v>0.0</v>
      </c>
      <c r="P26" s="19">
        <v>0.0</v>
      </c>
      <c r="Q26" s="19">
        <v>0.0</v>
      </c>
      <c r="R26" s="19">
        <v>0.0</v>
      </c>
      <c r="S26" s="19">
        <v>0.0</v>
      </c>
      <c r="T26" s="19">
        <v>0.0</v>
      </c>
      <c r="U26" s="19">
        <v>0.0</v>
      </c>
      <c r="V26" s="19">
        <v>3.0</v>
      </c>
      <c r="W26" s="19">
        <v>0.0</v>
      </c>
      <c r="X26" s="19">
        <v>2.0</v>
      </c>
      <c r="Y26" s="19">
        <v>1.0</v>
      </c>
      <c r="Z26" s="19">
        <v>1.0</v>
      </c>
      <c r="AA26" s="19">
        <v>1.0</v>
      </c>
      <c r="AB26" s="19">
        <v>1.0</v>
      </c>
      <c r="AC26" s="19">
        <v>1.0</v>
      </c>
      <c r="AD26" s="19">
        <v>3.0</v>
      </c>
      <c r="AE26" s="19">
        <v>0.0</v>
      </c>
      <c r="AF26" s="19">
        <v>0.0</v>
      </c>
      <c r="AG26" s="19">
        <v>1.0</v>
      </c>
      <c r="AH26" s="19">
        <v>0.0</v>
      </c>
      <c r="AI26" s="19">
        <v>2.0</v>
      </c>
      <c r="AJ26" s="19">
        <v>1.0</v>
      </c>
      <c r="AK26" s="19">
        <v>0.0</v>
      </c>
      <c r="AL26" s="19">
        <v>0.0</v>
      </c>
      <c r="AM26" s="13">
        <f t="shared" si="3"/>
        <v>27</v>
      </c>
    </row>
    <row r="27" ht="12.75" customHeight="1">
      <c r="A27" s="35"/>
      <c r="B27" s="28"/>
      <c r="C27" s="36"/>
      <c r="D27" s="13" t="s">
        <v>14</v>
      </c>
      <c r="E27" s="13">
        <f t="shared" ref="E27:AL27" si="6">SUM(E25:E26)</f>
        <v>3</v>
      </c>
      <c r="F27" s="13">
        <f t="shared" si="6"/>
        <v>3</v>
      </c>
      <c r="G27" s="13">
        <f t="shared" si="6"/>
        <v>0</v>
      </c>
      <c r="H27" s="13">
        <f t="shared" si="6"/>
        <v>9</v>
      </c>
      <c r="I27" s="13">
        <f t="shared" si="6"/>
        <v>0</v>
      </c>
      <c r="J27" s="13">
        <f t="shared" si="6"/>
        <v>3</v>
      </c>
      <c r="K27" s="13">
        <f t="shared" si="6"/>
        <v>0</v>
      </c>
      <c r="L27" s="13">
        <f t="shared" si="6"/>
        <v>0</v>
      </c>
      <c r="M27" s="13">
        <f t="shared" si="6"/>
        <v>0</v>
      </c>
      <c r="N27" s="13">
        <f t="shared" si="6"/>
        <v>0</v>
      </c>
      <c r="O27" s="13">
        <f t="shared" si="6"/>
        <v>0</v>
      </c>
      <c r="P27" s="13">
        <f t="shared" si="6"/>
        <v>2</v>
      </c>
      <c r="Q27" s="13">
        <f t="shared" si="6"/>
        <v>0</v>
      </c>
      <c r="R27" s="13">
        <f t="shared" si="6"/>
        <v>0</v>
      </c>
      <c r="S27" s="13">
        <f t="shared" si="6"/>
        <v>0</v>
      </c>
      <c r="T27" s="13">
        <f t="shared" si="6"/>
        <v>0</v>
      </c>
      <c r="U27" s="13">
        <f t="shared" si="6"/>
        <v>0</v>
      </c>
      <c r="V27" s="13">
        <f t="shared" si="6"/>
        <v>4</v>
      </c>
      <c r="W27" s="13">
        <f t="shared" si="6"/>
        <v>0</v>
      </c>
      <c r="X27" s="13">
        <f t="shared" si="6"/>
        <v>3</v>
      </c>
      <c r="Y27" s="13">
        <f t="shared" si="6"/>
        <v>1</v>
      </c>
      <c r="Z27" s="13">
        <f t="shared" si="6"/>
        <v>2</v>
      </c>
      <c r="AA27" s="13">
        <f t="shared" si="6"/>
        <v>2</v>
      </c>
      <c r="AB27" s="13">
        <f t="shared" si="6"/>
        <v>3</v>
      </c>
      <c r="AC27" s="13">
        <f t="shared" si="6"/>
        <v>4</v>
      </c>
      <c r="AD27" s="13">
        <f t="shared" si="6"/>
        <v>4</v>
      </c>
      <c r="AE27" s="13">
        <f t="shared" si="6"/>
        <v>0</v>
      </c>
      <c r="AF27" s="13">
        <f t="shared" si="6"/>
        <v>0</v>
      </c>
      <c r="AG27" s="13">
        <f t="shared" si="6"/>
        <v>2</v>
      </c>
      <c r="AH27" s="13">
        <f t="shared" si="6"/>
        <v>0</v>
      </c>
      <c r="AI27" s="13">
        <f t="shared" si="6"/>
        <v>6</v>
      </c>
      <c r="AJ27" s="13">
        <f t="shared" si="6"/>
        <v>2</v>
      </c>
      <c r="AK27" s="13">
        <f t="shared" si="6"/>
        <v>0</v>
      </c>
      <c r="AL27" s="13">
        <f t="shared" si="6"/>
        <v>0</v>
      </c>
      <c r="AM27" s="13">
        <f t="shared" si="3"/>
        <v>53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AL28" si="7">SUM(E19,E22,E25)</f>
        <v>83</v>
      </c>
      <c r="F28" s="13">
        <f t="shared" si="7"/>
        <v>88</v>
      </c>
      <c r="G28" s="13">
        <f t="shared" si="7"/>
        <v>111</v>
      </c>
      <c r="H28" s="13">
        <f t="shared" si="7"/>
        <v>97</v>
      </c>
      <c r="I28" s="13">
        <f t="shared" si="7"/>
        <v>98</v>
      </c>
      <c r="J28" s="13">
        <f t="shared" si="7"/>
        <v>93</v>
      </c>
      <c r="K28" s="13">
        <f t="shared" si="7"/>
        <v>94</v>
      </c>
      <c r="L28" s="13">
        <f t="shared" si="7"/>
        <v>90</v>
      </c>
      <c r="M28" s="13">
        <f t="shared" si="7"/>
        <v>94</v>
      </c>
      <c r="N28" s="13">
        <f t="shared" si="7"/>
        <v>97</v>
      </c>
      <c r="O28" s="13">
        <f t="shared" si="7"/>
        <v>90</v>
      </c>
      <c r="P28" s="13">
        <f t="shared" si="7"/>
        <v>100</v>
      </c>
      <c r="Q28" s="13">
        <f t="shared" si="7"/>
        <v>109</v>
      </c>
      <c r="R28" s="13">
        <f t="shared" si="7"/>
        <v>97</v>
      </c>
      <c r="S28" s="13">
        <f t="shared" si="7"/>
        <v>118</v>
      </c>
      <c r="T28" s="13">
        <f t="shared" si="7"/>
        <v>100</v>
      </c>
      <c r="U28" s="13">
        <f t="shared" si="7"/>
        <v>89</v>
      </c>
      <c r="V28" s="13">
        <f t="shared" si="7"/>
        <v>106</v>
      </c>
      <c r="W28" s="13">
        <f t="shared" si="7"/>
        <v>81</v>
      </c>
      <c r="X28" s="13">
        <f t="shared" si="7"/>
        <v>89</v>
      </c>
      <c r="Y28" s="13">
        <f t="shared" si="7"/>
        <v>58</v>
      </c>
      <c r="Z28" s="13">
        <f t="shared" si="7"/>
        <v>86</v>
      </c>
      <c r="AA28" s="13">
        <f t="shared" si="7"/>
        <v>100</v>
      </c>
      <c r="AB28" s="13">
        <f t="shared" si="7"/>
        <v>107</v>
      </c>
      <c r="AC28" s="13">
        <f t="shared" si="7"/>
        <v>91</v>
      </c>
      <c r="AD28" s="13">
        <f t="shared" si="7"/>
        <v>101</v>
      </c>
      <c r="AE28" s="13">
        <f t="shared" si="7"/>
        <v>84</v>
      </c>
      <c r="AF28" s="13">
        <f t="shared" si="7"/>
        <v>90</v>
      </c>
      <c r="AG28" s="13">
        <f t="shared" si="7"/>
        <v>101</v>
      </c>
      <c r="AH28" s="13">
        <f t="shared" si="7"/>
        <v>84</v>
      </c>
      <c r="AI28" s="13">
        <f t="shared" si="7"/>
        <v>96</v>
      </c>
      <c r="AJ28" s="13">
        <f t="shared" si="7"/>
        <v>105</v>
      </c>
      <c r="AK28" s="13">
        <f t="shared" si="7"/>
        <v>78</v>
      </c>
      <c r="AL28" s="13">
        <f t="shared" si="7"/>
        <v>79</v>
      </c>
      <c r="AM28" s="13">
        <f t="shared" si="3"/>
        <v>3184</v>
      </c>
    </row>
    <row r="29" ht="12.75" customHeight="1">
      <c r="A29" s="35"/>
      <c r="B29" s="27"/>
      <c r="C29" s="34"/>
      <c r="D29" s="13" t="s">
        <v>13</v>
      </c>
      <c r="E29" s="13">
        <f t="shared" ref="E29:AL29" si="8">SUM(E20,E23,E26)</f>
        <v>95</v>
      </c>
      <c r="F29" s="13">
        <f t="shared" si="8"/>
        <v>103</v>
      </c>
      <c r="G29" s="13">
        <f t="shared" si="8"/>
        <v>111</v>
      </c>
      <c r="H29" s="13">
        <f t="shared" si="8"/>
        <v>127</v>
      </c>
      <c r="I29" s="13">
        <f t="shared" si="8"/>
        <v>112</v>
      </c>
      <c r="J29" s="13">
        <f t="shared" si="8"/>
        <v>121</v>
      </c>
      <c r="K29" s="13">
        <f t="shared" si="8"/>
        <v>117</v>
      </c>
      <c r="L29" s="13">
        <f t="shared" si="8"/>
        <v>96</v>
      </c>
      <c r="M29" s="13">
        <f t="shared" si="8"/>
        <v>107</v>
      </c>
      <c r="N29" s="13">
        <f t="shared" si="8"/>
        <v>101</v>
      </c>
      <c r="O29" s="13">
        <f t="shared" si="8"/>
        <v>102</v>
      </c>
      <c r="P29" s="13">
        <f t="shared" si="8"/>
        <v>103</v>
      </c>
      <c r="Q29" s="13">
        <f t="shared" si="8"/>
        <v>118</v>
      </c>
      <c r="R29" s="13">
        <f t="shared" si="8"/>
        <v>106</v>
      </c>
      <c r="S29" s="13">
        <f t="shared" si="8"/>
        <v>121</v>
      </c>
      <c r="T29" s="13">
        <f t="shared" si="8"/>
        <v>106</v>
      </c>
      <c r="U29" s="13">
        <f t="shared" si="8"/>
        <v>93</v>
      </c>
      <c r="V29" s="13">
        <f t="shared" si="8"/>
        <v>119</v>
      </c>
      <c r="W29" s="13">
        <f t="shared" si="8"/>
        <v>94</v>
      </c>
      <c r="X29" s="13">
        <f t="shared" si="8"/>
        <v>93</v>
      </c>
      <c r="Y29" s="13">
        <f t="shared" si="8"/>
        <v>80</v>
      </c>
      <c r="Z29" s="13">
        <f t="shared" si="8"/>
        <v>111</v>
      </c>
      <c r="AA29" s="13">
        <f t="shared" si="8"/>
        <v>107</v>
      </c>
      <c r="AB29" s="13">
        <f t="shared" si="8"/>
        <v>119</v>
      </c>
      <c r="AC29" s="13">
        <f t="shared" si="8"/>
        <v>101</v>
      </c>
      <c r="AD29" s="13">
        <f t="shared" si="8"/>
        <v>117</v>
      </c>
      <c r="AE29" s="13">
        <f t="shared" si="8"/>
        <v>86</v>
      </c>
      <c r="AF29" s="13">
        <f t="shared" si="8"/>
        <v>87</v>
      </c>
      <c r="AG29" s="13">
        <f t="shared" si="8"/>
        <v>110</v>
      </c>
      <c r="AH29" s="13">
        <f t="shared" si="8"/>
        <v>78</v>
      </c>
      <c r="AI29" s="13">
        <f t="shared" si="8"/>
        <v>82</v>
      </c>
      <c r="AJ29" s="13">
        <f t="shared" si="8"/>
        <v>101</v>
      </c>
      <c r="AK29" s="13">
        <f t="shared" si="8"/>
        <v>84</v>
      </c>
      <c r="AL29" s="13">
        <f t="shared" si="8"/>
        <v>73</v>
      </c>
      <c r="AM29" s="13">
        <f t="shared" si="3"/>
        <v>3481</v>
      </c>
    </row>
    <row r="30" ht="12.75" customHeight="1">
      <c r="A30" s="35"/>
      <c r="B30" s="28"/>
      <c r="C30" s="36"/>
      <c r="D30" s="13" t="s">
        <v>14</v>
      </c>
      <c r="E30" s="13">
        <f t="shared" ref="E30:AL30" si="9">SUM(E28:E29)</f>
        <v>178</v>
      </c>
      <c r="F30" s="13">
        <f t="shared" si="9"/>
        <v>191</v>
      </c>
      <c r="G30" s="13">
        <f t="shared" si="9"/>
        <v>222</v>
      </c>
      <c r="H30" s="13">
        <f t="shared" si="9"/>
        <v>224</v>
      </c>
      <c r="I30" s="13">
        <f t="shared" si="9"/>
        <v>210</v>
      </c>
      <c r="J30" s="13">
        <f t="shared" si="9"/>
        <v>214</v>
      </c>
      <c r="K30" s="13">
        <f t="shared" si="9"/>
        <v>211</v>
      </c>
      <c r="L30" s="13">
        <f t="shared" si="9"/>
        <v>186</v>
      </c>
      <c r="M30" s="13">
        <f t="shared" si="9"/>
        <v>201</v>
      </c>
      <c r="N30" s="13">
        <f t="shared" si="9"/>
        <v>198</v>
      </c>
      <c r="O30" s="13">
        <f t="shared" si="9"/>
        <v>192</v>
      </c>
      <c r="P30" s="13">
        <f t="shared" si="9"/>
        <v>203</v>
      </c>
      <c r="Q30" s="13">
        <f t="shared" si="9"/>
        <v>227</v>
      </c>
      <c r="R30" s="13">
        <f t="shared" si="9"/>
        <v>203</v>
      </c>
      <c r="S30" s="13">
        <f t="shared" si="9"/>
        <v>239</v>
      </c>
      <c r="T30" s="13">
        <f t="shared" si="9"/>
        <v>206</v>
      </c>
      <c r="U30" s="13">
        <f t="shared" si="9"/>
        <v>182</v>
      </c>
      <c r="V30" s="13">
        <f t="shared" si="9"/>
        <v>225</v>
      </c>
      <c r="W30" s="13">
        <f t="shared" si="9"/>
        <v>175</v>
      </c>
      <c r="X30" s="13">
        <f t="shared" si="9"/>
        <v>182</v>
      </c>
      <c r="Y30" s="13">
        <f t="shared" si="9"/>
        <v>138</v>
      </c>
      <c r="Z30" s="13">
        <f t="shared" si="9"/>
        <v>197</v>
      </c>
      <c r="AA30" s="13">
        <f t="shared" si="9"/>
        <v>207</v>
      </c>
      <c r="AB30" s="13">
        <f t="shared" si="9"/>
        <v>226</v>
      </c>
      <c r="AC30" s="13">
        <f t="shared" si="9"/>
        <v>192</v>
      </c>
      <c r="AD30" s="13">
        <f t="shared" si="9"/>
        <v>218</v>
      </c>
      <c r="AE30" s="13">
        <f t="shared" si="9"/>
        <v>170</v>
      </c>
      <c r="AF30" s="13">
        <f t="shared" si="9"/>
        <v>177</v>
      </c>
      <c r="AG30" s="13">
        <f t="shared" si="9"/>
        <v>211</v>
      </c>
      <c r="AH30" s="13">
        <f t="shared" si="9"/>
        <v>162</v>
      </c>
      <c r="AI30" s="13">
        <f t="shared" si="9"/>
        <v>178</v>
      </c>
      <c r="AJ30" s="13">
        <f t="shared" si="9"/>
        <v>206</v>
      </c>
      <c r="AK30" s="13">
        <f t="shared" si="9"/>
        <v>162</v>
      </c>
      <c r="AL30" s="13">
        <f t="shared" si="9"/>
        <v>152</v>
      </c>
      <c r="AM30" s="13">
        <f t="shared" si="3"/>
        <v>6665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76"/>
      <c r="O31" s="76"/>
      <c r="P31" s="76"/>
      <c r="Q31" s="76"/>
      <c r="R31" s="76"/>
      <c r="S31" s="76"/>
      <c r="T31" s="19"/>
      <c r="U31" s="19"/>
      <c r="V31" s="19"/>
      <c r="W31" s="19"/>
      <c r="X31" s="19"/>
      <c r="Y31" s="19"/>
      <c r="Z31" s="19"/>
      <c r="AA31" s="19"/>
      <c r="AB31" s="76"/>
      <c r="AC31" s="76"/>
      <c r="AD31" s="76"/>
      <c r="AE31" s="76"/>
      <c r="AF31" s="76"/>
      <c r="AG31" s="76"/>
      <c r="AH31" s="76"/>
      <c r="AI31" s="76"/>
      <c r="AJ31" s="76"/>
      <c r="AK31" s="76"/>
      <c r="AL31" s="76"/>
      <c r="AM31" s="77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78"/>
      <c r="O32" s="78"/>
      <c r="P32" s="78"/>
      <c r="Q32" s="78"/>
      <c r="R32" s="78"/>
      <c r="S32" s="78"/>
      <c r="T32" s="13"/>
      <c r="U32" s="13"/>
      <c r="V32" s="13"/>
      <c r="W32" s="13"/>
      <c r="X32" s="13"/>
      <c r="Y32" s="13"/>
      <c r="Z32" s="13"/>
      <c r="AA32" s="13"/>
      <c r="AB32" s="78"/>
      <c r="AC32" s="78"/>
      <c r="AD32" s="78"/>
      <c r="AE32" s="78"/>
      <c r="AF32" s="78"/>
      <c r="AG32" s="78"/>
      <c r="AH32" s="78"/>
      <c r="AI32" s="78"/>
      <c r="AJ32" s="78"/>
      <c r="AK32" s="78"/>
      <c r="AL32" s="78"/>
      <c r="AM32" s="77"/>
    </row>
    <row r="33" ht="12.75" customHeight="1">
      <c r="A33" s="19">
        <v>1.0</v>
      </c>
      <c r="B33" s="20" t="s">
        <v>27</v>
      </c>
      <c r="C33" s="15"/>
      <c r="D33" s="16"/>
      <c r="E33" s="19">
        <v>248.0</v>
      </c>
      <c r="F33" s="19">
        <v>279.0</v>
      </c>
      <c r="G33" s="19">
        <v>280.0</v>
      </c>
      <c r="H33" s="19">
        <v>268.0</v>
      </c>
      <c r="I33" s="19">
        <v>270.0</v>
      </c>
      <c r="J33" s="19">
        <v>277.0</v>
      </c>
      <c r="K33" s="19">
        <v>276.0</v>
      </c>
      <c r="L33" s="19">
        <v>233.0</v>
      </c>
      <c r="M33" s="19">
        <v>275.0</v>
      </c>
      <c r="N33" s="19">
        <v>248.0</v>
      </c>
      <c r="O33" s="19">
        <v>257.0</v>
      </c>
      <c r="P33" s="19">
        <v>260.0</v>
      </c>
      <c r="Q33" s="19">
        <v>276.0</v>
      </c>
      <c r="R33" s="19">
        <v>266.0</v>
      </c>
      <c r="S33" s="19">
        <v>292.0</v>
      </c>
      <c r="T33" s="19">
        <v>270.0</v>
      </c>
      <c r="U33" s="19">
        <v>253.0</v>
      </c>
      <c r="V33" s="19">
        <v>284.0</v>
      </c>
      <c r="W33" s="19">
        <v>257.0</v>
      </c>
      <c r="X33" s="19">
        <v>254.0</v>
      </c>
      <c r="Y33" s="19">
        <v>197.0</v>
      </c>
      <c r="Z33" s="19">
        <v>268.0</v>
      </c>
      <c r="AA33" s="19">
        <v>275.0</v>
      </c>
      <c r="AB33" s="19">
        <v>264.0</v>
      </c>
      <c r="AC33" s="19">
        <v>253.0</v>
      </c>
      <c r="AD33" s="19">
        <v>283.0</v>
      </c>
      <c r="AE33" s="19">
        <v>246.0</v>
      </c>
      <c r="AF33" s="19">
        <v>234.0</v>
      </c>
      <c r="AG33" s="19">
        <v>281.0</v>
      </c>
      <c r="AH33" s="19">
        <v>231.0</v>
      </c>
      <c r="AI33" s="19">
        <v>282.0</v>
      </c>
      <c r="AJ33" s="19">
        <v>237.0</v>
      </c>
      <c r="AK33" s="19">
        <v>217.0</v>
      </c>
      <c r="AL33" s="19">
        <v>212.0</v>
      </c>
      <c r="AM33" s="13">
        <f t="shared" ref="AM33:AM36" si="10">SUM(E33:AL33)</f>
        <v>8803</v>
      </c>
    </row>
    <row r="34" ht="12.75" customHeight="1">
      <c r="A34" s="19">
        <v>2.0</v>
      </c>
      <c r="B34" s="20" t="s">
        <v>28</v>
      </c>
      <c r="C34" s="15"/>
      <c r="D34" s="16"/>
      <c r="E34" s="13">
        <v>178.0</v>
      </c>
      <c r="F34" s="13">
        <v>191.0</v>
      </c>
      <c r="G34" s="13">
        <v>222.0</v>
      </c>
      <c r="H34" s="13">
        <v>224.0</v>
      </c>
      <c r="I34" s="13">
        <v>210.0</v>
      </c>
      <c r="J34" s="13">
        <v>214.0</v>
      </c>
      <c r="K34" s="13">
        <v>211.0</v>
      </c>
      <c r="L34" s="13">
        <v>186.0</v>
      </c>
      <c r="M34" s="13">
        <v>201.0</v>
      </c>
      <c r="N34" s="13">
        <v>198.0</v>
      </c>
      <c r="O34" s="13">
        <v>192.0</v>
      </c>
      <c r="P34" s="13">
        <v>203.0</v>
      </c>
      <c r="Q34" s="13">
        <v>227.0</v>
      </c>
      <c r="R34" s="13">
        <v>203.0</v>
      </c>
      <c r="S34" s="13">
        <v>239.0</v>
      </c>
      <c r="T34" s="13">
        <v>206.0</v>
      </c>
      <c r="U34" s="13">
        <v>182.0</v>
      </c>
      <c r="V34" s="13">
        <v>225.0</v>
      </c>
      <c r="W34" s="13">
        <v>175.0</v>
      </c>
      <c r="X34" s="13">
        <v>182.0</v>
      </c>
      <c r="Y34" s="13">
        <v>138.0</v>
      </c>
      <c r="Z34" s="13">
        <v>197.0</v>
      </c>
      <c r="AA34" s="13">
        <v>207.0</v>
      </c>
      <c r="AB34" s="13">
        <v>226.0</v>
      </c>
      <c r="AC34" s="13">
        <v>192.0</v>
      </c>
      <c r="AD34" s="13">
        <v>218.0</v>
      </c>
      <c r="AE34" s="13">
        <v>170.0</v>
      </c>
      <c r="AF34" s="13">
        <v>177.0</v>
      </c>
      <c r="AG34" s="13">
        <v>211.0</v>
      </c>
      <c r="AH34" s="13">
        <v>162.0</v>
      </c>
      <c r="AI34" s="13">
        <v>178.0</v>
      </c>
      <c r="AJ34" s="13">
        <v>206.0</v>
      </c>
      <c r="AK34" s="13">
        <v>162.0</v>
      </c>
      <c r="AL34" s="13">
        <v>152.0</v>
      </c>
      <c r="AM34" s="13">
        <f t="shared" si="10"/>
        <v>6665</v>
      </c>
    </row>
    <row r="35" ht="12.75" customHeight="1">
      <c r="A35" s="19">
        <v>3.0</v>
      </c>
      <c r="B35" s="20" t="s">
        <v>29</v>
      </c>
      <c r="C35" s="15"/>
      <c r="D35" s="16"/>
      <c r="E35" s="19">
        <v>1.0</v>
      </c>
      <c r="F35" s="19">
        <v>0.0</v>
      </c>
      <c r="G35" s="19">
        <v>1.0</v>
      </c>
      <c r="H35" s="19">
        <v>0.0</v>
      </c>
      <c r="I35" s="19">
        <v>0.0</v>
      </c>
      <c r="J35" s="19">
        <v>0.0</v>
      </c>
      <c r="K35" s="19">
        <v>0.0</v>
      </c>
      <c r="L35" s="19">
        <v>0.0</v>
      </c>
      <c r="M35" s="19">
        <v>0.0</v>
      </c>
      <c r="N35" s="19">
        <v>0.0</v>
      </c>
      <c r="O35" s="19">
        <v>0.0</v>
      </c>
      <c r="P35" s="19">
        <v>0.0</v>
      </c>
      <c r="Q35" s="19">
        <v>0.0</v>
      </c>
      <c r="R35" s="19">
        <v>0.0</v>
      </c>
      <c r="S35" s="19">
        <v>0.0</v>
      </c>
      <c r="T35" s="19">
        <v>1.0</v>
      </c>
      <c r="U35" s="19">
        <v>2.0</v>
      </c>
      <c r="V35" s="19">
        <v>2.0</v>
      </c>
      <c r="W35" s="19">
        <v>1.0</v>
      </c>
      <c r="X35" s="19">
        <v>0.0</v>
      </c>
      <c r="Y35" s="19">
        <v>0.0</v>
      </c>
      <c r="Z35" s="19">
        <v>0.0</v>
      </c>
      <c r="AA35" s="19">
        <v>0.0</v>
      </c>
      <c r="AB35" s="19">
        <v>0.0</v>
      </c>
      <c r="AC35" s="19">
        <v>0.0</v>
      </c>
      <c r="AD35" s="19">
        <v>0.0</v>
      </c>
      <c r="AE35" s="19">
        <v>0.0</v>
      </c>
      <c r="AF35" s="19">
        <v>0.0</v>
      </c>
      <c r="AG35" s="19">
        <v>0.0</v>
      </c>
      <c r="AH35" s="19">
        <v>0.0</v>
      </c>
      <c r="AI35" s="19">
        <v>0.0</v>
      </c>
      <c r="AJ35" s="19">
        <v>0.0</v>
      </c>
      <c r="AK35" s="19">
        <v>0.0</v>
      </c>
      <c r="AL35" s="19">
        <v>0.0</v>
      </c>
      <c r="AM35" s="13">
        <f t="shared" si="10"/>
        <v>8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AL36" si="11">E33-(E34+E35)</f>
        <v>69</v>
      </c>
      <c r="F36" s="13">
        <f t="shared" si="11"/>
        <v>88</v>
      </c>
      <c r="G36" s="13">
        <f t="shared" si="11"/>
        <v>57</v>
      </c>
      <c r="H36" s="13">
        <f t="shared" si="11"/>
        <v>44</v>
      </c>
      <c r="I36" s="13">
        <f t="shared" si="11"/>
        <v>60</v>
      </c>
      <c r="J36" s="13">
        <f t="shared" si="11"/>
        <v>63</v>
      </c>
      <c r="K36" s="13">
        <f t="shared" si="11"/>
        <v>65</v>
      </c>
      <c r="L36" s="13">
        <f t="shared" si="11"/>
        <v>47</v>
      </c>
      <c r="M36" s="13">
        <f t="shared" si="11"/>
        <v>74</v>
      </c>
      <c r="N36" s="13">
        <f t="shared" si="11"/>
        <v>50</v>
      </c>
      <c r="O36" s="13">
        <f t="shared" si="11"/>
        <v>65</v>
      </c>
      <c r="P36" s="13">
        <f t="shared" si="11"/>
        <v>57</v>
      </c>
      <c r="Q36" s="13">
        <f t="shared" si="11"/>
        <v>49</v>
      </c>
      <c r="R36" s="13">
        <f t="shared" si="11"/>
        <v>63</v>
      </c>
      <c r="S36" s="13">
        <f t="shared" si="11"/>
        <v>53</v>
      </c>
      <c r="T36" s="13">
        <f t="shared" si="11"/>
        <v>63</v>
      </c>
      <c r="U36" s="13">
        <f t="shared" si="11"/>
        <v>69</v>
      </c>
      <c r="V36" s="13">
        <f t="shared" si="11"/>
        <v>57</v>
      </c>
      <c r="W36" s="13">
        <f t="shared" si="11"/>
        <v>81</v>
      </c>
      <c r="X36" s="13">
        <f t="shared" si="11"/>
        <v>72</v>
      </c>
      <c r="Y36" s="13">
        <f t="shared" si="11"/>
        <v>59</v>
      </c>
      <c r="Z36" s="13">
        <f t="shared" si="11"/>
        <v>71</v>
      </c>
      <c r="AA36" s="13">
        <f t="shared" si="11"/>
        <v>68</v>
      </c>
      <c r="AB36" s="13">
        <f t="shared" si="11"/>
        <v>38</v>
      </c>
      <c r="AC36" s="13">
        <f t="shared" si="11"/>
        <v>61</v>
      </c>
      <c r="AD36" s="13">
        <f t="shared" si="11"/>
        <v>65</v>
      </c>
      <c r="AE36" s="13">
        <f t="shared" si="11"/>
        <v>76</v>
      </c>
      <c r="AF36" s="13">
        <f t="shared" si="11"/>
        <v>57</v>
      </c>
      <c r="AG36" s="13">
        <f t="shared" si="11"/>
        <v>70</v>
      </c>
      <c r="AH36" s="13">
        <f t="shared" si="11"/>
        <v>69</v>
      </c>
      <c r="AI36" s="13">
        <f t="shared" si="11"/>
        <v>104</v>
      </c>
      <c r="AJ36" s="13">
        <f t="shared" si="11"/>
        <v>31</v>
      </c>
      <c r="AK36" s="13">
        <f t="shared" si="11"/>
        <v>55</v>
      </c>
      <c r="AL36" s="13">
        <f t="shared" si="11"/>
        <v>60</v>
      </c>
      <c r="AM36" s="13">
        <f t="shared" si="10"/>
        <v>2130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6"/>
      <c r="X37" s="19"/>
      <c r="Y37" s="19"/>
      <c r="Z37" s="19"/>
      <c r="AA37" s="19"/>
      <c r="AB37" s="76"/>
      <c r="AC37" s="79"/>
      <c r="AD37" s="79"/>
      <c r="AE37" s="79"/>
      <c r="AF37" s="79"/>
      <c r="AG37" s="79"/>
      <c r="AH37" s="79"/>
      <c r="AI37" s="79"/>
      <c r="AJ37" s="79"/>
      <c r="AK37" s="79"/>
      <c r="AL37" s="79"/>
      <c r="AM37" s="77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78"/>
      <c r="O38" s="78"/>
      <c r="P38" s="78"/>
      <c r="Q38" s="78"/>
      <c r="R38" s="78"/>
      <c r="S38" s="78"/>
      <c r="T38" s="13"/>
      <c r="U38" s="13"/>
      <c r="V38" s="13"/>
      <c r="W38" s="13"/>
      <c r="X38" s="13"/>
      <c r="Y38" s="13"/>
      <c r="Z38" s="13"/>
      <c r="AA38" s="13"/>
      <c r="AB38" s="78"/>
      <c r="AC38" s="78"/>
      <c r="AD38" s="78"/>
      <c r="AE38" s="78"/>
      <c r="AF38" s="78"/>
      <c r="AG38" s="78"/>
      <c r="AH38" s="78"/>
      <c r="AI38" s="78"/>
      <c r="AJ38" s="78"/>
      <c r="AK38" s="78"/>
      <c r="AL38" s="78"/>
      <c r="AM38" s="77"/>
    </row>
    <row r="39" ht="12.75" customHeight="1">
      <c r="A39" s="30"/>
      <c r="B39" s="43" t="s">
        <v>33</v>
      </c>
      <c r="C39" s="23"/>
      <c r="D39" s="19" t="s">
        <v>12</v>
      </c>
      <c r="E39" s="19">
        <v>0.0</v>
      </c>
      <c r="F39" s="19">
        <v>0.0</v>
      </c>
      <c r="G39" s="19">
        <v>0.0</v>
      </c>
      <c r="H39" s="19">
        <v>2.0</v>
      </c>
      <c r="I39" s="19">
        <v>0.0</v>
      </c>
      <c r="J39" s="19">
        <v>0.0</v>
      </c>
      <c r="K39" s="19">
        <v>0.0</v>
      </c>
      <c r="L39" s="19">
        <v>0.0</v>
      </c>
      <c r="M39" s="19">
        <v>0.0</v>
      </c>
      <c r="N39" s="19">
        <v>0.0</v>
      </c>
      <c r="O39" s="19">
        <v>0.0</v>
      </c>
      <c r="P39" s="19">
        <v>0.0</v>
      </c>
      <c r="Q39" s="19">
        <v>0.0</v>
      </c>
      <c r="R39" s="19">
        <v>0.0</v>
      </c>
      <c r="S39" s="19">
        <v>0.0</v>
      </c>
      <c r="T39" s="19">
        <v>0.0</v>
      </c>
      <c r="U39" s="19">
        <v>0.0</v>
      </c>
      <c r="V39" s="19">
        <v>0.0</v>
      </c>
      <c r="W39" s="19">
        <v>0.0</v>
      </c>
      <c r="X39" s="19">
        <v>0.0</v>
      </c>
      <c r="Y39" s="19">
        <v>0.0</v>
      </c>
      <c r="Z39" s="19">
        <v>0.0</v>
      </c>
      <c r="AA39" s="19">
        <v>0.0</v>
      </c>
      <c r="AB39" s="19">
        <v>0.0</v>
      </c>
      <c r="AC39" s="19">
        <v>0.0</v>
      </c>
      <c r="AD39" s="19">
        <v>0.0</v>
      </c>
      <c r="AE39" s="19">
        <v>0.0</v>
      </c>
      <c r="AF39" s="19">
        <v>0.0</v>
      </c>
      <c r="AG39" s="19">
        <v>0.0</v>
      </c>
      <c r="AH39" s="19">
        <v>0.0</v>
      </c>
      <c r="AI39" s="19">
        <v>0.0</v>
      </c>
      <c r="AJ39" s="19">
        <v>0.0</v>
      </c>
      <c r="AK39" s="19">
        <v>0.0</v>
      </c>
      <c r="AL39" s="19">
        <v>0.0</v>
      </c>
      <c r="AM39" s="13">
        <f t="shared" ref="AM39:AM41" si="12">SUM(E39:AL39)</f>
        <v>2</v>
      </c>
    </row>
    <row r="40" ht="12.75" customHeight="1">
      <c r="A40" s="33"/>
      <c r="C40" s="27"/>
      <c r="D40" s="19" t="s">
        <v>13</v>
      </c>
      <c r="E40" s="19">
        <v>0.0</v>
      </c>
      <c r="F40" s="19">
        <v>0.0</v>
      </c>
      <c r="G40" s="19">
        <v>0.0</v>
      </c>
      <c r="H40" s="19">
        <v>0.0</v>
      </c>
      <c r="I40" s="19">
        <v>0.0</v>
      </c>
      <c r="J40" s="19">
        <v>0.0</v>
      </c>
      <c r="K40" s="19">
        <v>0.0</v>
      </c>
      <c r="L40" s="19">
        <v>0.0</v>
      </c>
      <c r="M40" s="19">
        <v>0.0</v>
      </c>
      <c r="N40" s="19">
        <v>0.0</v>
      </c>
      <c r="O40" s="19">
        <v>0.0</v>
      </c>
      <c r="P40" s="19">
        <v>0.0</v>
      </c>
      <c r="Q40" s="19">
        <v>0.0</v>
      </c>
      <c r="R40" s="19">
        <v>0.0</v>
      </c>
      <c r="S40" s="19">
        <v>0.0</v>
      </c>
      <c r="T40" s="19">
        <v>0.0</v>
      </c>
      <c r="U40" s="19">
        <v>0.0</v>
      </c>
      <c r="V40" s="19">
        <v>0.0</v>
      </c>
      <c r="W40" s="19">
        <v>0.0</v>
      </c>
      <c r="X40" s="19">
        <v>0.0</v>
      </c>
      <c r="Y40" s="19">
        <v>0.0</v>
      </c>
      <c r="Z40" s="19">
        <v>0.0</v>
      </c>
      <c r="AA40" s="19">
        <v>1.0</v>
      </c>
      <c r="AB40" s="19">
        <v>0.0</v>
      </c>
      <c r="AC40" s="19">
        <v>0.0</v>
      </c>
      <c r="AD40" s="19">
        <v>0.0</v>
      </c>
      <c r="AE40" s="19">
        <v>0.0</v>
      </c>
      <c r="AF40" s="19">
        <v>0.0</v>
      </c>
      <c r="AG40" s="19">
        <v>1.0</v>
      </c>
      <c r="AH40" s="19">
        <v>0.0</v>
      </c>
      <c r="AI40" s="19">
        <v>0.0</v>
      </c>
      <c r="AJ40" s="19">
        <v>0.0</v>
      </c>
      <c r="AK40" s="19">
        <v>0.0</v>
      </c>
      <c r="AL40" s="19">
        <v>0.0</v>
      </c>
      <c r="AM40" s="13">
        <f t="shared" si="12"/>
        <v>2</v>
      </c>
    </row>
    <row r="41" ht="12.75" customHeight="1">
      <c r="A41" s="41"/>
      <c r="B41" s="44"/>
      <c r="C41" s="28"/>
      <c r="D41" s="13" t="s">
        <v>14</v>
      </c>
      <c r="E41" s="13">
        <f t="shared" ref="E41:AL41" si="13">SUM(E39:E40)</f>
        <v>0</v>
      </c>
      <c r="F41" s="13">
        <f t="shared" si="13"/>
        <v>0</v>
      </c>
      <c r="G41" s="13">
        <f t="shared" si="13"/>
        <v>0</v>
      </c>
      <c r="H41" s="13">
        <f t="shared" si="13"/>
        <v>2</v>
      </c>
      <c r="I41" s="13">
        <f t="shared" si="13"/>
        <v>0</v>
      </c>
      <c r="J41" s="13">
        <f t="shared" si="13"/>
        <v>0</v>
      </c>
      <c r="K41" s="13">
        <f t="shared" si="13"/>
        <v>0</v>
      </c>
      <c r="L41" s="13">
        <f t="shared" si="13"/>
        <v>0</v>
      </c>
      <c r="M41" s="13">
        <f t="shared" si="13"/>
        <v>0</v>
      </c>
      <c r="N41" s="13">
        <f t="shared" si="13"/>
        <v>0</v>
      </c>
      <c r="O41" s="13">
        <f t="shared" si="13"/>
        <v>0</v>
      </c>
      <c r="P41" s="13">
        <f t="shared" si="13"/>
        <v>0</v>
      </c>
      <c r="Q41" s="13">
        <f t="shared" si="13"/>
        <v>0</v>
      </c>
      <c r="R41" s="13">
        <f t="shared" si="13"/>
        <v>0</v>
      </c>
      <c r="S41" s="13">
        <f t="shared" si="13"/>
        <v>0</v>
      </c>
      <c r="T41" s="13">
        <f t="shared" si="13"/>
        <v>0</v>
      </c>
      <c r="U41" s="13">
        <f t="shared" si="13"/>
        <v>0</v>
      </c>
      <c r="V41" s="13">
        <f t="shared" si="13"/>
        <v>0</v>
      </c>
      <c r="W41" s="13">
        <f t="shared" si="13"/>
        <v>0</v>
      </c>
      <c r="X41" s="13">
        <f t="shared" si="13"/>
        <v>0</v>
      </c>
      <c r="Y41" s="13">
        <f t="shared" si="13"/>
        <v>0</v>
      </c>
      <c r="Z41" s="13">
        <f t="shared" si="13"/>
        <v>0</v>
      </c>
      <c r="AA41" s="13">
        <f t="shared" si="13"/>
        <v>1</v>
      </c>
      <c r="AB41" s="13">
        <f t="shared" si="13"/>
        <v>0</v>
      </c>
      <c r="AC41" s="13">
        <f t="shared" si="13"/>
        <v>0</v>
      </c>
      <c r="AD41" s="13">
        <f t="shared" si="13"/>
        <v>0</v>
      </c>
      <c r="AE41" s="13">
        <f t="shared" si="13"/>
        <v>0</v>
      </c>
      <c r="AF41" s="13">
        <f t="shared" si="13"/>
        <v>0</v>
      </c>
      <c r="AG41" s="13">
        <f t="shared" si="13"/>
        <v>1</v>
      </c>
      <c r="AH41" s="13">
        <f t="shared" si="13"/>
        <v>0</v>
      </c>
      <c r="AI41" s="13">
        <f t="shared" si="13"/>
        <v>0</v>
      </c>
      <c r="AJ41" s="13">
        <f t="shared" si="13"/>
        <v>0</v>
      </c>
      <c r="AK41" s="13">
        <f t="shared" si="13"/>
        <v>0</v>
      </c>
      <c r="AL41" s="13">
        <f t="shared" si="13"/>
        <v>0</v>
      </c>
      <c r="AM41" s="13">
        <f t="shared" si="12"/>
        <v>4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6"/>
      <c r="X42" s="19"/>
      <c r="Y42" s="19"/>
      <c r="Z42" s="19"/>
      <c r="AA42" s="19"/>
      <c r="AB42" s="76"/>
      <c r="AC42" s="19"/>
      <c r="AD42" s="76"/>
      <c r="AE42" s="19"/>
      <c r="AF42" s="76"/>
      <c r="AG42" s="19"/>
      <c r="AH42" s="76"/>
      <c r="AI42" s="19"/>
      <c r="AJ42" s="76"/>
      <c r="AK42" s="19"/>
      <c r="AL42" s="76"/>
      <c r="AM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78"/>
      <c r="O43" s="13"/>
      <c r="P43" s="78"/>
      <c r="Q43" s="13"/>
      <c r="R43" s="78"/>
      <c r="S43" s="13"/>
      <c r="T43" s="13"/>
      <c r="U43" s="13"/>
      <c r="V43" s="13"/>
      <c r="W43" s="13"/>
      <c r="X43" s="13"/>
      <c r="Y43" s="13"/>
      <c r="Z43" s="13"/>
      <c r="AA43" s="13"/>
      <c r="AB43" s="78"/>
      <c r="AC43" s="13"/>
      <c r="AD43" s="78"/>
      <c r="AE43" s="13"/>
      <c r="AF43" s="78"/>
      <c r="AG43" s="13"/>
      <c r="AH43" s="78"/>
      <c r="AI43" s="13"/>
      <c r="AJ43" s="78"/>
      <c r="AK43" s="13"/>
      <c r="AL43" s="78"/>
      <c r="AM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76"/>
      <c r="O44" s="19"/>
      <c r="P44" s="76"/>
      <c r="Q44" s="19"/>
      <c r="R44" s="76"/>
      <c r="S44" s="19"/>
      <c r="T44" s="19"/>
      <c r="U44" s="19"/>
      <c r="V44" s="19"/>
      <c r="W44" s="19"/>
      <c r="X44" s="19"/>
      <c r="Y44" s="19"/>
      <c r="Z44" s="19"/>
      <c r="AA44" s="19"/>
      <c r="AB44" s="76"/>
      <c r="AC44" s="19"/>
      <c r="AD44" s="76"/>
      <c r="AE44" s="19"/>
      <c r="AF44" s="76"/>
      <c r="AG44" s="19"/>
      <c r="AH44" s="76"/>
      <c r="AI44" s="19"/>
      <c r="AJ44" s="76"/>
      <c r="AK44" s="19"/>
      <c r="AL44" s="76"/>
      <c r="AM44" s="13"/>
    </row>
    <row r="45" ht="12.75" customHeight="1">
      <c r="A45" s="30" t="s">
        <v>37</v>
      </c>
      <c r="B45" s="47" t="s">
        <v>17</v>
      </c>
      <c r="C45" s="48" t="s">
        <v>38</v>
      </c>
      <c r="D45" s="16"/>
      <c r="E45" s="19">
        <v>14.0</v>
      </c>
      <c r="F45" s="19">
        <v>7.0</v>
      </c>
      <c r="G45" s="19">
        <v>5.0</v>
      </c>
      <c r="H45" s="19">
        <v>18.0</v>
      </c>
      <c r="I45" s="19">
        <v>5.0</v>
      </c>
      <c r="J45" s="19">
        <v>7.0</v>
      </c>
      <c r="K45" s="19">
        <v>2.0</v>
      </c>
      <c r="L45" s="19">
        <v>17.0</v>
      </c>
      <c r="M45" s="19">
        <v>5.0</v>
      </c>
      <c r="N45" s="19">
        <v>10.0</v>
      </c>
      <c r="O45" s="19">
        <v>11.0</v>
      </c>
      <c r="P45" s="19">
        <v>17.0</v>
      </c>
      <c r="Q45" s="19">
        <v>6.0</v>
      </c>
      <c r="R45" s="19">
        <v>14.0</v>
      </c>
      <c r="S45" s="19">
        <v>3.0</v>
      </c>
      <c r="T45" s="19">
        <v>9.0</v>
      </c>
      <c r="U45" s="19">
        <v>5.0</v>
      </c>
      <c r="V45" s="19">
        <v>5.0</v>
      </c>
      <c r="W45" s="19">
        <v>8.0</v>
      </c>
      <c r="X45" s="19">
        <v>8.0</v>
      </c>
      <c r="Y45" s="19">
        <v>8.0</v>
      </c>
      <c r="Z45" s="19">
        <v>11.0</v>
      </c>
      <c r="AA45" s="19">
        <v>13.0</v>
      </c>
      <c r="AB45" s="19">
        <v>6.0</v>
      </c>
      <c r="AC45" s="19">
        <v>8.0</v>
      </c>
      <c r="AD45" s="19">
        <v>7.0</v>
      </c>
      <c r="AE45" s="19">
        <v>15.0</v>
      </c>
      <c r="AF45" s="19">
        <v>7.0</v>
      </c>
      <c r="AG45" s="19">
        <v>19.0</v>
      </c>
      <c r="AH45" s="19">
        <v>20.0</v>
      </c>
      <c r="AI45" s="19">
        <v>11.0</v>
      </c>
      <c r="AJ45" s="19">
        <v>3.0</v>
      </c>
      <c r="AK45" s="19">
        <v>6.0</v>
      </c>
      <c r="AL45" s="19">
        <v>4.0</v>
      </c>
      <c r="AM45" s="13">
        <f t="shared" ref="AM45:AM54" si="14">SUM(E45:AL45)</f>
        <v>314</v>
      </c>
    </row>
    <row r="46" ht="12.75" customHeight="1">
      <c r="A46" s="30" t="s">
        <v>39</v>
      </c>
      <c r="B46" s="49">
        <v>1.0</v>
      </c>
      <c r="C46" s="50" t="s">
        <v>40</v>
      </c>
      <c r="D46" s="16"/>
      <c r="E46" s="19">
        <v>8.0</v>
      </c>
      <c r="F46" s="19">
        <v>6.0</v>
      </c>
      <c r="G46" s="19">
        <v>17.0</v>
      </c>
      <c r="H46" s="19">
        <v>16.0</v>
      </c>
      <c r="I46" s="19">
        <v>4.0</v>
      </c>
      <c r="J46" s="19">
        <v>5.0</v>
      </c>
      <c r="K46" s="19">
        <v>15.0</v>
      </c>
      <c r="L46" s="19">
        <v>6.0</v>
      </c>
      <c r="M46" s="19">
        <v>30.0</v>
      </c>
      <c r="N46" s="19">
        <v>7.0</v>
      </c>
      <c r="O46" s="19">
        <v>13.0</v>
      </c>
      <c r="P46" s="19">
        <v>5.0</v>
      </c>
      <c r="Q46" s="19">
        <v>6.0</v>
      </c>
      <c r="R46" s="19">
        <v>3.0</v>
      </c>
      <c r="S46" s="19">
        <v>8.0</v>
      </c>
      <c r="T46" s="19">
        <v>12.0</v>
      </c>
      <c r="U46" s="19">
        <v>9.0</v>
      </c>
      <c r="V46" s="19">
        <v>11.0</v>
      </c>
      <c r="W46" s="19">
        <v>10.0</v>
      </c>
      <c r="X46" s="19">
        <v>9.0</v>
      </c>
      <c r="Y46" s="19">
        <v>11.0</v>
      </c>
      <c r="Z46" s="19">
        <v>10.0</v>
      </c>
      <c r="AA46" s="19">
        <v>12.0</v>
      </c>
      <c r="AB46" s="19">
        <v>2.0</v>
      </c>
      <c r="AC46" s="19">
        <v>14.0</v>
      </c>
      <c r="AD46" s="19">
        <v>10.0</v>
      </c>
      <c r="AE46" s="19">
        <v>14.0</v>
      </c>
      <c r="AF46" s="19">
        <v>6.0</v>
      </c>
      <c r="AG46" s="19">
        <v>13.0</v>
      </c>
      <c r="AH46" s="19">
        <v>7.0</v>
      </c>
      <c r="AI46" s="19">
        <v>10.0</v>
      </c>
      <c r="AJ46" s="19">
        <v>3.0</v>
      </c>
      <c r="AK46" s="19">
        <v>4.0</v>
      </c>
      <c r="AL46" s="19">
        <v>9.0</v>
      </c>
      <c r="AM46" s="13">
        <f t="shared" si="14"/>
        <v>325</v>
      </c>
    </row>
    <row r="47" ht="12.75" customHeight="1">
      <c r="A47" s="18"/>
      <c r="B47" s="55">
        <v>2.0</v>
      </c>
      <c r="C47" s="50" t="s">
        <v>41</v>
      </c>
      <c r="D47" s="16"/>
      <c r="E47" s="19">
        <v>12.0</v>
      </c>
      <c r="F47" s="19">
        <v>15.0</v>
      </c>
      <c r="G47" s="19">
        <v>16.0</v>
      </c>
      <c r="H47" s="19">
        <v>29.0</v>
      </c>
      <c r="I47" s="19">
        <v>30.0</v>
      </c>
      <c r="J47" s="19">
        <v>17.0</v>
      </c>
      <c r="K47" s="19">
        <v>19.0</v>
      </c>
      <c r="L47" s="19">
        <v>29.0</v>
      </c>
      <c r="M47" s="19">
        <v>41.0</v>
      </c>
      <c r="N47" s="19">
        <v>17.0</v>
      </c>
      <c r="O47" s="19">
        <v>15.0</v>
      </c>
      <c r="P47" s="19">
        <v>34.0</v>
      </c>
      <c r="Q47" s="19">
        <v>11.0</v>
      </c>
      <c r="R47" s="19">
        <v>8.0</v>
      </c>
      <c r="S47" s="19">
        <v>33.0</v>
      </c>
      <c r="T47" s="19">
        <v>27.0</v>
      </c>
      <c r="U47" s="19">
        <v>19.0</v>
      </c>
      <c r="V47" s="19">
        <v>21.0</v>
      </c>
      <c r="W47" s="19">
        <v>18.0</v>
      </c>
      <c r="X47" s="19">
        <v>13.0</v>
      </c>
      <c r="Y47" s="19">
        <v>6.0</v>
      </c>
      <c r="Z47" s="19">
        <v>13.0</v>
      </c>
      <c r="AA47" s="19">
        <v>33.0</v>
      </c>
      <c r="AB47" s="19">
        <v>36.0</v>
      </c>
      <c r="AC47" s="19">
        <v>17.0</v>
      </c>
      <c r="AD47" s="19">
        <v>12.0</v>
      </c>
      <c r="AE47" s="19">
        <v>11.0</v>
      </c>
      <c r="AF47" s="19">
        <v>23.0</v>
      </c>
      <c r="AG47" s="19">
        <v>13.0</v>
      </c>
      <c r="AH47" s="19">
        <v>11.0</v>
      </c>
      <c r="AI47" s="19">
        <v>6.0</v>
      </c>
      <c r="AJ47" s="19">
        <v>21.0</v>
      </c>
      <c r="AK47" s="19">
        <v>6.0</v>
      </c>
      <c r="AL47" s="19">
        <v>1.0</v>
      </c>
      <c r="AM47" s="13">
        <f t="shared" si="14"/>
        <v>633</v>
      </c>
    </row>
    <row r="48" ht="12.75" customHeight="1">
      <c r="A48" s="18"/>
      <c r="B48" s="55">
        <v>3.0</v>
      </c>
      <c r="C48" s="50" t="s">
        <v>42</v>
      </c>
      <c r="D48" s="16"/>
      <c r="E48" s="19">
        <v>12.0</v>
      </c>
      <c r="F48" s="19">
        <v>9.0</v>
      </c>
      <c r="G48" s="19">
        <v>2.0</v>
      </c>
      <c r="H48" s="19">
        <v>14.0</v>
      </c>
      <c r="I48" s="19">
        <v>1.0</v>
      </c>
      <c r="J48" s="19">
        <v>5.0</v>
      </c>
      <c r="K48" s="19">
        <v>2.0</v>
      </c>
      <c r="L48" s="19">
        <v>2.0</v>
      </c>
      <c r="M48" s="19">
        <v>1.0</v>
      </c>
      <c r="N48" s="19">
        <v>5.0</v>
      </c>
      <c r="O48" s="19">
        <v>0.0</v>
      </c>
      <c r="P48" s="19">
        <v>1.0</v>
      </c>
      <c r="Q48" s="19">
        <v>0.0</v>
      </c>
      <c r="R48" s="19">
        <v>0.0</v>
      </c>
      <c r="S48" s="19">
        <v>0.0</v>
      </c>
      <c r="T48" s="19">
        <v>5.0</v>
      </c>
      <c r="U48" s="19">
        <v>4.0</v>
      </c>
      <c r="V48" s="19">
        <v>4.0</v>
      </c>
      <c r="W48" s="19">
        <v>0.0</v>
      </c>
      <c r="X48" s="19">
        <v>0.0</v>
      </c>
      <c r="Y48" s="19">
        <v>2.0</v>
      </c>
      <c r="Z48" s="19">
        <v>0.0</v>
      </c>
      <c r="AA48" s="19">
        <v>2.0</v>
      </c>
      <c r="AB48" s="19">
        <v>3.0</v>
      </c>
      <c r="AC48" s="19">
        <v>6.0</v>
      </c>
      <c r="AD48" s="19">
        <v>0.0</v>
      </c>
      <c r="AE48" s="19">
        <v>0.0</v>
      </c>
      <c r="AF48" s="19">
        <v>1.0</v>
      </c>
      <c r="AG48" s="19">
        <v>5.0</v>
      </c>
      <c r="AH48" s="19">
        <v>0.0</v>
      </c>
      <c r="AI48" s="19">
        <v>1.0</v>
      </c>
      <c r="AJ48" s="19">
        <v>0.0</v>
      </c>
      <c r="AK48" s="19">
        <v>0.0</v>
      </c>
      <c r="AL48" s="19">
        <v>0.0</v>
      </c>
      <c r="AM48" s="13">
        <f t="shared" si="14"/>
        <v>87</v>
      </c>
    </row>
    <row r="49" ht="12.75" customHeight="1">
      <c r="A49" s="18"/>
      <c r="B49" s="55">
        <v>4.0</v>
      </c>
      <c r="C49" s="50" t="s">
        <v>43</v>
      </c>
      <c r="D49" s="16"/>
      <c r="E49" s="19">
        <v>0.0</v>
      </c>
      <c r="F49" s="19">
        <v>0.0</v>
      </c>
      <c r="G49" s="19">
        <v>0.0</v>
      </c>
      <c r="H49" s="19">
        <v>0.0</v>
      </c>
      <c r="I49" s="19">
        <v>2.0</v>
      </c>
      <c r="J49" s="19">
        <v>0.0</v>
      </c>
      <c r="K49" s="19">
        <v>3.0</v>
      </c>
      <c r="L49" s="19">
        <v>0.0</v>
      </c>
      <c r="M49" s="19">
        <v>1.0</v>
      </c>
      <c r="N49" s="19">
        <v>1.0</v>
      </c>
      <c r="O49" s="19">
        <v>2.0</v>
      </c>
      <c r="P49" s="19">
        <v>1.0</v>
      </c>
      <c r="Q49" s="19">
        <v>1.0</v>
      </c>
      <c r="R49" s="19">
        <v>0.0</v>
      </c>
      <c r="S49" s="19">
        <v>1.0</v>
      </c>
      <c r="T49" s="19">
        <v>0.0</v>
      </c>
      <c r="U49" s="19">
        <v>3.0</v>
      </c>
      <c r="V49" s="19">
        <v>0.0</v>
      </c>
      <c r="W49" s="19">
        <v>0.0</v>
      </c>
      <c r="X49" s="19">
        <v>2.0</v>
      </c>
      <c r="Y49" s="19">
        <v>0.0</v>
      </c>
      <c r="Z49" s="19">
        <v>0.0</v>
      </c>
      <c r="AA49" s="19">
        <v>1.0</v>
      </c>
      <c r="AB49" s="19">
        <v>2.0</v>
      </c>
      <c r="AC49" s="19">
        <v>1.0</v>
      </c>
      <c r="AD49" s="19">
        <v>1.0</v>
      </c>
      <c r="AE49" s="19">
        <v>0.0</v>
      </c>
      <c r="AF49" s="19">
        <v>0.0</v>
      </c>
      <c r="AG49" s="19">
        <v>3.0</v>
      </c>
      <c r="AH49" s="19">
        <v>1.0</v>
      </c>
      <c r="AI49" s="19">
        <v>0.0</v>
      </c>
      <c r="AJ49" s="19">
        <v>0.0</v>
      </c>
      <c r="AK49" s="19">
        <v>3.0</v>
      </c>
      <c r="AL49" s="19">
        <v>4.0</v>
      </c>
      <c r="AM49" s="13">
        <f t="shared" si="14"/>
        <v>33</v>
      </c>
    </row>
    <row r="50" ht="12.75" customHeight="1">
      <c r="A50" s="18"/>
      <c r="B50" s="55">
        <v>5.0</v>
      </c>
      <c r="C50" s="50" t="s">
        <v>44</v>
      </c>
      <c r="D50" s="16"/>
      <c r="E50" s="19">
        <v>0.0</v>
      </c>
      <c r="F50" s="19">
        <v>0.0</v>
      </c>
      <c r="G50" s="19">
        <v>0.0</v>
      </c>
      <c r="H50" s="19">
        <v>2.0</v>
      </c>
      <c r="I50" s="19">
        <v>1.0</v>
      </c>
      <c r="J50" s="19">
        <v>1.0</v>
      </c>
      <c r="K50" s="19">
        <v>2.0</v>
      </c>
      <c r="L50" s="19">
        <v>0.0</v>
      </c>
      <c r="M50" s="19">
        <v>0.0</v>
      </c>
      <c r="N50" s="19">
        <v>0.0</v>
      </c>
      <c r="O50" s="19">
        <v>0.0</v>
      </c>
      <c r="P50" s="19">
        <v>0.0</v>
      </c>
      <c r="Q50" s="19">
        <v>1.0</v>
      </c>
      <c r="R50" s="19">
        <v>0.0</v>
      </c>
      <c r="S50" s="19">
        <v>0.0</v>
      </c>
      <c r="T50" s="19">
        <v>0.0</v>
      </c>
      <c r="U50" s="19">
        <v>0.0</v>
      </c>
      <c r="V50" s="19">
        <v>0.0</v>
      </c>
      <c r="W50" s="19">
        <v>1.0</v>
      </c>
      <c r="X50" s="19">
        <v>0.0</v>
      </c>
      <c r="Y50" s="19">
        <v>0.0</v>
      </c>
      <c r="Z50" s="19">
        <v>0.0</v>
      </c>
      <c r="AA50" s="19">
        <v>0.0</v>
      </c>
      <c r="AB50" s="19">
        <v>0.0</v>
      </c>
      <c r="AC50" s="19">
        <v>1.0</v>
      </c>
      <c r="AD50" s="19">
        <v>0.0</v>
      </c>
      <c r="AE50" s="19">
        <v>1.0</v>
      </c>
      <c r="AF50" s="19">
        <v>1.0</v>
      </c>
      <c r="AG50" s="19">
        <v>0.0</v>
      </c>
      <c r="AH50" s="19">
        <v>0.0</v>
      </c>
      <c r="AI50" s="19">
        <v>0.0</v>
      </c>
      <c r="AJ50" s="19">
        <v>0.0</v>
      </c>
      <c r="AK50" s="19">
        <v>1.0</v>
      </c>
      <c r="AL50" s="19">
        <v>1.0</v>
      </c>
      <c r="AM50" s="13">
        <f t="shared" si="14"/>
        <v>13</v>
      </c>
    </row>
    <row r="51" ht="12.75" customHeight="1">
      <c r="A51" s="18"/>
      <c r="B51" s="55">
        <v>6.0</v>
      </c>
      <c r="C51" s="50" t="s">
        <v>45</v>
      </c>
      <c r="D51" s="16"/>
      <c r="E51" s="19">
        <v>0.0</v>
      </c>
      <c r="F51" s="19">
        <v>1.0</v>
      </c>
      <c r="G51" s="19">
        <v>0.0</v>
      </c>
      <c r="H51" s="19">
        <v>0.0</v>
      </c>
      <c r="I51" s="19">
        <v>0.0</v>
      </c>
      <c r="J51" s="19">
        <v>0.0</v>
      </c>
      <c r="K51" s="19">
        <v>0.0</v>
      </c>
      <c r="L51" s="19">
        <v>0.0</v>
      </c>
      <c r="M51" s="19">
        <v>0.0</v>
      </c>
      <c r="N51" s="19">
        <v>1.0</v>
      </c>
      <c r="O51" s="19">
        <v>0.0</v>
      </c>
      <c r="P51" s="19">
        <v>0.0</v>
      </c>
      <c r="Q51" s="19">
        <v>1.0</v>
      </c>
      <c r="R51" s="19">
        <v>0.0</v>
      </c>
      <c r="S51" s="19">
        <v>0.0</v>
      </c>
      <c r="T51" s="19">
        <v>0.0</v>
      </c>
      <c r="U51" s="19">
        <v>0.0</v>
      </c>
      <c r="V51" s="19">
        <v>0.0</v>
      </c>
      <c r="W51" s="19">
        <v>0.0</v>
      </c>
      <c r="X51" s="19">
        <v>0.0</v>
      </c>
      <c r="Y51" s="19">
        <v>0.0</v>
      </c>
      <c r="Z51" s="19">
        <v>0.0</v>
      </c>
      <c r="AA51" s="19">
        <v>0.0</v>
      </c>
      <c r="AB51" s="19">
        <v>0.0</v>
      </c>
      <c r="AC51" s="19">
        <v>0.0</v>
      </c>
      <c r="AD51" s="19">
        <v>0.0</v>
      </c>
      <c r="AE51" s="19">
        <v>0.0</v>
      </c>
      <c r="AF51" s="19">
        <v>0.0</v>
      </c>
      <c r="AG51" s="19">
        <v>0.0</v>
      </c>
      <c r="AH51" s="19">
        <v>1.0</v>
      </c>
      <c r="AI51" s="19">
        <v>0.0</v>
      </c>
      <c r="AJ51" s="19">
        <v>0.0</v>
      </c>
      <c r="AK51" s="19">
        <v>0.0</v>
      </c>
      <c r="AL51" s="19">
        <v>0.0</v>
      </c>
      <c r="AM51" s="13">
        <f t="shared" si="14"/>
        <v>4</v>
      </c>
    </row>
    <row r="52" ht="12.75" customHeight="1">
      <c r="A52" s="18"/>
      <c r="B52" s="55">
        <v>7.0</v>
      </c>
      <c r="C52" s="50" t="s">
        <v>46</v>
      </c>
      <c r="D52" s="16"/>
      <c r="E52" s="19">
        <v>0.0</v>
      </c>
      <c r="F52" s="19">
        <v>0.0</v>
      </c>
      <c r="G52" s="19">
        <v>1.0</v>
      </c>
      <c r="H52" s="19">
        <v>0.0</v>
      </c>
      <c r="I52" s="19">
        <v>0.0</v>
      </c>
      <c r="J52" s="19">
        <v>0.0</v>
      </c>
      <c r="K52" s="19">
        <v>0.0</v>
      </c>
      <c r="L52" s="19">
        <v>1.0</v>
      </c>
      <c r="M52" s="19">
        <v>0.0</v>
      </c>
      <c r="N52" s="19">
        <v>2.0</v>
      </c>
      <c r="O52" s="19">
        <v>0.0</v>
      </c>
      <c r="P52" s="19">
        <v>0.0</v>
      </c>
      <c r="Q52" s="19">
        <v>0.0</v>
      </c>
      <c r="R52" s="19">
        <v>0.0</v>
      </c>
      <c r="S52" s="19">
        <v>0.0</v>
      </c>
      <c r="T52" s="19">
        <v>0.0</v>
      </c>
      <c r="U52" s="19">
        <v>0.0</v>
      </c>
      <c r="V52" s="19">
        <v>0.0</v>
      </c>
      <c r="W52" s="19">
        <v>1.0</v>
      </c>
      <c r="X52" s="19">
        <v>0.0</v>
      </c>
      <c r="Y52" s="19">
        <v>0.0</v>
      </c>
      <c r="Z52" s="19">
        <v>0.0</v>
      </c>
      <c r="AA52" s="19">
        <v>1.0</v>
      </c>
      <c r="AB52" s="19">
        <v>0.0</v>
      </c>
      <c r="AC52" s="19">
        <v>0.0</v>
      </c>
      <c r="AD52" s="19">
        <v>1.0</v>
      </c>
      <c r="AE52" s="19">
        <v>0.0</v>
      </c>
      <c r="AF52" s="19">
        <v>0.0</v>
      </c>
      <c r="AG52" s="19">
        <v>0.0</v>
      </c>
      <c r="AH52" s="19">
        <v>0.0</v>
      </c>
      <c r="AI52" s="19">
        <v>0.0</v>
      </c>
      <c r="AJ52" s="19">
        <v>0.0</v>
      </c>
      <c r="AK52" s="19">
        <v>1.0</v>
      </c>
      <c r="AL52" s="19">
        <v>0.0</v>
      </c>
      <c r="AM52" s="13">
        <f t="shared" si="14"/>
        <v>8</v>
      </c>
    </row>
    <row r="53" ht="12.75" customHeight="1">
      <c r="A53" s="18"/>
      <c r="B53" s="56"/>
      <c r="C53" s="57"/>
      <c r="D53" s="57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19"/>
      <c r="AG53" s="19"/>
      <c r="AH53" s="19"/>
      <c r="AI53" s="19"/>
      <c r="AJ53" s="19"/>
      <c r="AK53" s="19"/>
      <c r="AL53" s="19"/>
      <c r="AM53" s="13">
        <f t="shared" si="14"/>
        <v>0</v>
      </c>
    </row>
    <row r="54" ht="12.75" customHeight="1">
      <c r="A54" s="18"/>
      <c r="B54" s="56"/>
      <c r="C54" s="57"/>
      <c r="D54" s="57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  <c r="AF54" s="19"/>
      <c r="AG54" s="19"/>
      <c r="AH54" s="19"/>
      <c r="AI54" s="19"/>
      <c r="AJ54" s="19"/>
      <c r="AK54" s="19"/>
      <c r="AL54" s="19"/>
      <c r="AM54" s="13">
        <f t="shared" si="14"/>
        <v>0</v>
      </c>
    </row>
    <row r="55" ht="12.75" customHeight="1">
      <c r="A55" s="19" t="s">
        <v>15</v>
      </c>
      <c r="B55" s="47" t="s">
        <v>47</v>
      </c>
      <c r="C55" s="15"/>
      <c r="D55" s="16"/>
      <c r="E55" s="13">
        <f t="shared" ref="E55:AM55" si="15">SUM(E45:E54)</f>
        <v>46</v>
      </c>
      <c r="F55" s="13">
        <f t="shared" si="15"/>
        <v>38</v>
      </c>
      <c r="G55" s="13">
        <f t="shared" si="15"/>
        <v>41</v>
      </c>
      <c r="H55" s="13">
        <f t="shared" si="15"/>
        <v>79</v>
      </c>
      <c r="I55" s="13">
        <f t="shared" si="15"/>
        <v>43</v>
      </c>
      <c r="J55" s="13">
        <f t="shared" si="15"/>
        <v>35</v>
      </c>
      <c r="K55" s="13">
        <f t="shared" si="15"/>
        <v>43</v>
      </c>
      <c r="L55" s="13">
        <f t="shared" si="15"/>
        <v>55</v>
      </c>
      <c r="M55" s="13">
        <f t="shared" si="15"/>
        <v>78</v>
      </c>
      <c r="N55" s="13">
        <f t="shared" si="15"/>
        <v>43</v>
      </c>
      <c r="O55" s="13">
        <f t="shared" si="15"/>
        <v>41</v>
      </c>
      <c r="P55" s="13">
        <f t="shared" si="15"/>
        <v>58</v>
      </c>
      <c r="Q55" s="13">
        <f t="shared" si="15"/>
        <v>26</v>
      </c>
      <c r="R55" s="13">
        <f t="shared" si="15"/>
        <v>25</v>
      </c>
      <c r="S55" s="13">
        <f t="shared" si="15"/>
        <v>45</v>
      </c>
      <c r="T55" s="13">
        <f t="shared" si="15"/>
        <v>53</v>
      </c>
      <c r="U55" s="13">
        <f t="shared" si="15"/>
        <v>40</v>
      </c>
      <c r="V55" s="13">
        <f t="shared" si="15"/>
        <v>41</v>
      </c>
      <c r="W55" s="13">
        <f t="shared" si="15"/>
        <v>38</v>
      </c>
      <c r="X55" s="13">
        <f t="shared" si="15"/>
        <v>32</v>
      </c>
      <c r="Y55" s="13">
        <f t="shared" si="15"/>
        <v>27</v>
      </c>
      <c r="Z55" s="13">
        <f t="shared" si="15"/>
        <v>34</v>
      </c>
      <c r="AA55" s="13">
        <f t="shared" si="15"/>
        <v>62</v>
      </c>
      <c r="AB55" s="13">
        <f t="shared" si="15"/>
        <v>49</v>
      </c>
      <c r="AC55" s="13">
        <f t="shared" si="15"/>
        <v>47</v>
      </c>
      <c r="AD55" s="13">
        <f t="shared" si="15"/>
        <v>31</v>
      </c>
      <c r="AE55" s="13">
        <f t="shared" si="15"/>
        <v>41</v>
      </c>
      <c r="AF55" s="13">
        <f t="shared" si="15"/>
        <v>38</v>
      </c>
      <c r="AG55" s="13">
        <f t="shared" si="15"/>
        <v>53</v>
      </c>
      <c r="AH55" s="13">
        <f t="shared" si="15"/>
        <v>40</v>
      </c>
      <c r="AI55" s="13">
        <f t="shared" si="15"/>
        <v>28</v>
      </c>
      <c r="AJ55" s="13">
        <f t="shared" si="15"/>
        <v>27</v>
      </c>
      <c r="AK55" s="13">
        <f t="shared" si="15"/>
        <v>21</v>
      </c>
      <c r="AL55" s="13">
        <f t="shared" si="15"/>
        <v>19</v>
      </c>
      <c r="AM55" s="13">
        <f t="shared" si="15"/>
        <v>1417</v>
      </c>
    </row>
    <row r="56" ht="12.75" customHeight="1">
      <c r="A56" s="45"/>
      <c r="B56" s="44"/>
      <c r="C56" s="44"/>
      <c r="D56" s="44"/>
      <c r="E56" s="44"/>
      <c r="AM56" s="13"/>
    </row>
    <row r="57" ht="12.75" customHeight="1">
      <c r="A57" s="30" t="s">
        <v>37</v>
      </c>
      <c r="B57" s="47" t="s">
        <v>19</v>
      </c>
      <c r="C57" s="48" t="s">
        <v>48</v>
      </c>
      <c r="D57" s="16"/>
      <c r="E57" s="19">
        <v>22.0</v>
      </c>
      <c r="F57" s="19">
        <v>17.0</v>
      </c>
      <c r="G57" s="19">
        <v>12.0</v>
      </c>
      <c r="H57" s="19">
        <v>11.0</v>
      </c>
      <c r="I57" s="19">
        <v>13.0</v>
      </c>
      <c r="J57" s="19">
        <v>7.0</v>
      </c>
      <c r="K57" s="19">
        <v>10.0</v>
      </c>
      <c r="L57" s="19">
        <v>12.0</v>
      </c>
      <c r="M57" s="19">
        <v>6.0</v>
      </c>
      <c r="N57" s="19">
        <v>13.0</v>
      </c>
      <c r="O57" s="19">
        <v>10.0</v>
      </c>
      <c r="P57" s="19">
        <v>22.0</v>
      </c>
      <c r="Q57" s="19">
        <v>16.0</v>
      </c>
      <c r="R57" s="19">
        <v>19.0</v>
      </c>
      <c r="S57" s="19">
        <v>6.0</v>
      </c>
      <c r="T57" s="19">
        <v>11.0</v>
      </c>
      <c r="U57" s="19">
        <v>14.0</v>
      </c>
      <c r="V57" s="19">
        <v>12.0</v>
      </c>
      <c r="W57" s="19">
        <v>13.0</v>
      </c>
      <c r="X57" s="19">
        <v>11.0</v>
      </c>
      <c r="Y57" s="19">
        <v>10.0</v>
      </c>
      <c r="Z57" s="19">
        <v>17.0</v>
      </c>
      <c r="AA57" s="19">
        <v>6.0</v>
      </c>
      <c r="AB57" s="19">
        <v>0.0</v>
      </c>
      <c r="AC57" s="19">
        <v>8.0</v>
      </c>
      <c r="AD57" s="19">
        <v>8.0</v>
      </c>
      <c r="AE57" s="19">
        <v>15.0</v>
      </c>
      <c r="AF57" s="19">
        <v>5.0</v>
      </c>
      <c r="AG57" s="19">
        <v>27.0</v>
      </c>
      <c r="AH57" s="19">
        <v>28.0</v>
      </c>
      <c r="AI57" s="19">
        <v>29.0</v>
      </c>
      <c r="AJ57" s="19">
        <v>10.0</v>
      </c>
      <c r="AK57" s="19">
        <v>12.0</v>
      </c>
      <c r="AL57" s="19">
        <v>10.0</v>
      </c>
      <c r="AM57" s="13">
        <f t="shared" ref="AM57:AM66" si="16">SUM(E57:AL57)</f>
        <v>442</v>
      </c>
    </row>
    <row r="58" ht="12.75" customHeight="1">
      <c r="A58" s="30" t="s">
        <v>39</v>
      </c>
      <c r="B58" s="55">
        <v>1.0</v>
      </c>
      <c r="C58" s="50" t="s">
        <v>49</v>
      </c>
      <c r="D58" s="59"/>
      <c r="E58" s="19">
        <v>35.0</v>
      </c>
      <c r="F58" s="19">
        <v>48.0</v>
      </c>
      <c r="G58" s="19">
        <v>56.0</v>
      </c>
      <c r="H58" s="19">
        <v>34.0</v>
      </c>
      <c r="I58" s="19">
        <v>64.0</v>
      </c>
      <c r="J58" s="19">
        <v>46.0</v>
      </c>
      <c r="K58" s="19">
        <v>71.0</v>
      </c>
      <c r="L58" s="19">
        <v>50.0</v>
      </c>
      <c r="M58" s="19">
        <v>29.0</v>
      </c>
      <c r="N58" s="19">
        <v>38.0</v>
      </c>
      <c r="O58" s="19">
        <v>46.0</v>
      </c>
      <c r="P58" s="19">
        <v>49.0</v>
      </c>
      <c r="Q58" s="19">
        <v>41.0</v>
      </c>
      <c r="R58" s="19">
        <v>38.0</v>
      </c>
      <c r="S58" s="19">
        <v>70.0</v>
      </c>
      <c r="T58" s="19">
        <v>44.0</v>
      </c>
      <c r="U58" s="19">
        <v>63.0</v>
      </c>
      <c r="V58" s="19">
        <v>72.0</v>
      </c>
      <c r="W58" s="19">
        <v>55.0</v>
      </c>
      <c r="X58" s="19">
        <v>51.0</v>
      </c>
      <c r="Y58" s="19">
        <v>45.0</v>
      </c>
      <c r="Z58" s="19">
        <v>92.0</v>
      </c>
      <c r="AA58" s="19">
        <v>78.0</v>
      </c>
      <c r="AB58" s="19">
        <v>59.0</v>
      </c>
      <c r="AC58" s="19">
        <v>42.0</v>
      </c>
      <c r="AD58" s="19">
        <v>68.0</v>
      </c>
      <c r="AE58" s="19">
        <v>41.0</v>
      </c>
      <c r="AF58" s="19">
        <v>48.0</v>
      </c>
      <c r="AG58" s="19">
        <v>59.0</v>
      </c>
      <c r="AH58" s="19">
        <v>41.0</v>
      </c>
      <c r="AI58" s="19">
        <v>30.0</v>
      </c>
      <c r="AJ58" s="19">
        <v>144.0</v>
      </c>
      <c r="AK58" s="19">
        <v>57.0</v>
      </c>
      <c r="AL58" s="19">
        <v>24.0</v>
      </c>
      <c r="AM58" s="13">
        <f t="shared" si="16"/>
        <v>1828</v>
      </c>
    </row>
    <row r="59" ht="12.75" customHeight="1">
      <c r="A59" s="18"/>
      <c r="B59" s="55">
        <v>2.0</v>
      </c>
      <c r="C59" s="50" t="s">
        <v>50</v>
      </c>
      <c r="D59" s="59"/>
      <c r="E59" s="19">
        <v>3.0</v>
      </c>
      <c r="F59" s="19">
        <v>2.0</v>
      </c>
      <c r="G59" s="19">
        <v>1.0</v>
      </c>
      <c r="H59" s="19">
        <v>2.0</v>
      </c>
      <c r="I59" s="19">
        <v>2.0</v>
      </c>
      <c r="J59" s="19">
        <v>4.0</v>
      </c>
      <c r="K59" s="19">
        <v>1.0</v>
      </c>
      <c r="L59" s="19">
        <v>0.0</v>
      </c>
      <c r="M59" s="19">
        <v>2.0</v>
      </c>
      <c r="N59" s="19">
        <v>3.0</v>
      </c>
      <c r="O59" s="19">
        <v>1.0</v>
      </c>
      <c r="P59" s="19">
        <v>0.0</v>
      </c>
      <c r="Q59" s="19">
        <v>2.0</v>
      </c>
      <c r="R59" s="19">
        <v>1.0</v>
      </c>
      <c r="S59" s="19">
        <v>1.0</v>
      </c>
      <c r="T59" s="19">
        <v>1.0</v>
      </c>
      <c r="U59" s="19">
        <v>1.0</v>
      </c>
      <c r="V59" s="19">
        <v>3.0</v>
      </c>
      <c r="W59" s="19">
        <v>0.0</v>
      </c>
      <c r="X59" s="19">
        <v>2.0</v>
      </c>
      <c r="Y59" s="19">
        <v>1.0</v>
      </c>
      <c r="Z59" s="19">
        <v>6.0</v>
      </c>
      <c r="AA59" s="19">
        <v>2.0</v>
      </c>
      <c r="AB59" s="19">
        <v>3.0</v>
      </c>
      <c r="AC59" s="19">
        <v>2.0</v>
      </c>
      <c r="AD59" s="19">
        <v>6.0</v>
      </c>
      <c r="AE59" s="19">
        <v>0.0</v>
      </c>
      <c r="AF59" s="19">
        <v>3.0</v>
      </c>
      <c r="AG59" s="19">
        <v>4.0</v>
      </c>
      <c r="AH59" s="19">
        <v>3.0</v>
      </c>
      <c r="AI59" s="19">
        <v>5.0</v>
      </c>
      <c r="AJ59" s="19">
        <v>1.0</v>
      </c>
      <c r="AK59" s="19">
        <v>1.0</v>
      </c>
      <c r="AL59" s="19">
        <v>3.0</v>
      </c>
      <c r="AM59" s="13">
        <f t="shared" si="16"/>
        <v>72</v>
      </c>
    </row>
    <row r="60" ht="12.75" customHeight="1">
      <c r="A60" s="18"/>
      <c r="B60" s="55">
        <v>3.0</v>
      </c>
      <c r="C60" s="50" t="s">
        <v>51</v>
      </c>
      <c r="D60" s="59"/>
      <c r="E60" s="19">
        <v>2.0</v>
      </c>
      <c r="F60" s="19">
        <v>1.0</v>
      </c>
      <c r="G60" s="19">
        <v>0.0</v>
      </c>
      <c r="H60" s="19">
        <v>1.0</v>
      </c>
      <c r="I60" s="19">
        <v>2.0</v>
      </c>
      <c r="J60" s="19">
        <v>0.0</v>
      </c>
      <c r="K60" s="19">
        <v>0.0</v>
      </c>
      <c r="L60" s="19">
        <v>0.0</v>
      </c>
      <c r="M60" s="19">
        <v>2.0</v>
      </c>
      <c r="N60" s="19">
        <v>1.0</v>
      </c>
      <c r="O60" s="19">
        <v>0.0</v>
      </c>
      <c r="P60" s="19">
        <v>0.0</v>
      </c>
      <c r="Q60" s="19">
        <v>2.0</v>
      </c>
      <c r="R60" s="19">
        <v>0.0</v>
      </c>
      <c r="S60" s="19">
        <v>0.0</v>
      </c>
      <c r="T60" s="19">
        <v>1.0</v>
      </c>
      <c r="U60" s="19">
        <v>0.0</v>
      </c>
      <c r="V60" s="19">
        <v>1.0</v>
      </c>
      <c r="W60" s="19">
        <v>1.0</v>
      </c>
      <c r="X60" s="19">
        <v>1.0</v>
      </c>
      <c r="Y60" s="19">
        <v>0.0</v>
      </c>
      <c r="Z60" s="19">
        <v>2.0</v>
      </c>
      <c r="AA60" s="19">
        <v>0.0</v>
      </c>
      <c r="AB60" s="19">
        <v>0.0</v>
      </c>
      <c r="AC60" s="19">
        <v>0.0</v>
      </c>
      <c r="AD60" s="19">
        <v>1.0</v>
      </c>
      <c r="AE60" s="19">
        <v>1.0</v>
      </c>
      <c r="AF60" s="19">
        <v>1.0</v>
      </c>
      <c r="AG60" s="19">
        <v>3.0</v>
      </c>
      <c r="AH60" s="19">
        <v>0.0</v>
      </c>
      <c r="AI60" s="19">
        <v>4.0</v>
      </c>
      <c r="AJ60" s="19">
        <v>0.0</v>
      </c>
      <c r="AK60" s="19">
        <v>0.0</v>
      </c>
      <c r="AL60" s="19">
        <v>0.0</v>
      </c>
      <c r="AM60" s="13">
        <f t="shared" si="16"/>
        <v>27</v>
      </c>
    </row>
    <row r="61" ht="12.75" customHeight="1">
      <c r="A61" s="18"/>
      <c r="B61" s="55">
        <v>4.0</v>
      </c>
      <c r="C61" s="50" t="s">
        <v>52</v>
      </c>
      <c r="D61" s="59"/>
      <c r="E61" s="19">
        <v>1.0</v>
      </c>
      <c r="F61" s="19">
        <v>2.0</v>
      </c>
      <c r="G61" s="19">
        <v>1.0</v>
      </c>
      <c r="H61" s="19">
        <v>0.0</v>
      </c>
      <c r="I61" s="19">
        <v>0.0</v>
      </c>
      <c r="J61" s="19">
        <v>0.0</v>
      </c>
      <c r="K61" s="19">
        <v>0.0</v>
      </c>
      <c r="L61" s="19">
        <v>2.0</v>
      </c>
      <c r="M61" s="19">
        <v>0.0</v>
      </c>
      <c r="N61" s="19">
        <v>2.0</v>
      </c>
      <c r="O61" s="19">
        <v>1.0</v>
      </c>
      <c r="P61" s="19">
        <v>0.0</v>
      </c>
      <c r="Q61" s="19">
        <v>0.0</v>
      </c>
      <c r="R61" s="19">
        <v>2.0</v>
      </c>
      <c r="S61" s="19">
        <v>0.0</v>
      </c>
      <c r="T61" s="19">
        <v>0.0</v>
      </c>
      <c r="U61" s="19">
        <v>2.0</v>
      </c>
      <c r="V61" s="19">
        <v>0.0</v>
      </c>
      <c r="W61" s="19">
        <v>0.0</v>
      </c>
      <c r="X61" s="19">
        <v>2.0</v>
      </c>
      <c r="Y61" s="19">
        <v>0.0</v>
      </c>
      <c r="Z61" s="19">
        <v>0.0</v>
      </c>
      <c r="AA61" s="19">
        <v>2.0</v>
      </c>
      <c r="AB61" s="19">
        <v>0.0</v>
      </c>
      <c r="AC61" s="19">
        <v>0.0</v>
      </c>
      <c r="AD61" s="19">
        <v>0.0</v>
      </c>
      <c r="AE61" s="19">
        <v>0.0</v>
      </c>
      <c r="AF61" s="19">
        <v>0.0</v>
      </c>
      <c r="AG61" s="19">
        <v>1.0</v>
      </c>
      <c r="AH61" s="19">
        <v>0.0</v>
      </c>
      <c r="AI61" s="19">
        <v>0.0</v>
      </c>
      <c r="AJ61" s="19">
        <v>1.0</v>
      </c>
      <c r="AK61" s="19">
        <v>2.0</v>
      </c>
      <c r="AL61" s="19">
        <v>0.0</v>
      </c>
      <c r="AM61" s="13">
        <f t="shared" si="16"/>
        <v>21</v>
      </c>
    </row>
    <row r="62" ht="12.75" customHeight="1">
      <c r="A62" s="18"/>
      <c r="B62" s="55">
        <v>5.0</v>
      </c>
      <c r="C62" s="50" t="s">
        <v>53</v>
      </c>
      <c r="D62" s="59"/>
      <c r="E62" s="19">
        <v>0.0</v>
      </c>
      <c r="F62" s="19">
        <v>0.0</v>
      </c>
      <c r="G62" s="19">
        <v>0.0</v>
      </c>
      <c r="H62" s="19">
        <v>0.0</v>
      </c>
      <c r="I62" s="19">
        <v>0.0</v>
      </c>
      <c r="J62" s="19">
        <v>0.0</v>
      </c>
      <c r="K62" s="19">
        <v>0.0</v>
      </c>
      <c r="L62" s="19">
        <v>0.0</v>
      </c>
      <c r="M62" s="19">
        <v>0.0</v>
      </c>
      <c r="N62" s="19">
        <v>0.0</v>
      </c>
      <c r="O62" s="19">
        <v>0.0</v>
      </c>
      <c r="P62" s="19">
        <v>0.0</v>
      </c>
      <c r="Q62" s="19">
        <v>0.0</v>
      </c>
      <c r="R62" s="19">
        <v>0.0</v>
      </c>
      <c r="S62" s="19">
        <v>0.0</v>
      </c>
      <c r="T62" s="19">
        <v>0.0</v>
      </c>
      <c r="U62" s="19">
        <v>0.0</v>
      </c>
      <c r="V62" s="19">
        <v>0.0</v>
      </c>
      <c r="W62" s="19">
        <v>1.0</v>
      </c>
      <c r="X62" s="19">
        <v>0.0</v>
      </c>
      <c r="Y62" s="19">
        <v>0.0</v>
      </c>
      <c r="Z62" s="19">
        <v>0.0</v>
      </c>
      <c r="AA62" s="19">
        <v>0.0</v>
      </c>
      <c r="AB62" s="19">
        <v>0.0</v>
      </c>
      <c r="AC62" s="19">
        <v>0.0</v>
      </c>
      <c r="AD62" s="19">
        <v>1.0</v>
      </c>
      <c r="AE62" s="19">
        <v>0.0</v>
      </c>
      <c r="AF62" s="19">
        <v>0.0</v>
      </c>
      <c r="AG62" s="19">
        <v>0.0</v>
      </c>
      <c r="AH62" s="19">
        <v>0.0</v>
      </c>
      <c r="AI62" s="19">
        <v>0.0</v>
      </c>
      <c r="AJ62" s="19">
        <v>0.0</v>
      </c>
      <c r="AK62" s="19">
        <v>0.0</v>
      </c>
      <c r="AL62" s="19">
        <v>0.0</v>
      </c>
      <c r="AM62" s="13">
        <f t="shared" si="16"/>
        <v>2</v>
      </c>
    </row>
    <row r="63" ht="12.75" customHeight="1">
      <c r="A63" s="18"/>
      <c r="B63" s="55">
        <v>6.0</v>
      </c>
      <c r="C63" s="50" t="s">
        <v>54</v>
      </c>
      <c r="D63" s="60"/>
      <c r="E63" s="19">
        <v>0.0</v>
      </c>
      <c r="F63" s="19">
        <v>0.0</v>
      </c>
      <c r="G63" s="19">
        <v>0.0</v>
      </c>
      <c r="H63" s="19">
        <v>0.0</v>
      </c>
      <c r="I63" s="19">
        <v>1.0</v>
      </c>
      <c r="J63" s="19">
        <v>0.0</v>
      </c>
      <c r="K63" s="19">
        <v>1.0</v>
      </c>
      <c r="L63" s="19">
        <v>0.0</v>
      </c>
      <c r="M63" s="19">
        <v>1.0</v>
      </c>
      <c r="N63" s="19">
        <v>0.0</v>
      </c>
      <c r="O63" s="19">
        <v>0.0</v>
      </c>
      <c r="P63" s="19">
        <v>0.0</v>
      </c>
      <c r="Q63" s="19">
        <v>0.0</v>
      </c>
      <c r="R63" s="19">
        <v>1.0</v>
      </c>
      <c r="S63" s="19">
        <v>0.0</v>
      </c>
      <c r="T63" s="19">
        <v>0.0</v>
      </c>
      <c r="U63" s="19">
        <v>0.0</v>
      </c>
      <c r="V63" s="19">
        <v>0.0</v>
      </c>
      <c r="W63" s="19">
        <v>0.0</v>
      </c>
      <c r="X63" s="19">
        <v>0.0</v>
      </c>
      <c r="Y63" s="19">
        <v>0.0</v>
      </c>
      <c r="Z63" s="19">
        <v>0.0</v>
      </c>
      <c r="AA63" s="19">
        <v>0.0</v>
      </c>
      <c r="AB63" s="19">
        <v>0.0</v>
      </c>
      <c r="AC63" s="19">
        <v>0.0</v>
      </c>
      <c r="AD63" s="19">
        <v>0.0</v>
      </c>
      <c r="AE63" s="19">
        <v>1.0</v>
      </c>
      <c r="AF63" s="19">
        <v>1.0</v>
      </c>
      <c r="AG63" s="19">
        <v>2.0</v>
      </c>
      <c r="AH63" s="19">
        <v>0.0</v>
      </c>
      <c r="AI63" s="19">
        <v>1.0</v>
      </c>
      <c r="AJ63" s="19">
        <v>0.0</v>
      </c>
      <c r="AK63" s="19">
        <v>2.0</v>
      </c>
      <c r="AL63" s="19">
        <v>1.0</v>
      </c>
      <c r="AM63" s="13">
        <f t="shared" si="16"/>
        <v>12</v>
      </c>
    </row>
    <row r="64" ht="12.75" customHeight="1">
      <c r="A64" s="18"/>
      <c r="B64" s="55">
        <v>7.0</v>
      </c>
      <c r="C64" s="50" t="s">
        <v>55</v>
      </c>
      <c r="D64" s="59"/>
      <c r="E64" s="19">
        <v>0.0</v>
      </c>
      <c r="F64" s="19">
        <v>0.0</v>
      </c>
      <c r="G64" s="19">
        <v>0.0</v>
      </c>
      <c r="H64" s="19">
        <v>0.0</v>
      </c>
      <c r="I64" s="19">
        <v>0.0</v>
      </c>
      <c r="J64" s="19">
        <v>0.0</v>
      </c>
      <c r="K64" s="19">
        <v>0.0</v>
      </c>
      <c r="L64" s="19">
        <v>0.0</v>
      </c>
      <c r="M64" s="19">
        <v>0.0</v>
      </c>
      <c r="N64" s="19">
        <v>0.0</v>
      </c>
      <c r="O64" s="19">
        <v>0.0</v>
      </c>
      <c r="P64" s="19">
        <v>0.0</v>
      </c>
      <c r="Q64" s="19">
        <v>0.0</v>
      </c>
      <c r="R64" s="19">
        <v>0.0</v>
      </c>
      <c r="S64" s="19">
        <v>0.0</v>
      </c>
      <c r="T64" s="19">
        <v>0.0</v>
      </c>
      <c r="U64" s="19">
        <v>0.0</v>
      </c>
      <c r="V64" s="19">
        <v>1.0</v>
      </c>
      <c r="W64" s="19">
        <v>0.0</v>
      </c>
      <c r="X64" s="19">
        <v>0.0</v>
      </c>
      <c r="Y64" s="19">
        <v>0.0</v>
      </c>
      <c r="Z64" s="19">
        <v>0.0</v>
      </c>
      <c r="AA64" s="19">
        <v>0.0</v>
      </c>
      <c r="AB64" s="19">
        <v>0.0</v>
      </c>
      <c r="AC64" s="19">
        <v>0.0</v>
      </c>
      <c r="AD64" s="19">
        <v>1.0</v>
      </c>
      <c r="AE64" s="19">
        <v>0.0</v>
      </c>
      <c r="AF64" s="19">
        <v>0.0</v>
      </c>
      <c r="AG64" s="19">
        <v>0.0</v>
      </c>
      <c r="AH64" s="19">
        <v>1.0</v>
      </c>
      <c r="AI64" s="19">
        <v>0.0</v>
      </c>
      <c r="AJ64" s="19">
        <v>0.0</v>
      </c>
      <c r="AK64" s="19">
        <v>1.0</v>
      </c>
      <c r="AL64" s="19">
        <v>0.0</v>
      </c>
      <c r="AM64" s="13">
        <f t="shared" si="16"/>
        <v>4</v>
      </c>
    </row>
    <row r="65" ht="12.75" customHeight="1">
      <c r="A65" s="18"/>
      <c r="B65" s="56"/>
      <c r="C65" s="57"/>
      <c r="D65" s="61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9"/>
      <c r="AF65" s="19"/>
      <c r="AG65" s="19"/>
      <c r="AH65" s="19"/>
      <c r="AI65" s="19"/>
      <c r="AJ65" s="19"/>
      <c r="AK65" s="19"/>
      <c r="AL65" s="19"/>
      <c r="AM65" s="13">
        <f t="shared" si="16"/>
        <v>0</v>
      </c>
    </row>
    <row r="66" ht="12.75" customHeight="1">
      <c r="A66" s="18"/>
      <c r="B66" s="56"/>
      <c r="C66" s="57"/>
      <c r="D66" s="61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9"/>
      <c r="AG66" s="19"/>
      <c r="AH66" s="19"/>
      <c r="AI66" s="19"/>
      <c r="AJ66" s="19"/>
      <c r="AK66" s="19"/>
      <c r="AL66" s="19"/>
      <c r="AM66" s="13">
        <f t="shared" si="16"/>
        <v>0</v>
      </c>
    </row>
    <row r="67" ht="12.75" customHeight="1">
      <c r="A67" s="19" t="s">
        <v>15</v>
      </c>
      <c r="B67" s="47" t="s">
        <v>47</v>
      </c>
      <c r="C67" s="15"/>
      <c r="D67" s="16"/>
      <c r="E67" s="13">
        <f t="shared" ref="E67:AM67" si="17">SUM(E57:E66)</f>
        <v>63</v>
      </c>
      <c r="F67" s="13">
        <f t="shared" si="17"/>
        <v>70</v>
      </c>
      <c r="G67" s="13">
        <f t="shared" si="17"/>
        <v>70</v>
      </c>
      <c r="H67" s="13">
        <f t="shared" si="17"/>
        <v>48</v>
      </c>
      <c r="I67" s="13">
        <f t="shared" si="17"/>
        <v>82</v>
      </c>
      <c r="J67" s="13">
        <f t="shared" si="17"/>
        <v>57</v>
      </c>
      <c r="K67" s="13">
        <f t="shared" si="17"/>
        <v>83</v>
      </c>
      <c r="L67" s="13">
        <f t="shared" si="17"/>
        <v>64</v>
      </c>
      <c r="M67" s="13">
        <f t="shared" si="17"/>
        <v>40</v>
      </c>
      <c r="N67" s="13">
        <f t="shared" si="17"/>
        <v>57</v>
      </c>
      <c r="O67" s="13">
        <f t="shared" si="17"/>
        <v>58</v>
      </c>
      <c r="P67" s="13">
        <f t="shared" si="17"/>
        <v>71</v>
      </c>
      <c r="Q67" s="13">
        <f t="shared" si="17"/>
        <v>61</v>
      </c>
      <c r="R67" s="13">
        <f t="shared" si="17"/>
        <v>61</v>
      </c>
      <c r="S67" s="13">
        <f t="shared" si="17"/>
        <v>77</v>
      </c>
      <c r="T67" s="13">
        <f t="shared" si="17"/>
        <v>57</v>
      </c>
      <c r="U67" s="13">
        <f t="shared" si="17"/>
        <v>80</v>
      </c>
      <c r="V67" s="13">
        <f t="shared" si="17"/>
        <v>89</v>
      </c>
      <c r="W67" s="13">
        <f t="shared" si="17"/>
        <v>70</v>
      </c>
      <c r="X67" s="13">
        <f t="shared" si="17"/>
        <v>67</v>
      </c>
      <c r="Y67" s="13">
        <f t="shared" si="17"/>
        <v>56</v>
      </c>
      <c r="Z67" s="13">
        <f t="shared" si="17"/>
        <v>117</v>
      </c>
      <c r="AA67" s="13">
        <f t="shared" si="17"/>
        <v>88</v>
      </c>
      <c r="AB67" s="13">
        <f t="shared" si="17"/>
        <v>62</v>
      </c>
      <c r="AC67" s="13">
        <f t="shared" si="17"/>
        <v>52</v>
      </c>
      <c r="AD67" s="13">
        <f t="shared" si="17"/>
        <v>85</v>
      </c>
      <c r="AE67" s="13">
        <f t="shared" si="17"/>
        <v>58</v>
      </c>
      <c r="AF67" s="13">
        <f t="shared" si="17"/>
        <v>58</v>
      </c>
      <c r="AG67" s="13">
        <f t="shared" si="17"/>
        <v>96</v>
      </c>
      <c r="AH67" s="13">
        <f t="shared" si="17"/>
        <v>73</v>
      </c>
      <c r="AI67" s="13">
        <f t="shared" si="17"/>
        <v>69</v>
      </c>
      <c r="AJ67" s="13">
        <f t="shared" si="17"/>
        <v>156</v>
      </c>
      <c r="AK67" s="13">
        <f t="shared" si="17"/>
        <v>75</v>
      </c>
      <c r="AL67" s="13">
        <f t="shared" si="17"/>
        <v>38</v>
      </c>
      <c r="AM67" s="13">
        <f t="shared" si="17"/>
        <v>2408</v>
      </c>
    </row>
    <row r="68" ht="12.75" customHeight="1">
      <c r="A68" s="45"/>
      <c r="B68" s="44"/>
      <c r="C68" s="44"/>
      <c r="D68" s="44"/>
      <c r="E68" s="44"/>
    </row>
    <row r="69" ht="12.75" customHeight="1">
      <c r="A69" s="30" t="s">
        <v>37</v>
      </c>
      <c r="B69" s="47" t="s">
        <v>21</v>
      </c>
      <c r="C69" s="48" t="s">
        <v>56</v>
      </c>
      <c r="D69" s="16"/>
      <c r="E69" s="19">
        <v>2.0</v>
      </c>
      <c r="F69" s="19">
        <v>7.0</v>
      </c>
      <c r="G69" s="19">
        <v>11.0</v>
      </c>
      <c r="H69" s="19">
        <v>10.0</v>
      </c>
      <c r="I69" s="19">
        <v>5.0</v>
      </c>
      <c r="J69" s="19">
        <v>6.0</v>
      </c>
      <c r="K69" s="19">
        <v>2.0</v>
      </c>
      <c r="L69" s="19">
        <v>3.0</v>
      </c>
      <c r="M69" s="19">
        <v>1.0</v>
      </c>
      <c r="N69" s="19">
        <v>3.0</v>
      </c>
      <c r="O69" s="19">
        <v>4.0</v>
      </c>
      <c r="P69" s="19">
        <v>8.0</v>
      </c>
      <c r="Q69" s="19">
        <v>10.0</v>
      </c>
      <c r="R69" s="19">
        <v>8.0</v>
      </c>
      <c r="S69" s="19">
        <v>3.0</v>
      </c>
      <c r="T69" s="19">
        <v>4.0</v>
      </c>
      <c r="U69" s="19">
        <v>5.0</v>
      </c>
      <c r="V69" s="19">
        <v>4.0</v>
      </c>
      <c r="W69" s="19">
        <v>3.0</v>
      </c>
      <c r="X69" s="19">
        <v>8.0</v>
      </c>
      <c r="Y69" s="19">
        <v>3.0</v>
      </c>
      <c r="Z69" s="19">
        <v>3.0</v>
      </c>
      <c r="AA69" s="19">
        <v>0.0</v>
      </c>
      <c r="AB69" s="19">
        <v>2.0</v>
      </c>
      <c r="AC69" s="19">
        <v>2.0</v>
      </c>
      <c r="AD69" s="19">
        <v>3.0</v>
      </c>
      <c r="AE69" s="19">
        <v>10.0</v>
      </c>
      <c r="AF69" s="19">
        <v>3.0</v>
      </c>
      <c r="AG69" s="19">
        <v>7.0</v>
      </c>
      <c r="AH69" s="19">
        <v>3.0</v>
      </c>
      <c r="AI69" s="19">
        <v>11.0</v>
      </c>
      <c r="AJ69" s="19">
        <v>1.0</v>
      </c>
      <c r="AK69" s="19">
        <v>5.0</v>
      </c>
      <c r="AL69" s="19">
        <v>8.0</v>
      </c>
      <c r="AM69" s="13">
        <f t="shared" ref="AM69:AM78" si="18">SUM(E69:AL69)</f>
        <v>168</v>
      </c>
    </row>
    <row r="70" ht="12.75" customHeight="1">
      <c r="A70" s="30" t="s">
        <v>39</v>
      </c>
      <c r="B70" s="55">
        <v>1.0</v>
      </c>
      <c r="C70" s="50" t="s">
        <v>57</v>
      </c>
      <c r="D70" s="60"/>
      <c r="E70" s="19">
        <v>3.0</v>
      </c>
      <c r="F70" s="19">
        <v>5.0</v>
      </c>
      <c r="G70" s="19">
        <v>2.0</v>
      </c>
      <c r="H70" s="19">
        <v>1.0</v>
      </c>
      <c r="I70" s="19">
        <v>4.0</v>
      </c>
      <c r="J70" s="19">
        <v>15.0</v>
      </c>
      <c r="K70" s="19">
        <v>6.0</v>
      </c>
      <c r="L70" s="19">
        <v>4.0</v>
      </c>
      <c r="M70" s="19">
        <v>0.0</v>
      </c>
      <c r="N70" s="19">
        <v>4.0</v>
      </c>
      <c r="O70" s="19">
        <v>1.0</v>
      </c>
      <c r="P70" s="19">
        <v>1.0</v>
      </c>
      <c r="Q70" s="19">
        <v>30.0</v>
      </c>
      <c r="R70" s="19">
        <v>1.0</v>
      </c>
      <c r="S70" s="19">
        <v>4.0</v>
      </c>
      <c r="T70" s="19">
        <v>6.0</v>
      </c>
      <c r="U70" s="19">
        <v>4.0</v>
      </c>
      <c r="V70" s="19">
        <v>2.0</v>
      </c>
      <c r="W70" s="19">
        <v>4.0</v>
      </c>
      <c r="X70" s="19">
        <v>2.0</v>
      </c>
      <c r="Y70" s="19">
        <v>5.0</v>
      </c>
      <c r="Z70" s="19">
        <v>1.0</v>
      </c>
      <c r="AA70" s="19">
        <v>4.0</v>
      </c>
      <c r="AB70" s="19">
        <v>2.0</v>
      </c>
      <c r="AC70" s="19">
        <v>2.0</v>
      </c>
      <c r="AD70" s="19">
        <v>4.0</v>
      </c>
      <c r="AE70" s="19">
        <v>1.0</v>
      </c>
      <c r="AF70" s="19">
        <v>0.0</v>
      </c>
      <c r="AG70" s="19">
        <v>2.0</v>
      </c>
      <c r="AH70" s="19">
        <v>1.0</v>
      </c>
      <c r="AI70" s="19">
        <v>4.0</v>
      </c>
      <c r="AJ70" s="19">
        <v>0.0</v>
      </c>
      <c r="AK70" s="19">
        <v>18.0</v>
      </c>
      <c r="AL70" s="19">
        <v>15.0</v>
      </c>
      <c r="AM70" s="13">
        <f t="shared" si="18"/>
        <v>158</v>
      </c>
    </row>
    <row r="71" ht="12.75" customHeight="1">
      <c r="A71" s="18"/>
      <c r="B71" s="55">
        <v>2.0</v>
      </c>
      <c r="C71" s="50" t="s">
        <v>58</v>
      </c>
      <c r="D71" s="60"/>
      <c r="E71" s="19">
        <v>2.0</v>
      </c>
      <c r="F71" s="19">
        <v>3.0</v>
      </c>
      <c r="G71" s="19">
        <v>2.0</v>
      </c>
      <c r="H71" s="19">
        <v>4.0</v>
      </c>
      <c r="I71" s="19">
        <v>3.0</v>
      </c>
      <c r="J71" s="19">
        <v>1.0</v>
      </c>
      <c r="K71" s="19">
        <v>10.0</v>
      </c>
      <c r="L71" s="19">
        <v>1.0</v>
      </c>
      <c r="M71" s="19">
        <v>3.0</v>
      </c>
      <c r="N71" s="19">
        <v>2.0</v>
      </c>
      <c r="O71" s="19">
        <v>1.0</v>
      </c>
      <c r="P71" s="19">
        <v>2.0</v>
      </c>
      <c r="Q71" s="19">
        <v>1.0</v>
      </c>
      <c r="R71" s="19">
        <v>3.0</v>
      </c>
      <c r="S71" s="19">
        <v>6.0</v>
      </c>
      <c r="T71" s="19">
        <v>17.0</v>
      </c>
      <c r="U71" s="19">
        <v>3.0</v>
      </c>
      <c r="V71" s="19">
        <v>1.0</v>
      </c>
      <c r="W71" s="19">
        <v>2.0</v>
      </c>
      <c r="X71" s="19">
        <v>5.0</v>
      </c>
      <c r="Y71" s="19">
        <v>1.0</v>
      </c>
      <c r="Z71" s="19">
        <v>1.0</v>
      </c>
      <c r="AA71" s="19">
        <v>0.0</v>
      </c>
      <c r="AB71" s="19">
        <v>2.0</v>
      </c>
      <c r="AC71" s="19">
        <v>2.0</v>
      </c>
      <c r="AD71" s="19">
        <v>3.0</v>
      </c>
      <c r="AE71" s="19">
        <v>0.0</v>
      </c>
      <c r="AF71" s="19">
        <v>1.0</v>
      </c>
      <c r="AG71" s="19">
        <v>1.0</v>
      </c>
      <c r="AH71" s="19">
        <v>1.0</v>
      </c>
      <c r="AI71" s="19">
        <v>2.0</v>
      </c>
      <c r="AJ71" s="19">
        <v>1.0</v>
      </c>
      <c r="AK71" s="19">
        <v>3.0</v>
      </c>
      <c r="AL71" s="19">
        <v>1.0</v>
      </c>
      <c r="AM71" s="13">
        <f t="shared" si="18"/>
        <v>91</v>
      </c>
    </row>
    <row r="72" ht="12.75" customHeight="1">
      <c r="A72" s="18"/>
      <c r="B72" s="55">
        <v>3.0</v>
      </c>
      <c r="C72" s="50" t="s">
        <v>59</v>
      </c>
      <c r="D72" s="60"/>
      <c r="E72" s="19">
        <v>0.0</v>
      </c>
      <c r="F72" s="19">
        <v>2.0</v>
      </c>
      <c r="G72" s="19">
        <v>0.0</v>
      </c>
      <c r="H72" s="19">
        <v>0.0</v>
      </c>
      <c r="I72" s="19">
        <v>0.0</v>
      </c>
      <c r="J72" s="19">
        <v>1.0</v>
      </c>
      <c r="K72" s="19">
        <v>2.0</v>
      </c>
      <c r="L72" s="19">
        <v>2.0</v>
      </c>
      <c r="M72" s="19">
        <v>1.0</v>
      </c>
      <c r="N72" s="19">
        <v>2.0</v>
      </c>
      <c r="O72" s="19">
        <v>2.0</v>
      </c>
      <c r="P72" s="19">
        <v>9.0</v>
      </c>
      <c r="Q72" s="19">
        <v>8.0</v>
      </c>
      <c r="R72" s="19">
        <v>9.0</v>
      </c>
      <c r="S72" s="19">
        <v>0.0</v>
      </c>
      <c r="T72" s="19">
        <v>1.0</v>
      </c>
      <c r="U72" s="19">
        <v>0.0</v>
      </c>
      <c r="V72" s="19">
        <v>1.0</v>
      </c>
      <c r="W72" s="19">
        <v>0.0</v>
      </c>
      <c r="X72" s="19">
        <v>0.0</v>
      </c>
      <c r="Y72" s="19">
        <v>0.0</v>
      </c>
      <c r="Z72" s="19">
        <v>1.0</v>
      </c>
      <c r="AA72" s="19">
        <v>0.0</v>
      </c>
      <c r="AB72" s="19">
        <v>22.0</v>
      </c>
      <c r="AC72" s="19">
        <v>12.0</v>
      </c>
      <c r="AD72" s="19">
        <v>3.0</v>
      </c>
      <c r="AE72" s="19">
        <v>1.0</v>
      </c>
      <c r="AF72" s="19">
        <v>1.0</v>
      </c>
      <c r="AG72" s="19">
        <v>3.0</v>
      </c>
      <c r="AH72" s="19">
        <v>1.0</v>
      </c>
      <c r="AI72" s="19">
        <v>2.0</v>
      </c>
      <c r="AJ72" s="19">
        <v>0.0</v>
      </c>
      <c r="AK72" s="19">
        <v>0.0</v>
      </c>
      <c r="AL72" s="19">
        <v>1.0</v>
      </c>
      <c r="AM72" s="13">
        <f t="shared" si="18"/>
        <v>87</v>
      </c>
    </row>
    <row r="73" ht="12.75" customHeight="1">
      <c r="A73" s="18"/>
      <c r="B73" s="55">
        <v>4.0</v>
      </c>
      <c r="C73" s="50" t="s">
        <v>60</v>
      </c>
      <c r="D73" s="60"/>
      <c r="E73" s="19">
        <v>0.0</v>
      </c>
      <c r="F73" s="19">
        <v>1.0</v>
      </c>
      <c r="G73" s="19">
        <v>2.0</v>
      </c>
      <c r="H73" s="19">
        <v>0.0</v>
      </c>
      <c r="I73" s="19">
        <v>0.0</v>
      </c>
      <c r="J73" s="19">
        <v>0.0</v>
      </c>
      <c r="K73" s="19">
        <v>0.0</v>
      </c>
      <c r="L73" s="19">
        <v>0.0</v>
      </c>
      <c r="M73" s="19">
        <v>1.0</v>
      </c>
      <c r="N73" s="19">
        <v>0.0</v>
      </c>
      <c r="O73" s="19">
        <v>0.0</v>
      </c>
      <c r="P73" s="19">
        <v>0.0</v>
      </c>
      <c r="Q73" s="19">
        <v>1.0</v>
      </c>
      <c r="R73" s="19">
        <v>1.0</v>
      </c>
      <c r="S73" s="19">
        <v>0.0</v>
      </c>
      <c r="T73" s="19">
        <v>3.0</v>
      </c>
      <c r="U73" s="19">
        <v>0.0</v>
      </c>
      <c r="V73" s="19">
        <v>0.0</v>
      </c>
      <c r="W73" s="19">
        <v>0.0</v>
      </c>
      <c r="X73" s="19">
        <v>0.0</v>
      </c>
      <c r="Y73" s="19">
        <v>1.0</v>
      </c>
      <c r="Z73" s="19">
        <v>1.0</v>
      </c>
      <c r="AA73" s="19">
        <v>0.0</v>
      </c>
      <c r="AB73" s="19">
        <v>0.0</v>
      </c>
      <c r="AC73" s="19">
        <v>1.0</v>
      </c>
      <c r="AD73" s="19">
        <v>2.0</v>
      </c>
      <c r="AE73" s="19">
        <v>0.0</v>
      </c>
      <c r="AF73" s="19">
        <v>0.0</v>
      </c>
      <c r="AG73" s="19">
        <v>0.0</v>
      </c>
      <c r="AH73" s="19">
        <v>0.0</v>
      </c>
      <c r="AI73" s="19">
        <v>1.0</v>
      </c>
      <c r="AJ73" s="19">
        <v>0.0</v>
      </c>
      <c r="AK73" s="19">
        <v>0.0</v>
      </c>
      <c r="AL73" s="19">
        <v>0.0</v>
      </c>
      <c r="AM73" s="13">
        <f t="shared" si="18"/>
        <v>15</v>
      </c>
    </row>
    <row r="74" ht="12.75" customHeight="1">
      <c r="A74" s="18"/>
      <c r="B74" s="55">
        <v>5.0</v>
      </c>
      <c r="C74" s="50" t="s">
        <v>61</v>
      </c>
      <c r="D74" s="60"/>
      <c r="E74" s="19">
        <v>0.0</v>
      </c>
      <c r="F74" s="19">
        <v>1.0</v>
      </c>
      <c r="G74" s="19">
        <v>7.0</v>
      </c>
      <c r="H74" s="19">
        <v>3.0</v>
      </c>
      <c r="I74" s="19">
        <v>1.0</v>
      </c>
      <c r="J74" s="19">
        <v>1.0</v>
      </c>
      <c r="K74" s="19">
        <v>2.0</v>
      </c>
      <c r="L74" s="19">
        <v>0.0</v>
      </c>
      <c r="M74" s="19">
        <v>1.0</v>
      </c>
      <c r="N74" s="19">
        <v>2.0</v>
      </c>
      <c r="O74" s="19">
        <v>0.0</v>
      </c>
      <c r="P74" s="19">
        <v>0.0</v>
      </c>
      <c r="Q74" s="19">
        <v>0.0</v>
      </c>
      <c r="R74" s="19">
        <v>0.0</v>
      </c>
      <c r="S74" s="19">
        <v>2.0</v>
      </c>
      <c r="T74" s="19">
        <v>0.0</v>
      </c>
      <c r="U74" s="19">
        <v>0.0</v>
      </c>
      <c r="V74" s="19">
        <v>9.0</v>
      </c>
      <c r="W74" s="19">
        <v>1.0</v>
      </c>
      <c r="X74" s="19">
        <v>0.0</v>
      </c>
      <c r="Y74" s="19">
        <v>0.0</v>
      </c>
      <c r="Z74" s="19">
        <v>0.0</v>
      </c>
      <c r="AA74" s="19">
        <v>0.0</v>
      </c>
      <c r="AB74" s="19">
        <v>2.0</v>
      </c>
      <c r="AC74" s="19">
        <v>2.0</v>
      </c>
      <c r="AD74" s="19">
        <v>1.0</v>
      </c>
      <c r="AE74" s="19">
        <v>0.0</v>
      </c>
      <c r="AF74" s="19">
        <v>0.0</v>
      </c>
      <c r="AG74" s="19">
        <v>0.0</v>
      </c>
      <c r="AH74" s="19">
        <v>0.0</v>
      </c>
      <c r="AI74" s="19">
        <v>1.0</v>
      </c>
      <c r="AJ74" s="19">
        <v>0.0</v>
      </c>
      <c r="AK74" s="19">
        <v>0.0</v>
      </c>
      <c r="AL74" s="19">
        <v>1.0</v>
      </c>
      <c r="AM74" s="13">
        <f t="shared" si="18"/>
        <v>37</v>
      </c>
    </row>
    <row r="75" ht="12.75" customHeight="1">
      <c r="A75" s="18"/>
      <c r="B75" s="55">
        <v>6.0</v>
      </c>
      <c r="C75" s="50" t="s">
        <v>62</v>
      </c>
      <c r="D75" s="60"/>
      <c r="E75" s="19">
        <v>1.0</v>
      </c>
      <c r="F75" s="19">
        <v>0.0</v>
      </c>
      <c r="G75" s="19">
        <v>0.0</v>
      </c>
      <c r="H75" s="19">
        <v>0.0</v>
      </c>
      <c r="I75" s="19">
        <v>0.0</v>
      </c>
      <c r="J75" s="19">
        <v>0.0</v>
      </c>
      <c r="K75" s="19">
        <v>0.0</v>
      </c>
      <c r="L75" s="19">
        <v>0.0</v>
      </c>
      <c r="M75" s="19">
        <v>1.0</v>
      </c>
      <c r="N75" s="19">
        <v>0.0</v>
      </c>
      <c r="O75" s="19">
        <v>0.0</v>
      </c>
      <c r="P75" s="19">
        <v>0.0</v>
      </c>
      <c r="Q75" s="19">
        <v>0.0</v>
      </c>
      <c r="R75" s="19">
        <v>0.0</v>
      </c>
      <c r="S75" s="19">
        <v>1.0</v>
      </c>
      <c r="T75" s="19">
        <v>0.0</v>
      </c>
      <c r="U75" s="19">
        <v>0.0</v>
      </c>
      <c r="V75" s="19">
        <v>0.0</v>
      </c>
      <c r="W75" s="19">
        <v>0.0</v>
      </c>
      <c r="X75" s="19">
        <v>0.0</v>
      </c>
      <c r="Y75" s="19">
        <v>0.0</v>
      </c>
      <c r="Z75" s="19">
        <v>0.0</v>
      </c>
      <c r="AA75" s="19">
        <v>1.0</v>
      </c>
      <c r="AB75" s="19">
        <v>0.0</v>
      </c>
      <c r="AC75" s="19">
        <v>0.0</v>
      </c>
      <c r="AD75" s="19">
        <v>0.0</v>
      </c>
      <c r="AE75" s="19">
        <v>11.0</v>
      </c>
      <c r="AF75" s="19">
        <v>1.0</v>
      </c>
      <c r="AG75" s="19">
        <v>0.0</v>
      </c>
      <c r="AH75" s="19">
        <v>3.0</v>
      </c>
      <c r="AI75" s="19">
        <v>1.0</v>
      </c>
      <c r="AJ75" s="19">
        <v>1.0</v>
      </c>
      <c r="AK75" s="19">
        <v>1.0</v>
      </c>
      <c r="AL75" s="19">
        <v>0.0</v>
      </c>
      <c r="AM75" s="13">
        <f t="shared" si="18"/>
        <v>22</v>
      </c>
    </row>
    <row r="76" ht="12.75" customHeight="1">
      <c r="A76" s="18"/>
      <c r="B76" s="55">
        <v>7.0</v>
      </c>
      <c r="C76" s="50" t="s">
        <v>63</v>
      </c>
      <c r="D76" s="60"/>
      <c r="E76" s="19">
        <v>10.0</v>
      </c>
      <c r="F76" s="19">
        <v>7.0</v>
      </c>
      <c r="G76" s="19">
        <v>5.0</v>
      </c>
      <c r="H76" s="19">
        <v>14.0</v>
      </c>
      <c r="I76" s="19">
        <v>1.0</v>
      </c>
      <c r="J76" s="19">
        <v>18.0</v>
      </c>
      <c r="K76" s="19">
        <v>6.0</v>
      </c>
      <c r="L76" s="19">
        <v>6.0</v>
      </c>
      <c r="M76" s="19">
        <v>7.0</v>
      </c>
      <c r="N76" s="19">
        <v>2.0</v>
      </c>
      <c r="O76" s="19">
        <v>20.0</v>
      </c>
      <c r="P76" s="19">
        <v>9.0</v>
      </c>
      <c r="Q76" s="19">
        <v>8.0</v>
      </c>
      <c r="R76" s="19">
        <v>9.0</v>
      </c>
      <c r="S76" s="19">
        <v>6.0</v>
      </c>
      <c r="T76" s="19">
        <v>3.0</v>
      </c>
      <c r="U76" s="19">
        <v>2.0</v>
      </c>
      <c r="V76" s="19">
        <v>7.0</v>
      </c>
      <c r="W76" s="19">
        <v>6.0</v>
      </c>
      <c r="X76" s="19">
        <v>3.0</v>
      </c>
      <c r="Y76" s="19">
        <v>0.0</v>
      </c>
      <c r="Z76" s="19">
        <v>2.0</v>
      </c>
      <c r="AA76" s="19">
        <v>1.0</v>
      </c>
      <c r="AB76" s="19">
        <v>3.0</v>
      </c>
      <c r="AC76" s="19">
        <v>12.0</v>
      </c>
      <c r="AD76" s="19">
        <v>20.0</v>
      </c>
      <c r="AE76" s="19">
        <v>5.0</v>
      </c>
      <c r="AF76" s="19">
        <v>4.0</v>
      </c>
      <c r="AG76" s="19">
        <v>1.0</v>
      </c>
      <c r="AH76" s="19">
        <v>0.0</v>
      </c>
      <c r="AI76" s="19">
        <v>0.0</v>
      </c>
      <c r="AJ76" s="19">
        <v>6.0</v>
      </c>
      <c r="AK76" s="19">
        <v>2.0</v>
      </c>
      <c r="AL76" s="19">
        <v>43.0</v>
      </c>
      <c r="AM76" s="13">
        <f t="shared" si="18"/>
        <v>248</v>
      </c>
    </row>
    <row r="77" ht="12.75" customHeight="1">
      <c r="A77" s="18"/>
      <c r="B77" s="56"/>
      <c r="C77" s="57"/>
      <c r="D77" s="62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19"/>
      <c r="AH77" s="19"/>
      <c r="AI77" s="19"/>
      <c r="AJ77" s="19"/>
      <c r="AK77" s="19"/>
      <c r="AL77" s="19"/>
      <c r="AM77" s="13">
        <f t="shared" si="18"/>
        <v>0</v>
      </c>
    </row>
    <row r="78" ht="12.75" customHeight="1">
      <c r="A78" s="18"/>
      <c r="B78" s="56"/>
      <c r="C78" s="57"/>
      <c r="D78" s="62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  <c r="AG78" s="19"/>
      <c r="AH78" s="19"/>
      <c r="AI78" s="19"/>
      <c r="AJ78" s="19"/>
      <c r="AK78" s="19"/>
      <c r="AL78" s="19"/>
      <c r="AM78" s="13">
        <f t="shared" si="18"/>
        <v>0</v>
      </c>
    </row>
    <row r="79" ht="12.75" customHeight="1">
      <c r="A79" s="19" t="s">
        <v>15</v>
      </c>
      <c r="B79" s="47" t="s">
        <v>47</v>
      </c>
      <c r="C79" s="15"/>
      <c r="D79" s="16"/>
      <c r="E79" s="13">
        <f t="shared" ref="E79:AM79" si="19">SUM(E69:E78)</f>
        <v>18</v>
      </c>
      <c r="F79" s="13">
        <f t="shared" si="19"/>
        <v>26</v>
      </c>
      <c r="G79" s="13">
        <f t="shared" si="19"/>
        <v>29</v>
      </c>
      <c r="H79" s="13">
        <f t="shared" si="19"/>
        <v>32</v>
      </c>
      <c r="I79" s="13">
        <f t="shared" si="19"/>
        <v>14</v>
      </c>
      <c r="J79" s="13">
        <f t="shared" si="19"/>
        <v>42</v>
      </c>
      <c r="K79" s="13">
        <f t="shared" si="19"/>
        <v>28</v>
      </c>
      <c r="L79" s="13">
        <f t="shared" si="19"/>
        <v>16</v>
      </c>
      <c r="M79" s="13">
        <f t="shared" si="19"/>
        <v>15</v>
      </c>
      <c r="N79" s="13">
        <f t="shared" si="19"/>
        <v>15</v>
      </c>
      <c r="O79" s="13">
        <f t="shared" si="19"/>
        <v>28</v>
      </c>
      <c r="P79" s="13">
        <f t="shared" si="19"/>
        <v>29</v>
      </c>
      <c r="Q79" s="13">
        <f t="shared" si="19"/>
        <v>58</v>
      </c>
      <c r="R79" s="13">
        <f t="shared" si="19"/>
        <v>31</v>
      </c>
      <c r="S79" s="13">
        <f t="shared" si="19"/>
        <v>22</v>
      </c>
      <c r="T79" s="13">
        <f t="shared" si="19"/>
        <v>34</v>
      </c>
      <c r="U79" s="13">
        <f t="shared" si="19"/>
        <v>14</v>
      </c>
      <c r="V79" s="13">
        <f t="shared" si="19"/>
        <v>24</v>
      </c>
      <c r="W79" s="13">
        <f t="shared" si="19"/>
        <v>16</v>
      </c>
      <c r="X79" s="13">
        <f t="shared" si="19"/>
        <v>18</v>
      </c>
      <c r="Y79" s="13">
        <f t="shared" si="19"/>
        <v>10</v>
      </c>
      <c r="Z79" s="13">
        <f t="shared" si="19"/>
        <v>9</v>
      </c>
      <c r="AA79" s="13">
        <f t="shared" si="19"/>
        <v>6</v>
      </c>
      <c r="AB79" s="13">
        <f t="shared" si="19"/>
        <v>33</v>
      </c>
      <c r="AC79" s="13">
        <f t="shared" si="19"/>
        <v>33</v>
      </c>
      <c r="AD79" s="13">
        <f t="shared" si="19"/>
        <v>36</v>
      </c>
      <c r="AE79" s="13">
        <f t="shared" si="19"/>
        <v>28</v>
      </c>
      <c r="AF79" s="13">
        <f t="shared" si="19"/>
        <v>10</v>
      </c>
      <c r="AG79" s="13">
        <f t="shared" si="19"/>
        <v>14</v>
      </c>
      <c r="AH79" s="13">
        <f t="shared" si="19"/>
        <v>9</v>
      </c>
      <c r="AI79" s="13">
        <f t="shared" si="19"/>
        <v>22</v>
      </c>
      <c r="AJ79" s="13">
        <f t="shared" si="19"/>
        <v>9</v>
      </c>
      <c r="AK79" s="13">
        <f t="shared" si="19"/>
        <v>29</v>
      </c>
      <c r="AL79" s="13">
        <f t="shared" si="19"/>
        <v>69</v>
      </c>
      <c r="AM79" s="13">
        <f t="shared" si="19"/>
        <v>826</v>
      </c>
    </row>
    <row r="80" ht="12.75" customHeight="1">
      <c r="A80" s="45"/>
      <c r="B80" s="44"/>
      <c r="C80" s="44"/>
      <c r="D80" s="44"/>
      <c r="E80" s="44"/>
    </row>
    <row r="81" ht="12.75" customHeight="1">
      <c r="A81" s="30" t="s">
        <v>37</v>
      </c>
      <c r="B81" s="47" t="s">
        <v>23</v>
      </c>
      <c r="C81" s="48" t="s">
        <v>64</v>
      </c>
      <c r="D81" s="16"/>
      <c r="E81" s="19">
        <v>2.0</v>
      </c>
      <c r="F81" s="19">
        <v>3.0</v>
      </c>
      <c r="G81" s="19">
        <v>6.0</v>
      </c>
      <c r="H81" s="19">
        <v>8.0</v>
      </c>
      <c r="I81" s="19">
        <v>2.0</v>
      </c>
      <c r="J81" s="19">
        <v>2.0</v>
      </c>
      <c r="K81" s="19">
        <v>1.0</v>
      </c>
      <c r="L81" s="19">
        <v>2.0</v>
      </c>
      <c r="M81" s="19">
        <v>1.0</v>
      </c>
      <c r="N81" s="19">
        <v>4.0</v>
      </c>
      <c r="O81" s="19">
        <v>6.0</v>
      </c>
      <c r="P81" s="19">
        <v>3.0</v>
      </c>
      <c r="Q81" s="19">
        <v>3.0</v>
      </c>
      <c r="R81" s="19">
        <v>1.0</v>
      </c>
      <c r="S81" s="19">
        <v>1.0</v>
      </c>
      <c r="T81" s="19">
        <v>3.0</v>
      </c>
      <c r="U81" s="19">
        <v>0.0</v>
      </c>
      <c r="V81" s="19">
        <v>0.0</v>
      </c>
      <c r="W81" s="19">
        <v>1.0</v>
      </c>
      <c r="X81" s="19">
        <v>7.0</v>
      </c>
      <c r="Y81" s="19">
        <v>2.0</v>
      </c>
      <c r="Z81" s="19">
        <v>2.0</v>
      </c>
      <c r="AA81" s="19">
        <v>0.0</v>
      </c>
      <c r="AB81" s="19">
        <v>0.0</v>
      </c>
      <c r="AC81" s="19">
        <v>2.0</v>
      </c>
      <c r="AD81" s="19">
        <v>2.0</v>
      </c>
      <c r="AE81" s="19">
        <v>2.0</v>
      </c>
      <c r="AF81" s="19">
        <v>1.0</v>
      </c>
      <c r="AG81" s="19">
        <v>2.0</v>
      </c>
      <c r="AH81" s="19">
        <v>0.0</v>
      </c>
      <c r="AI81" s="19">
        <v>2.0</v>
      </c>
      <c r="AJ81" s="19">
        <v>0.0</v>
      </c>
      <c r="AK81" s="19">
        <v>3.0</v>
      </c>
      <c r="AL81" s="19">
        <v>2.0</v>
      </c>
      <c r="AM81" s="13">
        <f t="shared" ref="AM81:AM90" si="20">SUM(E81:AL81)</f>
        <v>76</v>
      </c>
    </row>
    <row r="82" ht="12.75" customHeight="1">
      <c r="A82" s="30" t="s">
        <v>39</v>
      </c>
      <c r="B82" s="55">
        <v>1.0</v>
      </c>
      <c r="C82" s="50" t="s">
        <v>65</v>
      </c>
      <c r="D82" s="60"/>
      <c r="E82" s="19">
        <v>6.0</v>
      </c>
      <c r="F82" s="19">
        <v>7.0</v>
      </c>
      <c r="G82" s="19">
        <v>5.0</v>
      </c>
      <c r="H82" s="19">
        <v>32.0</v>
      </c>
      <c r="I82" s="19">
        <v>4.0</v>
      </c>
      <c r="J82" s="19">
        <v>2.0</v>
      </c>
      <c r="K82" s="19">
        <v>1.0</v>
      </c>
      <c r="L82" s="19">
        <v>0.0</v>
      </c>
      <c r="M82" s="19">
        <v>1.0</v>
      </c>
      <c r="N82" s="19">
        <v>2.0</v>
      </c>
      <c r="O82" s="19">
        <v>0.0</v>
      </c>
      <c r="P82" s="19">
        <v>3.0</v>
      </c>
      <c r="Q82" s="19">
        <v>1.0</v>
      </c>
      <c r="R82" s="19">
        <v>2.0</v>
      </c>
      <c r="S82" s="19">
        <v>3.0</v>
      </c>
      <c r="T82" s="19">
        <v>1.0</v>
      </c>
      <c r="U82" s="19">
        <v>4.0</v>
      </c>
      <c r="V82" s="19">
        <v>2.0</v>
      </c>
      <c r="W82" s="19">
        <v>0.0</v>
      </c>
      <c r="X82" s="19">
        <v>2.0</v>
      </c>
      <c r="Y82" s="19">
        <v>9.0</v>
      </c>
      <c r="Z82" s="19">
        <v>0.0</v>
      </c>
      <c r="AA82" s="19">
        <v>2.0</v>
      </c>
      <c r="AB82" s="19">
        <v>3.0</v>
      </c>
      <c r="AC82" s="19">
        <v>2.0</v>
      </c>
      <c r="AD82" s="19">
        <v>4.0</v>
      </c>
      <c r="AE82" s="19">
        <v>0.0</v>
      </c>
      <c r="AF82" s="19">
        <v>0.0</v>
      </c>
      <c r="AG82" s="19">
        <v>3.0</v>
      </c>
      <c r="AH82" s="19">
        <v>0.0</v>
      </c>
      <c r="AI82" s="19">
        <v>0.0</v>
      </c>
      <c r="AJ82" s="19">
        <v>2.0</v>
      </c>
      <c r="AK82" s="19">
        <v>1.0</v>
      </c>
      <c r="AL82" s="19">
        <v>0.0</v>
      </c>
      <c r="AM82" s="13">
        <f t="shared" si="20"/>
        <v>104</v>
      </c>
    </row>
    <row r="83" ht="12.75" customHeight="1">
      <c r="A83" s="18"/>
      <c r="B83" s="55">
        <v>2.0</v>
      </c>
      <c r="C83" s="50" t="s">
        <v>66</v>
      </c>
      <c r="D83" s="60"/>
      <c r="E83" s="19">
        <v>2.0</v>
      </c>
      <c r="F83" s="19">
        <v>2.0</v>
      </c>
      <c r="G83" s="19">
        <v>11.0</v>
      </c>
      <c r="H83" s="19">
        <v>1.0</v>
      </c>
      <c r="I83" s="19">
        <v>3.0</v>
      </c>
      <c r="J83" s="19">
        <v>1.0</v>
      </c>
      <c r="K83" s="19">
        <v>0.0</v>
      </c>
      <c r="L83" s="19">
        <v>0.0</v>
      </c>
      <c r="M83" s="19">
        <v>0.0</v>
      </c>
      <c r="N83" s="19">
        <v>0.0</v>
      </c>
      <c r="O83" s="19">
        <v>0.0</v>
      </c>
      <c r="P83" s="19">
        <v>0.0</v>
      </c>
      <c r="Q83" s="19">
        <v>11.0</v>
      </c>
      <c r="R83" s="19">
        <v>0.0</v>
      </c>
      <c r="S83" s="19">
        <v>3.0</v>
      </c>
      <c r="T83" s="19">
        <v>3.0</v>
      </c>
      <c r="U83" s="19">
        <v>2.0</v>
      </c>
      <c r="V83" s="19">
        <v>0.0</v>
      </c>
      <c r="W83" s="19">
        <v>8.0</v>
      </c>
      <c r="X83" s="19">
        <v>0.0</v>
      </c>
      <c r="Y83" s="19">
        <v>0.0</v>
      </c>
      <c r="Z83" s="19">
        <v>1.0</v>
      </c>
      <c r="AA83" s="19">
        <v>2.0</v>
      </c>
      <c r="AB83" s="19">
        <v>5.0</v>
      </c>
      <c r="AC83" s="19">
        <v>1.0</v>
      </c>
      <c r="AD83" s="19">
        <v>1.0</v>
      </c>
      <c r="AE83" s="19">
        <v>0.0</v>
      </c>
      <c r="AF83" s="19">
        <v>0.0</v>
      </c>
      <c r="AG83" s="19">
        <v>2.0</v>
      </c>
      <c r="AH83" s="19">
        <v>0.0</v>
      </c>
      <c r="AI83" s="19">
        <v>1.0</v>
      </c>
      <c r="AJ83" s="19">
        <v>0.0</v>
      </c>
      <c r="AK83" s="19">
        <v>0.0</v>
      </c>
      <c r="AL83" s="19">
        <v>0.0</v>
      </c>
      <c r="AM83" s="13">
        <f t="shared" si="20"/>
        <v>60</v>
      </c>
    </row>
    <row r="84" ht="12.75" customHeight="1">
      <c r="A84" s="18"/>
      <c r="B84" s="55">
        <v>3.0</v>
      </c>
      <c r="C84" s="50" t="s">
        <v>67</v>
      </c>
      <c r="D84" s="60"/>
      <c r="E84" s="19">
        <v>0.0</v>
      </c>
      <c r="F84" s="19">
        <v>0.0</v>
      </c>
      <c r="G84" s="19">
        <v>0.0</v>
      </c>
      <c r="H84" s="19">
        <v>1.0</v>
      </c>
      <c r="I84" s="19">
        <v>1.0</v>
      </c>
      <c r="J84" s="19">
        <v>0.0</v>
      </c>
      <c r="K84" s="19">
        <v>0.0</v>
      </c>
      <c r="L84" s="19">
        <v>0.0</v>
      </c>
      <c r="M84" s="19">
        <v>1.0</v>
      </c>
      <c r="N84" s="19">
        <v>1.0</v>
      </c>
      <c r="O84" s="19">
        <v>0.0</v>
      </c>
      <c r="P84" s="19">
        <v>0.0</v>
      </c>
      <c r="Q84" s="19">
        <v>0.0</v>
      </c>
      <c r="R84" s="19">
        <v>0.0</v>
      </c>
      <c r="S84" s="19">
        <v>0.0</v>
      </c>
      <c r="T84" s="19">
        <v>0.0</v>
      </c>
      <c r="U84" s="19">
        <v>0.0</v>
      </c>
      <c r="V84" s="19">
        <v>1.0</v>
      </c>
      <c r="W84" s="19">
        <v>1.0</v>
      </c>
      <c r="X84" s="19">
        <v>0.0</v>
      </c>
      <c r="Y84" s="19">
        <v>0.0</v>
      </c>
      <c r="Z84" s="19">
        <v>1.0</v>
      </c>
      <c r="AA84" s="19">
        <v>1.0</v>
      </c>
      <c r="AB84" s="19">
        <v>0.0</v>
      </c>
      <c r="AC84" s="19">
        <v>0.0</v>
      </c>
      <c r="AD84" s="19">
        <v>0.0</v>
      </c>
      <c r="AE84" s="19">
        <v>0.0</v>
      </c>
      <c r="AF84" s="19">
        <v>1.0</v>
      </c>
      <c r="AG84" s="19">
        <v>0.0</v>
      </c>
      <c r="AH84" s="19">
        <v>0.0</v>
      </c>
      <c r="AI84" s="19">
        <v>0.0</v>
      </c>
      <c r="AJ84" s="19">
        <v>0.0</v>
      </c>
      <c r="AK84" s="19">
        <v>0.0</v>
      </c>
      <c r="AL84" s="19">
        <v>1.0</v>
      </c>
      <c r="AM84" s="13">
        <f t="shared" si="20"/>
        <v>10</v>
      </c>
    </row>
    <row r="85" ht="12.75" customHeight="1">
      <c r="A85" s="18"/>
      <c r="B85" s="55">
        <v>4.0</v>
      </c>
      <c r="C85" s="50" t="s">
        <v>68</v>
      </c>
      <c r="D85" s="60"/>
      <c r="E85" s="19">
        <v>1.0</v>
      </c>
      <c r="F85" s="19">
        <v>0.0</v>
      </c>
      <c r="G85" s="19">
        <v>3.0</v>
      </c>
      <c r="H85" s="19">
        <v>0.0</v>
      </c>
      <c r="I85" s="19">
        <v>0.0</v>
      </c>
      <c r="J85" s="19">
        <v>0.0</v>
      </c>
      <c r="K85" s="19">
        <v>0.0</v>
      </c>
      <c r="L85" s="19">
        <v>0.0</v>
      </c>
      <c r="M85" s="19">
        <v>0.0</v>
      </c>
      <c r="N85" s="19">
        <v>1.0</v>
      </c>
      <c r="O85" s="19">
        <v>4.0</v>
      </c>
      <c r="P85" s="19">
        <v>0.0</v>
      </c>
      <c r="Q85" s="19">
        <v>0.0</v>
      </c>
      <c r="R85" s="19">
        <v>0.0</v>
      </c>
      <c r="S85" s="19">
        <v>0.0</v>
      </c>
      <c r="T85" s="19">
        <v>0.0</v>
      </c>
      <c r="U85" s="19">
        <v>0.0</v>
      </c>
      <c r="V85" s="19">
        <v>5.0</v>
      </c>
      <c r="W85" s="19">
        <v>1.0</v>
      </c>
      <c r="X85" s="19">
        <v>0.0</v>
      </c>
      <c r="Y85" s="19">
        <v>0.0</v>
      </c>
      <c r="Z85" s="19">
        <v>0.0</v>
      </c>
      <c r="AA85" s="19">
        <v>1.0</v>
      </c>
      <c r="AB85" s="19">
        <v>2.0</v>
      </c>
      <c r="AC85" s="19">
        <v>0.0</v>
      </c>
      <c r="AD85" s="19">
        <v>14.0</v>
      </c>
      <c r="AE85" s="19">
        <v>0.0</v>
      </c>
      <c r="AF85" s="19">
        <v>0.0</v>
      </c>
      <c r="AG85" s="19">
        <v>0.0</v>
      </c>
      <c r="AH85" s="19">
        <v>0.0</v>
      </c>
      <c r="AI85" s="19">
        <v>1.0</v>
      </c>
      <c r="AJ85" s="19">
        <v>0.0</v>
      </c>
      <c r="AK85" s="19">
        <v>2.0</v>
      </c>
      <c r="AL85" s="19">
        <v>0.0</v>
      </c>
      <c r="AM85" s="13">
        <f t="shared" si="20"/>
        <v>35</v>
      </c>
    </row>
    <row r="86" ht="12.75" customHeight="1">
      <c r="A86" s="18"/>
      <c r="B86" s="55">
        <v>5.0</v>
      </c>
      <c r="C86" s="50" t="s">
        <v>69</v>
      </c>
      <c r="D86" s="60"/>
      <c r="E86" s="19">
        <v>0.0</v>
      </c>
      <c r="F86" s="19">
        <v>1.0</v>
      </c>
      <c r="G86" s="19">
        <v>0.0</v>
      </c>
      <c r="H86" s="19">
        <v>0.0</v>
      </c>
      <c r="I86" s="19">
        <v>0.0</v>
      </c>
      <c r="J86" s="19">
        <v>1.0</v>
      </c>
      <c r="K86" s="19">
        <v>0.0</v>
      </c>
      <c r="L86" s="19">
        <v>0.0</v>
      </c>
      <c r="M86" s="19">
        <v>0.0</v>
      </c>
      <c r="N86" s="19">
        <v>0.0</v>
      </c>
      <c r="O86" s="19">
        <v>0.0</v>
      </c>
      <c r="P86" s="19">
        <v>0.0</v>
      </c>
      <c r="Q86" s="19">
        <v>0.0</v>
      </c>
      <c r="R86" s="19">
        <v>0.0</v>
      </c>
      <c r="S86" s="19">
        <v>0.0</v>
      </c>
      <c r="T86" s="19">
        <v>0.0</v>
      </c>
      <c r="U86" s="19">
        <v>0.0</v>
      </c>
      <c r="V86" s="19">
        <v>1.0</v>
      </c>
      <c r="W86" s="19">
        <v>0.0</v>
      </c>
      <c r="X86" s="19">
        <v>1.0</v>
      </c>
      <c r="Y86" s="19">
        <v>0.0</v>
      </c>
      <c r="Z86" s="19">
        <v>0.0</v>
      </c>
      <c r="AA86" s="19">
        <v>0.0</v>
      </c>
      <c r="AB86" s="19">
        <v>0.0</v>
      </c>
      <c r="AC86" s="19">
        <v>0.0</v>
      </c>
      <c r="AD86" s="19">
        <v>2.0</v>
      </c>
      <c r="AE86" s="19">
        <v>0.0</v>
      </c>
      <c r="AF86" s="19">
        <v>0.0</v>
      </c>
      <c r="AG86" s="19">
        <v>0.0</v>
      </c>
      <c r="AH86" s="19">
        <v>0.0</v>
      </c>
      <c r="AI86" s="19">
        <v>0.0</v>
      </c>
      <c r="AJ86" s="19">
        <v>0.0</v>
      </c>
      <c r="AK86" s="19">
        <v>0.0</v>
      </c>
      <c r="AL86" s="19">
        <v>0.0</v>
      </c>
      <c r="AM86" s="13">
        <f t="shared" si="20"/>
        <v>6</v>
      </c>
    </row>
    <row r="87" ht="12.75" customHeight="1">
      <c r="A87" s="18"/>
      <c r="B87" s="55">
        <v>6.0</v>
      </c>
      <c r="C87" s="50" t="s">
        <v>70</v>
      </c>
      <c r="D87" s="60"/>
      <c r="E87" s="19">
        <v>0.0</v>
      </c>
      <c r="F87" s="19">
        <v>0.0</v>
      </c>
      <c r="G87" s="19">
        <v>0.0</v>
      </c>
      <c r="H87" s="19">
        <v>0.0</v>
      </c>
      <c r="I87" s="19">
        <v>0.0</v>
      </c>
      <c r="J87" s="19">
        <v>0.0</v>
      </c>
      <c r="K87" s="19">
        <v>0.0</v>
      </c>
      <c r="L87" s="19">
        <v>0.0</v>
      </c>
      <c r="M87" s="19">
        <v>0.0</v>
      </c>
      <c r="N87" s="19">
        <v>0.0</v>
      </c>
      <c r="O87" s="19">
        <v>0.0</v>
      </c>
      <c r="P87" s="19">
        <v>0.0</v>
      </c>
      <c r="Q87" s="19">
        <v>0.0</v>
      </c>
      <c r="R87" s="19">
        <v>0.0</v>
      </c>
      <c r="S87" s="19">
        <v>0.0</v>
      </c>
      <c r="T87" s="19">
        <v>0.0</v>
      </c>
      <c r="U87" s="19">
        <v>0.0</v>
      </c>
      <c r="V87" s="19">
        <v>0.0</v>
      </c>
      <c r="W87" s="19">
        <v>0.0</v>
      </c>
      <c r="X87" s="19">
        <v>0.0</v>
      </c>
      <c r="Y87" s="19">
        <v>0.0</v>
      </c>
      <c r="Z87" s="19">
        <v>0.0</v>
      </c>
      <c r="AA87" s="19">
        <v>0.0</v>
      </c>
      <c r="AB87" s="19">
        <v>0.0</v>
      </c>
      <c r="AC87" s="19">
        <v>0.0</v>
      </c>
      <c r="AD87" s="19">
        <v>0.0</v>
      </c>
      <c r="AE87" s="19">
        <v>0.0</v>
      </c>
      <c r="AF87" s="19">
        <v>0.0</v>
      </c>
      <c r="AG87" s="19">
        <v>0.0</v>
      </c>
      <c r="AH87" s="19">
        <v>0.0</v>
      </c>
      <c r="AI87" s="19">
        <v>0.0</v>
      </c>
      <c r="AJ87" s="19">
        <v>0.0</v>
      </c>
      <c r="AK87" s="19">
        <v>0.0</v>
      </c>
      <c r="AL87" s="19">
        <v>0.0</v>
      </c>
      <c r="AM87" s="13">
        <f t="shared" si="20"/>
        <v>0</v>
      </c>
    </row>
    <row r="88" ht="12.75" customHeight="1">
      <c r="A88" s="18"/>
      <c r="B88" s="55">
        <v>7.0</v>
      </c>
      <c r="C88" s="50" t="s">
        <v>71</v>
      </c>
      <c r="D88" s="60"/>
      <c r="E88" s="19">
        <v>0.0</v>
      </c>
      <c r="F88" s="19">
        <v>0.0</v>
      </c>
      <c r="G88" s="19">
        <v>0.0</v>
      </c>
      <c r="H88" s="19">
        <v>0.0</v>
      </c>
      <c r="I88" s="19">
        <v>0.0</v>
      </c>
      <c r="J88" s="19">
        <v>0.0</v>
      </c>
      <c r="K88" s="19">
        <v>0.0</v>
      </c>
      <c r="L88" s="19">
        <v>0.0</v>
      </c>
      <c r="M88" s="19">
        <v>0.0</v>
      </c>
      <c r="N88" s="19">
        <v>0.0</v>
      </c>
      <c r="O88" s="19">
        <v>0.0</v>
      </c>
      <c r="P88" s="19">
        <v>0.0</v>
      </c>
      <c r="Q88" s="19">
        <v>0.0</v>
      </c>
      <c r="R88" s="19">
        <v>1.0</v>
      </c>
      <c r="S88" s="19">
        <v>0.0</v>
      </c>
      <c r="T88" s="19">
        <v>0.0</v>
      </c>
      <c r="U88" s="19">
        <v>0.0</v>
      </c>
      <c r="V88" s="19">
        <v>0.0</v>
      </c>
      <c r="W88" s="19">
        <v>0.0</v>
      </c>
      <c r="X88" s="19">
        <v>0.0</v>
      </c>
      <c r="Y88" s="19">
        <v>0.0</v>
      </c>
      <c r="Z88" s="19">
        <v>0.0</v>
      </c>
      <c r="AA88" s="19">
        <v>0.0</v>
      </c>
      <c r="AB88" s="19">
        <v>0.0</v>
      </c>
      <c r="AC88" s="19">
        <v>0.0</v>
      </c>
      <c r="AD88" s="19">
        <v>0.0</v>
      </c>
      <c r="AE88" s="19">
        <v>0.0</v>
      </c>
      <c r="AF88" s="19">
        <v>0.0</v>
      </c>
      <c r="AG88" s="19">
        <v>0.0</v>
      </c>
      <c r="AH88" s="19">
        <v>0.0</v>
      </c>
      <c r="AI88" s="19">
        <v>0.0</v>
      </c>
      <c r="AJ88" s="19">
        <v>0.0</v>
      </c>
      <c r="AK88" s="19">
        <v>0.0</v>
      </c>
      <c r="AL88" s="19">
        <v>0.0</v>
      </c>
      <c r="AM88" s="13">
        <f t="shared" si="20"/>
        <v>1</v>
      </c>
    </row>
    <row r="89" ht="12.75" customHeight="1">
      <c r="A89" s="18"/>
      <c r="B89" s="56"/>
      <c r="C89" s="57"/>
      <c r="D89" s="62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  <c r="AH89" s="19"/>
      <c r="AI89" s="19"/>
      <c r="AJ89" s="19"/>
      <c r="AK89" s="19"/>
      <c r="AL89" s="19"/>
      <c r="AM89" s="13">
        <f t="shared" si="20"/>
        <v>0</v>
      </c>
    </row>
    <row r="90" ht="12.75" customHeight="1">
      <c r="A90" s="18"/>
      <c r="B90" s="56"/>
      <c r="C90" s="57"/>
      <c r="D90" s="62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  <c r="AF90" s="19"/>
      <c r="AG90" s="19"/>
      <c r="AH90" s="19"/>
      <c r="AI90" s="19"/>
      <c r="AJ90" s="19"/>
      <c r="AK90" s="19"/>
      <c r="AL90" s="19"/>
      <c r="AM90" s="13">
        <f t="shared" si="20"/>
        <v>0</v>
      </c>
    </row>
    <row r="91" ht="12.75" customHeight="1">
      <c r="A91" s="19" t="s">
        <v>15</v>
      </c>
      <c r="B91" s="47" t="s">
        <v>47</v>
      </c>
      <c r="C91" s="15"/>
      <c r="D91" s="16"/>
      <c r="E91" s="13">
        <f t="shared" ref="E91:AM91" si="21">SUM(E81:E90)</f>
        <v>11</v>
      </c>
      <c r="F91" s="13">
        <f t="shared" si="21"/>
        <v>13</v>
      </c>
      <c r="G91" s="13">
        <f t="shared" si="21"/>
        <v>25</v>
      </c>
      <c r="H91" s="13">
        <f t="shared" si="21"/>
        <v>42</v>
      </c>
      <c r="I91" s="13">
        <f t="shared" si="21"/>
        <v>10</v>
      </c>
      <c r="J91" s="13">
        <f t="shared" si="21"/>
        <v>6</v>
      </c>
      <c r="K91" s="13">
        <f t="shared" si="21"/>
        <v>2</v>
      </c>
      <c r="L91" s="13">
        <f t="shared" si="21"/>
        <v>2</v>
      </c>
      <c r="M91" s="13">
        <f t="shared" si="21"/>
        <v>3</v>
      </c>
      <c r="N91" s="13">
        <f t="shared" si="21"/>
        <v>8</v>
      </c>
      <c r="O91" s="13">
        <f t="shared" si="21"/>
        <v>10</v>
      </c>
      <c r="P91" s="13">
        <f t="shared" si="21"/>
        <v>6</v>
      </c>
      <c r="Q91" s="13">
        <f t="shared" si="21"/>
        <v>15</v>
      </c>
      <c r="R91" s="13">
        <f t="shared" si="21"/>
        <v>4</v>
      </c>
      <c r="S91" s="13">
        <f t="shared" si="21"/>
        <v>7</v>
      </c>
      <c r="T91" s="13">
        <f t="shared" si="21"/>
        <v>7</v>
      </c>
      <c r="U91" s="13">
        <f t="shared" si="21"/>
        <v>6</v>
      </c>
      <c r="V91" s="13">
        <f t="shared" si="21"/>
        <v>9</v>
      </c>
      <c r="W91" s="13">
        <f t="shared" si="21"/>
        <v>11</v>
      </c>
      <c r="X91" s="13">
        <f t="shared" si="21"/>
        <v>10</v>
      </c>
      <c r="Y91" s="13">
        <f t="shared" si="21"/>
        <v>11</v>
      </c>
      <c r="Z91" s="13">
        <f t="shared" si="21"/>
        <v>4</v>
      </c>
      <c r="AA91" s="13">
        <f t="shared" si="21"/>
        <v>6</v>
      </c>
      <c r="AB91" s="13">
        <f t="shared" si="21"/>
        <v>10</v>
      </c>
      <c r="AC91" s="13">
        <f t="shared" si="21"/>
        <v>5</v>
      </c>
      <c r="AD91" s="13">
        <f t="shared" si="21"/>
        <v>23</v>
      </c>
      <c r="AE91" s="13">
        <f t="shared" si="21"/>
        <v>2</v>
      </c>
      <c r="AF91" s="13">
        <f t="shared" si="21"/>
        <v>2</v>
      </c>
      <c r="AG91" s="13">
        <f t="shared" si="21"/>
        <v>7</v>
      </c>
      <c r="AH91" s="13">
        <f t="shared" si="21"/>
        <v>0</v>
      </c>
      <c r="AI91" s="13">
        <f t="shared" si="21"/>
        <v>4</v>
      </c>
      <c r="AJ91" s="13">
        <f t="shared" si="21"/>
        <v>2</v>
      </c>
      <c r="AK91" s="13">
        <f t="shared" si="21"/>
        <v>6</v>
      </c>
      <c r="AL91" s="13">
        <f t="shared" si="21"/>
        <v>3</v>
      </c>
      <c r="AM91" s="13">
        <f t="shared" si="21"/>
        <v>292</v>
      </c>
    </row>
    <row r="92" ht="12.75" customHeight="1">
      <c r="A92" s="45"/>
      <c r="B92" s="44"/>
      <c r="C92" s="44"/>
      <c r="D92" s="44"/>
      <c r="E92" s="44"/>
    </row>
    <row r="93" ht="12.75" customHeight="1">
      <c r="A93" s="30" t="s">
        <v>37</v>
      </c>
      <c r="B93" s="47" t="s">
        <v>72</v>
      </c>
      <c r="C93" s="48" t="s">
        <v>73</v>
      </c>
      <c r="D93" s="16"/>
      <c r="E93" s="19">
        <v>0.0</v>
      </c>
      <c r="F93" s="19">
        <v>2.0</v>
      </c>
      <c r="G93" s="19">
        <v>0.0</v>
      </c>
      <c r="H93" s="19">
        <v>2.0</v>
      </c>
      <c r="I93" s="19">
        <v>0.0</v>
      </c>
      <c r="J93" s="19">
        <v>0.0</v>
      </c>
      <c r="K93" s="19">
        <v>0.0</v>
      </c>
      <c r="L93" s="19">
        <v>6.0</v>
      </c>
      <c r="M93" s="19">
        <v>1.0</v>
      </c>
      <c r="N93" s="19">
        <v>1.0</v>
      </c>
      <c r="O93" s="19">
        <v>2.0</v>
      </c>
      <c r="P93" s="19">
        <v>1.0</v>
      </c>
      <c r="Q93" s="19">
        <v>1.0</v>
      </c>
      <c r="R93" s="19">
        <v>0.0</v>
      </c>
      <c r="S93" s="19">
        <v>0.0</v>
      </c>
      <c r="T93" s="19">
        <v>3.0</v>
      </c>
      <c r="U93" s="19">
        <v>0.0</v>
      </c>
      <c r="V93" s="19">
        <v>2.0</v>
      </c>
      <c r="W93" s="19">
        <v>4.0</v>
      </c>
      <c r="X93" s="19">
        <v>0.0</v>
      </c>
      <c r="Y93" s="19">
        <v>0.0</v>
      </c>
      <c r="Z93" s="19">
        <v>0.0</v>
      </c>
      <c r="AA93" s="19">
        <v>2.0</v>
      </c>
      <c r="AB93" s="19">
        <v>0.0</v>
      </c>
      <c r="AC93" s="19">
        <v>1.0</v>
      </c>
      <c r="AD93" s="19">
        <v>1.0</v>
      </c>
      <c r="AE93" s="19">
        <v>0.0</v>
      </c>
      <c r="AF93" s="19">
        <v>1.0</v>
      </c>
      <c r="AG93" s="19">
        <v>1.0</v>
      </c>
      <c r="AH93" s="19">
        <v>0.0</v>
      </c>
      <c r="AI93" s="19">
        <v>0.0</v>
      </c>
      <c r="AJ93" s="19">
        <v>0.0</v>
      </c>
      <c r="AK93" s="19">
        <v>2.0</v>
      </c>
      <c r="AL93" s="19">
        <v>0.0</v>
      </c>
      <c r="AM93" s="13">
        <f t="shared" ref="AM93:AM102" si="22">SUM(E93:AL93)</f>
        <v>33</v>
      </c>
    </row>
    <row r="94" ht="12.75" customHeight="1">
      <c r="A94" s="30" t="s">
        <v>39</v>
      </c>
      <c r="B94" s="55">
        <v>1.0</v>
      </c>
      <c r="C94" s="50" t="s">
        <v>74</v>
      </c>
      <c r="D94" s="60"/>
      <c r="E94" s="19">
        <v>1.0</v>
      </c>
      <c r="F94" s="19">
        <v>4.0</v>
      </c>
      <c r="G94" s="19">
        <v>3.0</v>
      </c>
      <c r="H94" s="19">
        <v>0.0</v>
      </c>
      <c r="I94" s="19">
        <v>0.0</v>
      </c>
      <c r="J94" s="19">
        <v>3.0</v>
      </c>
      <c r="K94" s="19">
        <v>0.0</v>
      </c>
      <c r="L94" s="19">
        <v>0.0</v>
      </c>
      <c r="M94" s="19">
        <v>5.0</v>
      </c>
      <c r="N94" s="19">
        <v>0.0</v>
      </c>
      <c r="O94" s="19">
        <v>4.0</v>
      </c>
      <c r="P94" s="19">
        <v>0.0</v>
      </c>
      <c r="Q94" s="19">
        <v>1.0</v>
      </c>
      <c r="R94" s="19">
        <v>0.0</v>
      </c>
      <c r="S94" s="19">
        <v>1.0</v>
      </c>
      <c r="T94" s="19">
        <v>0.0</v>
      </c>
      <c r="U94" s="19">
        <v>2.0</v>
      </c>
      <c r="V94" s="19">
        <v>2.0</v>
      </c>
      <c r="W94" s="19">
        <v>0.0</v>
      </c>
      <c r="X94" s="19">
        <v>1.0</v>
      </c>
      <c r="Y94" s="19">
        <v>0.0</v>
      </c>
      <c r="Z94" s="19">
        <v>0.0</v>
      </c>
      <c r="AA94" s="19">
        <v>2.0</v>
      </c>
      <c r="AB94" s="19">
        <v>0.0</v>
      </c>
      <c r="AC94" s="19">
        <v>0.0</v>
      </c>
      <c r="AD94" s="19">
        <v>1.0</v>
      </c>
      <c r="AE94" s="19">
        <v>0.0</v>
      </c>
      <c r="AF94" s="19">
        <v>1.0</v>
      </c>
      <c r="AG94" s="19">
        <v>0.0</v>
      </c>
      <c r="AH94" s="19">
        <v>0.0</v>
      </c>
      <c r="AI94" s="19">
        <v>0.0</v>
      </c>
      <c r="AJ94" s="19">
        <v>0.0</v>
      </c>
      <c r="AK94" s="19">
        <v>2.0</v>
      </c>
      <c r="AL94" s="19">
        <v>0.0</v>
      </c>
      <c r="AM94" s="13">
        <f t="shared" si="22"/>
        <v>33</v>
      </c>
    </row>
    <row r="95" ht="12.75" customHeight="1">
      <c r="A95" s="18"/>
      <c r="B95" s="55">
        <v>2.0</v>
      </c>
      <c r="C95" s="50" t="s">
        <v>75</v>
      </c>
      <c r="D95" s="60"/>
      <c r="E95" s="19">
        <v>0.0</v>
      </c>
      <c r="F95" s="19">
        <v>0.0</v>
      </c>
      <c r="G95" s="19">
        <v>0.0</v>
      </c>
      <c r="H95" s="19">
        <v>0.0</v>
      </c>
      <c r="I95" s="19">
        <v>0.0</v>
      </c>
      <c r="J95" s="19">
        <v>0.0</v>
      </c>
      <c r="K95" s="19">
        <v>1.0</v>
      </c>
      <c r="L95" s="19">
        <v>0.0</v>
      </c>
      <c r="M95" s="19">
        <v>0.0</v>
      </c>
      <c r="N95" s="19">
        <v>0.0</v>
      </c>
      <c r="O95" s="19">
        <v>0.0</v>
      </c>
      <c r="P95" s="19">
        <v>2.0</v>
      </c>
      <c r="Q95" s="19">
        <v>0.0</v>
      </c>
      <c r="R95" s="19">
        <v>0.0</v>
      </c>
      <c r="S95" s="19">
        <v>0.0</v>
      </c>
      <c r="T95" s="19">
        <v>0.0</v>
      </c>
      <c r="U95" s="19">
        <v>1.0</v>
      </c>
      <c r="V95" s="19">
        <v>0.0</v>
      </c>
      <c r="W95" s="19">
        <v>0.0</v>
      </c>
      <c r="X95" s="19">
        <v>0.0</v>
      </c>
      <c r="Y95" s="19">
        <v>0.0</v>
      </c>
      <c r="Z95" s="19">
        <v>0.0</v>
      </c>
      <c r="AA95" s="19">
        <v>0.0</v>
      </c>
      <c r="AB95" s="19">
        <v>0.0</v>
      </c>
      <c r="AC95" s="19">
        <v>0.0</v>
      </c>
      <c r="AD95" s="19">
        <v>0.0</v>
      </c>
      <c r="AE95" s="19">
        <v>0.0</v>
      </c>
      <c r="AF95" s="19">
        <v>0.0</v>
      </c>
      <c r="AG95" s="19">
        <v>0.0</v>
      </c>
      <c r="AH95" s="19">
        <v>0.0</v>
      </c>
      <c r="AI95" s="19">
        <v>0.0</v>
      </c>
      <c r="AJ95" s="19">
        <v>0.0</v>
      </c>
      <c r="AK95" s="19">
        <v>0.0</v>
      </c>
      <c r="AL95" s="19">
        <v>0.0</v>
      </c>
      <c r="AM95" s="13">
        <f t="shared" si="22"/>
        <v>4</v>
      </c>
    </row>
    <row r="96" ht="12.75" customHeight="1">
      <c r="A96" s="18"/>
      <c r="B96" s="55">
        <v>3.0</v>
      </c>
      <c r="C96" s="50" t="s">
        <v>76</v>
      </c>
      <c r="D96" s="60"/>
      <c r="E96" s="19">
        <v>0.0</v>
      </c>
      <c r="F96" s="19">
        <v>0.0</v>
      </c>
      <c r="G96" s="19">
        <v>0.0</v>
      </c>
      <c r="H96" s="19">
        <v>0.0</v>
      </c>
      <c r="I96" s="19">
        <v>0.0</v>
      </c>
      <c r="J96" s="19">
        <v>0.0</v>
      </c>
      <c r="K96" s="19">
        <v>0.0</v>
      </c>
      <c r="L96" s="19">
        <v>0.0</v>
      </c>
      <c r="M96" s="19">
        <v>1.0</v>
      </c>
      <c r="N96" s="19">
        <v>0.0</v>
      </c>
      <c r="O96" s="19">
        <v>1.0</v>
      </c>
      <c r="P96" s="19">
        <v>0.0</v>
      </c>
      <c r="Q96" s="19">
        <v>0.0</v>
      </c>
      <c r="R96" s="19">
        <v>0.0</v>
      </c>
      <c r="S96" s="19">
        <v>0.0</v>
      </c>
      <c r="T96" s="19">
        <v>0.0</v>
      </c>
      <c r="U96" s="19">
        <v>0.0</v>
      </c>
      <c r="V96" s="19">
        <v>0.0</v>
      </c>
      <c r="W96" s="19">
        <v>0.0</v>
      </c>
      <c r="X96" s="19">
        <v>0.0</v>
      </c>
      <c r="Y96" s="19">
        <v>0.0</v>
      </c>
      <c r="Z96" s="19">
        <v>0.0</v>
      </c>
      <c r="AA96" s="19">
        <v>0.0</v>
      </c>
      <c r="AB96" s="19">
        <v>0.0</v>
      </c>
      <c r="AC96" s="19">
        <v>0.0</v>
      </c>
      <c r="AD96" s="19">
        <v>1.0</v>
      </c>
      <c r="AE96" s="19">
        <v>0.0</v>
      </c>
      <c r="AF96" s="19">
        <v>0.0</v>
      </c>
      <c r="AG96" s="19">
        <v>0.0</v>
      </c>
      <c r="AH96" s="19">
        <v>0.0</v>
      </c>
      <c r="AI96" s="19">
        <v>0.0</v>
      </c>
      <c r="AJ96" s="19">
        <v>0.0</v>
      </c>
      <c r="AK96" s="19">
        <v>1.0</v>
      </c>
      <c r="AL96" s="19">
        <v>0.0</v>
      </c>
      <c r="AM96" s="13">
        <f t="shared" si="22"/>
        <v>4</v>
      </c>
    </row>
    <row r="97" ht="12.75" customHeight="1">
      <c r="A97" s="18"/>
      <c r="B97" s="55">
        <v>4.0</v>
      </c>
      <c r="C97" s="50" t="s">
        <v>77</v>
      </c>
      <c r="D97" s="60"/>
      <c r="E97" s="19">
        <v>0.0</v>
      </c>
      <c r="F97" s="19">
        <v>2.0</v>
      </c>
      <c r="G97" s="19">
        <v>0.0</v>
      </c>
      <c r="H97" s="19">
        <v>0.0</v>
      </c>
      <c r="I97" s="19">
        <v>0.0</v>
      </c>
      <c r="J97" s="19">
        <v>0.0</v>
      </c>
      <c r="K97" s="19">
        <v>1.0</v>
      </c>
      <c r="L97" s="19">
        <v>0.0</v>
      </c>
      <c r="M97" s="19">
        <v>0.0</v>
      </c>
      <c r="N97" s="19">
        <v>0.0</v>
      </c>
      <c r="O97" s="19">
        <v>4.0</v>
      </c>
      <c r="P97" s="19">
        <v>0.0</v>
      </c>
      <c r="Q97" s="19">
        <v>0.0</v>
      </c>
      <c r="R97" s="19">
        <v>1.0</v>
      </c>
      <c r="S97" s="19">
        <v>1.0</v>
      </c>
      <c r="T97" s="19">
        <v>0.0</v>
      </c>
      <c r="U97" s="19">
        <v>0.0</v>
      </c>
      <c r="V97" s="19">
        <v>1.0</v>
      </c>
      <c r="W97" s="19">
        <v>2.0</v>
      </c>
      <c r="X97" s="19">
        <v>0.0</v>
      </c>
      <c r="Y97" s="19">
        <v>0.0</v>
      </c>
      <c r="Z97" s="19">
        <v>1.0</v>
      </c>
      <c r="AA97" s="19">
        <v>1.0</v>
      </c>
      <c r="AB97" s="19">
        <v>0.0</v>
      </c>
      <c r="AC97" s="19">
        <v>0.0</v>
      </c>
      <c r="AD97" s="19">
        <v>1.0</v>
      </c>
      <c r="AE97" s="19">
        <v>0.0</v>
      </c>
      <c r="AF97" s="19">
        <v>0.0</v>
      </c>
      <c r="AG97" s="19">
        <v>0.0</v>
      </c>
      <c r="AH97" s="19">
        <v>0.0</v>
      </c>
      <c r="AI97" s="19">
        <v>0.0</v>
      </c>
      <c r="AJ97" s="19">
        <v>0.0</v>
      </c>
      <c r="AK97" s="19">
        <v>0.0</v>
      </c>
      <c r="AL97" s="19">
        <v>0.0</v>
      </c>
      <c r="AM97" s="13">
        <f t="shared" si="22"/>
        <v>15</v>
      </c>
    </row>
    <row r="98" ht="12.75" customHeight="1">
      <c r="A98" s="18"/>
      <c r="B98" s="55">
        <v>5.0</v>
      </c>
      <c r="C98" s="50" t="s">
        <v>78</v>
      </c>
      <c r="D98" s="60"/>
      <c r="E98" s="19">
        <v>0.0</v>
      </c>
      <c r="F98" s="19">
        <v>1.0</v>
      </c>
      <c r="G98" s="19">
        <v>0.0</v>
      </c>
      <c r="H98" s="19">
        <v>0.0</v>
      </c>
      <c r="I98" s="19">
        <v>0.0</v>
      </c>
      <c r="J98" s="19">
        <v>0.0</v>
      </c>
      <c r="K98" s="19">
        <v>1.0</v>
      </c>
      <c r="L98" s="19">
        <v>0.0</v>
      </c>
      <c r="M98" s="19">
        <v>1.0</v>
      </c>
      <c r="N98" s="19">
        <v>0.0</v>
      </c>
      <c r="O98" s="19">
        <v>0.0</v>
      </c>
      <c r="P98" s="19">
        <v>0.0</v>
      </c>
      <c r="Q98" s="19">
        <v>0.0</v>
      </c>
      <c r="R98" s="19">
        <v>0.0</v>
      </c>
      <c r="S98" s="19">
        <v>0.0</v>
      </c>
      <c r="T98" s="19">
        <v>0.0</v>
      </c>
      <c r="U98" s="19">
        <v>1.0</v>
      </c>
      <c r="V98" s="19">
        <v>0.0</v>
      </c>
      <c r="W98" s="19">
        <v>0.0</v>
      </c>
      <c r="X98" s="19">
        <v>0.0</v>
      </c>
      <c r="Y98" s="19">
        <v>1.0</v>
      </c>
      <c r="Z98" s="19">
        <v>1.0</v>
      </c>
      <c r="AA98" s="19">
        <v>0.0</v>
      </c>
      <c r="AB98" s="19">
        <v>0.0</v>
      </c>
      <c r="AC98" s="19">
        <v>0.0</v>
      </c>
      <c r="AD98" s="19">
        <v>0.0</v>
      </c>
      <c r="AE98" s="19">
        <v>0.0</v>
      </c>
      <c r="AF98" s="19">
        <v>0.0</v>
      </c>
      <c r="AG98" s="19">
        <v>0.0</v>
      </c>
      <c r="AH98" s="19">
        <v>0.0</v>
      </c>
      <c r="AI98" s="19">
        <v>0.0</v>
      </c>
      <c r="AJ98" s="19">
        <v>0.0</v>
      </c>
      <c r="AK98" s="19">
        <v>0.0</v>
      </c>
      <c r="AL98" s="19">
        <v>0.0</v>
      </c>
      <c r="AM98" s="13">
        <f t="shared" si="22"/>
        <v>6</v>
      </c>
    </row>
    <row r="99" ht="12.75" customHeight="1">
      <c r="A99" s="18"/>
      <c r="B99" s="55">
        <v>6.0</v>
      </c>
      <c r="C99" s="50" t="s">
        <v>79</v>
      </c>
      <c r="D99" s="60"/>
      <c r="E99" s="19">
        <v>0.0</v>
      </c>
      <c r="F99" s="19">
        <v>0.0</v>
      </c>
      <c r="G99" s="19">
        <v>1.0</v>
      </c>
      <c r="H99" s="19">
        <v>0.0</v>
      </c>
      <c r="I99" s="19">
        <v>0.0</v>
      </c>
      <c r="J99" s="19">
        <v>0.0</v>
      </c>
      <c r="K99" s="19">
        <v>0.0</v>
      </c>
      <c r="L99" s="19">
        <v>0.0</v>
      </c>
      <c r="M99" s="19">
        <v>0.0</v>
      </c>
      <c r="N99" s="19">
        <v>0.0</v>
      </c>
      <c r="O99" s="19">
        <v>0.0</v>
      </c>
      <c r="P99" s="19">
        <v>0.0</v>
      </c>
      <c r="Q99" s="19">
        <v>0.0</v>
      </c>
      <c r="R99" s="19">
        <v>0.0</v>
      </c>
      <c r="S99" s="19">
        <v>1.0</v>
      </c>
      <c r="T99" s="19">
        <v>1.0</v>
      </c>
      <c r="U99" s="19">
        <v>3.0</v>
      </c>
      <c r="V99" s="19">
        <v>0.0</v>
      </c>
      <c r="W99" s="19">
        <v>0.0</v>
      </c>
      <c r="X99" s="19">
        <v>0.0</v>
      </c>
      <c r="Y99" s="19">
        <v>0.0</v>
      </c>
      <c r="Z99" s="19">
        <v>0.0</v>
      </c>
      <c r="AA99" s="19">
        <v>0.0</v>
      </c>
      <c r="AB99" s="19">
        <v>0.0</v>
      </c>
      <c r="AC99" s="19">
        <v>0.0</v>
      </c>
      <c r="AD99" s="19">
        <v>0.0</v>
      </c>
      <c r="AE99" s="19">
        <v>0.0</v>
      </c>
      <c r="AF99" s="19">
        <v>0.0</v>
      </c>
      <c r="AG99" s="19">
        <v>1.0</v>
      </c>
      <c r="AH99" s="19">
        <v>0.0</v>
      </c>
      <c r="AI99" s="19">
        <v>0.0</v>
      </c>
      <c r="AJ99" s="19">
        <v>0.0</v>
      </c>
      <c r="AK99" s="19">
        <v>7.0</v>
      </c>
      <c r="AL99" s="19">
        <v>0.0</v>
      </c>
      <c r="AM99" s="13">
        <f t="shared" si="22"/>
        <v>14</v>
      </c>
    </row>
    <row r="100" ht="12.75" customHeight="1">
      <c r="A100" s="18"/>
      <c r="B100" s="55">
        <v>7.0</v>
      </c>
      <c r="C100" s="50" t="s">
        <v>80</v>
      </c>
      <c r="D100" s="60"/>
      <c r="E100" s="19">
        <v>0.0</v>
      </c>
      <c r="F100" s="19">
        <v>0.0</v>
      </c>
      <c r="G100" s="19">
        <v>0.0</v>
      </c>
      <c r="H100" s="19">
        <v>0.0</v>
      </c>
      <c r="I100" s="19">
        <v>0.0</v>
      </c>
      <c r="J100" s="19">
        <v>0.0</v>
      </c>
      <c r="K100" s="19">
        <v>0.0</v>
      </c>
      <c r="L100" s="19">
        <v>0.0</v>
      </c>
      <c r="M100" s="19">
        <v>0.0</v>
      </c>
      <c r="N100" s="19">
        <v>0.0</v>
      </c>
      <c r="O100" s="19">
        <v>0.0</v>
      </c>
      <c r="P100" s="19">
        <v>0.0</v>
      </c>
      <c r="Q100" s="19">
        <v>0.0</v>
      </c>
      <c r="R100" s="19">
        <v>0.0</v>
      </c>
      <c r="S100" s="19">
        <v>1.0</v>
      </c>
      <c r="T100" s="19">
        <v>0.0</v>
      </c>
      <c r="U100" s="19">
        <v>0.0</v>
      </c>
      <c r="V100" s="19">
        <v>1.0</v>
      </c>
      <c r="W100" s="19">
        <v>0.0</v>
      </c>
      <c r="X100" s="19">
        <v>2.0</v>
      </c>
      <c r="Y100" s="19">
        <v>0.0</v>
      </c>
      <c r="Z100" s="19">
        <v>0.0</v>
      </c>
      <c r="AA100" s="19">
        <v>0.0</v>
      </c>
      <c r="AB100" s="19">
        <v>0.0</v>
      </c>
      <c r="AC100" s="19">
        <v>0.0</v>
      </c>
      <c r="AD100" s="19">
        <v>0.0</v>
      </c>
      <c r="AE100" s="19">
        <v>0.0</v>
      </c>
      <c r="AF100" s="19">
        <v>0.0</v>
      </c>
      <c r="AG100" s="19">
        <v>0.0</v>
      </c>
      <c r="AH100" s="19">
        <v>0.0</v>
      </c>
      <c r="AI100" s="19">
        <v>0.0</v>
      </c>
      <c r="AJ100" s="19">
        <v>0.0</v>
      </c>
      <c r="AK100" s="19">
        <v>1.0</v>
      </c>
      <c r="AL100" s="19">
        <v>1.0</v>
      </c>
      <c r="AM100" s="13">
        <f t="shared" si="22"/>
        <v>6</v>
      </c>
    </row>
    <row r="101" ht="12.75" customHeight="1">
      <c r="A101" s="18"/>
      <c r="B101" s="56"/>
      <c r="C101" s="57"/>
      <c r="D101" s="62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9"/>
      <c r="AB101" s="19"/>
      <c r="AC101" s="19"/>
      <c r="AD101" s="19"/>
      <c r="AE101" s="19"/>
      <c r="AF101" s="19"/>
      <c r="AG101" s="19"/>
      <c r="AH101" s="19"/>
      <c r="AI101" s="19"/>
      <c r="AJ101" s="19"/>
      <c r="AK101" s="19"/>
      <c r="AL101" s="19"/>
      <c r="AM101" s="13">
        <f t="shared" si="22"/>
        <v>0</v>
      </c>
    </row>
    <row r="102" ht="12.75" customHeight="1">
      <c r="A102" s="18"/>
      <c r="B102" s="56"/>
      <c r="C102" s="57"/>
      <c r="D102" s="62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9"/>
      <c r="AB102" s="19"/>
      <c r="AC102" s="19"/>
      <c r="AD102" s="19"/>
      <c r="AE102" s="19"/>
      <c r="AF102" s="19"/>
      <c r="AG102" s="19"/>
      <c r="AH102" s="19"/>
      <c r="AI102" s="19"/>
      <c r="AJ102" s="19"/>
      <c r="AK102" s="19"/>
      <c r="AL102" s="19"/>
      <c r="AM102" s="13">
        <f t="shared" si="22"/>
        <v>0</v>
      </c>
    </row>
    <row r="103" ht="12.75" customHeight="1">
      <c r="A103" s="19" t="s">
        <v>15</v>
      </c>
      <c r="B103" s="47" t="s">
        <v>47</v>
      </c>
      <c r="C103" s="15"/>
      <c r="D103" s="16"/>
      <c r="E103" s="13">
        <f t="shared" ref="E103:AM103" si="23">SUM(E93:E102)</f>
        <v>1</v>
      </c>
      <c r="F103" s="13">
        <f t="shared" si="23"/>
        <v>9</v>
      </c>
      <c r="G103" s="13">
        <f t="shared" si="23"/>
        <v>4</v>
      </c>
      <c r="H103" s="13">
        <f t="shared" si="23"/>
        <v>2</v>
      </c>
      <c r="I103" s="13">
        <f t="shared" si="23"/>
        <v>0</v>
      </c>
      <c r="J103" s="13">
        <f t="shared" si="23"/>
        <v>3</v>
      </c>
      <c r="K103" s="13">
        <f t="shared" si="23"/>
        <v>3</v>
      </c>
      <c r="L103" s="13">
        <f t="shared" si="23"/>
        <v>6</v>
      </c>
      <c r="M103" s="13">
        <f t="shared" si="23"/>
        <v>8</v>
      </c>
      <c r="N103" s="13">
        <f t="shared" si="23"/>
        <v>1</v>
      </c>
      <c r="O103" s="13">
        <f t="shared" si="23"/>
        <v>11</v>
      </c>
      <c r="P103" s="13">
        <f t="shared" si="23"/>
        <v>3</v>
      </c>
      <c r="Q103" s="13">
        <f t="shared" si="23"/>
        <v>2</v>
      </c>
      <c r="R103" s="13">
        <f t="shared" si="23"/>
        <v>1</v>
      </c>
      <c r="S103" s="13">
        <f t="shared" si="23"/>
        <v>4</v>
      </c>
      <c r="T103" s="13">
        <f t="shared" si="23"/>
        <v>4</v>
      </c>
      <c r="U103" s="13">
        <f t="shared" si="23"/>
        <v>7</v>
      </c>
      <c r="V103" s="13">
        <f t="shared" si="23"/>
        <v>6</v>
      </c>
      <c r="W103" s="13">
        <f t="shared" si="23"/>
        <v>6</v>
      </c>
      <c r="X103" s="13">
        <f t="shared" si="23"/>
        <v>3</v>
      </c>
      <c r="Y103" s="13">
        <f t="shared" si="23"/>
        <v>1</v>
      </c>
      <c r="Z103" s="13">
        <f t="shared" si="23"/>
        <v>2</v>
      </c>
      <c r="AA103" s="13">
        <f t="shared" si="23"/>
        <v>5</v>
      </c>
      <c r="AB103" s="13">
        <f t="shared" si="23"/>
        <v>0</v>
      </c>
      <c r="AC103" s="13">
        <f t="shared" si="23"/>
        <v>1</v>
      </c>
      <c r="AD103" s="13">
        <f t="shared" si="23"/>
        <v>4</v>
      </c>
      <c r="AE103" s="13">
        <f t="shared" si="23"/>
        <v>0</v>
      </c>
      <c r="AF103" s="13">
        <f t="shared" si="23"/>
        <v>2</v>
      </c>
      <c r="AG103" s="13">
        <f t="shared" si="23"/>
        <v>2</v>
      </c>
      <c r="AH103" s="13">
        <f t="shared" si="23"/>
        <v>0</v>
      </c>
      <c r="AI103" s="13">
        <f t="shared" si="23"/>
        <v>0</v>
      </c>
      <c r="AJ103" s="13">
        <f t="shared" si="23"/>
        <v>0</v>
      </c>
      <c r="AK103" s="13">
        <f t="shared" si="23"/>
        <v>13</v>
      </c>
      <c r="AL103" s="13">
        <f t="shared" si="23"/>
        <v>1</v>
      </c>
      <c r="AM103" s="13">
        <f t="shared" si="23"/>
        <v>115</v>
      </c>
    </row>
    <row r="104" ht="12.75" customHeight="1">
      <c r="A104" s="45"/>
      <c r="B104" s="44"/>
      <c r="C104" s="44"/>
      <c r="D104" s="44"/>
      <c r="E104" s="44"/>
      <c r="F104" s="84"/>
      <c r="G104" s="84"/>
      <c r="H104" s="84"/>
      <c r="I104" s="84"/>
      <c r="J104" s="84"/>
      <c r="K104" s="84"/>
      <c r="L104" s="84"/>
      <c r="M104" s="84"/>
      <c r="N104" s="84"/>
      <c r="O104" s="84"/>
      <c r="P104" s="84"/>
      <c r="Q104" s="84"/>
      <c r="R104" s="84"/>
      <c r="S104" s="84"/>
      <c r="T104" s="84"/>
      <c r="U104" s="84"/>
      <c r="V104" s="84"/>
      <c r="W104" s="84"/>
      <c r="X104" s="84"/>
      <c r="Y104" s="84"/>
      <c r="Z104" s="84"/>
      <c r="AA104" s="84"/>
      <c r="AB104" s="84"/>
      <c r="AC104" s="84"/>
      <c r="AD104" s="84"/>
      <c r="AE104" s="84"/>
      <c r="AF104" s="84"/>
      <c r="AG104" s="84"/>
      <c r="AH104" s="84"/>
      <c r="AI104" s="84"/>
      <c r="AJ104" s="84"/>
      <c r="AK104" s="84"/>
      <c r="AL104" s="84"/>
      <c r="AM104" s="84"/>
    </row>
    <row r="105" ht="12.75" customHeight="1">
      <c r="A105" s="30" t="s">
        <v>37</v>
      </c>
      <c r="B105" s="47" t="s">
        <v>81</v>
      </c>
      <c r="C105" s="48" t="s">
        <v>82</v>
      </c>
      <c r="D105" s="16"/>
      <c r="E105" s="19">
        <v>0.0</v>
      </c>
      <c r="F105" s="19">
        <v>1.0</v>
      </c>
      <c r="G105" s="19">
        <v>1.0</v>
      </c>
      <c r="H105" s="19">
        <v>0.0</v>
      </c>
      <c r="I105" s="19">
        <v>1.0</v>
      </c>
      <c r="J105" s="19">
        <v>0.0</v>
      </c>
      <c r="K105" s="19">
        <v>0.0</v>
      </c>
      <c r="L105" s="19">
        <v>0.0</v>
      </c>
      <c r="M105" s="19">
        <v>0.0</v>
      </c>
      <c r="N105" s="19">
        <v>0.0</v>
      </c>
      <c r="O105" s="19">
        <v>0.0</v>
      </c>
      <c r="P105" s="19">
        <v>0.0</v>
      </c>
      <c r="Q105" s="19">
        <v>0.0</v>
      </c>
      <c r="R105" s="19">
        <v>1.0</v>
      </c>
      <c r="S105" s="19">
        <v>0.0</v>
      </c>
      <c r="T105" s="19">
        <v>0.0</v>
      </c>
      <c r="U105" s="19">
        <v>0.0</v>
      </c>
      <c r="V105" s="19">
        <v>0.0</v>
      </c>
      <c r="W105" s="19">
        <v>0.0</v>
      </c>
      <c r="X105" s="19">
        <v>0.0</v>
      </c>
      <c r="Y105" s="19">
        <v>0.0</v>
      </c>
      <c r="Z105" s="19">
        <v>0.0</v>
      </c>
      <c r="AA105" s="19">
        <v>0.0</v>
      </c>
      <c r="AB105" s="19">
        <v>0.0</v>
      </c>
      <c r="AC105" s="19">
        <v>0.0</v>
      </c>
      <c r="AD105" s="19">
        <v>0.0</v>
      </c>
      <c r="AE105" s="19">
        <v>2.0</v>
      </c>
      <c r="AF105" s="19">
        <v>0.0</v>
      </c>
      <c r="AG105" s="19">
        <v>4.0</v>
      </c>
      <c r="AH105" s="19">
        <v>1.0</v>
      </c>
      <c r="AI105" s="19">
        <v>4.0</v>
      </c>
      <c r="AJ105" s="19">
        <v>0.0</v>
      </c>
      <c r="AK105" s="19">
        <v>1.0</v>
      </c>
      <c r="AL105" s="19">
        <v>2.0</v>
      </c>
      <c r="AM105" s="13">
        <f t="shared" ref="AM105:AM114" si="24">SUM(E105:AL105)</f>
        <v>18</v>
      </c>
    </row>
    <row r="106" ht="12.75" customHeight="1">
      <c r="A106" s="30" t="s">
        <v>39</v>
      </c>
      <c r="B106" s="55">
        <v>1.0</v>
      </c>
      <c r="C106" s="50" t="s">
        <v>83</v>
      </c>
      <c r="D106" s="60"/>
      <c r="E106" s="19">
        <v>0.0</v>
      </c>
      <c r="F106" s="19">
        <v>0.0</v>
      </c>
      <c r="G106" s="19">
        <v>0.0</v>
      </c>
      <c r="H106" s="19">
        <v>0.0</v>
      </c>
      <c r="I106" s="19">
        <v>0.0</v>
      </c>
      <c r="J106" s="19">
        <v>0.0</v>
      </c>
      <c r="K106" s="19">
        <v>0.0</v>
      </c>
      <c r="L106" s="19">
        <v>0.0</v>
      </c>
      <c r="M106" s="19">
        <v>0.0</v>
      </c>
      <c r="N106" s="19">
        <v>0.0</v>
      </c>
      <c r="O106" s="19">
        <v>0.0</v>
      </c>
      <c r="P106" s="19">
        <v>0.0</v>
      </c>
      <c r="Q106" s="19">
        <v>0.0</v>
      </c>
      <c r="R106" s="19">
        <v>0.0</v>
      </c>
      <c r="S106" s="19">
        <v>0.0</v>
      </c>
      <c r="T106" s="19">
        <v>0.0</v>
      </c>
      <c r="U106" s="19">
        <v>0.0</v>
      </c>
      <c r="V106" s="19">
        <v>0.0</v>
      </c>
      <c r="W106" s="19">
        <v>0.0</v>
      </c>
      <c r="X106" s="19">
        <v>0.0</v>
      </c>
      <c r="Y106" s="19">
        <v>0.0</v>
      </c>
      <c r="Z106" s="19">
        <v>0.0</v>
      </c>
      <c r="AA106" s="19">
        <v>0.0</v>
      </c>
      <c r="AB106" s="19">
        <v>0.0</v>
      </c>
      <c r="AC106" s="19">
        <v>0.0</v>
      </c>
      <c r="AD106" s="19">
        <v>0.0</v>
      </c>
      <c r="AE106" s="19">
        <v>0.0</v>
      </c>
      <c r="AF106" s="19">
        <v>0.0</v>
      </c>
      <c r="AG106" s="19">
        <v>0.0</v>
      </c>
      <c r="AH106" s="19">
        <v>0.0</v>
      </c>
      <c r="AI106" s="19">
        <v>0.0</v>
      </c>
      <c r="AJ106" s="19">
        <v>1.0</v>
      </c>
      <c r="AK106" s="19">
        <v>0.0</v>
      </c>
      <c r="AL106" s="19">
        <v>0.0</v>
      </c>
      <c r="AM106" s="13">
        <f t="shared" si="24"/>
        <v>1</v>
      </c>
    </row>
    <row r="107" ht="12.75" customHeight="1">
      <c r="A107" s="18"/>
      <c r="B107" s="55">
        <v>2.0</v>
      </c>
      <c r="C107" s="50" t="s">
        <v>84</v>
      </c>
      <c r="D107" s="60"/>
      <c r="E107" s="19">
        <v>0.0</v>
      </c>
      <c r="F107" s="19">
        <v>1.0</v>
      </c>
      <c r="G107" s="19">
        <v>0.0</v>
      </c>
      <c r="H107" s="19">
        <v>0.0</v>
      </c>
      <c r="I107" s="19">
        <v>1.0</v>
      </c>
      <c r="J107" s="19">
        <v>1.0</v>
      </c>
      <c r="K107" s="19">
        <v>0.0</v>
      </c>
      <c r="L107" s="19">
        <v>0.0</v>
      </c>
      <c r="M107" s="19">
        <v>0.0</v>
      </c>
      <c r="N107" s="19">
        <v>0.0</v>
      </c>
      <c r="O107" s="19">
        <v>0.0</v>
      </c>
      <c r="P107" s="19">
        <v>0.0</v>
      </c>
      <c r="Q107" s="19">
        <v>0.0</v>
      </c>
      <c r="R107" s="19">
        <v>0.0</v>
      </c>
      <c r="S107" s="19">
        <v>0.0</v>
      </c>
      <c r="T107" s="19">
        <v>0.0</v>
      </c>
      <c r="U107" s="19">
        <v>0.0</v>
      </c>
      <c r="V107" s="19">
        <v>0.0</v>
      </c>
      <c r="W107" s="19">
        <v>0.0</v>
      </c>
      <c r="X107" s="19">
        <v>0.0</v>
      </c>
      <c r="Y107" s="19">
        <v>1.0</v>
      </c>
      <c r="Z107" s="19">
        <v>0.0</v>
      </c>
      <c r="AA107" s="19">
        <v>0.0</v>
      </c>
      <c r="AB107" s="19">
        <v>0.0</v>
      </c>
      <c r="AC107" s="19">
        <v>0.0</v>
      </c>
      <c r="AD107" s="19">
        <v>0.0</v>
      </c>
      <c r="AE107" s="19">
        <v>0.0</v>
      </c>
      <c r="AF107" s="19">
        <v>0.0</v>
      </c>
      <c r="AG107" s="19">
        <v>3.0</v>
      </c>
      <c r="AH107" s="19">
        <v>0.0</v>
      </c>
      <c r="AI107" s="19">
        <v>0.0</v>
      </c>
      <c r="AJ107" s="19">
        <v>0.0</v>
      </c>
      <c r="AK107" s="19">
        <v>0.0</v>
      </c>
      <c r="AL107" s="19">
        <v>1.0</v>
      </c>
      <c r="AM107" s="13">
        <f t="shared" si="24"/>
        <v>8</v>
      </c>
    </row>
    <row r="108" ht="12.75" customHeight="1">
      <c r="A108" s="18"/>
      <c r="B108" s="55">
        <v>3.0</v>
      </c>
      <c r="C108" s="50" t="s">
        <v>85</v>
      </c>
      <c r="D108" s="60"/>
      <c r="E108" s="85">
        <v>0.0</v>
      </c>
      <c r="F108" s="19">
        <v>0.0</v>
      </c>
      <c r="G108" s="19">
        <v>0.0</v>
      </c>
      <c r="H108" s="19">
        <v>0.0</v>
      </c>
      <c r="I108" s="19">
        <v>0.0</v>
      </c>
      <c r="J108" s="19">
        <v>0.0</v>
      </c>
      <c r="K108" s="19">
        <v>0.0</v>
      </c>
      <c r="L108" s="19">
        <v>1.0</v>
      </c>
      <c r="M108" s="19">
        <v>0.0</v>
      </c>
      <c r="N108" s="19">
        <v>0.0</v>
      </c>
      <c r="O108" s="19">
        <v>0.0</v>
      </c>
      <c r="P108" s="19">
        <v>0.0</v>
      </c>
      <c r="Q108" s="19">
        <v>0.0</v>
      </c>
      <c r="R108" s="19">
        <v>0.0</v>
      </c>
      <c r="S108" s="19">
        <v>0.0</v>
      </c>
      <c r="T108" s="19">
        <v>0.0</v>
      </c>
      <c r="U108" s="19">
        <v>0.0</v>
      </c>
      <c r="V108" s="19">
        <v>0.0</v>
      </c>
      <c r="W108" s="19">
        <v>0.0</v>
      </c>
      <c r="X108" s="19">
        <v>0.0</v>
      </c>
      <c r="Y108" s="19">
        <v>0.0</v>
      </c>
      <c r="Z108" s="19">
        <v>0.0</v>
      </c>
      <c r="AA108" s="19">
        <v>0.0</v>
      </c>
      <c r="AB108" s="19">
        <v>0.0</v>
      </c>
      <c r="AC108" s="19">
        <v>0.0</v>
      </c>
      <c r="AD108" s="19">
        <v>0.0</v>
      </c>
      <c r="AE108" s="19">
        <v>0.0</v>
      </c>
      <c r="AF108" s="19">
        <v>0.0</v>
      </c>
      <c r="AG108" s="19">
        <v>0.0</v>
      </c>
      <c r="AH108" s="19">
        <v>0.0</v>
      </c>
      <c r="AI108" s="19">
        <v>0.0</v>
      </c>
      <c r="AJ108" s="19">
        <v>0.0</v>
      </c>
      <c r="AK108" s="19">
        <v>0.0</v>
      </c>
      <c r="AL108" s="19">
        <v>0.0</v>
      </c>
      <c r="AM108" s="13">
        <f t="shared" si="24"/>
        <v>1</v>
      </c>
    </row>
    <row r="109" ht="12.75" customHeight="1">
      <c r="A109" s="18"/>
      <c r="B109" s="55">
        <v>4.0</v>
      </c>
      <c r="C109" s="50" t="s">
        <v>86</v>
      </c>
      <c r="D109" s="60"/>
      <c r="E109" s="85">
        <v>0.0</v>
      </c>
      <c r="F109" s="19">
        <v>0.0</v>
      </c>
      <c r="G109" s="19">
        <v>0.0</v>
      </c>
      <c r="H109" s="19">
        <v>0.0</v>
      </c>
      <c r="I109" s="19">
        <v>0.0</v>
      </c>
      <c r="J109" s="19">
        <v>1.0</v>
      </c>
      <c r="K109" s="19">
        <v>0.0</v>
      </c>
      <c r="L109" s="19">
        <v>0.0</v>
      </c>
      <c r="M109" s="19">
        <v>1.0</v>
      </c>
      <c r="N109" s="19">
        <v>1.0</v>
      </c>
      <c r="O109" s="19">
        <v>0.0</v>
      </c>
      <c r="P109" s="19">
        <v>0.0</v>
      </c>
      <c r="Q109" s="19">
        <v>0.0</v>
      </c>
      <c r="R109" s="19">
        <v>0.0</v>
      </c>
      <c r="S109" s="19">
        <v>0.0</v>
      </c>
      <c r="T109" s="19">
        <v>0.0</v>
      </c>
      <c r="U109" s="19">
        <v>0.0</v>
      </c>
      <c r="V109" s="19">
        <v>0.0</v>
      </c>
      <c r="W109" s="19">
        <v>0.0</v>
      </c>
      <c r="X109" s="19">
        <v>0.0</v>
      </c>
      <c r="Y109" s="19">
        <v>0.0</v>
      </c>
      <c r="Z109" s="19">
        <v>0.0</v>
      </c>
      <c r="AA109" s="19">
        <v>0.0</v>
      </c>
      <c r="AB109" s="19">
        <v>0.0</v>
      </c>
      <c r="AC109" s="19">
        <v>0.0</v>
      </c>
      <c r="AD109" s="19">
        <v>0.0</v>
      </c>
      <c r="AE109" s="19">
        <v>0.0</v>
      </c>
      <c r="AF109" s="19">
        <v>0.0</v>
      </c>
      <c r="AG109" s="19">
        <v>0.0</v>
      </c>
      <c r="AH109" s="19">
        <v>0.0</v>
      </c>
      <c r="AI109" s="19">
        <v>0.0</v>
      </c>
      <c r="AJ109" s="19">
        <v>0.0</v>
      </c>
      <c r="AK109" s="19">
        <v>0.0</v>
      </c>
      <c r="AL109" s="19">
        <v>1.0</v>
      </c>
      <c r="AM109" s="13">
        <f t="shared" si="24"/>
        <v>4</v>
      </c>
    </row>
    <row r="110" ht="12.75" customHeight="1">
      <c r="A110" s="18"/>
      <c r="B110" s="55">
        <v>5.0</v>
      </c>
      <c r="C110" s="50" t="s">
        <v>87</v>
      </c>
      <c r="D110" s="60"/>
      <c r="E110" s="85">
        <v>0.0</v>
      </c>
      <c r="F110" s="19">
        <v>0.0</v>
      </c>
      <c r="G110" s="19">
        <v>0.0</v>
      </c>
      <c r="H110" s="19">
        <v>0.0</v>
      </c>
      <c r="I110" s="19">
        <v>0.0</v>
      </c>
      <c r="J110" s="19">
        <v>0.0</v>
      </c>
      <c r="K110" s="19">
        <v>0.0</v>
      </c>
      <c r="L110" s="19">
        <v>0.0</v>
      </c>
      <c r="M110" s="19">
        <v>0.0</v>
      </c>
      <c r="N110" s="19">
        <v>0.0</v>
      </c>
      <c r="O110" s="19">
        <v>0.0</v>
      </c>
      <c r="P110" s="19">
        <v>0.0</v>
      </c>
      <c r="Q110" s="19">
        <v>0.0</v>
      </c>
      <c r="R110" s="19">
        <v>0.0</v>
      </c>
      <c r="S110" s="19">
        <v>0.0</v>
      </c>
      <c r="T110" s="19">
        <v>0.0</v>
      </c>
      <c r="U110" s="19">
        <v>0.0</v>
      </c>
      <c r="V110" s="19">
        <v>1.0</v>
      </c>
      <c r="W110" s="19">
        <v>0.0</v>
      </c>
      <c r="X110" s="19">
        <v>0.0</v>
      </c>
      <c r="Y110" s="19">
        <v>0.0</v>
      </c>
      <c r="Z110" s="19">
        <v>0.0</v>
      </c>
      <c r="AA110" s="19">
        <v>0.0</v>
      </c>
      <c r="AB110" s="19">
        <v>0.0</v>
      </c>
      <c r="AC110" s="19">
        <v>0.0</v>
      </c>
      <c r="AD110" s="19">
        <v>0.0</v>
      </c>
      <c r="AE110" s="19">
        <v>1.0</v>
      </c>
      <c r="AF110" s="19">
        <v>0.0</v>
      </c>
      <c r="AG110" s="19">
        <v>0.0</v>
      </c>
      <c r="AH110" s="19">
        <v>0.0</v>
      </c>
      <c r="AI110" s="19">
        <v>0.0</v>
      </c>
      <c r="AJ110" s="19">
        <v>0.0</v>
      </c>
      <c r="AK110" s="19">
        <v>0.0</v>
      </c>
      <c r="AL110" s="19">
        <v>0.0</v>
      </c>
      <c r="AM110" s="13">
        <f t="shared" si="24"/>
        <v>2</v>
      </c>
    </row>
    <row r="111" ht="12.75" customHeight="1">
      <c r="A111" s="18"/>
      <c r="B111" s="55">
        <v>6.0</v>
      </c>
      <c r="C111" s="50" t="s">
        <v>88</v>
      </c>
      <c r="D111" s="60"/>
      <c r="E111" s="85">
        <v>0.0</v>
      </c>
      <c r="F111" s="19">
        <v>0.0</v>
      </c>
      <c r="G111" s="19">
        <v>0.0</v>
      </c>
      <c r="H111" s="19">
        <v>0.0</v>
      </c>
      <c r="I111" s="19">
        <v>0.0</v>
      </c>
      <c r="J111" s="19">
        <v>0.0</v>
      </c>
      <c r="K111" s="19">
        <v>0.0</v>
      </c>
      <c r="L111" s="19">
        <v>0.0</v>
      </c>
      <c r="M111" s="19">
        <v>0.0</v>
      </c>
      <c r="N111" s="19">
        <v>1.0</v>
      </c>
      <c r="O111" s="19">
        <v>0.0</v>
      </c>
      <c r="P111" s="19">
        <v>0.0</v>
      </c>
      <c r="Q111" s="19">
        <v>0.0</v>
      </c>
      <c r="R111" s="19">
        <v>0.0</v>
      </c>
      <c r="S111" s="19">
        <v>0.0</v>
      </c>
      <c r="T111" s="19">
        <v>0.0</v>
      </c>
      <c r="U111" s="19">
        <v>0.0</v>
      </c>
      <c r="V111" s="19">
        <v>0.0</v>
      </c>
      <c r="W111" s="19">
        <v>0.0</v>
      </c>
      <c r="X111" s="19">
        <v>0.0</v>
      </c>
      <c r="Y111" s="19">
        <v>0.0</v>
      </c>
      <c r="Z111" s="19">
        <v>0.0</v>
      </c>
      <c r="AA111" s="19">
        <v>0.0</v>
      </c>
      <c r="AB111" s="19">
        <v>0.0</v>
      </c>
      <c r="AC111" s="19">
        <v>0.0</v>
      </c>
      <c r="AD111" s="19">
        <v>0.0</v>
      </c>
      <c r="AE111" s="19">
        <v>1.0</v>
      </c>
      <c r="AF111" s="19">
        <v>0.0</v>
      </c>
      <c r="AG111" s="19">
        <v>0.0</v>
      </c>
      <c r="AH111" s="19">
        <v>0.0</v>
      </c>
      <c r="AI111" s="19">
        <v>0.0</v>
      </c>
      <c r="AJ111" s="19">
        <v>0.0</v>
      </c>
      <c r="AK111" s="19">
        <v>0.0</v>
      </c>
      <c r="AL111" s="19">
        <v>0.0</v>
      </c>
      <c r="AM111" s="13">
        <f t="shared" si="24"/>
        <v>2</v>
      </c>
    </row>
    <row r="112" ht="12.75" customHeight="1">
      <c r="A112" s="18"/>
      <c r="B112" s="55">
        <v>7.0</v>
      </c>
      <c r="C112" s="50" t="s">
        <v>89</v>
      </c>
      <c r="D112" s="60"/>
      <c r="E112" s="85">
        <v>0.0</v>
      </c>
      <c r="F112" s="19">
        <v>0.0</v>
      </c>
      <c r="G112" s="19">
        <v>0.0</v>
      </c>
      <c r="H112" s="19">
        <v>0.0</v>
      </c>
      <c r="I112" s="19">
        <v>0.0</v>
      </c>
      <c r="J112" s="19">
        <v>0.0</v>
      </c>
      <c r="K112" s="19">
        <v>0.0</v>
      </c>
      <c r="L112" s="19">
        <v>0.0</v>
      </c>
      <c r="M112" s="19">
        <v>0.0</v>
      </c>
      <c r="N112" s="19">
        <v>0.0</v>
      </c>
      <c r="O112" s="19">
        <v>0.0</v>
      </c>
      <c r="P112" s="19">
        <v>0.0</v>
      </c>
      <c r="Q112" s="19">
        <v>0.0</v>
      </c>
      <c r="R112" s="19">
        <v>0.0</v>
      </c>
      <c r="S112" s="19">
        <v>0.0</v>
      </c>
      <c r="T112" s="19">
        <v>0.0</v>
      </c>
      <c r="U112" s="19">
        <v>0.0</v>
      </c>
      <c r="V112" s="19">
        <v>0.0</v>
      </c>
      <c r="W112" s="19">
        <v>0.0</v>
      </c>
      <c r="X112" s="19">
        <v>0.0</v>
      </c>
      <c r="Y112" s="19">
        <v>0.0</v>
      </c>
      <c r="Z112" s="19">
        <v>0.0</v>
      </c>
      <c r="AA112" s="19">
        <v>0.0</v>
      </c>
      <c r="AB112" s="19">
        <v>0.0</v>
      </c>
      <c r="AC112" s="19">
        <v>0.0</v>
      </c>
      <c r="AD112" s="19">
        <v>0.0</v>
      </c>
      <c r="AE112" s="19">
        <v>0.0</v>
      </c>
      <c r="AF112" s="19">
        <v>0.0</v>
      </c>
      <c r="AG112" s="19">
        <v>0.0</v>
      </c>
      <c r="AH112" s="19">
        <v>0.0</v>
      </c>
      <c r="AI112" s="19">
        <v>0.0</v>
      </c>
      <c r="AJ112" s="19">
        <v>0.0</v>
      </c>
      <c r="AK112" s="19">
        <v>0.0</v>
      </c>
      <c r="AL112" s="19">
        <v>0.0</v>
      </c>
      <c r="AM112" s="13">
        <f t="shared" si="24"/>
        <v>0</v>
      </c>
    </row>
    <row r="113" ht="12.75" customHeight="1">
      <c r="A113" s="18"/>
      <c r="B113" s="56"/>
      <c r="C113" s="57"/>
      <c r="D113" s="62"/>
      <c r="E113" s="85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19"/>
      <c r="AC113" s="19"/>
      <c r="AD113" s="19"/>
      <c r="AE113" s="19"/>
      <c r="AF113" s="19"/>
      <c r="AG113" s="19"/>
      <c r="AH113" s="19"/>
      <c r="AI113" s="19"/>
      <c r="AJ113" s="19"/>
      <c r="AK113" s="19"/>
      <c r="AL113" s="19"/>
      <c r="AM113" s="13">
        <f t="shared" si="24"/>
        <v>0</v>
      </c>
    </row>
    <row r="114" ht="12.75" customHeight="1">
      <c r="A114" s="18"/>
      <c r="B114" s="56"/>
      <c r="C114" s="57"/>
      <c r="D114" s="62"/>
      <c r="E114" s="85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  <c r="AB114" s="19"/>
      <c r="AC114" s="19"/>
      <c r="AD114" s="19"/>
      <c r="AE114" s="19"/>
      <c r="AF114" s="19"/>
      <c r="AG114" s="19"/>
      <c r="AH114" s="19"/>
      <c r="AI114" s="19"/>
      <c r="AJ114" s="19"/>
      <c r="AK114" s="19"/>
      <c r="AL114" s="19"/>
      <c r="AM114" s="13">
        <f t="shared" si="24"/>
        <v>0</v>
      </c>
    </row>
    <row r="115" ht="12.75" customHeight="1">
      <c r="A115" s="19" t="s">
        <v>15</v>
      </c>
      <c r="B115" s="47" t="s">
        <v>47</v>
      </c>
      <c r="C115" s="15"/>
      <c r="D115" s="16"/>
      <c r="E115" s="13">
        <f t="shared" ref="E115:AM115" si="25">SUM(E105:E114)</f>
        <v>0</v>
      </c>
      <c r="F115" s="13">
        <f t="shared" si="25"/>
        <v>2</v>
      </c>
      <c r="G115" s="13">
        <f t="shared" si="25"/>
        <v>1</v>
      </c>
      <c r="H115" s="13">
        <f t="shared" si="25"/>
        <v>0</v>
      </c>
      <c r="I115" s="13">
        <f t="shared" si="25"/>
        <v>2</v>
      </c>
      <c r="J115" s="13">
        <f t="shared" si="25"/>
        <v>2</v>
      </c>
      <c r="K115" s="13">
        <f t="shared" si="25"/>
        <v>0</v>
      </c>
      <c r="L115" s="13">
        <f t="shared" si="25"/>
        <v>1</v>
      </c>
      <c r="M115" s="13">
        <f t="shared" si="25"/>
        <v>1</v>
      </c>
      <c r="N115" s="13">
        <f t="shared" si="25"/>
        <v>2</v>
      </c>
      <c r="O115" s="13">
        <f t="shared" si="25"/>
        <v>0</v>
      </c>
      <c r="P115" s="13">
        <f t="shared" si="25"/>
        <v>0</v>
      </c>
      <c r="Q115" s="13">
        <f t="shared" si="25"/>
        <v>0</v>
      </c>
      <c r="R115" s="13">
        <f t="shared" si="25"/>
        <v>1</v>
      </c>
      <c r="S115" s="13">
        <f t="shared" si="25"/>
        <v>0</v>
      </c>
      <c r="T115" s="13">
        <f t="shared" si="25"/>
        <v>0</v>
      </c>
      <c r="U115" s="13">
        <f t="shared" si="25"/>
        <v>0</v>
      </c>
      <c r="V115" s="13">
        <f t="shared" si="25"/>
        <v>1</v>
      </c>
      <c r="W115" s="13">
        <f t="shared" si="25"/>
        <v>0</v>
      </c>
      <c r="X115" s="13">
        <f t="shared" si="25"/>
        <v>0</v>
      </c>
      <c r="Y115" s="13">
        <f t="shared" si="25"/>
        <v>1</v>
      </c>
      <c r="Z115" s="13">
        <f t="shared" si="25"/>
        <v>0</v>
      </c>
      <c r="AA115" s="13">
        <f t="shared" si="25"/>
        <v>0</v>
      </c>
      <c r="AB115" s="13">
        <f t="shared" si="25"/>
        <v>0</v>
      </c>
      <c r="AC115" s="13">
        <f t="shared" si="25"/>
        <v>0</v>
      </c>
      <c r="AD115" s="13">
        <f t="shared" si="25"/>
        <v>0</v>
      </c>
      <c r="AE115" s="13">
        <f t="shared" si="25"/>
        <v>4</v>
      </c>
      <c r="AF115" s="13">
        <f t="shared" si="25"/>
        <v>0</v>
      </c>
      <c r="AG115" s="13">
        <f t="shared" si="25"/>
        <v>7</v>
      </c>
      <c r="AH115" s="13">
        <f t="shared" si="25"/>
        <v>1</v>
      </c>
      <c r="AI115" s="13">
        <f t="shared" si="25"/>
        <v>4</v>
      </c>
      <c r="AJ115" s="13">
        <f t="shared" si="25"/>
        <v>1</v>
      </c>
      <c r="AK115" s="13">
        <f t="shared" si="25"/>
        <v>1</v>
      </c>
      <c r="AL115" s="13">
        <f t="shared" si="25"/>
        <v>4</v>
      </c>
      <c r="AM115" s="13">
        <f t="shared" si="25"/>
        <v>36</v>
      </c>
    </row>
    <row r="116" ht="12.75" customHeight="1">
      <c r="A116" s="24"/>
      <c r="B116" s="15"/>
      <c r="C116" s="15"/>
      <c r="D116" s="15"/>
      <c r="E116" s="16"/>
      <c r="F116" s="84"/>
      <c r="G116" s="84"/>
      <c r="H116" s="84"/>
      <c r="I116" s="84"/>
      <c r="J116" s="84"/>
      <c r="K116" s="84"/>
      <c r="L116" s="84"/>
      <c r="M116" s="84"/>
      <c r="N116" s="84"/>
      <c r="O116" s="84"/>
      <c r="P116" s="84"/>
      <c r="Q116" s="84"/>
      <c r="R116" s="84"/>
      <c r="S116" s="84"/>
      <c r="T116" s="84"/>
      <c r="U116" s="84"/>
      <c r="V116" s="84"/>
      <c r="W116" s="84"/>
      <c r="X116" s="84"/>
      <c r="Y116" s="84"/>
      <c r="Z116" s="84"/>
      <c r="AA116" s="84"/>
      <c r="AB116" s="84"/>
      <c r="AC116" s="84"/>
      <c r="AD116" s="84"/>
      <c r="AE116" s="84"/>
      <c r="AF116" s="84"/>
      <c r="AG116" s="84"/>
      <c r="AH116" s="84"/>
      <c r="AI116" s="84"/>
      <c r="AJ116" s="84"/>
      <c r="AK116" s="84"/>
      <c r="AL116" s="84"/>
      <c r="AM116" s="13"/>
    </row>
    <row r="117" ht="12.75" customHeight="1">
      <c r="A117" s="30" t="s">
        <v>37</v>
      </c>
      <c r="B117" s="47" t="s">
        <v>90</v>
      </c>
      <c r="C117" s="48" t="s">
        <v>91</v>
      </c>
      <c r="D117" s="16"/>
      <c r="E117" s="19">
        <v>0.0</v>
      </c>
      <c r="F117" s="19">
        <v>0.0</v>
      </c>
      <c r="G117" s="19">
        <v>0.0</v>
      </c>
      <c r="H117" s="19">
        <v>4.0</v>
      </c>
      <c r="I117" s="19">
        <v>0.0</v>
      </c>
      <c r="J117" s="19">
        <v>0.0</v>
      </c>
      <c r="K117" s="19">
        <v>0.0</v>
      </c>
      <c r="L117" s="19">
        <v>0.0</v>
      </c>
      <c r="M117" s="19">
        <v>2.0</v>
      </c>
      <c r="N117" s="19">
        <v>0.0</v>
      </c>
      <c r="O117" s="19">
        <v>2.0</v>
      </c>
      <c r="P117" s="19">
        <v>1.0</v>
      </c>
      <c r="Q117" s="19">
        <v>1.0</v>
      </c>
      <c r="R117" s="19">
        <v>1.0</v>
      </c>
      <c r="S117" s="19">
        <v>0.0</v>
      </c>
      <c r="T117" s="19">
        <v>0.0</v>
      </c>
      <c r="U117" s="19">
        <v>0.0</v>
      </c>
      <c r="V117" s="19">
        <v>0.0</v>
      </c>
      <c r="W117" s="19">
        <v>0.0</v>
      </c>
      <c r="X117" s="19">
        <v>1.0</v>
      </c>
      <c r="Y117" s="19">
        <v>0.0</v>
      </c>
      <c r="Z117" s="19">
        <v>0.0</v>
      </c>
      <c r="AA117" s="19">
        <v>0.0</v>
      </c>
      <c r="AB117" s="19">
        <v>0.0</v>
      </c>
      <c r="AC117" s="19">
        <v>0.0</v>
      </c>
      <c r="AD117" s="19">
        <v>1.0</v>
      </c>
      <c r="AE117" s="19">
        <v>2.0</v>
      </c>
      <c r="AF117" s="19">
        <v>1.0</v>
      </c>
      <c r="AG117" s="19">
        <v>0.0</v>
      </c>
      <c r="AH117" s="19">
        <v>2.0</v>
      </c>
      <c r="AI117" s="19">
        <v>1.0</v>
      </c>
      <c r="AJ117" s="19">
        <v>0.0</v>
      </c>
      <c r="AK117" s="19">
        <v>3.0</v>
      </c>
      <c r="AL117" s="19">
        <v>2.0</v>
      </c>
      <c r="AM117" s="13">
        <f t="shared" ref="AM117:AM126" si="26">SUM(E117:AL117)</f>
        <v>24</v>
      </c>
      <c r="AN117" s="5"/>
      <c r="AO117" s="5"/>
    </row>
    <row r="118" ht="12.75" customHeight="1">
      <c r="A118" s="30" t="s">
        <v>39</v>
      </c>
      <c r="B118" s="55">
        <v>1.0</v>
      </c>
      <c r="C118" s="50" t="s">
        <v>92</v>
      </c>
      <c r="D118" s="60"/>
      <c r="E118" s="19">
        <v>0.0</v>
      </c>
      <c r="F118" s="19">
        <v>0.0</v>
      </c>
      <c r="G118" s="19">
        <v>1.0</v>
      </c>
      <c r="H118" s="19">
        <v>0.0</v>
      </c>
      <c r="I118" s="19">
        <v>0.0</v>
      </c>
      <c r="J118" s="19">
        <v>0.0</v>
      </c>
      <c r="K118" s="19">
        <v>0.0</v>
      </c>
      <c r="L118" s="19">
        <v>0.0</v>
      </c>
      <c r="M118" s="19">
        <v>0.0</v>
      </c>
      <c r="N118" s="19">
        <v>0.0</v>
      </c>
      <c r="O118" s="19">
        <v>0.0</v>
      </c>
      <c r="P118" s="19">
        <v>0.0</v>
      </c>
      <c r="Q118" s="19">
        <v>0.0</v>
      </c>
      <c r="R118" s="19">
        <v>0.0</v>
      </c>
      <c r="S118" s="19">
        <v>1.0</v>
      </c>
      <c r="T118" s="19">
        <v>0.0</v>
      </c>
      <c r="U118" s="19">
        <v>0.0</v>
      </c>
      <c r="V118" s="19">
        <v>0.0</v>
      </c>
      <c r="W118" s="19">
        <v>0.0</v>
      </c>
      <c r="X118" s="19">
        <v>0.0</v>
      </c>
      <c r="Y118" s="19">
        <v>0.0</v>
      </c>
      <c r="Z118" s="19">
        <v>0.0</v>
      </c>
      <c r="AA118" s="19">
        <v>1.0</v>
      </c>
      <c r="AB118" s="19">
        <v>0.0</v>
      </c>
      <c r="AC118" s="19">
        <v>0.0</v>
      </c>
      <c r="AD118" s="19">
        <v>2.0</v>
      </c>
      <c r="AE118" s="19">
        <v>0.0</v>
      </c>
      <c r="AF118" s="19">
        <v>0.0</v>
      </c>
      <c r="AG118" s="19">
        <v>1.0</v>
      </c>
      <c r="AH118" s="19">
        <v>0.0</v>
      </c>
      <c r="AI118" s="19">
        <v>0.0</v>
      </c>
      <c r="AJ118" s="19">
        <v>0.0</v>
      </c>
      <c r="AK118" s="19">
        <v>0.0</v>
      </c>
      <c r="AL118" s="19">
        <v>0.0</v>
      </c>
      <c r="AM118" s="13">
        <f t="shared" si="26"/>
        <v>6</v>
      </c>
      <c r="AN118" s="5"/>
      <c r="AO118" s="5"/>
    </row>
    <row r="119" ht="12.75" customHeight="1">
      <c r="A119" s="18"/>
      <c r="B119" s="55">
        <v>2.0</v>
      </c>
      <c r="C119" s="50" t="s">
        <v>93</v>
      </c>
      <c r="D119" s="60"/>
      <c r="E119" s="19">
        <v>0.0</v>
      </c>
      <c r="F119" s="19">
        <v>0.0</v>
      </c>
      <c r="G119" s="19">
        <v>0.0</v>
      </c>
      <c r="H119" s="19">
        <v>0.0</v>
      </c>
      <c r="I119" s="19">
        <v>0.0</v>
      </c>
      <c r="J119" s="19">
        <v>0.0</v>
      </c>
      <c r="K119" s="19">
        <v>0.0</v>
      </c>
      <c r="L119" s="19">
        <v>0.0</v>
      </c>
      <c r="M119" s="19">
        <v>1.0</v>
      </c>
      <c r="N119" s="19">
        <v>1.0</v>
      </c>
      <c r="O119" s="19">
        <v>0.0</v>
      </c>
      <c r="P119" s="19">
        <v>1.0</v>
      </c>
      <c r="Q119" s="19">
        <v>0.0</v>
      </c>
      <c r="R119" s="19">
        <v>0.0</v>
      </c>
      <c r="S119" s="19">
        <v>0.0</v>
      </c>
      <c r="T119" s="19">
        <v>0.0</v>
      </c>
      <c r="U119" s="19">
        <v>0.0</v>
      </c>
      <c r="V119" s="19">
        <v>0.0</v>
      </c>
      <c r="W119" s="19">
        <v>0.0</v>
      </c>
      <c r="X119" s="19">
        <v>0.0</v>
      </c>
      <c r="Y119" s="19">
        <v>0.0</v>
      </c>
      <c r="Z119" s="19">
        <v>0.0</v>
      </c>
      <c r="AA119" s="19">
        <v>0.0</v>
      </c>
      <c r="AB119" s="19">
        <v>0.0</v>
      </c>
      <c r="AC119" s="19">
        <v>0.0</v>
      </c>
      <c r="AD119" s="19">
        <v>1.0</v>
      </c>
      <c r="AE119" s="19">
        <v>0.0</v>
      </c>
      <c r="AF119" s="19">
        <v>0.0</v>
      </c>
      <c r="AG119" s="19">
        <v>0.0</v>
      </c>
      <c r="AH119" s="19">
        <v>0.0</v>
      </c>
      <c r="AI119" s="19">
        <v>0.0</v>
      </c>
      <c r="AJ119" s="19">
        <v>0.0</v>
      </c>
      <c r="AK119" s="19">
        <v>0.0</v>
      </c>
      <c r="AL119" s="19">
        <v>1.0</v>
      </c>
      <c r="AM119" s="13">
        <f t="shared" si="26"/>
        <v>5</v>
      </c>
      <c r="AN119" s="5"/>
      <c r="AO119" s="5"/>
    </row>
    <row r="120" ht="12.75" customHeight="1">
      <c r="A120" s="18"/>
      <c r="B120" s="55">
        <v>3.0</v>
      </c>
      <c r="C120" s="50" t="s">
        <v>94</v>
      </c>
      <c r="D120" s="60"/>
      <c r="E120" s="19">
        <v>0.0</v>
      </c>
      <c r="F120" s="19">
        <v>0.0</v>
      </c>
      <c r="G120" s="19">
        <v>0.0</v>
      </c>
      <c r="H120" s="19">
        <v>0.0</v>
      </c>
      <c r="I120" s="19">
        <v>0.0</v>
      </c>
      <c r="J120" s="19">
        <v>0.0</v>
      </c>
      <c r="K120" s="19">
        <v>0.0</v>
      </c>
      <c r="L120" s="19">
        <v>0.0</v>
      </c>
      <c r="M120" s="19">
        <v>0.0</v>
      </c>
      <c r="N120" s="19">
        <v>0.0</v>
      </c>
      <c r="O120" s="19">
        <v>0.0</v>
      </c>
      <c r="P120" s="19">
        <v>0.0</v>
      </c>
      <c r="Q120" s="19">
        <v>0.0</v>
      </c>
      <c r="R120" s="19">
        <v>0.0</v>
      </c>
      <c r="S120" s="19">
        <v>0.0</v>
      </c>
      <c r="T120" s="19">
        <v>0.0</v>
      </c>
      <c r="U120" s="19">
        <v>0.0</v>
      </c>
      <c r="V120" s="19">
        <v>0.0</v>
      </c>
      <c r="W120" s="19">
        <v>0.0</v>
      </c>
      <c r="X120" s="19">
        <v>0.0</v>
      </c>
      <c r="Y120" s="19">
        <v>0.0</v>
      </c>
      <c r="Z120" s="19">
        <v>0.0</v>
      </c>
      <c r="AA120" s="19">
        <v>0.0</v>
      </c>
      <c r="AB120" s="19">
        <v>0.0</v>
      </c>
      <c r="AC120" s="19">
        <v>0.0</v>
      </c>
      <c r="AD120" s="19">
        <v>0.0</v>
      </c>
      <c r="AE120" s="19">
        <v>0.0</v>
      </c>
      <c r="AF120" s="19">
        <v>0.0</v>
      </c>
      <c r="AG120" s="19">
        <v>0.0</v>
      </c>
      <c r="AH120" s="19">
        <v>0.0</v>
      </c>
      <c r="AI120" s="19">
        <v>0.0</v>
      </c>
      <c r="AJ120" s="19">
        <v>0.0</v>
      </c>
      <c r="AK120" s="19">
        <v>0.0</v>
      </c>
      <c r="AL120" s="19">
        <v>0.0</v>
      </c>
      <c r="AM120" s="13">
        <f t="shared" si="26"/>
        <v>0</v>
      </c>
      <c r="AN120" s="5"/>
      <c r="AO120" s="5"/>
    </row>
    <row r="121" ht="12.75" customHeight="1">
      <c r="A121" s="18"/>
      <c r="B121" s="56"/>
      <c r="C121" s="57"/>
      <c r="D121" s="62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  <c r="AA121" s="19"/>
      <c r="AB121" s="19"/>
      <c r="AC121" s="19"/>
      <c r="AD121" s="19"/>
      <c r="AE121" s="19"/>
      <c r="AF121" s="19"/>
      <c r="AG121" s="19"/>
      <c r="AH121" s="19"/>
      <c r="AI121" s="19"/>
      <c r="AJ121" s="19"/>
      <c r="AK121" s="19"/>
      <c r="AL121" s="19"/>
      <c r="AM121" s="13">
        <f t="shared" si="26"/>
        <v>0</v>
      </c>
      <c r="AN121" s="5"/>
      <c r="AO121" s="5"/>
    </row>
    <row r="122" ht="12.75" customHeight="1">
      <c r="A122" s="18"/>
      <c r="B122" s="56"/>
      <c r="C122" s="57"/>
      <c r="D122" s="62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  <c r="AA122" s="19"/>
      <c r="AB122" s="19"/>
      <c r="AC122" s="19"/>
      <c r="AD122" s="19"/>
      <c r="AE122" s="19"/>
      <c r="AF122" s="19"/>
      <c r="AG122" s="19"/>
      <c r="AH122" s="19"/>
      <c r="AI122" s="19"/>
      <c r="AJ122" s="19"/>
      <c r="AK122" s="19"/>
      <c r="AL122" s="19"/>
      <c r="AM122" s="13">
        <f t="shared" si="26"/>
        <v>0</v>
      </c>
      <c r="AN122" s="5"/>
      <c r="AO122" s="5"/>
    </row>
    <row r="123" ht="12.75" customHeight="1">
      <c r="A123" s="18"/>
      <c r="B123" s="56"/>
      <c r="C123" s="57"/>
      <c r="D123" s="62"/>
      <c r="E123" s="63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40"/>
      <c r="Y123" s="40"/>
      <c r="Z123" s="40"/>
      <c r="AA123" s="40"/>
      <c r="AB123" s="40"/>
      <c r="AC123" s="40"/>
      <c r="AD123" s="40"/>
      <c r="AE123" s="40"/>
      <c r="AF123" s="40"/>
      <c r="AG123" s="40"/>
      <c r="AH123" s="40"/>
      <c r="AI123" s="40"/>
      <c r="AJ123" s="40"/>
      <c r="AK123" s="40"/>
      <c r="AL123" s="40"/>
      <c r="AM123" s="13">
        <f t="shared" si="26"/>
        <v>0</v>
      </c>
      <c r="AN123" s="5"/>
      <c r="AO123" s="5"/>
    </row>
    <row r="124" ht="12.75" customHeight="1">
      <c r="A124" s="18"/>
      <c r="B124" s="56"/>
      <c r="C124" s="57"/>
      <c r="D124" s="62"/>
      <c r="E124" s="63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40"/>
      <c r="Y124" s="40"/>
      <c r="Z124" s="40"/>
      <c r="AA124" s="40"/>
      <c r="AB124" s="40"/>
      <c r="AC124" s="40"/>
      <c r="AD124" s="40"/>
      <c r="AE124" s="40"/>
      <c r="AF124" s="40"/>
      <c r="AG124" s="40"/>
      <c r="AH124" s="40"/>
      <c r="AI124" s="40"/>
      <c r="AJ124" s="40"/>
      <c r="AK124" s="40"/>
      <c r="AL124" s="40"/>
      <c r="AM124" s="13">
        <f t="shared" si="26"/>
        <v>0</v>
      </c>
      <c r="AN124" s="5"/>
      <c r="AO124" s="5"/>
    </row>
    <row r="125" ht="12.75" customHeight="1">
      <c r="A125" s="18"/>
      <c r="B125" s="56"/>
      <c r="C125" s="57"/>
      <c r="D125" s="62"/>
      <c r="E125" s="63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40"/>
      <c r="AA125" s="40"/>
      <c r="AB125" s="40"/>
      <c r="AC125" s="40"/>
      <c r="AD125" s="40"/>
      <c r="AE125" s="40"/>
      <c r="AF125" s="40"/>
      <c r="AG125" s="40"/>
      <c r="AH125" s="40"/>
      <c r="AI125" s="40"/>
      <c r="AJ125" s="40"/>
      <c r="AK125" s="40"/>
      <c r="AL125" s="40"/>
      <c r="AM125" s="13">
        <f t="shared" si="26"/>
        <v>0</v>
      </c>
      <c r="AN125" s="5"/>
      <c r="AO125" s="5"/>
    </row>
    <row r="126" ht="12.75" customHeight="1">
      <c r="A126" s="18"/>
      <c r="B126" s="56"/>
      <c r="C126" s="57"/>
      <c r="D126" s="62"/>
      <c r="E126" s="63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40"/>
      <c r="Y126" s="40"/>
      <c r="Z126" s="40"/>
      <c r="AA126" s="40"/>
      <c r="AB126" s="40"/>
      <c r="AC126" s="40"/>
      <c r="AD126" s="40"/>
      <c r="AE126" s="40"/>
      <c r="AF126" s="40"/>
      <c r="AG126" s="40"/>
      <c r="AH126" s="40"/>
      <c r="AI126" s="40"/>
      <c r="AJ126" s="40"/>
      <c r="AK126" s="40"/>
      <c r="AL126" s="40"/>
      <c r="AM126" s="13">
        <f t="shared" si="26"/>
        <v>0</v>
      </c>
      <c r="AN126" s="5"/>
      <c r="AO126" s="5"/>
    </row>
    <row r="127" ht="12.75" customHeight="1">
      <c r="A127" s="19" t="s">
        <v>15</v>
      </c>
      <c r="B127" s="47" t="s">
        <v>47</v>
      </c>
      <c r="C127" s="15"/>
      <c r="D127" s="16"/>
      <c r="E127" s="13">
        <f t="shared" ref="E127:AM127" si="27">SUM(E117:E126)</f>
        <v>0</v>
      </c>
      <c r="F127" s="13">
        <f t="shared" si="27"/>
        <v>0</v>
      </c>
      <c r="G127" s="13">
        <f t="shared" si="27"/>
        <v>1</v>
      </c>
      <c r="H127" s="13">
        <f t="shared" si="27"/>
        <v>4</v>
      </c>
      <c r="I127" s="13">
        <f t="shared" si="27"/>
        <v>0</v>
      </c>
      <c r="J127" s="13">
        <f t="shared" si="27"/>
        <v>0</v>
      </c>
      <c r="K127" s="13">
        <f t="shared" si="27"/>
        <v>0</v>
      </c>
      <c r="L127" s="13">
        <f t="shared" si="27"/>
        <v>0</v>
      </c>
      <c r="M127" s="13">
        <f t="shared" si="27"/>
        <v>3</v>
      </c>
      <c r="N127" s="13">
        <f t="shared" si="27"/>
        <v>1</v>
      </c>
      <c r="O127" s="13">
        <f t="shared" si="27"/>
        <v>2</v>
      </c>
      <c r="P127" s="13">
        <f t="shared" si="27"/>
        <v>2</v>
      </c>
      <c r="Q127" s="13">
        <f t="shared" si="27"/>
        <v>1</v>
      </c>
      <c r="R127" s="13">
        <f t="shared" si="27"/>
        <v>1</v>
      </c>
      <c r="S127" s="13">
        <f t="shared" si="27"/>
        <v>1</v>
      </c>
      <c r="T127" s="13">
        <f t="shared" si="27"/>
        <v>0</v>
      </c>
      <c r="U127" s="13">
        <f t="shared" si="27"/>
        <v>0</v>
      </c>
      <c r="V127" s="13">
        <f t="shared" si="27"/>
        <v>0</v>
      </c>
      <c r="W127" s="13">
        <f t="shared" si="27"/>
        <v>0</v>
      </c>
      <c r="X127" s="13">
        <f t="shared" si="27"/>
        <v>1</v>
      </c>
      <c r="Y127" s="13">
        <f t="shared" si="27"/>
        <v>0</v>
      </c>
      <c r="Z127" s="13">
        <f t="shared" si="27"/>
        <v>0</v>
      </c>
      <c r="AA127" s="13">
        <f t="shared" si="27"/>
        <v>1</v>
      </c>
      <c r="AB127" s="13">
        <f t="shared" si="27"/>
        <v>0</v>
      </c>
      <c r="AC127" s="13">
        <f t="shared" si="27"/>
        <v>0</v>
      </c>
      <c r="AD127" s="13">
        <f t="shared" si="27"/>
        <v>4</v>
      </c>
      <c r="AE127" s="13">
        <f t="shared" si="27"/>
        <v>2</v>
      </c>
      <c r="AF127" s="13">
        <f t="shared" si="27"/>
        <v>1</v>
      </c>
      <c r="AG127" s="13">
        <f t="shared" si="27"/>
        <v>1</v>
      </c>
      <c r="AH127" s="13">
        <f t="shared" si="27"/>
        <v>2</v>
      </c>
      <c r="AI127" s="13">
        <f t="shared" si="27"/>
        <v>1</v>
      </c>
      <c r="AJ127" s="13">
        <f t="shared" si="27"/>
        <v>0</v>
      </c>
      <c r="AK127" s="13">
        <f t="shared" si="27"/>
        <v>3</v>
      </c>
      <c r="AL127" s="13">
        <f t="shared" si="27"/>
        <v>3</v>
      </c>
      <c r="AM127" s="13">
        <f t="shared" si="27"/>
        <v>35</v>
      </c>
      <c r="AN127" s="5"/>
      <c r="AO127" s="5"/>
    </row>
    <row r="128" ht="12.75" customHeight="1">
      <c r="A128" s="24"/>
      <c r="B128" s="15"/>
      <c r="C128" s="15"/>
      <c r="D128" s="15"/>
      <c r="E128" s="16"/>
      <c r="F128" s="84"/>
      <c r="G128" s="84"/>
      <c r="H128" s="84"/>
      <c r="I128" s="84"/>
      <c r="J128" s="84"/>
      <c r="K128" s="84"/>
      <c r="L128" s="84"/>
      <c r="M128" s="84"/>
      <c r="N128" s="84"/>
      <c r="O128" s="84"/>
      <c r="P128" s="84"/>
      <c r="Q128" s="84"/>
      <c r="R128" s="84"/>
      <c r="S128" s="84"/>
      <c r="T128" s="84"/>
      <c r="U128" s="84"/>
      <c r="V128" s="84"/>
      <c r="W128" s="84"/>
      <c r="X128" s="84"/>
      <c r="Y128" s="84"/>
      <c r="Z128" s="84"/>
      <c r="AA128" s="84"/>
      <c r="AB128" s="84"/>
      <c r="AC128" s="84"/>
      <c r="AD128" s="84"/>
      <c r="AE128" s="84"/>
      <c r="AF128" s="84"/>
      <c r="AG128" s="84"/>
      <c r="AH128" s="84"/>
      <c r="AI128" s="84"/>
      <c r="AJ128" s="84"/>
      <c r="AK128" s="84"/>
      <c r="AL128" s="84"/>
      <c r="AM128" s="84"/>
      <c r="AN128" s="5"/>
      <c r="AO128" s="5"/>
    </row>
    <row r="129" ht="12.75" customHeight="1">
      <c r="A129" s="30" t="s">
        <v>37</v>
      </c>
      <c r="B129" s="47" t="s">
        <v>95</v>
      </c>
      <c r="C129" s="48" t="s">
        <v>96</v>
      </c>
      <c r="D129" s="16"/>
      <c r="E129" s="19">
        <v>0.0</v>
      </c>
      <c r="F129" s="19">
        <v>0.0</v>
      </c>
      <c r="G129" s="19">
        <v>3.0</v>
      </c>
      <c r="H129" s="19">
        <v>0.0</v>
      </c>
      <c r="I129" s="19">
        <v>1.0</v>
      </c>
      <c r="J129" s="19">
        <v>0.0</v>
      </c>
      <c r="K129" s="19">
        <v>0.0</v>
      </c>
      <c r="L129" s="19">
        <v>0.0</v>
      </c>
      <c r="M129" s="19">
        <v>0.0</v>
      </c>
      <c r="N129" s="19">
        <v>1.0</v>
      </c>
      <c r="O129" s="19">
        <v>4.0</v>
      </c>
      <c r="P129" s="19">
        <v>1.0</v>
      </c>
      <c r="Q129" s="19">
        <v>0.0</v>
      </c>
      <c r="R129" s="19">
        <v>6.0</v>
      </c>
      <c r="S129" s="19">
        <v>4.0</v>
      </c>
      <c r="T129" s="19">
        <v>1.0</v>
      </c>
      <c r="U129" s="19">
        <v>0.0</v>
      </c>
      <c r="V129" s="19">
        <v>1.0</v>
      </c>
      <c r="W129" s="19">
        <v>0.0</v>
      </c>
      <c r="X129" s="19">
        <v>1.0</v>
      </c>
      <c r="Y129" s="19">
        <v>0.0</v>
      </c>
      <c r="Z129" s="19">
        <v>0.0</v>
      </c>
      <c r="AA129" s="19">
        <v>0.0</v>
      </c>
      <c r="AB129" s="19">
        <v>0.0</v>
      </c>
      <c r="AC129" s="19">
        <v>0.0</v>
      </c>
      <c r="AD129" s="19">
        <v>0.0</v>
      </c>
      <c r="AE129" s="19">
        <v>0.0</v>
      </c>
      <c r="AF129" s="19">
        <v>0.0</v>
      </c>
      <c r="AG129" s="19">
        <v>1.0</v>
      </c>
      <c r="AH129" s="19">
        <v>1.0</v>
      </c>
      <c r="AI129" s="19">
        <v>2.0</v>
      </c>
      <c r="AJ129" s="19">
        <v>0.0</v>
      </c>
      <c r="AK129" s="19">
        <v>0.0</v>
      </c>
      <c r="AL129" s="19">
        <v>1.0</v>
      </c>
      <c r="AM129" s="13">
        <f t="shared" ref="AM129:AM138" si="28">SUM(E129:AL129)</f>
        <v>28</v>
      </c>
      <c r="AN129" s="5"/>
      <c r="AO129" s="5"/>
    </row>
    <row r="130" ht="12.75" customHeight="1">
      <c r="A130" s="30" t="s">
        <v>39</v>
      </c>
      <c r="B130" s="55">
        <v>1.0</v>
      </c>
      <c r="C130" s="50" t="s">
        <v>97</v>
      </c>
      <c r="D130" s="59"/>
      <c r="E130" s="19">
        <v>0.0</v>
      </c>
      <c r="F130" s="19">
        <v>0.0</v>
      </c>
      <c r="G130" s="19">
        <v>1.0</v>
      </c>
      <c r="H130" s="19">
        <v>1.0</v>
      </c>
      <c r="I130" s="19">
        <v>4.0</v>
      </c>
      <c r="J130" s="19">
        <v>2.0</v>
      </c>
      <c r="K130" s="19">
        <v>0.0</v>
      </c>
      <c r="L130" s="19">
        <v>0.0</v>
      </c>
      <c r="M130" s="19">
        <v>1.0</v>
      </c>
      <c r="N130" s="19">
        <v>0.0</v>
      </c>
      <c r="O130" s="19">
        <v>1.0</v>
      </c>
      <c r="P130" s="19">
        <v>0.0</v>
      </c>
      <c r="Q130" s="19">
        <v>0.0</v>
      </c>
      <c r="R130" s="19">
        <v>9.0</v>
      </c>
      <c r="S130" s="19">
        <v>11.0</v>
      </c>
      <c r="T130" s="19">
        <v>0.0</v>
      </c>
      <c r="U130" s="19">
        <v>1.0</v>
      </c>
      <c r="V130" s="19">
        <v>1.0</v>
      </c>
      <c r="W130" s="19">
        <v>1.0</v>
      </c>
      <c r="X130" s="19">
        <v>0.0</v>
      </c>
      <c r="Y130" s="19">
        <v>5.0</v>
      </c>
      <c r="Z130" s="19">
        <v>2.0</v>
      </c>
      <c r="AA130" s="19">
        <v>0.0</v>
      </c>
      <c r="AB130" s="19">
        <v>0.0</v>
      </c>
      <c r="AC130" s="19">
        <v>1.0</v>
      </c>
      <c r="AD130" s="19">
        <v>0.0</v>
      </c>
      <c r="AE130" s="19">
        <v>0.0</v>
      </c>
      <c r="AF130" s="19">
        <v>0.0</v>
      </c>
      <c r="AG130" s="19">
        <v>0.0</v>
      </c>
      <c r="AH130" s="19">
        <v>1.0</v>
      </c>
      <c r="AI130" s="19">
        <v>3.0</v>
      </c>
      <c r="AJ130" s="19">
        <v>0.0</v>
      </c>
      <c r="AK130" s="19">
        <v>0.0</v>
      </c>
      <c r="AL130" s="19">
        <v>0.0</v>
      </c>
      <c r="AM130" s="13">
        <f t="shared" si="28"/>
        <v>45</v>
      </c>
      <c r="AN130" s="1"/>
      <c r="AO130" s="1"/>
    </row>
    <row r="131" ht="12.75" customHeight="1">
      <c r="A131" s="18"/>
      <c r="B131" s="55">
        <v>2.0</v>
      </c>
      <c r="C131" s="50" t="s">
        <v>98</v>
      </c>
      <c r="D131" s="59"/>
      <c r="E131" s="19">
        <v>2.0</v>
      </c>
      <c r="F131" s="19">
        <v>0.0</v>
      </c>
      <c r="G131" s="19">
        <v>2.0</v>
      </c>
      <c r="H131" s="19">
        <v>0.0</v>
      </c>
      <c r="I131" s="19">
        <v>1.0</v>
      </c>
      <c r="J131" s="19">
        <v>5.0</v>
      </c>
      <c r="K131" s="19">
        <v>7.0</v>
      </c>
      <c r="L131" s="19">
        <v>0.0</v>
      </c>
      <c r="M131" s="19">
        <v>0.0</v>
      </c>
      <c r="N131" s="19">
        <v>0.0</v>
      </c>
      <c r="O131" s="19">
        <v>0.0</v>
      </c>
      <c r="P131" s="19">
        <v>0.0</v>
      </c>
      <c r="Q131" s="19">
        <v>0.0</v>
      </c>
      <c r="R131" s="19">
        <v>1.0</v>
      </c>
      <c r="S131" s="19">
        <v>2.0</v>
      </c>
      <c r="T131" s="19">
        <v>0.0</v>
      </c>
      <c r="U131" s="19">
        <v>1.0</v>
      </c>
      <c r="V131" s="19">
        <v>0.0</v>
      </c>
      <c r="W131" s="19">
        <v>3.0</v>
      </c>
      <c r="X131" s="19">
        <v>2.0</v>
      </c>
      <c r="Y131" s="19">
        <v>0.0</v>
      </c>
      <c r="Z131" s="19">
        <v>0.0</v>
      </c>
      <c r="AA131" s="19">
        <v>0.0</v>
      </c>
      <c r="AB131" s="19">
        <v>2.0</v>
      </c>
      <c r="AC131" s="19">
        <v>0.0</v>
      </c>
      <c r="AD131" s="19">
        <v>0.0</v>
      </c>
      <c r="AE131" s="19">
        <v>0.0</v>
      </c>
      <c r="AF131" s="19">
        <v>0.0</v>
      </c>
      <c r="AG131" s="19">
        <v>0.0</v>
      </c>
      <c r="AH131" s="19">
        <v>0.0</v>
      </c>
      <c r="AI131" s="19">
        <v>0.0</v>
      </c>
      <c r="AJ131" s="19">
        <v>0.0</v>
      </c>
      <c r="AK131" s="19">
        <v>0.0</v>
      </c>
      <c r="AL131" s="19">
        <v>0.0</v>
      </c>
      <c r="AM131" s="13">
        <f t="shared" si="28"/>
        <v>28</v>
      </c>
      <c r="AN131" s="52"/>
      <c r="AO131" s="52"/>
    </row>
    <row r="132" ht="12.75" customHeight="1">
      <c r="A132" s="18"/>
      <c r="B132" s="55">
        <v>3.0</v>
      </c>
      <c r="C132" s="50" t="s">
        <v>99</v>
      </c>
      <c r="D132" s="59"/>
      <c r="E132" s="19">
        <v>0.0</v>
      </c>
      <c r="F132" s="19">
        <v>1.0</v>
      </c>
      <c r="G132" s="19">
        <v>0.0</v>
      </c>
      <c r="H132" s="19">
        <v>0.0</v>
      </c>
      <c r="I132" s="19">
        <v>0.0</v>
      </c>
      <c r="J132" s="19">
        <v>0.0</v>
      </c>
      <c r="K132" s="19">
        <v>0.0</v>
      </c>
      <c r="L132" s="19">
        <v>1.0</v>
      </c>
      <c r="M132" s="19">
        <v>0.0</v>
      </c>
      <c r="N132" s="19">
        <v>0.0</v>
      </c>
      <c r="O132" s="19">
        <v>0.0</v>
      </c>
      <c r="P132" s="19">
        <v>1.0</v>
      </c>
      <c r="Q132" s="19">
        <v>0.0</v>
      </c>
      <c r="R132" s="19">
        <v>0.0</v>
      </c>
      <c r="S132" s="19">
        <v>0.0</v>
      </c>
      <c r="T132" s="19">
        <v>0.0</v>
      </c>
      <c r="U132" s="19">
        <v>1.0</v>
      </c>
      <c r="V132" s="19">
        <v>0.0</v>
      </c>
      <c r="W132" s="19">
        <v>0.0</v>
      </c>
      <c r="X132" s="19">
        <v>0.0</v>
      </c>
      <c r="Y132" s="19">
        <v>0.0</v>
      </c>
      <c r="Z132" s="19">
        <v>0.0</v>
      </c>
      <c r="AA132" s="19">
        <v>0.0</v>
      </c>
      <c r="AB132" s="19">
        <v>0.0</v>
      </c>
      <c r="AC132" s="19">
        <v>1.0</v>
      </c>
      <c r="AD132" s="19">
        <v>0.0</v>
      </c>
      <c r="AE132" s="19">
        <v>0.0</v>
      </c>
      <c r="AF132" s="19">
        <v>0.0</v>
      </c>
      <c r="AG132" s="19">
        <v>0.0</v>
      </c>
      <c r="AH132" s="19">
        <v>0.0</v>
      </c>
      <c r="AI132" s="19">
        <v>0.0</v>
      </c>
      <c r="AJ132" s="19">
        <v>0.0</v>
      </c>
      <c r="AK132" s="19">
        <v>0.0</v>
      </c>
      <c r="AL132" s="19">
        <v>0.0</v>
      </c>
      <c r="AM132" s="13">
        <f t="shared" si="28"/>
        <v>5</v>
      </c>
      <c r="AN132" s="5"/>
      <c r="AO132" s="5"/>
    </row>
    <row r="133" ht="12.75" customHeight="1">
      <c r="A133" s="18"/>
      <c r="B133" s="55">
        <v>4.0</v>
      </c>
      <c r="C133" s="50" t="s">
        <v>100</v>
      </c>
      <c r="D133" s="59"/>
      <c r="E133" s="19">
        <v>0.0</v>
      </c>
      <c r="F133" s="19">
        <v>0.0</v>
      </c>
      <c r="G133" s="19">
        <v>0.0</v>
      </c>
      <c r="H133" s="19">
        <v>0.0</v>
      </c>
      <c r="I133" s="19">
        <v>0.0</v>
      </c>
      <c r="J133" s="19">
        <v>0.0</v>
      </c>
      <c r="K133" s="19">
        <v>0.0</v>
      </c>
      <c r="L133" s="19">
        <v>0.0</v>
      </c>
      <c r="M133" s="19">
        <v>0.0</v>
      </c>
      <c r="N133" s="19">
        <v>0.0</v>
      </c>
      <c r="O133" s="19">
        <v>0.0</v>
      </c>
      <c r="P133" s="19">
        <v>0.0</v>
      </c>
      <c r="Q133" s="19">
        <v>0.0</v>
      </c>
      <c r="R133" s="19">
        <v>0.0</v>
      </c>
      <c r="S133" s="19">
        <v>0.0</v>
      </c>
      <c r="T133" s="19">
        <v>1.0</v>
      </c>
      <c r="U133" s="19">
        <v>0.0</v>
      </c>
      <c r="V133" s="19">
        <v>0.0</v>
      </c>
      <c r="W133" s="19">
        <v>0.0</v>
      </c>
      <c r="X133" s="19">
        <v>1.0</v>
      </c>
      <c r="Y133" s="19">
        <v>0.0</v>
      </c>
      <c r="Z133" s="19">
        <v>0.0</v>
      </c>
      <c r="AA133" s="19">
        <v>1.0</v>
      </c>
      <c r="AB133" s="19">
        <v>0.0</v>
      </c>
      <c r="AC133" s="19">
        <v>0.0</v>
      </c>
      <c r="AD133" s="19">
        <v>0.0</v>
      </c>
      <c r="AE133" s="19">
        <v>0.0</v>
      </c>
      <c r="AF133" s="19">
        <v>0.0</v>
      </c>
      <c r="AG133" s="19">
        <v>0.0</v>
      </c>
      <c r="AH133" s="19">
        <v>0.0</v>
      </c>
      <c r="AI133" s="19">
        <v>0.0</v>
      </c>
      <c r="AJ133" s="19">
        <v>0.0</v>
      </c>
      <c r="AK133" s="19">
        <v>0.0</v>
      </c>
      <c r="AL133" s="19">
        <v>0.0</v>
      </c>
      <c r="AM133" s="13">
        <f t="shared" si="28"/>
        <v>3</v>
      </c>
      <c r="AN133" s="5"/>
      <c r="AO133" s="5"/>
    </row>
    <row r="134" ht="12.75" customHeight="1">
      <c r="A134" s="18"/>
      <c r="B134" s="55">
        <v>5.0</v>
      </c>
      <c r="C134" s="50" t="s">
        <v>101</v>
      </c>
      <c r="D134" s="59"/>
      <c r="E134" s="19">
        <v>0.0</v>
      </c>
      <c r="F134" s="19">
        <v>0.0</v>
      </c>
      <c r="G134" s="19">
        <v>0.0</v>
      </c>
      <c r="H134" s="19">
        <v>0.0</v>
      </c>
      <c r="I134" s="19">
        <v>0.0</v>
      </c>
      <c r="J134" s="19">
        <v>0.0</v>
      </c>
      <c r="K134" s="19">
        <v>0.0</v>
      </c>
      <c r="L134" s="19">
        <v>0.0</v>
      </c>
      <c r="M134" s="19">
        <v>0.0</v>
      </c>
      <c r="N134" s="19">
        <v>0.0</v>
      </c>
      <c r="O134" s="19">
        <v>0.0</v>
      </c>
      <c r="P134" s="19">
        <v>0.0</v>
      </c>
      <c r="Q134" s="19">
        <v>0.0</v>
      </c>
      <c r="R134" s="19">
        <v>0.0</v>
      </c>
      <c r="S134" s="19">
        <v>0.0</v>
      </c>
      <c r="T134" s="19">
        <v>0.0</v>
      </c>
      <c r="U134" s="19">
        <v>0.0</v>
      </c>
      <c r="V134" s="19">
        <v>0.0</v>
      </c>
      <c r="W134" s="19">
        <v>0.0</v>
      </c>
      <c r="X134" s="19">
        <v>0.0</v>
      </c>
      <c r="Y134" s="19">
        <v>1.0</v>
      </c>
      <c r="Z134" s="19">
        <v>0.0</v>
      </c>
      <c r="AA134" s="19">
        <v>0.0</v>
      </c>
      <c r="AB134" s="19">
        <v>0.0</v>
      </c>
      <c r="AC134" s="19">
        <v>1.0</v>
      </c>
      <c r="AD134" s="19">
        <v>0.0</v>
      </c>
      <c r="AE134" s="19">
        <v>0.0</v>
      </c>
      <c r="AF134" s="19">
        <v>0.0</v>
      </c>
      <c r="AG134" s="19">
        <v>0.0</v>
      </c>
      <c r="AH134" s="19">
        <v>0.0</v>
      </c>
      <c r="AI134" s="19">
        <v>0.0</v>
      </c>
      <c r="AJ134" s="19">
        <v>0.0</v>
      </c>
      <c r="AK134" s="19">
        <v>0.0</v>
      </c>
      <c r="AL134" s="19">
        <v>0.0</v>
      </c>
      <c r="AM134" s="13">
        <f t="shared" si="28"/>
        <v>2</v>
      </c>
      <c r="AN134" s="5"/>
      <c r="AO134" s="5"/>
    </row>
    <row r="135" ht="12.75" customHeight="1">
      <c r="A135" s="18"/>
      <c r="B135" s="55">
        <v>6.0</v>
      </c>
      <c r="C135" s="50" t="s">
        <v>102</v>
      </c>
      <c r="D135" s="60"/>
      <c r="E135" s="19">
        <v>0.0</v>
      </c>
      <c r="F135" s="19">
        <v>0.0</v>
      </c>
      <c r="G135" s="19">
        <v>0.0</v>
      </c>
      <c r="H135" s="19">
        <v>0.0</v>
      </c>
      <c r="I135" s="19">
        <v>0.0</v>
      </c>
      <c r="J135" s="19">
        <v>0.0</v>
      </c>
      <c r="K135" s="19">
        <v>1.0</v>
      </c>
      <c r="L135" s="19">
        <v>0.0</v>
      </c>
      <c r="M135" s="19">
        <v>0.0</v>
      </c>
      <c r="N135" s="19">
        <v>0.0</v>
      </c>
      <c r="O135" s="19">
        <v>0.0</v>
      </c>
      <c r="P135" s="19">
        <v>0.0</v>
      </c>
      <c r="Q135" s="19">
        <v>0.0</v>
      </c>
      <c r="R135" s="19">
        <v>2.0</v>
      </c>
      <c r="S135" s="19">
        <v>0.0</v>
      </c>
      <c r="T135" s="19">
        <v>0.0</v>
      </c>
      <c r="U135" s="19">
        <v>0.0</v>
      </c>
      <c r="V135" s="19">
        <v>0.0</v>
      </c>
      <c r="W135" s="19">
        <v>0.0</v>
      </c>
      <c r="X135" s="19">
        <v>0.0</v>
      </c>
      <c r="Y135" s="19">
        <v>0.0</v>
      </c>
      <c r="Z135" s="19">
        <v>0.0</v>
      </c>
      <c r="AA135" s="19">
        <v>0.0</v>
      </c>
      <c r="AB135" s="19">
        <v>0.0</v>
      </c>
      <c r="AC135" s="19">
        <v>0.0</v>
      </c>
      <c r="AD135" s="19">
        <v>0.0</v>
      </c>
      <c r="AE135" s="19">
        <v>0.0</v>
      </c>
      <c r="AF135" s="19">
        <v>0.0</v>
      </c>
      <c r="AG135" s="19">
        <v>0.0</v>
      </c>
      <c r="AH135" s="19">
        <v>0.0</v>
      </c>
      <c r="AI135" s="19">
        <v>0.0</v>
      </c>
      <c r="AJ135" s="19">
        <v>0.0</v>
      </c>
      <c r="AK135" s="19">
        <v>0.0</v>
      </c>
      <c r="AL135" s="19">
        <v>0.0</v>
      </c>
      <c r="AM135" s="13">
        <f t="shared" si="28"/>
        <v>3</v>
      </c>
      <c r="AN135" s="5"/>
      <c r="AO135" s="5"/>
    </row>
    <row r="136" ht="12.75" customHeight="1">
      <c r="A136" s="18"/>
      <c r="B136" s="55">
        <v>7.0</v>
      </c>
      <c r="C136" s="50" t="s">
        <v>103</v>
      </c>
      <c r="D136" s="59"/>
      <c r="E136" s="19">
        <v>0.0</v>
      </c>
      <c r="F136" s="19">
        <v>0.0</v>
      </c>
      <c r="G136" s="19">
        <v>0.0</v>
      </c>
      <c r="H136" s="19">
        <v>0.0</v>
      </c>
      <c r="I136" s="19">
        <v>0.0</v>
      </c>
      <c r="J136" s="19">
        <v>0.0</v>
      </c>
      <c r="K136" s="19">
        <v>0.0</v>
      </c>
      <c r="L136" s="19">
        <v>0.0</v>
      </c>
      <c r="M136" s="19">
        <v>0.0</v>
      </c>
      <c r="N136" s="19">
        <v>0.0</v>
      </c>
      <c r="O136" s="19">
        <v>0.0</v>
      </c>
      <c r="P136" s="19">
        <v>0.0</v>
      </c>
      <c r="Q136" s="19">
        <v>0.0</v>
      </c>
      <c r="R136" s="19">
        <v>0.0</v>
      </c>
      <c r="S136" s="19">
        <v>0.0</v>
      </c>
      <c r="T136" s="19">
        <v>0.0</v>
      </c>
      <c r="U136" s="19">
        <v>0.0</v>
      </c>
      <c r="V136" s="19">
        <v>0.0</v>
      </c>
      <c r="W136" s="19">
        <v>0.0</v>
      </c>
      <c r="X136" s="19">
        <v>0.0</v>
      </c>
      <c r="Y136" s="19">
        <v>0.0</v>
      </c>
      <c r="Z136" s="19">
        <v>0.0</v>
      </c>
      <c r="AA136" s="19">
        <v>0.0</v>
      </c>
      <c r="AB136" s="19">
        <v>0.0</v>
      </c>
      <c r="AC136" s="19">
        <v>0.0</v>
      </c>
      <c r="AD136" s="19">
        <v>0.0</v>
      </c>
      <c r="AE136" s="19">
        <v>0.0</v>
      </c>
      <c r="AF136" s="19">
        <v>0.0</v>
      </c>
      <c r="AG136" s="19">
        <v>0.0</v>
      </c>
      <c r="AH136" s="19">
        <v>0.0</v>
      </c>
      <c r="AI136" s="19">
        <v>0.0</v>
      </c>
      <c r="AJ136" s="19">
        <v>0.0</v>
      </c>
      <c r="AK136" s="19">
        <v>0.0</v>
      </c>
      <c r="AL136" s="19">
        <v>0.0</v>
      </c>
      <c r="AM136" s="13">
        <f t="shared" si="28"/>
        <v>0</v>
      </c>
      <c r="AN136" s="5"/>
      <c r="AO136" s="5"/>
    </row>
    <row r="137" ht="12.75" customHeight="1">
      <c r="A137" s="18"/>
      <c r="B137" s="56"/>
      <c r="C137" s="57"/>
      <c r="D137" s="61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  <c r="AA137" s="19"/>
      <c r="AB137" s="19"/>
      <c r="AC137" s="19"/>
      <c r="AD137" s="19"/>
      <c r="AE137" s="19"/>
      <c r="AF137" s="19"/>
      <c r="AG137" s="19"/>
      <c r="AH137" s="19"/>
      <c r="AI137" s="19"/>
      <c r="AJ137" s="19"/>
      <c r="AK137" s="19"/>
      <c r="AL137" s="19"/>
      <c r="AM137" s="13">
        <f t="shared" si="28"/>
        <v>0</v>
      </c>
      <c r="AN137" s="5"/>
      <c r="AO137" s="5"/>
    </row>
    <row r="138" ht="12.75" customHeight="1">
      <c r="A138" s="18"/>
      <c r="B138" s="56"/>
      <c r="C138" s="57"/>
      <c r="D138" s="61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  <c r="AA138" s="19"/>
      <c r="AB138" s="19"/>
      <c r="AC138" s="19"/>
      <c r="AD138" s="19"/>
      <c r="AE138" s="19"/>
      <c r="AF138" s="19"/>
      <c r="AG138" s="19"/>
      <c r="AH138" s="19"/>
      <c r="AI138" s="19"/>
      <c r="AJ138" s="19"/>
      <c r="AK138" s="19"/>
      <c r="AL138" s="19"/>
      <c r="AM138" s="13">
        <f t="shared" si="28"/>
        <v>0</v>
      </c>
      <c r="AN138" s="5"/>
      <c r="AO138" s="5"/>
    </row>
    <row r="139" ht="12.75" customHeight="1">
      <c r="A139" s="19" t="s">
        <v>15</v>
      </c>
      <c r="B139" s="47" t="s">
        <v>47</v>
      </c>
      <c r="C139" s="15"/>
      <c r="D139" s="16"/>
      <c r="E139" s="13">
        <f t="shared" ref="E139:AM139" si="29">SUM(E129:E138)</f>
        <v>2</v>
      </c>
      <c r="F139" s="13">
        <f t="shared" si="29"/>
        <v>1</v>
      </c>
      <c r="G139" s="13">
        <f t="shared" si="29"/>
        <v>6</v>
      </c>
      <c r="H139" s="13">
        <f t="shared" si="29"/>
        <v>1</v>
      </c>
      <c r="I139" s="13">
        <f t="shared" si="29"/>
        <v>6</v>
      </c>
      <c r="J139" s="13">
        <f t="shared" si="29"/>
        <v>7</v>
      </c>
      <c r="K139" s="13">
        <f t="shared" si="29"/>
        <v>8</v>
      </c>
      <c r="L139" s="13">
        <f t="shared" si="29"/>
        <v>1</v>
      </c>
      <c r="M139" s="13">
        <f t="shared" si="29"/>
        <v>1</v>
      </c>
      <c r="N139" s="13">
        <f t="shared" si="29"/>
        <v>1</v>
      </c>
      <c r="O139" s="13">
        <f t="shared" si="29"/>
        <v>5</v>
      </c>
      <c r="P139" s="13">
        <f t="shared" si="29"/>
        <v>2</v>
      </c>
      <c r="Q139" s="13">
        <f t="shared" si="29"/>
        <v>0</v>
      </c>
      <c r="R139" s="13">
        <f t="shared" si="29"/>
        <v>18</v>
      </c>
      <c r="S139" s="13">
        <f t="shared" si="29"/>
        <v>17</v>
      </c>
      <c r="T139" s="13">
        <f t="shared" si="29"/>
        <v>2</v>
      </c>
      <c r="U139" s="13">
        <f t="shared" si="29"/>
        <v>3</v>
      </c>
      <c r="V139" s="13">
        <f t="shared" si="29"/>
        <v>2</v>
      </c>
      <c r="W139" s="13">
        <f t="shared" si="29"/>
        <v>4</v>
      </c>
      <c r="X139" s="13">
        <f t="shared" si="29"/>
        <v>4</v>
      </c>
      <c r="Y139" s="13">
        <f t="shared" si="29"/>
        <v>6</v>
      </c>
      <c r="Z139" s="13">
        <f t="shared" si="29"/>
        <v>2</v>
      </c>
      <c r="AA139" s="13">
        <f t="shared" si="29"/>
        <v>1</v>
      </c>
      <c r="AB139" s="13">
        <f t="shared" si="29"/>
        <v>2</v>
      </c>
      <c r="AC139" s="13">
        <f t="shared" si="29"/>
        <v>3</v>
      </c>
      <c r="AD139" s="13">
        <f t="shared" si="29"/>
        <v>0</v>
      </c>
      <c r="AE139" s="13">
        <f t="shared" si="29"/>
        <v>0</v>
      </c>
      <c r="AF139" s="13">
        <f t="shared" si="29"/>
        <v>0</v>
      </c>
      <c r="AG139" s="13">
        <f t="shared" si="29"/>
        <v>1</v>
      </c>
      <c r="AH139" s="13">
        <f t="shared" si="29"/>
        <v>2</v>
      </c>
      <c r="AI139" s="13">
        <f t="shared" si="29"/>
        <v>5</v>
      </c>
      <c r="AJ139" s="13">
        <f t="shared" si="29"/>
        <v>0</v>
      </c>
      <c r="AK139" s="13">
        <f t="shared" si="29"/>
        <v>0</v>
      </c>
      <c r="AL139" s="13">
        <f t="shared" si="29"/>
        <v>1</v>
      </c>
      <c r="AM139" s="13">
        <f t="shared" si="29"/>
        <v>114</v>
      </c>
      <c r="AN139" s="5"/>
      <c r="AO139" s="5"/>
    </row>
    <row r="140" ht="12.75" customHeight="1">
      <c r="A140" s="24"/>
      <c r="B140" s="15"/>
      <c r="C140" s="15"/>
      <c r="D140" s="15"/>
      <c r="E140" s="16"/>
      <c r="F140" s="84"/>
      <c r="G140" s="84"/>
      <c r="H140" s="84"/>
      <c r="I140" s="84"/>
      <c r="J140" s="84"/>
      <c r="K140" s="84"/>
      <c r="L140" s="84"/>
      <c r="M140" s="84"/>
      <c r="N140" s="84"/>
      <c r="O140" s="84"/>
      <c r="P140" s="84"/>
      <c r="Q140" s="84"/>
      <c r="R140" s="84"/>
      <c r="S140" s="84"/>
      <c r="T140" s="84"/>
      <c r="U140" s="84"/>
      <c r="V140" s="84"/>
      <c r="W140" s="84"/>
      <c r="X140" s="84"/>
      <c r="Y140" s="84"/>
      <c r="Z140" s="84"/>
      <c r="AA140" s="84"/>
      <c r="AB140" s="84"/>
      <c r="AC140" s="84"/>
      <c r="AD140" s="84"/>
      <c r="AE140" s="84"/>
      <c r="AF140" s="84"/>
      <c r="AG140" s="84"/>
      <c r="AH140" s="84"/>
      <c r="AI140" s="84"/>
      <c r="AJ140" s="84"/>
      <c r="AK140" s="84"/>
      <c r="AL140" s="84"/>
      <c r="AM140" s="84"/>
      <c r="AN140" s="5"/>
      <c r="AO140" s="5"/>
    </row>
    <row r="141" ht="12.75" customHeight="1">
      <c r="A141" s="30" t="s">
        <v>37</v>
      </c>
      <c r="B141" s="47" t="s">
        <v>104</v>
      </c>
      <c r="C141" s="48" t="s">
        <v>105</v>
      </c>
      <c r="D141" s="16"/>
      <c r="E141" s="19">
        <v>1.0</v>
      </c>
      <c r="F141" s="19">
        <v>0.0</v>
      </c>
      <c r="G141" s="19">
        <v>0.0</v>
      </c>
      <c r="H141" s="19">
        <v>0.0</v>
      </c>
      <c r="I141" s="19">
        <v>0.0</v>
      </c>
      <c r="J141" s="19">
        <v>0.0</v>
      </c>
      <c r="K141" s="19">
        <v>0.0</v>
      </c>
      <c r="L141" s="19">
        <v>0.0</v>
      </c>
      <c r="M141" s="19">
        <v>0.0</v>
      </c>
      <c r="N141" s="19">
        <v>0.0</v>
      </c>
      <c r="O141" s="19">
        <v>0.0</v>
      </c>
      <c r="P141" s="19">
        <v>0.0</v>
      </c>
      <c r="Q141" s="19">
        <v>0.0</v>
      </c>
      <c r="R141" s="19">
        <v>0.0</v>
      </c>
      <c r="S141" s="19">
        <v>0.0</v>
      </c>
      <c r="T141" s="19">
        <v>0.0</v>
      </c>
      <c r="U141" s="19">
        <v>0.0</v>
      </c>
      <c r="V141" s="19">
        <v>0.0</v>
      </c>
      <c r="W141" s="19">
        <v>0.0</v>
      </c>
      <c r="X141" s="19">
        <v>0.0</v>
      </c>
      <c r="Y141" s="19">
        <v>0.0</v>
      </c>
      <c r="Z141" s="19">
        <v>0.0</v>
      </c>
      <c r="AA141" s="19">
        <v>0.0</v>
      </c>
      <c r="AB141" s="19">
        <v>0.0</v>
      </c>
      <c r="AC141" s="19">
        <v>0.0</v>
      </c>
      <c r="AD141" s="19">
        <v>0.0</v>
      </c>
      <c r="AE141" s="19">
        <v>0.0</v>
      </c>
      <c r="AF141" s="19">
        <v>0.0</v>
      </c>
      <c r="AG141" s="19">
        <v>0.0</v>
      </c>
      <c r="AH141" s="19">
        <v>0.0</v>
      </c>
      <c r="AI141" s="19">
        <v>0.0</v>
      </c>
      <c r="AJ141" s="19">
        <v>0.0</v>
      </c>
      <c r="AK141" s="19">
        <v>0.0</v>
      </c>
      <c r="AL141" s="19">
        <v>0.0</v>
      </c>
      <c r="AM141" s="13">
        <f t="shared" ref="AM141:AM150" si="30">SUM(E141:AL141)</f>
        <v>1</v>
      </c>
      <c r="AN141" s="1"/>
      <c r="AO141" s="1"/>
    </row>
    <row r="142" ht="12.75" customHeight="1">
      <c r="A142" s="30" t="s">
        <v>39</v>
      </c>
      <c r="B142" s="55">
        <v>1.0</v>
      </c>
      <c r="C142" s="50" t="s">
        <v>106</v>
      </c>
      <c r="D142" s="60"/>
      <c r="E142" s="19">
        <v>0.0</v>
      </c>
      <c r="F142" s="19">
        <v>1.0</v>
      </c>
      <c r="G142" s="19">
        <v>0.0</v>
      </c>
      <c r="H142" s="19">
        <v>0.0</v>
      </c>
      <c r="I142" s="19">
        <v>0.0</v>
      </c>
      <c r="J142" s="19">
        <v>0.0</v>
      </c>
      <c r="K142" s="19">
        <v>0.0</v>
      </c>
      <c r="L142" s="19">
        <v>0.0</v>
      </c>
      <c r="M142" s="19">
        <v>0.0</v>
      </c>
      <c r="N142" s="19">
        <v>0.0</v>
      </c>
      <c r="O142" s="19">
        <v>0.0</v>
      </c>
      <c r="P142" s="19">
        <v>0.0</v>
      </c>
      <c r="Q142" s="19">
        <v>0.0</v>
      </c>
      <c r="R142" s="19">
        <v>0.0</v>
      </c>
      <c r="S142" s="19">
        <v>0.0</v>
      </c>
      <c r="T142" s="19">
        <v>0.0</v>
      </c>
      <c r="U142" s="19">
        <v>0.0</v>
      </c>
      <c r="V142" s="19">
        <v>0.0</v>
      </c>
      <c r="W142" s="19">
        <v>0.0</v>
      </c>
      <c r="X142" s="19">
        <v>0.0</v>
      </c>
      <c r="Y142" s="19">
        <v>0.0</v>
      </c>
      <c r="Z142" s="19">
        <v>0.0</v>
      </c>
      <c r="AA142" s="19">
        <v>0.0</v>
      </c>
      <c r="AB142" s="19">
        <v>0.0</v>
      </c>
      <c r="AC142" s="19">
        <v>0.0</v>
      </c>
      <c r="AD142" s="19">
        <v>0.0</v>
      </c>
      <c r="AE142" s="19">
        <v>0.0</v>
      </c>
      <c r="AF142" s="19">
        <v>0.0</v>
      </c>
      <c r="AG142" s="19">
        <v>0.0</v>
      </c>
      <c r="AH142" s="19">
        <v>0.0</v>
      </c>
      <c r="AI142" s="19">
        <v>0.0</v>
      </c>
      <c r="AJ142" s="19">
        <v>0.0</v>
      </c>
      <c r="AK142" s="19">
        <v>0.0</v>
      </c>
      <c r="AL142" s="19">
        <v>0.0</v>
      </c>
      <c r="AM142" s="13">
        <f t="shared" si="30"/>
        <v>1</v>
      </c>
      <c r="AN142" s="52"/>
      <c r="AO142" s="52"/>
    </row>
    <row r="143" ht="12.75" customHeight="1">
      <c r="A143" s="18"/>
      <c r="B143" s="55">
        <v>2.0</v>
      </c>
      <c r="C143" s="50" t="s">
        <v>107</v>
      </c>
      <c r="D143" s="60"/>
      <c r="E143" s="19">
        <v>0.0</v>
      </c>
      <c r="F143" s="19">
        <v>0.0</v>
      </c>
      <c r="G143" s="19">
        <v>0.0</v>
      </c>
      <c r="H143" s="19">
        <v>0.0</v>
      </c>
      <c r="I143" s="19">
        <v>0.0</v>
      </c>
      <c r="J143" s="19">
        <v>0.0</v>
      </c>
      <c r="K143" s="19">
        <v>0.0</v>
      </c>
      <c r="L143" s="19">
        <v>0.0</v>
      </c>
      <c r="M143" s="19">
        <v>0.0</v>
      </c>
      <c r="N143" s="19">
        <v>0.0</v>
      </c>
      <c r="O143" s="19">
        <v>0.0</v>
      </c>
      <c r="P143" s="19">
        <v>0.0</v>
      </c>
      <c r="Q143" s="19">
        <v>0.0</v>
      </c>
      <c r="R143" s="19">
        <v>0.0</v>
      </c>
      <c r="S143" s="19">
        <v>0.0</v>
      </c>
      <c r="T143" s="19">
        <v>0.0</v>
      </c>
      <c r="U143" s="19">
        <v>0.0</v>
      </c>
      <c r="V143" s="19">
        <v>0.0</v>
      </c>
      <c r="W143" s="19">
        <v>0.0</v>
      </c>
      <c r="X143" s="19">
        <v>0.0</v>
      </c>
      <c r="Y143" s="19">
        <v>0.0</v>
      </c>
      <c r="Z143" s="19">
        <v>0.0</v>
      </c>
      <c r="AA143" s="19">
        <v>0.0</v>
      </c>
      <c r="AB143" s="19">
        <v>0.0</v>
      </c>
      <c r="AC143" s="19">
        <v>0.0</v>
      </c>
      <c r="AD143" s="19">
        <v>0.0</v>
      </c>
      <c r="AE143" s="19">
        <v>0.0</v>
      </c>
      <c r="AF143" s="19">
        <v>0.0</v>
      </c>
      <c r="AG143" s="19">
        <v>0.0</v>
      </c>
      <c r="AH143" s="19">
        <v>0.0</v>
      </c>
      <c r="AI143" s="19">
        <v>0.0</v>
      </c>
      <c r="AJ143" s="19">
        <v>0.0</v>
      </c>
      <c r="AK143" s="19">
        <v>0.0</v>
      </c>
      <c r="AL143" s="19">
        <v>0.0</v>
      </c>
      <c r="AM143" s="13">
        <f t="shared" si="30"/>
        <v>0</v>
      </c>
      <c r="AN143" s="5"/>
      <c r="AO143" s="5"/>
    </row>
    <row r="144" ht="12.75" customHeight="1">
      <c r="A144" s="18"/>
      <c r="B144" s="55">
        <v>3.0</v>
      </c>
      <c r="C144" s="50" t="s">
        <v>108</v>
      </c>
      <c r="D144" s="60"/>
      <c r="E144" s="19">
        <v>0.0</v>
      </c>
      <c r="F144" s="19">
        <v>0.0</v>
      </c>
      <c r="G144" s="19">
        <v>0.0</v>
      </c>
      <c r="H144" s="19">
        <v>0.0</v>
      </c>
      <c r="I144" s="19">
        <v>0.0</v>
      </c>
      <c r="J144" s="19">
        <v>0.0</v>
      </c>
      <c r="K144" s="19">
        <v>0.0</v>
      </c>
      <c r="L144" s="19">
        <v>0.0</v>
      </c>
      <c r="M144" s="19">
        <v>0.0</v>
      </c>
      <c r="N144" s="19">
        <v>0.0</v>
      </c>
      <c r="O144" s="19">
        <v>0.0</v>
      </c>
      <c r="P144" s="19">
        <v>0.0</v>
      </c>
      <c r="Q144" s="19">
        <v>0.0</v>
      </c>
      <c r="R144" s="19">
        <v>0.0</v>
      </c>
      <c r="S144" s="19">
        <v>0.0</v>
      </c>
      <c r="T144" s="19">
        <v>0.0</v>
      </c>
      <c r="U144" s="19">
        <v>0.0</v>
      </c>
      <c r="V144" s="19">
        <v>0.0</v>
      </c>
      <c r="W144" s="19">
        <v>0.0</v>
      </c>
      <c r="X144" s="19">
        <v>0.0</v>
      </c>
      <c r="Y144" s="19">
        <v>0.0</v>
      </c>
      <c r="Z144" s="19">
        <v>0.0</v>
      </c>
      <c r="AA144" s="19">
        <v>0.0</v>
      </c>
      <c r="AB144" s="19">
        <v>0.0</v>
      </c>
      <c r="AC144" s="19">
        <v>0.0</v>
      </c>
      <c r="AD144" s="19">
        <v>0.0</v>
      </c>
      <c r="AE144" s="19">
        <v>0.0</v>
      </c>
      <c r="AF144" s="19">
        <v>0.0</v>
      </c>
      <c r="AG144" s="19">
        <v>1.0</v>
      </c>
      <c r="AH144" s="19">
        <v>1.0</v>
      </c>
      <c r="AI144" s="19">
        <v>0.0</v>
      </c>
      <c r="AJ144" s="19">
        <v>0.0</v>
      </c>
      <c r="AK144" s="19">
        <v>0.0</v>
      </c>
      <c r="AL144" s="19">
        <v>0.0</v>
      </c>
      <c r="AM144" s="13">
        <f t="shared" si="30"/>
        <v>2</v>
      </c>
      <c r="AN144" s="5"/>
      <c r="AO144" s="5"/>
    </row>
    <row r="145" ht="12.75" customHeight="1">
      <c r="A145" s="18"/>
      <c r="B145" s="55">
        <v>4.0</v>
      </c>
      <c r="C145" s="50" t="s">
        <v>109</v>
      </c>
      <c r="D145" s="60"/>
      <c r="E145" s="19">
        <v>0.0</v>
      </c>
      <c r="F145" s="19">
        <v>0.0</v>
      </c>
      <c r="G145" s="19">
        <v>0.0</v>
      </c>
      <c r="H145" s="19">
        <v>0.0</v>
      </c>
      <c r="I145" s="19">
        <v>0.0</v>
      </c>
      <c r="J145" s="19">
        <v>0.0</v>
      </c>
      <c r="K145" s="19">
        <v>0.0</v>
      </c>
      <c r="L145" s="19">
        <v>0.0</v>
      </c>
      <c r="M145" s="19">
        <v>0.0</v>
      </c>
      <c r="N145" s="19">
        <v>0.0</v>
      </c>
      <c r="O145" s="19">
        <v>0.0</v>
      </c>
      <c r="P145" s="19">
        <v>0.0</v>
      </c>
      <c r="Q145" s="19">
        <v>0.0</v>
      </c>
      <c r="R145" s="19">
        <v>0.0</v>
      </c>
      <c r="S145" s="19">
        <v>0.0</v>
      </c>
      <c r="T145" s="19">
        <v>0.0</v>
      </c>
      <c r="U145" s="19">
        <v>0.0</v>
      </c>
      <c r="V145" s="19">
        <v>0.0</v>
      </c>
      <c r="W145" s="19">
        <v>0.0</v>
      </c>
      <c r="X145" s="19">
        <v>0.0</v>
      </c>
      <c r="Y145" s="19">
        <v>0.0</v>
      </c>
      <c r="Z145" s="19">
        <v>0.0</v>
      </c>
      <c r="AA145" s="19">
        <v>0.0</v>
      </c>
      <c r="AB145" s="19">
        <v>0.0</v>
      </c>
      <c r="AC145" s="19">
        <v>0.0</v>
      </c>
      <c r="AD145" s="19">
        <v>0.0</v>
      </c>
      <c r="AE145" s="19">
        <v>0.0</v>
      </c>
      <c r="AF145" s="19">
        <v>0.0</v>
      </c>
      <c r="AG145" s="19">
        <v>0.0</v>
      </c>
      <c r="AH145" s="19">
        <v>0.0</v>
      </c>
      <c r="AI145" s="19">
        <v>0.0</v>
      </c>
      <c r="AJ145" s="19">
        <v>0.0</v>
      </c>
      <c r="AK145" s="19">
        <v>0.0</v>
      </c>
      <c r="AL145" s="19">
        <v>0.0</v>
      </c>
      <c r="AM145" s="13">
        <f t="shared" si="30"/>
        <v>0</v>
      </c>
      <c r="AN145" s="5"/>
      <c r="AO145" s="5"/>
    </row>
    <row r="146" ht="12.75" customHeight="1">
      <c r="A146" s="18"/>
      <c r="B146" s="55">
        <v>5.0</v>
      </c>
      <c r="C146" s="50" t="s">
        <v>110</v>
      </c>
      <c r="D146" s="60"/>
      <c r="E146" s="19">
        <v>0.0</v>
      </c>
      <c r="F146" s="19">
        <v>0.0</v>
      </c>
      <c r="G146" s="19">
        <v>0.0</v>
      </c>
      <c r="H146" s="19">
        <v>0.0</v>
      </c>
      <c r="I146" s="19">
        <v>0.0</v>
      </c>
      <c r="J146" s="19">
        <v>0.0</v>
      </c>
      <c r="K146" s="19">
        <v>0.0</v>
      </c>
      <c r="L146" s="19">
        <v>0.0</v>
      </c>
      <c r="M146" s="19">
        <v>0.0</v>
      </c>
      <c r="N146" s="19">
        <v>0.0</v>
      </c>
      <c r="O146" s="19">
        <v>0.0</v>
      </c>
      <c r="P146" s="19">
        <v>0.0</v>
      </c>
      <c r="Q146" s="19">
        <v>0.0</v>
      </c>
      <c r="R146" s="19">
        <v>0.0</v>
      </c>
      <c r="S146" s="19">
        <v>0.0</v>
      </c>
      <c r="T146" s="19">
        <v>0.0</v>
      </c>
      <c r="U146" s="19">
        <v>0.0</v>
      </c>
      <c r="V146" s="19">
        <v>0.0</v>
      </c>
      <c r="W146" s="19">
        <v>0.0</v>
      </c>
      <c r="X146" s="19">
        <v>0.0</v>
      </c>
      <c r="Y146" s="19">
        <v>0.0</v>
      </c>
      <c r="Z146" s="19">
        <v>0.0</v>
      </c>
      <c r="AA146" s="19">
        <v>0.0</v>
      </c>
      <c r="AB146" s="19">
        <v>0.0</v>
      </c>
      <c r="AC146" s="19">
        <v>0.0</v>
      </c>
      <c r="AD146" s="19">
        <v>0.0</v>
      </c>
      <c r="AE146" s="19">
        <v>0.0</v>
      </c>
      <c r="AF146" s="19">
        <v>0.0</v>
      </c>
      <c r="AG146" s="19">
        <v>0.0</v>
      </c>
      <c r="AH146" s="19">
        <v>0.0</v>
      </c>
      <c r="AI146" s="19">
        <v>0.0</v>
      </c>
      <c r="AJ146" s="19">
        <v>0.0</v>
      </c>
      <c r="AK146" s="19">
        <v>0.0</v>
      </c>
      <c r="AL146" s="19">
        <v>0.0</v>
      </c>
      <c r="AM146" s="13">
        <f t="shared" si="30"/>
        <v>0</v>
      </c>
      <c r="AN146" s="5"/>
      <c r="AO146" s="5"/>
    </row>
    <row r="147" ht="12.75" customHeight="1">
      <c r="A147" s="18"/>
      <c r="B147" s="55">
        <v>6.0</v>
      </c>
      <c r="C147" s="50" t="s">
        <v>111</v>
      </c>
      <c r="D147" s="60"/>
      <c r="E147" s="19">
        <v>0.0</v>
      </c>
      <c r="F147" s="19">
        <v>0.0</v>
      </c>
      <c r="G147" s="19">
        <v>0.0</v>
      </c>
      <c r="H147" s="19">
        <v>0.0</v>
      </c>
      <c r="I147" s="19">
        <v>0.0</v>
      </c>
      <c r="J147" s="19">
        <v>0.0</v>
      </c>
      <c r="K147" s="19">
        <v>0.0</v>
      </c>
      <c r="L147" s="19">
        <v>0.0</v>
      </c>
      <c r="M147" s="19">
        <v>0.0</v>
      </c>
      <c r="N147" s="19">
        <v>0.0</v>
      </c>
      <c r="O147" s="19">
        <v>0.0</v>
      </c>
      <c r="P147" s="19">
        <v>0.0</v>
      </c>
      <c r="Q147" s="19">
        <v>0.0</v>
      </c>
      <c r="R147" s="19">
        <v>0.0</v>
      </c>
      <c r="S147" s="19">
        <v>0.0</v>
      </c>
      <c r="T147" s="19">
        <v>0.0</v>
      </c>
      <c r="U147" s="19">
        <v>0.0</v>
      </c>
      <c r="V147" s="19">
        <v>0.0</v>
      </c>
      <c r="W147" s="19">
        <v>0.0</v>
      </c>
      <c r="X147" s="19">
        <v>0.0</v>
      </c>
      <c r="Y147" s="19">
        <v>0.0</v>
      </c>
      <c r="Z147" s="19">
        <v>0.0</v>
      </c>
      <c r="AA147" s="19">
        <v>0.0</v>
      </c>
      <c r="AB147" s="19">
        <v>0.0</v>
      </c>
      <c r="AC147" s="19">
        <v>0.0</v>
      </c>
      <c r="AD147" s="19">
        <v>0.0</v>
      </c>
      <c r="AE147" s="19">
        <v>0.0</v>
      </c>
      <c r="AF147" s="19">
        <v>0.0</v>
      </c>
      <c r="AG147" s="19">
        <v>0.0</v>
      </c>
      <c r="AH147" s="19">
        <v>0.0</v>
      </c>
      <c r="AI147" s="19">
        <v>0.0</v>
      </c>
      <c r="AJ147" s="19">
        <v>0.0</v>
      </c>
      <c r="AK147" s="19">
        <v>0.0</v>
      </c>
      <c r="AL147" s="19">
        <v>0.0</v>
      </c>
      <c r="AM147" s="13">
        <f t="shared" si="30"/>
        <v>0</v>
      </c>
      <c r="AN147" s="5"/>
      <c r="AO147" s="5"/>
    </row>
    <row r="148" ht="12.75" customHeight="1">
      <c r="A148" s="18"/>
      <c r="B148" s="55">
        <v>7.0</v>
      </c>
      <c r="C148" s="50" t="s">
        <v>112</v>
      </c>
      <c r="D148" s="60"/>
      <c r="E148" s="19">
        <v>0.0</v>
      </c>
      <c r="F148" s="19">
        <v>0.0</v>
      </c>
      <c r="G148" s="19">
        <v>0.0</v>
      </c>
      <c r="H148" s="19">
        <v>0.0</v>
      </c>
      <c r="I148" s="19">
        <v>0.0</v>
      </c>
      <c r="J148" s="19">
        <v>0.0</v>
      </c>
      <c r="K148" s="19">
        <v>0.0</v>
      </c>
      <c r="L148" s="19">
        <v>0.0</v>
      </c>
      <c r="M148" s="19">
        <v>0.0</v>
      </c>
      <c r="N148" s="19">
        <v>0.0</v>
      </c>
      <c r="O148" s="19">
        <v>0.0</v>
      </c>
      <c r="P148" s="19">
        <v>0.0</v>
      </c>
      <c r="Q148" s="19">
        <v>0.0</v>
      </c>
      <c r="R148" s="19">
        <v>0.0</v>
      </c>
      <c r="S148" s="19">
        <v>0.0</v>
      </c>
      <c r="T148" s="19">
        <v>0.0</v>
      </c>
      <c r="U148" s="19">
        <v>0.0</v>
      </c>
      <c r="V148" s="19">
        <v>0.0</v>
      </c>
      <c r="W148" s="19">
        <v>0.0</v>
      </c>
      <c r="X148" s="19">
        <v>0.0</v>
      </c>
      <c r="Y148" s="19">
        <v>0.0</v>
      </c>
      <c r="Z148" s="19">
        <v>0.0</v>
      </c>
      <c r="AA148" s="19">
        <v>0.0</v>
      </c>
      <c r="AB148" s="19">
        <v>0.0</v>
      </c>
      <c r="AC148" s="19">
        <v>0.0</v>
      </c>
      <c r="AD148" s="19">
        <v>0.0</v>
      </c>
      <c r="AE148" s="19">
        <v>0.0</v>
      </c>
      <c r="AF148" s="19">
        <v>0.0</v>
      </c>
      <c r="AG148" s="19">
        <v>0.0</v>
      </c>
      <c r="AH148" s="19">
        <v>0.0</v>
      </c>
      <c r="AI148" s="19">
        <v>0.0</v>
      </c>
      <c r="AJ148" s="19">
        <v>0.0</v>
      </c>
      <c r="AK148" s="19">
        <v>0.0</v>
      </c>
      <c r="AL148" s="19">
        <v>0.0</v>
      </c>
      <c r="AM148" s="13">
        <f t="shared" si="30"/>
        <v>0</v>
      </c>
      <c r="AN148" s="5"/>
      <c r="AO148" s="5"/>
    </row>
    <row r="149" ht="12.75" customHeight="1">
      <c r="A149" s="18"/>
      <c r="B149" s="56"/>
      <c r="C149" s="57"/>
      <c r="D149" s="62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  <c r="AB149" s="19"/>
      <c r="AC149" s="19"/>
      <c r="AD149" s="19"/>
      <c r="AE149" s="19"/>
      <c r="AF149" s="19"/>
      <c r="AG149" s="19"/>
      <c r="AH149" s="19"/>
      <c r="AI149" s="19"/>
      <c r="AJ149" s="19"/>
      <c r="AK149" s="19"/>
      <c r="AL149" s="19"/>
      <c r="AM149" s="13">
        <f t="shared" si="30"/>
        <v>0</v>
      </c>
      <c r="AN149" s="5"/>
      <c r="AO149" s="5"/>
    </row>
    <row r="150" ht="12.75" customHeight="1">
      <c r="A150" s="18"/>
      <c r="B150" s="56"/>
      <c r="C150" s="57"/>
      <c r="D150" s="62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  <c r="AB150" s="19"/>
      <c r="AC150" s="19"/>
      <c r="AD150" s="19"/>
      <c r="AE150" s="19"/>
      <c r="AF150" s="19"/>
      <c r="AG150" s="19"/>
      <c r="AH150" s="19"/>
      <c r="AI150" s="19"/>
      <c r="AJ150" s="19"/>
      <c r="AK150" s="19"/>
      <c r="AL150" s="19"/>
      <c r="AM150" s="13">
        <f t="shared" si="30"/>
        <v>0</v>
      </c>
      <c r="AN150" s="5"/>
      <c r="AO150" s="5"/>
    </row>
    <row r="151" ht="12.75" customHeight="1">
      <c r="A151" s="19" t="s">
        <v>15</v>
      </c>
      <c r="B151" s="47" t="s">
        <v>47</v>
      </c>
      <c r="C151" s="15"/>
      <c r="D151" s="16"/>
      <c r="E151" s="13">
        <f t="shared" ref="E151:AM151" si="31">SUM(E141:E150)</f>
        <v>1</v>
      </c>
      <c r="F151" s="13">
        <f t="shared" si="31"/>
        <v>1</v>
      </c>
      <c r="G151" s="13">
        <f t="shared" si="31"/>
        <v>0</v>
      </c>
      <c r="H151" s="13">
        <f t="shared" si="31"/>
        <v>0</v>
      </c>
      <c r="I151" s="13">
        <f t="shared" si="31"/>
        <v>0</v>
      </c>
      <c r="J151" s="13">
        <f t="shared" si="31"/>
        <v>0</v>
      </c>
      <c r="K151" s="13">
        <f t="shared" si="31"/>
        <v>0</v>
      </c>
      <c r="L151" s="13">
        <f t="shared" si="31"/>
        <v>0</v>
      </c>
      <c r="M151" s="13">
        <f t="shared" si="31"/>
        <v>0</v>
      </c>
      <c r="N151" s="13">
        <f t="shared" si="31"/>
        <v>0</v>
      </c>
      <c r="O151" s="13">
        <f t="shared" si="31"/>
        <v>0</v>
      </c>
      <c r="P151" s="13">
        <f t="shared" si="31"/>
        <v>0</v>
      </c>
      <c r="Q151" s="13">
        <f t="shared" si="31"/>
        <v>0</v>
      </c>
      <c r="R151" s="13">
        <f t="shared" si="31"/>
        <v>0</v>
      </c>
      <c r="S151" s="13">
        <f t="shared" si="31"/>
        <v>0</v>
      </c>
      <c r="T151" s="13">
        <f t="shared" si="31"/>
        <v>0</v>
      </c>
      <c r="U151" s="13">
        <f t="shared" si="31"/>
        <v>0</v>
      </c>
      <c r="V151" s="13">
        <f t="shared" si="31"/>
        <v>0</v>
      </c>
      <c r="W151" s="13">
        <f t="shared" si="31"/>
        <v>0</v>
      </c>
      <c r="X151" s="13">
        <f t="shared" si="31"/>
        <v>0</v>
      </c>
      <c r="Y151" s="13">
        <f t="shared" si="31"/>
        <v>0</v>
      </c>
      <c r="Z151" s="13">
        <f t="shared" si="31"/>
        <v>0</v>
      </c>
      <c r="AA151" s="13">
        <f t="shared" si="31"/>
        <v>0</v>
      </c>
      <c r="AB151" s="13">
        <f t="shared" si="31"/>
        <v>0</v>
      </c>
      <c r="AC151" s="13">
        <f t="shared" si="31"/>
        <v>0</v>
      </c>
      <c r="AD151" s="13">
        <f t="shared" si="31"/>
        <v>0</v>
      </c>
      <c r="AE151" s="13">
        <f t="shared" si="31"/>
        <v>0</v>
      </c>
      <c r="AF151" s="13">
        <f t="shared" si="31"/>
        <v>0</v>
      </c>
      <c r="AG151" s="13">
        <f t="shared" si="31"/>
        <v>1</v>
      </c>
      <c r="AH151" s="13">
        <f t="shared" si="31"/>
        <v>1</v>
      </c>
      <c r="AI151" s="13">
        <f t="shared" si="31"/>
        <v>0</v>
      </c>
      <c r="AJ151" s="13">
        <f t="shared" si="31"/>
        <v>0</v>
      </c>
      <c r="AK151" s="13">
        <f t="shared" si="31"/>
        <v>0</v>
      </c>
      <c r="AL151" s="13">
        <f t="shared" si="31"/>
        <v>0</v>
      </c>
      <c r="AM151" s="13">
        <f t="shared" si="31"/>
        <v>4</v>
      </c>
      <c r="AN151" s="1"/>
      <c r="AO151" s="1"/>
    </row>
    <row r="152" ht="12.75" customHeight="1">
      <c r="A152" s="24"/>
      <c r="B152" s="15"/>
      <c r="C152" s="15"/>
      <c r="D152" s="15"/>
      <c r="E152" s="16"/>
      <c r="F152" s="84"/>
      <c r="G152" s="84"/>
      <c r="H152" s="84"/>
      <c r="I152" s="84"/>
      <c r="J152" s="84"/>
      <c r="K152" s="84"/>
      <c r="L152" s="84"/>
      <c r="M152" s="84"/>
      <c r="N152" s="84"/>
      <c r="O152" s="84"/>
      <c r="P152" s="84"/>
      <c r="Q152" s="84"/>
      <c r="R152" s="84"/>
      <c r="S152" s="84"/>
      <c r="T152" s="84"/>
      <c r="U152" s="84"/>
      <c r="V152" s="84"/>
      <c r="W152" s="84"/>
      <c r="X152" s="84"/>
      <c r="Y152" s="84"/>
      <c r="Z152" s="84"/>
      <c r="AA152" s="84"/>
      <c r="AB152" s="84"/>
      <c r="AC152" s="84"/>
      <c r="AD152" s="84"/>
      <c r="AE152" s="84"/>
      <c r="AF152" s="84"/>
      <c r="AG152" s="84"/>
      <c r="AH152" s="84"/>
      <c r="AI152" s="84"/>
      <c r="AJ152" s="84"/>
      <c r="AK152" s="84"/>
      <c r="AL152" s="84"/>
      <c r="AM152" s="13"/>
      <c r="AN152" s="52"/>
      <c r="AO152" s="52"/>
    </row>
    <row r="153" ht="12.75" customHeight="1">
      <c r="A153" s="30" t="s">
        <v>37</v>
      </c>
      <c r="B153" s="17" t="s">
        <v>113</v>
      </c>
      <c r="C153" s="65" t="s">
        <v>114</v>
      </c>
      <c r="D153" s="23"/>
      <c r="E153" s="19">
        <v>0.0</v>
      </c>
      <c r="F153" s="19">
        <v>0.0</v>
      </c>
      <c r="G153" s="19">
        <v>0.0</v>
      </c>
      <c r="H153" s="19">
        <v>0.0</v>
      </c>
      <c r="I153" s="19">
        <v>0.0</v>
      </c>
      <c r="J153" s="19">
        <v>0.0</v>
      </c>
      <c r="K153" s="19">
        <v>0.0</v>
      </c>
      <c r="L153" s="19">
        <v>1.0</v>
      </c>
      <c r="M153" s="19">
        <v>0.0</v>
      </c>
      <c r="N153" s="19">
        <v>0.0</v>
      </c>
      <c r="O153" s="19">
        <v>1.0</v>
      </c>
      <c r="P153" s="19">
        <v>0.0</v>
      </c>
      <c r="Q153" s="19">
        <v>0.0</v>
      </c>
      <c r="R153" s="19">
        <v>0.0</v>
      </c>
      <c r="S153" s="19">
        <v>1.0</v>
      </c>
      <c r="T153" s="19">
        <v>0.0</v>
      </c>
      <c r="U153" s="19">
        <v>0.0</v>
      </c>
      <c r="V153" s="19">
        <v>0.0</v>
      </c>
      <c r="W153" s="19">
        <v>0.0</v>
      </c>
      <c r="X153" s="19">
        <v>1.0</v>
      </c>
      <c r="Y153" s="19">
        <v>0.0</v>
      </c>
      <c r="Z153" s="19">
        <v>0.0</v>
      </c>
      <c r="AA153" s="19">
        <v>0.0</v>
      </c>
      <c r="AB153" s="19">
        <v>0.0</v>
      </c>
      <c r="AC153" s="19">
        <v>0.0</v>
      </c>
      <c r="AD153" s="19">
        <v>1.0</v>
      </c>
      <c r="AE153" s="19">
        <v>0.0</v>
      </c>
      <c r="AF153" s="19">
        <v>0.0</v>
      </c>
      <c r="AG153" s="19">
        <v>0.0</v>
      </c>
      <c r="AH153" s="19">
        <v>0.0</v>
      </c>
      <c r="AI153" s="19">
        <v>0.0</v>
      </c>
      <c r="AJ153" s="19">
        <v>0.0</v>
      </c>
      <c r="AK153" s="19">
        <v>0.0</v>
      </c>
      <c r="AL153" s="19">
        <v>0.0</v>
      </c>
      <c r="AM153" s="13">
        <f t="shared" ref="AM153:AM163" si="32">SUM(E153:AL153)</f>
        <v>5</v>
      </c>
      <c r="AN153" s="5"/>
      <c r="AO153" s="5"/>
    </row>
    <row r="154" ht="12.75" customHeight="1">
      <c r="A154" s="66" t="s">
        <v>39</v>
      </c>
      <c r="B154" s="55">
        <v>1.0</v>
      </c>
      <c r="C154" s="67" t="s">
        <v>115</v>
      </c>
      <c r="D154" s="60"/>
      <c r="E154" s="86">
        <v>0.0</v>
      </c>
      <c r="F154" s="19">
        <v>0.0</v>
      </c>
      <c r="G154" s="19">
        <v>0.0</v>
      </c>
      <c r="H154" s="19">
        <v>0.0</v>
      </c>
      <c r="I154" s="19">
        <v>0.0</v>
      </c>
      <c r="J154" s="19">
        <v>0.0</v>
      </c>
      <c r="K154" s="19">
        <v>0.0</v>
      </c>
      <c r="L154" s="19">
        <v>0.0</v>
      </c>
      <c r="M154" s="19">
        <v>0.0</v>
      </c>
      <c r="N154" s="19">
        <v>0.0</v>
      </c>
      <c r="O154" s="19">
        <v>0.0</v>
      </c>
      <c r="P154" s="19">
        <v>0.0</v>
      </c>
      <c r="Q154" s="19">
        <v>0.0</v>
      </c>
      <c r="R154" s="19">
        <v>0.0</v>
      </c>
      <c r="S154" s="19">
        <v>0.0</v>
      </c>
      <c r="T154" s="19">
        <v>1.0</v>
      </c>
      <c r="U154" s="19">
        <v>0.0</v>
      </c>
      <c r="V154" s="19">
        <v>0.0</v>
      </c>
      <c r="W154" s="19">
        <v>0.0</v>
      </c>
      <c r="X154" s="19">
        <v>0.0</v>
      </c>
      <c r="Y154" s="19">
        <v>0.0</v>
      </c>
      <c r="Z154" s="19">
        <v>0.0</v>
      </c>
      <c r="AA154" s="19">
        <v>0.0</v>
      </c>
      <c r="AB154" s="19">
        <v>0.0</v>
      </c>
      <c r="AC154" s="19">
        <v>0.0</v>
      </c>
      <c r="AD154" s="19">
        <v>0.0</v>
      </c>
      <c r="AE154" s="19">
        <v>0.0</v>
      </c>
      <c r="AF154" s="19">
        <v>0.0</v>
      </c>
      <c r="AG154" s="19">
        <v>0.0</v>
      </c>
      <c r="AH154" s="19">
        <v>0.0</v>
      </c>
      <c r="AI154" s="19">
        <v>0.0</v>
      </c>
      <c r="AJ154" s="19">
        <v>0.0</v>
      </c>
      <c r="AK154" s="19">
        <v>0.0</v>
      </c>
      <c r="AL154" s="19">
        <v>0.0</v>
      </c>
      <c r="AM154" s="13">
        <f t="shared" si="32"/>
        <v>1</v>
      </c>
      <c r="AN154" s="5"/>
      <c r="AO154" s="5"/>
    </row>
    <row r="155" ht="12.75" customHeight="1">
      <c r="A155" s="18"/>
      <c r="B155" s="55">
        <v>2.0</v>
      </c>
      <c r="C155" s="67" t="s">
        <v>116</v>
      </c>
      <c r="D155" s="60"/>
      <c r="E155" s="86">
        <v>0.0</v>
      </c>
      <c r="F155" s="19">
        <v>0.0</v>
      </c>
      <c r="G155" s="19">
        <v>0.0</v>
      </c>
      <c r="H155" s="19">
        <v>0.0</v>
      </c>
      <c r="I155" s="19">
        <v>0.0</v>
      </c>
      <c r="J155" s="19">
        <v>0.0</v>
      </c>
      <c r="K155" s="19">
        <v>0.0</v>
      </c>
      <c r="L155" s="19">
        <v>0.0</v>
      </c>
      <c r="M155" s="19">
        <v>0.0</v>
      </c>
      <c r="N155" s="19">
        <v>1.0</v>
      </c>
      <c r="O155" s="19">
        <v>1.0</v>
      </c>
      <c r="P155" s="19">
        <v>0.0</v>
      </c>
      <c r="Q155" s="19">
        <v>0.0</v>
      </c>
      <c r="R155" s="19">
        <v>0.0</v>
      </c>
      <c r="S155" s="19">
        <v>0.0</v>
      </c>
      <c r="T155" s="19">
        <v>0.0</v>
      </c>
      <c r="U155" s="19">
        <v>1.0</v>
      </c>
      <c r="V155" s="19">
        <v>0.0</v>
      </c>
      <c r="W155" s="19">
        <v>0.0</v>
      </c>
      <c r="X155" s="19">
        <v>0.0</v>
      </c>
      <c r="Y155" s="19">
        <v>0.0</v>
      </c>
      <c r="Z155" s="19">
        <v>0.0</v>
      </c>
      <c r="AA155" s="19">
        <v>0.0</v>
      </c>
      <c r="AB155" s="19">
        <v>0.0</v>
      </c>
      <c r="AC155" s="19">
        <v>2.0</v>
      </c>
      <c r="AD155" s="19">
        <v>0.0</v>
      </c>
      <c r="AE155" s="19">
        <v>0.0</v>
      </c>
      <c r="AF155" s="19">
        <v>0.0</v>
      </c>
      <c r="AG155" s="19">
        <v>0.0</v>
      </c>
      <c r="AH155" s="19">
        <v>0.0</v>
      </c>
      <c r="AI155" s="19">
        <v>0.0</v>
      </c>
      <c r="AJ155" s="19">
        <v>0.0</v>
      </c>
      <c r="AK155" s="19">
        <v>0.0</v>
      </c>
      <c r="AL155" s="19">
        <v>0.0</v>
      </c>
      <c r="AM155" s="13">
        <f t="shared" si="32"/>
        <v>5</v>
      </c>
      <c r="AN155" s="5"/>
      <c r="AO155" s="5"/>
    </row>
    <row r="156" ht="12.75" customHeight="1">
      <c r="A156" s="18"/>
      <c r="B156" s="55">
        <v>3.0</v>
      </c>
      <c r="C156" s="67" t="s">
        <v>117</v>
      </c>
      <c r="D156" s="60"/>
      <c r="E156" s="86">
        <v>1.0</v>
      </c>
      <c r="F156" s="19">
        <v>0.0</v>
      </c>
      <c r="G156" s="19">
        <v>0.0</v>
      </c>
      <c r="H156" s="19">
        <v>0.0</v>
      </c>
      <c r="I156" s="19">
        <v>0.0</v>
      </c>
      <c r="J156" s="19">
        <v>0.0</v>
      </c>
      <c r="K156" s="19">
        <v>0.0</v>
      </c>
      <c r="L156" s="19">
        <v>2.0</v>
      </c>
      <c r="M156" s="19">
        <v>0.0</v>
      </c>
      <c r="N156" s="19">
        <v>0.0</v>
      </c>
      <c r="O156" s="19">
        <v>0.0</v>
      </c>
      <c r="P156" s="19">
        <v>1.0</v>
      </c>
      <c r="Q156" s="19">
        <v>0.0</v>
      </c>
      <c r="R156" s="19">
        <v>0.0</v>
      </c>
      <c r="S156" s="19">
        <v>0.0</v>
      </c>
      <c r="T156" s="19">
        <v>0.0</v>
      </c>
      <c r="U156" s="19">
        <v>0.0</v>
      </c>
      <c r="V156" s="19">
        <v>0.0</v>
      </c>
      <c r="W156" s="19">
        <v>0.0</v>
      </c>
      <c r="X156" s="19">
        <v>0.0</v>
      </c>
      <c r="Y156" s="19">
        <v>0.0</v>
      </c>
      <c r="Z156" s="19">
        <v>0.0</v>
      </c>
      <c r="AA156" s="19">
        <v>0.0</v>
      </c>
      <c r="AB156" s="19">
        <v>0.0</v>
      </c>
      <c r="AC156" s="19">
        <v>0.0</v>
      </c>
      <c r="AD156" s="19">
        <v>0.0</v>
      </c>
      <c r="AE156" s="19">
        <v>0.0</v>
      </c>
      <c r="AF156" s="19">
        <v>0.0</v>
      </c>
      <c r="AG156" s="19">
        <v>0.0</v>
      </c>
      <c r="AH156" s="19">
        <v>0.0</v>
      </c>
      <c r="AI156" s="19">
        <v>0.0</v>
      </c>
      <c r="AJ156" s="19">
        <v>0.0</v>
      </c>
      <c r="AK156" s="19">
        <v>0.0</v>
      </c>
      <c r="AL156" s="19">
        <v>0.0</v>
      </c>
      <c r="AM156" s="13">
        <f t="shared" si="32"/>
        <v>4</v>
      </c>
      <c r="AN156" s="5"/>
      <c r="AO156" s="5"/>
    </row>
    <row r="157" ht="12.75" customHeight="1">
      <c r="A157" s="18"/>
      <c r="B157" s="55">
        <v>4.0</v>
      </c>
      <c r="C157" s="67" t="s">
        <v>118</v>
      </c>
      <c r="D157" s="60"/>
      <c r="E157" s="86">
        <v>0.0</v>
      </c>
      <c r="F157" s="19">
        <v>0.0</v>
      </c>
      <c r="G157" s="19">
        <v>0.0</v>
      </c>
      <c r="H157" s="19">
        <v>0.0</v>
      </c>
      <c r="I157" s="19">
        <v>0.0</v>
      </c>
      <c r="J157" s="19">
        <v>0.0</v>
      </c>
      <c r="K157" s="19">
        <v>0.0</v>
      </c>
      <c r="L157" s="19">
        <v>1.0</v>
      </c>
      <c r="M157" s="19">
        <v>0.0</v>
      </c>
      <c r="N157" s="19">
        <v>1.0</v>
      </c>
      <c r="O157" s="19">
        <v>2.0</v>
      </c>
      <c r="P157" s="19">
        <v>0.0</v>
      </c>
      <c r="Q157" s="19">
        <v>1.0</v>
      </c>
      <c r="R157" s="19">
        <v>0.0</v>
      </c>
      <c r="S157" s="19">
        <v>0.0</v>
      </c>
      <c r="T157" s="19">
        <v>0.0</v>
      </c>
      <c r="U157" s="19">
        <v>0.0</v>
      </c>
      <c r="V157" s="19">
        <v>0.0</v>
      </c>
      <c r="W157" s="19">
        <v>0.0</v>
      </c>
      <c r="X157" s="19">
        <v>0.0</v>
      </c>
      <c r="Y157" s="19">
        <v>0.0</v>
      </c>
      <c r="Z157" s="19">
        <v>0.0</v>
      </c>
      <c r="AA157" s="19">
        <v>0.0</v>
      </c>
      <c r="AB157" s="19">
        <v>0.0</v>
      </c>
      <c r="AC157" s="19">
        <v>0.0</v>
      </c>
      <c r="AD157" s="19">
        <v>0.0</v>
      </c>
      <c r="AE157" s="19">
        <v>0.0</v>
      </c>
      <c r="AF157" s="19">
        <v>0.0</v>
      </c>
      <c r="AG157" s="19">
        <v>0.0</v>
      </c>
      <c r="AH157" s="19">
        <v>0.0</v>
      </c>
      <c r="AI157" s="19">
        <v>0.0</v>
      </c>
      <c r="AJ157" s="19">
        <v>0.0</v>
      </c>
      <c r="AK157" s="19">
        <v>0.0</v>
      </c>
      <c r="AL157" s="19">
        <v>0.0</v>
      </c>
      <c r="AM157" s="13">
        <f t="shared" si="32"/>
        <v>5</v>
      </c>
      <c r="AN157" s="5"/>
      <c r="AO157" s="5"/>
    </row>
    <row r="158" ht="12.75" customHeight="1">
      <c r="A158" s="18"/>
      <c r="B158" s="56"/>
      <c r="C158" s="57"/>
      <c r="D158" s="62"/>
      <c r="E158" s="86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  <c r="AA158" s="19"/>
      <c r="AB158" s="19"/>
      <c r="AC158" s="19"/>
      <c r="AD158" s="19"/>
      <c r="AE158" s="19"/>
      <c r="AF158" s="19"/>
      <c r="AG158" s="19"/>
      <c r="AH158" s="19"/>
      <c r="AI158" s="19"/>
      <c r="AJ158" s="19"/>
      <c r="AK158" s="19"/>
      <c r="AL158" s="19"/>
      <c r="AM158" s="13">
        <f t="shared" si="32"/>
        <v>0</v>
      </c>
      <c r="AN158" s="5"/>
      <c r="AO158" s="5"/>
    </row>
    <row r="159" ht="12.75" customHeight="1">
      <c r="A159" s="18"/>
      <c r="B159" s="56"/>
      <c r="C159" s="57"/>
      <c r="D159" s="62"/>
      <c r="E159" s="86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  <c r="AA159" s="19"/>
      <c r="AB159" s="19"/>
      <c r="AC159" s="19"/>
      <c r="AD159" s="19"/>
      <c r="AE159" s="19"/>
      <c r="AF159" s="19"/>
      <c r="AG159" s="19"/>
      <c r="AH159" s="19"/>
      <c r="AI159" s="19"/>
      <c r="AJ159" s="19"/>
      <c r="AK159" s="19"/>
      <c r="AL159" s="19"/>
      <c r="AM159" s="13">
        <f t="shared" si="32"/>
        <v>0</v>
      </c>
      <c r="AN159" s="5"/>
      <c r="AO159" s="5"/>
    </row>
    <row r="160" ht="12.75" customHeight="1">
      <c r="A160" s="18"/>
      <c r="B160" s="56"/>
      <c r="C160" s="57"/>
      <c r="D160" s="62"/>
      <c r="E160" s="86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  <c r="AA160" s="19"/>
      <c r="AB160" s="19"/>
      <c r="AC160" s="19"/>
      <c r="AD160" s="19"/>
      <c r="AE160" s="19"/>
      <c r="AF160" s="19"/>
      <c r="AG160" s="19"/>
      <c r="AH160" s="19"/>
      <c r="AI160" s="19"/>
      <c r="AJ160" s="19"/>
      <c r="AK160" s="19"/>
      <c r="AL160" s="19"/>
      <c r="AM160" s="13">
        <f t="shared" si="32"/>
        <v>0</v>
      </c>
      <c r="AN160" s="5"/>
      <c r="AO160" s="5"/>
    </row>
    <row r="161" ht="12.75" customHeight="1">
      <c r="A161" s="18"/>
      <c r="B161" s="56"/>
      <c r="C161" s="68"/>
      <c r="D161" s="62"/>
      <c r="E161" s="86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9"/>
      <c r="AB161" s="19"/>
      <c r="AC161" s="19"/>
      <c r="AD161" s="19"/>
      <c r="AE161" s="19"/>
      <c r="AF161" s="19"/>
      <c r="AG161" s="19"/>
      <c r="AH161" s="19"/>
      <c r="AI161" s="19"/>
      <c r="AJ161" s="19"/>
      <c r="AK161" s="19"/>
      <c r="AL161" s="19"/>
      <c r="AM161" s="13">
        <f t="shared" si="32"/>
        <v>0</v>
      </c>
      <c r="AN161" s="5"/>
      <c r="AO161" s="5"/>
    </row>
    <row r="162" ht="12.75" customHeight="1">
      <c r="A162" s="18"/>
      <c r="B162" s="56"/>
      <c r="C162" s="68"/>
      <c r="D162" s="62"/>
      <c r="E162" s="86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9"/>
      <c r="AB162" s="19"/>
      <c r="AC162" s="19"/>
      <c r="AD162" s="19"/>
      <c r="AE162" s="19"/>
      <c r="AF162" s="19"/>
      <c r="AG162" s="19"/>
      <c r="AH162" s="19"/>
      <c r="AI162" s="19"/>
      <c r="AJ162" s="19"/>
      <c r="AK162" s="19"/>
      <c r="AL162" s="19"/>
      <c r="AM162" s="13">
        <f t="shared" si="32"/>
        <v>0</v>
      </c>
      <c r="AN162" s="5"/>
      <c r="AO162" s="5"/>
    </row>
    <row r="163" ht="12.75" customHeight="1">
      <c r="A163" s="19" t="s">
        <v>15</v>
      </c>
      <c r="B163" s="69" t="s">
        <v>47</v>
      </c>
      <c r="C163" s="44"/>
      <c r="D163" s="28"/>
      <c r="E163" s="13">
        <f t="shared" ref="E163:AL163" si="33">SUM(E153:E162)</f>
        <v>1</v>
      </c>
      <c r="F163" s="13">
        <f t="shared" si="33"/>
        <v>0</v>
      </c>
      <c r="G163" s="13">
        <f t="shared" si="33"/>
        <v>0</v>
      </c>
      <c r="H163" s="13">
        <f t="shared" si="33"/>
        <v>0</v>
      </c>
      <c r="I163" s="13">
        <f t="shared" si="33"/>
        <v>0</v>
      </c>
      <c r="J163" s="13">
        <f t="shared" si="33"/>
        <v>0</v>
      </c>
      <c r="K163" s="13">
        <f t="shared" si="33"/>
        <v>0</v>
      </c>
      <c r="L163" s="13">
        <f t="shared" si="33"/>
        <v>4</v>
      </c>
      <c r="M163" s="13">
        <f t="shared" si="33"/>
        <v>0</v>
      </c>
      <c r="N163" s="13">
        <f t="shared" si="33"/>
        <v>2</v>
      </c>
      <c r="O163" s="13">
        <f t="shared" si="33"/>
        <v>4</v>
      </c>
      <c r="P163" s="13">
        <f t="shared" si="33"/>
        <v>1</v>
      </c>
      <c r="Q163" s="13">
        <f t="shared" si="33"/>
        <v>1</v>
      </c>
      <c r="R163" s="13">
        <f t="shared" si="33"/>
        <v>0</v>
      </c>
      <c r="S163" s="13">
        <f t="shared" si="33"/>
        <v>1</v>
      </c>
      <c r="T163" s="13">
        <f t="shared" si="33"/>
        <v>1</v>
      </c>
      <c r="U163" s="13">
        <f t="shared" si="33"/>
        <v>1</v>
      </c>
      <c r="V163" s="13">
        <f t="shared" si="33"/>
        <v>0</v>
      </c>
      <c r="W163" s="13">
        <f t="shared" si="33"/>
        <v>0</v>
      </c>
      <c r="X163" s="13">
        <f t="shared" si="33"/>
        <v>1</v>
      </c>
      <c r="Y163" s="13">
        <f t="shared" si="33"/>
        <v>0</v>
      </c>
      <c r="Z163" s="13">
        <f t="shared" si="33"/>
        <v>0</v>
      </c>
      <c r="AA163" s="13">
        <f t="shared" si="33"/>
        <v>0</v>
      </c>
      <c r="AB163" s="13">
        <f t="shared" si="33"/>
        <v>0</v>
      </c>
      <c r="AC163" s="13">
        <f t="shared" si="33"/>
        <v>2</v>
      </c>
      <c r="AD163" s="13">
        <f t="shared" si="33"/>
        <v>1</v>
      </c>
      <c r="AE163" s="13">
        <f t="shared" si="33"/>
        <v>0</v>
      </c>
      <c r="AF163" s="13">
        <f t="shared" si="33"/>
        <v>0</v>
      </c>
      <c r="AG163" s="13">
        <f t="shared" si="33"/>
        <v>0</v>
      </c>
      <c r="AH163" s="13">
        <f t="shared" si="33"/>
        <v>0</v>
      </c>
      <c r="AI163" s="13">
        <f t="shared" si="33"/>
        <v>0</v>
      </c>
      <c r="AJ163" s="13">
        <f t="shared" si="33"/>
        <v>0</v>
      </c>
      <c r="AK163" s="13">
        <f t="shared" si="33"/>
        <v>0</v>
      </c>
      <c r="AL163" s="13">
        <f t="shared" si="33"/>
        <v>0</v>
      </c>
      <c r="AM163" s="13">
        <f t="shared" si="32"/>
        <v>20</v>
      </c>
      <c r="AN163" s="5"/>
      <c r="AO163" s="5"/>
    </row>
    <row r="164" ht="12.75" customHeight="1">
      <c r="A164" s="24"/>
      <c r="B164" s="15"/>
      <c r="C164" s="15"/>
      <c r="D164" s="15"/>
      <c r="E164" s="16"/>
      <c r="F164" s="84"/>
      <c r="G164" s="84"/>
      <c r="H164" s="84"/>
      <c r="I164" s="84"/>
      <c r="J164" s="84"/>
      <c r="K164" s="84"/>
      <c r="L164" s="84"/>
      <c r="M164" s="84"/>
      <c r="N164" s="84"/>
      <c r="O164" s="84"/>
      <c r="P164" s="84"/>
      <c r="Q164" s="84"/>
      <c r="R164" s="84"/>
      <c r="S164" s="84"/>
      <c r="T164" s="84"/>
      <c r="U164" s="84"/>
      <c r="V164" s="84"/>
      <c r="W164" s="84"/>
      <c r="X164" s="84"/>
      <c r="Y164" s="84"/>
      <c r="Z164" s="84"/>
      <c r="AA164" s="84"/>
      <c r="AB164" s="84"/>
      <c r="AC164" s="84"/>
      <c r="AD164" s="84"/>
      <c r="AE164" s="84"/>
      <c r="AF164" s="84"/>
      <c r="AG164" s="84"/>
      <c r="AH164" s="84"/>
      <c r="AI164" s="84"/>
      <c r="AJ164" s="84"/>
      <c r="AK164" s="84"/>
      <c r="AL164" s="84"/>
      <c r="AM164" s="84"/>
      <c r="AN164" s="5"/>
      <c r="AO164" s="5"/>
    </row>
    <row r="165" ht="12.75" customHeight="1">
      <c r="A165" s="30" t="s">
        <v>37</v>
      </c>
      <c r="B165" s="47" t="s">
        <v>119</v>
      </c>
      <c r="C165" s="48" t="s">
        <v>120</v>
      </c>
      <c r="D165" s="16"/>
      <c r="E165" s="19">
        <v>0.0</v>
      </c>
      <c r="F165" s="19">
        <v>0.0</v>
      </c>
      <c r="G165" s="19">
        <v>0.0</v>
      </c>
      <c r="H165" s="19">
        <v>0.0</v>
      </c>
      <c r="I165" s="19">
        <v>0.0</v>
      </c>
      <c r="J165" s="19">
        <v>0.0</v>
      </c>
      <c r="K165" s="19">
        <v>0.0</v>
      </c>
      <c r="L165" s="19">
        <v>0.0</v>
      </c>
      <c r="M165" s="19">
        <v>0.0</v>
      </c>
      <c r="N165" s="19">
        <v>0.0</v>
      </c>
      <c r="O165" s="19">
        <v>0.0</v>
      </c>
      <c r="P165" s="19">
        <v>0.0</v>
      </c>
      <c r="Q165" s="19">
        <v>1.0</v>
      </c>
      <c r="R165" s="19">
        <v>0.0</v>
      </c>
      <c r="S165" s="19">
        <v>1.0</v>
      </c>
      <c r="T165" s="19">
        <v>0.0</v>
      </c>
      <c r="U165" s="19">
        <v>0.0</v>
      </c>
      <c r="V165" s="19">
        <v>0.0</v>
      </c>
      <c r="W165" s="19">
        <v>0.0</v>
      </c>
      <c r="X165" s="19">
        <v>2.0</v>
      </c>
      <c r="Y165" s="19">
        <v>0.0</v>
      </c>
      <c r="Z165" s="19">
        <v>1.0</v>
      </c>
      <c r="AA165" s="19">
        <v>0.0</v>
      </c>
      <c r="AB165" s="19">
        <v>0.0</v>
      </c>
      <c r="AC165" s="19">
        <v>0.0</v>
      </c>
      <c r="AD165" s="19">
        <v>0.0</v>
      </c>
      <c r="AE165" s="19">
        <v>0.0</v>
      </c>
      <c r="AF165" s="19">
        <v>1.0</v>
      </c>
      <c r="AG165" s="19">
        <v>0.0</v>
      </c>
      <c r="AH165" s="19">
        <v>0.0</v>
      </c>
      <c r="AI165" s="19">
        <v>2.0</v>
      </c>
      <c r="AJ165" s="19">
        <v>0.0</v>
      </c>
      <c r="AK165" s="19">
        <v>0.0</v>
      </c>
      <c r="AL165" s="19">
        <v>0.0</v>
      </c>
      <c r="AM165" s="13">
        <f t="shared" ref="AM165:AM174" si="34">SUM(E165:AL165)</f>
        <v>8</v>
      </c>
      <c r="AN165" s="1"/>
      <c r="AO165" s="1"/>
    </row>
    <row r="166" ht="12.75" customHeight="1">
      <c r="A166" s="30" t="s">
        <v>39</v>
      </c>
      <c r="B166" s="55">
        <v>1.0</v>
      </c>
      <c r="C166" s="50" t="s">
        <v>121</v>
      </c>
      <c r="D166" s="60"/>
      <c r="E166" s="19">
        <v>1.0</v>
      </c>
      <c r="F166" s="19">
        <v>0.0</v>
      </c>
      <c r="G166" s="19">
        <v>0.0</v>
      </c>
      <c r="H166" s="19">
        <v>1.0</v>
      </c>
      <c r="I166" s="19">
        <v>0.0</v>
      </c>
      <c r="J166" s="19">
        <v>0.0</v>
      </c>
      <c r="K166" s="19">
        <v>0.0</v>
      </c>
      <c r="L166" s="19">
        <v>0.0</v>
      </c>
      <c r="M166" s="19">
        <v>0.0</v>
      </c>
      <c r="N166" s="19">
        <v>1.0</v>
      </c>
      <c r="O166" s="19">
        <v>0.0</v>
      </c>
      <c r="P166" s="19">
        <v>0.0</v>
      </c>
      <c r="Q166" s="19">
        <v>0.0</v>
      </c>
      <c r="R166" s="19">
        <v>0.0</v>
      </c>
      <c r="S166" s="19">
        <v>0.0</v>
      </c>
      <c r="T166" s="19">
        <v>0.0</v>
      </c>
      <c r="U166" s="19">
        <v>1.0</v>
      </c>
      <c r="V166" s="19">
        <v>1.0</v>
      </c>
      <c r="W166" s="19">
        <v>0.0</v>
      </c>
      <c r="X166" s="19">
        <v>0.0</v>
      </c>
      <c r="Y166" s="19">
        <v>0.0</v>
      </c>
      <c r="Z166" s="19">
        <v>0.0</v>
      </c>
      <c r="AA166" s="19">
        <v>0.0</v>
      </c>
      <c r="AB166" s="19">
        <v>0.0</v>
      </c>
      <c r="AC166" s="19">
        <v>0.0</v>
      </c>
      <c r="AD166" s="19">
        <v>1.0</v>
      </c>
      <c r="AE166" s="19">
        <v>1.0</v>
      </c>
      <c r="AF166" s="19">
        <v>0.0</v>
      </c>
      <c r="AG166" s="19">
        <v>0.0</v>
      </c>
      <c r="AH166" s="19">
        <v>0.0</v>
      </c>
      <c r="AI166" s="19">
        <v>0.0</v>
      </c>
      <c r="AJ166" s="19">
        <v>0.0</v>
      </c>
      <c r="AK166" s="19">
        <v>0.0</v>
      </c>
      <c r="AL166" s="19">
        <v>2.0</v>
      </c>
      <c r="AM166" s="13">
        <f t="shared" si="34"/>
        <v>9</v>
      </c>
      <c r="AN166" s="52"/>
      <c r="AO166" s="52"/>
    </row>
    <row r="167" ht="12.75" customHeight="1">
      <c r="A167" s="18"/>
      <c r="B167" s="55">
        <v>2.0</v>
      </c>
      <c r="C167" s="50" t="s">
        <v>122</v>
      </c>
      <c r="D167" s="60"/>
      <c r="E167" s="19">
        <v>0.0</v>
      </c>
      <c r="F167" s="19">
        <v>0.0</v>
      </c>
      <c r="G167" s="19">
        <v>0.0</v>
      </c>
      <c r="H167" s="19">
        <v>0.0</v>
      </c>
      <c r="I167" s="19">
        <v>0.0</v>
      </c>
      <c r="J167" s="19">
        <v>0.0</v>
      </c>
      <c r="K167" s="19">
        <v>0.0</v>
      </c>
      <c r="L167" s="19">
        <v>0.0</v>
      </c>
      <c r="M167" s="19">
        <v>0.0</v>
      </c>
      <c r="N167" s="19">
        <v>0.0</v>
      </c>
      <c r="O167" s="19">
        <v>1.0</v>
      </c>
      <c r="P167" s="19">
        <v>0.0</v>
      </c>
      <c r="Q167" s="19">
        <v>0.0</v>
      </c>
      <c r="R167" s="19">
        <v>0.0</v>
      </c>
      <c r="S167" s="19">
        <v>0.0</v>
      </c>
      <c r="T167" s="19">
        <v>0.0</v>
      </c>
      <c r="U167" s="19">
        <v>0.0</v>
      </c>
      <c r="V167" s="19">
        <v>0.0</v>
      </c>
      <c r="W167" s="19">
        <v>0.0</v>
      </c>
      <c r="X167" s="19">
        <v>0.0</v>
      </c>
      <c r="Y167" s="19">
        <v>0.0</v>
      </c>
      <c r="Z167" s="19">
        <v>0.0</v>
      </c>
      <c r="AA167" s="19">
        <v>0.0</v>
      </c>
      <c r="AB167" s="19">
        <v>0.0</v>
      </c>
      <c r="AC167" s="19">
        <v>0.0</v>
      </c>
      <c r="AD167" s="19">
        <v>0.0</v>
      </c>
      <c r="AE167" s="19">
        <v>0.0</v>
      </c>
      <c r="AF167" s="19">
        <v>0.0</v>
      </c>
      <c r="AG167" s="19">
        <v>0.0</v>
      </c>
      <c r="AH167" s="19">
        <v>0.0</v>
      </c>
      <c r="AI167" s="19">
        <v>0.0</v>
      </c>
      <c r="AJ167" s="19">
        <v>0.0</v>
      </c>
      <c r="AK167" s="19">
        <v>0.0</v>
      </c>
      <c r="AL167" s="19">
        <v>0.0</v>
      </c>
      <c r="AM167" s="13">
        <f t="shared" si="34"/>
        <v>1</v>
      </c>
      <c r="AN167" s="5"/>
      <c r="AO167" s="5"/>
    </row>
    <row r="168" ht="12.75" customHeight="1">
      <c r="A168" s="18"/>
      <c r="B168" s="55">
        <v>3.0</v>
      </c>
      <c r="C168" s="50" t="s">
        <v>123</v>
      </c>
      <c r="D168" s="60"/>
      <c r="E168" s="19">
        <v>0.0</v>
      </c>
      <c r="F168" s="19">
        <v>0.0</v>
      </c>
      <c r="G168" s="19">
        <v>0.0</v>
      </c>
      <c r="H168" s="19">
        <v>0.0</v>
      </c>
      <c r="I168" s="19">
        <v>0.0</v>
      </c>
      <c r="J168" s="19">
        <v>0.0</v>
      </c>
      <c r="K168" s="19">
        <v>0.0</v>
      </c>
      <c r="L168" s="19">
        <v>0.0</v>
      </c>
      <c r="M168" s="19">
        <v>0.0</v>
      </c>
      <c r="N168" s="19">
        <v>0.0</v>
      </c>
      <c r="O168" s="19">
        <v>0.0</v>
      </c>
      <c r="P168" s="19">
        <v>0.0</v>
      </c>
      <c r="Q168" s="19">
        <v>0.0</v>
      </c>
      <c r="R168" s="19">
        <v>0.0</v>
      </c>
      <c r="S168" s="19">
        <v>0.0</v>
      </c>
      <c r="T168" s="19">
        <v>0.0</v>
      </c>
      <c r="U168" s="19">
        <v>0.0</v>
      </c>
      <c r="V168" s="19">
        <v>0.0</v>
      </c>
      <c r="W168" s="19">
        <v>0.0</v>
      </c>
      <c r="X168" s="19">
        <v>0.0</v>
      </c>
      <c r="Y168" s="19">
        <v>0.0</v>
      </c>
      <c r="Z168" s="19">
        <v>0.0</v>
      </c>
      <c r="AA168" s="19">
        <v>0.0</v>
      </c>
      <c r="AB168" s="19">
        <v>0.0</v>
      </c>
      <c r="AC168" s="19">
        <v>0.0</v>
      </c>
      <c r="AD168" s="19">
        <v>0.0</v>
      </c>
      <c r="AE168" s="19">
        <v>0.0</v>
      </c>
      <c r="AF168" s="19">
        <v>0.0</v>
      </c>
      <c r="AG168" s="19">
        <v>0.0</v>
      </c>
      <c r="AH168" s="19">
        <v>0.0</v>
      </c>
      <c r="AI168" s="19">
        <v>0.0</v>
      </c>
      <c r="AJ168" s="19">
        <v>0.0</v>
      </c>
      <c r="AK168" s="19">
        <v>0.0</v>
      </c>
      <c r="AL168" s="19">
        <v>0.0</v>
      </c>
      <c r="AM168" s="13">
        <f t="shared" si="34"/>
        <v>0</v>
      </c>
      <c r="AN168" s="5"/>
      <c r="AO168" s="5"/>
    </row>
    <row r="169" ht="12.75" customHeight="1">
      <c r="A169" s="18"/>
      <c r="B169" s="55">
        <v>4.0</v>
      </c>
      <c r="C169" s="50" t="s">
        <v>124</v>
      </c>
      <c r="D169" s="60"/>
      <c r="E169" s="19">
        <v>0.0</v>
      </c>
      <c r="F169" s="19">
        <v>0.0</v>
      </c>
      <c r="G169" s="19">
        <v>0.0</v>
      </c>
      <c r="H169" s="19">
        <v>0.0</v>
      </c>
      <c r="I169" s="19">
        <v>0.0</v>
      </c>
      <c r="J169" s="19">
        <v>0.0</v>
      </c>
      <c r="K169" s="19">
        <v>0.0</v>
      </c>
      <c r="L169" s="19">
        <v>0.0</v>
      </c>
      <c r="M169" s="19">
        <v>0.0</v>
      </c>
      <c r="N169" s="19">
        <v>0.0</v>
      </c>
      <c r="O169" s="19">
        <v>0.0</v>
      </c>
      <c r="P169" s="19">
        <v>0.0</v>
      </c>
      <c r="Q169" s="19">
        <v>0.0</v>
      </c>
      <c r="R169" s="19">
        <v>0.0</v>
      </c>
      <c r="S169" s="19">
        <v>0.0</v>
      </c>
      <c r="T169" s="19">
        <v>0.0</v>
      </c>
      <c r="U169" s="19">
        <v>0.0</v>
      </c>
      <c r="V169" s="19">
        <v>0.0</v>
      </c>
      <c r="W169" s="19">
        <v>0.0</v>
      </c>
      <c r="X169" s="19">
        <v>0.0</v>
      </c>
      <c r="Y169" s="19">
        <v>0.0</v>
      </c>
      <c r="Z169" s="19">
        <v>0.0</v>
      </c>
      <c r="AA169" s="19">
        <v>0.0</v>
      </c>
      <c r="AB169" s="19">
        <v>0.0</v>
      </c>
      <c r="AC169" s="19">
        <v>0.0</v>
      </c>
      <c r="AD169" s="19">
        <v>0.0</v>
      </c>
      <c r="AE169" s="19">
        <v>0.0</v>
      </c>
      <c r="AF169" s="19">
        <v>0.0</v>
      </c>
      <c r="AG169" s="19">
        <v>0.0</v>
      </c>
      <c r="AH169" s="19">
        <v>0.0</v>
      </c>
      <c r="AI169" s="19">
        <v>0.0</v>
      </c>
      <c r="AJ169" s="19">
        <v>1.0</v>
      </c>
      <c r="AK169" s="19">
        <v>0.0</v>
      </c>
      <c r="AL169" s="19">
        <v>0.0</v>
      </c>
      <c r="AM169" s="13">
        <f t="shared" si="34"/>
        <v>1</v>
      </c>
      <c r="AN169" s="5"/>
      <c r="AO169" s="5"/>
    </row>
    <row r="170" ht="12.75" customHeight="1">
      <c r="A170" s="18"/>
      <c r="B170" s="55">
        <v>5.0</v>
      </c>
      <c r="C170" s="50" t="s">
        <v>125</v>
      </c>
      <c r="D170" s="60"/>
      <c r="E170" s="19">
        <v>0.0</v>
      </c>
      <c r="F170" s="19">
        <v>0.0</v>
      </c>
      <c r="G170" s="19">
        <v>0.0</v>
      </c>
      <c r="H170" s="19">
        <v>0.0</v>
      </c>
      <c r="I170" s="19">
        <v>0.0</v>
      </c>
      <c r="J170" s="19">
        <v>0.0</v>
      </c>
      <c r="K170" s="19">
        <v>0.0</v>
      </c>
      <c r="L170" s="19">
        <v>0.0</v>
      </c>
      <c r="M170" s="19">
        <v>0.0</v>
      </c>
      <c r="N170" s="19">
        <v>0.0</v>
      </c>
      <c r="O170" s="19">
        <v>0.0</v>
      </c>
      <c r="P170" s="19">
        <v>0.0</v>
      </c>
      <c r="Q170" s="19">
        <v>0.0</v>
      </c>
      <c r="R170" s="19">
        <v>0.0</v>
      </c>
      <c r="S170" s="19">
        <v>0.0</v>
      </c>
      <c r="T170" s="19">
        <v>0.0</v>
      </c>
      <c r="U170" s="19">
        <v>0.0</v>
      </c>
      <c r="V170" s="19">
        <v>0.0</v>
      </c>
      <c r="W170" s="19">
        <v>0.0</v>
      </c>
      <c r="X170" s="19">
        <v>0.0</v>
      </c>
      <c r="Y170" s="19">
        <v>0.0</v>
      </c>
      <c r="Z170" s="19">
        <v>0.0</v>
      </c>
      <c r="AA170" s="19">
        <v>0.0</v>
      </c>
      <c r="AB170" s="19">
        <v>0.0</v>
      </c>
      <c r="AC170" s="19">
        <v>0.0</v>
      </c>
      <c r="AD170" s="19">
        <v>0.0</v>
      </c>
      <c r="AE170" s="19">
        <v>0.0</v>
      </c>
      <c r="AF170" s="19">
        <v>0.0</v>
      </c>
      <c r="AG170" s="19">
        <v>0.0</v>
      </c>
      <c r="AH170" s="19">
        <v>0.0</v>
      </c>
      <c r="AI170" s="19">
        <v>0.0</v>
      </c>
      <c r="AJ170" s="19">
        <v>0.0</v>
      </c>
      <c r="AK170" s="19">
        <v>0.0</v>
      </c>
      <c r="AL170" s="19">
        <v>0.0</v>
      </c>
      <c r="AM170" s="13">
        <f t="shared" si="34"/>
        <v>0</v>
      </c>
      <c r="AN170" s="5"/>
      <c r="AO170" s="5"/>
    </row>
    <row r="171" ht="12.75" customHeight="1">
      <c r="A171" s="18"/>
      <c r="B171" s="55">
        <v>6.0</v>
      </c>
      <c r="C171" s="50" t="s">
        <v>126</v>
      </c>
      <c r="D171" s="60"/>
      <c r="E171" s="19">
        <v>0.0</v>
      </c>
      <c r="F171" s="19">
        <v>0.0</v>
      </c>
      <c r="G171" s="19">
        <v>0.0</v>
      </c>
      <c r="H171" s="19">
        <v>0.0</v>
      </c>
      <c r="I171" s="19">
        <v>0.0</v>
      </c>
      <c r="J171" s="19">
        <v>0.0</v>
      </c>
      <c r="K171" s="19">
        <v>0.0</v>
      </c>
      <c r="L171" s="19">
        <v>0.0</v>
      </c>
      <c r="M171" s="19">
        <v>0.0</v>
      </c>
      <c r="N171" s="19">
        <v>0.0</v>
      </c>
      <c r="O171" s="19">
        <v>0.0</v>
      </c>
      <c r="P171" s="19">
        <v>0.0</v>
      </c>
      <c r="Q171" s="19">
        <v>0.0</v>
      </c>
      <c r="R171" s="19">
        <v>0.0</v>
      </c>
      <c r="S171" s="19">
        <v>0.0</v>
      </c>
      <c r="T171" s="19">
        <v>0.0</v>
      </c>
      <c r="U171" s="19">
        <v>0.0</v>
      </c>
      <c r="V171" s="19">
        <v>0.0</v>
      </c>
      <c r="W171" s="19">
        <v>1.0</v>
      </c>
      <c r="X171" s="19">
        <v>0.0</v>
      </c>
      <c r="Y171" s="19">
        <v>0.0</v>
      </c>
      <c r="Z171" s="19">
        <v>0.0</v>
      </c>
      <c r="AA171" s="19">
        <v>0.0</v>
      </c>
      <c r="AB171" s="19">
        <v>0.0</v>
      </c>
      <c r="AC171" s="19">
        <v>0.0</v>
      </c>
      <c r="AD171" s="19">
        <v>0.0</v>
      </c>
      <c r="AE171" s="19">
        <v>1.0</v>
      </c>
      <c r="AF171" s="19">
        <v>0.0</v>
      </c>
      <c r="AG171" s="19">
        <v>0.0</v>
      </c>
      <c r="AH171" s="19">
        <v>0.0</v>
      </c>
      <c r="AI171" s="19">
        <v>0.0</v>
      </c>
      <c r="AJ171" s="19">
        <v>0.0</v>
      </c>
      <c r="AK171" s="19">
        <v>0.0</v>
      </c>
      <c r="AL171" s="19">
        <v>0.0</v>
      </c>
      <c r="AM171" s="13">
        <f t="shared" si="34"/>
        <v>2</v>
      </c>
      <c r="AN171" s="5"/>
      <c r="AO171" s="5"/>
    </row>
    <row r="172" ht="12.75" customHeight="1">
      <c r="A172" s="18"/>
      <c r="B172" s="55">
        <v>7.0</v>
      </c>
      <c r="C172" s="50" t="s">
        <v>127</v>
      </c>
      <c r="D172" s="60"/>
      <c r="E172" s="19">
        <v>0.0</v>
      </c>
      <c r="F172" s="19">
        <v>0.0</v>
      </c>
      <c r="G172" s="19">
        <v>0.0</v>
      </c>
      <c r="H172" s="19">
        <v>0.0</v>
      </c>
      <c r="I172" s="19">
        <v>0.0</v>
      </c>
      <c r="J172" s="19">
        <v>0.0</v>
      </c>
      <c r="K172" s="19">
        <v>0.0</v>
      </c>
      <c r="L172" s="19">
        <v>0.0</v>
      </c>
      <c r="M172" s="19">
        <v>0.0</v>
      </c>
      <c r="N172" s="19">
        <v>0.0</v>
      </c>
      <c r="O172" s="19">
        <v>0.0</v>
      </c>
      <c r="P172" s="19">
        <v>0.0</v>
      </c>
      <c r="Q172" s="19">
        <v>0.0</v>
      </c>
      <c r="R172" s="19">
        <v>0.0</v>
      </c>
      <c r="S172" s="19">
        <v>0.0</v>
      </c>
      <c r="T172" s="19">
        <v>0.0</v>
      </c>
      <c r="U172" s="19">
        <v>0.0</v>
      </c>
      <c r="V172" s="19">
        <v>1.0</v>
      </c>
      <c r="W172" s="19">
        <v>0.0</v>
      </c>
      <c r="X172" s="19">
        <v>0.0</v>
      </c>
      <c r="Y172" s="19">
        <v>0.0</v>
      </c>
      <c r="Z172" s="19">
        <v>0.0</v>
      </c>
      <c r="AA172" s="19">
        <v>0.0</v>
      </c>
      <c r="AB172" s="19">
        <v>0.0</v>
      </c>
      <c r="AC172" s="19">
        <v>0.0</v>
      </c>
      <c r="AD172" s="19">
        <v>0.0</v>
      </c>
      <c r="AE172" s="19">
        <v>0.0</v>
      </c>
      <c r="AF172" s="19">
        <v>0.0</v>
      </c>
      <c r="AG172" s="19">
        <v>0.0</v>
      </c>
      <c r="AH172" s="19">
        <v>0.0</v>
      </c>
      <c r="AI172" s="19">
        <v>0.0</v>
      </c>
      <c r="AJ172" s="19">
        <v>0.0</v>
      </c>
      <c r="AK172" s="19">
        <v>0.0</v>
      </c>
      <c r="AL172" s="19">
        <v>0.0</v>
      </c>
      <c r="AM172" s="13">
        <f t="shared" si="34"/>
        <v>1</v>
      </c>
      <c r="AN172" s="5"/>
      <c r="AO172" s="5"/>
    </row>
    <row r="173" ht="12.75" customHeight="1">
      <c r="A173" s="18"/>
      <c r="B173" s="56"/>
      <c r="C173" s="57"/>
      <c r="D173" s="62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9"/>
      <c r="AB173" s="19"/>
      <c r="AC173" s="19"/>
      <c r="AD173" s="19"/>
      <c r="AE173" s="19"/>
      <c r="AF173" s="19"/>
      <c r="AG173" s="19"/>
      <c r="AH173" s="19"/>
      <c r="AI173" s="19"/>
      <c r="AJ173" s="19"/>
      <c r="AK173" s="19"/>
      <c r="AL173" s="19"/>
      <c r="AM173" s="13">
        <f t="shared" si="34"/>
        <v>0</v>
      </c>
      <c r="AN173" s="5"/>
      <c r="AO173" s="5"/>
    </row>
    <row r="174" ht="12.75" customHeight="1">
      <c r="A174" s="18"/>
      <c r="B174" s="56"/>
      <c r="C174" s="57"/>
      <c r="D174" s="62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9"/>
      <c r="AB174" s="19"/>
      <c r="AC174" s="19"/>
      <c r="AD174" s="19"/>
      <c r="AE174" s="19"/>
      <c r="AF174" s="19"/>
      <c r="AG174" s="19"/>
      <c r="AH174" s="19"/>
      <c r="AI174" s="19"/>
      <c r="AJ174" s="19"/>
      <c r="AK174" s="19"/>
      <c r="AL174" s="19"/>
      <c r="AM174" s="13">
        <f t="shared" si="34"/>
        <v>0</v>
      </c>
      <c r="AN174" s="5"/>
      <c r="AO174" s="5"/>
    </row>
    <row r="175" ht="12.75" customHeight="1">
      <c r="A175" s="19" t="s">
        <v>15</v>
      </c>
      <c r="B175" s="47" t="s">
        <v>47</v>
      </c>
      <c r="C175" s="15"/>
      <c r="D175" s="16"/>
      <c r="E175" s="13">
        <f t="shared" ref="E175:AM175" si="35">SUM(E165:E174)</f>
        <v>1</v>
      </c>
      <c r="F175" s="13">
        <f t="shared" si="35"/>
        <v>0</v>
      </c>
      <c r="G175" s="13">
        <f t="shared" si="35"/>
        <v>0</v>
      </c>
      <c r="H175" s="13">
        <f t="shared" si="35"/>
        <v>1</v>
      </c>
      <c r="I175" s="13">
        <f t="shared" si="35"/>
        <v>0</v>
      </c>
      <c r="J175" s="13">
        <f t="shared" si="35"/>
        <v>0</v>
      </c>
      <c r="K175" s="13">
        <f t="shared" si="35"/>
        <v>0</v>
      </c>
      <c r="L175" s="13">
        <f t="shared" si="35"/>
        <v>0</v>
      </c>
      <c r="M175" s="13">
        <f t="shared" si="35"/>
        <v>0</v>
      </c>
      <c r="N175" s="13">
        <f t="shared" si="35"/>
        <v>1</v>
      </c>
      <c r="O175" s="13">
        <f t="shared" si="35"/>
        <v>1</v>
      </c>
      <c r="P175" s="13">
        <f t="shared" si="35"/>
        <v>0</v>
      </c>
      <c r="Q175" s="13">
        <f t="shared" si="35"/>
        <v>1</v>
      </c>
      <c r="R175" s="13">
        <f t="shared" si="35"/>
        <v>0</v>
      </c>
      <c r="S175" s="13">
        <f t="shared" si="35"/>
        <v>1</v>
      </c>
      <c r="T175" s="13">
        <f t="shared" si="35"/>
        <v>0</v>
      </c>
      <c r="U175" s="13">
        <f t="shared" si="35"/>
        <v>1</v>
      </c>
      <c r="V175" s="13">
        <f t="shared" si="35"/>
        <v>2</v>
      </c>
      <c r="W175" s="13">
        <f t="shared" si="35"/>
        <v>1</v>
      </c>
      <c r="X175" s="13">
        <f t="shared" si="35"/>
        <v>2</v>
      </c>
      <c r="Y175" s="13">
        <f t="shared" si="35"/>
        <v>0</v>
      </c>
      <c r="Z175" s="13">
        <f t="shared" si="35"/>
        <v>1</v>
      </c>
      <c r="AA175" s="13">
        <f t="shared" si="35"/>
        <v>0</v>
      </c>
      <c r="AB175" s="13">
        <f t="shared" si="35"/>
        <v>0</v>
      </c>
      <c r="AC175" s="13">
        <f t="shared" si="35"/>
        <v>0</v>
      </c>
      <c r="AD175" s="13">
        <f t="shared" si="35"/>
        <v>1</v>
      </c>
      <c r="AE175" s="13">
        <f t="shared" si="35"/>
        <v>2</v>
      </c>
      <c r="AF175" s="13">
        <f t="shared" si="35"/>
        <v>1</v>
      </c>
      <c r="AG175" s="13">
        <f t="shared" si="35"/>
        <v>0</v>
      </c>
      <c r="AH175" s="13">
        <f t="shared" si="35"/>
        <v>0</v>
      </c>
      <c r="AI175" s="13">
        <f t="shared" si="35"/>
        <v>2</v>
      </c>
      <c r="AJ175" s="13">
        <f t="shared" si="35"/>
        <v>1</v>
      </c>
      <c r="AK175" s="13">
        <f t="shared" si="35"/>
        <v>0</v>
      </c>
      <c r="AL175" s="13">
        <f t="shared" si="35"/>
        <v>2</v>
      </c>
      <c r="AM175" s="13">
        <f t="shared" si="35"/>
        <v>22</v>
      </c>
      <c r="AN175" s="5"/>
      <c r="AO175" s="5"/>
    </row>
    <row r="176" ht="12.75" customHeight="1">
      <c r="A176" s="24"/>
      <c r="B176" s="15"/>
      <c r="C176" s="15"/>
      <c r="D176" s="15"/>
      <c r="E176" s="16"/>
      <c r="F176" s="84"/>
      <c r="G176" s="84"/>
      <c r="H176" s="84"/>
      <c r="I176" s="84"/>
      <c r="J176" s="84"/>
      <c r="K176" s="84"/>
      <c r="L176" s="84"/>
      <c r="M176" s="84"/>
      <c r="N176" s="84"/>
      <c r="O176" s="84"/>
      <c r="P176" s="84"/>
      <c r="Q176" s="84"/>
      <c r="R176" s="84"/>
      <c r="S176" s="84"/>
      <c r="T176" s="84"/>
      <c r="U176" s="84"/>
      <c r="V176" s="84"/>
      <c r="W176" s="84"/>
      <c r="X176" s="84"/>
      <c r="Y176" s="84"/>
      <c r="Z176" s="84"/>
      <c r="AA176" s="84"/>
      <c r="AB176" s="84"/>
      <c r="AC176" s="84"/>
      <c r="AD176" s="84"/>
      <c r="AE176" s="84"/>
      <c r="AF176" s="84"/>
      <c r="AG176" s="84"/>
      <c r="AH176" s="84"/>
      <c r="AI176" s="84"/>
      <c r="AJ176" s="84"/>
      <c r="AK176" s="84"/>
      <c r="AL176" s="84"/>
      <c r="AM176" s="84"/>
      <c r="AN176" s="1"/>
      <c r="AO176" s="1"/>
    </row>
    <row r="177" ht="12.75" customHeight="1">
      <c r="A177" s="30" t="s">
        <v>37</v>
      </c>
      <c r="B177" s="47" t="s">
        <v>128</v>
      </c>
      <c r="C177" s="48" t="s">
        <v>129</v>
      </c>
      <c r="D177" s="16"/>
      <c r="E177" s="19">
        <v>0.0</v>
      </c>
      <c r="F177" s="19">
        <v>0.0</v>
      </c>
      <c r="G177" s="19">
        <v>1.0</v>
      </c>
      <c r="H177" s="19">
        <v>0.0</v>
      </c>
      <c r="I177" s="19">
        <v>0.0</v>
      </c>
      <c r="J177" s="19">
        <v>0.0</v>
      </c>
      <c r="K177" s="19">
        <v>0.0</v>
      </c>
      <c r="L177" s="19">
        <v>3.0</v>
      </c>
      <c r="M177" s="19">
        <v>0.0</v>
      </c>
      <c r="N177" s="19">
        <v>0.0</v>
      </c>
      <c r="O177" s="19">
        <v>1.0</v>
      </c>
      <c r="P177" s="19">
        <v>0.0</v>
      </c>
      <c r="Q177" s="19">
        <v>0.0</v>
      </c>
      <c r="R177" s="19">
        <v>1.0</v>
      </c>
      <c r="S177" s="19">
        <v>0.0</v>
      </c>
      <c r="T177" s="19">
        <v>1.0</v>
      </c>
      <c r="U177" s="19">
        <v>0.0</v>
      </c>
      <c r="V177" s="19">
        <v>0.0</v>
      </c>
      <c r="W177" s="19">
        <v>1.0</v>
      </c>
      <c r="X177" s="19">
        <v>2.0</v>
      </c>
      <c r="Y177" s="19">
        <v>1.0</v>
      </c>
      <c r="Z177" s="19">
        <v>0.0</v>
      </c>
      <c r="AA177" s="19">
        <v>1.0</v>
      </c>
      <c r="AB177" s="19">
        <v>1.0</v>
      </c>
      <c r="AC177" s="19">
        <v>0.0</v>
      </c>
      <c r="AD177" s="19">
        <v>0.0</v>
      </c>
      <c r="AE177" s="19">
        <v>0.0</v>
      </c>
      <c r="AF177" s="19">
        <v>0.0</v>
      </c>
      <c r="AG177" s="19">
        <v>0.0</v>
      </c>
      <c r="AH177" s="19">
        <v>1.0</v>
      </c>
      <c r="AI177" s="19">
        <v>0.0</v>
      </c>
      <c r="AJ177" s="19">
        <v>0.0</v>
      </c>
      <c r="AK177" s="19">
        <v>1.0</v>
      </c>
      <c r="AL177" s="19">
        <v>0.0</v>
      </c>
      <c r="AM177" s="13">
        <f t="shared" ref="AM177:AM186" si="36">SUM(E177:AL177)</f>
        <v>15</v>
      </c>
    </row>
    <row r="178" ht="12.75" customHeight="1">
      <c r="A178" s="30" t="s">
        <v>39</v>
      </c>
      <c r="B178" s="55">
        <v>1.0</v>
      </c>
      <c r="C178" s="50" t="s">
        <v>130</v>
      </c>
      <c r="D178" s="60"/>
      <c r="E178" s="19">
        <v>0.0</v>
      </c>
      <c r="F178" s="19">
        <v>1.0</v>
      </c>
      <c r="G178" s="19">
        <v>1.0</v>
      </c>
      <c r="H178" s="19">
        <v>1.0</v>
      </c>
      <c r="I178" s="19">
        <v>1.0</v>
      </c>
      <c r="J178" s="19">
        <v>0.0</v>
      </c>
      <c r="K178" s="19">
        <v>0.0</v>
      </c>
      <c r="L178" s="19">
        <v>0.0</v>
      </c>
      <c r="M178" s="19">
        <v>7.0</v>
      </c>
      <c r="N178" s="19">
        <v>0.0</v>
      </c>
      <c r="O178" s="19">
        <v>0.0</v>
      </c>
      <c r="P178" s="19">
        <v>0.0</v>
      </c>
      <c r="Q178" s="19">
        <v>0.0</v>
      </c>
      <c r="R178" s="19">
        <v>2.0</v>
      </c>
      <c r="S178" s="19">
        <v>0.0</v>
      </c>
      <c r="T178" s="19">
        <v>0.0</v>
      </c>
      <c r="U178" s="19">
        <v>0.0</v>
      </c>
      <c r="V178" s="19">
        <v>0.0</v>
      </c>
      <c r="W178" s="19">
        <v>0.0</v>
      </c>
      <c r="X178" s="19">
        <v>0.0</v>
      </c>
      <c r="Y178" s="19">
        <v>3.0</v>
      </c>
      <c r="Z178" s="19">
        <v>0.0</v>
      </c>
      <c r="AA178" s="19">
        <v>0.0</v>
      </c>
      <c r="AB178" s="19">
        <v>1.0</v>
      </c>
      <c r="AC178" s="19">
        <v>0.0</v>
      </c>
      <c r="AD178" s="19">
        <v>0.0</v>
      </c>
      <c r="AE178" s="19">
        <v>0.0</v>
      </c>
      <c r="AF178" s="19">
        <v>0.0</v>
      </c>
      <c r="AG178" s="19">
        <v>0.0</v>
      </c>
      <c r="AH178" s="19">
        <v>0.0</v>
      </c>
      <c r="AI178" s="19">
        <v>0.0</v>
      </c>
      <c r="AJ178" s="19">
        <v>1.0</v>
      </c>
      <c r="AK178" s="19">
        <v>1.0</v>
      </c>
      <c r="AL178" s="19">
        <v>0.0</v>
      </c>
      <c r="AM178" s="13">
        <f t="shared" si="36"/>
        <v>19</v>
      </c>
      <c r="AN178" s="5"/>
      <c r="AO178" s="5"/>
    </row>
    <row r="179" ht="12.75" customHeight="1">
      <c r="A179" s="18"/>
      <c r="B179" s="55">
        <v>2.0</v>
      </c>
      <c r="C179" s="50" t="s">
        <v>131</v>
      </c>
      <c r="D179" s="60"/>
      <c r="E179" s="19">
        <v>0.0</v>
      </c>
      <c r="F179" s="19">
        <v>1.0</v>
      </c>
      <c r="G179" s="19">
        <v>0.0</v>
      </c>
      <c r="H179" s="19">
        <v>0.0</v>
      </c>
      <c r="I179" s="19">
        <v>1.0</v>
      </c>
      <c r="J179" s="19">
        <v>1.0</v>
      </c>
      <c r="K179" s="19">
        <v>1.0</v>
      </c>
      <c r="L179" s="19">
        <v>0.0</v>
      </c>
      <c r="M179" s="19">
        <v>0.0</v>
      </c>
      <c r="N179" s="19">
        <v>0.0</v>
      </c>
      <c r="O179" s="19">
        <v>0.0</v>
      </c>
      <c r="P179" s="19">
        <v>0.0</v>
      </c>
      <c r="Q179" s="19">
        <v>0.0</v>
      </c>
      <c r="R179" s="19">
        <v>0.0</v>
      </c>
      <c r="S179" s="19">
        <v>0.0</v>
      </c>
      <c r="T179" s="19">
        <v>0.0</v>
      </c>
      <c r="U179" s="19">
        <v>0.0</v>
      </c>
      <c r="V179" s="19">
        <v>0.0</v>
      </c>
      <c r="W179" s="19">
        <v>1.0</v>
      </c>
      <c r="X179" s="19">
        <v>0.0</v>
      </c>
      <c r="Y179" s="19">
        <v>0.0</v>
      </c>
      <c r="Z179" s="19">
        <v>0.0</v>
      </c>
      <c r="AA179" s="19">
        <v>0.0</v>
      </c>
      <c r="AB179" s="19">
        <v>0.0</v>
      </c>
      <c r="AC179" s="19">
        <v>0.0</v>
      </c>
      <c r="AD179" s="19">
        <v>1.0</v>
      </c>
      <c r="AE179" s="19">
        <v>0.0</v>
      </c>
      <c r="AF179" s="19">
        <v>0.0</v>
      </c>
      <c r="AG179" s="19">
        <v>0.0</v>
      </c>
      <c r="AH179" s="19">
        <v>0.0</v>
      </c>
      <c r="AI179" s="19">
        <v>0.0</v>
      </c>
      <c r="AJ179" s="19">
        <v>0.0</v>
      </c>
      <c r="AK179" s="19">
        <v>0.0</v>
      </c>
      <c r="AL179" s="19">
        <v>0.0</v>
      </c>
      <c r="AM179" s="13">
        <f t="shared" si="36"/>
        <v>6</v>
      </c>
      <c r="AN179" s="5"/>
      <c r="AO179" s="5"/>
    </row>
    <row r="180" ht="12.75" customHeight="1">
      <c r="A180" s="18"/>
      <c r="B180" s="55">
        <v>3.0</v>
      </c>
      <c r="C180" s="50" t="s">
        <v>132</v>
      </c>
      <c r="D180" s="60"/>
      <c r="E180" s="19">
        <v>0.0</v>
      </c>
      <c r="F180" s="19">
        <v>0.0</v>
      </c>
      <c r="G180" s="19">
        <v>0.0</v>
      </c>
      <c r="H180" s="19">
        <v>0.0</v>
      </c>
      <c r="I180" s="19">
        <v>0.0</v>
      </c>
      <c r="J180" s="19">
        <v>1.0</v>
      </c>
      <c r="K180" s="19">
        <v>1.0</v>
      </c>
      <c r="L180" s="19">
        <v>0.0</v>
      </c>
      <c r="M180" s="19">
        <v>0.0</v>
      </c>
      <c r="N180" s="19">
        <v>0.0</v>
      </c>
      <c r="O180" s="19">
        <v>0.0</v>
      </c>
      <c r="P180" s="19">
        <v>0.0</v>
      </c>
      <c r="Q180" s="19">
        <v>0.0</v>
      </c>
      <c r="R180" s="19">
        <v>0.0</v>
      </c>
      <c r="S180" s="19">
        <v>0.0</v>
      </c>
      <c r="T180" s="19">
        <v>0.0</v>
      </c>
      <c r="U180" s="19">
        <v>0.0</v>
      </c>
      <c r="V180" s="19">
        <v>0.0</v>
      </c>
      <c r="W180" s="19">
        <v>0.0</v>
      </c>
      <c r="X180" s="19">
        <v>0.0</v>
      </c>
      <c r="Y180" s="19">
        <v>0.0</v>
      </c>
      <c r="Z180" s="19">
        <v>0.0</v>
      </c>
      <c r="AA180" s="19">
        <v>0.0</v>
      </c>
      <c r="AB180" s="19">
        <v>0.0</v>
      </c>
      <c r="AC180" s="19">
        <v>0.0</v>
      </c>
      <c r="AD180" s="19">
        <v>0.0</v>
      </c>
      <c r="AE180" s="19">
        <v>0.0</v>
      </c>
      <c r="AF180" s="19">
        <v>0.0</v>
      </c>
      <c r="AG180" s="19">
        <v>0.0</v>
      </c>
      <c r="AH180" s="19">
        <v>0.0</v>
      </c>
      <c r="AI180" s="19">
        <v>0.0</v>
      </c>
      <c r="AJ180" s="19">
        <v>0.0</v>
      </c>
      <c r="AK180" s="19">
        <v>0.0</v>
      </c>
      <c r="AL180" s="19">
        <v>0.0</v>
      </c>
      <c r="AM180" s="13">
        <f t="shared" si="36"/>
        <v>2</v>
      </c>
      <c r="AN180" s="5"/>
      <c r="AO180" s="5"/>
    </row>
    <row r="181" ht="12.75" customHeight="1">
      <c r="A181" s="18"/>
      <c r="B181" s="55">
        <v>4.0</v>
      </c>
      <c r="C181" s="50" t="s">
        <v>133</v>
      </c>
      <c r="D181" s="60"/>
      <c r="E181" s="19">
        <v>0.0</v>
      </c>
      <c r="F181" s="19">
        <v>0.0</v>
      </c>
      <c r="G181" s="19">
        <v>0.0</v>
      </c>
      <c r="H181" s="19">
        <v>0.0</v>
      </c>
      <c r="I181" s="19">
        <v>0.0</v>
      </c>
      <c r="J181" s="19">
        <v>0.0</v>
      </c>
      <c r="K181" s="19">
        <v>0.0</v>
      </c>
      <c r="L181" s="19">
        <v>0.0</v>
      </c>
      <c r="M181" s="19">
        <v>0.0</v>
      </c>
      <c r="N181" s="19">
        <v>0.0</v>
      </c>
      <c r="O181" s="19">
        <v>0.0</v>
      </c>
      <c r="P181" s="19">
        <v>0.0</v>
      </c>
      <c r="Q181" s="19">
        <v>0.0</v>
      </c>
      <c r="R181" s="19">
        <v>0.0</v>
      </c>
      <c r="S181" s="19">
        <v>0.0</v>
      </c>
      <c r="T181" s="19">
        <v>0.0</v>
      </c>
      <c r="U181" s="19">
        <v>0.0</v>
      </c>
      <c r="V181" s="19">
        <v>0.0</v>
      </c>
      <c r="W181" s="19">
        <v>0.0</v>
      </c>
      <c r="X181" s="19">
        <v>0.0</v>
      </c>
      <c r="Y181" s="19">
        <v>0.0</v>
      </c>
      <c r="Z181" s="19">
        <v>0.0</v>
      </c>
      <c r="AA181" s="19">
        <v>0.0</v>
      </c>
      <c r="AB181" s="19">
        <v>0.0</v>
      </c>
      <c r="AC181" s="19">
        <v>1.0</v>
      </c>
      <c r="AD181" s="19">
        <v>0.0</v>
      </c>
      <c r="AE181" s="19">
        <v>1.0</v>
      </c>
      <c r="AF181" s="19">
        <v>0.0</v>
      </c>
      <c r="AG181" s="19">
        <v>0.0</v>
      </c>
      <c r="AH181" s="19">
        <v>0.0</v>
      </c>
      <c r="AI181" s="19">
        <v>0.0</v>
      </c>
      <c r="AJ181" s="19">
        <v>0.0</v>
      </c>
      <c r="AK181" s="19">
        <v>0.0</v>
      </c>
      <c r="AL181" s="19">
        <v>0.0</v>
      </c>
      <c r="AM181" s="13">
        <f t="shared" si="36"/>
        <v>2</v>
      </c>
      <c r="AN181" s="5"/>
      <c r="AO181" s="5"/>
    </row>
    <row r="182" ht="12.75" customHeight="1">
      <c r="A182" s="18"/>
      <c r="B182" s="55">
        <v>5.0</v>
      </c>
      <c r="C182" s="50" t="s">
        <v>134</v>
      </c>
      <c r="D182" s="60"/>
      <c r="E182" s="19">
        <v>0.0</v>
      </c>
      <c r="F182" s="19">
        <v>0.0</v>
      </c>
      <c r="G182" s="19">
        <v>0.0</v>
      </c>
      <c r="H182" s="19">
        <v>0.0</v>
      </c>
      <c r="I182" s="19">
        <v>0.0</v>
      </c>
      <c r="J182" s="19">
        <v>0.0</v>
      </c>
      <c r="K182" s="19">
        <v>0.0</v>
      </c>
      <c r="L182" s="19">
        <v>0.0</v>
      </c>
      <c r="M182" s="19">
        <v>0.0</v>
      </c>
      <c r="N182" s="19">
        <v>0.0</v>
      </c>
      <c r="O182" s="19">
        <v>2.0</v>
      </c>
      <c r="P182" s="19">
        <v>0.0</v>
      </c>
      <c r="Q182" s="19">
        <v>0.0</v>
      </c>
      <c r="R182" s="19">
        <v>0.0</v>
      </c>
      <c r="S182" s="19">
        <v>0.0</v>
      </c>
      <c r="T182" s="19">
        <v>0.0</v>
      </c>
      <c r="U182" s="19">
        <v>2.0</v>
      </c>
      <c r="V182" s="19">
        <v>0.0</v>
      </c>
      <c r="W182" s="19">
        <v>0.0</v>
      </c>
      <c r="X182" s="19">
        <v>0.0</v>
      </c>
      <c r="Y182" s="19">
        <v>0.0</v>
      </c>
      <c r="Z182" s="19">
        <v>0.0</v>
      </c>
      <c r="AA182" s="19">
        <v>0.0</v>
      </c>
      <c r="AB182" s="19">
        <v>0.0</v>
      </c>
      <c r="AC182" s="19">
        <v>2.0</v>
      </c>
      <c r="AD182" s="19">
        <v>0.0</v>
      </c>
      <c r="AE182" s="19">
        <v>0.0</v>
      </c>
      <c r="AF182" s="19">
        <v>0.0</v>
      </c>
      <c r="AG182" s="19">
        <v>0.0</v>
      </c>
      <c r="AH182" s="19">
        <v>0.0</v>
      </c>
      <c r="AI182" s="19">
        <v>0.0</v>
      </c>
      <c r="AJ182" s="19">
        <v>0.0</v>
      </c>
      <c r="AK182" s="19">
        <v>0.0</v>
      </c>
      <c r="AL182" s="19">
        <v>0.0</v>
      </c>
      <c r="AM182" s="13">
        <f t="shared" si="36"/>
        <v>6</v>
      </c>
      <c r="AN182" s="5"/>
      <c r="AO182" s="5"/>
    </row>
    <row r="183" ht="12.75" customHeight="1">
      <c r="A183" s="18"/>
      <c r="B183" s="55">
        <v>6.0</v>
      </c>
      <c r="C183" s="50" t="s">
        <v>135</v>
      </c>
      <c r="D183" s="60"/>
      <c r="E183" s="19">
        <v>0.0</v>
      </c>
      <c r="F183" s="19">
        <v>0.0</v>
      </c>
      <c r="G183" s="19">
        <v>0.0</v>
      </c>
      <c r="H183" s="19">
        <v>0.0</v>
      </c>
      <c r="I183" s="19">
        <v>0.0</v>
      </c>
      <c r="J183" s="19">
        <v>0.0</v>
      </c>
      <c r="K183" s="19">
        <v>0.0</v>
      </c>
      <c r="L183" s="19">
        <v>0.0</v>
      </c>
      <c r="M183" s="19">
        <v>0.0</v>
      </c>
      <c r="N183" s="19">
        <v>1.0</v>
      </c>
      <c r="O183" s="19">
        <v>0.0</v>
      </c>
      <c r="P183" s="19">
        <v>0.0</v>
      </c>
      <c r="Q183" s="19">
        <v>0.0</v>
      </c>
      <c r="R183" s="19">
        <v>0.0</v>
      </c>
      <c r="S183" s="19">
        <v>0.0</v>
      </c>
      <c r="T183" s="19">
        <v>0.0</v>
      </c>
      <c r="U183" s="19">
        <v>0.0</v>
      </c>
      <c r="V183" s="19">
        <v>0.0</v>
      </c>
      <c r="W183" s="19">
        <v>0.0</v>
      </c>
      <c r="X183" s="19">
        <v>0.0</v>
      </c>
      <c r="Y183" s="19">
        <v>0.0</v>
      </c>
      <c r="Z183" s="19">
        <v>0.0</v>
      </c>
      <c r="AA183" s="19">
        <v>0.0</v>
      </c>
      <c r="AB183" s="19">
        <v>0.0</v>
      </c>
      <c r="AC183" s="19">
        <v>0.0</v>
      </c>
      <c r="AD183" s="19">
        <v>0.0</v>
      </c>
      <c r="AE183" s="19">
        <v>1.0</v>
      </c>
      <c r="AF183" s="19">
        <v>0.0</v>
      </c>
      <c r="AG183" s="19">
        <v>0.0</v>
      </c>
      <c r="AH183" s="19">
        <v>0.0</v>
      </c>
      <c r="AI183" s="19">
        <v>0.0</v>
      </c>
      <c r="AJ183" s="19">
        <v>0.0</v>
      </c>
      <c r="AK183" s="19">
        <v>0.0</v>
      </c>
      <c r="AL183" s="19">
        <v>0.0</v>
      </c>
      <c r="AM183" s="13">
        <f t="shared" si="36"/>
        <v>2</v>
      </c>
      <c r="AN183" s="5"/>
      <c r="AO183" s="5"/>
    </row>
    <row r="184" ht="12.75" customHeight="1">
      <c r="A184" s="18"/>
      <c r="B184" s="55">
        <v>7.0</v>
      </c>
      <c r="C184" s="50" t="s">
        <v>136</v>
      </c>
      <c r="D184" s="60"/>
      <c r="E184" s="19">
        <v>0.0</v>
      </c>
      <c r="F184" s="19">
        <v>0.0</v>
      </c>
      <c r="G184" s="19">
        <v>0.0</v>
      </c>
      <c r="H184" s="19">
        <v>0.0</v>
      </c>
      <c r="I184" s="19">
        <v>0.0</v>
      </c>
      <c r="J184" s="19">
        <v>0.0</v>
      </c>
      <c r="K184" s="19">
        <v>0.0</v>
      </c>
      <c r="L184" s="19">
        <v>0.0</v>
      </c>
      <c r="M184" s="19">
        <v>0.0</v>
      </c>
      <c r="N184" s="19">
        <v>0.0</v>
      </c>
      <c r="O184" s="19">
        <v>0.0</v>
      </c>
      <c r="P184" s="19">
        <v>0.0</v>
      </c>
      <c r="Q184" s="19">
        <v>0.0</v>
      </c>
      <c r="R184" s="19">
        <v>0.0</v>
      </c>
      <c r="S184" s="19">
        <v>0.0</v>
      </c>
      <c r="T184" s="19">
        <v>0.0</v>
      </c>
      <c r="U184" s="19">
        <v>0.0</v>
      </c>
      <c r="V184" s="19">
        <v>0.0</v>
      </c>
      <c r="W184" s="19">
        <v>0.0</v>
      </c>
      <c r="X184" s="19">
        <v>0.0</v>
      </c>
      <c r="Y184" s="19">
        <v>0.0</v>
      </c>
      <c r="Z184" s="19">
        <v>0.0</v>
      </c>
      <c r="AA184" s="19">
        <v>0.0</v>
      </c>
      <c r="AB184" s="19">
        <v>0.0</v>
      </c>
      <c r="AC184" s="19">
        <v>0.0</v>
      </c>
      <c r="AD184" s="19">
        <v>0.0</v>
      </c>
      <c r="AE184" s="19">
        <v>0.0</v>
      </c>
      <c r="AF184" s="19">
        <v>0.0</v>
      </c>
      <c r="AG184" s="19">
        <v>0.0</v>
      </c>
      <c r="AH184" s="19">
        <v>0.0</v>
      </c>
      <c r="AI184" s="19">
        <v>0.0</v>
      </c>
      <c r="AJ184" s="19">
        <v>0.0</v>
      </c>
      <c r="AK184" s="19">
        <v>0.0</v>
      </c>
      <c r="AL184" s="19">
        <v>0.0</v>
      </c>
      <c r="AM184" s="13">
        <f t="shared" si="36"/>
        <v>0</v>
      </c>
      <c r="AN184" s="5"/>
      <c r="AO184" s="5"/>
    </row>
    <row r="185" ht="12.75" customHeight="1">
      <c r="A185" s="18"/>
      <c r="B185" s="56"/>
      <c r="C185" s="57"/>
      <c r="D185" s="62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  <c r="AA185" s="19"/>
      <c r="AB185" s="19"/>
      <c r="AC185" s="19"/>
      <c r="AD185" s="19"/>
      <c r="AE185" s="19"/>
      <c r="AF185" s="19"/>
      <c r="AG185" s="19"/>
      <c r="AH185" s="19"/>
      <c r="AI185" s="19"/>
      <c r="AJ185" s="19"/>
      <c r="AK185" s="19"/>
      <c r="AL185" s="19"/>
      <c r="AM185" s="13">
        <f t="shared" si="36"/>
        <v>0</v>
      </c>
      <c r="AN185" s="5"/>
      <c r="AO185" s="5"/>
    </row>
    <row r="186" ht="12.75" customHeight="1">
      <c r="A186" s="18"/>
      <c r="B186" s="56"/>
      <c r="C186" s="57"/>
      <c r="D186" s="62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  <c r="AA186" s="19"/>
      <c r="AB186" s="19"/>
      <c r="AC186" s="19"/>
      <c r="AD186" s="19"/>
      <c r="AE186" s="19"/>
      <c r="AF186" s="19"/>
      <c r="AG186" s="19"/>
      <c r="AH186" s="19"/>
      <c r="AI186" s="19"/>
      <c r="AJ186" s="19"/>
      <c r="AK186" s="19"/>
      <c r="AL186" s="19"/>
      <c r="AM186" s="13">
        <f t="shared" si="36"/>
        <v>0</v>
      </c>
      <c r="AN186" s="5"/>
      <c r="AO186" s="5"/>
    </row>
    <row r="187" ht="12.75" customHeight="1">
      <c r="A187" s="19" t="s">
        <v>15</v>
      </c>
      <c r="B187" s="47" t="s">
        <v>47</v>
      </c>
      <c r="C187" s="15"/>
      <c r="D187" s="16"/>
      <c r="E187" s="13">
        <f t="shared" ref="E187:AM187" si="37">SUM(E177:E186)</f>
        <v>0</v>
      </c>
      <c r="F187" s="13">
        <f t="shared" si="37"/>
        <v>2</v>
      </c>
      <c r="G187" s="13">
        <f t="shared" si="37"/>
        <v>2</v>
      </c>
      <c r="H187" s="13">
        <f t="shared" si="37"/>
        <v>1</v>
      </c>
      <c r="I187" s="13">
        <f t="shared" si="37"/>
        <v>2</v>
      </c>
      <c r="J187" s="13">
        <f t="shared" si="37"/>
        <v>2</v>
      </c>
      <c r="K187" s="13">
        <f t="shared" si="37"/>
        <v>2</v>
      </c>
      <c r="L187" s="13">
        <f t="shared" si="37"/>
        <v>3</v>
      </c>
      <c r="M187" s="13">
        <f t="shared" si="37"/>
        <v>7</v>
      </c>
      <c r="N187" s="13">
        <f t="shared" si="37"/>
        <v>1</v>
      </c>
      <c r="O187" s="13">
        <f t="shared" si="37"/>
        <v>3</v>
      </c>
      <c r="P187" s="13">
        <f t="shared" si="37"/>
        <v>0</v>
      </c>
      <c r="Q187" s="13">
        <f t="shared" si="37"/>
        <v>0</v>
      </c>
      <c r="R187" s="13">
        <f t="shared" si="37"/>
        <v>3</v>
      </c>
      <c r="S187" s="13">
        <f t="shared" si="37"/>
        <v>0</v>
      </c>
      <c r="T187" s="13">
        <f t="shared" si="37"/>
        <v>1</v>
      </c>
      <c r="U187" s="13">
        <f t="shared" si="37"/>
        <v>2</v>
      </c>
      <c r="V187" s="13">
        <f t="shared" si="37"/>
        <v>0</v>
      </c>
      <c r="W187" s="13">
        <f t="shared" si="37"/>
        <v>2</v>
      </c>
      <c r="X187" s="13">
        <f t="shared" si="37"/>
        <v>2</v>
      </c>
      <c r="Y187" s="13">
        <f t="shared" si="37"/>
        <v>4</v>
      </c>
      <c r="Z187" s="13">
        <f t="shared" si="37"/>
        <v>0</v>
      </c>
      <c r="AA187" s="13">
        <f t="shared" si="37"/>
        <v>1</v>
      </c>
      <c r="AB187" s="13">
        <f t="shared" si="37"/>
        <v>2</v>
      </c>
      <c r="AC187" s="13">
        <f t="shared" si="37"/>
        <v>3</v>
      </c>
      <c r="AD187" s="13">
        <f t="shared" si="37"/>
        <v>1</v>
      </c>
      <c r="AE187" s="13">
        <f t="shared" si="37"/>
        <v>2</v>
      </c>
      <c r="AF187" s="13">
        <f t="shared" si="37"/>
        <v>0</v>
      </c>
      <c r="AG187" s="13">
        <f t="shared" si="37"/>
        <v>0</v>
      </c>
      <c r="AH187" s="13">
        <f t="shared" si="37"/>
        <v>1</v>
      </c>
      <c r="AI187" s="13">
        <f t="shared" si="37"/>
        <v>0</v>
      </c>
      <c r="AJ187" s="13">
        <f t="shared" si="37"/>
        <v>1</v>
      </c>
      <c r="AK187" s="13">
        <f t="shared" si="37"/>
        <v>2</v>
      </c>
      <c r="AL187" s="13">
        <f t="shared" si="37"/>
        <v>0</v>
      </c>
      <c r="AM187" s="13">
        <f t="shared" si="37"/>
        <v>52</v>
      </c>
      <c r="AN187" s="1"/>
      <c r="AO187" s="1"/>
    </row>
    <row r="188" ht="12.75" customHeight="1">
      <c r="A188" s="24"/>
      <c r="B188" s="15"/>
      <c r="C188" s="15"/>
      <c r="D188" s="15"/>
      <c r="E188" s="16"/>
      <c r="F188" s="84"/>
      <c r="G188" s="84"/>
      <c r="H188" s="84"/>
      <c r="I188" s="84"/>
      <c r="J188" s="84"/>
      <c r="K188" s="84"/>
      <c r="L188" s="84"/>
      <c r="M188" s="84"/>
      <c r="N188" s="84"/>
      <c r="T188" s="84"/>
      <c r="U188" s="84"/>
      <c r="V188" s="84"/>
      <c r="W188" s="84"/>
      <c r="X188" s="84"/>
      <c r="Y188" s="84"/>
      <c r="Z188" s="84"/>
      <c r="AA188" s="84"/>
      <c r="AB188" s="84"/>
      <c r="AM188" s="13"/>
    </row>
    <row r="189" ht="12.75" customHeight="1">
      <c r="A189" s="30" t="s">
        <v>37</v>
      </c>
      <c r="B189" s="47" t="s">
        <v>137</v>
      </c>
      <c r="C189" s="48" t="s">
        <v>138</v>
      </c>
      <c r="D189" s="16"/>
      <c r="E189" s="19">
        <v>0.0</v>
      </c>
      <c r="F189" s="19">
        <v>0.0</v>
      </c>
      <c r="G189" s="19">
        <v>2.0</v>
      </c>
      <c r="H189" s="19">
        <v>1.0</v>
      </c>
      <c r="I189" s="19">
        <v>4.0</v>
      </c>
      <c r="J189" s="19">
        <v>1.0</v>
      </c>
      <c r="K189" s="19">
        <v>2.0</v>
      </c>
      <c r="L189" s="19">
        <v>1.0</v>
      </c>
      <c r="M189" s="19">
        <v>0.0</v>
      </c>
      <c r="N189" s="19">
        <v>0.0</v>
      </c>
      <c r="O189" s="19">
        <v>2.0</v>
      </c>
      <c r="P189" s="19">
        <v>0.0</v>
      </c>
      <c r="Q189" s="19">
        <v>0.0</v>
      </c>
      <c r="R189" s="19">
        <v>0.0</v>
      </c>
      <c r="S189" s="19">
        <v>1.0</v>
      </c>
      <c r="T189" s="19">
        <v>0.0</v>
      </c>
      <c r="U189" s="19">
        <v>0.0</v>
      </c>
      <c r="V189" s="19">
        <v>0.0</v>
      </c>
      <c r="W189" s="19">
        <v>0.0</v>
      </c>
      <c r="X189" s="19">
        <v>0.0</v>
      </c>
      <c r="Y189" s="19">
        <v>0.0</v>
      </c>
      <c r="Z189" s="19">
        <v>0.0</v>
      </c>
      <c r="AA189" s="19">
        <v>0.0</v>
      </c>
      <c r="AB189" s="19">
        <v>0.0</v>
      </c>
      <c r="AC189" s="19">
        <v>0.0</v>
      </c>
      <c r="AD189" s="19">
        <v>0.0</v>
      </c>
      <c r="AE189" s="19">
        <v>0.0</v>
      </c>
      <c r="AF189" s="19">
        <v>0.0</v>
      </c>
      <c r="AG189" s="19">
        <v>0.0</v>
      </c>
      <c r="AH189" s="19">
        <v>1.0</v>
      </c>
      <c r="AI189" s="19">
        <v>0.0</v>
      </c>
      <c r="AJ189" s="19">
        <v>1.0</v>
      </c>
      <c r="AK189" s="19">
        <v>0.0</v>
      </c>
      <c r="AL189" s="19">
        <v>0.0</v>
      </c>
      <c r="AM189" s="13">
        <f t="shared" ref="AM189:AM198" si="38">SUM(E189:AL189)</f>
        <v>16</v>
      </c>
      <c r="AN189" s="5"/>
      <c r="AO189" s="5"/>
    </row>
    <row r="190" ht="12.75" customHeight="1">
      <c r="A190" s="30" t="s">
        <v>39</v>
      </c>
      <c r="B190" s="55">
        <v>1.0</v>
      </c>
      <c r="C190" s="50" t="s">
        <v>139</v>
      </c>
      <c r="D190" s="60"/>
      <c r="E190" s="19">
        <v>0.0</v>
      </c>
      <c r="F190" s="19">
        <v>0.0</v>
      </c>
      <c r="G190" s="19">
        <v>0.0</v>
      </c>
      <c r="H190" s="19">
        <v>0.0</v>
      </c>
      <c r="I190" s="19">
        <v>0.0</v>
      </c>
      <c r="J190" s="19">
        <v>2.0</v>
      </c>
      <c r="K190" s="19">
        <v>0.0</v>
      </c>
      <c r="L190" s="19">
        <v>0.0</v>
      </c>
      <c r="M190" s="19">
        <v>0.0</v>
      </c>
      <c r="N190" s="19">
        <v>1.0</v>
      </c>
      <c r="O190" s="19">
        <v>0.0</v>
      </c>
      <c r="P190" s="19">
        <v>1.0</v>
      </c>
      <c r="Q190" s="19">
        <v>1.0</v>
      </c>
      <c r="R190" s="19">
        <v>0.0</v>
      </c>
      <c r="S190" s="19">
        <v>0.0</v>
      </c>
      <c r="T190" s="19">
        <v>0.0</v>
      </c>
      <c r="U190" s="19">
        <v>0.0</v>
      </c>
      <c r="V190" s="19">
        <v>0.0</v>
      </c>
      <c r="W190" s="19">
        <v>0.0</v>
      </c>
      <c r="X190" s="19">
        <v>0.0</v>
      </c>
      <c r="Y190" s="19">
        <v>0.0</v>
      </c>
      <c r="Z190" s="19">
        <v>0.0</v>
      </c>
      <c r="AA190" s="19">
        <v>0.0</v>
      </c>
      <c r="AB190" s="19">
        <v>0.0</v>
      </c>
      <c r="AC190" s="19">
        <v>0.0</v>
      </c>
      <c r="AD190" s="19">
        <v>0.0</v>
      </c>
      <c r="AE190" s="19">
        <v>0.0</v>
      </c>
      <c r="AF190" s="19">
        <v>0.0</v>
      </c>
      <c r="AG190" s="19">
        <v>0.0</v>
      </c>
      <c r="AH190" s="19">
        <v>0.0</v>
      </c>
      <c r="AI190" s="19">
        <v>0.0</v>
      </c>
      <c r="AJ190" s="19">
        <v>0.0</v>
      </c>
      <c r="AK190" s="19">
        <v>0.0</v>
      </c>
      <c r="AL190" s="19">
        <v>0.0</v>
      </c>
      <c r="AM190" s="13">
        <f t="shared" si="38"/>
        <v>5</v>
      </c>
      <c r="AN190" s="5"/>
      <c r="AO190" s="5"/>
    </row>
    <row r="191" ht="12.75" customHeight="1">
      <c r="A191" s="18"/>
      <c r="B191" s="55">
        <v>2.0</v>
      </c>
      <c r="C191" s="50" t="s">
        <v>140</v>
      </c>
      <c r="D191" s="60"/>
      <c r="E191" s="19">
        <v>0.0</v>
      </c>
      <c r="F191" s="19">
        <v>0.0</v>
      </c>
      <c r="G191" s="19">
        <v>0.0</v>
      </c>
      <c r="H191" s="19">
        <v>1.0</v>
      </c>
      <c r="I191" s="19">
        <v>2.0</v>
      </c>
      <c r="J191" s="19">
        <v>1.0</v>
      </c>
      <c r="K191" s="19">
        <v>1.0</v>
      </c>
      <c r="L191" s="19">
        <v>0.0</v>
      </c>
      <c r="M191" s="19">
        <v>2.0</v>
      </c>
      <c r="N191" s="19">
        <v>0.0</v>
      </c>
      <c r="O191" s="19">
        <v>0.0</v>
      </c>
      <c r="P191" s="19">
        <v>2.0</v>
      </c>
      <c r="Q191" s="19">
        <v>0.0</v>
      </c>
      <c r="R191" s="19">
        <v>0.0</v>
      </c>
      <c r="S191" s="19">
        <v>1.0</v>
      </c>
      <c r="T191" s="19">
        <v>1.0</v>
      </c>
      <c r="U191" s="19">
        <v>0.0</v>
      </c>
      <c r="V191" s="19">
        <v>0.0</v>
      </c>
      <c r="W191" s="19">
        <v>0.0</v>
      </c>
      <c r="X191" s="19">
        <v>0.0</v>
      </c>
      <c r="Y191" s="19">
        <v>0.0</v>
      </c>
      <c r="Z191" s="19">
        <v>0.0</v>
      </c>
      <c r="AA191" s="19">
        <v>0.0</v>
      </c>
      <c r="AB191" s="19">
        <v>0.0</v>
      </c>
      <c r="AC191" s="19">
        <v>0.0</v>
      </c>
      <c r="AD191" s="19">
        <v>0.0</v>
      </c>
      <c r="AE191" s="19">
        <v>0.0</v>
      </c>
      <c r="AF191" s="19">
        <v>0.0</v>
      </c>
      <c r="AG191" s="19">
        <v>0.0</v>
      </c>
      <c r="AH191" s="19">
        <v>0.0</v>
      </c>
      <c r="AI191" s="19">
        <v>0.0</v>
      </c>
      <c r="AJ191" s="19">
        <v>0.0</v>
      </c>
      <c r="AK191" s="19">
        <v>0.0</v>
      </c>
      <c r="AL191" s="19">
        <v>0.0</v>
      </c>
      <c r="AM191" s="13">
        <f t="shared" si="38"/>
        <v>11</v>
      </c>
      <c r="AN191" s="5"/>
      <c r="AO191" s="5"/>
    </row>
    <row r="192" ht="12.75" customHeight="1">
      <c r="A192" s="18"/>
      <c r="B192" s="55">
        <v>3.0</v>
      </c>
      <c r="C192" s="50" t="s">
        <v>141</v>
      </c>
      <c r="D192" s="60"/>
      <c r="E192" s="19">
        <v>0.0</v>
      </c>
      <c r="F192" s="19">
        <v>0.0</v>
      </c>
      <c r="G192" s="19">
        <v>0.0</v>
      </c>
      <c r="H192" s="19">
        <v>0.0</v>
      </c>
      <c r="I192" s="19">
        <v>0.0</v>
      </c>
      <c r="J192" s="19">
        <v>0.0</v>
      </c>
      <c r="K192" s="19">
        <v>0.0</v>
      </c>
      <c r="L192" s="19">
        <v>0.0</v>
      </c>
      <c r="M192" s="19">
        <v>0.0</v>
      </c>
      <c r="N192" s="19">
        <v>0.0</v>
      </c>
      <c r="O192" s="19">
        <v>0.0</v>
      </c>
      <c r="P192" s="19">
        <v>0.0</v>
      </c>
      <c r="Q192" s="19">
        <v>0.0</v>
      </c>
      <c r="R192" s="19">
        <v>0.0</v>
      </c>
      <c r="S192" s="19">
        <v>0.0</v>
      </c>
      <c r="T192" s="19">
        <v>0.0</v>
      </c>
      <c r="U192" s="19">
        <v>0.0</v>
      </c>
      <c r="V192" s="19">
        <v>0.0</v>
      </c>
      <c r="W192" s="19">
        <v>0.0</v>
      </c>
      <c r="X192" s="19">
        <v>0.0</v>
      </c>
      <c r="Y192" s="19">
        <v>0.0</v>
      </c>
      <c r="Z192" s="19">
        <v>0.0</v>
      </c>
      <c r="AA192" s="19">
        <v>1.0</v>
      </c>
      <c r="AB192" s="19">
        <v>0.0</v>
      </c>
      <c r="AC192" s="19">
        <v>0.0</v>
      </c>
      <c r="AD192" s="19">
        <v>0.0</v>
      </c>
      <c r="AE192" s="19">
        <v>0.0</v>
      </c>
      <c r="AF192" s="19">
        <v>0.0</v>
      </c>
      <c r="AG192" s="19">
        <v>0.0</v>
      </c>
      <c r="AH192" s="19">
        <v>0.0</v>
      </c>
      <c r="AI192" s="19">
        <v>0.0</v>
      </c>
      <c r="AJ192" s="19">
        <v>0.0</v>
      </c>
      <c r="AK192" s="19">
        <v>0.0</v>
      </c>
      <c r="AL192" s="19">
        <v>0.0</v>
      </c>
      <c r="AM192" s="13">
        <f t="shared" si="38"/>
        <v>1</v>
      </c>
      <c r="AN192" s="5"/>
      <c r="AO192" s="5"/>
    </row>
    <row r="193" ht="12.75" customHeight="1">
      <c r="A193" s="18"/>
      <c r="B193" s="55">
        <v>4.0</v>
      </c>
      <c r="C193" s="50" t="s">
        <v>142</v>
      </c>
      <c r="D193" s="60"/>
      <c r="E193" s="19">
        <v>0.0</v>
      </c>
      <c r="F193" s="19">
        <v>0.0</v>
      </c>
      <c r="G193" s="19">
        <v>0.0</v>
      </c>
      <c r="H193" s="19">
        <v>0.0</v>
      </c>
      <c r="I193" s="19">
        <v>1.0</v>
      </c>
      <c r="J193" s="19">
        <v>0.0</v>
      </c>
      <c r="K193" s="19">
        <v>0.0</v>
      </c>
      <c r="L193" s="19">
        <v>1.0</v>
      </c>
      <c r="M193" s="19">
        <v>0.0</v>
      </c>
      <c r="N193" s="19">
        <v>1.0</v>
      </c>
      <c r="O193" s="19">
        <v>0.0</v>
      </c>
      <c r="P193" s="19">
        <v>0.0</v>
      </c>
      <c r="Q193" s="19">
        <v>0.0</v>
      </c>
      <c r="R193" s="19">
        <v>0.0</v>
      </c>
      <c r="S193" s="19">
        <v>0.0</v>
      </c>
      <c r="T193" s="19">
        <v>0.0</v>
      </c>
      <c r="U193" s="19">
        <v>0.0</v>
      </c>
      <c r="V193" s="19">
        <v>0.0</v>
      </c>
      <c r="W193" s="19">
        <v>0.0</v>
      </c>
      <c r="X193" s="19">
        <v>0.0</v>
      </c>
      <c r="Y193" s="19">
        <v>0.0</v>
      </c>
      <c r="Z193" s="19">
        <v>0.0</v>
      </c>
      <c r="AA193" s="19">
        <v>0.0</v>
      </c>
      <c r="AB193" s="19">
        <v>0.0</v>
      </c>
      <c r="AC193" s="19">
        <v>0.0</v>
      </c>
      <c r="AD193" s="19">
        <v>0.0</v>
      </c>
      <c r="AE193" s="19">
        <v>0.0</v>
      </c>
      <c r="AF193" s="19">
        <v>0.0</v>
      </c>
      <c r="AG193" s="19">
        <v>0.0</v>
      </c>
      <c r="AH193" s="19">
        <v>1.0</v>
      </c>
      <c r="AI193" s="19">
        <v>0.0</v>
      </c>
      <c r="AJ193" s="19">
        <v>0.0</v>
      </c>
      <c r="AK193" s="19">
        <v>0.0</v>
      </c>
      <c r="AL193" s="19">
        <v>0.0</v>
      </c>
      <c r="AM193" s="13">
        <f t="shared" si="38"/>
        <v>4</v>
      </c>
      <c r="AN193" s="5"/>
      <c r="AO193" s="5"/>
    </row>
    <row r="194" ht="12.75" customHeight="1">
      <c r="A194" s="18"/>
      <c r="B194" s="55">
        <v>5.0</v>
      </c>
      <c r="C194" s="50" t="s">
        <v>143</v>
      </c>
      <c r="D194" s="60"/>
      <c r="E194" s="19">
        <v>0.0</v>
      </c>
      <c r="F194" s="19">
        <v>0.0</v>
      </c>
      <c r="G194" s="19">
        <v>1.0</v>
      </c>
      <c r="H194" s="19">
        <v>1.0</v>
      </c>
      <c r="I194" s="19">
        <v>0.0</v>
      </c>
      <c r="J194" s="19">
        <v>0.0</v>
      </c>
      <c r="K194" s="19">
        <v>0.0</v>
      </c>
      <c r="L194" s="19">
        <v>0.0</v>
      </c>
      <c r="M194" s="19">
        <v>0.0</v>
      </c>
      <c r="N194" s="19">
        <v>0.0</v>
      </c>
      <c r="O194" s="19">
        <v>0.0</v>
      </c>
      <c r="P194" s="19">
        <v>0.0</v>
      </c>
      <c r="Q194" s="19">
        <v>0.0</v>
      </c>
      <c r="R194" s="19">
        <v>0.0</v>
      </c>
      <c r="S194" s="19">
        <v>0.0</v>
      </c>
      <c r="T194" s="19">
        <v>0.0</v>
      </c>
      <c r="U194" s="19">
        <v>0.0</v>
      </c>
      <c r="V194" s="19">
        <v>0.0</v>
      </c>
      <c r="W194" s="19">
        <v>0.0</v>
      </c>
      <c r="X194" s="19">
        <v>0.0</v>
      </c>
      <c r="Y194" s="19">
        <v>0.0</v>
      </c>
      <c r="Z194" s="19">
        <v>0.0</v>
      </c>
      <c r="AA194" s="19">
        <v>0.0</v>
      </c>
      <c r="AB194" s="19">
        <v>0.0</v>
      </c>
      <c r="AC194" s="19">
        <v>0.0</v>
      </c>
      <c r="AD194" s="19">
        <v>0.0</v>
      </c>
      <c r="AE194" s="19">
        <v>0.0</v>
      </c>
      <c r="AF194" s="19">
        <v>0.0</v>
      </c>
      <c r="AG194" s="19">
        <v>0.0</v>
      </c>
      <c r="AH194" s="19">
        <v>0.0</v>
      </c>
      <c r="AI194" s="19">
        <v>0.0</v>
      </c>
      <c r="AJ194" s="19">
        <v>0.0</v>
      </c>
      <c r="AK194" s="19">
        <v>0.0</v>
      </c>
      <c r="AL194" s="19">
        <v>0.0</v>
      </c>
      <c r="AM194" s="13">
        <f t="shared" si="38"/>
        <v>2</v>
      </c>
      <c r="AN194" s="5"/>
      <c r="AO194" s="5"/>
    </row>
    <row r="195" ht="12.75" customHeight="1">
      <c r="A195" s="18"/>
      <c r="B195" s="55">
        <v>6.0</v>
      </c>
      <c r="C195" s="50" t="s">
        <v>144</v>
      </c>
      <c r="D195" s="60"/>
      <c r="E195" s="19">
        <v>1.0</v>
      </c>
      <c r="F195" s="19">
        <v>0.0</v>
      </c>
      <c r="G195" s="19">
        <v>0.0</v>
      </c>
      <c r="H195" s="19">
        <v>0.0</v>
      </c>
      <c r="I195" s="19">
        <v>0.0</v>
      </c>
      <c r="J195" s="19">
        <v>0.0</v>
      </c>
      <c r="K195" s="19">
        <v>0.0</v>
      </c>
      <c r="L195" s="19">
        <v>0.0</v>
      </c>
      <c r="M195" s="19">
        <v>0.0</v>
      </c>
      <c r="N195" s="19">
        <v>0.0</v>
      </c>
      <c r="O195" s="19">
        <v>0.0</v>
      </c>
      <c r="P195" s="19">
        <v>0.0</v>
      </c>
      <c r="Q195" s="19">
        <v>1.0</v>
      </c>
      <c r="R195" s="19">
        <v>0.0</v>
      </c>
      <c r="S195" s="19">
        <v>0.0</v>
      </c>
      <c r="T195" s="19">
        <v>0.0</v>
      </c>
      <c r="U195" s="19">
        <v>0.0</v>
      </c>
      <c r="V195" s="19">
        <v>0.0</v>
      </c>
      <c r="W195" s="19">
        <v>0.0</v>
      </c>
      <c r="X195" s="19">
        <v>0.0</v>
      </c>
      <c r="Y195" s="19">
        <v>0.0</v>
      </c>
      <c r="Z195" s="19">
        <v>0.0</v>
      </c>
      <c r="AA195" s="19">
        <v>0.0</v>
      </c>
      <c r="AB195" s="19">
        <v>0.0</v>
      </c>
      <c r="AC195" s="19">
        <v>0.0</v>
      </c>
      <c r="AD195" s="19">
        <v>0.0</v>
      </c>
      <c r="AE195" s="19">
        <v>0.0</v>
      </c>
      <c r="AF195" s="19">
        <v>0.0</v>
      </c>
      <c r="AG195" s="19">
        <v>0.0</v>
      </c>
      <c r="AH195" s="19">
        <v>0.0</v>
      </c>
      <c r="AI195" s="19">
        <v>0.0</v>
      </c>
      <c r="AJ195" s="19">
        <v>0.0</v>
      </c>
      <c r="AK195" s="19">
        <v>0.0</v>
      </c>
      <c r="AL195" s="19">
        <v>0.0</v>
      </c>
      <c r="AM195" s="13">
        <f t="shared" si="38"/>
        <v>2</v>
      </c>
      <c r="AN195" s="5"/>
      <c r="AO195" s="5"/>
    </row>
    <row r="196" ht="12.75" customHeight="1">
      <c r="A196" s="18"/>
      <c r="B196" s="55">
        <v>7.0</v>
      </c>
      <c r="C196" s="50" t="s">
        <v>145</v>
      </c>
      <c r="D196" s="60"/>
      <c r="E196" s="19">
        <v>0.0</v>
      </c>
      <c r="F196" s="19">
        <v>0.0</v>
      </c>
      <c r="G196" s="19">
        <v>0.0</v>
      </c>
      <c r="H196" s="19">
        <v>0.0</v>
      </c>
      <c r="I196" s="19">
        <v>0.0</v>
      </c>
      <c r="J196" s="19">
        <v>0.0</v>
      </c>
      <c r="K196" s="19">
        <v>0.0</v>
      </c>
      <c r="L196" s="19">
        <v>0.0</v>
      </c>
      <c r="M196" s="19">
        <v>0.0</v>
      </c>
      <c r="N196" s="19">
        <v>0.0</v>
      </c>
      <c r="O196" s="19">
        <v>0.0</v>
      </c>
      <c r="P196" s="19">
        <v>0.0</v>
      </c>
      <c r="Q196" s="19">
        <v>0.0</v>
      </c>
      <c r="R196" s="19">
        <v>0.0</v>
      </c>
      <c r="S196" s="19">
        <v>1.0</v>
      </c>
      <c r="T196" s="19">
        <v>0.0</v>
      </c>
      <c r="U196" s="19">
        <v>0.0</v>
      </c>
      <c r="V196" s="19">
        <v>0.0</v>
      </c>
      <c r="W196" s="19">
        <v>0.0</v>
      </c>
      <c r="X196" s="19">
        <v>0.0</v>
      </c>
      <c r="Y196" s="19">
        <v>0.0</v>
      </c>
      <c r="Z196" s="19">
        <v>0.0</v>
      </c>
      <c r="AA196" s="19">
        <v>1.0</v>
      </c>
      <c r="AB196" s="19">
        <v>0.0</v>
      </c>
      <c r="AC196" s="19">
        <v>0.0</v>
      </c>
      <c r="AD196" s="19">
        <v>0.0</v>
      </c>
      <c r="AE196" s="19">
        <v>0.0</v>
      </c>
      <c r="AF196" s="19">
        <v>0.0</v>
      </c>
      <c r="AG196" s="19">
        <v>0.0</v>
      </c>
      <c r="AH196" s="19">
        <v>0.0</v>
      </c>
      <c r="AI196" s="19">
        <v>0.0</v>
      </c>
      <c r="AJ196" s="19">
        <v>0.0</v>
      </c>
      <c r="AK196" s="19">
        <v>0.0</v>
      </c>
      <c r="AL196" s="19">
        <v>0.0</v>
      </c>
      <c r="AM196" s="13">
        <f t="shared" si="38"/>
        <v>2</v>
      </c>
      <c r="AN196" s="1"/>
      <c r="AO196" s="1"/>
    </row>
    <row r="197" ht="12.75" customHeight="1">
      <c r="A197" s="18"/>
      <c r="B197" s="56"/>
      <c r="C197" s="57"/>
      <c r="D197" s="62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  <c r="AA197" s="19"/>
      <c r="AB197" s="19"/>
      <c r="AC197" s="19"/>
      <c r="AD197" s="19"/>
      <c r="AE197" s="19"/>
      <c r="AF197" s="19"/>
      <c r="AG197" s="19"/>
      <c r="AH197" s="19"/>
      <c r="AI197" s="19"/>
      <c r="AJ197" s="19"/>
      <c r="AK197" s="19"/>
      <c r="AL197" s="19"/>
      <c r="AM197" s="13">
        <f t="shared" si="38"/>
        <v>0</v>
      </c>
      <c r="AN197" s="1"/>
      <c r="AO197" s="1"/>
    </row>
    <row r="198" ht="12.75" customHeight="1">
      <c r="A198" s="18"/>
      <c r="B198" s="56"/>
      <c r="C198" s="57"/>
      <c r="D198" s="62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  <c r="AA198" s="19"/>
      <c r="AB198" s="19"/>
      <c r="AC198" s="19"/>
      <c r="AD198" s="19"/>
      <c r="AE198" s="19"/>
      <c r="AF198" s="19"/>
      <c r="AG198" s="19"/>
      <c r="AH198" s="19"/>
      <c r="AI198" s="19"/>
      <c r="AJ198" s="19"/>
      <c r="AK198" s="19"/>
      <c r="AL198" s="19"/>
      <c r="AM198" s="13">
        <f t="shared" si="38"/>
        <v>0</v>
      </c>
      <c r="AN198" s="1"/>
      <c r="AO198" s="1"/>
    </row>
    <row r="199" ht="12.75" customHeight="1">
      <c r="A199" s="19" t="s">
        <v>15</v>
      </c>
      <c r="B199" s="47" t="s">
        <v>47</v>
      </c>
      <c r="C199" s="15"/>
      <c r="D199" s="16"/>
      <c r="E199" s="13">
        <f t="shared" ref="E199:AM199" si="39">SUM(E189:E198)</f>
        <v>1</v>
      </c>
      <c r="F199" s="13">
        <f t="shared" si="39"/>
        <v>0</v>
      </c>
      <c r="G199" s="13">
        <f t="shared" si="39"/>
        <v>3</v>
      </c>
      <c r="H199" s="13">
        <f t="shared" si="39"/>
        <v>3</v>
      </c>
      <c r="I199" s="13">
        <f t="shared" si="39"/>
        <v>7</v>
      </c>
      <c r="J199" s="13">
        <f t="shared" si="39"/>
        <v>4</v>
      </c>
      <c r="K199" s="13">
        <f t="shared" si="39"/>
        <v>3</v>
      </c>
      <c r="L199" s="13">
        <f t="shared" si="39"/>
        <v>2</v>
      </c>
      <c r="M199" s="13">
        <f t="shared" si="39"/>
        <v>2</v>
      </c>
      <c r="N199" s="13">
        <f t="shared" si="39"/>
        <v>2</v>
      </c>
      <c r="O199" s="13">
        <f t="shared" si="39"/>
        <v>2</v>
      </c>
      <c r="P199" s="13">
        <f t="shared" si="39"/>
        <v>3</v>
      </c>
      <c r="Q199" s="13">
        <f t="shared" si="39"/>
        <v>2</v>
      </c>
      <c r="R199" s="13">
        <f t="shared" si="39"/>
        <v>0</v>
      </c>
      <c r="S199" s="13">
        <f t="shared" si="39"/>
        <v>3</v>
      </c>
      <c r="T199" s="13">
        <f t="shared" si="39"/>
        <v>1</v>
      </c>
      <c r="U199" s="13">
        <f t="shared" si="39"/>
        <v>0</v>
      </c>
      <c r="V199" s="13">
        <f t="shared" si="39"/>
        <v>0</v>
      </c>
      <c r="W199" s="13">
        <f t="shared" si="39"/>
        <v>0</v>
      </c>
      <c r="X199" s="13">
        <f t="shared" si="39"/>
        <v>0</v>
      </c>
      <c r="Y199" s="13">
        <f t="shared" si="39"/>
        <v>0</v>
      </c>
      <c r="Z199" s="13">
        <f t="shared" si="39"/>
        <v>0</v>
      </c>
      <c r="AA199" s="13">
        <f t="shared" si="39"/>
        <v>2</v>
      </c>
      <c r="AB199" s="13">
        <f t="shared" si="39"/>
        <v>0</v>
      </c>
      <c r="AC199" s="13">
        <f t="shared" si="39"/>
        <v>0</v>
      </c>
      <c r="AD199" s="13">
        <f t="shared" si="39"/>
        <v>0</v>
      </c>
      <c r="AE199" s="13">
        <f t="shared" si="39"/>
        <v>0</v>
      </c>
      <c r="AF199" s="13">
        <f t="shared" si="39"/>
        <v>0</v>
      </c>
      <c r="AG199" s="13">
        <f t="shared" si="39"/>
        <v>0</v>
      </c>
      <c r="AH199" s="13">
        <f t="shared" si="39"/>
        <v>2</v>
      </c>
      <c r="AI199" s="13">
        <f t="shared" si="39"/>
        <v>0</v>
      </c>
      <c r="AJ199" s="13">
        <f t="shared" si="39"/>
        <v>1</v>
      </c>
      <c r="AK199" s="13">
        <f t="shared" si="39"/>
        <v>0</v>
      </c>
      <c r="AL199" s="13">
        <f t="shared" si="39"/>
        <v>0</v>
      </c>
      <c r="AM199" s="13">
        <f t="shared" si="39"/>
        <v>43</v>
      </c>
      <c r="AN199" s="52"/>
      <c r="AO199" s="52"/>
    </row>
    <row r="200" ht="12.75" customHeight="1">
      <c r="A200" s="24"/>
      <c r="B200" s="15"/>
      <c r="C200" s="15"/>
      <c r="D200" s="15"/>
      <c r="E200" s="16"/>
      <c r="F200" s="84"/>
      <c r="G200" s="84"/>
      <c r="H200" s="84"/>
      <c r="I200" s="84"/>
      <c r="J200" s="84"/>
      <c r="K200" s="84"/>
      <c r="L200" s="84"/>
      <c r="M200" s="84"/>
      <c r="N200" s="84"/>
      <c r="O200" s="84"/>
      <c r="P200" s="84"/>
      <c r="Q200" s="84"/>
      <c r="R200" s="84"/>
      <c r="S200" s="84"/>
      <c r="T200" s="84"/>
      <c r="U200" s="84"/>
      <c r="V200" s="84"/>
      <c r="W200" s="84"/>
      <c r="X200" s="84"/>
      <c r="Y200" s="84"/>
      <c r="Z200" s="84"/>
      <c r="AA200" s="84"/>
      <c r="AB200" s="84"/>
      <c r="AC200" s="84"/>
      <c r="AD200" s="84"/>
      <c r="AE200" s="84"/>
      <c r="AF200" s="84"/>
      <c r="AG200" s="84"/>
      <c r="AH200" s="84"/>
      <c r="AI200" s="84"/>
      <c r="AJ200" s="84"/>
      <c r="AK200" s="84"/>
      <c r="AL200" s="84"/>
      <c r="AM200" s="84"/>
      <c r="AN200" s="5"/>
      <c r="AO200" s="5"/>
    </row>
    <row r="201" ht="12.75" customHeight="1">
      <c r="A201" s="30" t="s">
        <v>37</v>
      </c>
      <c r="B201" s="47" t="s">
        <v>146</v>
      </c>
      <c r="C201" s="48" t="s">
        <v>147</v>
      </c>
      <c r="D201" s="16"/>
      <c r="E201" s="19">
        <v>0.0</v>
      </c>
      <c r="F201" s="19">
        <v>2.0</v>
      </c>
      <c r="G201" s="19">
        <v>2.0</v>
      </c>
      <c r="H201" s="19">
        <v>0.0</v>
      </c>
      <c r="I201" s="19">
        <v>3.0</v>
      </c>
      <c r="J201" s="19">
        <v>1.0</v>
      </c>
      <c r="K201" s="19">
        <v>4.0</v>
      </c>
      <c r="L201" s="19">
        <v>0.0</v>
      </c>
      <c r="M201" s="19">
        <v>0.0</v>
      </c>
      <c r="N201" s="19">
        <v>3.0</v>
      </c>
      <c r="O201" s="19">
        <v>1.0</v>
      </c>
      <c r="P201" s="19">
        <v>1.0</v>
      </c>
      <c r="Q201" s="19">
        <v>0.0</v>
      </c>
      <c r="R201" s="19">
        <v>5.0</v>
      </c>
      <c r="S201" s="19">
        <v>7.0</v>
      </c>
      <c r="T201" s="19">
        <v>2.0</v>
      </c>
      <c r="U201" s="19">
        <v>0.0</v>
      </c>
      <c r="V201" s="19">
        <v>2.0</v>
      </c>
      <c r="W201" s="19">
        <v>1.0</v>
      </c>
      <c r="X201" s="19">
        <v>2.0</v>
      </c>
      <c r="Y201" s="19">
        <v>0.0</v>
      </c>
      <c r="Z201" s="19">
        <v>0.0</v>
      </c>
      <c r="AA201" s="19">
        <v>0.0</v>
      </c>
      <c r="AB201" s="19">
        <v>0.0</v>
      </c>
      <c r="AC201" s="19">
        <v>1.0</v>
      </c>
      <c r="AD201" s="19">
        <v>1.0</v>
      </c>
      <c r="AE201" s="19">
        <v>0.0</v>
      </c>
      <c r="AF201" s="19">
        <v>0.0</v>
      </c>
      <c r="AG201" s="19">
        <v>1.0</v>
      </c>
      <c r="AH201" s="19">
        <v>0.0</v>
      </c>
      <c r="AI201" s="19">
        <v>0.0</v>
      </c>
      <c r="AJ201" s="19">
        <v>0.0</v>
      </c>
      <c r="AK201" s="19">
        <v>1.0</v>
      </c>
      <c r="AL201" s="19">
        <v>2.0</v>
      </c>
      <c r="AM201" s="13">
        <f t="shared" ref="AM201:AM210" si="40">SUM(E201:AL201)</f>
        <v>42</v>
      </c>
      <c r="AN201" s="5"/>
      <c r="AO201" s="5"/>
    </row>
    <row r="202" ht="12.75" customHeight="1">
      <c r="A202" s="30" t="s">
        <v>39</v>
      </c>
      <c r="B202" s="55">
        <v>1.0</v>
      </c>
      <c r="C202" s="50" t="s">
        <v>148</v>
      </c>
      <c r="D202" s="60"/>
      <c r="E202" s="19">
        <v>1.0</v>
      </c>
      <c r="F202" s="19">
        <v>1.0</v>
      </c>
      <c r="G202" s="19">
        <v>0.0</v>
      </c>
      <c r="H202" s="19">
        <v>0.0</v>
      </c>
      <c r="I202" s="19">
        <v>1.0</v>
      </c>
      <c r="J202" s="19">
        <v>1.0</v>
      </c>
      <c r="K202" s="19">
        <v>1.0</v>
      </c>
      <c r="L202" s="19">
        <v>0.0</v>
      </c>
      <c r="M202" s="19">
        <v>4.0</v>
      </c>
      <c r="N202" s="19">
        <v>1.0</v>
      </c>
      <c r="O202" s="19">
        <v>0.0</v>
      </c>
      <c r="P202" s="19">
        <v>0.0</v>
      </c>
      <c r="Q202" s="19">
        <v>1.0</v>
      </c>
      <c r="R202" s="19">
        <v>0.0</v>
      </c>
      <c r="S202" s="19">
        <v>2.0</v>
      </c>
      <c r="T202" s="19">
        <v>2.0</v>
      </c>
      <c r="U202" s="19">
        <v>1.0</v>
      </c>
      <c r="V202" s="19">
        <v>0.0</v>
      </c>
      <c r="W202" s="19">
        <v>0.0</v>
      </c>
      <c r="X202" s="19">
        <v>0.0</v>
      </c>
      <c r="Y202" s="19">
        <v>1.0</v>
      </c>
      <c r="Z202" s="19">
        <v>1.0</v>
      </c>
      <c r="AA202" s="19">
        <v>2.0</v>
      </c>
      <c r="AB202" s="19">
        <v>1.0</v>
      </c>
      <c r="AC202" s="19">
        <v>0.0</v>
      </c>
      <c r="AD202" s="19">
        <v>1.0</v>
      </c>
      <c r="AE202" s="19">
        <v>1.0</v>
      </c>
      <c r="AF202" s="19">
        <v>1.0</v>
      </c>
      <c r="AG202" s="19">
        <v>0.0</v>
      </c>
      <c r="AH202" s="19">
        <v>0.0</v>
      </c>
      <c r="AI202" s="19">
        <v>0.0</v>
      </c>
      <c r="AJ202" s="19">
        <v>0.0</v>
      </c>
      <c r="AK202" s="19">
        <v>0.0</v>
      </c>
      <c r="AL202" s="19">
        <v>1.0</v>
      </c>
      <c r="AM202" s="13">
        <f t="shared" si="40"/>
        <v>25</v>
      </c>
      <c r="AN202" s="5"/>
      <c r="AO202" s="5"/>
    </row>
    <row r="203" ht="12.75" customHeight="1">
      <c r="A203" s="18"/>
      <c r="B203" s="55">
        <v>2.0</v>
      </c>
      <c r="C203" s="50" t="s">
        <v>149</v>
      </c>
      <c r="D203" s="60"/>
      <c r="E203" s="19">
        <v>2.0</v>
      </c>
      <c r="F203" s="19">
        <v>0.0</v>
      </c>
      <c r="G203" s="19">
        <v>3.0</v>
      </c>
      <c r="H203" s="19">
        <v>0.0</v>
      </c>
      <c r="I203" s="19">
        <v>3.0</v>
      </c>
      <c r="J203" s="19">
        <v>0.0</v>
      </c>
      <c r="K203" s="19">
        <v>1.0</v>
      </c>
      <c r="L203" s="19">
        <v>1.0</v>
      </c>
      <c r="M203" s="19">
        <v>1.0</v>
      </c>
      <c r="N203" s="19">
        <v>0.0</v>
      </c>
      <c r="O203" s="19">
        <v>0.0</v>
      </c>
      <c r="P203" s="19">
        <v>0.0</v>
      </c>
      <c r="Q203" s="19">
        <v>0.0</v>
      </c>
      <c r="R203" s="19">
        <v>2.0</v>
      </c>
      <c r="S203" s="19">
        <v>9.0</v>
      </c>
      <c r="T203" s="19">
        <v>4.0</v>
      </c>
      <c r="U203" s="19">
        <v>0.0</v>
      </c>
      <c r="V203" s="19">
        <v>0.0</v>
      </c>
      <c r="W203" s="19">
        <v>1.0</v>
      </c>
      <c r="X203" s="19">
        <v>0.0</v>
      </c>
      <c r="Y203" s="19">
        <v>0.0</v>
      </c>
      <c r="Z203" s="19">
        <v>1.0</v>
      </c>
      <c r="AA203" s="19">
        <v>0.0</v>
      </c>
      <c r="AB203" s="19">
        <v>0.0</v>
      </c>
      <c r="AC203" s="19">
        <v>0.0</v>
      </c>
      <c r="AD203" s="19">
        <v>1.0</v>
      </c>
      <c r="AE203" s="19">
        <v>0.0</v>
      </c>
      <c r="AF203" s="19">
        <v>1.0</v>
      </c>
      <c r="AG203" s="19">
        <v>0.0</v>
      </c>
      <c r="AH203" s="19">
        <v>0.0</v>
      </c>
      <c r="AI203" s="19">
        <v>1.0</v>
      </c>
      <c r="AJ203" s="19">
        <v>0.0</v>
      </c>
      <c r="AK203" s="19">
        <v>1.0</v>
      </c>
      <c r="AL203" s="19">
        <v>1.0</v>
      </c>
      <c r="AM203" s="13">
        <f t="shared" si="40"/>
        <v>33</v>
      </c>
      <c r="AN203" s="5"/>
      <c r="AO203" s="5"/>
    </row>
    <row r="204" ht="12.75" customHeight="1">
      <c r="A204" s="18"/>
      <c r="B204" s="55">
        <v>3.0</v>
      </c>
      <c r="C204" s="50" t="s">
        <v>150</v>
      </c>
      <c r="D204" s="60"/>
      <c r="E204" s="19">
        <v>0.0</v>
      </c>
      <c r="F204" s="19">
        <v>0.0</v>
      </c>
      <c r="G204" s="19">
        <v>0.0</v>
      </c>
      <c r="H204" s="19">
        <v>0.0</v>
      </c>
      <c r="I204" s="19">
        <v>0.0</v>
      </c>
      <c r="J204" s="19">
        <v>0.0</v>
      </c>
      <c r="K204" s="19">
        <v>0.0</v>
      </c>
      <c r="L204" s="19">
        <v>1.0</v>
      </c>
      <c r="M204" s="19">
        <v>0.0</v>
      </c>
      <c r="N204" s="19">
        <v>0.0</v>
      </c>
      <c r="O204" s="19">
        <v>0.0</v>
      </c>
      <c r="P204" s="19">
        <v>0.0</v>
      </c>
      <c r="Q204" s="19">
        <v>1.0</v>
      </c>
      <c r="R204" s="19">
        <v>0.0</v>
      </c>
      <c r="S204" s="19">
        <v>0.0</v>
      </c>
      <c r="T204" s="19">
        <v>0.0</v>
      </c>
      <c r="U204" s="19">
        <v>0.0</v>
      </c>
      <c r="V204" s="19">
        <v>1.0</v>
      </c>
      <c r="W204" s="19">
        <v>0.0</v>
      </c>
      <c r="X204" s="19">
        <v>0.0</v>
      </c>
      <c r="Y204" s="19">
        <v>0.0</v>
      </c>
      <c r="Z204" s="19">
        <v>1.0</v>
      </c>
      <c r="AA204" s="19">
        <v>0.0</v>
      </c>
      <c r="AB204" s="19">
        <v>0.0</v>
      </c>
      <c r="AC204" s="19">
        <v>0.0</v>
      </c>
      <c r="AD204" s="19">
        <v>0.0</v>
      </c>
      <c r="AE204" s="19">
        <v>0.0</v>
      </c>
      <c r="AF204" s="19">
        <v>1.0</v>
      </c>
      <c r="AG204" s="19">
        <v>0.0</v>
      </c>
      <c r="AH204" s="19">
        <v>0.0</v>
      </c>
      <c r="AI204" s="19">
        <v>0.0</v>
      </c>
      <c r="AJ204" s="19">
        <v>0.0</v>
      </c>
      <c r="AK204" s="19">
        <v>0.0</v>
      </c>
      <c r="AL204" s="19">
        <v>0.0</v>
      </c>
      <c r="AM204" s="13">
        <f t="shared" si="40"/>
        <v>5</v>
      </c>
      <c r="AN204" s="5"/>
      <c r="AO204" s="5"/>
    </row>
    <row r="205" ht="12.75" customHeight="1">
      <c r="A205" s="18"/>
      <c r="B205" s="55">
        <v>4.0</v>
      </c>
      <c r="C205" s="50" t="s">
        <v>151</v>
      </c>
      <c r="D205" s="60"/>
      <c r="E205" s="19">
        <v>0.0</v>
      </c>
      <c r="F205" s="19">
        <v>0.0</v>
      </c>
      <c r="G205" s="19">
        <v>0.0</v>
      </c>
      <c r="H205" s="19">
        <v>0.0</v>
      </c>
      <c r="I205" s="19">
        <v>0.0</v>
      </c>
      <c r="J205" s="19">
        <v>0.0</v>
      </c>
      <c r="K205" s="19">
        <v>0.0</v>
      </c>
      <c r="L205" s="19">
        <v>0.0</v>
      </c>
      <c r="M205" s="19">
        <v>0.0</v>
      </c>
      <c r="N205" s="19">
        <v>0.0</v>
      </c>
      <c r="O205" s="19">
        <v>0.0</v>
      </c>
      <c r="P205" s="19">
        <v>0.0</v>
      </c>
      <c r="Q205" s="19">
        <v>0.0</v>
      </c>
      <c r="R205" s="19">
        <v>0.0</v>
      </c>
      <c r="S205" s="19">
        <v>0.0</v>
      </c>
      <c r="T205" s="19">
        <v>0.0</v>
      </c>
      <c r="U205" s="19">
        <v>1.0</v>
      </c>
      <c r="V205" s="19">
        <v>0.0</v>
      </c>
      <c r="W205" s="19">
        <v>0.0</v>
      </c>
      <c r="X205" s="19">
        <v>0.0</v>
      </c>
      <c r="Y205" s="19">
        <v>0.0</v>
      </c>
      <c r="Z205" s="19">
        <v>0.0</v>
      </c>
      <c r="AA205" s="19">
        <v>0.0</v>
      </c>
      <c r="AB205" s="19">
        <v>0.0</v>
      </c>
      <c r="AC205" s="19">
        <v>0.0</v>
      </c>
      <c r="AD205" s="19">
        <v>0.0</v>
      </c>
      <c r="AE205" s="19">
        <v>0.0</v>
      </c>
      <c r="AF205" s="19">
        <v>0.0</v>
      </c>
      <c r="AG205" s="19">
        <v>0.0</v>
      </c>
      <c r="AH205" s="19">
        <v>0.0</v>
      </c>
      <c r="AI205" s="19">
        <v>0.0</v>
      </c>
      <c r="AJ205" s="19">
        <v>0.0</v>
      </c>
      <c r="AK205" s="19">
        <v>1.0</v>
      </c>
      <c r="AL205" s="19">
        <v>0.0</v>
      </c>
      <c r="AM205" s="13">
        <f t="shared" si="40"/>
        <v>2</v>
      </c>
      <c r="AN205" s="5"/>
      <c r="AO205" s="5"/>
    </row>
    <row r="206" ht="12.75" customHeight="1">
      <c r="A206" s="18"/>
      <c r="B206" s="55">
        <v>5.0</v>
      </c>
      <c r="C206" s="50" t="s">
        <v>152</v>
      </c>
      <c r="D206" s="60"/>
      <c r="E206" s="19">
        <v>0.0</v>
      </c>
      <c r="F206" s="19">
        <v>0.0</v>
      </c>
      <c r="G206" s="19">
        <v>0.0</v>
      </c>
      <c r="H206" s="19">
        <v>0.0</v>
      </c>
      <c r="I206" s="19">
        <v>0.0</v>
      </c>
      <c r="J206" s="19">
        <v>0.0</v>
      </c>
      <c r="K206" s="19">
        <v>0.0</v>
      </c>
      <c r="L206" s="19">
        <v>0.0</v>
      </c>
      <c r="M206" s="19">
        <v>0.0</v>
      </c>
      <c r="N206" s="19">
        <v>0.0</v>
      </c>
      <c r="O206" s="19">
        <v>0.0</v>
      </c>
      <c r="P206" s="19">
        <v>0.0</v>
      </c>
      <c r="Q206" s="19">
        <v>0.0</v>
      </c>
      <c r="R206" s="19">
        <v>1.0</v>
      </c>
      <c r="S206" s="19">
        <v>0.0</v>
      </c>
      <c r="T206" s="19">
        <v>0.0</v>
      </c>
      <c r="U206" s="19">
        <v>0.0</v>
      </c>
      <c r="V206" s="19">
        <v>0.0</v>
      </c>
      <c r="W206" s="19">
        <v>0.0</v>
      </c>
      <c r="X206" s="19">
        <v>0.0</v>
      </c>
      <c r="Y206" s="19">
        <v>0.0</v>
      </c>
      <c r="Z206" s="19">
        <v>0.0</v>
      </c>
      <c r="AA206" s="19">
        <v>0.0</v>
      </c>
      <c r="AB206" s="19">
        <v>0.0</v>
      </c>
      <c r="AC206" s="19">
        <v>0.0</v>
      </c>
      <c r="AD206" s="19">
        <v>0.0</v>
      </c>
      <c r="AE206" s="19">
        <v>0.0</v>
      </c>
      <c r="AF206" s="19">
        <v>0.0</v>
      </c>
      <c r="AG206" s="19">
        <v>0.0</v>
      </c>
      <c r="AH206" s="19">
        <v>1.0</v>
      </c>
      <c r="AI206" s="19">
        <v>0.0</v>
      </c>
      <c r="AJ206" s="19">
        <v>0.0</v>
      </c>
      <c r="AK206" s="19">
        <v>0.0</v>
      </c>
      <c r="AL206" s="19">
        <v>0.0</v>
      </c>
      <c r="AM206" s="13">
        <f t="shared" si="40"/>
        <v>2</v>
      </c>
      <c r="AN206" s="5"/>
      <c r="AO206" s="5"/>
    </row>
    <row r="207" ht="12.75" customHeight="1">
      <c r="A207" s="18"/>
      <c r="B207" s="55">
        <v>6.0</v>
      </c>
      <c r="C207" s="50" t="s">
        <v>153</v>
      </c>
      <c r="D207" s="60"/>
      <c r="E207" s="19">
        <v>0.0</v>
      </c>
      <c r="F207" s="19">
        <v>0.0</v>
      </c>
      <c r="G207" s="19">
        <v>0.0</v>
      </c>
      <c r="H207" s="19">
        <v>0.0</v>
      </c>
      <c r="I207" s="19">
        <v>0.0</v>
      </c>
      <c r="J207" s="19">
        <v>0.0</v>
      </c>
      <c r="K207" s="19">
        <v>0.0</v>
      </c>
      <c r="L207" s="19">
        <v>0.0</v>
      </c>
      <c r="M207" s="19">
        <v>0.0</v>
      </c>
      <c r="N207" s="19">
        <v>0.0</v>
      </c>
      <c r="O207" s="19">
        <v>0.0</v>
      </c>
      <c r="P207" s="19">
        <v>0.0</v>
      </c>
      <c r="Q207" s="19">
        <v>0.0</v>
      </c>
      <c r="R207" s="19">
        <v>0.0</v>
      </c>
      <c r="S207" s="19">
        <v>0.0</v>
      </c>
      <c r="T207" s="19">
        <v>0.0</v>
      </c>
      <c r="U207" s="19">
        <v>0.0</v>
      </c>
      <c r="V207" s="19">
        <v>0.0</v>
      </c>
      <c r="W207" s="19">
        <v>0.0</v>
      </c>
      <c r="X207" s="19">
        <v>0.0</v>
      </c>
      <c r="Y207" s="19">
        <v>0.0</v>
      </c>
      <c r="Z207" s="19">
        <v>0.0</v>
      </c>
      <c r="AA207" s="19">
        <v>1.0</v>
      </c>
      <c r="AB207" s="19">
        <v>0.0</v>
      </c>
      <c r="AC207" s="19">
        <v>0.0</v>
      </c>
      <c r="AD207" s="19">
        <v>0.0</v>
      </c>
      <c r="AE207" s="19">
        <v>0.0</v>
      </c>
      <c r="AF207" s="19">
        <v>0.0</v>
      </c>
      <c r="AG207" s="19">
        <v>0.0</v>
      </c>
      <c r="AH207" s="19">
        <v>0.0</v>
      </c>
      <c r="AI207" s="19">
        <v>0.0</v>
      </c>
      <c r="AJ207" s="19">
        <v>0.0</v>
      </c>
      <c r="AK207" s="19">
        <v>0.0</v>
      </c>
      <c r="AL207" s="19">
        <v>0.0</v>
      </c>
      <c r="AM207" s="13">
        <f t="shared" si="40"/>
        <v>1</v>
      </c>
      <c r="AN207" s="1"/>
      <c r="AO207" s="1"/>
    </row>
    <row r="208" ht="12.75" customHeight="1">
      <c r="A208" s="18"/>
      <c r="B208" s="55">
        <v>7.0</v>
      </c>
      <c r="C208" s="50" t="s">
        <v>154</v>
      </c>
      <c r="D208" s="60"/>
      <c r="E208" s="19">
        <v>0.0</v>
      </c>
      <c r="F208" s="19">
        <v>0.0</v>
      </c>
      <c r="G208" s="19">
        <v>0.0</v>
      </c>
      <c r="H208" s="19">
        <v>0.0</v>
      </c>
      <c r="I208" s="19">
        <v>1.0</v>
      </c>
      <c r="J208" s="19">
        <v>0.0</v>
      </c>
      <c r="K208" s="19">
        <v>0.0</v>
      </c>
      <c r="L208" s="19">
        <v>0.0</v>
      </c>
      <c r="M208" s="19">
        <v>0.0</v>
      </c>
      <c r="N208" s="19">
        <v>0.0</v>
      </c>
      <c r="O208" s="19">
        <v>1.0</v>
      </c>
      <c r="P208" s="19">
        <v>0.0</v>
      </c>
      <c r="Q208" s="19">
        <v>0.0</v>
      </c>
      <c r="R208" s="19">
        <v>0.0</v>
      </c>
      <c r="S208" s="19">
        <v>0.0</v>
      </c>
      <c r="T208" s="19">
        <v>0.0</v>
      </c>
      <c r="U208" s="19">
        <v>0.0</v>
      </c>
      <c r="V208" s="19">
        <v>0.0</v>
      </c>
      <c r="W208" s="19">
        <v>0.0</v>
      </c>
      <c r="X208" s="19">
        <v>0.0</v>
      </c>
      <c r="Y208" s="19">
        <v>0.0</v>
      </c>
      <c r="Z208" s="19">
        <v>0.0</v>
      </c>
      <c r="AA208" s="19">
        <v>0.0</v>
      </c>
      <c r="AB208" s="19">
        <v>0.0</v>
      </c>
      <c r="AC208" s="19">
        <v>1.0</v>
      </c>
      <c r="AD208" s="19">
        <v>0.0</v>
      </c>
      <c r="AE208" s="19">
        <v>0.0</v>
      </c>
      <c r="AF208" s="19">
        <v>0.0</v>
      </c>
      <c r="AG208" s="19">
        <v>0.0</v>
      </c>
      <c r="AH208" s="19">
        <v>0.0</v>
      </c>
      <c r="AI208" s="19">
        <v>0.0</v>
      </c>
      <c r="AJ208" s="19">
        <v>0.0</v>
      </c>
      <c r="AK208" s="19">
        <v>0.0</v>
      </c>
      <c r="AL208" s="19">
        <v>0.0</v>
      </c>
      <c r="AM208" s="13">
        <f t="shared" si="40"/>
        <v>3</v>
      </c>
      <c r="AN208" s="52"/>
      <c r="AO208" s="52"/>
    </row>
    <row r="209" ht="12.75" customHeight="1">
      <c r="A209" s="18"/>
      <c r="B209" s="56"/>
      <c r="C209" s="57"/>
      <c r="D209" s="62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  <c r="AA209" s="19"/>
      <c r="AB209" s="19"/>
      <c r="AC209" s="19"/>
      <c r="AD209" s="19"/>
      <c r="AE209" s="19"/>
      <c r="AF209" s="19"/>
      <c r="AG209" s="19"/>
      <c r="AH209" s="19"/>
      <c r="AI209" s="19"/>
      <c r="AJ209" s="19"/>
      <c r="AK209" s="19"/>
      <c r="AL209" s="19"/>
      <c r="AM209" s="13">
        <f t="shared" si="40"/>
        <v>0</v>
      </c>
      <c r="AN209" s="52"/>
      <c r="AO209" s="52"/>
    </row>
    <row r="210" ht="12.75" customHeight="1">
      <c r="A210" s="18"/>
      <c r="B210" s="56"/>
      <c r="C210" s="57"/>
      <c r="D210" s="62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  <c r="AA210" s="19"/>
      <c r="AB210" s="19"/>
      <c r="AC210" s="19"/>
      <c r="AD210" s="19"/>
      <c r="AE210" s="19"/>
      <c r="AF210" s="19"/>
      <c r="AG210" s="19"/>
      <c r="AH210" s="19"/>
      <c r="AI210" s="19"/>
      <c r="AJ210" s="19"/>
      <c r="AK210" s="19"/>
      <c r="AL210" s="19"/>
      <c r="AM210" s="13">
        <f t="shared" si="40"/>
        <v>0</v>
      </c>
      <c r="AN210" s="52"/>
      <c r="AO210" s="52"/>
    </row>
    <row r="211" ht="12.75" customHeight="1">
      <c r="A211" s="19" t="s">
        <v>15</v>
      </c>
      <c r="B211" s="47" t="s">
        <v>47</v>
      </c>
      <c r="C211" s="15"/>
      <c r="D211" s="16"/>
      <c r="E211" s="13">
        <f t="shared" ref="E211:AM211" si="41">SUM(E201:E210)</f>
        <v>3</v>
      </c>
      <c r="F211" s="13">
        <f t="shared" si="41"/>
        <v>3</v>
      </c>
      <c r="G211" s="13">
        <f t="shared" si="41"/>
        <v>5</v>
      </c>
      <c r="H211" s="13">
        <f t="shared" si="41"/>
        <v>0</v>
      </c>
      <c r="I211" s="13">
        <f t="shared" si="41"/>
        <v>8</v>
      </c>
      <c r="J211" s="13">
        <f t="shared" si="41"/>
        <v>2</v>
      </c>
      <c r="K211" s="13">
        <f t="shared" si="41"/>
        <v>6</v>
      </c>
      <c r="L211" s="13">
        <f t="shared" si="41"/>
        <v>2</v>
      </c>
      <c r="M211" s="13">
        <f t="shared" si="41"/>
        <v>5</v>
      </c>
      <c r="N211" s="13">
        <f t="shared" si="41"/>
        <v>4</v>
      </c>
      <c r="O211" s="13">
        <f t="shared" si="41"/>
        <v>2</v>
      </c>
      <c r="P211" s="13">
        <f t="shared" si="41"/>
        <v>1</v>
      </c>
      <c r="Q211" s="13">
        <f t="shared" si="41"/>
        <v>2</v>
      </c>
      <c r="R211" s="13">
        <f t="shared" si="41"/>
        <v>8</v>
      </c>
      <c r="S211" s="13">
        <f t="shared" si="41"/>
        <v>18</v>
      </c>
      <c r="T211" s="13">
        <f t="shared" si="41"/>
        <v>8</v>
      </c>
      <c r="U211" s="13">
        <f t="shared" si="41"/>
        <v>2</v>
      </c>
      <c r="V211" s="13">
        <f t="shared" si="41"/>
        <v>3</v>
      </c>
      <c r="W211" s="13">
        <f t="shared" si="41"/>
        <v>2</v>
      </c>
      <c r="X211" s="13">
        <f t="shared" si="41"/>
        <v>2</v>
      </c>
      <c r="Y211" s="13">
        <f t="shared" si="41"/>
        <v>1</v>
      </c>
      <c r="Z211" s="13">
        <f t="shared" si="41"/>
        <v>3</v>
      </c>
      <c r="AA211" s="13">
        <f t="shared" si="41"/>
        <v>3</v>
      </c>
      <c r="AB211" s="13">
        <f t="shared" si="41"/>
        <v>1</v>
      </c>
      <c r="AC211" s="13">
        <f t="shared" si="41"/>
        <v>2</v>
      </c>
      <c r="AD211" s="13">
        <f t="shared" si="41"/>
        <v>3</v>
      </c>
      <c r="AE211" s="13">
        <f t="shared" si="41"/>
        <v>1</v>
      </c>
      <c r="AF211" s="13">
        <f t="shared" si="41"/>
        <v>3</v>
      </c>
      <c r="AG211" s="13">
        <f t="shared" si="41"/>
        <v>1</v>
      </c>
      <c r="AH211" s="13">
        <f t="shared" si="41"/>
        <v>1</v>
      </c>
      <c r="AI211" s="13">
        <f t="shared" si="41"/>
        <v>1</v>
      </c>
      <c r="AJ211" s="13">
        <f t="shared" si="41"/>
        <v>0</v>
      </c>
      <c r="AK211" s="13">
        <f t="shared" si="41"/>
        <v>3</v>
      </c>
      <c r="AL211" s="13">
        <f t="shared" si="41"/>
        <v>4</v>
      </c>
      <c r="AM211" s="13">
        <f t="shared" si="41"/>
        <v>113</v>
      </c>
      <c r="AN211" s="5"/>
      <c r="AO211" s="5"/>
    </row>
    <row r="212" ht="12.75" customHeight="1">
      <c r="A212" s="24"/>
      <c r="B212" s="15"/>
      <c r="C212" s="15"/>
      <c r="D212" s="15"/>
      <c r="E212" s="16"/>
      <c r="F212" s="84"/>
      <c r="G212" s="84"/>
      <c r="H212" s="84"/>
      <c r="I212" s="84"/>
      <c r="J212" s="84"/>
      <c r="K212" s="84"/>
      <c r="L212" s="84"/>
      <c r="M212" s="84"/>
      <c r="N212" s="84"/>
      <c r="O212" s="84"/>
      <c r="P212" s="84"/>
      <c r="Q212" s="84"/>
      <c r="R212" s="84"/>
      <c r="S212" s="84"/>
      <c r="T212" s="84"/>
      <c r="U212" s="84"/>
      <c r="V212" s="84"/>
      <c r="W212" s="84"/>
      <c r="X212" s="84"/>
      <c r="Y212" s="84"/>
      <c r="Z212" s="84"/>
      <c r="AA212" s="84"/>
      <c r="AB212" s="84"/>
      <c r="AC212" s="84"/>
      <c r="AD212" s="84"/>
      <c r="AE212" s="84"/>
      <c r="AF212" s="84"/>
      <c r="AG212" s="84"/>
      <c r="AH212" s="84"/>
      <c r="AI212" s="84"/>
      <c r="AJ212" s="84"/>
      <c r="AK212" s="84"/>
      <c r="AL212" s="84"/>
      <c r="AM212" s="84"/>
      <c r="AN212" s="5"/>
      <c r="AO212" s="5"/>
    </row>
    <row r="213" ht="12.75" customHeight="1">
      <c r="A213" s="30" t="s">
        <v>37</v>
      </c>
      <c r="B213" s="47" t="s">
        <v>155</v>
      </c>
      <c r="C213" s="48" t="s">
        <v>156</v>
      </c>
      <c r="D213" s="16"/>
      <c r="E213" s="19">
        <v>0.0</v>
      </c>
      <c r="F213" s="19">
        <v>2.0</v>
      </c>
      <c r="G213" s="19">
        <v>2.0</v>
      </c>
      <c r="H213" s="19">
        <v>0.0</v>
      </c>
      <c r="I213" s="19">
        <v>2.0</v>
      </c>
      <c r="J213" s="19">
        <v>1.0</v>
      </c>
      <c r="K213" s="19">
        <v>1.0</v>
      </c>
      <c r="L213" s="19">
        <v>0.0</v>
      </c>
      <c r="M213" s="19">
        <v>1.0</v>
      </c>
      <c r="N213" s="19">
        <v>0.0</v>
      </c>
      <c r="O213" s="19">
        <v>1.0</v>
      </c>
      <c r="P213" s="19">
        <v>1.0</v>
      </c>
      <c r="Q213" s="19">
        <v>1.0</v>
      </c>
      <c r="R213" s="19">
        <v>3.0</v>
      </c>
      <c r="S213" s="19">
        <v>2.0</v>
      </c>
      <c r="T213" s="19">
        <v>0.0</v>
      </c>
      <c r="U213" s="19">
        <v>0.0</v>
      </c>
      <c r="V213" s="19">
        <v>3.0</v>
      </c>
      <c r="W213" s="19">
        <v>1.0</v>
      </c>
      <c r="X213" s="19">
        <v>1.0</v>
      </c>
      <c r="Y213" s="19">
        <v>0.0</v>
      </c>
      <c r="Z213" s="19">
        <v>0.0</v>
      </c>
      <c r="AA213" s="19">
        <v>1.0</v>
      </c>
      <c r="AB213" s="19">
        <v>0.0</v>
      </c>
      <c r="AC213" s="19">
        <v>0.0</v>
      </c>
      <c r="AD213" s="19">
        <v>0.0</v>
      </c>
      <c r="AE213" s="19">
        <v>0.0</v>
      </c>
      <c r="AF213" s="19">
        <v>0.0</v>
      </c>
      <c r="AG213" s="19">
        <v>0.0</v>
      </c>
      <c r="AH213" s="19">
        <v>0.0</v>
      </c>
      <c r="AI213" s="19">
        <v>6.0</v>
      </c>
      <c r="AJ213" s="19">
        <v>1.0</v>
      </c>
      <c r="AK213" s="19">
        <v>1.0</v>
      </c>
      <c r="AL213" s="19">
        <v>0.0</v>
      </c>
      <c r="AM213" s="13">
        <f t="shared" ref="AM213:AM222" si="42">SUM(E213:AL213)</f>
        <v>31</v>
      </c>
      <c r="AN213" s="5"/>
      <c r="AO213" s="5"/>
    </row>
    <row r="214" ht="12.75" customHeight="1">
      <c r="A214" s="30" t="s">
        <v>39</v>
      </c>
      <c r="B214" s="55">
        <v>1.0</v>
      </c>
      <c r="C214" s="50" t="s">
        <v>157</v>
      </c>
      <c r="D214" s="59"/>
      <c r="E214" s="19">
        <v>0.0</v>
      </c>
      <c r="F214" s="19">
        <v>2.0</v>
      </c>
      <c r="G214" s="19">
        <v>1.0</v>
      </c>
      <c r="H214" s="19">
        <v>0.0</v>
      </c>
      <c r="I214" s="19">
        <v>2.0</v>
      </c>
      <c r="J214" s="19">
        <v>23.0</v>
      </c>
      <c r="K214" s="19">
        <v>3.0</v>
      </c>
      <c r="L214" s="19">
        <v>2.0</v>
      </c>
      <c r="M214" s="19">
        <v>4.0</v>
      </c>
      <c r="N214" s="19">
        <v>2.0</v>
      </c>
      <c r="O214" s="19">
        <v>3.0</v>
      </c>
      <c r="P214" s="19">
        <v>0.0</v>
      </c>
      <c r="Q214" s="19">
        <v>8.0</v>
      </c>
      <c r="R214" s="19">
        <v>17.0</v>
      </c>
      <c r="S214" s="19">
        <v>8.0</v>
      </c>
      <c r="T214" s="19">
        <v>12.0</v>
      </c>
      <c r="U214" s="19">
        <v>3.0</v>
      </c>
      <c r="V214" s="19">
        <v>3.0</v>
      </c>
      <c r="W214" s="19">
        <v>2.0</v>
      </c>
      <c r="X214" s="19">
        <v>6.0</v>
      </c>
      <c r="Y214" s="19">
        <v>1.0</v>
      </c>
      <c r="Z214" s="19">
        <v>3.0</v>
      </c>
      <c r="AA214" s="19">
        <v>1.0</v>
      </c>
      <c r="AB214" s="19">
        <v>0.0</v>
      </c>
      <c r="AC214" s="19">
        <v>0.0</v>
      </c>
      <c r="AD214" s="19">
        <v>1.0</v>
      </c>
      <c r="AE214" s="19">
        <v>0.0</v>
      </c>
      <c r="AF214" s="19">
        <v>1.0</v>
      </c>
      <c r="AG214" s="19">
        <v>7.0</v>
      </c>
      <c r="AH214" s="19">
        <v>1.0</v>
      </c>
      <c r="AI214" s="19">
        <v>10.0</v>
      </c>
      <c r="AJ214" s="19">
        <v>0.0</v>
      </c>
      <c r="AK214" s="19">
        <v>0.0</v>
      </c>
      <c r="AL214" s="19">
        <v>0.0</v>
      </c>
      <c r="AM214" s="13">
        <f t="shared" si="42"/>
        <v>126</v>
      </c>
      <c r="AN214" s="5"/>
      <c r="AO214" s="5"/>
    </row>
    <row r="215" ht="12.75" customHeight="1">
      <c r="A215" s="18"/>
      <c r="B215" s="55">
        <v>2.0</v>
      </c>
      <c r="C215" s="50" t="s">
        <v>158</v>
      </c>
      <c r="D215" s="59"/>
      <c r="E215" s="19">
        <v>5.0</v>
      </c>
      <c r="F215" s="19">
        <v>0.0</v>
      </c>
      <c r="G215" s="19">
        <v>6.0</v>
      </c>
      <c r="H215" s="19">
        <v>2.0</v>
      </c>
      <c r="I215" s="19">
        <v>2.0</v>
      </c>
      <c r="J215" s="19">
        <v>1.0</v>
      </c>
      <c r="K215" s="19">
        <v>0.0</v>
      </c>
      <c r="L215" s="19">
        <v>0.0</v>
      </c>
      <c r="M215" s="19">
        <v>0.0</v>
      </c>
      <c r="N215" s="19">
        <v>4.0</v>
      </c>
      <c r="O215" s="19">
        <v>3.0</v>
      </c>
      <c r="P215" s="19">
        <v>0.0</v>
      </c>
      <c r="Q215" s="19">
        <v>1.0</v>
      </c>
      <c r="R215" s="19">
        <v>0.0</v>
      </c>
      <c r="S215" s="19">
        <v>4.0</v>
      </c>
      <c r="T215" s="19">
        <v>0.0</v>
      </c>
      <c r="U215" s="19">
        <v>0.0</v>
      </c>
      <c r="V215" s="19">
        <v>1.0</v>
      </c>
      <c r="W215" s="19">
        <v>2.0</v>
      </c>
      <c r="X215" s="19">
        <v>0.0</v>
      </c>
      <c r="Y215" s="19">
        <v>1.0</v>
      </c>
      <c r="Z215" s="19">
        <v>0.0</v>
      </c>
      <c r="AA215" s="19">
        <v>2.0</v>
      </c>
      <c r="AB215" s="19">
        <v>0.0</v>
      </c>
      <c r="AC215" s="19">
        <v>1.0</v>
      </c>
      <c r="AD215" s="19">
        <v>1.0</v>
      </c>
      <c r="AE215" s="19">
        <v>2.0</v>
      </c>
      <c r="AF215" s="19">
        <v>1.0</v>
      </c>
      <c r="AG215" s="19">
        <v>0.0</v>
      </c>
      <c r="AH215" s="19">
        <v>2.0</v>
      </c>
      <c r="AI215" s="19">
        <v>2.0</v>
      </c>
      <c r="AJ215" s="19">
        <v>1.0</v>
      </c>
      <c r="AK215" s="19">
        <v>3.0</v>
      </c>
      <c r="AL215" s="19">
        <v>2.0</v>
      </c>
      <c r="AM215" s="13">
        <f t="shared" si="42"/>
        <v>49</v>
      </c>
      <c r="AN215" s="5"/>
      <c r="AO215" s="5"/>
    </row>
    <row r="216" ht="12.75" customHeight="1">
      <c r="A216" s="18"/>
      <c r="B216" s="55">
        <v>3.0</v>
      </c>
      <c r="C216" s="70" t="s">
        <v>159</v>
      </c>
      <c r="E216" s="19">
        <v>0.0</v>
      </c>
      <c r="F216" s="19">
        <v>1.0</v>
      </c>
      <c r="G216" s="19">
        <v>0.0</v>
      </c>
      <c r="H216" s="19">
        <v>0.0</v>
      </c>
      <c r="I216" s="19">
        <v>0.0</v>
      </c>
      <c r="J216" s="19">
        <v>0.0</v>
      </c>
      <c r="K216" s="19">
        <v>0.0</v>
      </c>
      <c r="L216" s="19">
        <v>1.0</v>
      </c>
      <c r="M216" s="19">
        <v>0.0</v>
      </c>
      <c r="N216" s="19">
        <v>0.0</v>
      </c>
      <c r="O216" s="19">
        <v>0.0</v>
      </c>
      <c r="P216" s="19">
        <v>0.0</v>
      </c>
      <c r="Q216" s="19">
        <v>0.0</v>
      </c>
      <c r="R216" s="19">
        <v>0.0</v>
      </c>
      <c r="S216" s="19">
        <v>0.0</v>
      </c>
      <c r="T216" s="19">
        <v>0.0</v>
      </c>
      <c r="U216" s="19">
        <v>1.0</v>
      </c>
      <c r="V216" s="19">
        <v>0.0</v>
      </c>
      <c r="W216" s="19">
        <v>0.0</v>
      </c>
      <c r="X216" s="19">
        <v>0.0</v>
      </c>
      <c r="Y216" s="19">
        <v>0.0</v>
      </c>
      <c r="Z216" s="19">
        <v>1.0</v>
      </c>
      <c r="AA216" s="19">
        <v>0.0</v>
      </c>
      <c r="AB216" s="19">
        <v>0.0</v>
      </c>
      <c r="AC216" s="19">
        <v>0.0</v>
      </c>
      <c r="AD216" s="19">
        <v>0.0</v>
      </c>
      <c r="AE216" s="19">
        <v>0.0</v>
      </c>
      <c r="AF216" s="19">
        <v>0.0</v>
      </c>
      <c r="AG216" s="19">
        <v>0.0</v>
      </c>
      <c r="AH216" s="19">
        <v>0.0</v>
      </c>
      <c r="AI216" s="19">
        <v>0.0</v>
      </c>
      <c r="AJ216" s="19">
        <v>0.0</v>
      </c>
      <c r="AK216" s="19">
        <v>0.0</v>
      </c>
      <c r="AL216" s="19">
        <v>0.0</v>
      </c>
      <c r="AM216" s="13">
        <f t="shared" si="42"/>
        <v>4</v>
      </c>
      <c r="AN216" s="5"/>
      <c r="AO216" s="5"/>
    </row>
    <row r="217" ht="12.75" customHeight="1">
      <c r="A217" s="18"/>
      <c r="B217" s="55">
        <v>4.0</v>
      </c>
      <c r="C217" s="50" t="s">
        <v>160</v>
      </c>
      <c r="D217" s="59"/>
      <c r="E217" s="19">
        <v>0.0</v>
      </c>
      <c r="F217" s="19">
        <v>0.0</v>
      </c>
      <c r="G217" s="19">
        <v>1.0</v>
      </c>
      <c r="H217" s="19">
        <v>0.0</v>
      </c>
      <c r="I217" s="19">
        <v>0.0</v>
      </c>
      <c r="J217" s="19">
        <v>0.0</v>
      </c>
      <c r="K217" s="19">
        <v>0.0</v>
      </c>
      <c r="L217" s="19">
        <v>0.0</v>
      </c>
      <c r="M217" s="19">
        <v>0.0</v>
      </c>
      <c r="N217" s="19">
        <v>0.0</v>
      </c>
      <c r="O217" s="19">
        <v>0.0</v>
      </c>
      <c r="P217" s="19">
        <v>0.0</v>
      </c>
      <c r="Q217" s="19">
        <v>0.0</v>
      </c>
      <c r="R217" s="19">
        <v>0.0</v>
      </c>
      <c r="S217" s="19">
        <v>0.0</v>
      </c>
      <c r="T217" s="19">
        <v>0.0</v>
      </c>
      <c r="U217" s="19">
        <v>0.0</v>
      </c>
      <c r="V217" s="19">
        <v>0.0</v>
      </c>
      <c r="W217" s="19">
        <v>0.0</v>
      </c>
      <c r="X217" s="19">
        <v>0.0</v>
      </c>
      <c r="Y217" s="19">
        <v>0.0</v>
      </c>
      <c r="Z217" s="19">
        <v>0.0</v>
      </c>
      <c r="AA217" s="19">
        <v>1.0</v>
      </c>
      <c r="AB217" s="19">
        <v>0.0</v>
      </c>
      <c r="AC217" s="19">
        <v>0.0</v>
      </c>
      <c r="AD217" s="19">
        <v>0.0</v>
      </c>
      <c r="AE217" s="19">
        <v>0.0</v>
      </c>
      <c r="AF217" s="19">
        <v>0.0</v>
      </c>
      <c r="AG217" s="19">
        <v>0.0</v>
      </c>
      <c r="AH217" s="19">
        <v>0.0</v>
      </c>
      <c r="AI217" s="19">
        <v>0.0</v>
      </c>
      <c r="AJ217" s="19">
        <v>0.0</v>
      </c>
      <c r="AK217" s="19">
        <v>0.0</v>
      </c>
      <c r="AL217" s="19">
        <v>1.0</v>
      </c>
      <c r="AM217" s="13">
        <f t="shared" si="42"/>
        <v>3</v>
      </c>
      <c r="AN217" s="5"/>
      <c r="AO217" s="5"/>
    </row>
    <row r="218" ht="12.75" customHeight="1">
      <c r="A218" s="18"/>
      <c r="B218" s="55">
        <v>5.0</v>
      </c>
      <c r="C218" s="50" t="s">
        <v>161</v>
      </c>
      <c r="D218" s="59"/>
      <c r="E218" s="19">
        <v>0.0</v>
      </c>
      <c r="F218" s="19">
        <v>0.0</v>
      </c>
      <c r="G218" s="19">
        <v>0.0</v>
      </c>
      <c r="H218" s="19">
        <v>0.0</v>
      </c>
      <c r="I218" s="19">
        <v>0.0</v>
      </c>
      <c r="J218" s="19">
        <v>0.0</v>
      </c>
      <c r="K218" s="19">
        <v>0.0</v>
      </c>
      <c r="L218" s="19">
        <v>0.0</v>
      </c>
      <c r="M218" s="19">
        <v>0.0</v>
      </c>
      <c r="N218" s="19">
        <v>2.0</v>
      </c>
      <c r="O218" s="19">
        <v>0.0</v>
      </c>
      <c r="P218" s="19">
        <v>0.0</v>
      </c>
      <c r="Q218" s="19">
        <v>0.0</v>
      </c>
      <c r="R218" s="19">
        <v>0.0</v>
      </c>
      <c r="S218" s="19">
        <v>0.0</v>
      </c>
      <c r="T218" s="19">
        <v>0.0</v>
      </c>
      <c r="U218" s="19">
        <v>0.0</v>
      </c>
      <c r="V218" s="19">
        <v>0.0</v>
      </c>
      <c r="W218" s="19">
        <v>0.0</v>
      </c>
      <c r="X218" s="19">
        <v>0.0</v>
      </c>
      <c r="Y218" s="19">
        <v>0.0</v>
      </c>
      <c r="Z218" s="19">
        <v>0.0</v>
      </c>
      <c r="AA218" s="19">
        <v>0.0</v>
      </c>
      <c r="AB218" s="19">
        <v>0.0</v>
      </c>
      <c r="AC218" s="19">
        <v>0.0</v>
      </c>
      <c r="AD218" s="19">
        <v>0.0</v>
      </c>
      <c r="AE218" s="19">
        <v>0.0</v>
      </c>
      <c r="AF218" s="19">
        <v>0.0</v>
      </c>
      <c r="AG218" s="19">
        <v>0.0</v>
      </c>
      <c r="AH218" s="19">
        <v>0.0</v>
      </c>
      <c r="AI218" s="19">
        <v>0.0</v>
      </c>
      <c r="AJ218" s="19">
        <v>0.0</v>
      </c>
      <c r="AK218" s="19">
        <v>0.0</v>
      </c>
      <c r="AL218" s="19">
        <v>0.0</v>
      </c>
      <c r="AM218" s="13">
        <f t="shared" si="42"/>
        <v>2</v>
      </c>
      <c r="AN218" s="1"/>
      <c r="AO218" s="1"/>
    </row>
    <row r="219" ht="12.75" customHeight="1">
      <c r="A219" s="18"/>
      <c r="B219" s="55">
        <v>6.0</v>
      </c>
      <c r="C219" s="50" t="s">
        <v>162</v>
      </c>
      <c r="D219" s="59"/>
      <c r="E219" s="19">
        <v>1.0</v>
      </c>
      <c r="F219" s="19">
        <v>0.0</v>
      </c>
      <c r="G219" s="19">
        <v>0.0</v>
      </c>
      <c r="H219" s="19">
        <v>0.0</v>
      </c>
      <c r="I219" s="19">
        <v>0.0</v>
      </c>
      <c r="J219" s="19">
        <v>0.0</v>
      </c>
      <c r="K219" s="19">
        <v>0.0</v>
      </c>
      <c r="L219" s="19">
        <v>0.0</v>
      </c>
      <c r="M219" s="19">
        <v>0.0</v>
      </c>
      <c r="N219" s="19">
        <v>0.0</v>
      </c>
      <c r="O219" s="19">
        <v>0.0</v>
      </c>
      <c r="P219" s="19">
        <v>0.0</v>
      </c>
      <c r="Q219" s="19">
        <v>0.0</v>
      </c>
      <c r="R219" s="19">
        <v>0.0</v>
      </c>
      <c r="S219" s="19">
        <v>0.0</v>
      </c>
      <c r="T219" s="19">
        <v>0.0</v>
      </c>
      <c r="U219" s="19">
        <v>0.0</v>
      </c>
      <c r="V219" s="19">
        <v>0.0</v>
      </c>
      <c r="W219" s="19">
        <v>0.0</v>
      </c>
      <c r="X219" s="19">
        <v>0.0</v>
      </c>
      <c r="Y219" s="19">
        <v>0.0</v>
      </c>
      <c r="Z219" s="19">
        <v>0.0</v>
      </c>
      <c r="AA219" s="19">
        <v>0.0</v>
      </c>
      <c r="AB219" s="19">
        <v>0.0</v>
      </c>
      <c r="AC219" s="19">
        <v>0.0</v>
      </c>
      <c r="AD219" s="19">
        <v>0.0</v>
      </c>
      <c r="AE219" s="19">
        <v>0.0</v>
      </c>
      <c r="AF219" s="19">
        <v>0.0</v>
      </c>
      <c r="AG219" s="19">
        <v>0.0</v>
      </c>
      <c r="AH219" s="19">
        <v>0.0</v>
      </c>
      <c r="AI219" s="19">
        <v>0.0</v>
      </c>
      <c r="AJ219" s="19">
        <v>0.0</v>
      </c>
      <c r="AK219" s="19">
        <v>0.0</v>
      </c>
      <c r="AL219" s="19">
        <v>0.0</v>
      </c>
      <c r="AM219" s="13">
        <f t="shared" si="42"/>
        <v>1</v>
      </c>
      <c r="AN219" s="52"/>
      <c r="AO219" s="52"/>
    </row>
    <row r="220" ht="12.75" customHeight="1">
      <c r="A220" s="18"/>
      <c r="B220" s="55">
        <v>7.0</v>
      </c>
      <c r="C220" s="50" t="s">
        <v>163</v>
      </c>
      <c r="D220" s="59"/>
      <c r="E220" s="19">
        <v>0.0</v>
      </c>
      <c r="F220" s="19">
        <v>0.0</v>
      </c>
      <c r="G220" s="19">
        <v>0.0</v>
      </c>
      <c r="H220" s="19">
        <v>0.0</v>
      </c>
      <c r="I220" s="19">
        <v>0.0</v>
      </c>
      <c r="J220" s="19">
        <v>0.0</v>
      </c>
      <c r="K220" s="19">
        <v>0.0</v>
      </c>
      <c r="L220" s="19">
        <v>0.0</v>
      </c>
      <c r="M220" s="19">
        <v>0.0</v>
      </c>
      <c r="N220" s="19">
        <v>0.0</v>
      </c>
      <c r="O220" s="19">
        <v>1.0</v>
      </c>
      <c r="P220" s="19">
        <v>0.0</v>
      </c>
      <c r="Q220" s="19">
        <v>0.0</v>
      </c>
      <c r="R220" s="19">
        <v>0.0</v>
      </c>
      <c r="S220" s="19">
        <v>0.0</v>
      </c>
      <c r="T220" s="19">
        <v>0.0</v>
      </c>
      <c r="U220" s="19">
        <v>0.0</v>
      </c>
      <c r="V220" s="19">
        <v>0.0</v>
      </c>
      <c r="W220" s="19">
        <v>0.0</v>
      </c>
      <c r="X220" s="19">
        <v>0.0</v>
      </c>
      <c r="Y220" s="19">
        <v>0.0</v>
      </c>
      <c r="Z220" s="19">
        <v>0.0</v>
      </c>
      <c r="AA220" s="19">
        <v>0.0</v>
      </c>
      <c r="AB220" s="19">
        <v>0.0</v>
      </c>
      <c r="AC220" s="19">
        <v>0.0</v>
      </c>
      <c r="AD220" s="19">
        <v>0.0</v>
      </c>
      <c r="AE220" s="19">
        <v>0.0</v>
      </c>
      <c r="AF220" s="19">
        <v>0.0</v>
      </c>
      <c r="AG220" s="19">
        <v>0.0</v>
      </c>
      <c r="AH220" s="19">
        <v>0.0</v>
      </c>
      <c r="AI220" s="19">
        <v>0.0</v>
      </c>
      <c r="AJ220" s="19">
        <v>0.0</v>
      </c>
      <c r="AK220" s="19">
        <v>0.0</v>
      </c>
      <c r="AL220" s="19">
        <v>0.0</v>
      </c>
      <c r="AM220" s="13">
        <f t="shared" si="42"/>
        <v>1</v>
      </c>
      <c r="AN220" s="5"/>
      <c r="AO220" s="5"/>
    </row>
    <row r="221" ht="12.75" customHeight="1">
      <c r="A221" s="18"/>
      <c r="B221" s="56"/>
      <c r="C221" s="57"/>
      <c r="D221" s="61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  <c r="AA221" s="19"/>
      <c r="AB221" s="19"/>
      <c r="AC221" s="19"/>
      <c r="AD221" s="19"/>
      <c r="AE221" s="19"/>
      <c r="AF221" s="19"/>
      <c r="AG221" s="19"/>
      <c r="AH221" s="19"/>
      <c r="AI221" s="19"/>
      <c r="AJ221" s="19"/>
      <c r="AK221" s="19"/>
      <c r="AL221" s="19"/>
      <c r="AM221" s="13">
        <f t="shared" si="42"/>
        <v>0</v>
      </c>
      <c r="AN221" s="5"/>
      <c r="AO221" s="5"/>
    </row>
    <row r="222" ht="12.75" customHeight="1">
      <c r="A222" s="18"/>
      <c r="B222" s="56"/>
      <c r="C222" s="57"/>
      <c r="D222" s="61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19"/>
      <c r="AB222" s="19"/>
      <c r="AC222" s="19"/>
      <c r="AD222" s="19"/>
      <c r="AE222" s="19"/>
      <c r="AF222" s="19"/>
      <c r="AG222" s="19"/>
      <c r="AH222" s="19"/>
      <c r="AI222" s="19"/>
      <c r="AJ222" s="19"/>
      <c r="AK222" s="19"/>
      <c r="AL222" s="19"/>
      <c r="AM222" s="13">
        <f t="shared" si="42"/>
        <v>0</v>
      </c>
      <c r="AN222" s="5"/>
      <c r="AO222" s="5"/>
    </row>
    <row r="223" ht="12.75" customHeight="1">
      <c r="A223" s="19" t="s">
        <v>15</v>
      </c>
      <c r="B223" s="47" t="s">
        <v>47</v>
      </c>
      <c r="C223" s="15"/>
      <c r="D223" s="16"/>
      <c r="E223" s="13">
        <f t="shared" ref="E223:AM223" si="43">SUM(E213:E222)</f>
        <v>6</v>
      </c>
      <c r="F223" s="13">
        <f t="shared" si="43"/>
        <v>5</v>
      </c>
      <c r="G223" s="13">
        <f t="shared" si="43"/>
        <v>10</v>
      </c>
      <c r="H223" s="13">
        <f t="shared" si="43"/>
        <v>2</v>
      </c>
      <c r="I223" s="13">
        <f t="shared" si="43"/>
        <v>6</v>
      </c>
      <c r="J223" s="13">
        <f t="shared" si="43"/>
        <v>25</v>
      </c>
      <c r="K223" s="13">
        <f t="shared" si="43"/>
        <v>4</v>
      </c>
      <c r="L223" s="13">
        <f t="shared" si="43"/>
        <v>3</v>
      </c>
      <c r="M223" s="13">
        <f t="shared" si="43"/>
        <v>5</v>
      </c>
      <c r="N223" s="13">
        <f t="shared" si="43"/>
        <v>8</v>
      </c>
      <c r="O223" s="13">
        <f t="shared" si="43"/>
        <v>8</v>
      </c>
      <c r="P223" s="13">
        <f t="shared" si="43"/>
        <v>1</v>
      </c>
      <c r="Q223" s="13">
        <f t="shared" si="43"/>
        <v>10</v>
      </c>
      <c r="R223" s="13">
        <f t="shared" si="43"/>
        <v>20</v>
      </c>
      <c r="S223" s="13">
        <f t="shared" si="43"/>
        <v>14</v>
      </c>
      <c r="T223" s="13">
        <f t="shared" si="43"/>
        <v>12</v>
      </c>
      <c r="U223" s="13">
        <f t="shared" si="43"/>
        <v>4</v>
      </c>
      <c r="V223" s="13">
        <f t="shared" si="43"/>
        <v>7</v>
      </c>
      <c r="W223" s="13">
        <f t="shared" si="43"/>
        <v>5</v>
      </c>
      <c r="X223" s="13">
        <f t="shared" si="43"/>
        <v>7</v>
      </c>
      <c r="Y223" s="13">
        <f t="shared" si="43"/>
        <v>2</v>
      </c>
      <c r="Z223" s="13">
        <f t="shared" si="43"/>
        <v>4</v>
      </c>
      <c r="AA223" s="13">
        <f t="shared" si="43"/>
        <v>5</v>
      </c>
      <c r="AB223" s="13">
        <f t="shared" si="43"/>
        <v>0</v>
      </c>
      <c r="AC223" s="13">
        <f t="shared" si="43"/>
        <v>1</v>
      </c>
      <c r="AD223" s="13">
        <f t="shared" si="43"/>
        <v>2</v>
      </c>
      <c r="AE223" s="13">
        <f t="shared" si="43"/>
        <v>2</v>
      </c>
      <c r="AF223" s="13">
        <f t="shared" si="43"/>
        <v>2</v>
      </c>
      <c r="AG223" s="13">
        <f t="shared" si="43"/>
        <v>7</v>
      </c>
      <c r="AH223" s="13">
        <f t="shared" si="43"/>
        <v>3</v>
      </c>
      <c r="AI223" s="13">
        <f t="shared" si="43"/>
        <v>18</v>
      </c>
      <c r="AJ223" s="13">
        <f t="shared" si="43"/>
        <v>2</v>
      </c>
      <c r="AK223" s="13">
        <f t="shared" si="43"/>
        <v>4</v>
      </c>
      <c r="AL223" s="13">
        <f t="shared" si="43"/>
        <v>3</v>
      </c>
      <c r="AM223" s="13">
        <f t="shared" si="43"/>
        <v>217</v>
      </c>
      <c r="AN223" s="5"/>
      <c r="AO223" s="5"/>
    </row>
    <row r="224" ht="12.75" customHeight="1">
      <c r="A224" s="24"/>
      <c r="B224" s="15"/>
      <c r="C224" s="15"/>
      <c r="D224" s="15"/>
      <c r="E224" s="16"/>
      <c r="F224" s="84"/>
      <c r="G224" s="84"/>
      <c r="H224" s="84"/>
      <c r="I224" s="84"/>
      <c r="J224" s="84"/>
      <c r="K224" s="84"/>
      <c r="L224" s="84"/>
      <c r="M224" s="84"/>
      <c r="N224" s="84"/>
      <c r="O224" s="84"/>
      <c r="P224" s="84"/>
      <c r="Q224" s="84"/>
      <c r="R224" s="84"/>
      <c r="S224" s="84"/>
      <c r="T224" s="84"/>
      <c r="U224" s="84"/>
      <c r="V224" s="84"/>
      <c r="W224" s="84"/>
      <c r="X224" s="84"/>
      <c r="Y224" s="84"/>
      <c r="Z224" s="84"/>
      <c r="AA224" s="84"/>
      <c r="AB224" s="84"/>
      <c r="AC224" s="84"/>
      <c r="AD224" s="84"/>
      <c r="AE224" s="84"/>
      <c r="AF224" s="84"/>
      <c r="AG224" s="84"/>
      <c r="AH224" s="84"/>
      <c r="AI224" s="84"/>
      <c r="AJ224" s="84"/>
      <c r="AK224" s="84"/>
      <c r="AL224" s="84"/>
      <c r="AM224" s="84"/>
      <c r="AN224" s="5"/>
      <c r="AO224" s="5"/>
    </row>
    <row r="225" ht="12.75" customHeight="1">
      <c r="A225" s="30" t="s">
        <v>37</v>
      </c>
      <c r="B225" s="47" t="s">
        <v>164</v>
      </c>
      <c r="C225" s="48" t="s">
        <v>165</v>
      </c>
      <c r="D225" s="16"/>
      <c r="E225" s="19">
        <v>0.0</v>
      </c>
      <c r="F225" s="19">
        <v>0.0</v>
      </c>
      <c r="G225" s="19">
        <v>0.0</v>
      </c>
      <c r="H225" s="19">
        <v>0.0</v>
      </c>
      <c r="I225" s="19">
        <v>0.0</v>
      </c>
      <c r="J225" s="19">
        <v>0.0</v>
      </c>
      <c r="K225" s="19">
        <v>0.0</v>
      </c>
      <c r="L225" s="19">
        <v>0.0</v>
      </c>
      <c r="M225" s="19">
        <v>0.0</v>
      </c>
      <c r="N225" s="19">
        <v>0.0</v>
      </c>
      <c r="O225" s="19">
        <v>0.0</v>
      </c>
      <c r="P225" s="19">
        <v>0.0</v>
      </c>
      <c r="Q225" s="19">
        <v>0.0</v>
      </c>
      <c r="R225" s="19">
        <v>0.0</v>
      </c>
      <c r="S225" s="19">
        <v>0.0</v>
      </c>
      <c r="T225" s="19">
        <v>0.0</v>
      </c>
      <c r="U225" s="19">
        <v>0.0</v>
      </c>
      <c r="V225" s="19">
        <v>0.0</v>
      </c>
      <c r="W225" s="19">
        <v>0.0</v>
      </c>
      <c r="X225" s="19">
        <v>0.0</v>
      </c>
      <c r="Y225" s="19">
        <v>0.0</v>
      </c>
      <c r="Z225" s="19">
        <v>0.0</v>
      </c>
      <c r="AA225" s="19">
        <v>0.0</v>
      </c>
      <c r="AB225" s="19">
        <v>0.0</v>
      </c>
      <c r="AC225" s="19">
        <v>0.0</v>
      </c>
      <c r="AD225" s="19">
        <v>0.0</v>
      </c>
      <c r="AE225" s="19">
        <v>0.0</v>
      </c>
      <c r="AF225" s="19">
        <v>0.0</v>
      </c>
      <c r="AG225" s="19">
        <v>0.0</v>
      </c>
      <c r="AH225" s="19">
        <v>0.0</v>
      </c>
      <c r="AI225" s="19">
        <v>0.0</v>
      </c>
      <c r="AJ225" s="19">
        <v>0.0</v>
      </c>
      <c r="AK225" s="19">
        <v>0.0</v>
      </c>
      <c r="AL225" s="19">
        <v>0.0</v>
      </c>
      <c r="AM225" s="13">
        <f t="shared" ref="AM225:AM234" si="44">SUM(E225:AL225)</f>
        <v>0</v>
      </c>
      <c r="AN225" s="5"/>
      <c r="AO225" s="5"/>
    </row>
    <row r="226" ht="12.75" customHeight="1">
      <c r="A226" s="30" t="s">
        <v>39</v>
      </c>
      <c r="B226" s="55">
        <v>1.0</v>
      </c>
      <c r="C226" s="50" t="s">
        <v>166</v>
      </c>
      <c r="D226" s="60"/>
      <c r="E226" s="19">
        <v>0.0</v>
      </c>
      <c r="F226" s="19">
        <v>0.0</v>
      </c>
      <c r="G226" s="19">
        <v>0.0</v>
      </c>
      <c r="H226" s="19">
        <v>0.0</v>
      </c>
      <c r="I226" s="19">
        <v>0.0</v>
      </c>
      <c r="J226" s="19">
        <v>0.0</v>
      </c>
      <c r="K226" s="19">
        <v>0.0</v>
      </c>
      <c r="L226" s="19">
        <v>0.0</v>
      </c>
      <c r="M226" s="19">
        <v>0.0</v>
      </c>
      <c r="N226" s="19">
        <v>0.0</v>
      </c>
      <c r="O226" s="19">
        <v>0.0</v>
      </c>
      <c r="P226" s="19">
        <v>0.0</v>
      </c>
      <c r="Q226" s="19">
        <v>0.0</v>
      </c>
      <c r="R226" s="19">
        <v>0.0</v>
      </c>
      <c r="S226" s="19">
        <v>0.0</v>
      </c>
      <c r="T226" s="19">
        <v>0.0</v>
      </c>
      <c r="U226" s="19">
        <v>0.0</v>
      </c>
      <c r="V226" s="19">
        <v>0.0</v>
      </c>
      <c r="W226" s="19">
        <v>0.0</v>
      </c>
      <c r="X226" s="19">
        <v>0.0</v>
      </c>
      <c r="Y226" s="19">
        <v>0.0</v>
      </c>
      <c r="Z226" s="19">
        <v>0.0</v>
      </c>
      <c r="AA226" s="19">
        <v>0.0</v>
      </c>
      <c r="AB226" s="19">
        <v>0.0</v>
      </c>
      <c r="AC226" s="19">
        <v>0.0</v>
      </c>
      <c r="AD226" s="19">
        <v>0.0</v>
      </c>
      <c r="AE226" s="19">
        <v>0.0</v>
      </c>
      <c r="AF226" s="19">
        <v>0.0</v>
      </c>
      <c r="AG226" s="19">
        <v>0.0</v>
      </c>
      <c r="AH226" s="19">
        <v>0.0</v>
      </c>
      <c r="AI226" s="19">
        <v>0.0</v>
      </c>
      <c r="AJ226" s="19">
        <v>0.0</v>
      </c>
      <c r="AK226" s="19">
        <v>0.0</v>
      </c>
      <c r="AL226" s="19">
        <v>0.0</v>
      </c>
      <c r="AM226" s="13">
        <f t="shared" si="44"/>
        <v>0</v>
      </c>
      <c r="AN226" s="5"/>
      <c r="AO226" s="5"/>
    </row>
    <row r="227" ht="12.75" customHeight="1">
      <c r="A227" s="18"/>
      <c r="B227" s="55">
        <v>2.0</v>
      </c>
      <c r="C227" s="50" t="s">
        <v>167</v>
      </c>
      <c r="D227" s="60"/>
      <c r="E227" s="19">
        <v>0.0</v>
      </c>
      <c r="F227" s="19">
        <v>0.0</v>
      </c>
      <c r="G227" s="19">
        <v>0.0</v>
      </c>
      <c r="H227" s="19">
        <v>0.0</v>
      </c>
      <c r="I227" s="19">
        <v>0.0</v>
      </c>
      <c r="J227" s="19">
        <v>0.0</v>
      </c>
      <c r="K227" s="19">
        <v>0.0</v>
      </c>
      <c r="L227" s="19">
        <v>0.0</v>
      </c>
      <c r="M227" s="19">
        <v>0.0</v>
      </c>
      <c r="N227" s="19">
        <v>0.0</v>
      </c>
      <c r="O227" s="19">
        <v>0.0</v>
      </c>
      <c r="P227" s="19">
        <v>0.0</v>
      </c>
      <c r="Q227" s="19">
        <v>0.0</v>
      </c>
      <c r="R227" s="19">
        <v>0.0</v>
      </c>
      <c r="S227" s="19">
        <v>0.0</v>
      </c>
      <c r="T227" s="19">
        <v>0.0</v>
      </c>
      <c r="U227" s="19">
        <v>0.0</v>
      </c>
      <c r="V227" s="19">
        <v>0.0</v>
      </c>
      <c r="W227" s="19">
        <v>0.0</v>
      </c>
      <c r="X227" s="19">
        <v>0.0</v>
      </c>
      <c r="Y227" s="19">
        <v>0.0</v>
      </c>
      <c r="Z227" s="19">
        <v>0.0</v>
      </c>
      <c r="AA227" s="19">
        <v>0.0</v>
      </c>
      <c r="AB227" s="19">
        <v>0.0</v>
      </c>
      <c r="AC227" s="19">
        <v>0.0</v>
      </c>
      <c r="AD227" s="19">
        <v>0.0</v>
      </c>
      <c r="AE227" s="19">
        <v>0.0</v>
      </c>
      <c r="AF227" s="19">
        <v>0.0</v>
      </c>
      <c r="AG227" s="19">
        <v>0.0</v>
      </c>
      <c r="AH227" s="19">
        <v>0.0</v>
      </c>
      <c r="AI227" s="19">
        <v>0.0</v>
      </c>
      <c r="AJ227" s="19">
        <v>0.0</v>
      </c>
      <c r="AK227" s="19">
        <v>0.0</v>
      </c>
      <c r="AL227" s="19">
        <v>0.0</v>
      </c>
      <c r="AM227" s="13">
        <f t="shared" si="44"/>
        <v>0</v>
      </c>
      <c r="AN227" s="5"/>
      <c r="AO227" s="5"/>
    </row>
    <row r="228" ht="12.75" customHeight="1">
      <c r="A228" s="18"/>
      <c r="B228" s="55">
        <v>3.0</v>
      </c>
      <c r="C228" s="50" t="s">
        <v>168</v>
      </c>
      <c r="D228" s="60"/>
      <c r="E228" s="19">
        <v>0.0</v>
      </c>
      <c r="F228" s="19">
        <v>0.0</v>
      </c>
      <c r="G228" s="19">
        <v>0.0</v>
      </c>
      <c r="H228" s="19">
        <v>0.0</v>
      </c>
      <c r="I228" s="19">
        <v>0.0</v>
      </c>
      <c r="J228" s="19">
        <v>0.0</v>
      </c>
      <c r="K228" s="19">
        <v>0.0</v>
      </c>
      <c r="L228" s="19">
        <v>0.0</v>
      </c>
      <c r="M228" s="19">
        <v>0.0</v>
      </c>
      <c r="N228" s="19">
        <v>0.0</v>
      </c>
      <c r="O228" s="19">
        <v>0.0</v>
      </c>
      <c r="P228" s="19">
        <v>0.0</v>
      </c>
      <c r="Q228" s="19">
        <v>0.0</v>
      </c>
      <c r="R228" s="19">
        <v>0.0</v>
      </c>
      <c r="S228" s="19">
        <v>0.0</v>
      </c>
      <c r="T228" s="19">
        <v>0.0</v>
      </c>
      <c r="U228" s="19">
        <v>0.0</v>
      </c>
      <c r="V228" s="19">
        <v>0.0</v>
      </c>
      <c r="W228" s="19">
        <v>0.0</v>
      </c>
      <c r="X228" s="19">
        <v>0.0</v>
      </c>
      <c r="Y228" s="19">
        <v>0.0</v>
      </c>
      <c r="Z228" s="19">
        <v>0.0</v>
      </c>
      <c r="AA228" s="19">
        <v>0.0</v>
      </c>
      <c r="AB228" s="19">
        <v>0.0</v>
      </c>
      <c r="AC228" s="19">
        <v>0.0</v>
      </c>
      <c r="AD228" s="19">
        <v>0.0</v>
      </c>
      <c r="AE228" s="19">
        <v>0.0</v>
      </c>
      <c r="AF228" s="19">
        <v>0.0</v>
      </c>
      <c r="AG228" s="19">
        <v>0.0</v>
      </c>
      <c r="AH228" s="19">
        <v>0.0</v>
      </c>
      <c r="AI228" s="19">
        <v>0.0</v>
      </c>
      <c r="AJ228" s="19">
        <v>0.0</v>
      </c>
      <c r="AK228" s="19">
        <v>0.0</v>
      </c>
      <c r="AL228" s="19">
        <v>0.0</v>
      </c>
      <c r="AM228" s="13">
        <f t="shared" si="44"/>
        <v>0</v>
      </c>
      <c r="AN228" s="5"/>
      <c r="AO228" s="5"/>
    </row>
    <row r="229" ht="12.75" customHeight="1">
      <c r="A229" s="18"/>
      <c r="B229" s="55">
        <v>4.0</v>
      </c>
      <c r="C229" s="50" t="s">
        <v>169</v>
      </c>
      <c r="D229" s="60"/>
      <c r="E229" s="19">
        <v>1.0</v>
      </c>
      <c r="F229" s="19">
        <v>0.0</v>
      </c>
      <c r="G229" s="19">
        <v>0.0</v>
      </c>
      <c r="H229" s="19">
        <v>0.0</v>
      </c>
      <c r="I229" s="19">
        <v>0.0</v>
      </c>
      <c r="J229" s="19">
        <v>0.0</v>
      </c>
      <c r="K229" s="19">
        <v>0.0</v>
      </c>
      <c r="L229" s="19">
        <v>0.0</v>
      </c>
      <c r="M229" s="19">
        <v>0.0</v>
      </c>
      <c r="N229" s="19">
        <v>0.0</v>
      </c>
      <c r="O229" s="19">
        <v>0.0</v>
      </c>
      <c r="P229" s="19">
        <v>0.0</v>
      </c>
      <c r="Q229" s="19">
        <v>0.0</v>
      </c>
      <c r="R229" s="19">
        <v>0.0</v>
      </c>
      <c r="S229" s="19">
        <v>0.0</v>
      </c>
      <c r="T229" s="19">
        <v>0.0</v>
      </c>
      <c r="U229" s="19">
        <v>0.0</v>
      </c>
      <c r="V229" s="19">
        <v>0.0</v>
      </c>
      <c r="W229" s="19">
        <v>0.0</v>
      </c>
      <c r="X229" s="19">
        <v>0.0</v>
      </c>
      <c r="Y229" s="19">
        <v>0.0</v>
      </c>
      <c r="Z229" s="19">
        <v>0.0</v>
      </c>
      <c r="AA229" s="19">
        <v>0.0</v>
      </c>
      <c r="AB229" s="19">
        <v>0.0</v>
      </c>
      <c r="AC229" s="19">
        <v>0.0</v>
      </c>
      <c r="AD229" s="19">
        <v>0.0</v>
      </c>
      <c r="AE229" s="19">
        <v>0.0</v>
      </c>
      <c r="AF229" s="19">
        <v>0.0</v>
      </c>
      <c r="AG229" s="19">
        <v>0.0</v>
      </c>
      <c r="AH229" s="19">
        <v>0.0</v>
      </c>
      <c r="AI229" s="19">
        <v>0.0</v>
      </c>
      <c r="AJ229" s="19">
        <v>0.0</v>
      </c>
      <c r="AK229" s="19">
        <v>0.0</v>
      </c>
      <c r="AL229" s="19">
        <v>0.0</v>
      </c>
      <c r="AM229" s="13">
        <f t="shared" si="44"/>
        <v>1</v>
      </c>
      <c r="AN229" s="1"/>
      <c r="AO229" s="1"/>
    </row>
    <row r="230" ht="12.75" customHeight="1">
      <c r="A230" s="18"/>
      <c r="B230" s="55">
        <v>5.0</v>
      </c>
      <c r="C230" s="50" t="s">
        <v>170</v>
      </c>
      <c r="D230" s="60"/>
      <c r="E230" s="19">
        <v>0.0</v>
      </c>
      <c r="F230" s="19">
        <v>0.0</v>
      </c>
      <c r="G230" s="19">
        <v>0.0</v>
      </c>
      <c r="H230" s="19">
        <v>0.0</v>
      </c>
      <c r="I230" s="19">
        <v>0.0</v>
      </c>
      <c r="J230" s="19">
        <v>0.0</v>
      </c>
      <c r="K230" s="19">
        <v>0.0</v>
      </c>
      <c r="L230" s="19">
        <v>0.0</v>
      </c>
      <c r="M230" s="19">
        <v>0.0</v>
      </c>
      <c r="N230" s="19">
        <v>0.0</v>
      </c>
      <c r="O230" s="19">
        <v>0.0</v>
      </c>
      <c r="P230" s="19">
        <v>0.0</v>
      </c>
      <c r="Q230" s="19">
        <v>0.0</v>
      </c>
      <c r="R230" s="19">
        <v>0.0</v>
      </c>
      <c r="S230" s="19">
        <v>0.0</v>
      </c>
      <c r="T230" s="19">
        <v>0.0</v>
      </c>
      <c r="U230" s="19">
        <v>0.0</v>
      </c>
      <c r="V230" s="19">
        <v>0.0</v>
      </c>
      <c r="W230" s="19">
        <v>0.0</v>
      </c>
      <c r="X230" s="19">
        <v>0.0</v>
      </c>
      <c r="Y230" s="19">
        <v>0.0</v>
      </c>
      <c r="Z230" s="19">
        <v>0.0</v>
      </c>
      <c r="AA230" s="19">
        <v>0.0</v>
      </c>
      <c r="AB230" s="19">
        <v>0.0</v>
      </c>
      <c r="AC230" s="19">
        <v>0.0</v>
      </c>
      <c r="AD230" s="19">
        <v>0.0</v>
      </c>
      <c r="AE230" s="19">
        <v>0.0</v>
      </c>
      <c r="AF230" s="19">
        <v>0.0</v>
      </c>
      <c r="AG230" s="19">
        <v>0.0</v>
      </c>
      <c r="AH230" s="19">
        <v>0.0</v>
      </c>
      <c r="AI230" s="19">
        <v>0.0</v>
      </c>
      <c r="AJ230" s="19">
        <v>0.0</v>
      </c>
      <c r="AK230" s="19">
        <v>0.0</v>
      </c>
      <c r="AL230" s="19">
        <v>0.0</v>
      </c>
      <c r="AM230" s="13">
        <f t="shared" si="44"/>
        <v>0</v>
      </c>
      <c r="AN230" s="52"/>
      <c r="AO230" s="52"/>
    </row>
    <row r="231" ht="12.75" customHeight="1">
      <c r="A231" s="18"/>
      <c r="B231" s="55">
        <v>6.0</v>
      </c>
      <c r="C231" s="50" t="s">
        <v>171</v>
      </c>
      <c r="D231" s="60"/>
      <c r="E231" s="19">
        <v>0.0</v>
      </c>
      <c r="F231" s="19">
        <v>0.0</v>
      </c>
      <c r="G231" s="19">
        <v>0.0</v>
      </c>
      <c r="H231" s="19">
        <v>0.0</v>
      </c>
      <c r="I231" s="19">
        <v>0.0</v>
      </c>
      <c r="J231" s="19">
        <v>0.0</v>
      </c>
      <c r="K231" s="19">
        <v>0.0</v>
      </c>
      <c r="L231" s="19">
        <v>0.0</v>
      </c>
      <c r="M231" s="19">
        <v>0.0</v>
      </c>
      <c r="N231" s="19">
        <v>0.0</v>
      </c>
      <c r="O231" s="19">
        <v>0.0</v>
      </c>
      <c r="P231" s="19">
        <v>0.0</v>
      </c>
      <c r="Q231" s="19">
        <v>0.0</v>
      </c>
      <c r="R231" s="19">
        <v>0.0</v>
      </c>
      <c r="S231" s="19">
        <v>0.0</v>
      </c>
      <c r="T231" s="19">
        <v>0.0</v>
      </c>
      <c r="U231" s="19">
        <v>0.0</v>
      </c>
      <c r="V231" s="19">
        <v>0.0</v>
      </c>
      <c r="W231" s="19">
        <v>0.0</v>
      </c>
      <c r="X231" s="19">
        <v>0.0</v>
      </c>
      <c r="Y231" s="19">
        <v>0.0</v>
      </c>
      <c r="Z231" s="19">
        <v>0.0</v>
      </c>
      <c r="AA231" s="19">
        <v>0.0</v>
      </c>
      <c r="AB231" s="19">
        <v>0.0</v>
      </c>
      <c r="AC231" s="19">
        <v>0.0</v>
      </c>
      <c r="AD231" s="19">
        <v>0.0</v>
      </c>
      <c r="AE231" s="19">
        <v>0.0</v>
      </c>
      <c r="AF231" s="19">
        <v>0.0</v>
      </c>
      <c r="AG231" s="19">
        <v>0.0</v>
      </c>
      <c r="AH231" s="19">
        <v>0.0</v>
      </c>
      <c r="AI231" s="19">
        <v>0.0</v>
      </c>
      <c r="AJ231" s="19">
        <v>0.0</v>
      </c>
      <c r="AK231" s="19">
        <v>0.0</v>
      </c>
      <c r="AL231" s="19">
        <v>0.0</v>
      </c>
      <c r="AM231" s="13">
        <f t="shared" si="44"/>
        <v>0</v>
      </c>
      <c r="AN231" s="5"/>
      <c r="AO231" s="5"/>
    </row>
    <row r="232" ht="12.75" customHeight="1">
      <c r="A232" s="18"/>
      <c r="B232" s="55">
        <v>7.0</v>
      </c>
      <c r="C232" s="50" t="s">
        <v>172</v>
      </c>
      <c r="D232" s="60"/>
      <c r="E232" s="19">
        <v>0.0</v>
      </c>
      <c r="F232" s="19">
        <v>1.0</v>
      </c>
      <c r="G232" s="19">
        <v>0.0</v>
      </c>
      <c r="H232" s="19">
        <v>0.0</v>
      </c>
      <c r="I232" s="19">
        <v>1.0</v>
      </c>
      <c r="J232" s="19">
        <v>0.0</v>
      </c>
      <c r="K232" s="19">
        <v>1.0</v>
      </c>
      <c r="L232" s="19">
        <v>0.0</v>
      </c>
      <c r="M232" s="19">
        <v>1.0</v>
      </c>
      <c r="N232" s="19">
        <v>0.0</v>
      </c>
      <c r="O232" s="19">
        <v>0.0</v>
      </c>
      <c r="P232" s="19">
        <v>0.0</v>
      </c>
      <c r="Q232" s="19">
        <v>1.0</v>
      </c>
      <c r="R232" s="19">
        <v>0.0</v>
      </c>
      <c r="S232" s="19">
        <v>0.0</v>
      </c>
      <c r="T232" s="19">
        <v>4.0</v>
      </c>
      <c r="U232" s="19">
        <v>0.0</v>
      </c>
      <c r="V232" s="19">
        <v>7.0</v>
      </c>
      <c r="W232" s="19">
        <v>0.0</v>
      </c>
      <c r="X232" s="19">
        <v>1.0</v>
      </c>
      <c r="Y232" s="19">
        <v>0.0</v>
      </c>
      <c r="Z232" s="19">
        <v>0.0</v>
      </c>
      <c r="AA232" s="19">
        <v>0.0</v>
      </c>
      <c r="AB232" s="19">
        <v>0.0</v>
      </c>
      <c r="AC232" s="19">
        <v>2.0</v>
      </c>
      <c r="AD232" s="19">
        <v>0.0</v>
      </c>
      <c r="AE232" s="19">
        <v>0.0</v>
      </c>
      <c r="AF232" s="19">
        <v>0.0</v>
      </c>
      <c r="AG232" s="19">
        <v>0.0</v>
      </c>
      <c r="AH232" s="19">
        <v>0.0</v>
      </c>
      <c r="AI232" s="19">
        <v>0.0</v>
      </c>
      <c r="AJ232" s="19">
        <v>0.0</v>
      </c>
      <c r="AK232" s="19">
        <v>0.0</v>
      </c>
      <c r="AL232" s="19">
        <v>1.0</v>
      </c>
      <c r="AM232" s="13">
        <f t="shared" si="44"/>
        <v>20</v>
      </c>
      <c r="AN232" s="5"/>
      <c r="AO232" s="5"/>
    </row>
    <row r="233" ht="12.75" customHeight="1">
      <c r="A233" s="18"/>
      <c r="B233" s="56"/>
      <c r="C233" s="57"/>
      <c r="D233" s="62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  <c r="AA233" s="19"/>
      <c r="AB233" s="19"/>
      <c r="AC233" s="19"/>
      <c r="AD233" s="19"/>
      <c r="AE233" s="19"/>
      <c r="AF233" s="19"/>
      <c r="AG233" s="19"/>
      <c r="AH233" s="19"/>
      <c r="AI233" s="19"/>
      <c r="AJ233" s="19"/>
      <c r="AK233" s="19"/>
      <c r="AL233" s="19"/>
      <c r="AM233" s="13">
        <f t="shared" si="44"/>
        <v>0</v>
      </c>
      <c r="AN233" s="5"/>
      <c r="AO233" s="5"/>
    </row>
    <row r="234" ht="12.75" customHeight="1">
      <c r="A234" s="18"/>
      <c r="B234" s="56"/>
      <c r="C234" s="57"/>
      <c r="D234" s="62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  <c r="AA234" s="19"/>
      <c r="AB234" s="19"/>
      <c r="AC234" s="19"/>
      <c r="AD234" s="19"/>
      <c r="AE234" s="19"/>
      <c r="AF234" s="19"/>
      <c r="AG234" s="19"/>
      <c r="AH234" s="19"/>
      <c r="AI234" s="19"/>
      <c r="AJ234" s="19"/>
      <c r="AK234" s="19"/>
      <c r="AL234" s="19"/>
      <c r="AM234" s="13">
        <f t="shared" si="44"/>
        <v>0</v>
      </c>
      <c r="AN234" s="5"/>
      <c r="AO234" s="5"/>
    </row>
    <row r="235" ht="12.75" customHeight="1">
      <c r="A235" s="19" t="s">
        <v>15</v>
      </c>
      <c r="B235" s="47" t="s">
        <v>47</v>
      </c>
      <c r="C235" s="15"/>
      <c r="D235" s="16"/>
      <c r="E235" s="13">
        <f t="shared" ref="E235:AM235" si="45">SUM(E225:E234)</f>
        <v>1</v>
      </c>
      <c r="F235" s="13">
        <f t="shared" si="45"/>
        <v>1</v>
      </c>
      <c r="G235" s="13">
        <f t="shared" si="45"/>
        <v>0</v>
      </c>
      <c r="H235" s="13">
        <f t="shared" si="45"/>
        <v>0</v>
      </c>
      <c r="I235" s="13">
        <f t="shared" si="45"/>
        <v>1</v>
      </c>
      <c r="J235" s="13">
        <f t="shared" si="45"/>
        <v>0</v>
      </c>
      <c r="K235" s="13">
        <f t="shared" si="45"/>
        <v>1</v>
      </c>
      <c r="L235" s="13">
        <f t="shared" si="45"/>
        <v>0</v>
      </c>
      <c r="M235" s="13">
        <f t="shared" si="45"/>
        <v>1</v>
      </c>
      <c r="N235" s="13">
        <f t="shared" si="45"/>
        <v>0</v>
      </c>
      <c r="O235" s="13">
        <f t="shared" si="45"/>
        <v>0</v>
      </c>
      <c r="P235" s="13">
        <f t="shared" si="45"/>
        <v>0</v>
      </c>
      <c r="Q235" s="13">
        <f t="shared" si="45"/>
        <v>1</v>
      </c>
      <c r="R235" s="13">
        <f t="shared" si="45"/>
        <v>0</v>
      </c>
      <c r="S235" s="13">
        <f t="shared" si="45"/>
        <v>0</v>
      </c>
      <c r="T235" s="13">
        <f t="shared" si="45"/>
        <v>4</v>
      </c>
      <c r="U235" s="13">
        <f t="shared" si="45"/>
        <v>0</v>
      </c>
      <c r="V235" s="13">
        <f t="shared" si="45"/>
        <v>7</v>
      </c>
      <c r="W235" s="13">
        <f t="shared" si="45"/>
        <v>0</v>
      </c>
      <c r="X235" s="13">
        <f t="shared" si="45"/>
        <v>1</v>
      </c>
      <c r="Y235" s="13">
        <f t="shared" si="45"/>
        <v>0</v>
      </c>
      <c r="Z235" s="13">
        <f t="shared" si="45"/>
        <v>0</v>
      </c>
      <c r="AA235" s="13">
        <f t="shared" si="45"/>
        <v>0</v>
      </c>
      <c r="AB235" s="13">
        <f t="shared" si="45"/>
        <v>0</v>
      </c>
      <c r="AC235" s="13">
        <f t="shared" si="45"/>
        <v>2</v>
      </c>
      <c r="AD235" s="13">
        <f t="shared" si="45"/>
        <v>0</v>
      </c>
      <c r="AE235" s="13">
        <f t="shared" si="45"/>
        <v>0</v>
      </c>
      <c r="AF235" s="13">
        <f t="shared" si="45"/>
        <v>0</v>
      </c>
      <c r="AG235" s="13">
        <f t="shared" si="45"/>
        <v>0</v>
      </c>
      <c r="AH235" s="13">
        <f t="shared" si="45"/>
        <v>0</v>
      </c>
      <c r="AI235" s="13">
        <f t="shared" si="45"/>
        <v>0</v>
      </c>
      <c r="AJ235" s="13">
        <f t="shared" si="45"/>
        <v>0</v>
      </c>
      <c r="AK235" s="13">
        <f t="shared" si="45"/>
        <v>0</v>
      </c>
      <c r="AL235" s="13">
        <f t="shared" si="45"/>
        <v>1</v>
      </c>
      <c r="AM235" s="13">
        <f t="shared" si="45"/>
        <v>21</v>
      </c>
      <c r="AN235" s="5"/>
      <c r="AO235" s="5"/>
    </row>
    <row r="236" ht="12.75" customHeight="1">
      <c r="A236" s="24"/>
      <c r="B236" s="15"/>
      <c r="C236" s="15"/>
      <c r="D236" s="15"/>
      <c r="E236" s="16"/>
      <c r="F236" s="84"/>
      <c r="G236" s="84"/>
      <c r="H236" s="84"/>
      <c r="I236" s="84"/>
      <c r="J236" s="84"/>
      <c r="K236" s="84"/>
      <c r="L236" s="84"/>
      <c r="M236" s="84"/>
      <c r="N236" s="84"/>
      <c r="O236" s="84"/>
      <c r="P236" s="84"/>
      <c r="Q236" s="84"/>
      <c r="R236" s="84"/>
      <c r="S236" s="84"/>
      <c r="T236" s="84"/>
      <c r="U236" s="84"/>
      <c r="V236" s="84"/>
      <c r="W236" s="84"/>
      <c r="X236" s="84"/>
      <c r="Y236" s="84"/>
      <c r="Z236" s="84"/>
      <c r="AA236" s="84"/>
      <c r="AB236" s="84"/>
      <c r="AC236" s="84"/>
      <c r="AD236" s="84"/>
      <c r="AE236" s="84"/>
      <c r="AF236" s="84"/>
      <c r="AG236" s="84"/>
      <c r="AH236" s="84"/>
      <c r="AI236" s="84"/>
      <c r="AJ236" s="84"/>
      <c r="AK236" s="84"/>
      <c r="AL236" s="84"/>
      <c r="AM236" s="84"/>
      <c r="AN236" s="5"/>
      <c r="AO236" s="5"/>
    </row>
    <row r="237" ht="12.75" customHeight="1">
      <c r="A237" s="30" t="s">
        <v>37</v>
      </c>
      <c r="B237" s="47" t="s">
        <v>173</v>
      </c>
      <c r="C237" s="48" t="s">
        <v>174</v>
      </c>
      <c r="D237" s="16"/>
      <c r="E237" s="19">
        <v>0.0</v>
      </c>
      <c r="F237" s="19">
        <v>1.0</v>
      </c>
      <c r="G237" s="19">
        <v>0.0</v>
      </c>
      <c r="H237" s="19">
        <v>0.0</v>
      </c>
      <c r="I237" s="19">
        <v>1.0</v>
      </c>
      <c r="J237" s="19">
        <v>3.0</v>
      </c>
      <c r="K237" s="19">
        <v>3.0</v>
      </c>
      <c r="L237" s="19">
        <v>4.0</v>
      </c>
      <c r="M237" s="19">
        <v>2.0</v>
      </c>
      <c r="N237" s="19">
        <v>5.0</v>
      </c>
      <c r="O237" s="19">
        <v>2.0</v>
      </c>
      <c r="P237" s="19">
        <v>5.0</v>
      </c>
      <c r="Q237" s="19">
        <v>3.0</v>
      </c>
      <c r="R237" s="19">
        <v>4.0</v>
      </c>
      <c r="S237" s="19">
        <v>0.0</v>
      </c>
      <c r="T237" s="19">
        <v>0.0</v>
      </c>
      <c r="U237" s="19">
        <v>1.0</v>
      </c>
      <c r="V237" s="19">
        <v>0.0</v>
      </c>
      <c r="W237" s="19">
        <v>3.0</v>
      </c>
      <c r="X237" s="19">
        <v>2.0</v>
      </c>
      <c r="Y237" s="19">
        <v>0.0</v>
      </c>
      <c r="Z237" s="19">
        <v>3.0</v>
      </c>
      <c r="AA237" s="19">
        <v>3.0</v>
      </c>
      <c r="AB237" s="19">
        <v>0.0</v>
      </c>
      <c r="AC237" s="19">
        <v>1.0</v>
      </c>
      <c r="AD237" s="19">
        <v>0.0</v>
      </c>
      <c r="AE237" s="19">
        <v>1.0</v>
      </c>
      <c r="AF237" s="19">
        <v>1.0</v>
      </c>
      <c r="AG237" s="19">
        <v>0.0</v>
      </c>
      <c r="AH237" s="19">
        <v>2.0</v>
      </c>
      <c r="AI237" s="19">
        <v>1.0</v>
      </c>
      <c r="AJ237" s="19">
        <v>0.0</v>
      </c>
      <c r="AK237" s="19">
        <v>0.0</v>
      </c>
      <c r="AL237" s="19">
        <v>0.0</v>
      </c>
      <c r="AM237" s="13">
        <f t="shared" ref="AM237:AM246" si="46">SUM(E237:AL237)</f>
        <v>51</v>
      </c>
      <c r="AN237" s="5"/>
      <c r="AO237" s="5"/>
    </row>
    <row r="238" ht="12.75" customHeight="1">
      <c r="A238" s="30" t="s">
        <v>39</v>
      </c>
      <c r="B238" s="55">
        <v>1.0</v>
      </c>
      <c r="C238" s="50" t="s">
        <v>175</v>
      </c>
      <c r="D238" s="60"/>
      <c r="E238" s="19">
        <v>0.0</v>
      </c>
      <c r="F238" s="19">
        <v>0.0</v>
      </c>
      <c r="G238" s="19">
        <v>0.0</v>
      </c>
      <c r="H238" s="19">
        <v>1.0</v>
      </c>
      <c r="I238" s="19">
        <v>0.0</v>
      </c>
      <c r="J238" s="19">
        <v>0.0</v>
      </c>
      <c r="K238" s="19">
        <v>0.0</v>
      </c>
      <c r="L238" s="19">
        <v>1.0</v>
      </c>
      <c r="M238" s="19">
        <v>0.0</v>
      </c>
      <c r="N238" s="19">
        <v>1.0</v>
      </c>
      <c r="O238" s="19">
        <v>0.0</v>
      </c>
      <c r="P238" s="19">
        <v>1.0</v>
      </c>
      <c r="Q238" s="19">
        <v>1.0</v>
      </c>
      <c r="R238" s="19">
        <v>0.0</v>
      </c>
      <c r="S238" s="19">
        <v>0.0</v>
      </c>
      <c r="T238" s="19">
        <v>0.0</v>
      </c>
      <c r="U238" s="19">
        <v>0.0</v>
      </c>
      <c r="V238" s="19">
        <v>0.0</v>
      </c>
      <c r="W238" s="19">
        <v>1.0</v>
      </c>
      <c r="X238" s="19">
        <v>1.0</v>
      </c>
      <c r="Y238" s="19">
        <v>0.0</v>
      </c>
      <c r="Z238" s="19">
        <v>1.0</v>
      </c>
      <c r="AA238" s="19">
        <v>1.0</v>
      </c>
      <c r="AB238" s="19">
        <v>1.0</v>
      </c>
      <c r="AC238" s="19">
        <v>0.0</v>
      </c>
      <c r="AD238" s="19">
        <v>1.0</v>
      </c>
      <c r="AE238" s="19">
        <v>1.0</v>
      </c>
      <c r="AF238" s="19">
        <v>3.0</v>
      </c>
      <c r="AG238" s="19">
        <v>0.0</v>
      </c>
      <c r="AH238" s="19">
        <v>1.0</v>
      </c>
      <c r="AI238" s="19">
        <v>0.0</v>
      </c>
      <c r="AJ238" s="19">
        <v>0.0</v>
      </c>
      <c r="AK238" s="19">
        <v>0.0</v>
      </c>
      <c r="AL238" s="19">
        <v>0.0</v>
      </c>
      <c r="AM238" s="13">
        <f t="shared" si="46"/>
        <v>16</v>
      </c>
      <c r="AN238" s="5"/>
      <c r="AO238" s="5"/>
    </row>
    <row r="239" ht="12.75" customHeight="1">
      <c r="A239" s="18"/>
      <c r="B239" s="55">
        <v>2.0</v>
      </c>
      <c r="C239" s="50" t="s">
        <v>176</v>
      </c>
      <c r="D239" s="60"/>
      <c r="E239" s="19">
        <v>0.0</v>
      </c>
      <c r="F239" s="19">
        <v>0.0</v>
      </c>
      <c r="G239" s="19">
        <v>0.0</v>
      </c>
      <c r="H239" s="19">
        <v>1.0</v>
      </c>
      <c r="I239" s="19">
        <v>14.0</v>
      </c>
      <c r="J239" s="19">
        <v>2.0</v>
      </c>
      <c r="K239" s="19">
        <v>1.0</v>
      </c>
      <c r="L239" s="19">
        <v>2.0</v>
      </c>
      <c r="M239" s="19">
        <v>0.0</v>
      </c>
      <c r="N239" s="19">
        <v>1.0</v>
      </c>
      <c r="O239" s="19">
        <v>0.0</v>
      </c>
      <c r="P239" s="19">
        <v>9.0</v>
      </c>
      <c r="Q239" s="19">
        <v>33.0</v>
      </c>
      <c r="R239" s="19">
        <v>7.0</v>
      </c>
      <c r="S239" s="19">
        <v>5.0</v>
      </c>
      <c r="T239" s="19">
        <v>4.0</v>
      </c>
      <c r="U239" s="19">
        <v>2.0</v>
      </c>
      <c r="V239" s="19">
        <v>15.0</v>
      </c>
      <c r="W239" s="19">
        <v>1.0</v>
      </c>
      <c r="X239" s="19">
        <v>9.0</v>
      </c>
      <c r="Y239" s="19">
        <v>1.0</v>
      </c>
      <c r="Z239" s="19">
        <v>5.0</v>
      </c>
      <c r="AA239" s="19">
        <v>12.0</v>
      </c>
      <c r="AB239" s="19">
        <v>25.0</v>
      </c>
      <c r="AC239" s="19">
        <v>4.0</v>
      </c>
      <c r="AD239" s="19">
        <v>0.0</v>
      </c>
      <c r="AE239" s="19">
        <v>7.0</v>
      </c>
      <c r="AF239" s="19">
        <v>48.0</v>
      </c>
      <c r="AG239" s="19">
        <v>0.0</v>
      </c>
      <c r="AH239" s="19">
        <v>11.0</v>
      </c>
      <c r="AI239" s="19">
        <v>1.0</v>
      </c>
      <c r="AJ239" s="19">
        <v>0.0</v>
      </c>
      <c r="AK239" s="19">
        <v>0.0</v>
      </c>
      <c r="AL239" s="19">
        <v>0.0</v>
      </c>
      <c r="AM239" s="13">
        <f t="shared" si="46"/>
        <v>220</v>
      </c>
      <c r="AN239" s="5"/>
      <c r="AO239" s="5"/>
    </row>
    <row r="240" ht="12.75" customHeight="1">
      <c r="A240" s="18"/>
      <c r="B240" s="55">
        <v>3.0</v>
      </c>
      <c r="C240" s="50" t="s">
        <v>177</v>
      </c>
      <c r="D240" s="60"/>
      <c r="E240" s="19">
        <v>0.0</v>
      </c>
      <c r="F240" s="19">
        <v>1.0</v>
      </c>
      <c r="G240" s="19">
        <v>0.0</v>
      </c>
      <c r="H240" s="19">
        <v>0.0</v>
      </c>
      <c r="I240" s="19">
        <v>1.0</v>
      </c>
      <c r="J240" s="19">
        <v>1.0</v>
      </c>
      <c r="K240" s="19">
        <v>0.0</v>
      </c>
      <c r="L240" s="19">
        <v>2.0</v>
      </c>
      <c r="M240" s="19">
        <v>0.0</v>
      </c>
      <c r="N240" s="19">
        <v>1.0</v>
      </c>
      <c r="O240" s="19">
        <v>0.0</v>
      </c>
      <c r="P240" s="19">
        <v>0.0</v>
      </c>
      <c r="Q240" s="19">
        <v>0.0</v>
      </c>
      <c r="R240" s="19">
        <v>0.0</v>
      </c>
      <c r="S240" s="19">
        <v>0.0</v>
      </c>
      <c r="T240" s="19">
        <v>0.0</v>
      </c>
      <c r="U240" s="19">
        <v>0.0</v>
      </c>
      <c r="V240" s="19">
        <v>0.0</v>
      </c>
      <c r="W240" s="19">
        <v>0.0</v>
      </c>
      <c r="X240" s="19">
        <v>0.0</v>
      </c>
      <c r="Y240" s="19">
        <v>0.0</v>
      </c>
      <c r="Z240" s="19">
        <v>1.0</v>
      </c>
      <c r="AA240" s="19">
        <v>0.0</v>
      </c>
      <c r="AB240" s="19">
        <v>0.0</v>
      </c>
      <c r="AC240" s="19">
        <v>0.0</v>
      </c>
      <c r="AD240" s="19">
        <v>0.0</v>
      </c>
      <c r="AE240" s="19">
        <v>0.0</v>
      </c>
      <c r="AF240" s="19">
        <v>0.0</v>
      </c>
      <c r="AG240" s="19">
        <v>0.0</v>
      </c>
      <c r="AH240" s="19">
        <v>0.0</v>
      </c>
      <c r="AI240" s="19">
        <v>0.0</v>
      </c>
      <c r="AJ240" s="19">
        <v>0.0</v>
      </c>
      <c r="AK240" s="19">
        <v>0.0</v>
      </c>
      <c r="AL240" s="19">
        <v>0.0</v>
      </c>
      <c r="AM240" s="13">
        <f t="shared" si="46"/>
        <v>7</v>
      </c>
      <c r="AN240" s="1"/>
      <c r="AO240" s="1"/>
    </row>
    <row r="241" ht="12.75" customHeight="1">
      <c r="A241" s="18"/>
      <c r="B241" s="55">
        <v>4.0</v>
      </c>
      <c r="C241" s="50" t="s">
        <v>178</v>
      </c>
      <c r="D241" s="60"/>
      <c r="E241" s="19">
        <v>0.0</v>
      </c>
      <c r="F241" s="19">
        <v>1.0</v>
      </c>
      <c r="G241" s="19">
        <v>2.0</v>
      </c>
      <c r="H241" s="19">
        <v>0.0</v>
      </c>
      <c r="I241" s="19">
        <v>0.0</v>
      </c>
      <c r="J241" s="19">
        <v>1.0</v>
      </c>
      <c r="K241" s="19">
        <v>0.0</v>
      </c>
      <c r="L241" s="19">
        <v>0.0</v>
      </c>
      <c r="M241" s="19">
        <v>0.0</v>
      </c>
      <c r="N241" s="19">
        <v>1.0</v>
      </c>
      <c r="O241" s="19">
        <v>0.0</v>
      </c>
      <c r="P241" s="19">
        <v>1.0</v>
      </c>
      <c r="Q241" s="19">
        <v>1.0</v>
      </c>
      <c r="R241" s="19">
        <v>0.0</v>
      </c>
      <c r="S241" s="19">
        <v>0.0</v>
      </c>
      <c r="T241" s="19">
        <v>0.0</v>
      </c>
      <c r="U241" s="19">
        <v>0.0</v>
      </c>
      <c r="V241" s="19">
        <v>0.0</v>
      </c>
      <c r="W241" s="19">
        <v>0.0</v>
      </c>
      <c r="X241" s="19">
        <v>0.0</v>
      </c>
      <c r="Y241" s="19">
        <v>0.0</v>
      </c>
      <c r="Z241" s="19">
        <v>0.0</v>
      </c>
      <c r="AA241" s="19">
        <v>0.0</v>
      </c>
      <c r="AB241" s="19">
        <v>0.0</v>
      </c>
      <c r="AC241" s="19">
        <v>1.0</v>
      </c>
      <c r="AD241" s="19">
        <v>0.0</v>
      </c>
      <c r="AE241" s="19">
        <v>0.0</v>
      </c>
      <c r="AF241" s="19">
        <v>0.0</v>
      </c>
      <c r="AG241" s="19">
        <v>0.0</v>
      </c>
      <c r="AH241" s="19">
        <v>0.0</v>
      </c>
      <c r="AI241" s="19">
        <v>0.0</v>
      </c>
      <c r="AJ241" s="19">
        <v>0.0</v>
      </c>
      <c r="AK241" s="19">
        <v>0.0</v>
      </c>
      <c r="AL241" s="19">
        <v>0.0</v>
      </c>
      <c r="AM241" s="13">
        <f t="shared" si="46"/>
        <v>8</v>
      </c>
    </row>
    <row r="242" ht="12.75" customHeight="1">
      <c r="A242" s="18"/>
      <c r="B242" s="55">
        <v>5.0</v>
      </c>
      <c r="C242" s="50" t="s">
        <v>179</v>
      </c>
      <c r="D242" s="60"/>
      <c r="E242" s="19">
        <v>0.0</v>
      </c>
      <c r="F242" s="19">
        <v>0.0</v>
      </c>
      <c r="G242" s="19">
        <v>0.0</v>
      </c>
      <c r="H242" s="19">
        <v>0.0</v>
      </c>
      <c r="I242" s="19">
        <v>0.0</v>
      </c>
      <c r="J242" s="19">
        <v>0.0</v>
      </c>
      <c r="K242" s="19">
        <v>0.0</v>
      </c>
      <c r="L242" s="19">
        <v>0.0</v>
      </c>
      <c r="M242" s="19">
        <v>0.0</v>
      </c>
      <c r="N242" s="19">
        <v>0.0</v>
      </c>
      <c r="O242" s="19">
        <v>0.0</v>
      </c>
      <c r="P242" s="19">
        <v>0.0</v>
      </c>
      <c r="Q242" s="19">
        <v>0.0</v>
      </c>
      <c r="R242" s="19">
        <v>0.0</v>
      </c>
      <c r="S242" s="19">
        <v>0.0</v>
      </c>
      <c r="T242" s="19">
        <v>0.0</v>
      </c>
      <c r="U242" s="19">
        <v>0.0</v>
      </c>
      <c r="V242" s="19">
        <v>0.0</v>
      </c>
      <c r="W242" s="19">
        <v>0.0</v>
      </c>
      <c r="X242" s="19">
        <v>0.0</v>
      </c>
      <c r="Y242" s="19">
        <v>0.0</v>
      </c>
      <c r="Z242" s="19">
        <v>0.0</v>
      </c>
      <c r="AA242" s="19">
        <v>0.0</v>
      </c>
      <c r="AB242" s="19">
        <v>0.0</v>
      </c>
      <c r="AC242" s="19">
        <v>1.0</v>
      </c>
      <c r="AD242" s="19">
        <v>0.0</v>
      </c>
      <c r="AE242" s="19">
        <v>0.0</v>
      </c>
      <c r="AF242" s="19">
        <v>0.0</v>
      </c>
      <c r="AG242" s="19">
        <v>0.0</v>
      </c>
      <c r="AH242" s="19">
        <v>0.0</v>
      </c>
      <c r="AI242" s="19">
        <v>0.0</v>
      </c>
      <c r="AJ242" s="19">
        <v>0.0</v>
      </c>
      <c r="AK242" s="19">
        <v>0.0</v>
      </c>
      <c r="AL242" s="19">
        <v>0.0</v>
      </c>
      <c r="AM242" s="13">
        <f t="shared" si="46"/>
        <v>1</v>
      </c>
    </row>
    <row r="243" ht="12.75" customHeight="1">
      <c r="A243" s="18"/>
      <c r="B243" s="55">
        <v>6.0</v>
      </c>
      <c r="C243" s="50" t="s">
        <v>180</v>
      </c>
      <c r="D243" s="60"/>
      <c r="E243" s="19">
        <v>0.0</v>
      </c>
      <c r="F243" s="19">
        <v>0.0</v>
      </c>
      <c r="G243" s="19">
        <v>0.0</v>
      </c>
      <c r="H243" s="19">
        <v>0.0</v>
      </c>
      <c r="I243" s="19">
        <v>0.0</v>
      </c>
      <c r="J243" s="19">
        <v>0.0</v>
      </c>
      <c r="K243" s="19">
        <v>1.0</v>
      </c>
      <c r="L243" s="19">
        <v>0.0</v>
      </c>
      <c r="M243" s="19">
        <v>0.0</v>
      </c>
      <c r="N243" s="19">
        <v>0.0</v>
      </c>
      <c r="O243" s="19">
        <v>0.0</v>
      </c>
      <c r="P243" s="19">
        <v>0.0</v>
      </c>
      <c r="Q243" s="19">
        <v>0.0</v>
      </c>
      <c r="R243" s="19">
        <v>0.0</v>
      </c>
      <c r="S243" s="19">
        <v>0.0</v>
      </c>
      <c r="T243" s="19">
        <v>0.0</v>
      </c>
      <c r="U243" s="19">
        <v>0.0</v>
      </c>
      <c r="V243" s="19">
        <v>0.0</v>
      </c>
      <c r="W243" s="19">
        <v>0.0</v>
      </c>
      <c r="X243" s="19">
        <v>0.0</v>
      </c>
      <c r="Y243" s="19">
        <v>0.0</v>
      </c>
      <c r="Z243" s="19">
        <v>0.0</v>
      </c>
      <c r="AA243" s="19">
        <v>0.0</v>
      </c>
      <c r="AB243" s="19">
        <v>0.0</v>
      </c>
      <c r="AC243" s="19">
        <v>0.0</v>
      </c>
      <c r="AD243" s="19">
        <v>0.0</v>
      </c>
      <c r="AE243" s="19">
        <v>0.0</v>
      </c>
      <c r="AF243" s="19">
        <v>0.0</v>
      </c>
      <c r="AG243" s="19">
        <v>0.0</v>
      </c>
      <c r="AH243" s="19">
        <v>0.0</v>
      </c>
      <c r="AI243" s="19">
        <v>0.0</v>
      </c>
      <c r="AJ243" s="19">
        <v>0.0</v>
      </c>
      <c r="AK243" s="19">
        <v>0.0</v>
      </c>
      <c r="AL243" s="19">
        <v>0.0</v>
      </c>
      <c r="AM243" s="13">
        <f t="shared" si="46"/>
        <v>1</v>
      </c>
    </row>
    <row r="244" ht="12.75" customHeight="1">
      <c r="A244" s="18"/>
      <c r="B244" s="55">
        <v>7.0</v>
      </c>
      <c r="C244" s="50" t="s">
        <v>181</v>
      </c>
      <c r="D244" s="60"/>
      <c r="E244" s="19">
        <v>1.0</v>
      </c>
      <c r="F244" s="19">
        <v>5.0</v>
      </c>
      <c r="G244" s="19">
        <v>0.0</v>
      </c>
      <c r="H244" s="19">
        <v>0.0</v>
      </c>
      <c r="I244" s="19">
        <v>0.0</v>
      </c>
      <c r="J244" s="19">
        <v>9.0</v>
      </c>
      <c r="K244" s="19">
        <v>13.0</v>
      </c>
      <c r="L244" s="19">
        <v>3.0</v>
      </c>
      <c r="M244" s="19">
        <v>8.0</v>
      </c>
      <c r="N244" s="19">
        <v>19.0</v>
      </c>
      <c r="O244" s="19">
        <v>0.0</v>
      </c>
      <c r="P244" s="19">
        <v>0.0</v>
      </c>
      <c r="Q244" s="19">
        <v>0.0</v>
      </c>
      <c r="R244" s="19">
        <v>0.0</v>
      </c>
      <c r="S244" s="19">
        <v>0.0</v>
      </c>
      <c r="T244" s="19">
        <v>4.0</v>
      </c>
      <c r="U244" s="19">
        <v>1.0</v>
      </c>
      <c r="V244" s="19">
        <v>3.0</v>
      </c>
      <c r="W244" s="19">
        <v>0.0</v>
      </c>
      <c r="X244" s="19">
        <v>0.0</v>
      </c>
      <c r="Y244" s="19">
        <v>0.0</v>
      </c>
      <c r="Z244" s="19">
        <v>0.0</v>
      </c>
      <c r="AA244" s="19">
        <v>0.0</v>
      </c>
      <c r="AB244" s="19">
        <v>26.0</v>
      </c>
      <c r="AC244" s="19">
        <v>9.0</v>
      </c>
      <c r="AD244" s="19">
        <v>8.0</v>
      </c>
      <c r="AE244" s="19">
        <v>1.0</v>
      </c>
      <c r="AF244" s="19">
        <v>1.0</v>
      </c>
      <c r="AG244" s="19">
        <v>0.0</v>
      </c>
      <c r="AH244" s="19">
        <v>1.0</v>
      </c>
      <c r="AI244" s="19">
        <v>0.0</v>
      </c>
      <c r="AJ244" s="19">
        <v>0.0</v>
      </c>
      <c r="AK244" s="19">
        <v>0.0</v>
      </c>
      <c r="AL244" s="19">
        <v>0.0</v>
      </c>
      <c r="AM244" s="13">
        <f t="shared" si="46"/>
        <v>112</v>
      </c>
    </row>
    <row r="245" ht="12.75" customHeight="1">
      <c r="A245" s="18"/>
      <c r="B245" s="56"/>
      <c r="C245" s="57"/>
      <c r="D245" s="62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9"/>
      <c r="AB245" s="19"/>
      <c r="AC245" s="19"/>
      <c r="AD245" s="19"/>
      <c r="AE245" s="19"/>
      <c r="AF245" s="19"/>
      <c r="AG245" s="19"/>
      <c r="AH245" s="19"/>
      <c r="AI245" s="19"/>
      <c r="AJ245" s="19"/>
      <c r="AK245" s="19"/>
      <c r="AL245" s="19"/>
      <c r="AM245" s="13">
        <f t="shared" si="46"/>
        <v>0</v>
      </c>
    </row>
    <row r="246" ht="12.75" customHeight="1">
      <c r="A246" s="18"/>
      <c r="B246" s="56"/>
      <c r="C246" s="57"/>
      <c r="D246" s="62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  <c r="AA246" s="19"/>
      <c r="AB246" s="19"/>
      <c r="AC246" s="19"/>
      <c r="AD246" s="19"/>
      <c r="AE246" s="19"/>
      <c r="AF246" s="19"/>
      <c r="AG246" s="19"/>
      <c r="AH246" s="19"/>
      <c r="AI246" s="19"/>
      <c r="AJ246" s="19"/>
      <c r="AK246" s="19"/>
      <c r="AL246" s="19"/>
      <c r="AM246" s="13">
        <f t="shared" si="46"/>
        <v>0</v>
      </c>
    </row>
    <row r="247" ht="12.75" customHeight="1">
      <c r="A247" s="19" t="s">
        <v>15</v>
      </c>
      <c r="B247" s="47" t="s">
        <v>47</v>
      </c>
      <c r="C247" s="15"/>
      <c r="D247" s="16"/>
      <c r="E247" s="13">
        <f t="shared" ref="E247:AM247" si="47">SUM(E237:E246)</f>
        <v>1</v>
      </c>
      <c r="F247" s="13">
        <f t="shared" si="47"/>
        <v>8</v>
      </c>
      <c r="G247" s="13">
        <f t="shared" si="47"/>
        <v>2</v>
      </c>
      <c r="H247" s="13">
        <f t="shared" si="47"/>
        <v>2</v>
      </c>
      <c r="I247" s="13">
        <f t="shared" si="47"/>
        <v>16</v>
      </c>
      <c r="J247" s="13">
        <f t="shared" si="47"/>
        <v>16</v>
      </c>
      <c r="K247" s="13">
        <f t="shared" si="47"/>
        <v>18</v>
      </c>
      <c r="L247" s="13">
        <f t="shared" si="47"/>
        <v>12</v>
      </c>
      <c r="M247" s="13">
        <f t="shared" si="47"/>
        <v>10</v>
      </c>
      <c r="N247" s="13">
        <f t="shared" si="47"/>
        <v>28</v>
      </c>
      <c r="O247" s="13">
        <f t="shared" si="47"/>
        <v>2</v>
      </c>
      <c r="P247" s="13">
        <f t="shared" si="47"/>
        <v>16</v>
      </c>
      <c r="Q247" s="13">
        <f t="shared" si="47"/>
        <v>38</v>
      </c>
      <c r="R247" s="13">
        <f t="shared" si="47"/>
        <v>11</v>
      </c>
      <c r="S247" s="13">
        <f t="shared" si="47"/>
        <v>5</v>
      </c>
      <c r="T247" s="13">
        <f t="shared" si="47"/>
        <v>8</v>
      </c>
      <c r="U247" s="13">
        <f t="shared" si="47"/>
        <v>4</v>
      </c>
      <c r="V247" s="13">
        <f t="shared" si="47"/>
        <v>18</v>
      </c>
      <c r="W247" s="13">
        <f t="shared" si="47"/>
        <v>5</v>
      </c>
      <c r="X247" s="13">
        <f t="shared" si="47"/>
        <v>12</v>
      </c>
      <c r="Y247" s="13">
        <f t="shared" si="47"/>
        <v>1</v>
      </c>
      <c r="Z247" s="13">
        <f t="shared" si="47"/>
        <v>10</v>
      </c>
      <c r="AA247" s="13">
        <f t="shared" si="47"/>
        <v>16</v>
      </c>
      <c r="AB247" s="13">
        <f t="shared" si="47"/>
        <v>52</v>
      </c>
      <c r="AC247" s="13">
        <f t="shared" si="47"/>
        <v>16</v>
      </c>
      <c r="AD247" s="13">
        <f t="shared" si="47"/>
        <v>9</v>
      </c>
      <c r="AE247" s="13">
        <f t="shared" si="47"/>
        <v>10</v>
      </c>
      <c r="AF247" s="13">
        <f t="shared" si="47"/>
        <v>53</v>
      </c>
      <c r="AG247" s="13">
        <f t="shared" si="47"/>
        <v>0</v>
      </c>
      <c r="AH247" s="13">
        <f t="shared" si="47"/>
        <v>15</v>
      </c>
      <c r="AI247" s="13">
        <f t="shared" si="47"/>
        <v>2</v>
      </c>
      <c r="AJ247" s="13">
        <f t="shared" si="47"/>
        <v>0</v>
      </c>
      <c r="AK247" s="13">
        <f t="shared" si="47"/>
        <v>0</v>
      </c>
      <c r="AL247" s="13">
        <f t="shared" si="47"/>
        <v>0</v>
      </c>
      <c r="AM247" s="13">
        <f t="shared" si="47"/>
        <v>416</v>
      </c>
    </row>
    <row r="248" ht="12.75" customHeight="1">
      <c r="A248" s="24"/>
      <c r="B248" s="15"/>
      <c r="C248" s="15"/>
      <c r="D248" s="15"/>
      <c r="E248" s="16"/>
    </row>
    <row r="249" ht="12.75" customHeight="1">
      <c r="A249" s="30" t="s">
        <v>37</v>
      </c>
      <c r="B249" s="47" t="s">
        <v>182</v>
      </c>
      <c r="C249" s="48" t="s">
        <v>183</v>
      </c>
      <c r="D249" s="16"/>
      <c r="E249" s="19">
        <v>0.0</v>
      </c>
      <c r="F249" s="19">
        <v>0.0</v>
      </c>
      <c r="G249" s="19">
        <v>1.0</v>
      </c>
      <c r="H249" s="19">
        <v>1.0</v>
      </c>
      <c r="I249" s="19">
        <v>0.0</v>
      </c>
      <c r="J249" s="19">
        <v>0.0</v>
      </c>
      <c r="K249" s="19">
        <v>0.0</v>
      </c>
      <c r="L249" s="19">
        <v>0.0</v>
      </c>
      <c r="M249" s="19">
        <v>0.0</v>
      </c>
      <c r="N249" s="19">
        <v>1.0</v>
      </c>
      <c r="O249" s="19">
        <v>1.0</v>
      </c>
      <c r="P249" s="19">
        <v>0.0</v>
      </c>
      <c r="Q249" s="19">
        <v>0.0</v>
      </c>
      <c r="R249" s="19">
        <v>0.0</v>
      </c>
      <c r="S249" s="19">
        <v>0.0</v>
      </c>
      <c r="T249" s="19">
        <v>0.0</v>
      </c>
      <c r="U249" s="19">
        <v>0.0</v>
      </c>
      <c r="V249" s="19">
        <v>1.0</v>
      </c>
      <c r="W249" s="19">
        <v>0.0</v>
      </c>
      <c r="X249" s="19">
        <v>1.0</v>
      </c>
      <c r="Y249" s="19">
        <v>0.0</v>
      </c>
      <c r="Z249" s="19">
        <v>0.0</v>
      </c>
      <c r="AA249" s="19">
        <v>0.0</v>
      </c>
      <c r="AB249" s="19">
        <v>0.0</v>
      </c>
      <c r="AC249" s="19">
        <v>0.0</v>
      </c>
      <c r="AD249" s="19">
        <v>0.0</v>
      </c>
      <c r="AE249" s="19">
        <v>0.0</v>
      </c>
      <c r="AF249" s="19">
        <v>0.0</v>
      </c>
      <c r="AG249" s="19">
        <v>0.0</v>
      </c>
      <c r="AH249" s="19">
        <v>1.0</v>
      </c>
      <c r="AI249" s="19">
        <v>0.0</v>
      </c>
      <c r="AJ249" s="19">
        <v>0.0</v>
      </c>
      <c r="AK249" s="19">
        <v>0.0</v>
      </c>
      <c r="AL249" s="19">
        <v>2.0</v>
      </c>
      <c r="AM249" s="13">
        <f t="shared" ref="AM249:AM258" si="48">SUM(E249:AL249)</f>
        <v>9</v>
      </c>
    </row>
    <row r="250" ht="12.75" customHeight="1">
      <c r="A250" s="30" t="s">
        <v>39</v>
      </c>
      <c r="B250" s="55">
        <v>1.0</v>
      </c>
      <c r="C250" s="67" t="s">
        <v>184</v>
      </c>
      <c r="D250" s="60"/>
      <c r="E250" s="19">
        <v>0.0</v>
      </c>
      <c r="F250" s="19">
        <v>0.0</v>
      </c>
      <c r="G250" s="19">
        <v>0.0</v>
      </c>
      <c r="H250" s="19">
        <v>0.0</v>
      </c>
      <c r="I250" s="19">
        <v>0.0</v>
      </c>
      <c r="J250" s="19">
        <v>0.0</v>
      </c>
      <c r="K250" s="19">
        <v>0.0</v>
      </c>
      <c r="L250" s="19">
        <v>1.0</v>
      </c>
      <c r="M250" s="19">
        <v>0.0</v>
      </c>
      <c r="N250" s="19">
        <v>0.0</v>
      </c>
      <c r="O250" s="19">
        <v>0.0</v>
      </c>
      <c r="P250" s="19">
        <v>0.0</v>
      </c>
      <c r="Q250" s="19">
        <v>0.0</v>
      </c>
      <c r="R250" s="19">
        <v>0.0</v>
      </c>
      <c r="S250" s="19">
        <v>0.0</v>
      </c>
      <c r="T250" s="19">
        <v>0.0</v>
      </c>
      <c r="U250" s="19">
        <v>0.0</v>
      </c>
      <c r="V250" s="19">
        <v>0.0</v>
      </c>
      <c r="W250" s="19">
        <v>0.0</v>
      </c>
      <c r="X250" s="19">
        <v>0.0</v>
      </c>
      <c r="Y250" s="19">
        <v>0.0</v>
      </c>
      <c r="Z250" s="19">
        <v>0.0</v>
      </c>
      <c r="AA250" s="19">
        <v>0.0</v>
      </c>
      <c r="AB250" s="19">
        <v>0.0</v>
      </c>
      <c r="AC250" s="19">
        <v>0.0</v>
      </c>
      <c r="AD250" s="19">
        <v>0.0</v>
      </c>
      <c r="AE250" s="19">
        <v>0.0</v>
      </c>
      <c r="AF250" s="19">
        <v>0.0</v>
      </c>
      <c r="AG250" s="19">
        <v>0.0</v>
      </c>
      <c r="AH250" s="19">
        <v>0.0</v>
      </c>
      <c r="AI250" s="19">
        <v>0.0</v>
      </c>
      <c r="AJ250" s="19">
        <v>0.0</v>
      </c>
      <c r="AK250" s="19">
        <v>0.0</v>
      </c>
      <c r="AL250" s="19">
        <v>0.0</v>
      </c>
      <c r="AM250" s="13">
        <f t="shared" si="48"/>
        <v>1</v>
      </c>
    </row>
    <row r="251" ht="12.75" customHeight="1">
      <c r="A251" s="18"/>
      <c r="B251" s="55">
        <v>2.0</v>
      </c>
      <c r="C251" s="67" t="s">
        <v>185</v>
      </c>
      <c r="D251" s="60"/>
      <c r="E251" s="19">
        <v>0.0</v>
      </c>
      <c r="F251" s="19">
        <v>0.0</v>
      </c>
      <c r="G251" s="19">
        <v>0.0</v>
      </c>
      <c r="H251" s="19">
        <v>0.0</v>
      </c>
      <c r="I251" s="19">
        <v>0.0</v>
      </c>
      <c r="J251" s="19">
        <v>0.0</v>
      </c>
      <c r="K251" s="19">
        <v>0.0</v>
      </c>
      <c r="L251" s="19">
        <v>0.0</v>
      </c>
      <c r="M251" s="19">
        <v>0.0</v>
      </c>
      <c r="N251" s="19">
        <v>0.0</v>
      </c>
      <c r="O251" s="19">
        <v>0.0</v>
      </c>
      <c r="P251" s="19">
        <v>0.0</v>
      </c>
      <c r="Q251" s="19">
        <v>0.0</v>
      </c>
      <c r="R251" s="19">
        <v>0.0</v>
      </c>
      <c r="S251" s="19">
        <v>0.0</v>
      </c>
      <c r="T251" s="19">
        <v>0.0</v>
      </c>
      <c r="U251" s="19">
        <v>0.0</v>
      </c>
      <c r="V251" s="19">
        <v>0.0</v>
      </c>
      <c r="W251" s="19">
        <v>0.0</v>
      </c>
      <c r="X251" s="19">
        <v>0.0</v>
      </c>
      <c r="Y251" s="19">
        <v>0.0</v>
      </c>
      <c r="Z251" s="19">
        <v>0.0</v>
      </c>
      <c r="AA251" s="19">
        <v>0.0</v>
      </c>
      <c r="AB251" s="19">
        <v>0.0</v>
      </c>
      <c r="AC251" s="19">
        <v>0.0</v>
      </c>
      <c r="AD251" s="19">
        <v>0.0</v>
      </c>
      <c r="AE251" s="19">
        <v>0.0</v>
      </c>
      <c r="AF251" s="19">
        <v>0.0</v>
      </c>
      <c r="AG251" s="19">
        <v>0.0</v>
      </c>
      <c r="AH251" s="19">
        <v>0.0</v>
      </c>
      <c r="AI251" s="19">
        <v>0.0</v>
      </c>
      <c r="AJ251" s="19">
        <v>0.0</v>
      </c>
      <c r="AK251" s="19">
        <v>0.0</v>
      </c>
      <c r="AL251" s="19">
        <v>0.0</v>
      </c>
      <c r="AM251" s="13">
        <f t="shared" si="48"/>
        <v>0</v>
      </c>
    </row>
    <row r="252" ht="12.75" customHeight="1">
      <c r="A252" s="18"/>
      <c r="B252" s="55">
        <v>3.0</v>
      </c>
      <c r="C252" s="67" t="s">
        <v>186</v>
      </c>
      <c r="D252" s="60"/>
      <c r="E252" s="19">
        <v>0.0</v>
      </c>
      <c r="F252" s="19">
        <v>0.0</v>
      </c>
      <c r="G252" s="19">
        <v>0.0</v>
      </c>
      <c r="H252" s="19">
        <v>0.0</v>
      </c>
      <c r="I252" s="19">
        <v>0.0</v>
      </c>
      <c r="J252" s="19">
        <v>0.0</v>
      </c>
      <c r="K252" s="19">
        <v>1.0</v>
      </c>
      <c r="L252" s="19">
        <v>0.0</v>
      </c>
      <c r="M252" s="19">
        <v>0.0</v>
      </c>
      <c r="N252" s="19">
        <v>0.0</v>
      </c>
      <c r="O252" s="19">
        <v>1.0</v>
      </c>
      <c r="P252" s="19">
        <v>0.0</v>
      </c>
      <c r="Q252" s="19">
        <v>0.0</v>
      </c>
      <c r="R252" s="19">
        <v>0.0</v>
      </c>
      <c r="S252" s="19">
        <v>0.0</v>
      </c>
      <c r="T252" s="19">
        <v>0.0</v>
      </c>
      <c r="U252" s="19">
        <v>0.0</v>
      </c>
      <c r="V252" s="19">
        <v>0.0</v>
      </c>
      <c r="W252" s="19">
        <v>0.0</v>
      </c>
      <c r="X252" s="19">
        <v>0.0</v>
      </c>
      <c r="Y252" s="19">
        <v>0.0</v>
      </c>
      <c r="Z252" s="19">
        <v>0.0</v>
      </c>
      <c r="AA252" s="19">
        <v>0.0</v>
      </c>
      <c r="AB252" s="19">
        <v>0.0</v>
      </c>
      <c r="AC252" s="19">
        <v>0.0</v>
      </c>
      <c r="AD252" s="19">
        <v>0.0</v>
      </c>
      <c r="AE252" s="19">
        <v>0.0</v>
      </c>
      <c r="AF252" s="19">
        <v>0.0</v>
      </c>
      <c r="AG252" s="19">
        <v>0.0</v>
      </c>
      <c r="AH252" s="19">
        <v>0.0</v>
      </c>
      <c r="AI252" s="19">
        <v>0.0</v>
      </c>
      <c r="AJ252" s="19">
        <v>0.0</v>
      </c>
      <c r="AK252" s="19">
        <v>0.0</v>
      </c>
      <c r="AL252" s="19">
        <v>0.0</v>
      </c>
      <c r="AM252" s="13">
        <f t="shared" si="48"/>
        <v>2</v>
      </c>
    </row>
    <row r="253" ht="12.75" customHeight="1">
      <c r="A253" s="18"/>
      <c r="B253" s="55">
        <v>4.0</v>
      </c>
      <c r="C253" s="67" t="s">
        <v>187</v>
      </c>
      <c r="D253" s="60"/>
      <c r="E253" s="19">
        <v>0.0</v>
      </c>
      <c r="F253" s="19">
        <v>0.0</v>
      </c>
      <c r="G253" s="19">
        <v>0.0</v>
      </c>
      <c r="H253" s="19">
        <v>0.0</v>
      </c>
      <c r="I253" s="19">
        <v>0.0</v>
      </c>
      <c r="J253" s="19">
        <v>0.0</v>
      </c>
      <c r="K253" s="19">
        <v>0.0</v>
      </c>
      <c r="L253" s="19">
        <v>0.0</v>
      </c>
      <c r="M253" s="19">
        <v>0.0</v>
      </c>
      <c r="N253" s="19">
        <v>0.0</v>
      </c>
      <c r="O253" s="19">
        <v>1.0</v>
      </c>
      <c r="P253" s="19">
        <v>0.0</v>
      </c>
      <c r="Q253" s="19">
        <v>0.0</v>
      </c>
      <c r="R253" s="19">
        <v>0.0</v>
      </c>
      <c r="S253" s="19">
        <v>0.0</v>
      </c>
      <c r="T253" s="19">
        <v>0.0</v>
      </c>
      <c r="U253" s="19">
        <v>0.0</v>
      </c>
      <c r="V253" s="19">
        <v>0.0</v>
      </c>
      <c r="W253" s="19">
        <v>0.0</v>
      </c>
      <c r="X253" s="19">
        <v>0.0</v>
      </c>
      <c r="Y253" s="19">
        <v>0.0</v>
      </c>
      <c r="Z253" s="19">
        <v>0.0</v>
      </c>
      <c r="AA253" s="19">
        <v>0.0</v>
      </c>
      <c r="AB253" s="19">
        <v>0.0</v>
      </c>
      <c r="AC253" s="19">
        <v>0.0</v>
      </c>
      <c r="AD253" s="19">
        <v>0.0</v>
      </c>
      <c r="AE253" s="19">
        <v>0.0</v>
      </c>
      <c r="AF253" s="19">
        <v>0.0</v>
      </c>
      <c r="AG253" s="19">
        <v>0.0</v>
      </c>
      <c r="AH253" s="19">
        <v>0.0</v>
      </c>
      <c r="AI253" s="19">
        <v>0.0</v>
      </c>
      <c r="AJ253" s="19">
        <v>0.0</v>
      </c>
      <c r="AK253" s="19">
        <v>0.0</v>
      </c>
      <c r="AL253" s="19">
        <v>0.0</v>
      </c>
      <c r="AM253" s="13">
        <f t="shared" si="48"/>
        <v>1</v>
      </c>
    </row>
    <row r="254" ht="12.75" customHeight="1">
      <c r="A254" s="18"/>
      <c r="B254" s="55">
        <v>5.0</v>
      </c>
      <c r="C254" s="67" t="s">
        <v>188</v>
      </c>
      <c r="D254" s="60"/>
      <c r="E254" s="19">
        <v>0.0</v>
      </c>
      <c r="F254" s="19">
        <v>0.0</v>
      </c>
      <c r="G254" s="19">
        <v>0.0</v>
      </c>
      <c r="H254" s="19">
        <v>0.0</v>
      </c>
      <c r="I254" s="19">
        <v>0.0</v>
      </c>
      <c r="J254" s="19">
        <v>0.0</v>
      </c>
      <c r="K254" s="19">
        <v>0.0</v>
      </c>
      <c r="L254" s="19">
        <v>0.0</v>
      </c>
      <c r="M254" s="19">
        <v>0.0</v>
      </c>
      <c r="N254" s="19">
        <v>0.0</v>
      </c>
      <c r="O254" s="19">
        <v>0.0</v>
      </c>
      <c r="P254" s="19">
        <v>0.0</v>
      </c>
      <c r="Q254" s="19">
        <v>0.0</v>
      </c>
      <c r="R254" s="19">
        <v>0.0</v>
      </c>
      <c r="S254" s="19">
        <v>0.0</v>
      </c>
      <c r="T254" s="19">
        <v>0.0</v>
      </c>
      <c r="U254" s="19">
        <v>0.0</v>
      </c>
      <c r="V254" s="19">
        <v>0.0</v>
      </c>
      <c r="W254" s="19">
        <v>0.0</v>
      </c>
      <c r="X254" s="19">
        <v>0.0</v>
      </c>
      <c r="Y254" s="19">
        <v>0.0</v>
      </c>
      <c r="Z254" s="19">
        <v>0.0</v>
      </c>
      <c r="AA254" s="19">
        <v>0.0</v>
      </c>
      <c r="AB254" s="19">
        <v>0.0</v>
      </c>
      <c r="AC254" s="19">
        <v>0.0</v>
      </c>
      <c r="AD254" s="19">
        <v>0.0</v>
      </c>
      <c r="AE254" s="19">
        <v>0.0</v>
      </c>
      <c r="AF254" s="19">
        <v>0.0</v>
      </c>
      <c r="AG254" s="19">
        <v>1.0</v>
      </c>
      <c r="AH254" s="19">
        <v>0.0</v>
      </c>
      <c r="AI254" s="19">
        <v>0.0</v>
      </c>
      <c r="AJ254" s="19">
        <v>0.0</v>
      </c>
      <c r="AK254" s="19">
        <v>0.0</v>
      </c>
      <c r="AL254" s="19">
        <v>0.0</v>
      </c>
      <c r="AM254" s="13">
        <f t="shared" si="48"/>
        <v>1</v>
      </c>
    </row>
    <row r="255" ht="12.75" customHeight="1">
      <c r="A255" s="18"/>
      <c r="B255" s="55">
        <v>6.0</v>
      </c>
      <c r="C255" s="67" t="s">
        <v>189</v>
      </c>
      <c r="D255" s="60"/>
      <c r="E255" s="19">
        <v>0.0</v>
      </c>
      <c r="F255" s="19">
        <v>0.0</v>
      </c>
      <c r="G255" s="19">
        <v>0.0</v>
      </c>
      <c r="H255" s="19">
        <v>0.0</v>
      </c>
      <c r="I255" s="19">
        <v>0.0</v>
      </c>
      <c r="J255" s="19">
        <v>0.0</v>
      </c>
      <c r="K255" s="19">
        <v>0.0</v>
      </c>
      <c r="L255" s="19">
        <v>0.0</v>
      </c>
      <c r="M255" s="19">
        <v>0.0</v>
      </c>
      <c r="N255" s="19">
        <v>0.0</v>
      </c>
      <c r="O255" s="19">
        <v>0.0</v>
      </c>
      <c r="P255" s="19">
        <v>0.0</v>
      </c>
      <c r="Q255" s="19">
        <v>0.0</v>
      </c>
      <c r="R255" s="19">
        <v>0.0</v>
      </c>
      <c r="S255" s="19">
        <v>0.0</v>
      </c>
      <c r="T255" s="19">
        <v>0.0</v>
      </c>
      <c r="U255" s="19">
        <v>0.0</v>
      </c>
      <c r="V255" s="19">
        <v>0.0</v>
      </c>
      <c r="W255" s="19">
        <v>0.0</v>
      </c>
      <c r="X255" s="19">
        <v>0.0</v>
      </c>
      <c r="Y255" s="19">
        <v>0.0</v>
      </c>
      <c r="Z255" s="19">
        <v>0.0</v>
      </c>
      <c r="AA255" s="19">
        <v>0.0</v>
      </c>
      <c r="AB255" s="19">
        <v>0.0</v>
      </c>
      <c r="AC255" s="19">
        <v>0.0</v>
      </c>
      <c r="AD255" s="19">
        <v>0.0</v>
      </c>
      <c r="AE255" s="19">
        <v>1.0</v>
      </c>
      <c r="AF255" s="19">
        <v>0.0</v>
      </c>
      <c r="AG255" s="19">
        <v>0.0</v>
      </c>
      <c r="AH255" s="19">
        <v>0.0</v>
      </c>
      <c r="AI255" s="19">
        <v>0.0</v>
      </c>
      <c r="AJ255" s="19">
        <v>0.0</v>
      </c>
      <c r="AK255" s="19">
        <v>0.0</v>
      </c>
      <c r="AL255" s="19">
        <v>0.0</v>
      </c>
      <c r="AM255" s="13">
        <f t="shared" si="48"/>
        <v>1</v>
      </c>
    </row>
    <row r="256" ht="12.75" customHeight="1">
      <c r="A256" s="18"/>
      <c r="B256" s="56"/>
      <c r="C256" s="68"/>
      <c r="D256" s="62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  <c r="AA256" s="19"/>
      <c r="AB256" s="19"/>
      <c r="AC256" s="19"/>
      <c r="AD256" s="19"/>
      <c r="AE256" s="19"/>
      <c r="AF256" s="19"/>
      <c r="AG256" s="19"/>
      <c r="AH256" s="19"/>
      <c r="AI256" s="19"/>
      <c r="AJ256" s="19"/>
      <c r="AK256" s="19"/>
      <c r="AL256" s="19"/>
      <c r="AM256" s="13">
        <f t="shared" si="48"/>
        <v>0</v>
      </c>
    </row>
    <row r="257" ht="12.75" customHeight="1">
      <c r="A257" s="18"/>
      <c r="B257" s="56"/>
      <c r="C257" s="68"/>
      <c r="D257" s="62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  <c r="AA257" s="19"/>
      <c r="AB257" s="19"/>
      <c r="AC257" s="19"/>
      <c r="AD257" s="19"/>
      <c r="AE257" s="19"/>
      <c r="AF257" s="19"/>
      <c r="AG257" s="19"/>
      <c r="AH257" s="19"/>
      <c r="AI257" s="19"/>
      <c r="AJ257" s="19"/>
      <c r="AK257" s="19"/>
      <c r="AL257" s="19"/>
      <c r="AM257" s="13">
        <f t="shared" si="48"/>
        <v>0</v>
      </c>
    </row>
    <row r="258" ht="12.75" customHeight="1">
      <c r="A258" s="18"/>
      <c r="B258" s="56"/>
      <c r="C258" s="68"/>
      <c r="D258" s="62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  <c r="AE258" s="19"/>
      <c r="AF258" s="19"/>
      <c r="AG258" s="19"/>
      <c r="AH258" s="19"/>
      <c r="AI258" s="19"/>
      <c r="AJ258" s="19"/>
      <c r="AK258" s="19"/>
      <c r="AL258" s="19"/>
      <c r="AM258" s="13">
        <f t="shared" si="48"/>
        <v>0</v>
      </c>
    </row>
    <row r="259" ht="12.75" customHeight="1">
      <c r="A259" s="19" t="s">
        <v>15</v>
      </c>
      <c r="B259" s="47" t="s">
        <v>47</v>
      </c>
      <c r="C259" s="15"/>
      <c r="D259" s="16"/>
      <c r="E259" s="13">
        <f t="shared" ref="E259:AM259" si="49">SUM(E249:E258)</f>
        <v>0</v>
      </c>
      <c r="F259" s="13">
        <f t="shared" si="49"/>
        <v>0</v>
      </c>
      <c r="G259" s="13">
        <f t="shared" si="49"/>
        <v>1</v>
      </c>
      <c r="H259" s="13">
        <f t="shared" si="49"/>
        <v>1</v>
      </c>
      <c r="I259" s="13">
        <f t="shared" si="49"/>
        <v>0</v>
      </c>
      <c r="J259" s="13">
        <f t="shared" si="49"/>
        <v>0</v>
      </c>
      <c r="K259" s="13">
        <f t="shared" si="49"/>
        <v>1</v>
      </c>
      <c r="L259" s="13">
        <f t="shared" si="49"/>
        <v>1</v>
      </c>
      <c r="M259" s="13">
        <f t="shared" si="49"/>
        <v>0</v>
      </c>
      <c r="N259" s="13">
        <f t="shared" si="49"/>
        <v>1</v>
      </c>
      <c r="O259" s="13">
        <f t="shared" si="49"/>
        <v>3</v>
      </c>
      <c r="P259" s="13">
        <f t="shared" si="49"/>
        <v>0</v>
      </c>
      <c r="Q259" s="13">
        <f t="shared" si="49"/>
        <v>0</v>
      </c>
      <c r="R259" s="13">
        <f t="shared" si="49"/>
        <v>0</v>
      </c>
      <c r="S259" s="13">
        <f t="shared" si="49"/>
        <v>0</v>
      </c>
      <c r="T259" s="13">
        <f t="shared" si="49"/>
        <v>0</v>
      </c>
      <c r="U259" s="13">
        <f t="shared" si="49"/>
        <v>0</v>
      </c>
      <c r="V259" s="13">
        <f t="shared" si="49"/>
        <v>1</v>
      </c>
      <c r="W259" s="13">
        <f t="shared" si="49"/>
        <v>0</v>
      </c>
      <c r="X259" s="13">
        <f t="shared" si="49"/>
        <v>1</v>
      </c>
      <c r="Y259" s="13">
        <f t="shared" si="49"/>
        <v>0</v>
      </c>
      <c r="Z259" s="13">
        <f t="shared" si="49"/>
        <v>0</v>
      </c>
      <c r="AA259" s="13">
        <f t="shared" si="49"/>
        <v>0</v>
      </c>
      <c r="AB259" s="13">
        <f t="shared" si="49"/>
        <v>0</v>
      </c>
      <c r="AC259" s="13">
        <f t="shared" si="49"/>
        <v>0</v>
      </c>
      <c r="AD259" s="13">
        <f t="shared" si="49"/>
        <v>0</v>
      </c>
      <c r="AE259" s="13">
        <f t="shared" si="49"/>
        <v>1</v>
      </c>
      <c r="AF259" s="13">
        <f t="shared" si="49"/>
        <v>0</v>
      </c>
      <c r="AG259" s="13">
        <f t="shared" si="49"/>
        <v>1</v>
      </c>
      <c r="AH259" s="13">
        <f t="shared" si="49"/>
        <v>1</v>
      </c>
      <c r="AI259" s="13">
        <f t="shared" si="49"/>
        <v>0</v>
      </c>
      <c r="AJ259" s="13">
        <f t="shared" si="49"/>
        <v>0</v>
      </c>
      <c r="AK259" s="13">
        <f t="shared" si="49"/>
        <v>0</v>
      </c>
      <c r="AL259" s="13">
        <f t="shared" si="49"/>
        <v>2</v>
      </c>
      <c r="AM259" s="13">
        <f t="shared" si="49"/>
        <v>15</v>
      </c>
    </row>
    <row r="260" ht="12.75" customHeight="1"/>
    <row r="261" ht="12.75" customHeight="1">
      <c r="A261" s="42" t="s">
        <v>190</v>
      </c>
      <c r="B261" s="14" t="s">
        <v>191</v>
      </c>
      <c r="C261" s="15"/>
      <c r="D261" s="16"/>
      <c r="E261" s="13"/>
      <c r="F261" s="13"/>
      <c r="G261" s="13"/>
      <c r="H261" s="13"/>
      <c r="I261" s="13"/>
      <c r="J261" s="13"/>
      <c r="K261" s="13"/>
      <c r="L261" s="13"/>
      <c r="M261" s="13"/>
      <c r="N261" s="78"/>
      <c r="O261" s="78"/>
      <c r="P261" s="78"/>
      <c r="Q261" s="78"/>
      <c r="R261" s="78"/>
      <c r="S261" s="78"/>
      <c r="T261" s="13"/>
      <c r="U261" s="13"/>
      <c r="V261" s="13"/>
      <c r="W261" s="13"/>
      <c r="X261" s="13"/>
      <c r="Y261" s="13"/>
      <c r="Z261" s="13"/>
      <c r="AA261" s="13"/>
      <c r="AB261" s="78"/>
      <c r="AC261" s="78"/>
      <c r="AD261" s="78"/>
      <c r="AE261" s="78"/>
      <c r="AF261" s="78"/>
      <c r="AG261" s="78"/>
      <c r="AH261" s="78"/>
      <c r="AI261" s="78"/>
      <c r="AJ261" s="78"/>
      <c r="AK261" s="78"/>
      <c r="AL261" s="78"/>
      <c r="AM261" s="13"/>
    </row>
    <row r="262" ht="12.75" customHeight="1">
      <c r="A262" s="42"/>
      <c r="B262" s="71" t="s">
        <v>192</v>
      </c>
      <c r="C262" s="72" t="s">
        <v>193</v>
      </c>
      <c r="D262" s="16"/>
      <c r="E262" s="19">
        <f t="shared" ref="E262:AL262" si="50">E55+E67+E79+E91+E103+E115+E127+E139+E151+E163+E175+E187+E199+E211+E223+E235+E247+E259</f>
        <v>156</v>
      </c>
      <c r="F262" s="19">
        <f t="shared" si="50"/>
        <v>179</v>
      </c>
      <c r="G262" s="19">
        <f t="shared" si="50"/>
        <v>200</v>
      </c>
      <c r="H262" s="19">
        <f t="shared" si="50"/>
        <v>218</v>
      </c>
      <c r="I262" s="19">
        <f t="shared" si="50"/>
        <v>197</v>
      </c>
      <c r="J262" s="19">
        <f t="shared" si="50"/>
        <v>201</v>
      </c>
      <c r="K262" s="19">
        <f t="shared" si="50"/>
        <v>202</v>
      </c>
      <c r="L262" s="19">
        <f t="shared" si="50"/>
        <v>172</v>
      </c>
      <c r="M262" s="19">
        <f t="shared" si="50"/>
        <v>179</v>
      </c>
      <c r="N262" s="19">
        <f t="shared" si="50"/>
        <v>175</v>
      </c>
      <c r="O262" s="19">
        <f t="shared" si="50"/>
        <v>180</v>
      </c>
      <c r="P262" s="19">
        <f t="shared" si="50"/>
        <v>193</v>
      </c>
      <c r="Q262" s="19">
        <f t="shared" si="50"/>
        <v>218</v>
      </c>
      <c r="R262" s="19">
        <f t="shared" si="50"/>
        <v>184</v>
      </c>
      <c r="S262" s="19">
        <f t="shared" si="50"/>
        <v>215</v>
      </c>
      <c r="T262" s="19">
        <f t="shared" si="50"/>
        <v>192</v>
      </c>
      <c r="U262" s="19">
        <f t="shared" si="50"/>
        <v>164</v>
      </c>
      <c r="V262" s="19">
        <f t="shared" si="50"/>
        <v>210</v>
      </c>
      <c r="W262" s="19">
        <f t="shared" si="50"/>
        <v>160</v>
      </c>
      <c r="X262" s="19">
        <f t="shared" si="50"/>
        <v>163</v>
      </c>
      <c r="Y262" s="19">
        <f t="shared" si="50"/>
        <v>120</v>
      </c>
      <c r="Z262" s="19">
        <f t="shared" si="50"/>
        <v>186</v>
      </c>
      <c r="AA262" s="19">
        <f t="shared" si="50"/>
        <v>196</v>
      </c>
      <c r="AB262" s="19">
        <f t="shared" si="50"/>
        <v>211</v>
      </c>
      <c r="AC262" s="19">
        <f t="shared" si="50"/>
        <v>167</v>
      </c>
      <c r="AD262" s="19">
        <f t="shared" si="50"/>
        <v>200</v>
      </c>
      <c r="AE262" s="19">
        <f t="shared" si="50"/>
        <v>153</v>
      </c>
      <c r="AF262" s="19">
        <f t="shared" si="50"/>
        <v>170</v>
      </c>
      <c r="AG262" s="19">
        <f t="shared" si="50"/>
        <v>191</v>
      </c>
      <c r="AH262" s="19">
        <f t="shared" si="50"/>
        <v>151</v>
      </c>
      <c r="AI262" s="19">
        <f t="shared" si="50"/>
        <v>156</v>
      </c>
      <c r="AJ262" s="19">
        <f t="shared" si="50"/>
        <v>200</v>
      </c>
      <c r="AK262" s="19">
        <f t="shared" si="50"/>
        <v>157</v>
      </c>
      <c r="AL262" s="19">
        <f t="shared" si="50"/>
        <v>150</v>
      </c>
      <c r="AM262" s="13">
        <f t="shared" ref="AM262:AM264" si="51">SUM(E262:AL262)</f>
        <v>6166</v>
      </c>
    </row>
    <row r="263" ht="12.75" customHeight="1">
      <c r="A263" s="35"/>
      <c r="B263" s="71" t="s">
        <v>194</v>
      </c>
      <c r="C263" s="72" t="s">
        <v>195</v>
      </c>
      <c r="D263" s="16"/>
      <c r="E263" s="19">
        <v>22.0</v>
      </c>
      <c r="F263" s="19">
        <v>12.0</v>
      </c>
      <c r="G263" s="19">
        <v>22.0</v>
      </c>
      <c r="H263" s="19">
        <v>6.0</v>
      </c>
      <c r="I263" s="19">
        <v>13.0</v>
      </c>
      <c r="J263" s="19">
        <v>13.0</v>
      </c>
      <c r="K263" s="19">
        <v>9.0</v>
      </c>
      <c r="L263" s="19">
        <v>15.0</v>
      </c>
      <c r="M263" s="19">
        <v>22.0</v>
      </c>
      <c r="N263" s="19">
        <v>23.0</v>
      </c>
      <c r="O263" s="19">
        <v>12.0</v>
      </c>
      <c r="P263" s="19">
        <v>10.0</v>
      </c>
      <c r="Q263" s="19">
        <v>9.0</v>
      </c>
      <c r="R263" s="19">
        <v>19.0</v>
      </c>
      <c r="S263" s="19">
        <v>24.0</v>
      </c>
      <c r="T263" s="19">
        <v>14.0</v>
      </c>
      <c r="U263" s="19">
        <v>18.0</v>
      </c>
      <c r="V263" s="19">
        <v>15.0</v>
      </c>
      <c r="W263" s="19">
        <v>15.0</v>
      </c>
      <c r="X263" s="19">
        <v>19.0</v>
      </c>
      <c r="Y263" s="19">
        <v>18.0</v>
      </c>
      <c r="Z263" s="19">
        <v>11.0</v>
      </c>
      <c r="AA263" s="19">
        <v>11.0</v>
      </c>
      <c r="AB263" s="19">
        <v>15.0</v>
      </c>
      <c r="AC263" s="19">
        <v>25.0</v>
      </c>
      <c r="AD263" s="19">
        <v>18.0</v>
      </c>
      <c r="AE263" s="19">
        <v>17.0</v>
      </c>
      <c r="AF263" s="19">
        <v>7.0</v>
      </c>
      <c r="AG263" s="19">
        <v>20.0</v>
      </c>
      <c r="AH263" s="19">
        <v>11.0</v>
      </c>
      <c r="AI263" s="19">
        <v>22.0</v>
      </c>
      <c r="AJ263" s="19">
        <v>6.0</v>
      </c>
      <c r="AK263" s="19">
        <v>5.0</v>
      </c>
      <c r="AL263" s="19">
        <v>2.0</v>
      </c>
      <c r="AM263" s="13">
        <f t="shared" si="51"/>
        <v>500</v>
      </c>
    </row>
    <row r="264" ht="12.75" customHeight="1">
      <c r="A264" s="41"/>
      <c r="B264" s="71" t="s">
        <v>196</v>
      </c>
      <c r="C264" s="72" t="s">
        <v>197</v>
      </c>
      <c r="D264" s="16"/>
      <c r="E264" s="13">
        <f t="shared" ref="E264:AL264" si="52">SUM(E262:E263)</f>
        <v>178</v>
      </c>
      <c r="F264" s="13">
        <f t="shared" si="52"/>
        <v>191</v>
      </c>
      <c r="G264" s="13">
        <f t="shared" si="52"/>
        <v>222</v>
      </c>
      <c r="H264" s="13">
        <f t="shared" si="52"/>
        <v>224</v>
      </c>
      <c r="I264" s="13">
        <f t="shared" si="52"/>
        <v>210</v>
      </c>
      <c r="J264" s="13">
        <f t="shared" si="52"/>
        <v>214</v>
      </c>
      <c r="K264" s="13">
        <f t="shared" si="52"/>
        <v>211</v>
      </c>
      <c r="L264" s="13">
        <f t="shared" si="52"/>
        <v>187</v>
      </c>
      <c r="M264" s="13">
        <f t="shared" si="52"/>
        <v>201</v>
      </c>
      <c r="N264" s="13">
        <f t="shared" si="52"/>
        <v>198</v>
      </c>
      <c r="O264" s="13">
        <f t="shared" si="52"/>
        <v>192</v>
      </c>
      <c r="P264" s="13">
        <f t="shared" si="52"/>
        <v>203</v>
      </c>
      <c r="Q264" s="13">
        <f t="shared" si="52"/>
        <v>227</v>
      </c>
      <c r="R264" s="13">
        <f t="shared" si="52"/>
        <v>203</v>
      </c>
      <c r="S264" s="13">
        <f t="shared" si="52"/>
        <v>239</v>
      </c>
      <c r="T264" s="13">
        <f t="shared" si="52"/>
        <v>206</v>
      </c>
      <c r="U264" s="13">
        <f t="shared" si="52"/>
        <v>182</v>
      </c>
      <c r="V264" s="13">
        <f t="shared" si="52"/>
        <v>225</v>
      </c>
      <c r="W264" s="13">
        <f t="shared" si="52"/>
        <v>175</v>
      </c>
      <c r="X264" s="13">
        <f t="shared" si="52"/>
        <v>182</v>
      </c>
      <c r="Y264" s="13">
        <f t="shared" si="52"/>
        <v>138</v>
      </c>
      <c r="Z264" s="13">
        <f t="shared" si="52"/>
        <v>197</v>
      </c>
      <c r="AA264" s="13">
        <f t="shared" si="52"/>
        <v>207</v>
      </c>
      <c r="AB264" s="13">
        <f t="shared" si="52"/>
        <v>226</v>
      </c>
      <c r="AC264" s="13">
        <f t="shared" si="52"/>
        <v>192</v>
      </c>
      <c r="AD264" s="13">
        <f t="shared" si="52"/>
        <v>218</v>
      </c>
      <c r="AE264" s="13">
        <f t="shared" si="52"/>
        <v>170</v>
      </c>
      <c r="AF264" s="13">
        <f t="shared" si="52"/>
        <v>177</v>
      </c>
      <c r="AG264" s="13">
        <f t="shared" si="52"/>
        <v>211</v>
      </c>
      <c r="AH264" s="13">
        <f t="shared" si="52"/>
        <v>162</v>
      </c>
      <c r="AI264" s="13">
        <f t="shared" si="52"/>
        <v>178</v>
      </c>
      <c r="AJ264" s="13">
        <f t="shared" si="52"/>
        <v>206</v>
      </c>
      <c r="AK264" s="13">
        <f t="shared" si="52"/>
        <v>162</v>
      </c>
      <c r="AL264" s="13">
        <f t="shared" si="52"/>
        <v>152</v>
      </c>
      <c r="AM264" s="13">
        <f t="shared" si="51"/>
        <v>6666</v>
      </c>
    </row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93">
    <mergeCell ref="B55:D55"/>
    <mergeCell ref="A56:E56"/>
    <mergeCell ref="C57:D57"/>
    <mergeCell ref="B67:D67"/>
    <mergeCell ref="A68:E68"/>
    <mergeCell ref="C69:D69"/>
    <mergeCell ref="B79:D79"/>
    <mergeCell ref="A80:E80"/>
    <mergeCell ref="C81:D81"/>
    <mergeCell ref="B91:D91"/>
    <mergeCell ref="A92:E92"/>
    <mergeCell ref="C93:D93"/>
    <mergeCell ref="B103:D103"/>
    <mergeCell ref="A104:E104"/>
    <mergeCell ref="B127:D127"/>
    <mergeCell ref="A128:E128"/>
    <mergeCell ref="C129:D129"/>
    <mergeCell ref="B139:D139"/>
    <mergeCell ref="A140:E140"/>
    <mergeCell ref="C141:D141"/>
    <mergeCell ref="B151:D151"/>
    <mergeCell ref="A152:E152"/>
    <mergeCell ref="C153:D153"/>
    <mergeCell ref="B163:D163"/>
    <mergeCell ref="A164:E164"/>
    <mergeCell ref="C165:D165"/>
    <mergeCell ref="B175:D175"/>
    <mergeCell ref="A176:E176"/>
    <mergeCell ref="C177:D177"/>
    <mergeCell ref="B187:D187"/>
    <mergeCell ref="A188:E188"/>
    <mergeCell ref="C189:D189"/>
    <mergeCell ref="B199:D199"/>
    <mergeCell ref="A200:E200"/>
    <mergeCell ref="C201:D201"/>
    <mergeCell ref="B211:D211"/>
    <mergeCell ref="A212:E212"/>
    <mergeCell ref="C213:D213"/>
    <mergeCell ref="B223:D223"/>
    <mergeCell ref="A224:E224"/>
    <mergeCell ref="C225:D225"/>
    <mergeCell ref="B235:D235"/>
    <mergeCell ref="C262:D262"/>
    <mergeCell ref="C263:D263"/>
    <mergeCell ref="C264:D264"/>
    <mergeCell ref="A236:E236"/>
    <mergeCell ref="C237:D237"/>
    <mergeCell ref="B247:D247"/>
    <mergeCell ref="A248:E248"/>
    <mergeCell ref="C249:D249"/>
    <mergeCell ref="B259:D259"/>
    <mergeCell ref="B261:D261"/>
    <mergeCell ref="B12:D12"/>
    <mergeCell ref="E12:AL12"/>
    <mergeCell ref="AM12:AM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W37"/>
    <mergeCell ref="C28:C30"/>
    <mergeCell ref="A31:D31"/>
    <mergeCell ref="B32:D32"/>
    <mergeCell ref="B33:D33"/>
    <mergeCell ref="B34:D34"/>
    <mergeCell ref="B35:D35"/>
    <mergeCell ref="B36:D36"/>
    <mergeCell ref="B38:D38"/>
    <mergeCell ref="B39:C41"/>
    <mergeCell ref="A42:D42"/>
    <mergeCell ref="E42:W42"/>
    <mergeCell ref="B43:D43"/>
    <mergeCell ref="A44:D44"/>
    <mergeCell ref="C45:D45"/>
    <mergeCell ref="C46:D46"/>
    <mergeCell ref="C47:D47"/>
    <mergeCell ref="C48:D48"/>
    <mergeCell ref="C49:D49"/>
    <mergeCell ref="C50:D50"/>
    <mergeCell ref="C51:D51"/>
    <mergeCell ref="C52:D52"/>
    <mergeCell ref="C105:D105"/>
    <mergeCell ref="B115:D115"/>
    <mergeCell ref="A116:E116"/>
    <mergeCell ref="C117:D117"/>
  </mergeCells>
  <conditionalFormatting sqref="E14:AL15">
    <cfRule type="containsBlanks" dxfId="1" priority="1">
      <formula>LEN(TRIM(E14))=0</formula>
    </cfRule>
  </conditionalFormatting>
  <conditionalFormatting sqref="E19:AL20">
    <cfRule type="containsBlanks" dxfId="1" priority="2">
      <formula>LEN(TRIM(E19))=0</formula>
    </cfRule>
  </conditionalFormatting>
  <conditionalFormatting sqref="E22:AL23 E25:AL26 E33:AL33 E35:AL35 E39:AL40">
    <cfRule type="containsBlanks" dxfId="1" priority="3">
      <formula>LEN(TRIM(E22))=0</formula>
    </cfRule>
  </conditionalFormatting>
  <conditionalFormatting sqref="E30:AL30">
    <cfRule type="expression" dxfId="0" priority="4">
      <formula>E30&lt;&gt;E47</formula>
    </cfRule>
  </conditionalFormatting>
  <conditionalFormatting sqref="E30:AL30">
    <cfRule type="expression" dxfId="0" priority="5">
      <formula>E30&lt;&gt;E34</formula>
    </cfRule>
  </conditionalFormatting>
  <conditionalFormatting sqref="E34:AL34">
    <cfRule type="expression" dxfId="2" priority="6">
      <formula>E30&lt;&gt;E34</formula>
    </cfRule>
  </conditionalFormatting>
  <conditionalFormatting sqref="E34:AL34">
    <cfRule type="expression" dxfId="3" priority="7">
      <formula>E30=E34</formula>
    </cfRule>
  </conditionalFormatting>
  <conditionalFormatting sqref="E34:AL34">
    <cfRule type="expression" dxfId="0" priority="8">
      <formula>E34&lt;&gt;E30</formula>
    </cfRule>
  </conditionalFormatting>
  <conditionalFormatting sqref="E34:AL34">
    <cfRule type="expression" dxfId="0" priority="9">
      <formula>E34&lt;&gt;E64</formula>
    </cfRule>
  </conditionalFormatting>
  <conditionalFormatting sqref="E45:AL54">
    <cfRule type="containsBlanks" dxfId="1" priority="10">
      <formula>LEN(TRIM(E45))=0</formula>
    </cfRule>
  </conditionalFormatting>
  <conditionalFormatting sqref="E57:AL66">
    <cfRule type="containsBlanks" dxfId="1" priority="11">
      <formula>LEN(TRIM(E57))=0</formula>
    </cfRule>
  </conditionalFormatting>
  <conditionalFormatting sqref="E69:AL78">
    <cfRule type="containsBlanks" dxfId="1" priority="12">
      <formula>LEN(TRIM(E69))=0</formula>
    </cfRule>
  </conditionalFormatting>
  <conditionalFormatting sqref="E81:AL90">
    <cfRule type="containsBlanks" dxfId="1" priority="13">
      <formula>LEN(TRIM(E81))=0</formula>
    </cfRule>
  </conditionalFormatting>
  <conditionalFormatting sqref="E93:AL102">
    <cfRule type="containsBlanks" dxfId="1" priority="14">
      <formula>LEN(TRIM(E93))=0</formula>
    </cfRule>
  </conditionalFormatting>
  <conditionalFormatting sqref="E105:AL114">
    <cfRule type="containsBlanks" dxfId="1" priority="15">
      <formula>LEN(TRIM(E105))=0</formula>
    </cfRule>
  </conditionalFormatting>
  <conditionalFormatting sqref="E117:AL126">
    <cfRule type="containsBlanks" dxfId="1" priority="16">
      <formula>LEN(TRIM(E117))=0</formula>
    </cfRule>
  </conditionalFormatting>
  <conditionalFormatting sqref="E129:AL138">
    <cfRule type="containsBlanks" dxfId="1" priority="17">
      <formula>LEN(TRIM(E129))=0</formula>
    </cfRule>
  </conditionalFormatting>
  <conditionalFormatting sqref="E141:AL150">
    <cfRule type="containsBlanks" dxfId="1" priority="18">
      <formula>LEN(TRIM(E141))=0</formula>
    </cfRule>
  </conditionalFormatting>
  <conditionalFormatting sqref="E153:AL162">
    <cfRule type="containsBlanks" dxfId="1" priority="19">
      <formula>LEN(TRIM(E153))=0</formula>
    </cfRule>
  </conditionalFormatting>
  <conditionalFormatting sqref="E165:AL174">
    <cfRule type="containsBlanks" dxfId="1" priority="20">
      <formula>LEN(TRIM(E165))=0</formula>
    </cfRule>
  </conditionalFormatting>
  <conditionalFormatting sqref="E177:AL186">
    <cfRule type="containsBlanks" dxfId="1" priority="21">
      <formula>LEN(TRIM(E177))=0</formula>
    </cfRule>
  </conditionalFormatting>
  <conditionalFormatting sqref="E189:AL198">
    <cfRule type="containsBlanks" dxfId="1" priority="22">
      <formula>LEN(TRIM(E189))=0</formula>
    </cfRule>
  </conditionalFormatting>
  <conditionalFormatting sqref="E201:AL210">
    <cfRule type="containsBlanks" dxfId="1" priority="23">
      <formula>LEN(TRIM(E201))=0</formula>
    </cfRule>
  </conditionalFormatting>
  <conditionalFormatting sqref="E213:AL222">
    <cfRule type="containsBlanks" dxfId="1" priority="24">
      <formula>LEN(TRIM(E213))=0</formula>
    </cfRule>
  </conditionalFormatting>
  <conditionalFormatting sqref="E225:AL234">
    <cfRule type="containsBlanks" dxfId="1" priority="25">
      <formula>LEN(TRIM(E225))=0</formula>
    </cfRule>
  </conditionalFormatting>
  <conditionalFormatting sqref="E237:AL246">
    <cfRule type="containsBlanks" dxfId="1" priority="26">
      <formula>LEN(TRIM(E237))=0</formula>
    </cfRule>
  </conditionalFormatting>
  <conditionalFormatting sqref="E249:AL258">
    <cfRule type="containsBlanks" dxfId="1" priority="27">
      <formula>LEN(TRIM(E249))=0</formula>
    </cfRule>
  </conditionalFormatting>
  <conditionalFormatting sqref="E262:AL263">
    <cfRule type="containsBlanks" dxfId="1" priority="28">
      <formula>LEN(TRIM(E262))=0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19" width="8.71"/>
    <col customWidth="1" min="20" max="20" width="13.29"/>
    <col customWidth="1" min="21" max="26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198</v>
      </c>
      <c r="D9" s="8" t="s">
        <v>236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75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200</v>
      </c>
      <c r="F13" s="13" t="s">
        <v>201</v>
      </c>
      <c r="G13" s="13" t="s">
        <v>202</v>
      </c>
      <c r="H13" s="13" t="s">
        <v>203</v>
      </c>
      <c r="I13" s="13" t="s">
        <v>204</v>
      </c>
      <c r="J13" s="13" t="s">
        <v>205</v>
      </c>
      <c r="K13" s="13" t="s">
        <v>206</v>
      </c>
      <c r="L13" s="13" t="s">
        <v>207</v>
      </c>
      <c r="M13" s="13" t="s">
        <v>208</v>
      </c>
      <c r="N13" s="13" t="s">
        <v>209</v>
      </c>
      <c r="O13" s="13" t="s">
        <v>210</v>
      </c>
      <c r="P13" s="13" t="s">
        <v>211</v>
      </c>
      <c r="Q13" s="13" t="s">
        <v>212</v>
      </c>
      <c r="R13" s="13" t="s">
        <v>213</v>
      </c>
      <c r="S13" s="13" t="s">
        <v>214</v>
      </c>
      <c r="T13" s="36"/>
    </row>
    <row r="14" ht="12.75" customHeight="1">
      <c r="A14" s="18"/>
      <c r="B14" s="22" t="s">
        <v>11</v>
      </c>
      <c r="C14" s="23"/>
      <c r="D14" s="19" t="s">
        <v>12</v>
      </c>
      <c r="E14" s="19">
        <v>140.0</v>
      </c>
      <c r="F14" s="19">
        <v>147.0</v>
      </c>
      <c r="G14" s="19">
        <v>125.0</v>
      </c>
      <c r="H14" s="19">
        <v>131.0</v>
      </c>
      <c r="I14" s="19">
        <v>134.0</v>
      </c>
      <c r="J14" s="19">
        <v>149.0</v>
      </c>
      <c r="K14" s="19">
        <v>141.0</v>
      </c>
      <c r="L14" s="19">
        <v>143.0</v>
      </c>
      <c r="M14" s="19">
        <v>154.0</v>
      </c>
      <c r="N14" s="19">
        <v>131.0</v>
      </c>
      <c r="O14" s="19">
        <v>140.0</v>
      </c>
      <c r="P14" s="19">
        <v>148.0</v>
      </c>
      <c r="Q14" s="19">
        <v>146.0</v>
      </c>
      <c r="R14" s="19">
        <v>131.0</v>
      </c>
      <c r="S14" s="19">
        <v>141.0</v>
      </c>
      <c r="T14" s="13">
        <f t="shared" ref="T14:T16" si="1">SUM(E14:S14)</f>
        <v>2101</v>
      </c>
    </row>
    <row r="15" ht="12.75" customHeight="1">
      <c r="A15" s="18"/>
      <c r="B15" s="26"/>
      <c r="C15" s="27"/>
      <c r="D15" s="19" t="s">
        <v>13</v>
      </c>
      <c r="E15" s="19">
        <v>127.0</v>
      </c>
      <c r="F15" s="19">
        <v>140.0</v>
      </c>
      <c r="G15" s="19">
        <v>123.0</v>
      </c>
      <c r="H15" s="19">
        <v>145.0</v>
      </c>
      <c r="I15" s="19">
        <v>129.0</v>
      </c>
      <c r="J15" s="19">
        <v>145.0</v>
      </c>
      <c r="K15" s="19">
        <v>149.0</v>
      </c>
      <c r="L15" s="19">
        <v>149.0</v>
      </c>
      <c r="M15" s="19">
        <v>144.0</v>
      </c>
      <c r="N15" s="19">
        <v>150.0</v>
      </c>
      <c r="O15" s="19">
        <v>146.0</v>
      </c>
      <c r="P15" s="19">
        <v>138.0</v>
      </c>
      <c r="Q15" s="19">
        <v>150.0</v>
      </c>
      <c r="R15" s="19">
        <v>156.0</v>
      </c>
      <c r="S15" s="19">
        <v>152.0</v>
      </c>
      <c r="T15" s="13">
        <f t="shared" si="1"/>
        <v>2143</v>
      </c>
    </row>
    <row r="16" ht="12.75" customHeight="1">
      <c r="A16" s="25"/>
      <c r="B16" s="21"/>
      <c r="C16" s="28"/>
      <c r="D16" s="13" t="s">
        <v>14</v>
      </c>
      <c r="E16" s="13">
        <f t="shared" ref="E16:S16" si="2">SUM(E14:E15)</f>
        <v>267</v>
      </c>
      <c r="F16" s="13">
        <f t="shared" si="2"/>
        <v>287</v>
      </c>
      <c r="G16" s="13">
        <f t="shared" si="2"/>
        <v>248</v>
      </c>
      <c r="H16" s="13">
        <f t="shared" si="2"/>
        <v>276</v>
      </c>
      <c r="I16" s="13">
        <f t="shared" si="2"/>
        <v>263</v>
      </c>
      <c r="J16" s="13">
        <f t="shared" si="2"/>
        <v>294</v>
      </c>
      <c r="K16" s="13">
        <f t="shared" si="2"/>
        <v>290</v>
      </c>
      <c r="L16" s="13">
        <f t="shared" si="2"/>
        <v>292</v>
      </c>
      <c r="M16" s="13">
        <f t="shared" si="2"/>
        <v>298</v>
      </c>
      <c r="N16" s="13">
        <f t="shared" si="2"/>
        <v>281</v>
      </c>
      <c r="O16" s="13">
        <f t="shared" si="2"/>
        <v>286</v>
      </c>
      <c r="P16" s="13">
        <f t="shared" si="2"/>
        <v>286</v>
      </c>
      <c r="Q16" s="13">
        <f t="shared" si="2"/>
        <v>296</v>
      </c>
      <c r="R16" s="13">
        <f t="shared" si="2"/>
        <v>287</v>
      </c>
      <c r="S16" s="13">
        <f t="shared" si="2"/>
        <v>293</v>
      </c>
      <c r="T16" s="13">
        <f t="shared" si="1"/>
        <v>4244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76"/>
      <c r="O17" s="76"/>
      <c r="P17" s="76"/>
      <c r="Q17" s="76"/>
      <c r="R17" s="76"/>
      <c r="S17" s="76"/>
      <c r="T17" s="77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76"/>
      <c r="O18" s="76"/>
      <c r="P18" s="76"/>
      <c r="Q18" s="76"/>
      <c r="R18" s="76"/>
      <c r="S18" s="76"/>
      <c r="T18" s="77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19">
        <v>99.0</v>
      </c>
      <c r="F19" s="19">
        <v>108.0</v>
      </c>
      <c r="G19" s="19">
        <v>94.0</v>
      </c>
      <c r="H19" s="19">
        <v>91.0</v>
      </c>
      <c r="I19" s="19">
        <v>106.0</v>
      </c>
      <c r="J19" s="19">
        <v>109.0</v>
      </c>
      <c r="K19" s="19">
        <v>118.0</v>
      </c>
      <c r="L19" s="19">
        <v>101.0</v>
      </c>
      <c r="M19" s="19">
        <v>108.0</v>
      </c>
      <c r="N19" s="19">
        <v>97.0</v>
      </c>
      <c r="O19" s="19">
        <v>104.0</v>
      </c>
      <c r="P19" s="19">
        <v>117.0</v>
      </c>
      <c r="Q19" s="19">
        <v>105.0</v>
      </c>
      <c r="R19" s="19">
        <v>105.0</v>
      </c>
      <c r="S19" s="19">
        <v>111.0</v>
      </c>
      <c r="T19" s="13">
        <f t="shared" ref="T19:T30" si="3">SUM(E19:S19)</f>
        <v>1573</v>
      </c>
    </row>
    <row r="20" ht="12.75" customHeight="1">
      <c r="A20" s="33"/>
      <c r="B20" s="27"/>
      <c r="C20" s="34"/>
      <c r="D20" s="19" t="s">
        <v>13</v>
      </c>
      <c r="E20" s="19">
        <v>112.0</v>
      </c>
      <c r="F20" s="19">
        <v>111.0</v>
      </c>
      <c r="G20" s="19">
        <v>98.0</v>
      </c>
      <c r="H20" s="19">
        <v>110.0</v>
      </c>
      <c r="I20" s="19">
        <v>114.0</v>
      </c>
      <c r="J20" s="19">
        <v>111.0</v>
      </c>
      <c r="K20" s="19">
        <v>125.0</v>
      </c>
      <c r="L20" s="19">
        <v>111.0</v>
      </c>
      <c r="M20" s="19">
        <v>107.0</v>
      </c>
      <c r="N20" s="19">
        <v>121.0</v>
      </c>
      <c r="O20" s="19">
        <v>118.0</v>
      </c>
      <c r="P20" s="19">
        <v>114.0</v>
      </c>
      <c r="Q20" s="19">
        <v>121.0</v>
      </c>
      <c r="R20" s="19">
        <v>120.0</v>
      </c>
      <c r="S20" s="19">
        <v>132.0</v>
      </c>
      <c r="T20" s="13">
        <f t="shared" si="3"/>
        <v>1725</v>
      </c>
    </row>
    <row r="21" ht="12.75" customHeight="1">
      <c r="A21" s="35"/>
      <c r="B21" s="28"/>
      <c r="C21" s="36"/>
      <c r="D21" s="13" t="s">
        <v>14</v>
      </c>
      <c r="E21" s="13">
        <f t="shared" ref="E21:S21" si="4">SUM(E19:E20)</f>
        <v>211</v>
      </c>
      <c r="F21" s="13">
        <f t="shared" si="4"/>
        <v>219</v>
      </c>
      <c r="G21" s="13">
        <f t="shared" si="4"/>
        <v>192</v>
      </c>
      <c r="H21" s="13">
        <f t="shared" si="4"/>
        <v>201</v>
      </c>
      <c r="I21" s="13">
        <f t="shared" si="4"/>
        <v>220</v>
      </c>
      <c r="J21" s="13">
        <f t="shared" si="4"/>
        <v>220</v>
      </c>
      <c r="K21" s="13">
        <f t="shared" si="4"/>
        <v>243</v>
      </c>
      <c r="L21" s="13">
        <f t="shared" si="4"/>
        <v>212</v>
      </c>
      <c r="M21" s="13">
        <f t="shared" si="4"/>
        <v>215</v>
      </c>
      <c r="N21" s="13">
        <f t="shared" si="4"/>
        <v>218</v>
      </c>
      <c r="O21" s="13">
        <f t="shared" si="4"/>
        <v>222</v>
      </c>
      <c r="P21" s="13">
        <f t="shared" si="4"/>
        <v>231</v>
      </c>
      <c r="Q21" s="13">
        <f t="shared" si="4"/>
        <v>226</v>
      </c>
      <c r="R21" s="13">
        <f t="shared" si="4"/>
        <v>225</v>
      </c>
      <c r="S21" s="13">
        <f t="shared" si="4"/>
        <v>243</v>
      </c>
      <c r="T21" s="13">
        <f t="shared" si="3"/>
        <v>3298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19">
        <v>0.0</v>
      </c>
      <c r="F22" s="19">
        <v>0.0</v>
      </c>
      <c r="G22" s="19">
        <v>0.0</v>
      </c>
      <c r="H22" s="19">
        <v>2.0</v>
      </c>
      <c r="I22" s="19">
        <v>1.0</v>
      </c>
      <c r="J22" s="19">
        <v>0.0</v>
      </c>
      <c r="K22" s="19">
        <v>0.0</v>
      </c>
      <c r="L22" s="19">
        <v>0.0</v>
      </c>
      <c r="M22" s="19">
        <v>0.0</v>
      </c>
      <c r="N22" s="19">
        <v>0.0</v>
      </c>
      <c r="O22" s="19">
        <v>0.0</v>
      </c>
      <c r="P22" s="19">
        <v>0.0</v>
      </c>
      <c r="Q22" s="19">
        <v>0.0</v>
      </c>
      <c r="R22" s="19">
        <v>0.0</v>
      </c>
      <c r="S22" s="19">
        <v>0.0</v>
      </c>
      <c r="T22" s="13">
        <f t="shared" si="3"/>
        <v>3</v>
      </c>
    </row>
    <row r="23" ht="12.75" customHeight="1">
      <c r="A23" s="33"/>
      <c r="B23" s="27"/>
      <c r="C23" s="34"/>
      <c r="D23" s="19" t="s">
        <v>13</v>
      </c>
      <c r="E23" s="19">
        <v>0.0</v>
      </c>
      <c r="F23" s="19">
        <v>0.0</v>
      </c>
      <c r="G23" s="19">
        <v>0.0</v>
      </c>
      <c r="H23" s="19">
        <v>2.0</v>
      </c>
      <c r="I23" s="19">
        <v>1.0</v>
      </c>
      <c r="J23" s="19">
        <v>0.0</v>
      </c>
      <c r="K23" s="19">
        <v>0.0</v>
      </c>
      <c r="L23" s="19">
        <v>0.0</v>
      </c>
      <c r="M23" s="19">
        <v>0.0</v>
      </c>
      <c r="N23" s="19">
        <v>0.0</v>
      </c>
      <c r="O23" s="19">
        <v>0.0</v>
      </c>
      <c r="P23" s="19">
        <v>0.0</v>
      </c>
      <c r="Q23" s="19">
        <v>0.0</v>
      </c>
      <c r="R23" s="19">
        <v>0.0</v>
      </c>
      <c r="S23" s="19">
        <v>0.0</v>
      </c>
      <c r="T23" s="13">
        <f t="shared" si="3"/>
        <v>3</v>
      </c>
    </row>
    <row r="24" ht="12.75" customHeight="1">
      <c r="A24" s="35"/>
      <c r="B24" s="28"/>
      <c r="C24" s="36"/>
      <c r="D24" s="13" t="s">
        <v>14</v>
      </c>
      <c r="E24" s="13">
        <f t="shared" ref="E24:S24" si="5">SUM(E22:E23)</f>
        <v>0</v>
      </c>
      <c r="F24" s="13">
        <f t="shared" si="5"/>
        <v>0</v>
      </c>
      <c r="G24" s="13">
        <f t="shared" si="5"/>
        <v>0</v>
      </c>
      <c r="H24" s="13">
        <f t="shared" si="5"/>
        <v>4</v>
      </c>
      <c r="I24" s="13">
        <f t="shared" si="5"/>
        <v>2</v>
      </c>
      <c r="J24" s="13">
        <f t="shared" si="5"/>
        <v>0</v>
      </c>
      <c r="K24" s="13">
        <f t="shared" si="5"/>
        <v>0</v>
      </c>
      <c r="L24" s="13">
        <f t="shared" si="5"/>
        <v>0</v>
      </c>
      <c r="M24" s="13">
        <f t="shared" si="5"/>
        <v>0</v>
      </c>
      <c r="N24" s="13">
        <f t="shared" si="5"/>
        <v>0</v>
      </c>
      <c r="O24" s="13">
        <f t="shared" si="5"/>
        <v>0</v>
      </c>
      <c r="P24" s="13">
        <f t="shared" si="5"/>
        <v>0</v>
      </c>
      <c r="Q24" s="13">
        <f t="shared" si="5"/>
        <v>0</v>
      </c>
      <c r="R24" s="13">
        <f t="shared" si="5"/>
        <v>0</v>
      </c>
      <c r="S24" s="13">
        <f t="shared" si="5"/>
        <v>0</v>
      </c>
      <c r="T24" s="13">
        <f t="shared" si="3"/>
        <v>6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19">
        <v>0.0</v>
      </c>
      <c r="F25" s="19">
        <v>0.0</v>
      </c>
      <c r="G25" s="19">
        <v>0.0</v>
      </c>
      <c r="H25" s="19">
        <v>0.0</v>
      </c>
      <c r="I25" s="19">
        <v>0.0</v>
      </c>
      <c r="J25" s="19">
        <v>0.0</v>
      </c>
      <c r="K25" s="19">
        <v>0.0</v>
      </c>
      <c r="L25" s="19">
        <v>0.0</v>
      </c>
      <c r="M25" s="19">
        <v>0.0</v>
      </c>
      <c r="N25" s="19">
        <v>0.0</v>
      </c>
      <c r="O25" s="19">
        <v>0.0</v>
      </c>
      <c r="P25" s="19">
        <v>0.0</v>
      </c>
      <c r="Q25" s="19">
        <v>0.0</v>
      </c>
      <c r="R25" s="19">
        <v>1.0</v>
      </c>
      <c r="S25" s="19">
        <v>2.0</v>
      </c>
      <c r="T25" s="13">
        <f t="shared" si="3"/>
        <v>3</v>
      </c>
    </row>
    <row r="26" ht="12.75" customHeight="1">
      <c r="A26" s="33"/>
      <c r="B26" s="27"/>
      <c r="C26" s="34"/>
      <c r="D26" s="19" t="s">
        <v>13</v>
      </c>
      <c r="E26" s="19">
        <v>0.0</v>
      </c>
      <c r="F26" s="19">
        <v>0.0</v>
      </c>
      <c r="G26" s="19">
        <v>0.0</v>
      </c>
      <c r="H26" s="19">
        <v>0.0</v>
      </c>
      <c r="I26" s="19">
        <v>0.0</v>
      </c>
      <c r="J26" s="19">
        <v>0.0</v>
      </c>
      <c r="K26" s="19">
        <v>0.0</v>
      </c>
      <c r="L26" s="19">
        <v>0.0</v>
      </c>
      <c r="M26" s="19">
        <v>2.0</v>
      </c>
      <c r="N26" s="19">
        <v>0.0</v>
      </c>
      <c r="O26" s="19">
        <v>0.0</v>
      </c>
      <c r="P26" s="19">
        <v>0.0</v>
      </c>
      <c r="Q26" s="19">
        <v>0.0</v>
      </c>
      <c r="R26" s="19">
        <v>0.0</v>
      </c>
      <c r="S26" s="19">
        <v>1.0</v>
      </c>
      <c r="T26" s="13">
        <f t="shared" si="3"/>
        <v>3</v>
      </c>
    </row>
    <row r="27" ht="12.75" customHeight="1">
      <c r="A27" s="35"/>
      <c r="B27" s="28"/>
      <c r="C27" s="36"/>
      <c r="D27" s="13" t="s">
        <v>14</v>
      </c>
      <c r="E27" s="13">
        <f t="shared" ref="E27:S27" si="6">SUM(E25:E26)</f>
        <v>0</v>
      </c>
      <c r="F27" s="13">
        <f t="shared" si="6"/>
        <v>0</v>
      </c>
      <c r="G27" s="13">
        <f t="shared" si="6"/>
        <v>0</v>
      </c>
      <c r="H27" s="13">
        <f t="shared" si="6"/>
        <v>0</v>
      </c>
      <c r="I27" s="13">
        <f t="shared" si="6"/>
        <v>0</v>
      </c>
      <c r="J27" s="13">
        <f t="shared" si="6"/>
        <v>0</v>
      </c>
      <c r="K27" s="13">
        <f t="shared" si="6"/>
        <v>0</v>
      </c>
      <c r="L27" s="13">
        <f t="shared" si="6"/>
        <v>0</v>
      </c>
      <c r="M27" s="13">
        <f t="shared" si="6"/>
        <v>2</v>
      </c>
      <c r="N27" s="13">
        <f t="shared" si="6"/>
        <v>0</v>
      </c>
      <c r="O27" s="13">
        <f t="shared" si="6"/>
        <v>0</v>
      </c>
      <c r="P27" s="13">
        <f t="shared" si="6"/>
        <v>0</v>
      </c>
      <c r="Q27" s="13">
        <f t="shared" si="6"/>
        <v>0</v>
      </c>
      <c r="R27" s="13">
        <f t="shared" si="6"/>
        <v>1</v>
      </c>
      <c r="S27" s="13">
        <f t="shared" si="6"/>
        <v>3</v>
      </c>
      <c r="T27" s="13">
        <f t="shared" si="3"/>
        <v>6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S28" si="7">SUM(E19,E22,E25)</f>
        <v>99</v>
      </c>
      <c r="F28" s="13">
        <f t="shared" si="7"/>
        <v>108</v>
      </c>
      <c r="G28" s="13">
        <f t="shared" si="7"/>
        <v>94</v>
      </c>
      <c r="H28" s="13">
        <f t="shared" si="7"/>
        <v>93</v>
      </c>
      <c r="I28" s="13">
        <f t="shared" si="7"/>
        <v>107</v>
      </c>
      <c r="J28" s="13">
        <f t="shared" si="7"/>
        <v>109</v>
      </c>
      <c r="K28" s="13">
        <f t="shared" si="7"/>
        <v>118</v>
      </c>
      <c r="L28" s="13">
        <f t="shared" si="7"/>
        <v>101</v>
      </c>
      <c r="M28" s="13">
        <f t="shared" si="7"/>
        <v>108</v>
      </c>
      <c r="N28" s="13">
        <f t="shared" si="7"/>
        <v>97</v>
      </c>
      <c r="O28" s="13">
        <f t="shared" si="7"/>
        <v>104</v>
      </c>
      <c r="P28" s="13">
        <f t="shared" si="7"/>
        <v>117</v>
      </c>
      <c r="Q28" s="13">
        <f t="shared" si="7"/>
        <v>105</v>
      </c>
      <c r="R28" s="13">
        <f t="shared" si="7"/>
        <v>106</v>
      </c>
      <c r="S28" s="13">
        <f t="shared" si="7"/>
        <v>113</v>
      </c>
      <c r="T28" s="13">
        <f t="shared" si="3"/>
        <v>1579</v>
      </c>
    </row>
    <row r="29" ht="12.75" customHeight="1">
      <c r="A29" s="35"/>
      <c r="B29" s="27"/>
      <c r="C29" s="34"/>
      <c r="D29" s="13" t="s">
        <v>13</v>
      </c>
      <c r="E29" s="13">
        <f t="shared" ref="E29:S29" si="8">SUM(E20,E23,E26)</f>
        <v>112</v>
      </c>
      <c r="F29" s="13">
        <f t="shared" si="8"/>
        <v>111</v>
      </c>
      <c r="G29" s="13">
        <f t="shared" si="8"/>
        <v>98</v>
      </c>
      <c r="H29" s="13">
        <f t="shared" si="8"/>
        <v>112</v>
      </c>
      <c r="I29" s="13">
        <f t="shared" si="8"/>
        <v>115</v>
      </c>
      <c r="J29" s="13">
        <f t="shared" si="8"/>
        <v>111</v>
      </c>
      <c r="K29" s="13">
        <f t="shared" si="8"/>
        <v>125</v>
      </c>
      <c r="L29" s="13">
        <f t="shared" si="8"/>
        <v>111</v>
      </c>
      <c r="M29" s="13">
        <f t="shared" si="8"/>
        <v>109</v>
      </c>
      <c r="N29" s="13">
        <f t="shared" si="8"/>
        <v>121</v>
      </c>
      <c r="O29" s="13">
        <f t="shared" si="8"/>
        <v>118</v>
      </c>
      <c r="P29" s="13">
        <f t="shared" si="8"/>
        <v>114</v>
      </c>
      <c r="Q29" s="13">
        <f t="shared" si="8"/>
        <v>121</v>
      </c>
      <c r="R29" s="13">
        <f t="shared" si="8"/>
        <v>120</v>
      </c>
      <c r="S29" s="13">
        <f t="shared" si="8"/>
        <v>133</v>
      </c>
      <c r="T29" s="13">
        <f t="shared" si="3"/>
        <v>1731</v>
      </c>
    </row>
    <row r="30" ht="12.75" customHeight="1">
      <c r="A30" s="35"/>
      <c r="B30" s="28"/>
      <c r="C30" s="36"/>
      <c r="D30" s="13" t="s">
        <v>14</v>
      </c>
      <c r="E30" s="13">
        <f t="shared" ref="E30:S30" si="9">SUM(E28:E29)</f>
        <v>211</v>
      </c>
      <c r="F30" s="13">
        <f t="shared" si="9"/>
        <v>219</v>
      </c>
      <c r="G30" s="13">
        <f t="shared" si="9"/>
        <v>192</v>
      </c>
      <c r="H30" s="13">
        <f t="shared" si="9"/>
        <v>205</v>
      </c>
      <c r="I30" s="13">
        <f t="shared" si="9"/>
        <v>222</v>
      </c>
      <c r="J30" s="13">
        <f t="shared" si="9"/>
        <v>220</v>
      </c>
      <c r="K30" s="13">
        <f t="shared" si="9"/>
        <v>243</v>
      </c>
      <c r="L30" s="13">
        <f t="shared" si="9"/>
        <v>212</v>
      </c>
      <c r="M30" s="13">
        <f t="shared" si="9"/>
        <v>217</v>
      </c>
      <c r="N30" s="13">
        <f t="shared" si="9"/>
        <v>218</v>
      </c>
      <c r="O30" s="13">
        <f t="shared" si="9"/>
        <v>222</v>
      </c>
      <c r="P30" s="13">
        <f t="shared" si="9"/>
        <v>231</v>
      </c>
      <c r="Q30" s="13">
        <f t="shared" si="9"/>
        <v>226</v>
      </c>
      <c r="R30" s="13">
        <f t="shared" si="9"/>
        <v>226</v>
      </c>
      <c r="S30" s="13">
        <f t="shared" si="9"/>
        <v>246</v>
      </c>
      <c r="T30" s="13">
        <f t="shared" si="3"/>
        <v>3310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76"/>
      <c r="O31" s="76"/>
      <c r="P31" s="76"/>
      <c r="Q31" s="76"/>
      <c r="R31" s="76"/>
      <c r="S31" s="76"/>
      <c r="T31" s="77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78"/>
      <c r="O32" s="78"/>
      <c r="P32" s="78"/>
      <c r="Q32" s="78"/>
      <c r="R32" s="78"/>
      <c r="S32" s="78"/>
      <c r="T32" s="77"/>
    </row>
    <row r="33" ht="12.75" customHeight="1">
      <c r="A33" s="19">
        <v>1.0</v>
      </c>
      <c r="B33" s="20" t="s">
        <v>27</v>
      </c>
      <c r="C33" s="15"/>
      <c r="D33" s="16"/>
      <c r="E33" s="19">
        <v>273.0</v>
      </c>
      <c r="F33" s="19">
        <v>293.0</v>
      </c>
      <c r="G33" s="19">
        <v>253.0</v>
      </c>
      <c r="H33" s="19">
        <v>282.0</v>
      </c>
      <c r="I33" s="19">
        <v>269.0</v>
      </c>
      <c r="J33" s="19">
        <v>300.0</v>
      </c>
      <c r="K33" s="19">
        <v>296.0</v>
      </c>
      <c r="L33" s="19">
        <v>297.0</v>
      </c>
      <c r="M33" s="19">
        <v>304.0</v>
      </c>
      <c r="N33" s="19">
        <v>287.0</v>
      </c>
      <c r="O33" s="19">
        <v>292.0</v>
      </c>
      <c r="P33" s="19">
        <v>292.0</v>
      </c>
      <c r="Q33" s="19">
        <v>302.0</v>
      </c>
      <c r="R33" s="19">
        <v>293.0</v>
      </c>
      <c r="S33" s="19">
        <v>299.0</v>
      </c>
      <c r="T33" s="13">
        <f t="shared" ref="T33:T36" si="10">SUM(E33:S33)</f>
        <v>4332</v>
      </c>
    </row>
    <row r="34" ht="12.75" customHeight="1">
      <c r="A34" s="19">
        <v>2.0</v>
      </c>
      <c r="B34" s="20" t="s">
        <v>28</v>
      </c>
      <c r="C34" s="15"/>
      <c r="D34" s="16"/>
      <c r="E34" s="13">
        <v>211.0</v>
      </c>
      <c r="F34" s="13">
        <v>219.0</v>
      </c>
      <c r="G34" s="13">
        <v>192.0</v>
      </c>
      <c r="H34" s="13">
        <v>205.0</v>
      </c>
      <c r="I34" s="13">
        <v>222.0</v>
      </c>
      <c r="J34" s="13">
        <v>220.0</v>
      </c>
      <c r="K34" s="13">
        <v>243.0</v>
      </c>
      <c r="L34" s="13">
        <v>212.0</v>
      </c>
      <c r="M34" s="13">
        <v>217.0</v>
      </c>
      <c r="N34" s="13">
        <v>218.0</v>
      </c>
      <c r="O34" s="13">
        <v>222.0</v>
      </c>
      <c r="P34" s="13">
        <v>231.0</v>
      </c>
      <c r="Q34" s="13">
        <v>226.0</v>
      </c>
      <c r="R34" s="13">
        <v>226.0</v>
      </c>
      <c r="S34" s="13">
        <v>246.0</v>
      </c>
      <c r="T34" s="13">
        <f t="shared" si="10"/>
        <v>3310</v>
      </c>
    </row>
    <row r="35" ht="12.75" customHeight="1">
      <c r="A35" s="19">
        <v>3.0</v>
      </c>
      <c r="B35" s="20" t="s">
        <v>29</v>
      </c>
      <c r="C35" s="15"/>
      <c r="D35" s="16"/>
      <c r="E35" s="19">
        <v>0.0</v>
      </c>
      <c r="F35" s="19">
        <v>0.0</v>
      </c>
      <c r="G35" s="19">
        <v>1.0</v>
      </c>
      <c r="H35" s="19">
        <v>0.0</v>
      </c>
      <c r="I35" s="19">
        <v>1.0</v>
      </c>
      <c r="J35" s="19">
        <v>0.0</v>
      </c>
      <c r="K35" s="19">
        <v>0.0</v>
      </c>
      <c r="L35" s="19">
        <v>0.0</v>
      </c>
      <c r="M35" s="19">
        <v>0.0</v>
      </c>
      <c r="N35" s="19">
        <v>0.0</v>
      </c>
      <c r="O35" s="19">
        <v>0.0</v>
      </c>
      <c r="P35" s="19">
        <v>0.0</v>
      </c>
      <c r="Q35" s="19">
        <v>0.0</v>
      </c>
      <c r="R35" s="19">
        <v>0.0</v>
      </c>
      <c r="S35" s="19">
        <v>2.0</v>
      </c>
      <c r="T35" s="13">
        <f t="shared" si="10"/>
        <v>4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S36" si="11">E33-(E34+E35)</f>
        <v>62</v>
      </c>
      <c r="F36" s="13">
        <f t="shared" si="11"/>
        <v>74</v>
      </c>
      <c r="G36" s="13">
        <f t="shared" si="11"/>
        <v>60</v>
      </c>
      <c r="H36" s="13">
        <f t="shared" si="11"/>
        <v>77</v>
      </c>
      <c r="I36" s="13">
        <f t="shared" si="11"/>
        <v>46</v>
      </c>
      <c r="J36" s="13">
        <f t="shared" si="11"/>
        <v>80</v>
      </c>
      <c r="K36" s="13">
        <f t="shared" si="11"/>
        <v>53</v>
      </c>
      <c r="L36" s="13">
        <f t="shared" si="11"/>
        <v>85</v>
      </c>
      <c r="M36" s="13">
        <f t="shared" si="11"/>
        <v>87</v>
      </c>
      <c r="N36" s="13">
        <f t="shared" si="11"/>
        <v>69</v>
      </c>
      <c r="O36" s="13">
        <f t="shared" si="11"/>
        <v>70</v>
      </c>
      <c r="P36" s="13">
        <f t="shared" si="11"/>
        <v>61</v>
      </c>
      <c r="Q36" s="13">
        <f t="shared" si="11"/>
        <v>76</v>
      </c>
      <c r="R36" s="13">
        <f t="shared" si="11"/>
        <v>67</v>
      </c>
      <c r="S36" s="13">
        <f t="shared" si="11"/>
        <v>51</v>
      </c>
      <c r="T36" s="13">
        <f t="shared" si="10"/>
        <v>1018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19"/>
      <c r="N37" s="76"/>
      <c r="O37" s="79"/>
      <c r="P37" s="79"/>
      <c r="Q37" s="79"/>
      <c r="R37" s="79"/>
      <c r="S37" s="79"/>
      <c r="T37" s="77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78"/>
      <c r="O38" s="78"/>
      <c r="P38" s="78"/>
      <c r="Q38" s="78"/>
      <c r="R38" s="78"/>
      <c r="S38" s="78"/>
      <c r="T38" s="77"/>
    </row>
    <row r="39" ht="12.75" customHeight="1">
      <c r="A39" s="30"/>
      <c r="B39" s="43" t="s">
        <v>33</v>
      </c>
      <c r="C39" s="23"/>
      <c r="D39" s="19" t="s">
        <v>12</v>
      </c>
      <c r="E39" s="19">
        <v>0.0</v>
      </c>
      <c r="F39" s="19">
        <v>0.0</v>
      </c>
      <c r="G39" s="19">
        <v>0.0</v>
      </c>
      <c r="H39" s="19">
        <v>0.0</v>
      </c>
      <c r="I39" s="19">
        <v>0.0</v>
      </c>
      <c r="J39" s="19">
        <v>0.0</v>
      </c>
      <c r="K39" s="19">
        <v>1.0</v>
      </c>
      <c r="L39" s="19">
        <v>0.0</v>
      </c>
      <c r="M39" s="19">
        <v>0.0</v>
      </c>
      <c r="N39" s="19">
        <v>0.0</v>
      </c>
      <c r="O39" s="19">
        <v>0.0</v>
      </c>
      <c r="P39" s="19">
        <v>0.0</v>
      </c>
      <c r="Q39" s="19">
        <v>0.0</v>
      </c>
      <c r="R39" s="19">
        <v>0.0</v>
      </c>
      <c r="S39" s="19">
        <v>0.0</v>
      </c>
      <c r="T39" s="13">
        <f t="shared" ref="T39:T41" si="12">SUM(E39:S39)</f>
        <v>1</v>
      </c>
    </row>
    <row r="40" ht="12.75" customHeight="1">
      <c r="A40" s="33"/>
      <c r="C40" s="27"/>
      <c r="D40" s="19" t="s">
        <v>13</v>
      </c>
      <c r="E40" s="19">
        <v>0.0</v>
      </c>
      <c r="F40" s="19">
        <v>0.0</v>
      </c>
      <c r="G40" s="19">
        <v>0.0</v>
      </c>
      <c r="H40" s="19">
        <v>0.0</v>
      </c>
      <c r="I40" s="19">
        <v>0.0</v>
      </c>
      <c r="J40" s="19">
        <v>0.0</v>
      </c>
      <c r="K40" s="19">
        <v>0.0</v>
      </c>
      <c r="L40" s="19">
        <v>0.0</v>
      </c>
      <c r="M40" s="19">
        <v>0.0</v>
      </c>
      <c r="N40" s="19">
        <v>0.0</v>
      </c>
      <c r="O40" s="19">
        <v>0.0</v>
      </c>
      <c r="P40" s="19">
        <v>0.0</v>
      </c>
      <c r="Q40" s="19">
        <v>0.0</v>
      </c>
      <c r="R40" s="19">
        <v>0.0</v>
      </c>
      <c r="S40" s="19">
        <v>0.0</v>
      </c>
      <c r="T40" s="13">
        <f t="shared" si="12"/>
        <v>0</v>
      </c>
    </row>
    <row r="41" ht="12.75" customHeight="1">
      <c r="A41" s="41"/>
      <c r="B41" s="44"/>
      <c r="C41" s="28"/>
      <c r="D41" s="13" t="s">
        <v>14</v>
      </c>
      <c r="E41" s="13">
        <f t="shared" ref="E41:S41" si="13">SUM(E39:E40)</f>
        <v>0</v>
      </c>
      <c r="F41" s="13">
        <f t="shared" si="13"/>
        <v>0</v>
      </c>
      <c r="G41" s="13">
        <f t="shared" si="13"/>
        <v>0</v>
      </c>
      <c r="H41" s="13">
        <f t="shared" si="13"/>
        <v>0</v>
      </c>
      <c r="I41" s="13">
        <f t="shared" si="13"/>
        <v>0</v>
      </c>
      <c r="J41" s="13">
        <f t="shared" si="13"/>
        <v>0</v>
      </c>
      <c r="K41" s="13">
        <f t="shared" si="13"/>
        <v>1</v>
      </c>
      <c r="L41" s="13">
        <f t="shared" si="13"/>
        <v>0</v>
      </c>
      <c r="M41" s="13">
        <f t="shared" si="13"/>
        <v>0</v>
      </c>
      <c r="N41" s="13">
        <f t="shared" si="13"/>
        <v>0</v>
      </c>
      <c r="O41" s="13">
        <f t="shared" si="13"/>
        <v>0</v>
      </c>
      <c r="P41" s="13">
        <f t="shared" si="13"/>
        <v>0</v>
      </c>
      <c r="Q41" s="13">
        <f t="shared" si="13"/>
        <v>0</v>
      </c>
      <c r="R41" s="13">
        <f t="shared" si="13"/>
        <v>0</v>
      </c>
      <c r="S41" s="13">
        <f t="shared" si="13"/>
        <v>0</v>
      </c>
      <c r="T41" s="13">
        <f t="shared" si="12"/>
        <v>1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9"/>
      <c r="N42" s="76"/>
      <c r="O42" s="19"/>
      <c r="P42" s="76"/>
      <c r="Q42" s="19"/>
      <c r="R42" s="76"/>
      <c r="S42" s="19"/>
      <c r="T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78"/>
      <c r="O43" s="13"/>
      <c r="P43" s="78"/>
      <c r="Q43" s="13"/>
      <c r="R43" s="78"/>
      <c r="S43" s="13"/>
      <c r="T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76"/>
      <c r="O44" s="19"/>
      <c r="P44" s="76"/>
      <c r="Q44" s="19"/>
      <c r="R44" s="76"/>
      <c r="S44" s="19"/>
      <c r="T44" s="13"/>
    </row>
    <row r="45" ht="12.75" customHeight="1">
      <c r="A45" s="30" t="s">
        <v>37</v>
      </c>
      <c r="B45" s="47" t="s">
        <v>17</v>
      </c>
      <c r="C45" s="48" t="s">
        <v>38</v>
      </c>
      <c r="D45" s="16"/>
      <c r="E45" s="19">
        <v>13.0</v>
      </c>
      <c r="F45" s="19">
        <v>5.0</v>
      </c>
      <c r="G45" s="19">
        <v>8.0</v>
      </c>
      <c r="H45" s="19">
        <v>10.0</v>
      </c>
      <c r="I45" s="19">
        <v>9.0</v>
      </c>
      <c r="J45" s="19">
        <v>2.0</v>
      </c>
      <c r="K45" s="19">
        <v>4.0</v>
      </c>
      <c r="L45" s="19">
        <v>7.0</v>
      </c>
      <c r="M45" s="19">
        <v>7.0</v>
      </c>
      <c r="N45" s="19">
        <v>12.0</v>
      </c>
      <c r="O45" s="19">
        <v>5.0</v>
      </c>
      <c r="P45" s="19">
        <v>3.0</v>
      </c>
      <c r="Q45" s="19">
        <v>4.0</v>
      </c>
      <c r="R45" s="19">
        <v>9.0</v>
      </c>
      <c r="S45" s="19">
        <v>15.0</v>
      </c>
      <c r="T45" s="13">
        <f t="shared" ref="T45:T54" si="14">SUM(E45:S45)</f>
        <v>113</v>
      </c>
    </row>
    <row r="46" ht="12.75" customHeight="1">
      <c r="A46" s="30" t="s">
        <v>39</v>
      </c>
      <c r="B46" s="49">
        <v>1.0</v>
      </c>
      <c r="C46" s="50" t="s">
        <v>40</v>
      </c>
      <c r="D46" s="16"/>
      <c r="E46" s="19">
        <v>22.0</v>
      </c>
      <c r="F46" s="19">
        <v>12.0</v>
      </c>
      <c r="G46" s="19">
        <v>18.0</v>
      </c>
      <c r="H46" s="19">
        <v>10.0</v>
      </c>
      <c r="I46" s="19">
        <v>21.0</v>
      </c>
      <c r="J46" s="19">
        <v>10.0</v>
      </c>
      <c r="K46" s="19">
        <v>10.0</v>
      </c>
      <c r="L46" s="19">
        <v>11.0</v>
      </c>
      <c r="M46" s="19">
        <v>8.0</v>
      </c>
      <c r="N46" s="19">
        <v>6.0</v>
      </c>
      <c r="O46" s="19">
        <v>9.0</v>
      </c>
      <c r="P46" s="19">
        <v>24.0</v>
      </c>
      <c r="Q46" s="19">
        <v>8.0</v>
      </c>
      <c r="R46" s="19">
        <v>25.0</v>
      </c>
      <c r="S46" s="19">
        <v>9.0</v>
      </c>
      <c r="T46" s="13">
        <f t="shared" si="14"/>
        <v>203</v>
      </c>
    </row>
    <row r="47" ht="12.75" customHeight="1">
      <c r="A47" s="18"/>
      <c r="B47" s="55">
        <v>2.0</v>
      </c>
      <c r="C47" s="50" t="s">
        <v>41</v>
      </c>
      <c r="D47" s="16"/>
      <c r="E47" s="19">
        <v>14.0</v>
      </c>
      <c r="F47" s="19">
        <v>4.0</v>
      </c>
      <c r="G47" s="19">
        <v>4.0</v>
      </c>
      <c r="H47" s="19">
        <v>2.0</v>
      </c>
      <c r="I47" s="19">
        <v>3.0</v>
      </c>
      <c r="J47" s="19">
        <v>2.0</v>
      </c>
      <c r="K47" s="19">
        <v>14.0</v>
      </c>
      <c r="L47" s="19">
        <v>1.0</v>
      </c>
      <c r="M47" s="19">
        <v>3.0</v>
      </c>
      <c r="N47" s="19">
        <v>0.0</v>
      </c>
      <c r="O47" s="19">
        <v>7.0</v>
      </c>
      <c r="P47" s="19">
        <v>10.0</v>
      </c>
      <c r="Q47" s="19">
        <v>10.0</v>
      </c>
      <c r="R47" s="19">
        <v>13.0</v>
      </c>
      <c r="S47" s="19">
        <v>34.0</v>
      </c>
      <c r="T47" s="13">
        <f t="shared" si="14"/>
        <v>121</v>
      </c>
    </row>
    <row r="48" ht="12.75" customHeight="1">
      <c r="A48" s="18"/>
      <c r="B48" s="55">
        <v>3.0</v>
      </c>
      <c r="C48" s="50" t="s">
        <v>42</v>
      </c>
      <c r="D48" s="16"/>
      <c r="E48" s="19">
        <v>0.0</v>
      </c>
      <c r="F48" s="19">
        <v>0.0</v>
      </c>
      <c r="G48" s="19">
        <v>4.0</v>
      </c>
      <c r="H48" s="19">
        <v>2.0</v>
      </c>
      <c r="I48" s="19">
        <v>0.0</v>
      </c>
      <c r="J48" s="19">
        <v>0.0</v>
      </c>
      <c r="K48" s="19">
        <v>8.0</v>
      </c>
      <c r="L48" s="19">
        <v>0.0</v>
      </c>
      <c r="M48" s="19">
        <v>0.0</v>
      </c>
      <c r="N48" s="19">
        <v>2.0</v>
      </c>
      <c r="O48" s="19">
        <v>0.0</v>
      </c>
      <c r="P48" s="19">
        <v>0.0</v>
      </c>
      <c r="Q48" s="19">
        <v>2.0</v>
      </c>
      <c r="R48" s="19">
        <v>4.0</v>
      </c>
      <c r="S48" s="19">
        <v>3.0</v>
      </c>
      <c r="T48" s="13">
        <f t="shared" si="14"/>
        <v>25</v>
      </c>
    </row>
    <row r="49" ht="12.75" customHeight="1">
      <c r="A49" s="18"/>
      <c r="B49" s="55">
        <v>4.0</v>
      </c>
      <c r="C49" s="50" t="s">
        <v>43</v>
      </c>
      <c r="D49" s="16"/>
      <c r="E49" s="19">
        <v>0.0</v>
      </c>
      <c r="F49" s="19">
        <v>0.0</v>
      </c>
      <c r="G49" s="19">
        <v>2.0</v>
      </c>
      <c r="H49" s="19">
        <v>0.0</v>
      </c>
      <c r="I49" s="19">
        <v>0.0</v>
      </c>
      <c r="J49" s="19">
        <v>0.0</v>
      </c>
      <c r="K49" s="19">
        <v>0.0</v>
      </c>
      <c r="L49" s="19">
        <v>0.0</v>
      </c>
      <c r="M49" s="19">
        <v>0.0</v>
      </c>
      <c r="N49" s="19">
        <v>2.0</v>
      </c>
      <c r="O49" s="19">
        <v>0.0</v>
      </c>
      <c r="P49" s="19">
        <v>2.0</v>
      </c>
      <c r="Q49" s="19">
        <v>0.0</v>
      </c>
      <c r="R49" s="19">
        <v>1.0</v>
      </c>
      <c r="S49" s="19">
        <v>0.0</v>
      </c>
      <c r="T49" s="13">
        <f t="shared" si="14"/>
        <v>7</v>
      </c>
    </row>
    <row r="50" ht="12.75" customHeight="1">
      <c r="A50" s="18"/>
      <c r="B50" s="55">
        <v>5.0</v>
      </c>
      <c r="C50" s="50" t="s">
        <v>44</v>
      </c>
      <c r="D50" s="16"/>
      <c r="E50" s="19">
        <v>0.0</v>
      </c>
      <c r="F50" s="19">
        <v>0.0</v>
      </c>
      <c r="G50" s="19">
        <v>1.0</v>
      </c>
      <c r="H50" s="19">
        <v>0.0</v>
      </c>
      <c r="I50" s="19">
        <v>0.0</v>
      </c>
      <c r="J50" s="19">
        <v>0.0</v>
      </c>
      <c r="K50" s="19">
        <v>0.0</v>
      </c>
      <c r="L50" s="19">
        <v>0.0</v>
      </c>
      <c r="M50" s="19">
        <v>0.0</v>
      </c>
      <c r="N50" s="19">
        <v>0.0</v>
      </c>
      <c r="O50" s="19">
        <v>0.0</v>
      </c>
      <c r="P50" s="19">
        <v>1.0</v>
      </c>
      <c r="Q50" s="19">
        <v>0.0</v>
      </c>
      <c r="R50" s="19">
        <v>0.0</v>
      </c>
      <c r="S50" s="19">
        <v>1.0</v>
      </c>
      <c r="T50" s="13">
        <f t="shared" si="14"/>
        <v>3</v>
      </c>
    </row>
    <row r="51" ht="12.75" customHeight="1">
      <c r="A51" s="18"/>
      <c r="B51" s="55">
        <v>6.0</v>
      </c>
      <c r="C51" s="50" t="s">
        <v>45</v>
      </c>
      <c r="D51" s="16"/>
      <c r="E51" s="19">
        <v>0.0</v>
      </c>
      <c r="F51" s="19">
        <v>0.0</v>
      </c>
      <c r="G51" s="19">
        <v>0.0</v>
      </c>
      <c r="H51" s="19">
        <v>0.0</v>
      </c>
      <c r="I51" s="19">
        <v>0.0</v>
      </c>
      <c r="J51" s="19">
        <v>0.0</v>
      </c>
      <c r="K51" s="19">
        <v>0.0</v>
      </c>
      <c r="L51" s="19">
        <v>0.0</v>
      </c>
      <c r="M51" s="19">
        <v>0.0</v>
      </c>
      <c r="N51" s="19">
        <v>1.0</v>
      </c>
      <c r="O51" s="19">
        <v>0.0</v>
      </c>
      <c r="P51" s="19">
        <v>0.0</v>
      </c>
      <c r="Q51" s="19">
        <v>2.0</v>
      </c>
      <c r="R51" s="19">
        <v>0.0</v>
      </c>
      <c r="S51" s="19">
        <v>1.0</v>
      </c>
      <c r="T51" s="13">
        <f t="shared" si="14"/>
        <v>4</v>
      </c>
    </row>
    <row r="52" ht="12.75" customHeight="1">
      <c r="A52" s="18"/>
      <c r="B52" s="55">
        <v>7.0</v>
      </c>
      <c r="C52" s="50" t="s">
        <v>46</v>
      </c>
      <c r="D52" s="16"/>
      <c r="E52" s="19">
        <v>0.0</v>
      </c>
      <c r="F52" s="19">
        <v>0.0</v>
      </c>
      <c r="G52" s="19">
        <v>0.0</v>
      </c>
      <c r="H52" s="19">
        <v>0.0</v>
      </c>
      <c r="I52" s="19">
        <v>0.0</v>
      </c>
      <c r="J52" s="19">
        <v>0.0</v>
      </c>
      <c r="K52" s="19">
        <v>0.0</v>
      </c>
      <c r="L52" s="19">
        <v>0.0</v>
      </c>
      <c r="M52" s="19">
        <v>0.0</v>
      </c>
      <c r="N52" s="19">
        <v>0.0</v>
      </c>
      <c r="O52" s="19">
        <v>0.0</v>
      </c>
      <c r="P52" s="19">
        <v>0.0</v>
      </c>
      <c r="Q52" s="19">
        <v>0.0</v>
      </c>
      <c r="R52" s="19">
        <v>1.0</v>
      </c>
      <c r="S52" s="19">
        <v>0.0</v>
      </c>
      <c r="T52" s="13">
        <f t="shared" si="14"/>
        <v>1</v>
      </c>
    </row>
    <row r="53" ht="12.75" customHeight="1">
      <c r="A53" s="18"/>
      <c r="B53" s="56"/>
      <c r="C53" s="57"/>
      <c r="D53" s="57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3">
        <f t="shared" si="14"/>
        <v>0</v>
      </c>
    </row>
    <row r="54" ht="12.75" customHeight="1">
      <c r="A54" s="18"/>
      <c r="B54" s="56"/>
      <c r="C54" s="57"/>
      <c r="D54" s="57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3">
        <f t="shared" si="14"/>
        <v>0</v>
      </c>
    </row>
    <row r="55" ht="12.75" customHeight="1">
      <c r="A55" s="19" t="s">
        <v>15</v>
      </c>
      <c r="B55" s="47" t="s">
        <v>47</v>
      </c>
      <c r="C55" s="15"/>
      <c r="D55" s="16"/>
      <c r="E55" s="13">
        <f t="shared" ref="E55:T55" si="15">SUM(E45:E54)</f>
        <v>49</v>
      </c>
      <c r="F55" s="13">
        <f t="shared" si="15"/>
        <v>21</v>
      </c>
      <c r="G55" s="13">
        <f t="shared" si="15"/>
        <v>37</v>
      </c>
      <c r="H55" s="13">
        <f t="shared" si="15"/>
        <v>24</v>
      </c>
      <c r="I55" s="13">
        <f t="shared" si="15"/>
        <v>33</v>
      </c>
      <c r="J55" s="13">
        <f t="shared" si="15"/>
        <v>14</v>
      </c>
      <c r="K55" s="13">
        <f t="shared" si="15"/>
        <v>36</v>
      </c>
      <c r="L55" s="13">
        <f t="shared" si="15"/>
        <v>19</v>
      </c>
      <c r="M55" s="13">
        <f t="shared" si="15"/>
        <v>18</v>
      </c>
      <c r="N55" s="13">
        <f t="shared" si="15"/>
        <v>23</v>
      </c>
      <c r="O55" s="13">
        <f t="shared" si="15"/>
        <v>21</v>
      </c>
      <c r="P55" s="13">
        <f t="shared" si="15"/>
        <v>40</v>
      </c>
      <c r="Q55" s="13">
        <f t="shared" si="15"/>
        <v>26</v>
      </c>
      <c r="R55" s="13">
        <f t="shared" si="15"/>
        <v>53</v>
      </c>
      <c r="S55" s="13">
        <f t="shared" si="15"/>
        <v>63</v>
      </c>
      <c r="T55" s="13">
        <f t="shared" si="15"/>
        <v>477</v>
      </c>
    </row>
    <row r="56" ht="12.75" customHeight="1">
      <c r="A56" s="45"/>
      <c r="B56" s="44"/>
      <c r="C56" s="44"/>
      <c r="D56" s="44"/>
      <c r="E56" s="44"/>
      <c r="T56" s="13"/>
    </row>
    <row r="57" ht="12.75" customHeight="1">
      <c r="A57" s="30" t="s">
        <v>37</v>
      </c>
      <c r="B57" s="47" t="s">
        <v>19</v>
      </c>
      <c r="C57" s="48" t="s">
        <v>48</v>
      </c>
      <c r="D57" s="16"/>
      <c r="E57" s="19">
        <v>13.0</v>
      </c>
      <c r="F57" s="19">
        <v>18.0</v>
      </c>
      <c r="G57" s="19">
        <v>12.0</v>
      </c>
      <c r="H57" s="19">
        <v>15.0</v>
      </c>
      <c r="I57" s="19">
        <v>18.0</v>
      </c>
      <c r="J57" s="19">
        <v>35.0</v>
      </c>
      <c r="K57" s="19">
        <v>13.0</v>
      </c>
      <c r="L57" s="19">
        <v>26.0</v>
      </c>
      <c r="M57" s="19">
        <v>29.0</v>
      </c>
      <c r="N57" s="19">
        <v>21.0</v>
      </c>
      <c r="O57" s="19">
        <v>28.0</v>
      </c>
      <c r="P57" s="19">
        <v>16.0</v>
      </c>
      <c r="Q57" s="19">
        <v>17.0</v>
      </c>
      <c r="R57" s="19">
        <v>17.0</v>
      </c>
      <c r="S57" s="19">
        <v>16.0</v>
      </c>
      <c r="T57" s="13">
        <f t="shared" ref="T57:T66" si="16">SUM(E57:S57)</f>
        <v>294</v>
      </c>
    </row>
    <row r="58" ht="12.75" customHeight="1">
      <c r="A58" s="30" t="s">
        <v>39</v>
      </c>
      <c r="B58" s="55">
        <v>1.0</v>
      </c>
      <c r="C58" s="50" t="s">
        <v>49</v>
      </c>
      <c r="D58" s="59"/>
      <c r="E58" s="19">
        <v>44.0</v>
      </c>
      <c r="F58" s="19">
        <v>100.0</v>
      </c>
      <c r="G58" s="19">
        <v>47.0</v>
      </c>
      <c r="H58" s="19">
        <v>63.0</v>
      </c>
      <c r="I58" s="19">
        <v>89.0</v>
      </c>
      <c r="J58" s="19">
        <v>61.0</v>
      </c>
      <c r="K58" s="19">
        <v>25.0</v>
      </c>
      <c r="L58" s="19">
        <v>60.0</v>
      </c>
      <c r="M58" s="19">
        <v>47.0</v>
      </c>
      <c r="N58" s="19">
        <v>46.0</v>
      </c>
      <c r="O58" s="19">
        <v>92.0</v>
      </c>
      <c r="P58" s="19">
        <v>58.0</v>
      </c>
      <c r="Q58" s="19">
        <v>41.0</v>
      </c>
      <c r="R58" s="19">
        <v>50.0</v>
      </c>
      <c r="S58" s="19">
        <v>75.0</v>
      </c>
      <c r="T58" s="13">
        <f t="shared" si="16"/>
        <v>898</v>
      </c>
    </row>
    <row r="59" ht="12.75" customHeight="1">
      <c r="A59" s="18"/>
      <c r="B59" s="55">
        <v>2.0</v>
      </c>
      <c r="C59" s="50" t="s">
        <v>50</v>
      </c>
      <c r="D59" s="59"/>
      <c r="E59" s="19">
        <v>1.0</v>
      </c>
      <c r="F59" s="19">
        <v>4.0</v>
      </c>
      <c r="G59" s="19">
        <v>8.0</v>
      </c>
      <c r="H59" s="19">
        <v>8.0</v>
      </c>
      <c r="I59" s="19">
        <v>9.0</v>
      </c>
      <c r="J59" s="19">
        <v>31.0</v>
      </c>
      <c r="K59" s="19">
        <v>2.0</v>
      </c>
      <c r="L59" s="19">
        <v>3.0</v>
      </c>
      <c r="M59" s="19">
        <v>18.0</v>
      </c>
      <c r="N59" s="19">
        <v>9.0</v>
      </c>
      <c r="O59" s="19">
        <v>8.0</v>
      </c>
      <c r="P59" s="19">
        <v>1.0</v>
      </c>
      <c r="Q59" s="19">
        <v>3.0</v>
      </c>
      <c r="R59" s="19">
        <v>4.0</v>
      </c>
      <c r="S59" s="19">
        <v>1.0</v>
      </c>
      <c r="T59" s="13">
        <f t="shared" si="16"/>
        <v>110</v>
      </c>
    </row>
    <row r="60" ht="12.75" customHeight="1">
      <c r="A60" s="18"/>
      <c r="B60" s="55">
        <v>3.0</v>
      </c>
      <c r="C60" s="50" t="s">
        <v>51</v>
      </c>
      <c r="D60" s="59"/>
      <c r="E60" s="19">
        <v>1.0</v>
      </c>
      <c r="F60" s="19">
        <v>2.0</v>
      </c>
      <c r="G60" s="19">
        <v>1.0</v>
      </c>
      <c r="H60" s="19">
        <v>2.0</v>
      </c>
      <c r="I60" s="19">
        <v>1.0</v>
      </c>
      <c r="J60" s="19">
        <v>2.0</v>
      </c>
      <c r="K60" s="19">
        <v>0.0</v>
      </c>
      <c r="L60" s="19">
        <v>1.0</v>
      </c>
      <c r="M60" s="19">
        <v>1.0</v>
      </c>
      <c r="N60" s="19">
        <v>0.0</v>
      </c>
      <c r="O60" s="19">
        <v>0.0</v>
      </c>
      <c r="P60" s="19">
        <v>1.0</v>
      </c>
      <c r="Q60" s="19">
        <v>2.0</v>
      </c>
      <c r="R60" s="19">
        <v>2.0</v>
      </c>
      <c r="S60" s="19">
        <v>0.0</v>
      </c>
      <c r="T60" s="13">
        <f t="shared" si="16"/>
        <v>16</v>
      </c>
    </row>
    <row r="61" ht="12.75" customHeight="1">
      <c r="A61" s="18"/>
      <c r="B61" s="55">
        <v>4.0</v>
      </c>
      <c r="C61" s="50" t="s">
        <v>52</v>
      </c>
      <c r="D61" s="59"/>
      <c r="E61" s="19">
        <v>2.0</v>
      </c>
      <c r="F61" s="19">
        <v>1.0</v>
      </c>
      <c r="G61" s="19">
        <v>0.0</v>
      </c>
      <c r="H61" s="19">
        <v>0.0</v>
      </c>
      <c r="I61" s="19">
        <v>2.0</v>
      </c>
      <c r="J61" s="19">
        <v>0.0</v>
      </c>
      <c r="K61" s="19">
        <v>1.0</v>
      </c>
      <c r="L61" s="19">
        <v>1.0</v>
      </c>
      <c r="M61" s="19">
        <v>3.0</v>
      </c>
      <c r="N61" s="19">
        <v>1.0</v>
      </c>
      <c r="O61" s="19">
        <v>0.0</v>
      </c>
      <c r="P61" s="19">
        <v>0.0</v>
      </c>
      <c r="Q61" s="19">
        <v>1.0</v>
      </c>
      <c r="R61" s="19">
        <v>0.0</v>
      </c>
      <c r="S61" s="19">
        <v>0.0</v>
      </c>
      <c r="T61" s="13">
        <f t="shared" si="16"/>
        <v>12</v>
      </c>
    </row>
    <row r="62" ht="12.75" customHeight="1">
      <c r="A62" s="18"/>
      <c r="B62" s="55">
        <v>5.0</v>
      </c>
      <c r="C62" s="50" t="s">
        <v>53</v>
      </c>
      <c r="D62" s="59"/>
      <c r="E62" s="19">
        <v>0.0</v>
      </c>
      <c r="F62" s="19">
        <v>1.0</v>
      </c>
      <c r="G62" s="19">
        <v>0.0</v>
      </c>
      <c r="H62" s="19">
        <v>0.0</v>
      </c>
      <c r="I62" s="19">
        <v>0.0</v>
      </c>
      <c r="J62" s="19">
        <v>0.0</v>
      </c>
      <c r="K62" s="19">
        <v>0.0</v>
      </c>
      <c r="L62" s="19">
        <v>0.0</v>
      </c>
      <c r="M62" s="19">
        <v>1.0</v>
      </c>
      <c r="N62" s="19">
        <v>0.0</v>
      </c>
      <c r="O62" s="19">
        <v>1.0</v>
      </c>
      <c r="P62" s="19">
        <v>0.0</v>
      </c>
      <c r="Q62" s="19">
        <v>0.0</v>
      </c>
      <c r="R62" s="19">
        <v>0.0</v>
      </c>
      <c r="S62" s="19">
        <v>1.0</v>
      </c>
      <c r="T62" s="13">
        <f t="shared" si="16"/>
        <v>4</v>
      </c>
    </row>
    <row r="63" ht="12.75" customHeight="1">
      <c r="A63" s="18"/>
      <c r="B63" s="55">
        <v>6.0</v>
      </c>
      <c r="C63" s="50" t="s">
        <v>54</v>
      </c>
      <c r="D63" s="60"/>
      <c r="E63" s="19">
        <v>0.0</v>
      </c>
      <c r="F63" s="19">
        <v>0.0</v>
      </c>
      <c r="G63" s="19">
        <v>0.0</v>
      </c>
      <c r="H63" s="19">
        <v>3.0</v>
      </c>
      <c r="I63" s="19">
        <v>2.0</v>
      </c>
      <c r="J63" s="19">
        <v>0.0</v>
      </c>
      <c r="K63" s="19">
        <v>1.0</v>
      </c>
      <c r="L63" s="19">
        <v>1.0</v>
      </c>
      <c r="M63" s="19">
        <v>0.0</v>
      </c>
      <c r="N63" s="19">
        <v>1.0</v>
      </c>
      <c r="O63" s="19">
        <v>0.0</v>
      </c>
      <c r="P63" s="19">
        <v>0.0</v>
      </c>
      <c r="Q63" s="19">
        <v>0.0</v>
      </c>
      <c r="R63" s="19">
        <v>0.0</v>
      </c>
      <c r="S63" s="19">
        <v>0.0</v>
      </c>
      <c r="T63" s="13">
        <f t="shared" si="16"/>
        <v>8</v>
      </c>
    </row>
    <row r="64" ht="12.75" customHeight="1">
      <c r="A64" s="18"/>
      <c r="B64" s="55">
        <v>7.0</v>
      </c>
      <c r="C64" s="50" t="s">
        <v>55</v>
      </c>
      <c r="D64" s="59"/>
      <c r="E64" s="19">
        <v>0.0</v>
      </c>
      <c r="F64" s="19">
        <v>1.0</v>
      </c>
      <c r="G64" s="19">
        <v>0.0</v>
      </c>
      <c r="H64" s="19">
        <v>0.0</v>
      </c>
      <c r="I64" s="19">
        <v>0.0</v>
      </c>
      <c r="J64" s="19">
        <v>1.0</v>
      </c>
      <c r="K64" s="19">
        <v>2.0</v>
      </c>
      <c r="L64" s="19">
        <v>0.0</v>
      </c>
      <c r="M64" s="19">
        <v>1.0</v>
      </c>
      <c r="N64" s="19">
        <v>0.0</v>
      </c>
      <c r="O64" s="19">
        <v>0.0</v>
      </c>
      <c r="P64" s="19">
        <v>0.0</v>
      </c>
      <c r="Q64" s="19">
        <v>0.0</v>
      </c>
      <c r="R64" s="19">
        <v>0.0</v>
      </c>
      <c r="S64" s="19">
        <v>1.0</v>
      </c>
      <c r="T64" s="13">
        <f t="shared" si="16"/>
        <v>6</v>
      </c>
    </row>
    <row r="65" ht="12.75" customHeight="1">
      <c r="A65" s="18"/>
      <c r="B65" s="56"/>
      <c r="C65" s="57"/>
      <c r="D65" s="61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3">
        <f t="shared" si="16"/>
        <v>0</v>
      </c>
    </row>
    <row r="66" ht="12.75" customHeight="1">
      <c r="A66" s="18"/>
      <c r="B66" s="56"/>
      <c r="C66" s="57"/>
      <c r="D66" s="61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3">
        <f t="shared" si="16"/>
        <v>0</v>
      </c>
    </row>
    <row r="67" ht="12.75" customHeight="1">
      <c r="A67" s="19" t="s">
        <v>15</v>
      </c>
      <c r="B67" s="47" t="s">
        <v>47</v>
      </c>
      <c r="C67" s="15"/>
      <c r="D67" s="16"/>
      <c r="E67" s="13">
        <f t="shared" ref="E67:T67" si="17">SUM(E57:E66)</f>
        <v>61</v>
      </c>
      <c r="F67" s="13">
        <f t="shared" si="17"/>
        <v>127</v>
      </c>
      <c r="G67" s="13">
        <f t="shared" si="17"/>
        <v>68</v>
      </c>
      <c r="H67" s="13">
        <f t="shared" si="17"/>
        <v>91</v>
      </c>
      <c r="I67" s="13">
        <f t="shared" si="17"/>
        <v>121</v>
      </c>
      <c r="J67" s="13">
        <f t="shared" si="17"/>
        <v>130</v>
      </c>
      <c r="K67" s="13">
        <f t="shared" si="17"/>
        <v>44</v>
      </c>
      <c r="L67" s="13">
        <f t="shared" si="17"/>
        <v>92</v>
      </c>
      <c r="M67" s="13">
        <f t="shared" si="17"/>
        <v>100</v>
      </c>
      <c r="N67" s="13">
        <f t="shared" si="17"/>
        <v>78</v>
      </c>
      <c r="O67" s="13">
        <f t="shared" si="17"/>
        <v>129</v>
      </c>
      <c r="P67" s="13">
        <f t="shared" si="17"/>
        <v>76</v>
      </c>
      <c r="Q67" s="13">
        <f t="shared" si="17"/>
        <v>64</v>
      </c>
      <c r="R67" s="13">
        <f t="shared" si="17"/>
        <v>73</v>
      </c>
      <c r="S67" s="13">
        <f t="shared" si="17"/>
        <v>94</v>
      </c>
      <c r="T67" s="13">
        <f t="shared" si="17"/>
        <v>1348</v>
      </c>
    </row>
    <row r="68" ht="12.75" customHeight="1">
      <c r="A68" s="45"/>
      <c r="B68" s="44"/>
      <c r="C68" s="44"/>
      <c r="D68" s="44"/>
      <c r="E68" s="44"/>
    </row>
    <row r="69" ht="12.75" customHeight="1">
      <c r="A69" s="30" t="s">
        <v>37</v>
      </c>
      <c r="B69" s="47" t="s">
        <v>21</v>
      </c>
      <c r="C69" s="48" t="s">
        <v>56</v>
      </c>
      <c r="D69" s="16"/>
      <c r="E69" s="19">
        <v>10.0</v>
      </c>
      <c r="F69" s="19">
        <v>8.0</v>
      </c>
      <c r="G69" s="19">
        <v>4.0</v>
      </c>
      <c r="H69" s="19">
        <v>7.0</v>
      </c>
      <c r="I69" s="19">
        <v>3.0</v>
      </c>
      <c r="J69" s="19">
        <v>10.0</v>
      </c>
      <c r="K69" s="19">
        <v>4.0</v>
      </c>
      <c r="L69" s="19">
        <v>5.0</v>
      </c>
      <c r="M69" s="19">
        <v>8.0</v>
      </c>
      <c r="N69" s="19">
        <v>14.0</v>
      </c>
      <c r="O69" s="19">
        <v>2.0</v>
      </c>
      <c r="P69" s="19">
        <v>15.0</v>
      </c>
      <c r="Q69" s="19">
        <v>6.0</v>
      </c>
      <c r="R69" s="19">
        <v>14.0</v>
      </c>
      <c r="S69" s="19">
        <v>2.0</v>
      </c>
      <c r="T69" s="13">
        <f t="shared" ref="T69:T78" si="18">SUM(E69:S69)</f>
        <v>112</v>
      </c>
    </row>
    <row r="70" ht="12.75" customHeight="1">
      <c r="A70" s="30" t="s">
        <v>39</v>
      </c>
      <c r="B70" s="55">
        <v>1.0</v>
      </c>
      <c r="C70" s="50" t="s">
        <v>57</v>
      </c>
      <c r="D70" s="60"/>
      <c r="E70" s="19">
        <v>0.0</v>
      </c>
      <c r="F70" s="19">
        <v>7.0</v>
      </c>
      <c r="G70" s="19">
        <v>1.0</v>
      </c>
      <c r="H70" s="19">
        <v>3.0</v>
      </c>
      <c r="I70" s="19">
        <v>1.0</v>
      </c>
      <c r="J70" s="19">
        <v>4.0</v>
      </c>
      <c r="K70" s="19">
        <v>1.0</v>
      </c>
      <c r="L70" s="19">
        <v>5.0</v>
      </c>
      <c r="M70" s="19">
        <v>1.0</v>
      </c>
      <c r="N70" s="19">
        <v>3.0</v>
      </c>
      <c r="O70" s="19">
        <v>0.0</v>
      </c>
      <c r="P70" s="19">
        <v>3.0</v>
      </c>
      <c r="Q70" s="19">
        <v>1.0</v>
      </c>
      <c r="R70" s="19">
        <v>2.0</v>
      </c>
      <c r="S70" s="19">
        <v>3.0</v>
      </c>
      <c r="T70" s="13">
        <f t="shared" si="18"/>
        <v>35</v>
      </c>
    </row>
    <row r="71" ht="12.75" customHeight="1">
      <c r="A71" s="18"/>
      <c r="B71" s="55">
        <v>2.0</v>
      </c>
      <c r="C71" s="50" t="s">
        <v>58</v>
      </c>
      <c r="D71" s="60"/>
      <c r="E71" s="19">
        <v>4.0</v>
      </c>
      <c r="F71" s="19">
        <v>5.0</v>
      </c>
      <c r="G71" s="19">
        <v>2.0</v>
      </c>
      <c r="H71" s="19">
        <v>3.0</v>
      </c>
      <c r="I71" s="19">
        <v>2.0</v>
      </c>
      <c r="J71" s="19">
        <v>1.0</v>
      </c>
      <c r="K71" s="19">
        <v>0.0</v>
      </c>
      <c r="L71" s="19">
        <v>3.0</v>
      </c>
      <c r="M71" s="19">
        <v>6.0</v>
      </c>
      <c r="N71" s="19">
        <v>5.0</v>
      </c>
      <c r="O71" s="19">
        <v>0.0</v>
      </c>
      <c r="P71" s="19">
        <v>5.0</v>
      </c>
      <c r="Q71" s="19">
        <v>4.0</v>
      </c>
      <c r="R71" s="19">
        <v>2.0</v>
      </c>
      <c r="S71" s="19">
        <v>0.0</v>
      </c>
      <c r="T71" s="13">
        <f t="shared" si="18"/>
        <v>42</v>
      </c>
    </row>
    <row r="72" ht="12.75" customHeight="1">
      <c r="A72" s="18"/>
      <c r="B72" s="55">
        <v>3.0</v>
      </c>
      <c r="C72" s="50" t="s">
        <v>59</v>
      </c>
      <c r="D72" s="60"/>
      <c r="E72" s="19">
        <v>16.0</v>
      </c>
      <c r="F72" s="19">
        <v>0.0</v>
      </c>
      <c r="G72" s="19">
        <v>9.0</v>
      </c>
      <c r="H72" s="19">
        <v>0.0</v>
      </c>
      <c r="I72" s="19">
        <v>0.0</v>
      </c>
      <c r="J72" s="19">
        <v>0.0</v>
      </c>
      <c r="K72" s="19">
        <v>25.0</v>
      </c>
      <c r="L72" s="19">
        <v>2.0</v>
      </c>
      <c r="M72" s="19">
        <v>4.0</v>
      </c>
      <c r="N72" s="19">
        <v>2.0</v>
      </c>
      <c r="O72" s="19">
        <v>0.0</v>
      </c>
      <c r="P72" s="19">
        <v>4.0</v>
      </c>
      <c r="Q72" s="19">
        <v>1.0</v>
      </c>
      <c r="R72" s="19">
        <v>3.0</v>
      </c>
      <c r="S72" s="19">
        <v>1.0</v>
      </c>
      <c r="T72" s="13">
        <f t="shared" si="18"/>
        <v>67</v>
      </c>
    </row>
    <row r="73" ht="12.75" customHeight="1">
      <c r="A73" s="18"/>
      <c r="B73" s="55">
        <v>4.0</v>
      </c>
      <c r="C73" s="50" t="s">
        <v>60</v>
      </c>
      <c r="D73" s="60"/>
      <c r="E73" s="19">
        <v>1.0</v>
      </c>
      <c r="F73" s="19">
        <v>0.0</v>
      </c>
      <c r="G73" s="19">
        <v>0.0</v>
      </c>
      <c r="H73" s="19">
        <v>0.0</v>
      </c>
      <c r="I73" s="19">
        <v>0.0</v>
      </c>
      <c r="J73" s="19">
        <v>0.0</v>
      </c>
      <c r="K73" s="19">
        <v>0.0</v>
      </c>
      <c r="L73" s="19">
        <v>0.0</v>
      </c>
      <c r="M73" s="19">
        <v>1.0</v>
      </c>
      <c r="N73" s="19">
        <v>1.0</v>
      </c>
      <c r="O73" s="19">
        <v>0.0</v>
      </c>
      <c r="P73" s="19">
        <v>0.0</v>
      </c>
      <c r="Q73" s="19">
        <v>0.0</v>
      </c>
      <c r="R73" s="19">
        <v>1.0</v>
      </c>
      <c r="S73" s="19">
        <v>0.0</v>
      </c>
      <c r="T73" s="13">
        <f t="shared" si="18"/>
        <v>4</v>
      </c>
    </row>
    <row r="74" ht="12.75" customHeight="1">
      <c r="A74" s="18"/>
      <c r="B74" s="55">
        <v>5.0</v>
      </c>
      <c r="C74" s="50" t="s">
        <v>61</v>
      </c>
      <c r="D74" s="60"/>
      <c r="E74" s="19">
        <v>1.0</v>
      </c>
      <c r="F74" s="19">
        <v>6.0</v>
      </c>
      <c r="G74" s="19">
        <v>0.0</v>
      </c>
      <c r="H74" s="19">
        <v>2.0</v>
      </c>
      <c r="I74" s="19">
        <v>0.0</v>
      </c>
      <c r="J74" s="19">
        <v>1.0</v>
      </c>
      <c r="K74" s="19">
        <v>0.0</v>
      </c>
      <c r="L74" s="19">
        <v>0.0</v>
      </c>
      <c r="M74" s="19">
        <v>2.0</v>
      </c>
      <c r="N74" s="19">
        <v>2.0</v>
      </c>
      <c r="O74" s="19">
        <v>0.0</v>
      </c>
      <c r="P74" s="19">
        <v>2.0</v>
      </c>
      <c r="Q74" s="19">
        <v>0.0</v>
      </c>
      <c r="R74" s="19">
        <v>0.0</v>
      </c>
      <c r="S74" s="19">
        <v>0.0</v>
      </c>
      <c r="T74" s="13">
        <f t="shared" si="18"/>
        <v>16</v>
      </c>
    </row>
    <row r="75" ht="12.75" customHeight="1">
      <c r="A75" s="18"/>
      <c r="B75" s="55">
        <v>6.0</v>
      </c>
      <c r="C75" s="50" t="s">
        <v>62</v>
      </c>
      <c r="D75" s="60"/>
      <c r="E75" s="19">
        <v>1.0</v>
      </c>
      <c r="F75" s="19">
        <v>1.0</v>
      </c>
      <c r="G75" s="19">
        <v>0.0</v>
      </c>
      <c r="H75" s="19">
        <v>0.0</v>
      </c>
      <c r="I75" s="19">
        <v>2.0</v>
      </c>
      <c r="J75" s="19">
        <v>1.0</v>
      </c>
      <c r="K75" s="19">
        <v>0.0</v>
      </c>
      <c r="L75" s="19">
        <v>0.0</v>
      </c>
      <c r="M75" s="19">
        <v>0.0</v>
      </c>
      <c r="N75" s="19">
        <v>0.0</v>
      </c>
      <c r="O75" s="19">
        <v>1.0</v>
      </c>
      <c r="P75" s="19">
        <v>1.0</v>
      </c>
      <c r="Q75" s="19">
        <v>5.0</v>
      </c>
      <c r="R75" s="19">
        <v>2.0</v>
      </c>
      <c r="S75" s="19">
        <v>0.0</v>
      </c>
      <c r="T75" s="13">
        <f t="shared" si="18"/>
        <v>14</v>
      </c>
    </row>
    <row r="76" ht="12.75" customHeight="1">
      <c r="A76" s="18"/>
      <c r="B76" s="55">
        <v>7.0</v>
      </c>
      <c r="C76" s="50" t="s">
        <v>63</v>
      </c>
      <c r="D76" s="60"/>
      <c r="E76" s="19">
        <v>1.0</v>
      </c>
      <c r="F76" s="19">
        <v>1.0</v>
      </c>
      <c r="G76" s="19">
        <v>8.0</v>
      </c>
      <c r="H76" s="19">
        <v>4.0</v>
      </c>
      <c r="I76" s="19">
        <v>0.0</v>
      </c>
      <c r="J76" s="19">
        <v>3.0</v>
      </c>
      <c r="K76" s="19">
        <v>11.0</v>
      </c>
      <c r="L76" s="19">
        <v>3.0</v>
      </c>
      <c r="M76" s="19">
        <v>2.0</v>
      </c>
      <c r="N76" s="19">
        <v>6.0</v>
      </c>
      <c r="O76" s="19">
        <v>2.0</v>
      </c>
      <c r="P76" s="19">
        <v>21.0</v>
      </c>
      <c r="Q76" s="19">
        <v>31.0</v>
      </c>
      <c r="R76" s="19">
        <v>7.0</v>
      </c>
      <c r="S76" s="19">
        <v>23.0</v>
      </c>
      <c r="T76" s="13">
        <f t="shared" si="18"/>
        <v>123</v>
      </c>
    </row>
    <row r="77" ht="12.75" customHeight="1">
      <c r="A77" s="18"/>
      <c r="B77" s="56"/>
      <c r="C77" s="57"/>
      <c r="D77" s="62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3">
        <f t="shared" si="18"/>
        <v>0</v>
      </c>
    </row>
    <row r="78" ht="12.75" customHeight="1">
      <c r="A78" s="18"/>
      <c r="B78" s="56"/>
      <c r="C78" s="57"/>
      <c r="D78" s="62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3">
        <f t="shared" si="18"/>
        <v>0</v>
      </c>
    </row>
    <row r="79" ht="12.75" customHeight="1">
      <c r="A79" s="19" t="s">
        <v>15</v>
      </c>
      <c r="B79" s="47" t="s">
        <v>47</v>
      </c>
      <c r="C79" s="15"/>
      <c r="D79" s="16"/>
      <c r="E79" s="13">
        <f t="shared" ref="E79:T79" si="19">SUM(E69:E78)</f>
        <v>34</v>
      </c>
      <c r="F79" s="13">
        <f t="shared" si="19"/>
        <v>28</v>
      </c>
      <c r="G79" s="13">
        <f t="shared" si="19"/>
        <v>24</v>
      </c>
      <c r="H79" s="13">
        <f t="shared" si="19"/>
        <v>19</v>
      </c>
      <c r="I79" s="13">
        <f t="shared" si="19"/>
        <v>8</v>
      </c>
      <c r="J79" s="13">
        <f t="shared" si="19"/>
        <v>20</v>
      </c>
      <c r="K79" s="13">
        <f t="shared" si="19"/>
        <v>41</v>
      </c>
      <c r="L79" s="13">
        <f t="shared" si="19"/>
        <v>18</v>
      </c>
      <c r="M79" s="13">
        <f t="shared" si="19"/>
        <v>24</v>
      </c>
      <c r="N79" s="13">
        <f t="shared" si="19"/>
        <v>33</v>
      </c>
      <c r="O79" s="13">
        <f t="shared" si="19"/>
        <v>5</v>
      </c>
      <c r="P79" s="13">
        <f t="shared" si="19"/>
        <v>51</v>
      </c>
      <c r="Q79" s="13">
        <f t="shared" si="19"/>
        <v>48</v>
      </c>
      <c r="R79" s="13">
        <f t="shared" si="19"/>
        <v>31</v>
      </c>
      <c r="S79" s="13">
        <f t="shared" si="19"/>
        <v>29</v>
      </c>
      <c r="T79" s="13">
        <f t="shared" si="19"/>
        <v>413</v>
      </c>
    </row>
    <row r="80" ht="12.75" customHeight="1">
      <c r="A80" s="45"/>
      <c r="B80" s="44"/>
      <c r="C80" s="44"/>
      <c r="D80" s="44"/>
      <c r="E80" s="44"/>
    </row>
    <row r="81" ht="12.75" customHeight="1">
      <c r="A81" s="30" t="s">
        <v>37</v>
      </c>
      <c r="B81" s="47" t="s">
        <v>23</v>
      </c>
      <c r="C81" s="48" t="s">
        <v>64</v>
      </c>
      <c r="D81" s="16"/>
      <c r="E81" s="19">
        <v>3.0</v>
      </c>
      <c r="F81" s="19">
        <v>6.0</v>
      </c>
      <c r="G81" s="19">
        <v>2.0</v>
      </c>
      <c r="H81" s="19">
        <v>1.0</v>
      </c>
      <c r="I81" s="19">
        <v>3.0</v>
      </c>
      <c r="J81" s="19">
        <v>4.0</v>
      </c>
      <c r="K81" s="19">
        <v>6.0</v>
      </c>
      <c r="L81" s="19">
        <v>8.0</v>
      </c>
      <c r="M81" s="19">
        <v>9.0</v>
      </c>
      <c r="N81" s="19">
        <v>4.0</v>
      </c>
      <c r="O81" s="19">
        <v>1.0</v>
      </c>
      <c r="P81" s="19">
        <v>2.0</v>
      </c>
      <c r="Q81" s="19">
        <v>9.0</v>
      </c>
      <c r="R81" s="19">
        <v>2.0</v>
      </c>
      <c r="S81" s="19">
        <v>2.0</v>
      </c>
      <c r="T81" s="13">
        <f t="shared" ref="T81:T90" si="20">SUM(E81:S81)</f>
        <v>62</v>
      </c>
    </row>
    <row r="82" ht="12.75" customHeight="1">
      <c r="A82" s="30" t="s">
        <v>39</v>
      </c>
      <c r="B82" s="55">
        <v>1.0</v>
      </c>
      <c r="C82" s="50" t="s">
        <v>65</v>
      </c>
      <c r="D82" s="60"/>
      <c r="E82" s="19">
        <v>9.0</v>
      </c>
      <c r="F82" s="19">
        <v>9.0</v>
      </c>
      <c r="G82" s="19">
        <v>10.0</v>
      </c>
      <c r="H82" s="19">
        <v>15.0</v>
      </c>
      <c r="I82" s="19">
        <v>10.0</v>
      </c>
      <c r="J82" s="19">
        <v>17.0</v>
      </c>
      <c r="K82" s="19">
        <v>36.0</v>
      </c>
      <c r="L82" s="19">
        <v>3.0</v>
      </c>
      <c r="M82" s="19">
        <v>5.0</v>
      </c>
      <c r="N82" s="19">
        <v>11.0</v>
      </c>
      <c r="O82" s="19">
        <v>0.0</v>
      </c>
      <c r="P82" s="19">
        <v>11.0</v>
      </c>
      <c r="Q82" s="19">
        <v>27.0</v>
      </c>
      <c r="R82" s="19">
        <v>3.0</v>
      </c>
      <c r="S82" s="19">
        <v>4.0</v>
      </c>
      <c r="T82" s="13">
        <f t="shared" si="20"/>
        <v>170</v>
      </c>
    </row>
    <row r="83" ht="12.75" customHeight="1">
      <c r="A83" s="18"/>
      <c r="B83" s="55">
        <v>2.0</v>
      </c>
      <c r="C83" s="50" t="s">
        <v>66</v>
      </c>
      <c r="D83" s="60"/>
      <c r="E83" s="19">
        <v>2.0</v>
      </c>
      <c r="F83" s="19">
        <v>1.0</v>
      </c>
      <c r="G83" s="19">
        <v>0.0</v>
      </c>
      <c r="H83" s="19">
        <v>0.0</v>
      </c>
      <c r="I83" s="19">
        <v>1.0</v>
      </c>
      <c r="J83" s="19">
        <v>0.0</v>
      </c>
      <c r="K83" s="19">
        <v>0.0</v>
      </c>
      <c r="L83" s="19">
        <v>6.0</v>
      </c>
      <c r="M83" s="19">
        <v>2.0</v>
      </c>
      <c r="N83" s="19">
        <v>2.0</v>
      </c>
      <c r="O83" s="19">
        <v>0.0</v>
      </c>
      <c r="P83" s="19">
        <v>0.0</v>
      </c>
      <c r="Q83" s="19">
        <v>0.0</v>
      </c>
      <c r="R83" s="19">
        <v>2.0</v>
      </c>
      <c r="S83" s="19">
        <v>0.0</v>
      </c>
      <c r="T83" s="13">
        <f t="shared" si="20"/>
        <v>16</v>
      </c>
    </row>
    <row r="84" ht="12.75" customHeight="1">
      <c r="A84" s="18"/>
      <c r="B84" s="55">
        <v>3.0</v>
      </c>
      <c r="C84" s="50" t="s">
        <v>67</v>
      </c>
      <c r="D84" s="60"/>
      <c r="E84" s="19">
        <v>0.0</v>
      </c>
      <c r="F84" s="19">
        <v>0.0</v>
      </c>
      <c r="G84" s="19">
        <v>0.0</v>
      </c>
      <c r="H84" s="19">
        <v>0.0</v>
      </c>
      <c r="I84" s="19">
        <v>0.0</v>
      </c>
      <c r="J84" s="19">
        <v>1.0</v>
      </c>
      <c r="K84" s="19">
        <v>0.0</v>
      </c>
      <c r="L84" s="19">
        <v>0.0</v>
      </c>
      <c r="M84" s="19">
        <v>0.0</v>
      </c>
      <c r="N84" s="19">
        <v>0.0</v>
      </c>
      <c r="O84" s="19">
        <v>0.0</v>
      </c>
      <c r="P84" s="19">
        <v>0.0</v>
      </c>
      <c r="Q84" s="19">
        <v>1.0</v>
      </c>
      <c r="R84" s="19">
        <v>0.0</v>
      </c>
      <c r="S84" s="19">
        <v>0.0</v>
      </c>
      <c r="T84" s="13">
        <f t="shared" si="20"/>
        <v>2</v>
      </c>
    </row>
    <row r="85" ht="12.75" customHeight="1">
      <c r="A85" s="18"/>
      <c r="B85" s="55">
        <v>4.0</v>
      </c>
      <c r="C85" s="50" t="s">
        <v>68</v>
      </c>
      <c r="D85" s="60"/>
      <c r="E85" s="19">
        <v>1.0</v>
      </c>
      <c r="F85" s="19">
        <v>1.0</v>
      </c>
      <c r="G85" s="19">
        <v>0.0</v>
      </c>
      <c r="H85" s="19">
        <v>0.0</v>
      </c>
      <c r="I85" s="19">
        <v>0.0</v>
      </c>
      <c r="J85" s="19">
        <v>1.0</v>
      </c>
      <c r="K85" s="19">
        <v>1.0</v>
      </c>
      <c r="L85" s="19">
        <v>0.0</v>
      </c>
      <c r="M85" s="19">
        <v>1.0</v>
      </c>
      <c r="N85" s="19">
        <v>0.0</v>
      </c>
      <c r="O85" s="19">
        <v>0.0</v>
      </c>
      <c r="P85" s="19">
        <v>0.0</v>
      </c>
      <c r="Q85" s="19">
        <v>2.0</v>
      </c>
      <c r="R85" s="19">
        <v>1.0</v>
      </c>
      <c r="S85" s="19">
        <v>3.0</v>
      </c>
      <c r="T85" s="13">
        <f t="shared" si="20"/>
        <v>11</v>
      </c>
    </row>
    <row r="86" ht="12.75" customHeight="1">
      <c r="A86" s="18"/>
      <c r="B86" s="55">
        <v>5.0</v>
      </c>
      <c r="C86" s="50" t="s">
        <v>69</v>
      </c>
      <c r="D86" s="60"/>
      <c r="E86" s="19">
        <v>0.0</v>
      </c>
      <c r="F86" s="19">
        <v>0.0</v>
      </c>
      <c r="G86" s="19">
        <v>0.0</v>
      </c>
      <c r="H86" s="19">
        <v>0.0</v>
      </c>
      <c r="I86" s="19">
        <v>0.0</v>
      </c>
      <c r="J86" s="19">
        <v>0.0</v>
      </c>
      <c r="K86" s="19">
        <v>0.0</v>
      </c>
      <c r="L86" s="19">
        <v>0.0</v>
      </c>
      <c r="M86" s="19">
        <v>0.0</v>
      </c>
      <c r="N86" s="19">
        <v>0.0</v>
      </c>
      <c r="O86" s="19">
        <v>0.0</v>
      </c>
      <c r="P86" s="19">
        <v>3.0</v>
      </c>
      <c r="Q86" s="19">
        <v>0.0</v>
      </c>
      <c r="R86" s="19">
        <v>0.0</v>
      </c>
      <c r="S86" s="19">
        <v>0.0</v>
      </c>
      <c r="T86" s="13">
        <f t="shared" si="20"/>
        <v>3</v>
      </c>
    </row>
    <row r="87" ht="12.75" customHeight="1">
      <c r="A87" s="18"/>
      <c r="B87" s="55">
        <v>6.0</v>
      </c>
      <c r="C87" s="50" t="s">
        <v>70</v>
      </c>
      <c r="D87" s="60"/>
      <c r="E87" s="19">
        <v>0.0</v>
      </c>
      <c r="F87" s="19">
        <v>0.0</v>
      </c>
      <c r="G87" s="19">
        <v>0.0</v>
      </c>
      <c r="H87" s="19">
        <v>0.0</v>
      </c>
      <c r="I87" s="19">
        <v>0.0</v>
      </c>
      <c r="J87" s="19">
        <v>0.0</v>
      </c>
      <c r="K87" s="19">
        <v>0.0</v>
      </c>
      <c r="L87" s="19">
        <v>0.0</v>
      </c>
      <c r="M87" s="19">
        <v>0.0</v>
      </c>
      <c r="N87" s="19">
        <v>0.0</v>
      </c>
      <c r="O87" s="19">
        <v>0.0</v>
      </c>
      <c r="P87" s="19">
        <v>0.0</v>
      </c>
      <c r="Q87" s="19">
        <v>1.0</v>
      </c>
      <c r="R87" s="19">
        <v>0.0</v>
      </c>
      <c r="S87" s="19">
        <v>0.0</v>
      </c>
      <c r="T87" s="13">
        <f t="shared" si="20"/>
        <v>1</v>
      </c>
    </row>
    <row r="88" ht="12.75" customHeight="1">
      <c r="A88" s="18"/>
      <c r="B88" s="55">
        <v>7.0</v>
      </c>
      <c r="C88" s="50" t="s">
        <v>71</v>
      </c>
      <c r="D88" s="60"/>
      <c r="E88" s="19">
        <v>0.0</v>
      </c>
      <c r="F88" s="19">
        <v>0.0</v>
      </c>
      <c r="G88" s="19">
        <v>0.0</v>
      </c>
      <c r="H88" s="19">
        <v>0.0</v>
      </c>
      <c r="I88" s="19">
        <v>0.0</v>
      </c>
      <c r="J88" s="19">
        <v>0.0</v>
      </c>
      <c r="K88" s="19">
        <v>0.0</v>
      </c>
      <c r="L88" s="19">
        <v>0.0</v>
      </c>
      <c r="M88" s="19">
        <v>1.0</v>
      </c>
      <c r="N88" s="19">
        <v>0.0</v>
      </c>
      <c r="O88" s="19">
        <v>0.0</v>
      </c>
      <c r="P88" s="19">
        <v>0.0</v>
      </c>
      <c r="Q88" s="19">
        <v>0.0</v>
      </c>
      <c r="R88" s="19">
        <v>0.0</v>
      </c>
      <c r="S88" s="19">
        <v>0.0</v>
      </c>
      <c r="T88" s="13">
        <f t="shared" si="20"/>
        <v>1</v>
      </c>
    </row>
    <row r="89" ht="12.75" customHeight="1">
      <c r="A89" s="18"/>
      <c r="B89" s="56"/>
      <c r="C89" s="57"/>
      <c r="D89" s="62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3">
        <f t="shared" si="20"/>
        <v>0</v>
      </c>
    </row>
    <row r="90" ht="12.75" customHeight="1">
      <c r="A90" s="18"/>
      <c r="B90" s="56"/>
      <c r="C90" s="57"/>
      <c r="D90" s="62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3">
        <f t="shared" si="20"/>
        <v>0</v>
      </c>
    </row>
    <row r="91" ht="12.75" customHeight="1">
      <c r="A91" s="19" t="s">
        <v>15</v>
      </c>
      <c r="B91" s="47" t="s">
        <v>47</v>
      </c>
      <c r="C91" s="15"/>
      <c r="D91" s="16"/>
      <c r="E91" s="13">
        <f t="shared" ref="E91:T91" si="21">SUM(E81:E90)</f>
        <v>15</v>
      </c>
      <c r="F91" s="13">
        <f t="shared" si="21"/>
        <v>17</v>
      </c>
      <c r="G91" s="13">
        <f t="shared" si="21"/>
        <v>12</v>
      </c>
      <c r="H91" s="13">
        <f t="shared" si="21"/>
        <v>16</v>
      </c>
      <c r="I91" s="13">
        <f t="shared" si="21"/>
        <v>14</v>
      </c>
      <c r="J91" s="13">
        <f t="shared" si="21"/>
        <v>23</v>
      </c>
      <c r="K91" s="13">
        <f t="shared" si="21"/>
        <v>43</v>
      </c>
      <c r="L91" s="13">
        <f t="shared" si="21"/>
        <v>17</v>
      </c>
      <c r="M91" s="13">
        <f t="shared" si="21"/>
        <v>18</v>
      </c>
      <c r="N91" s="13">
        <f t="shared" si="21"/>
        <v>17</v>
      </c>
      <c r="O91" s="13">
        <f t="shared" si="21"/>
        <v>1</v>
      </c>
      <c r="P91" s="13">
        <f t="shared" si="21"/>
        <v>16</v>
      </c>
      <c r="Q91" s="13">
        <f t="shared" si="21"/>
        <v>40</v>
      </c>
      <c r="R91" s="13">
        <f t="shared" si="21"/>
        <v>8</v>
      </c>
      <c r="S91" s="13">
        <f t="shared" si="21"/>
        <v>9</v>
      </c>
      <c r="T91" s="13">
        <f t="shared" si="21"/>
        <v>266</v>
      </c>
    </row>
    <row r="92" ht="12.75" customHeight="1">
      <c r="A92" s="45"/>
      <c r="B92" s="44"/>
      <c r="C92" s="44"/>
      <c r="D92" s="44"/>
      <c r="E92" s="44"/>
    </row>
    <row r="93" ht="12.75" customHeight="1">
      <c r="A93" s="30" t="s">
        <v>37</v>
      </c>
      <c r="B93" s="47" t="s">
        <v>72</v>
      </c>
      <c r="C93" s="48" t="s">
        <v>73</v>
      </c>
      <c r="D93" s="16"/>
      <c r="E93" s="19">
        <v>0.0</v>
      </c>
      <c r="F93" s="19">
        <v>0.0</v>
      </c>
      <c r="G93" s="19">
        <v>0.0</v>
      </c>
      <c r="H93" s="19">
        <v>3.0</v>
      </c>
      <c r="I93" s="19">
        <v>0.0</v>
      </c>
      <c r="J93" s="19">
        <v>0.0</v>
      </c>
      <c r="K93" s="19">
        <v>0.0</v>
      </c>
      <c r="L93" s="19">
        <v>0.0</v>
      </c>
      <c r="M93" s="19">
        <v>1.0</v>
      </c>
      <c r="N93" s="19">
        <v>1.0</v>
      </c>
      <c r="O93" s="19">
        <v>2.0</v>
      </c>
      <c r="P93" s="19">
        <v>1.0</v>
      </c>
      <c r="Q93" s="19">
        <v>0.0</v>
      </c>
      <c r="R93" s="19">
        <v>1.0</v>
      </c>
      <c r="S93" s="19">
        <v>0.0</v>
      </c>
      <c r="T93" s="13">
        <f t="shared" ref="T93:T102" si="22">SUM(E93:S93)</f>
        <v>9</v>
      </c>
    </row>
    <row r="94" ht="12.75" customHeight="1">
      <c r="A94" s="30" t="s">
        <v>39</v>
      </c>
      <c r="B94" s="55">
        <v>1.0</v>
      </c>
      <c r="C94" s="50" t="s">
        <v>74</v>
      </c>
      <c r="D94" s="60"/>
      <c r="E94" s="19">
        <v>11.0</v>
      </c>
      <c r="F94" s="19">
        <v>3.0</v>
      </c>
      <c r="G94" s="19">
        <v>1.0</v>
      </c>
      <c r="H94" s="19">
        <v>1.0</v>
      </c>
      <c r="I94" s="19">
        <v>0.0</v>
      </c>
      <c r="J94" s="19">
        <v>0.0</v>
      </c>
      <c r="K94" s="19">
        <v>0.0</v>
      </c>
      <c r="L94" s="19">
        <v>2.0</v>
      </c>
      <c r="M94" s="19">
        <v>3.0</v>
      </c>
      <c r="N94" s="19">
        <v>3.0</v>
      </c>
      <c r="O94" s="19">
        <v>9.0</v>
      </c>
      <c r="P94" s="19">
        <v>1.0</v>
      </c>
      <c r="Q94" s="19">
        <v>0.0</v>
      </c>
      <c r="R94" s="19">
        <v>0.0</v>
      </c>
      <c r="S94" s="19">
        <v>0.0</v>
      </c>
      <c r="T94" s="13">
        <f t="shared" si="22"/>
        <v>34</v>
      </c>
    </row>
    <row r="95" ht="12.75" customHeight="1">
      <c r="A95" s="18"/>
      <c r="B95" s="55">
        <v>2.0</v>
      </c>
      <c r="C95" s="50" t="s">
        <v>75</v>
      </c>
      <c r="D95" s="60"/>
      <c r="E95" s="19">
        <v>0.0</v>
      </c>
      <c r="F95" s="19">
        <v>0.0</v>
      </c>
      <c r="G95" s="19">
        <v>0.0</v>
      </c>
      <c r="H95" s="19">
        <v>0.0</v>
      </c>
      <c r="I95" s="19">
        <v>0.0</v>
      </c>
      <c r="J95" s="19">
        <v>1.0</v>
      </c>
      <c r="K95" s="19">
        <v>0.0</v>
      </c>
      <c r="L95" s="19">
        <v>0.0</v>
      </c>
      <c r="M95" s="19">
        <v>0.0</v>
      </c>
      <c r="N95" s="19">
        <v>1.0</v>
      </c>
      <c r="O95" s="19">
        <v>0.0</v>
      </c>
      <c r="P95" s="19">
        <v>0.0</v>
      </c>
      <c r="Q95" s="19">
        <v>0.0</v>
      </c>
      <c r="R95" s="19">
        <v>0.0</v>
      </c>
      <c r="S95" s="19">
        <v>0.0</v>
      </c>
      <c r="T95" s="13">
        <f t="shared" si="22"/>
        <v>2</v>
      </c>
    </row>
    <row r="96" ht="12.75" customHeight="1">
      <c r="A96" s="18"/>
      <c r="B96" s="55">
        <v>3.0</v>
      </c>
      <c r="C96" s="50" t="s">
        <v>76</v>
      </c>
      <c r="D96" s="60"/>
      <c r="E96" s="19">
        <v>0.0</v>
      </c>
      <c r="F96" s="19">
        <v>0.0</v>
      </c>
      <c r="G96" s="19">
        <v>0.0</v>
      </c>
      <c r="H96" s="19">
        <v>0.0</v>
      </c>
      <c r="I96" s="19">
        <v>0.0</v>
      </c>
      <c r="J96" s="19">
        <v>0.0</v>
      </c>
      <c r="K96" s="19">
        <v>0.0</v>
      </c>
      <c r="L96" s="19">
        <v>0.0</v>
      </c>
      <c r="M96" s="19">
        <v>0.0</v>
      </c>
      <c r="N96" s="19">
        <v>0.0</v>
      </c>
      <c r="O96" s="19">
        <v>0.0</v>
      </c>
      <c r="P96" s="19">
        <v>1.0</v>
      </c>
      <c r="Q96" s="19">
        <v>0.0</v>
      </c>
      <c r="R96" s="19">
        <v>0.0</v>
      </c>
      <c r="S96" s="19">
        <v>0.0</v>
      </c>
      <c r="T96" s="13">
        <f t="shared" si="22"/>
        <v>1</v>
      </c>
    </row>
    <row r="97" ht="12.75" customHeight="1">
      <c r="A97" s="18"/>
      <c r="B97" s="55">
        <v>4.0</v>
      </c>
      <c r="C97" s="50" t="s">
        <v>77</v>
      </c>
      <c r="D97" s="60"/>
      <c r="E97" s="19">
        <v>0.0</v>
      </c>
      <c r="F97" s="19">
        <v>1.0</v>
      </c>
      <c r="G97" s="19">
        <v>0.0</v>
      </c>
      <c r="H97" s="19">
        <v>1.0</v>
      </c>
      <c r="I97" s="19">
        <v>0.0</v>
      </c>
      <c r="J97" s="19">
        <v>0.0</v>
      </c>
      <c r="K97" s="19">
        <v>1.0</v>
      </c>
      <c r="L97" s="19">
        <v>0.0</v>
      </c>
      <c r="M97" s="19">
        <v>0.0</v>
      </c>
      <c r="N97" s="19">
        <v>0.0</v>
      </c>
      <c r="O97" s="19">
        <v>0.0</v>
      </c>
      <c r="P97" s="19">
        <v>0.0</v>
      </c>
      <c r="Q97" s="19">
        <v>0.0</v>
      </c>
      <c r="R97" s="19">
        <v>0.0</v>
      </c>
      <c r="S97" s="19">
        <v>0.0</v>
      </c>
      <c r="T97" s="13">
        <f t="shared" si="22"/>
        <v>3</v>
      </c>
    </row>
    <row r="98" ht="12.75" customHeight="1">
      <c r="A98" s="18"/>
      <c r="B98" s="55">
        <v>5.0</v>
      </c>
      <c r="C98" s="50" t="s">
        <v>78</v>
      </c>
      <c r="D98" s="60"/>
      <c r="E98" s="19">
        <v>0.0</v>
      </c>
      <c r="F98" s="19">
        <v>0.0</v>
      </c>
      <c r="G98" s="19">
        <v>0.0</v>
      </c>
      <c r="H98" s="19">
        <v>0.0</v>
      </c>
      <c r="I98" s="19">
        <v>0.0</v>
      </c>
      <c r="J98" s="19">
        <v>0.0</v>
      </c>
      <c r="K98" s="19">
        <v>0.0</v>
      </c>
      <c r="L98" s="19">
        <v>0.0</v>
      </c>
      <c r="M98" s="19">
        <v>0.0</v>
      </c>
      <c r="N98" s="19">
        <v>0.0</v>
      </c>
      <c r="O98" s="19">
        <v>0.0</v>
      </c>
      <c r="P98" s="19">
        <v>1.0</v>
      </c>
      <c r="Q98" s="19">
        <v>0.0</v>
      </c>
      <c r="R98" s="19">
        <v>0.0</v>
      </c>
      <c r="S98" s="19">
        <v>0.0</v>
      </c>
      <c r="T98" s="13">
        <f t="shared" si="22"/>
        <v>1</v>
      </c>
    </row>
    <row r="99" ht="12.75" customHeight="1">
      <c r="A99" s="18"/>
      <c r="B99" s="55">
        <v>6.0</v>
      </c>
      <c r="C99" s="50" t="s">
        <v>79</v>
      </c>
      <c r="D99" s="60"/>
      <c r="E99" s="19">
        <v>0.0</v>
      </c>
      <c r="F99" s="19">
        <v>0.0</v>
      </c>
      <c r="G99" s="19">
        <v>1.0</v>
      </c>
      <c r="H99" s="19">
        <v>0.0</v>
      </c>
      <c r="I99" s="19">
        <v>0.0</v>
      </c>
      <c r="J99" s="19">
        <v>0.0</v>
      </c>
      <c r="K99" s="19">
        <v>1.0</v>
      </c>
      <c r="L99" s="19">
        <v>1.0</v>
      </c>
      <c r="M99" s="19">
        <v>0.0</v>
      </c>
      <c r="N99" s="19">
        <v>0.0</v>
      </c>
      <c r="O99" s="19">
        <v>0.0</v>
      </c>
      <c r="P99" s="19">
        <v>2.0</v>
      </c>
      <c r="Q99" s="19">
        <v>0.0</v>
      </c>
      <c r="R99" s="19">
        <v>1.0</v>
      </c>
      <c r="S99" s="19">
        <v>3.0</v>
      </c>
      <c r="T99" s="13">
        <f t="shared" si="22"/>
        <v>9</v>
      </c>
    </row>
    <row r="100" ht="12.75" customHeight="1">
      <c r="A100" s="18"/>
      <c r="B100" s="55">
        <v>7.0</v>
      </c>
      <c r="C100" s="50" t="s">
        <v>80</v>
      </c>
      <c r="D100" s="60"/>
      <c r="E100" s="19">
        <v>0.0</v>
      </c>
      <c r="F100" s="19">
        <v>0.0</v>
      </c>
      <c r="G100" s="19">
        <v>0.0</v>
      </c>
      <c r="H100" s="19">
        <v>0.0</v>
      </c>
      <c r="I100" s="19">
        <v>0.0</v>
      </c>
      <c r="J100" s="19">
        <v>0.0</v>
      </c>
      <c r="K100" s="19">
        <v>0.0</v>
      </c>
      <c r="L100" s="19">
        <v>0.0</v>
      </c>
      <c r="M100" s="19">
        <v>0.0</v>
      </c>
      <c r="N100" s="19">
        <v>0.0</v>
      </c>
      <c r="O100" s="19">
        <v>2.0</v>
      </c>
      <c r="P100" s="19">
        <v>0.0</v>
      </c>
      <c r="Q100" s="19">
        <v>0.0</v>
      </c>
      <c r="R100" s="19">
        <v>0.0</v>
      </c>
      <c r="S100" s="19">
        <v>0.0</v>
      </c>
      <c r="T100" s="13">
        <f t="shared" si="22"/>
        <v>2</v>
      </c>
    </row>
    <row r="101" ht="12.75" customHeight="1">
      <c r="A101" s="18"/>
      <c r="B101" s="56"/>
      <c r="C101" s="57"/>
      <c r="D101" s="62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3">
        <f t="shared" si="22"/>
        <v>0</v>
      </c>
    </row>
    <row r="102" ht="12.75" customHeight="1">
      <c r="A102" s="18"/>
      <c r="B102" s="56"/>
      <c r="C102" s="57"/>
      <c r="D102" s="62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3">
        <f t="shared" si="22"/>
        <v>0</v>
      </c>
    </row>
    <row r="103" ht="12.75" customHeight="1">
      <c r="A103" s="19" t="s">
        <v>15</v>
      </c>
      <c r="B103" s="47" t="s">
        <v>47</v>
      </c>
      <c r="C103" s="15"/>
      <c r="D103" s="16"/>
      <c r="E103" s="13">
        <f t="shared" ref="E103:T103" si="23">SUM(E93:E102)</f>
        <v>11</v>
      </c>
      <c r="F103" s="13">
        <f t="shared" si="23"/>
        <v>4</v>
      </c>
      <c r="G103" s="13">
        <f t="shared" si="23"/>
        <v>2</v>
      </c>
      <c r="H103" s="13">
        <f t="shared" si="23"/>
        <v>5</v>
      </c>
      <c r="I103" s="13">
        <f t="shared" si="23"/>
        <v>0</v>
      </c>
      <c r="J103" s="13">
        <f t="shared" si="23"/>
        <v>1</v>
      </c>
      <c r="K103" s="13">
        <f t="shared" si="23"/>
        <v>2</v>
      </c>
      <c r="L103" s="13">
        <f t="shared" si="23"/>
        <v>3</v>
      </c>
      <c r="M103" s="13">
        <f t="shared" si="23"/>
        <v>4</v>
      </c>
      <c r="N103" s="13">
        <f t="shared" si="23"/>
        <v>5</v>
      </c>
      <c r="O103" s="13">
        <f t="shared" si="23"/>
        <v>13</v>
      </c>
      <c r="P103" s="13">
        <f t="shared" si="23"/>
        <v>6</v>
      </c>
      <c r="Q103" s="13">
        <f t="shared" si="23"/>
        <v>0</v>
      </c>
      <c r="R103" s="13">
        <f t="shared" si="23"/>
        <v>2</v>
      </c>
      <c r="S103" s="13">
        <f t="shared" si="23"/>
        <v>3</v>
      </c>
      <c r="T103" s="13">
        <f t="shared" si="23"/>
        <v>61</v>
      </c>
    </row>
    <row r="104" ht="12.75" customHeight="1">
      <c r="A104" s="45"/>
      <c r="B104" s="44"/>
      <c r="C104" s="44"/>
      <c r="D104" s="44"/>
      <c r="E104" s="44"/>
      <c r="F104" s="84"/>
      <c r="G104" s="84"/>
      <c r="H104" s="84"/>
      <c r="I104" s="84"/>
      <c r="J104" s="84"/>
      <c r="K104" s="84"/>
      <c r="L104" s="84"/>
      <c r="M104" s="84"/>
      <c r="N104" s="84"/>
      <c r="O104" s="84"/>
      <c r="P104" s="84"/>
      <c r="Q104" s="84"/>
      <c r="R104" s="84"/>
      <c r="S104" s="84"/>
      <c r="T104" s="84"/>
    </row>
    <row r="105" ht="12.75" customHeight="1">
      <c r="A105" s="30" t="s">
        <v>37</v>
      </c>
      <c r="B105" s="47" t="s">
        <v>81</v>
      </c>
      <c r="C105" s="48" t="s">
        <v>82</v>
      </c>
      <c r="D105" s="16"/>
      <c r="E105" s="19">
        <v>0.0</v>
      </c>
      <c r="F105" s="19">
        <v>0.0</v>
      </c>
      <c r="G105" s="19">
        <v>0.0</v>
      </c>
      <c r="H105" s="19">
        <v>0.0</v>
      </c>
      <c r="I105" s="19">
        <v>0.0</v>
      </c>
      <c r="J105" s="19">
        <v>0.0</v>
      </c>
      <c r="K105" s="19">
        <v>0.0</v>
      </c>
      <c r="L105" s="19">
        <v>1.0</v>
      </c>
      <c r="M105" s="19">
        <v>0.0</v>
      </c>
      <c r="N105" s="19">
        <v>1.0</v>
      </c>
      <c r="O105" s="19">
        <v>0.0</v>
      </c>
      <c r="P105" s="19">
        <v>2.0</v>
      </c>
      <c r="Q105" s="19">
        <v>3.0</v>
      </c>
      <c r="R105" s="19">
        <v>1.0</v>
      </c>
      <c r="S105" s="19">
        <v>0.0</v>
      </c>
      <c r="T105" s="13">
        <f t="shared" ref="T105:T114" si="24">SUM(E105:S105)</f>
        <v>8</v>
      </c>
    </row>
    <row r="106" ht="12.75" customHeight="1">
      <c r="A106" s="30" t="s">
        <v>39</v>
      </c>
      <c r="B106" s="55">
        <v>1.0</v>
      </c>
      <c r="C106" s="50" t="s">
        <v>83</v>
      </c>
      <c r="D106" s="60"/>
      <c r="E106" s="19">
        <v>0.0</v>
      </c>
      <c r="F106" s="19">
        <v>0.0</v>
      </c>
      <c r="G106" s="19">
        <v>0.0</v>
      </c>
      <c r="H106" s="19">
        <v>0.0</v>
      </c>
      <c r="I106" s="19">
        <v>0.0</v>
      </c>
      <c r="J106" s="19">
        <v>0.0</v>
      </c>
      <c r="K106" s="19">
        <v>0.0</v>
      </c>
      <c r="L106" s="19">
        <v>0.0</v>
      </c>
      <c r="M106" s="19">
        <v>0.0</v>
      </c>
      <c r="N106" s="19">
        <v>0.0</v>
      </c>
      <c r="O106" s="19">
        <v>0.0</v>
      </c>
      <c r="P106" s="19">
        <v>0.0</v>
      </c>
      <c r="Q106" s="19">
        <v>0.0</v>
      </c>
      <c r="R106" s="19">
        <v>2.0</v>
      </c>
      <c r="S106" s="19">
        <v>0.0</v>
      </c>
      <c r="T106" s="13">
        <f t="shared" si="24"/>
        <v>2</v>
      </c>
    </row>
    <row r="107" ht="12.75" customHeight="1">
      <c r="A107" s="18"/>
      <c r="B107" s="55">
        <v>2.0</v>
      </c>
      <c r="C107" s="50" t="s">
        <v>84</v>
      </c>
      <c r="D107" s="60"/>
      <c r="E107" s="19">
        <v>0.0</v>
      </c>
      <c r="F107" s="19">
        <v>0.0</v>
      </c>
      <c r="G107" s="19">
        <v>0.0</v>
      </c>
      <c r="H107" s="19">
        <v>0.0</v>
      </c>
      <c r="I107" s="19">
        <v>0.0</v>
      </c>
      <c r="J107" s="19">
        <v>0.0</v>
      </c>
      <c r="K107" s="19">
        <v>0.0</v>
      </c>
      <c r="L107" s="19">
        <v>0.0</v>
      </c>
      <c r="M107" s="19">
        <v>0.0</v>
      </c>
      <c r="N107" s="19">
        <v>0.0</v>
      </c>
      <c r="O107" s="19">
        <v>0.0</v>
      </c>
      <c r="P107" s="19">
        <v>0.0</v>
      </c>
      <c r="Q107" s="19">
        <v>0.0</v>
      </c>
      <c r="R107" s="19">
        <v>0.0</v>
      </c>
      <c r="S107" s="19">
        <v>0.0</v>
      </c>
      <c r="T107" s="13">
        <f t="shared" si="24"/>
        <v>0</v>
      </c>
    </row>
    <row r="108" ht="12.75" customHeight="1">
      <c r="A108" s="18"/>
      <c r="B108" s="55">
        <v>3.0</v>
      </c>
      <c r="C108" s="50" t="s">
        <v>85</v>
      </c>
      <c r="D108" s="60"/>
      <c r="E108" s="85">
        <v>1.0</v>
      </c>
      <c r="F108" s="19">
        <v>0.0</v>
      </c>
      <c r="G108" s="19">
        <v>0.0</v>
      </c>
      <c r="H108" s="19">
        <v>0.0</v>
      </c>
      <c r="I108" s="19">
        <v>0.0</v>
      </c>
      <c r="J108" s="19">
        <v>0.0</v>
      </c>
      <c r="K108" s="19">
        <v>0.0</v>
      </c>
      <c r="L108" s="19">
        <v>0.0</v>
      </c>
      <c r="M108" s="19">
        <v>0.0</v>
      </c>
      <c r="N108" s="19">
        <v>0.0</v>
      </c>
      <c r="O108" s="19">
        <v>0.0</v>
      </c>
      <c r="P108" s="19">
        <v>1.0</v>
      </c>
      <c r="Q108" s="19">
        <v>0.0</v>
      </c>
      <c r="R108" s="19">
        <v>0.0</v>
      </c>
      <c r="S108" s="19">
        <v>0.0</v>
      </c>
      <c r="T108" s="13">
        <f t="shared" si="24"/>
        <v>2</v>
      </c>
    </row>
    <row r="109" ht="12.75" customHeight="1">
      <c r="A109" s="18"/>
      <c r="B109" s="55">
        <v>4.0</v>
      </c>
      <c r="C109" s="50" t="s">
        <v>86</v>
      </c>
      <c r="D109" s="60"/>
      <c r="E109" s="85">
        <v>1.0</v>
      </c>
      <c r="F109" s="19">
        <v>0.0</v>
      </c>
      <c r="G109" s="19">
        <v>0.0</v>
      </c>
      <c r="H109" s="19">
        <v>0.0</v>
      </c>
      <c r="I109" s="19">
        <v>0.0</v>
      </c>
      <c r="J109" s="19">
        <v>0.0</v>
      </c>
      <c r="K109" s="19">
        <v>0.0</v>
      </c>
      <c r="L109" s="19">
        <v>0.0</v>
      </c>
      <c r="M109" s="19">
        <v>0.0</v>
      </c>
      <c r="N109" s="19">
        <v>0.0</v>
      </c>
      <c r="O109" s="19">
        <v>0.0</v>
      </c>
      <c r="P109" s="19">
        <v>0.0</v>
      </c>
      <c r="Q109" s="19">
        <v>0.0</v>
      </c>
      <c r="R109" s="19">
        <v>0.0</v>
      </c>
      <c r="S109" s="19">
        <v>0.0</v>
      </c>
      <c r="T109" s="13">
        <f t="shared" si="24"/>
        <v>1</v>
      </c>
    </row>
    <row r="110" ht="12.75" customHeight="1">
      <c r="A110" s="18"/>
      <c r="B110" s="55">
        <v>5.0</v>
      </c>
      <c r="C110" s="50" t="s">
        <v>87</v>
      </c>
      <c r="D110" s="60"/>
      <c r="E110" s="85">
        <v>0.0</v>
      </c>
      <c r="F110" s="19">
        <v>0.0</v>
      </c>
      <c r="G110" s="19">
        <v>0.0</v>
      </c>
      <c r="H110" s="19">
        <v>0.0</v>
      </c>
      <c r="I110" s="19">
        <v>0.0</v>
      </c>
      <c r="J110" s="19">
        <v>0.0</v>
      </c>
      <c r="K110" s="19">
        <v>0.0</v>
      </c>
      <c r="L110" s="19">
        <v>0.0</v>
      </c>
      <c r="M110" s="19">
        <v>0.0</v>
      </c>
      <c r="N110" s="19">
        <v>0.0</v>
      </c>
      <c r="O110" s="19">
        <v>0.0</v>
      </c>
      <c r="P110" s="19">
        <v>0.0</v>
      </c>
      <c r="Q110" s="19">
        <v>0.0</v>
      </c>
      <c r="R110" s="19">
        <v>0.0</v>
      </c>
      <c r="S110" s="19">
        <v>0.0</v>
      </c>
      <c r="T110" s="13">
        <f t="shared" si="24"/>
        <v>0</v>
      </c>
    </row>
    <row r="111" ht="12.75" customHeight="1">
      <c r="A111" s="18"/>
      <c r="B111" s="55">
        <v>6.0</v>
      </c>
      <c r="C111" s="50" t="s">
        <v>88</v>
      </c>
      <c r="D111" s="60"/>
      <c r="E111" s="85">
        <v>1.0</v>
      </c>
      <c r="F111" s="19">
        <v>0.0</v>
      </c>
      <c r="G111" s="19">
        <v>0.0</v>
      </c>
      <c r="H111" s="19">
        <v>0.0</v>
      </c>
      <c r="I111" s="19">
        <v>0.0</v>
      </c>
      <c r="J111" s="19">
        <v>0.0</v>
      </c>
      <c r="K111" s="19">
        <v>0.0</v>
      </c>
      <c r="L111" s="19">
        <v>0.0</v>
      </c>
      <c r="M111" s="19">
        <v>0.0</v>
      </c>
      <c r="N111" s="19">
        <v>0.0</v>
      </c>
      <c r="O111" s="19">
        <v>0.0</v>
      </c>
      <c r="P111" s="19">
        <v>0.0</v>
      </c>
      <c r="Q111" s="19">
        <v>0.0</v>
      </c>
      <c r="R111" s="19">
        <v>0.0</v>
      </c>
      <c r="S111" s="19">
        <v>0.0</v>
      </c>
      <c r="T111" s="13">
        <f t="shared" si="24"/>
        <v>1</v>
      </c>
    </row>
    <row r="112" ht="12.75" customHeight="1">
      <c r="A112" s="18"/>
      <c r="B112" s="55">
        <v>7.0</v>
      </c>
      <c r="C112" s="50" t="s">
        <v>89</v>
      </c>
      <c r="D112" s="60"/>
      <c r="E112" s="85">
        <v>0.0</v>
      </c>
      <c r="F112" s="19">
        <v>0.0</v>
      </c>
      <c r="G112" s="19">
        <v>0.0</v>
      </c>
      <c r="H112" s="19">
        <v>0.0</v>
      </c>
      <c r="I112" s="19">
        <v>0.0</v>
      </c>
      <c r="J112" s="19">
        <v>0.0</v>
      </c>
      <c r="K112" s="19">
        <v>0.0</v>
      </c>
      <c r="L112" s="19">
        <v>0.0</v>
      </c>
      <c r="M112" s="19">
        <v>0.0</v>
      </c>
      <c r="N112" s="19">
        <v>0.0</v>
      </c>
      <c r="O112" s="19">
        <v>0.0</v>
      </c>
      <c r="P112" s="19">
        <v>0.0</v>
      </c>
      <c r="Q112" s="19">
        <v>0.0</v>
      </c>
      <c r="R112" s="19">
        <v>0.0</v>
      </c>
      <c r="S112" s="19">
        <v>0.0</v>
      </c>
      <c r="T112" s="13">
        <f t="shared" si="24"/>
        <v>0</v>
      </c>
    </row>
    <row r="113" ht="12.75" customHeight="1">
      <c r="A113" s="18"/>
      <c r="B113" s="56"/>
      <c r="C113" s="57"/>
      <c r="D113" s="62"/>
      <c r="E113" s="85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3">
        <f t="shared" si="24"/>
        <v>0</v>
      </c>
    </row>
    <row r="114" ht="12.75" customHeight="1">
      <c r="A114" s="18"/>
      <c r="B114" s="56"/>
      <c r="C114" s="57"/>
      <c r="D114" s="62"/>
      <c r="E114" s="85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3">
        <f t="shared" si="24"/>
        <v>0</v>
      </c>
    </row>
    <row r="115" ht="12.75" customHeight="1">
      <c r="A115" s="19" t="s">
        <v>15</v>
      </c>
      <c r="B115" s="47" t="s">
        <v>47</v>
      </c>
      <c r="C115" s="15"/>
      <c r="D115" s="16"/>
      <c r="E115" s="13">
        <f t="shared" ref="E115:T115" si="25">SUM(E105:E114)</f>
        <v>3</v>
      </c>
      <c r="F115" s="13">
        <f t="shared" si="25"/>
        <v>0</v>
      </c>
      <c r="G115" s="13">
        <f t="shared" si="25"/>
        <v>0</v>
      </c>
      <c r="H115" s="13">
        <f t="shared" si="25"/>
        <v>0</v>
      </c>
      <c r="I115" s="13">
        <f t="shared" si="25"/>
        <v>0</v>
      </c>
      <c r="J115" s="13">
        <f t="shared" si="25"/>
        <v>0</v>
      </c>
      <c r="K115" s="13">
        <f t="shared" si="25"/>
        <v>0</v>
      </c>
      <c r="L115" s="13">
        <f t="shared" si="25"/>
        <v>1</v>
      </c>
      <c r="M115" s="13">
        <f t="shared" si="25"/>
        <v>0</v>
      </c>
      <c r="N115" s="13">
        <f t="shared" si="25"/>
        <v>1</v>
      </c>
      <c r="O115" s="13">
        <f t="shared" si="25"/>
        <v>0</v>
      </c>
      <c r="P115" s="13">
        <f t="shared" si="25"/>
        <v>3</v>
      </c>
      <c r="Q115" s="13">
        <f t="shared" si="25"/>
        <v>3</v>
      </c>
      <c r="R115" s="13">
        <f t="shared" si="25"/>
        <v>3</v>
      </c>
      <c r="S115" s="13">
        <f t="shared" si="25"/>
        <v>0</v>
      </c>
      <c r="T115" s="13">
        <f t="shared" si="25"/>
        <v>14</v>
      </c>
    </row>
    <row r="116" ht="12.75" customHeight="1">
      <c r="A116" s="24"/>
      <c r="B116" s="15"/>
      <c r="C116" s="15"/>
      <c r="D116" s="15"/>
      <c r="E116" s="16"/>
      <c r="F116" s="84"/>
      <c r="G116" s="84"/>
      <c r="H116" s="84"/>
      <c r="I116" s="84"/>
      <c r="J116" s="84"/>
      <c r="K116" s="84"/>
      <c r="L116" s="84"/>
      <c r="M116" s="84"/>
      <c r="N116" s="84"/>
      <c r="O116" s="84"/>
      <c r="P116" s="84"/>
      <c r="Q116" s="84"/>
      <c r="R116" s="84"/>
      <c r="S116" s="84"/>
      <c r="T116" s="13"/>
    </row>
    <row r="117" ht="12.75" customHeight="1">
      <c r="A117" s="30" t="s">
        <v>37</v>
      </c>
      <c r="B117" s="47" t="s">
        <v>90</v>
      </c>
      <c r="C117" s="48" t="s">
        <v>91</v>
      </c>
      <c r="D117" s="16"/>
      <c r="E117" s="19">
        <v>0.0</v>
      </c>
      <c r="F117" s="19">
        <v>0.0</v>
      </c>
      <c r="G117" s="19">
        <v>0.0</v>
      </c>
      <c r="H117" s="19">
        <v>0.0</v>
      </c>
      <c r="I117" s="19">
        <v>0.0</v>
      </c>
      <c r="J117" s="19">
        <v>0.0</v>
      </c>
      <c r="K117" s="19">
        <v>0.0</v>
      </c>
      <c r="L117" s="19">
        <v>0.0</v>
      </c>
      <c r="M117" s="19">
        <v>0.0</v>
      </c>
      <c r="N117" s="19">
        <v>0.0</v>
      </c>
      <c r="O117" s="19">
        <v>0.0</v>
      </c>
      <c r="P117" s="19">
        <v>0.0</v>
      </c>
      <c r="Q117" s="19">
        <v>2.0</v>
      </c>
      <c r="R117" s="19">
        <v>1.0</v>
      </c>
      <c r="S117" s="19">
        <v>0.0</v>
      </c>
      <c r="T117" s="13">
        <f t="shared" ref="T117:T126" si="26">SUM(E117:S117)</f>
        <v>3</v>
      </c>
    </row>
    <row r="118" ht="12.75" customHeight="1">
      <c r="A118" s="30" t="s">
        <v>39</v>
      </c>
      <c r="B118" s="55">
        <v>1.0</v>
      </c>
      <c r="C118" s="50" t="s">
        <v>92</v>
      </c>
      <c r="D118" s="60"/>
      <c r="E118" s="19">
        <v>0.0</v>
      </c>
      <c r="F118" s="19">
        <v>0.0</v>
      </c>
      <c r="G118" s="19">
        <v>0.0</v>
      </c>
      <c r="H118" s="19">
        <v>0.0</v>
      </c>
      <c r="I118" s="19">
        <v>0.0</v>
      </c>
      <c r="J118" s="19">
        <v>0.0</v>
      </c>
      <c r="K118" s="19">
        <v>0.0</v>
      </c>
      <c r="L118" s="19">
        <v>0.0</v>
      </c>
      <c r="M118" s="19">
        <v>0.0</v>
      </c>
      <c r="N118" s="19">
        <v>0.0</v>
      </c>
      <c r="O118" s="19">
        <v>0.0</v>
      </c>
      <c r="P118" s="19">
        <v>0.0</v>
      </c>
      <c r="Q118" s="19">
        <v>1.0</v>
      </c>
      <c r="R118" s="19">
        <v>0.0</v>
      </c>
      <c r="S118" s="19">
        <v>0.0</v>
      </c>
      <c r="T118" s="13">
        <f t="shared" si="26"/>
        <v>1</v>
      </c>
    </row>
    <row r="119" ht="12.75" customHeight="1">
      <c r="A119" s="18"/>
      <c r="B119" s="55">
        <v>2.0</v>
      </c>
      <c r="C119" s="50" t="s">
        <v>93</v>
      </c>
      <c r="D119" s="60"/>
      <c r="E119" s="19">
        <v>0.0</v>
      </c>
      <c r="F119" s="19">
        <v>0.0</v>
      </c>
      <c r="G119" s="19">
        <v>0.0</v>
      </c>
      <c r="H119" s="19">
        <v>0.0</v>
      </c>
      <c r="I119" s="19">
        <v>0.0</v>
      </c>
      <c r="J119" s="19">
        <v>0.0</v>
      </c>
      <c r="K119" s="19">
        <v>0.0</v>
      </c>
      <c r="L119" s="19">
        <v>0.0</v>
      </c>
      <c r="M119" s="19">
        <v>0.0</v>
      </c>
      <c r="N119" s="19">
        <v>0.0</v>
      </c>
      <c r="O119" s="19">
        <v>0.0</v>
      </c>
      <c r="P119" s="19">
        <v>0.0</v>
      </c>
      <c r="Q119" s="19">
        <v>0.0</v>
      </c>
      <c r="R119" s="19">
        <v>1.0</v>
      </c>
      <c r="S119" s="19">
        <v>0.0</v>
      </c>
      <c r="T119" s="13">
        <f t="shared" si="26"/>
        <v>1</v>
      </c>
    </row>
    <row r="120" ht="12.75" customHeight="1">
      <c r="A120" s="18"/>
      <c r="B120" s="55">
        <v>3.0</v>
      </c>
      <c r="C120" s="50" t="s">
        <v>94</v>
      </c>
      <c r="D120" s="60"/>
      <c r="E120" s="19">
        <v>0.0</v>
      </c>
      <c r="F120" s="19">
        <v>0.0</v>
      </c>
      <c r="G120" s="19">
        <v>0.0</v>
      </c>
      <c r="H120" s="19">
        <v>0.0</v>
      </c>
      <c r="I120" s="19">
        <v>0.0</v>
      </c>
      <c r="J120" s="19">
        <v>0.0</v>
      </c>
      <c r="K120" s="19">
        <v>0.0</v>
      </c>
      <c r="L120" s="19">
        <v>0.0</v>
      </c>
      <c r="M120" s="19">
        <v>0.0</v>
      </c>
      <c r="N120" s="19">
        <v>0.0</v>
      </c>
      <c r="O120" s="19">
        <v>0.0</v>
      </c>
      <c r="P120" s="19">
        <v>0.0</v>
      </c>
      <c r="Q120" s="19">
        <v>0.0</v>
      </c>
      <c r="R120" s="19">
        <v>0.0</v>
      </c>
      <c r="S120" s="19">
        <v>0.0</v>
      </c>
      <c r="T120" s="13">
        <f t="shared" si="26"/>
        <v>0</v>
      </c>
    </row>
    <row r="121" ht="12.75" customHeight="1">
      <c r="A121" s="18"/>
      <c r="B121" s="56"/>
      <c r="C121" s="57"/>
      <c r="D121" s="62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3">
        <f t="shared" si="26"/>
        <v>0</v>
      </c>
    </row>
    <row r="122" ht="12.75" customHeight="1">
      <c r="A122" s="18"/>
      <c r="B122" s="56"/>
      <c r="C122" s="57"/>
      <c r="D122" s="62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3">
        <f t="shared" si="26"/>
        <v>0</v>
      </c>
    </row>
    <row r="123" ht="12.75" customHeight="1">
      <c r="A123" s="18"/>
      <c r="B123" s="56"/>
      <c r="C123" s="57"/>
      <c r="D123" s="62"/>
      <c r="E123" s="63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13">
        <f t="shared" si="26"/>
        <v>0</v>
      </c>
    </row>
    <row r="124" ht="12.75" customHeight="1">
      <c r="A124" s="18"/>
      <c r="B124" s="56"/>
      <c r="C124" s="57"/>
      <c r="D124" s="62"/>
      <c r="E124" s="63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13">
        <f t="shared" si="26"/>
        <v>0</v>
      </c>
    </row>
    <row r="125" ht="12.75" customHeight="1">
      <c r="A125" s="18"/>
      <c r="B125" s="56"/>
      <c r="C125" s="57"/>
      <c r="D125" s="62"/>
      <c r="E125" s="63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13">
        <f t="shared" si="26"/>
        <v>0</v>
      </c>
    </row>
    <row r="126" ht="12.75" customHeight="1">
      <c r="A126" s="18"/>
      <c r="B126" s="56"/>
      <c r="C126" s="57"/>
      <c r="D126" s="62"/>
      <c r="E126" s="63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13">
        <f t="shared" si="26"/>
        <v>0</v>
      </c>
    </row>
    <row r="127" ht="12.75" customHeight="1">
      <c r="A127" s="19" t="s">
        <v>15</v>
      </c>
      <c r="B127" s="47" t="s">
        <v>47</v>
      </c>
      <c r="C127" s="15"/>
      <c r="D127" s="16"/>
      <c r="E127" s="13">
        <f t="shared" ref="E127:T127" si="27">SUM(E117:E126)</f>
        <v>0</v>
      </c>
      <c r="F127" s="13">
        <f t="shared" si="27"/>
        <v>0</v>
      </c>
      <c r="G127" s="13">
        <f t="shared" si="27"/>
        <v>0</v>
      </c>
      <c r="H127" s="13">
        <f t="shared" si="27"/>
        <v>0</v>
      </c>
      <c r="I127" s="13">
        <f t="shared" si="27"/>
        <v>0</v>
      </c>
      <c r="J127" s="13">
        <f t="shared" si="27"/>
        <v>0</v>
      </c>
      <c r="K127" s="13">
        <f t="shared" si="27"/>
        <v>0</v>
      </c>
      <c r="L127" s="13">
        <f t="shared" si="27"/>
        <v>0</v>
      </c>
      <c r="M127" s="13">
        <f t="shared" si="27"/>
        <v>0</v>
      </c>
      <c r="N127" s="13">
        <f t="shared" si="27"/>
        <v>0</v>
      </c>
      <c r="O127" s="13">
        <f t="shared" si="27"/>
        <v>0</v>
      </c>
      <c r="P127" s="13">
        <f t="shared" si="27"/>
        <v>0</v>
      </c>
      <c r="Q127" s="13">
        <f t="shared" si="27"/>
        <v>3</v>
      </c>
      <c r="R127" s="13">
        <f t="shared" si="27"/>
        <v>2</v>
      </c>
      <c r="S127" s="13">
        <f t="shared" si="27"/>
        <v>0</v>
      </c>
      <c r="T127" s="13">
        <f t="shared" si="27"/>
        <v>5</v>
      </c>
    </row>
    <row r="128" ht="12.75" customHeight="1">
      <c r="A128" s="24"/>
      <c r="B128" s="15"/>
      <c r="C128" s="15"/>
      <c r="D128" s="15"/>
      <c r="E128" s="16"/>
      <c r="F128" s="84"/>
      <c r="G128" s="84"/>
      <c r="H128" s="84"/>
      <c r="I128" s="84"/>
      <c r="J128" s="84"/>
      <c r="K128" s="84"/>
      <c r="L128" s="84"/>
      <c r="M128" s="84"/>
      <c r="N128" s="84"/>
      <c r="O128" s="84"/>
      <c r="P128" s="84"/>
      <c r="Q128" s="84"/>
      <c r="R128" s="84"/>
      <c r="S128" s="84"/>
      <c r="T128" s="84"/>
    </row>
    <row r="129" ht="12.75" customHeight="1">
      <c r="A129" s="30" t="s">
        <v>37</v>
      </c>
      <c r="B129" s="47" t="s">
        <v>95</v>
      </c>
      <c r="C129" s="48" t="s">
        <v>96</v>
      </c>
      <c r="D129" s="16"/>
      <c r="E129" s="19">
        <v>1.0</v>
      </c>
      <c r="F129" s="19">
        <v>0.0</v>
      </c>
      <c r="G129" s="19">
        <v>0.0</v>
      </c>
      <c r="H129" s="19">
        <v>1.0</v>
      </c>
      <c r="I129" s="19">
        <v>0.0</v>
      </c>
      <c r="J129" s="19">
        <v>0.0</v>
      </c>
      <c r="K129" s="19">
        <v>1.0</v>
      </c>
      <c r="L129" s="19">
        <v>2.0</v>
      </c>
      <c r="M129" s="19">
        <v>0.0</v>
      </c>
      <c r="N129" s="19">
        <v>1.0</v>
      </c>
      <c r="O129" s="19">
        <v>1.0</v>
      </c>
      <c r="P129" s="19">
        <v>0.0</v>
      </c>
      <c r="Q129" s="19">
        <v>0.0</v>
      </c>
      <c r="R129" s="19">
        <v>0.0</v>
      </c>
      <c r="S129" s="19">
        <v>0.0</v>
      </c>
      <c r="T129" s="13">
        <f t="shared" ref="T129:T138" si="28">SUM(E129:S129)</f>
        <v>7</v>
      </c>
    </row>
    <row r="130" ht="12.75" customHeight="1">
      <c r="A130" s="30" t="s">
        <v>39</v>
      </c>
      <c r="B130" s="55">
        <v>1.0</v>
      </c>
      <c r="C130" s="50" t="s">
        <v>97</v>
      </c>
      <c r="D130" s="59"/>
      <c r="E130" s="19">
        <v>0.0</v>
      </c>
      <c r="F130" s="19">
        <v>0.0</v>
      </c>
      <c r="G130" s="19">
        <v>4.0</v>
      </c>
      <c r="H130" s="19">
        <v>1.0</v>
      </c>
      <c r="I130" s="19">
        <v>0.0</v>
      </c>
      <c r="J130" s="19">
        <v>1.0</v>
      </c>
      <c r="K130" s="19">
        <v>0.0</v>
      </c>
      <c r="L130" s="19">
        <v>0.0</v>
      </c>
      <c r="M130" s="19">
        <v>0.0</v>
      </c>
      <c r="N130" s="19">
        <v>1.0</v>
      </c>
      <c r="O130" s="19">
        <v>0.0</v>
      </c>
      <c r="P130" s="19">
        <v>0.0</v>
      </c>
      <c r="Q130" s="19">
        <v>0.0</v>
      </c>
      <c r="R130" s="19">
        <v>0.0</v>
      </c>
      <c r="S130" s="19">
        <v>0.0</v>
      </c>
      <c r="T130" s="13">
        <f t="shared" si="28"/>
        <v>7</v>
      </c>
    </row>
    <row r="131" ht="12.75" customHeight="1">
      <c r="A131" s="18"/>
      <c r="B131" s="55">
        <v>2.0</v>
      </c>
      <c r="C131" s="50" t="s">
        <v>98</v>
      </c>
      <c r="D131" s="59"/>
      <c r="E131" s="19">
        <v>0.0</v>
      </c>
      <c r="F131" s="19">
        <v>0.0</v>
      </c>
      <c r="G131" s="19">
        <v>0.0</v>
      </c>
      <c r="H131" s="19">
        <v>1.0</v>
      </c>
      <c r="I131" s="19">
        <v>2.0</v>
      </c>
      <c r="J131" s="19">
        <v>0.0</v>
      </c>
      <c r="K131" s="19">
        <v>1.0</v>
      </c>
      <c r="L131" s="19">
        <v>1.0</v>
      </c>
      <c r="M131" s="19">
        <v>0.0</v>
      </c>
      <c r="N131" s="19">
        <v>0.0</v>
      </c>
      <c r="O131" s="19">
        <v>1.0</v>
      </c>
      <c r="P131" s="19">
        <v>1.0</v>
      </c>
      <c r="Q131" s="19">
        <v>0.0</v>
      </c>
      <c r="R131" s="19">
        <v>0.0</v>
      </c>
      <c r="S131" s="19">
        <v>0.0</v>
      </c>
      <c r="T131" s="13">
        <f t="shared" si="28"/>
        <v>7</v>
      </c>
    </row>
    <row r="132" ht="12.75" customHeight="1">
      <c r="A132" s="18"/>
      <c r="B132" s="55">
        <v>3.0</v>
      </c>
      <c r="C132" s="50" t="s">
        <v>99</v>
      </c>
      <c r="D132" s="59"/>
      <c r="E132" s="19">
        <v>0.0</v>
      </c>
      <c r="F132" s="19">
        <v>0.0</v>
      </c>
      <c r="G132" s="19">
        <v>0.0</v>
      </c>
      <c r="H132" s="19">
        <v>1.0</v>
      </c>
      <c r="I132" s="19">
        <v>0.0</v>
      </c>
      <c r="J132" s="19">
        <v>0.0</v>
      </c>
      <c r="K132" s="19">
        <v>0.0</v>
      </c>
      <c r="L132" s="19">
        <v>0.0</v>
      </c>
      <c r="M132" s="19">
        <v>0.0</v>
      </c>
      <c r="N132" s="19">
        <v>0.0</v>
      </c>
      <c r="O132" s="19">
        <v>0.0</v>
      </c>
      <c r="P132" s="19">
        <v>1.0</v>
      </c>
      <c r="Q132" s="19">
        <v>1.0</v>
      </c>
      <c r="R132" s="19">
        <v>0.0</v>
      </c>
      <c r="S132" s="19">
        <v>0.0</v>
      </c>
      <c r="T132" s="13">
        <f t="shared" si="28"/>
        <v>3</v>
      </c>
    </row>
    <row r="133" ht="12.75" customHeight="1">
      <c r="A133" s="18"/>
      <c r="B133" s="55">
        <v>4.0</v>
      </c>
      <c r="C133" s="50" t="s">
        <v>100</v>
      </c>
      <c r="D133" s="59"/>
      <c r="E133" s="19">
        <v>0.0</v>
      </c>
      <c r="F133" s="19">
        <v>0.0</v>
      </c>
      <c r="G133" s="19">
        <v>0.0</v>
      </c>
      <c r="H133" s="19">
        <v>0.0</v>
      </c>
      <c r="I133" s="19">
        <v>0.0</v>
      </c>
      <c r="J133" s="19">
        <v>0.0</v>
      </c>
      <c r="K133" s="19">
        <v>0.0</v>
      </c>
      <c r="L133" s="19">
        <v>0.0</v>
      </c>
      <c r="M133" s="19">
        <v>0.0</v>
      </c>
      <c r="N133" s="19">
        <v>0.0</v>
      </c>
      <c r="O133" s="19">
        <v>0.0</v>
      </c>
      <c r="P133" s="19">
        <v>0.0</v>
      </c>
      <c r="Q133" s="19">
        <v>0.0</v>
      </c>
      <c r="R133" s="19">
        <v>0.0</v>
      </c>
      <c r="S133" s="19">
        <v>0.0</v>
      </c>
      <c r="T133" s="13">
        <f t="shared" si="28"/>
        <v>0</v>
      </c>
    </row>
    <row r="134" ht="12.75" customHeight="1">
      <c r="A134" s="18"/>
      <c r="B134" s="55">
        <v>5.0</v>
      </c>
      <c r="C134" s="50" t="s">
        <v>101</v>
      </c>
      <c r="D134" s="59"/>
      <c r="E134" s="19">
        <v>0.0</v>
      </c>
      <c r="F134" s="19">
        <v>0.0</v>
      </c>
      <c r="G134" s="19">
        <v>0.0</v>
      </c>
      <c r="H134" s="19">
        <v>0.0</v>
      </c>
      <c r="I134" s="19">
        <v>0.0</v>
      </c>
      <c r="J134" s="19">
        <v>0.0</v>
      </c>
      <c r="K134" s="19">
        <v>0.0</v>
      </c>
      <c r="L134" s="19">
        <v>0.0</v>
      </c>
      <c r="M134" s="19">
        <v>1.0</v>
      </c>
      <c r="N134" s="19">
        <v>0.0</v>
      </c>
      <c r="O134" s="19">
        <v>0.0</v>
      </c>
      <c r="P134" s="19">
        <v>0.0</v>
      </c>
      <c r="Q134" s="19">
        <v>0.0</v>
      </c>
      <c r="R134" s="19">
        <v>0.0</v>
      </c>
      <c r="S134" s="19">
        <v>0.0</v>
      </c>
      <c r="T134" s="13">
        <f t="shared" si="28"/>
        <v>1</v>
      </c>
    </row>
    <row r="135" ht="12.75" customHeight="1">
      <c r="A135" s="18"/>
      <c r="B135" s="55">
        <v>6.0</v>
      </c>
      <c r="C135" s="50" t="s">
        <v>102</v>
      </c>
      <c r="D135" s="60"/>
      <c r="E135" s="19">
        <v>0.0</v>
      </c>
      <c r="F135" s="19">
        <v>0.0</v>
      </c>
      <c r="G135" s="19">
        <v>0.0</v>
      </c>
      <c r="H135" s="19">
        <v>0.0</v>
      </c>
      <c r="I135" s="19">
        <v>0.0</v>
      </c>
      <c r="J135" s="19">
        <v>0.0</v>
      </c>
      <c r="K135" s="19">
        <v>0.0</v>
      </c>
      <c r="L135" s="19">
        <v>0.0</v>
      </c>
      <c r="M135" s="19">
        <v>1.0</v>
      </c>
      <c r="N135" s="19">
        <v>0.0</v>
      </c>
      <c r="O135" s="19">
        <v>0.0</v>
      </c>
      <c r="P135" s="19">
        <v>0.0</v>
      </c>
      <c r="Q135" s="19">
        <v>0.0</v>
      </c>
      <c r="R135" s="19">
        <v>0.0</v>
      </c>
      <c r="S135" s="19">
        <v>0.0</v>
      </c>
      <c r="T135" s="13">
        <f t="shared" si="28"/>
        <v>1</v>
      </c>
    </row>
    <row r="136" ht="12.75" customHeight="1">
      <c r="A136" s="18"/>
      <c r="B136" s="55">
        <v>7.0</v>
      </c>
      <c r="C136" s="50" t="s">
        <v>103</v>
      </c>
      <c r="D136" s="59"/>
      <c r="E136" s="19">
        <v>0.0</v>
      </c>
      <c r="F136" s="19">
        <v>0.0</v>
      </c>
      <c r="G136" s="19">
        <v>0.0</v>
      </c>
      <c r="H136" s="19">
        <v>0.0</v>
      </c>
      <c r="I136" s="19">
        <v>0.0</v>
      </c>
      <c r="J136" s="19">
        <v>0.0</v>
      </c>
      <c r="K136" s="19">
        <v>0.0</v>
      </c>
      <c r="L136" s="19">
        <v>0.0</v>
      </c>
      <c r="M136" s="19">
        <v>0.0</v>
      </c>
      <c r="N136" s="19">
        <v>0.0</v>
      </c>
      <c r="O136" s="19">
        <v>0.0</v>
      </c>
      <c r="P136" s="19">
        <v>0.0</v>
      </c>
      <c r="Q136" s="19">
        <v>0.0</v>
      </c>
      <c r="R136" s="19">
        <v>0.0</v>
      </c>
      <c r="S136" s="19">
        <v>0.0</v>
      </c>
      <c r="T136" s="13">
        <f t="shared" si="28"/>
        <v>0</v>
      </c>
    </row>
    <row r="137" ht="12.75" customHeight="1">
      <c r="A137" s="18"/>
      <c r="B137" s="56"/>
      <c r="C137" s="57"/>
      <c r="D137" s="61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3">
        <f t="shared" si="28"/>
        <v>0</v>
      </c>
    </row>
    <row r="138" ht="12.75" customHeight="1">
      <c r="A138" s="18"/>
      <c r="B138" s="56"/>
      <c r="C138" s="57"/>
      <c r="D138" s="61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3">
        <f t="shared" si="28"/>
        <v>0</v>
      </c>
    </row>
    <row r="139" ht="12.75" customHeight="1">
      <c r="A139" s="19" t="s">
        <v>15</v>
      </c>
      <c r="B139" s="47" t="s">
        <v>47</v>
      </c>
      <c r="C139" s="15"/>
      <c r="D139" s="16"/>
      <c r="E139" s="13">
        <f t="shared" ref="E139:T139" si="29">SUM(E129:E138)</f>
        <v>1</v>
      </c>
      <c r="F139" s="13">
        <f t="shared" si="29"/>
        <v>0</v>
      </c>
      <c r="G139" s="13">
        <f t="shared" si="29"/>
        <v>4</v>
      </c>
      <c r="H139" s="13">
        <f t="shared" si="29"/>
        <v>4</v>
      </c>
      <c r="I139" s="13">
        <f t="shared" si="29"/>
        <v>2</v>
      </c>
      <c r="J139" s="13">
        <f t="shared" si="29"/>
        <v>1</v>
      </c>
      <c r="K139" s="13">
        <f t="shared" si="29"/>
        <v>2</v>
      </c>
      <c r="L139" s="13">
        <f t="shared" si="29"/>
        <v>3</v>
      </c>
      <c r="M139" s="13">
        <f t="shared" si="29"/>
        <v>2</v>
      </c>
      <c r="N139" s="13">
        <f t="shared" si="29"/>
        <v>2</v>
      </c>
      <c r="O139" s="13">
        <f t="shared" si="29"/>
        <v>2</v>
      </c>
      <c r="P139" s="13">
        <f t="shared" si="29"/>
        <v>2</v>
      </c>
      <c r="Q139" s="13">
        <f t="shared" si="29"/>
        <v>1</v>
      </c>
      <c r="R139" s="13">
        <f t="shared" si="29"/>
        <v>0</v>
      </c>
      <c r="S139" s="13">
        <f t="shared" si="29"/>
        <v>0</v>
      </c>
      <c r="T139" s="13">
        <f t="shared" si="29"/>
        <v>26</v>
      </c>
    </row>
    <row r="140" ht="12.75" customHeight="1">
      <c r="A140" s="24"/>
      <c r="B140" s="15"/>
      <c r="C140" s="15"/>
      <c r="D140" s="15"/>
      <c r="E140" s="16"/>
      <c r="F140" s="84"/>
      <c r="G140" s="84"/>
      <c r="H140" s="84"/>
      <c r="I140" s="84"/>
      <c r="J140" s="84"/>
      <c r="K140" s="84"/>
      <c r="L140" s="84"/>
      <c r="M140" s="84"/>
      <c r="N140" s="84"/>
      <c r="O140" s="84"/>
      <c r="P140" s="84"/>
      <c r="Q140" s="84"/>
      <c r="R140" s="84"/>
      <c r="S140" s="84"/>
      <c r="T140" s="84"/>
    </row>
    <row r="141" ht="12.75" customHeight="1">
      <c r="A141" s="30" t="s">
        <v>37</v>
      </c>
      <c r="B141" s="47" t="s">
        <v>104</v>
      </c>
      <c r="C141" s="48" t="s">
        <v>105</v>
      </c>
      <c r="D141" s="16"/>
      <c r="E141" s="19">
        <v>0.0</v>
      </c>
      <c r="F141" s="19">
        <v>0.0</v>
      </c>
      <c r="G141" s="19">
        <v>0.0</v>
      </c>
      <c r="H141" s="19">
        <v>0.0</v>
      </c>
      <c r="I141" s="19">
        <v>0.0</v>
      </c>
      <c r="J141" s="19">
        <v>0.0</v>
      </c>
      <c r="K141" s="19">
        <v>0.0</v>
      </c>
      <c r="L141" s="19">
        <v>0.0</v>
      </c>
      <c r="M141" s="19">
        <v>0.0</v>
      </c>
      <c r="N141" s="19">
        <v>1.0</v>
      </c>
      <c r="O141" s="19">
        <v>0.0</v>
      </c>
      <c r="P141" s="19">
        <v>0.0</v>
      </c>
      <c r="Q141" s="19">
        <v>0.0</v>
      </c>
      <c r="R141" s="19">
        <v>0.0</v>
      </c>
      <c r="S141" s="19">
        <v>0.0</v>
      </c>
      <c r="T141" s="13">
        <f t="shared" ref="T141:T150" si="30">SUM(E141:S141)</f>
        <v>1</v>
      </c>
    </row>
    <row r="142" ht="12.75" customHeight="1">
      <c r="A142" s="30" t="s">
        <v>39</v>
      </c>
      <c r="B142" s="55">
        <v>1.0</v>
      </c>
      <c r="C142" s="50" t="s">
        <v>106</v>
      </c>
      <c r="D142" s="60"/>
      <c r="E142" s="19">
        <v>0.0</v>
      </c>
      <c r="F142" s="19">
        <v>0.0</v>
      </c>
      <c r="G142" s="19">
        <v>0.0</v>
      </c>
      <c r="H142" s="19">
        <v>0.0</v>
      </c>
      <c r="I142" s="19">
        <v>0.0</v>
      </c>
      <c r="J142" s="19">
        <v>0.0</v>
      </c>
      <c r="K142" s="19">
        <v>0.0</v>
      </c>
      <c r="L142" s="19">
        <v>0.0</v>
      </c>
      <c r="M142" s="19">
        <v>0.0</v>
      </c>
      <c r="N142" s="19">
        <v>0.0</v>
      </c>
      <c r="O142" s="19">
        <v>0.0</v>
      </c>
      <c r="P142" s="19">
        <v>0.0</v>
      </c>
      <c r="Q142" s="19">
        <v>0.0</v>
      </c>
      <c r="R142" s="19">
        <v>0.0</v>
      </c>
      <c r="S142" s="19">
        <v>0.0</v>
      </c>
      <c r="T142" s="13">
        <f t="shared" si="30"/>
        <v>0</v>
      </c>
    </row>
    <row r="143" ht="12.75" customHeight="1">
      <c r="A143" s="18"/>
      <c r="B143" s="55">
        <v>2.0</v>
      </c>
      <c r="C143" s="50" t="s">
        <v>107</v>
      </c>
      <c r="D143" s="60"/>
      <c r="E143" s="19">
        <v>0.0</v>
      </c>
      <c r="F143" s="19">
        <v>0.0</v>
      </c>
      <c r="G143" s="19">
        <v>0.0</v>
      </c>
      <c r="H143" s="19">
        <v>0.0</v>
      </c>
      <c r="I143" s="19">
        <v>0.0</v>
      </c>
      <c r="J143" s="19">
        <v>0.0</v>
      </c>
      <c r="K143" s="19">
        <v>0.0</v>
      </c>
      <c r="L143" s="19">
        <v>0.0</v>
      </c>
      <c r="M143" s="19">
        <v>0.0</v>
      </c>
      <c r="N143" s="19">
        <v>0.0</v>
      </c>
      <c r="O143" s="19">
        <v>0.0</v>
      </c>
      <c r="P143" s="19">
        <v>0.0</v>
      </c>
      <c r="Q143" s="19">
        <v>0.0</v>
      </c>
      <c r="R143" s="19">
        <v>0.0</v>
      </c>
      <c r="S143" s="19">
        <v>0.0</v>
      </c>
      <c r="T143" s="13">
        <f t="shared" si="30"/>
        <v>0</v>
      </c>
    </row>
    <row r="144" ht="12.75" customHeight="1">
      <c r="A144" s="18"/>
      <c r="B144" s="55">
        <v>3.0</v>
      </c>
      <c r="C144" s="50" t="s">
        <v>108</v>
      </c>
      <c r="D144" s="60"/>
      <c r="E144" s="19">
        <v>0.0</v>
      </c>
      <c r="F144" s="19">
        <v>0.0</v>
      </c>
      <c r="G144" s="19">
        <v>0.0</v>
      </c>
      <c r="H144" s="19">
        <v>0.0</v>
      </c>
      <c r="I144" s="19">
        <v>0.0</v>
      </c>
      <c r="J144" s="19">
        <v>0.0</v>
      </c>
      <c r="K144" s="19">
        <v>0.0</v>
      </c>
      <c r="L144" s="19">
        <v>0.0</v>
      </c>
      <c r="M144" s="19">
        <v>0.0</v>
      </c>
      <c r="N144" s="19">
        <v>0.0</v>
      </c>
      <c r="O144" s="19">
        <v>0.0</v>
      </c>
      <c r="P144" s="19">
        <v>0.0</v>
      </c>
      <c r="Q144" s="19">
        <v>0.0</v>
      </c>
      <c r="R144" s="19">
        <v>0.0</v>
      </c>
      <c r="S144" s="19">
        <v>0.0</v>
      </c>
      <c r="T144" s="13">
        <f t="shared" si="30"/>
        <v>0</v>
      </c>
    </row>
    <row r="145" ht="12.75" customHeight="1">
      <c r="A145" s="18"/>
      <c r="B145" s="55">
        <v>4.0</v>
      </c>
      <c r="C145" s="50" t="s">
        <v>109</v>
      </c>
      <c r="D145" s="60"/>
      <c r="E145" s="19">
        <v>0.0</v>
      </c>
      <c r="F145" s="19">
        <v>0.0</v>
      </c>
      <c r="G145" s="19">
        <v>0.0</v>
      </c>
      <c r="H145" s="19">
        <v>0.0</v>
      </c>
      <c r="I145" s="19">
        <v>0.0</v>
      </c>
      <c r="J145" s="19">
        <v>0.0</v>
      </c>
      <c r="K145" s="19">
        <v>0.0</v>
      </c>
      <c r="L145" s="19">
        <v>0.0</v>
      </c>
      <c r="M145" s="19">
        <v>0.0</v>
      </c>
      <c r="N145" s="19">
        <v>0.0</v>
      </c>
      <c r="O145" s="19">
        <v>0.0</v>
      </c>
      <c r="P145" s="19">
        <v>0.0</v>
      </c>
      <c r="Q145" s="19">
        <v>0.0</v>
      </c>
      <c r="R145" s="19">
        <v>0.0</v>
      </c>
      <c r="S145" s="19">
        <v>0.0</v>
      </c>
      <c r="T145" s="13">
        <f t="shared" si="30"/>
        <v>0</v>
      </c>
    </row>
    <row r="146" ht="12.75" customHeight="1">
      <c r="A146" s="18"/>
      <c r="B146" s="55">
        <v>5.0</v>
      </c>
      <c r="C146" s="50" t="s">
        <v>110</v>
      </c>
      <c r="D146" s="60"/>
      <c r="E146" s="19">
        <v>0.0</v>
      </c>
      <c r="F146" s="19">
        <v>0.0</v>
      </c>
      <c r="G146" s="19">
        <v>0.0</v>
      </c>
      <c r="H146" s="19">
        <v>0.0</v>
      </c>
      <c r="I146" s="19">
        <v>0.0</v>
      </c>
      <c r="J146" s="19">
        <v>0.0</v>
      </c>
      <c r="K146" s="19">
        <v>0.0</v>
      </c>
      <c r="L146" s="19">
        <v>0.0</v>
      </c>
      <c r="M146" s="19">
        <v>0.0</v>
      </c>
      <c r="N146" s="19">
        <v>0.0</v>
      </c>
      <c r="O146" s="19">
        <v>0.0</v>
      </c>
      <c r="P146" s="19">
        <v>0.0</v>
      </c>
      <c r="Q146" s="19">
        <v>0.0</v>
      </c>
      <c r="R146" s="19">
        <v>0.0</v>
      </c>
      <c r="S146" s="19">
        <v>0.0</v>
      </c>
      <c r="T146" s="13">
        <f t="shared" si="30"/>
        <v>0</v>
      </c>
    </row>
    <row r="147" ht="12.75" customHeight="1">
      <c r="A147" s="18"/>
      <c r="B147" s="55">
        <v>6.0</v>
      </c>
      <c r="C147" s="50" t="s">
        <v>111</v>
      </c>
      <c r="D147" s="60"/>
      <c r="E147" s="19">
        <v>0.0</v>
      </c>
      <c r="F147" s="19">
        <v>0.0</v>
      </c>
      <c r="G147" s="19">
        <v>0.0</v>
      </c>
      <c r="H147" s="19">
        <v>0.0</v>
      </c>
      <c r="I147" s="19">
        <v>0.0</v>
      </c>
      <c r="J147" s="19">
        <v>0.0</v>
      </c>
      <c r="K147" s="19">
        <v>0.0</v>
      </c>
      <c r="L147" s="19">
        <v>0.0</v>
      </c>
      <c r="M147" s="19">
        <v>0.0</v>
      </c>
      <c r="N147" s="19">
        <v>0.0</v>
      </c>
      <c r="O147" s="19">
        <v>0.0</v>
      </c>
      <c r="P147" s="19">
        <v>0.0</v>
      </c>
      <c r="Q147" s="19">
        <v>0.0</v>
      </c>
      <c r="R147" s="19">
        <v>0.0</v>
      </c>
      <c r="S147" s="19">
        <v>0.0</v>
      </c>
      <c r="T147" s="13">
        <f t="shared" si="30"/>
        <v>0</v>
      </c>
    </row>
    <row r="148" ht="12.75" customHeight="1">
      <c r="A148" s="18"/>
      <c r="B148" s="55">
        <v>7.0</v>
      </c>
      <c r="C148" s="50" t="s">
        <v>112</v>
      </c>
      <c r="D148" s="60"/>
      <c r="E148" s="19">
        <v>0.0</v>
      </c>
      <c r="F148" s="19">
        <v>0.0</v>
      </c>
      <c r="G148" s="19">
        <v>0.0</v>
      </c>
      <c r="H148" s="19">
        <v>0.0</v>
      </c>
      <c r="I148" s="19">
        <v>0.0</v>
      </c>
      <c r="J148" s="19">
        <v>0.0</v>
      </c>
      <c r="K148" s="19">
        <v>0.0</v>
      </c>
      <c r="L148" s="19">
        <v>0.0</v>
      </c>
      <c r="M148" s="19">
        <v>0.0</v>
      </c>
      <c r="N148" s="19">
        <v>0.0</v>
      </c>
      <c r="O148" s="19">
        <v>0.0</v>
      </c>
      <c r="P148" s="19">
        <v>0.0</v>
      </c>
      <c r="Q148" s="19">
        <v>0.0</v>
      </c>
      <c r="R148" s="19">
        <v>0.0</v>
      </c>
      <c r="S148" s="19">
        <v>0.0</v>
      </c>
      <c r="T148" s="13">
        <f t="shared" si="30"/>
        <v>0</v>
      </c>
    </row>
    <row r="149" ht="12.75" customHeight="1">
      <c r="A149" s="18"/>
      <c r="B149" s="56"/>
      <c r="C149" s="57"/>
      <c r="D149" s="62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3">
        <f t="shared" si="30"/>
        <v>0</v>
      </c>
    </row>
    <row r="150" ht="12.75" customHeight="1">
      <c r="A150" s="18"/>
      <c r="B150" s="56"/>
      <c r="C150" s="57"/>
      <c r="D150" s="62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3">
        <f t="shared" si="30"/>
        <v>0</v>
      </c>
    </row>
    <row r="151" ht="12.75" customHeight="1">
      <c r="A151" s="19" t="s">
        <v>15</v>
      </c>
      <c r="B151" s="47" t="s">
        <v>47</v>
      </c>
      <c r="C151" s="15"/>
      <c r="D151" s="16"/>
      <c r="E151" s="13">
        <f t="shared" ref="E151:T151" si="31">SUM(E141:E150)</f>
        <v>0</v>
      </c>
      <c r="F151" s="13">
        <f t="shared" si="31"/>
        <v>0</v>
      </c>
      <c r="G151" s="13">
        <f t="shared" si="31"/>
        <v>0</v>
      </c>
      <c r="H151" s="13">
        <f t="shared" si="31"/>
        <v>0</v>
      </c>
      <c r="I151" s="13">
        <f t="shared" si="31"/>
        <v>0</v>
      </c>
      <c r="J151" s="13">
        <f t="shared" si="31"/>
        <v>0</v>
      </c>
      <c r="K151" s="13">
        <f t="shared" si="31"/>
        <v>0</v>
      </c>
      <c r="L151" s="13">
        <f t="shared" si="31"/>
        <v>0</v>
      </c>
      <c r="M151" s="13">
        <f t="shared" si="31"/>
        <v>0</v>
      </c>
      <c r="N151" s="13">
        <f t="shared" si="31"/>
        <v>1</v>
      </c>
      <c r="O151" s="13">
        <f t="shared" si="31"/>
        <v>0</v>
      </c>
      <c r="P151" s="13">
        <f t="shared" si="31"/>
        <v>0</v>
      </c>
      <c r="Q151" s="13">
        <f t="shared" si="31"/>
        <v>0</v>
      </c>
      <c r="R151" s="13">
        <f t="shared" si="31"/>
        <v>0</v>
      </c>
      <c r="S151" s="13">
        <f t="shared" si="31"/>
        <v>0</v>
      </c>
      <c r="T151" s="13">
        <f t="shared" si="31"/>
        <v>1</v>
      </c>
    </row>
    <row r="152" ht="12.75" customHeight="1">
      <c r="A152" s="24"/>
      <c r="B152" s="15"/>
      <c r="C152" s="15"/>
      <c r="D152" s="15"/>
      <c r="E152" s="16"/>
      <c r="F152" s="84"/>
      <c r="G152" s="84"/>
      <c r="H152" s="84"/>
      <c r="I152" s="84"/>
      <c r="J152" s="84"/>
      <c r="K152" s="84"/>
      <c r="L152" s="84"/>
      <c r="M152" s="84"/>
      <c r="N152" s="84"/>
      <c r="O152" s="84"/>
      <c r="P152" s="84"/>
      <c r="Q152" s="84"/>
      <c r="R152" s="84"/>
      <c r="S152" s="84"/>
      <c r="T152" s="13"/>
    </row>
    <row r="153" ht="12.75" customHeight="1">
      <c r="A153" s="30" t="s">
        <v>37</v>
      </c>
      <c r="B153" s="17" t="s">
        <v>113</v>
      </c>
      <c r="C153" s="65" t="s">
        <v>114</v>
      </c>
      <c r="D153" s="23"/>
      <c r="E153" s="19">
        <v>0.0</v>
      </c>
      <c r="F153" s="19">
        <v>0.0</v>
      </c>
      <c r="G153" s="19">
        <v>0.0</v>
      </c>
      <c r="H153" s="19">
        <v>0.0</v>
      </c>
      <c r="I153" s="19">
        <v>0.0</v>
      </c>
      <c r="J153" s="19">
        <v>0.0</v>
      </c>
      <c r="K153" s="19">
        <v>0.0</v>
      </c>
      <c r="L153" s="19">
        <v>1.0</v>
      </c>
      <c r="M153" s="19">
        <v>0.0</v>
      </c>
      <c r="N153" s="19">
        <v>1.0</v>
      </c>
      <c r="O153" s="19">
        <v>0.0</v>
      </c>
      <c r="P153" s="19">
        <v>0.0</v>
      </c>
      <c r="Q153" s="19">
        <v>0.0</v>
      </c>
      <c r="R153" s="19">
        <v>0.0</v>
      </c>
      <c r="S153" s="19">
        <v>0.0</v>
      </c>
      <c r="T153" s="13">
        <f t="shared" ref="T153:T163" si="32">SUM(E153:S153)</f>
        <v>2</v>
      </c>
    </row>
    <row r="154" ht="12.75" customHeight="1">
      <c r="A154" s="66" t="s">
        <v>39</v>
      </c>
      <c r="B154" s="55">
        <v>1.0</v>
      </c>
      <c r="C154" s="67" t="s">
        <v>115</v>
      </c>
      <c r="D154" s="60"/>
      <c r="E154" s="86">
        <v>1.0</v>
      </c>
      <c r="F154" s="19">
        <v>0.0</v>
      </c>
      <c r="G154" s="19">
        <v>0.0</v>
      </c>
      <c r="H154" s="19">
        <v>0.0</v>
      </c>
      <c r="I154" s="19">
        <v>0.0</v>
      </c>
      <c r="J154" s="19">
        <v>0.0</v>
      </c>
      <c r="K154" s="19">
        <v>0.0</v>
      </c>
      <c r="L154" s="19">
        <v>0.0</v>
      </c>
      <c r="M154" s="19">
        <v>0.0</v>
      </c>
      <c r="N154" s="19">
        <v>0.0</v>
      </c>
      <c r="O154" s="19">
        <v>0.0</v>
      </c>
      <c r="P154" s="19">
        <v>0.0</v>
      </c>
      <c r="Q154" s="19">
        <v>0.0</v>
      </c>
      <c r="R154" s="19">
        <v>0.0</v>
      </c>
      <c r="S154" s="19">
        <v>0.0</v>
      </c>
      <c r="T154" s="13">
        <f t="shared" si="32"/>
        <v>1</v>
      </c>
    </row>
    <row r="155" ht="12.75" customHeight="1">
      <c r="A155" s="18"/>
      <c r="B155" s="55">
        <v>2.0</v>
      </c>
      <c r="C155" s="67" t="s">
        <v>116</v>
      </c>
      <c r="D155" s="60"/>
      <c r="E155" s="86">
        <v>0.0</v>
      </c>
      <c r="F155" s="19">
        <v>0.0</v>
      </c>
      <c r="G155" s="19">
        <v>0.0</v>
      </c>
      <c r="H155" s="19">
        <v>0.0</v>
      </c>
      <c r="I155" s="19">
        <v>0.0</v>
      </c>
      <c r="J155" s="19">
        <v>0.0</v>
      </c>
      <c r="K155" s="19">
        <v>0.0</v>
      </c>
      <c r="L155" s="19">
        <v>0.0</v>
      </c>
      <c r="M155" s="19">
        <v>0.0</v>
      </c>
      <c r="N155" s="19">
        <v>0.0</v>
      </c>
      <c r="O155" s="19">
        <v>0.0</v>
      </c>
      <c r="P155" s="19">
        <v>0.0</v>
      </c>
      <c r="Q155" s="19">
        <v>0.0</v>
      </c>
      <c r="R155" s="19">
        <v>0.0</v>
      </c>
      <c r="S155" s="19">
        <v>0.0</v>
      </c>
      <c r="T155" s="13">
        <f t="shared" si="32"/>
        <v>0</v>
      </c>
    </row>
    <row r="156" ht="12.75" customHeight="1">
      <c r="A156" s="18"/>
      <c r="B156" s="55">
        <v>3.0</v>
      </c>
      <c r="C156" s="67" t="s">
        <v>117</v>
      </c>
      <c r="D156" s="60"/>
      <c r="E156" s="86">
        <v>1.0</v>
      </c>
      <c r="F156" s="19">
        <v>0.0</v>
      </c>
      <c r="G156" s="19">
        <v>0.0</v>
      </c>
      <c r="H156" s="19">
        <v>0.0</v>
      </c>
      <c r="I156" s="19">
        <v>0.0</v>
      </c>
      <c r="J156" s="19">
        <v>0.0</v>
      </c>
      <c r="K156" s="19">
        <v>0.0</v>
      </c>
      <c r="L156" s="19">
        <v>0.0</v>
      </c>
      <c r="M156" s="19">
        <v>0.0</v>
      </c>
      <c r="N156" s="19">
        <v>0.0</v>
      </c>
      <c r="O156" s="19">
        <v>0.0</v>
      </c>
      <c r="P156" s="19">
        <v>0.0</v>
      </c>
      <c r="Q156" s="19">
        <v>0.0</v>
      </c>
      <c r="R156" s="19">
        <v>0.0</v>
      </c>
      <c r="S156" s="19">
        <v>0.0</v>
      </c>
      <c r="T156" s="13">
        <f t="shared" si="32"/>
        <v>1</v>
      </c>
    </row>
    <row r="157" ht="12.75" customHeight="1">
      <c r="A157" s="18"/>
      <c r="B157" s="55">
        <v>4.0</v>
      </c>
      <c r="C157" s="67" t="s">
        <v>118</v>
      </c>
      <c r="D157" s="60"/>
      <c r="E157" s="86">
        <v>1.0</v>
      </c>
      <c r="F157" s="19">
        <v>0.0</v>
      </c>
      <c r="G157" s="19">
        <v>0.0</v>
      </c>
      <c r="H157" s="19">
        <v>0.0</v>
      </c>
      <c r="I157" s="19">
        <v>1.0</v>
      </c>
      <c r="J157" s="19">
        <v>0.0</v>
      </c>
      <c r="K157" s="19">
        <v>0.0</v>
      </c>
      <c r="L157" s="19">
        <v>0.0</v>
      </c>
      <c r="M157" s="19">
        <v>0.0</v>
      </c>
      <c r="N157" s="19">
        <v>0.0</v>
      </c>
      <c r="O157" s="19">
        <v>0.0</v>
      </c>
      <c r="P157" s="19">
        <v>0.0</v>
      </c>
      <c r="Q157" s="19">
        <v>0.0</v>
      </c>
      <c r="R157" s="19">
        <v>0.0</v>
      </c>
      <c r="S157" s="19">
        <v>0.0</v>
      </c>
      <c r="T157" s="13">
        <f t="shared" si="32"/>
        <v>2</v>
      </c>
    </row>
    <row r="158" ht="12.75" customHeight="1">
      <c r="A158" s="18"/>
      <c r="B158" s="56"/>
      <c r="C158" s="57"/>
      <c r="D158" s="62"/>
      <c r="E158" s="86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3">
        <f t="shared" si="32"/>
        <v>0</v>
      </c>
    </row>
    <row r="159" ht="12.75" customHeight="1">
      <c r="A159" s="18"/>
      <c r="B159" s="56"/>
      <c r="C159" s="57"/>
      <c r="D159" s="62"/>
      <c r="E159" s="86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3">
        <f t="shared" si="32"/>
        <v>0</v>
      </c>
    </row>
    <row r="160" ht="12.75" customHeight="1">
      <c r="A160" s="18"/>
      <c r="B160" s="56"/>
      <c r="C160" s="57"/>
      <c r="D160" s="62"/>
      <c r="E160" s="86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3">
        <f t="shared" si="32"/>
        <v>0</v>
      </c>
    </row>
    <row r="161" ht="12.75" customHeight="1">
      <c r="A161" s="18"/>
      <c r="B161" s="56"/>
      <c r="C161" s="68"/>
      <c r="D161" s="62"/>
      <c r="E161" s="86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3">
        <f t="shared" si="32"/>
        <v>0</v>
      </c>
    </row>
    <row r="162" ht="12.75" customHeight="1">
      <c r="A162" s="18"/>
      <c r="B162" s="56"/>
      <c r="C162" s="68"/>
      <c r="D162" s="62"/>
      <c r="E162" s="86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3">
        <f t="shared" si="32"/>
        <v>0</v>
      </c>
    </row>
    <row r="163" ht="12.75" customHeight="1">
      <c r="A163" s="19" t="s">
        <v>15</v>
      </c>
      <c r="B163" s="69" t="s">
        <v>47</v>
      </c>
      <c r="C163" s="44"/>
      <c r="D163" s="28"/>
      <c r="E163" s="13">
        <f t="shared" ref="E163:S163" si="33">SUM(E153:E162)</f>
        <v>3</v>
      </c>
      <c r="F163" s="13">
        <f t="shared" si="33"/>
        <v>0</v>
      </c>
      <c r="G163" s="13">
        <f t="shared" si="33"/>
        <v>0</v>
      </c>
      <c r="H163" s="13">
        <f t="shared" si="33"/>
        <v>0</v>
      </c>
      <c r="I163" s="13">
        <f t="shared" si="33"/>
        <v>1</v>
      </c>
      <c r="J163" s="13">
        <f t="shared" si="33"/>
        <v>0</v>
      </c>
      <c r="K163" s="13">
        <f t="shared" si="33"/>
        <v>0</v>
      </c>
      <c r="L163" s="13">
        <f t="shared" si="33"/>
        <v>1</v>
      </c>
      <c r="M163" s="13">
        <f t="shared" si="33"/>
        <v>0</v>
      </c>
      <c r="N163" s="13">
        <f t="shared" si="33"/>
        <v>1</v>
      </c>
      <c r="O163" s="13">
        <f t="shared" si="33"/>
        <v>0</v>
      </c>
      <c r="P163" s="13">
        <f t="shared" si="33"/>
        <v>0</v>
      </c>
      <c r="Q163" s="13">
        <f t="shared" si="33"/>
        <v>0</v>
      </c>
      <c r="R163" s="13">
        <f t="shared" si="33"/>
        <v>0</v>
      </c>
      <c r="S163" s="13">
        <f t="shared" si="33"/>
        <v>0</v>
      </c>
      <c r="T163" s="13">
        <f t="shared" si="32"/>
        <v>6</v>
      </c>
    </row>
    <row r="164" ht="12.75" customHeight="1">
      <c r="A164" s="24"/>
      <c r="B164" s="15"/>
      <c r="C164" s="15"/>
      <c r="D164" s="15"/>
      <c r="E164" s="16"/>
      <c r="F164" s="84"/>
      <c r="G164" s="84"/>
      <c r="H164" s="84"/>
      <c r="I164" s="84"/>
      <c r="J164" s="84"/>
      <c r="K164" s="84"/>
      <c r="L164" s="84"/>
      <c r="M164" s="84"/>
      <c r="N164" s="84"/>
      <c r="O164" s="84"/>
      <c r="P164" s="84"/>
      <c r="Q164" s="84"/>
      <c r="R164" s="84"/>
      <c r="S164" s="84"/>
      <c r="T164" s="84"/>
    </row>
    <row r="165" ht="12.75" customHeight="1">
      <c r="A165" s="30" t="s">
        <v>37</v>
      </c>
      <c r="B165" s="47" t="s">
        <v>119</v>
      </c>
      <c r="C165" s="48" t="s">
        <v>120</v>
      </c>
      <c r="D165" s="16"/>
      <c r="E165" s="19">
        <v>0.0</v>
      </c>
      <c r="F165" s="19">
        <v>0.0</v>
      </c>
      <c r="G165" s="19">
        <v>0.0</v>
      </c>
      <c r="H165" s="19">
        <v>0.0</v>
      </c>
      <c r="I165" s="19">
        <v>0.0</v>
      </c>
      <c r="J165" s="19">
        <v>0.0</v>
      </c>
      <c r="K165" s="19">
        <v>0.0</v>
      </c>
      <c r="L165" s="19">
        <v>0.0</v>
      </c>
      <c r="M165" s="19">
        <v>0.0</v>
      </c>
      <c r="N165" s="19">
        <v>0.0</v>
      </c>
      <c r="O165" s="19">
        <v>0.0</v>
      </c>
      <c r="P165" s="19">
        <v>0.0</v>
      </c>
      <c r="Q165" s="19">
        <v>0.0</v>
      </c>
      <c r="R165" s="19">
        <v>0.0</v>
      </c>
      <c r="S165" s="19">
        <v>0.0</v>
      </c>
      <c r="T165" s="13">
        <f t="shared" ref="T165:T174" si="34">SUM(E165:S165)</f>
        <v>0</v>
      </c>
    </row>
    <row r="166" ht="12.75" customHeight="1">
      <c r="A166" s="30" t="s">
        <v>39</v>
      </c>
      <c r="B166" s="55">
        <v>1.0</v>
      </c>
      <c r="C166" s="50" t="s">
        <v>121</v>
      </c>
      <c r="D166" s="60"/>
      <c r="E166" s="19">
        <v>0.0</v>
      </c>
      <c r="F166" s="19">
        <v>0.0</v>
      </c>
      <c r="G166" s="19">
        <v>0.0</v>
      </c>
      <c r="H166" s="19">
        <v>0.0</v>
      </c>
      <c r="I166" s="19">
        <v>1.0</v>
      </c>
      <c r="J166" s="19">
        <v>0.0</v>
      </c>
      <c r="K166" s="19">
        <v>0.0</v>
      </c>
      <c r="L166" s="19">
        <v>0.0</v>
      </c>
      <c r="M166" s="19">
        <v>0.0</v>
      </c>
      <c r="N166" s="19">
        <v>0.0</v>
      </c>
      <c r="O166" s="19">
        <v>1.0</v>
      </c>
      <c r="P166" s="19">
        <v>0.0</v>
      </c>
      <c r="Q166" s="19">
        <v>0.0</v>
      </c>
      <c r="R166" s="19">
        <v>0.0</v>
      </c>
      <c r="S166" s="19">
        <v>0.0</v>
      </c>
      <c r="T166" s="13">
        <f t="shared" si="34"/>
        <v>2</v>
      </c>
    </row>
    <row r="167" ht="12.75" customHeight="1">
      <c r="A167" s="18"/>
      <c r="B167" s="55">
        <v>2.0</v>
      </c>
      <c r="C167" s="50" t="s">
        <v>122</v>
      </c>
      <c r="D167" s="60"/>
      <c r="E167" s="19">
        <v>0.0</v>
      </c>
      <c r="F167" s="19">
        <v>0.0</v>
      </c>
      <c r="G167" s="19">
        <v>0.0</v>
      </c>
      <c r="H167" s="19">
        <v>0.0</v>
      </c>
      <c r="I167" s="19">
        <v>0.0</v>
      </c>
      <c r="J167" s="19">
        <v>0.0</v>
      </c>
      <c r="K167" s="19">
        <v>0.0</v>
      </c>
      <c r="L167" s="19">
        <v>0.0</v>
      </c>
      <c r="M167" s="19">
        <v>0.0</v>
      </c>
      <c r="N167" s="19">
        <v>0.0</v>
      </c>
      <c r="O167" s="19">
        <v>0.0</v>
      </c>
      <c r="P167" s="19">
        <v>0.0</v>
      </c>
      <c r="Q167" s="19">
        <v>0.0</v>
      </c>
      <c r="R167" s="19">
        <v>0.0</v>
      </c>
      <c r="S167" s="19">
        <v>0.0</v>
      </c>
      <c r="T167" s="13">
        <f t="shared" si="34"/>
        <v>0</v>
      </c>
    </row>
    <row r="168" ht="12.75" customHeight="1">
      <c r="A168" s="18"/>
      <c r="B168" s="55">
        <v>3.0</v>
      </c>
      <c r="C168" s="50" t="s">
        <v>123</v>
      </c>
      <c r="D168" s="60"/>
      <c r="E168" s="19">
        <v>0.0</v>
      </c>
      <c r="F168" s="19">
        <v>0.0</v>
      </c>
      <c r="G168" s="19">
        <v>0.0</v>
      </c>
      <c r="H168" s="19">
        <v>0.0</v>
      </c>
      <c r="I168" s="19">
        <v>0.0</v>
      </c>
      <c r="J168" s="19">
        <v>0.0</v>
      </c>
      <c r="K168" s="19">
        <v>0.0</v>
      </c>
      <c r="L168" s="19">
        <v>0.0</v>
      </c>
      <c r="M168" s="19">
        <v>0.0</v>
      </c>
      <c r="N168" s="19">
        <v>0.0</v>
      </c>
      <c r="O168" s="19">
        <v>0.0</v>
      </c>
      <c r="P168" s="19">
        <v>0.0</v>
      </c>
      <c r="Q168" s="19">
        <v>1.0</v>
      </c>
      <c r="R168" s="19">
        <v>0.0</v>
      </c>
      <c r="S168" s="19">
        <v>0.0</v>
      </c>
      <c r="T168" s="13">
        <f t="shared" si="34"/>
        <v>1</v>
      </c>
    </row>
    <row r="169" ht="12.75" customHeight="1">
      <c r="A169" s="18"/>
      <c r="B169" s="55">
        <v>4.0</v>
      </c>
      <c r="C169" s="50" t="s">
        <v>124</v>
      </c>
      <c r="D169" s="60"/>
      <c r="E169" s="19">
        <v>0.0</v>
      </c>
      <c r="F169" s="19">
        <v>0.0</v>
      </c>
      <c r="G169" s="19">
        <v>0.0</v>
      </c>
      <c r="H169" s="19">
        <v>0.0</v>
      </c>
      <c r="I169" s="19">
        <v>0.0</v>
      </c>
      <c r="J169" s="19">
        <v>0.0</v>
      </c>
      <c r="K169" s="19">
        <v>0.0</v>
      </c>
      <c r="L169" s="19">
        <v>0.0</v>
      </c>
      <c r="M169" s="19">
        <v>0.0</v>
      </c>
      <c r="N169" s="19">
        <v>0.0</v>
      </c>
      <c r="O169" s="19">
        <v>0.0</v>
      </c>
      <c r="P169" s="19">
        <v>0.0</v>
      </c>
      <c r="Q169" s="19">
        <v>0.0</v>
      </c>
      <c r="R169" s="19">
        <v>0.0</v>
      </c>
      <c r="S169" s="19">
        <v>0.0</v>
      </c>
      <c r="T169" s="13">
        <f t="shared" si="34"/>
        <v>0</v>
      </c>
    </row>
    <row r="170" ht="12.75" customHeight="1">
      <c r="A170" s="18"/>
      <c r="B170" s="55">
        <v>5.0</v>
      </c>
      <c r="C170" s="50" t="s">
        <v>125</v>
      </c>
      <c r="D170" s="60"/>
      <c r="E170" s="19">
        <v>0.0</v>
      </c>
      <c r="F170" s="19">
        <v>0.0</v>
      </c>
      <c r="G170" s="19">
        <v>0.0</v>
      </c>
      <c r="H170" s="19">
        <v>0.0</v>
      </c>
      <c r="I170" s="19">
        <v>0.0</v>
      </c>
      <c r="J170" s="19">
        <v>0.0</v>
      </c>
      <c r="K170" s="19">
        <v>0.0</v>
      </c>
      <c r="L170" s="19">
        <v>0.0</v>
      </c>
      <c r="M170" s="19">
        <v>0.0</v>
      </c>
      <c r="N170" s="19">
        <v>0.0</v>
      </c>
      <c r="O170" s="19">
        <v>0.0</v>
      </c>
      <c r="P170" s="19">
        <v>0.0</v>
      </c>
      <c r="Q170" s="19">
        <v>0.0</v>
      </c>
      <c r="R170" s="19">
        <v>0.0</v>
      </c>
      <c r="S170" s="19">
        <v>0.0</v>
      </c>
      <c r="T170" s="13">
        <f t="shared" si="34"/>
        <v>0</v>
      </c>
    </row>
    <row r="171" ht="12.75" customHeight="1">
      <c r="A171" s="18"/>
      <c r="B171" s="55">
        <v>6.0</v>
      </c>
      <c r="C171" s="50" t="s">
        <v>126</v>
      </c>
      <c r="D171" s="60"/>
      <c r="E171" s="19">
        <v>0.0</v>
      </c>
      <c r="F171" s="19">
        <v>0.0</v>
      </c>
      <c r="G171" s="19">
        <v>0.0</v>
      </c>
      <c r="H171" s="19">
        <v>0.0</v>
      </c>
      <c r="I171" s="19">
        <v>0.0</v>
      </c>
      <c r="J171" s="19">
        <v>0.0</v>
      </c>
      <c r="K171" s="19">
        <v>0.0</v>
      </c>
      <c r="L171" s="19">
        <v>0.0</v>
      </c>
      <c r="M171" s="19">
        <v>0.0</v>
      </c>
      <c r="N171" s="19">
        <v>0.0</v>
      </c>
      <c r="O171" s="19">
        <v>0.0</v>
      </c>
      <c r="P171" s="19">
        <v>0.0</v>
      </c>
      <c r="Q171" s="19">
        <v>0.0</v>
      </c>
      <c r="R171" s="19">
        <v>0.0</v>
      </c>
      <c r="S171" s="19">
        <v>0.0</v>
      </c>
      <c r="T171" s="13">
        <f t="shared" si="34"/>
        <v>0</v>
      </c>
    </row>
    <row r="172" ht="12.75" customHeight="1">
      <c r="A172" s="18"/>
      <c r="B172" s="55">
        <v>7.0</v>
      </c>
      <c r="C172" s="50" t="s">
        <v>127</v>
      </c>
      <c r="D172" s="60"/>
      <c r="E172" s="19">
        <v>0.0</v>
      </c>
      <c r="F172" s="19">
        <v>0.0</v>
      </c>
      <c r="G172" s="19">
        <v>0.0</v>
      </c>
      <c r="H172" s="19">
        <v>0.0</v>
      </c>
      <c r="I172" s="19">
        <v>0.0</v>
      </c>
      <c r="J172" s="19">
        <v>0.0</v>
      </c>
      <c r="K172" s="19">
        <v>0.0</v>
      </c>
      <c r="L172" s="19">
        <v>0.0</v>
      </c>
      <c r="M172" s="19">
        <v>0.0</v>
      </c>
      <c r="N172" s="19">
        <v>0.0</v>
      </c>
      <c r="O172" s="19">
        <v>0.0</v>
      </c>
      <c r="P172" s="19">
        <v>0.0</v>
      </c>
      <c r="Q172" s="19">
        <v>0.0</v>
      </c>
      <c r="R172" s="19">
        <v>0.0</v>
      </c>
      <c r="S172" s="19">
        <v>0.0</v>
      </c>
      <c r="T172" s="13">
        <f t="shared" si="34"/>
        <v>0</v>
      </c>
    </row>
    <row r="173" ht="12.75" customHeight="1">
      <c r="A173" s="18"/>
      <c r="B173" s="56"/>
      <c r="C173" s="57"/>
      <c r="D173" s="62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3">
        <f t="shared" si="34"/>
        <v>0</v>
      </c>
    </row>
    <row r="174" ht="12.75" customHeight="1">
      <c r="A174" s="18"/>
      <c r="B174" s="56"/>
      <c r="C174" s="57"/>
      <c r="D174" s="62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3">
        <f t="shared" si="34"/>
        <v>0</v>
      </c>
    </row>
    <row r="175" ht="12.75" customHeight="1">
      <c r="A175" s="19" t="s">
        <v>15</v>
      </c>
      <c r="B175" s="47" t="s">
        <v>47</v>
      </c>
      <c r="C175" s="15"/>
      <c r="D175" s="16"/>
      <c r="E175" s="13">
        <f t="shared" ref="E175:T175" si="35">SUM(E165:E174)</f>
        <v>0</v>
      </c>
      <c r="F175" s="13">
        <f t="shared" si="35"/>
        <v>0</v>
      </c>
      <c r="G175" s="13">
        <f t="shared" si="35"/>
        <v>0</v>
      </c>
      <c r="H175" s="13">
        <f t="shared" si="35"/>
        <v>0</v>
      </c>
      <c r="I175" s="13">
        <f t="shared" si="35"/>
        <v>1</v>
      </c>
      <c r="J175" s="13">
        <f t="shared" si="35"/>
        <v>0</v>
      </c>
      <c r="K175" s="13">
        <f t="shared" si="35"/>
        <v>0</v>
      </c>
      <c r="L175" s="13">
        <f t="shared" si="35"/>
        <v>0</v>
      </c>
      <c r="M175" s="13">
        <f t="shared" si="35"/>
        <v>0</v>
      </c>
      <c r="N175" s="13">
        <f t="shared" si="35"/>
        <v>0</v>
      </c>
      <c r="O175" s="13">
        <f t="shared" si="35"/>
        <v>1</v>
      </c>
      <c r="P175" s="13">
        <f t="shared" si="35"/>
        <v>0</v>
      </c>
      <c r="Q175" s="13">
        <f t="shared" si="35"/>
        <v>1</v>
      </c>
      <c r="R175" s="13">
        <f t="shared" si="35"/>
        <v>0</v>
      </c>
      <c r="S175" s="13">
        <f t="shared" si="35"/>
        <v>0</v>
      </c>
      <c r="T175" s="13">
        <f t="shared" si="35"/>
        <v>3</v>
      </c>
    </row>
    <row r="176" ht="12.75" customHeight="1">
      <c r="A176" s="24"/>
      <c r="B176" s="15"/>
      <c r="C176" s="15"/>
      <c r="D176" s="15"/>
      <c r="E176" s="16"/>
      <c r="F176" s="84"/>
      <c r="G176" s="84"/>
      <c r="H176" s="84"/>
      <c r="I176" s="84"/>
      <c r="J176" s="84"/>
      <c r="K176" s="84"/>
      <c r="L176" s="84"/>
      <c r="M176" s="84"/>
      <c r="N176" s="84"/>
      <c r="O176" s="84"/>
      <c r="P176" s="84"/>
      <c r="Q176" s="84"/>
      <c r="R176" s="84"/>
      <c r="S176" s="84"/>
      <c r="T176" s="84"/>
    </row>
    <row r="177" ht="12.75" customHeight="1">
      <c r="A177" s="30" t="s">
        <v>37</v>
      </c>
      <c r="B177" s="47" t="s">
        <v>128</v>
      </c>
      <c r="C177" s="48" t="s">
        <v>129</v>
      </c>
      <c r="D177" s="16"/>
      <c r="E177" s="19">
        <v>0.0</v>
      </c>
      <c r="F177" s="19">
        <v>0.0</v>
      </c>
      <c r="G177" s="19">
        <v>0.0</v>
      </c>
      <c r="H177" s="19">
        <v>0.0</v>
      </c>
      <c r="I177" s="19">
        <v>1.0</v>
      </c>
      <c r="J177" s="19">
        <v>0.0</v>
      </c>
      <c r="K177" s="19">
        <v>0.0</v>
      </c>
      <c r="L177" s="19">
        <v>1.0</v>
      </c>
      <c r="M177" s="19">
        <v>3.0</v>
      </c>
      <c r="N177" s="19">
        <v>0.0</v>
      </c>
      <c r="O177" s="19">
        <v>0.0</v>
      </c>
      <c r="P177" s="19">
        <v>0.0</v>
      </c>
      <c r="Q177" s="19">
        <v>0.0</v>
      </c>
      <c r="R177" s="19">
        <v>0.0</v>
      </c>
      <c r="S177" s="19">
        <v>0.0</v>
      </c>
      <c r="T177" s="13">
        <f t="shared" ref="T177:T186" si="36">SUM(E177:S177)</f>
        <v>5</v>
      </c>
    </row>
    <row r="178" ht="12.75" customHeight="1">
      <c r="A178" s="30" t="s">
        <v>39</v>
      </c>
      <c r="B178" s="55">
        <v>1.0</v>
      </c>
      <c r="C178" s="50" t="s">
        <v>130</v>
      </c>
      <c r="D178" s="60"/>
      <c r="E178" s="19">
        <v>2.0</v>
      </c>
      <c r="F178" s="19">
        <v>0.0</v>
      </c>
      <c r="G178" s="19">
        <v>2.0</v>
      </c>
      <c r="H178" s="19">
        <v>0.0</v>
      </c>
      <c r="I178" s="19">
        <v>1.0</v>
      </c>
      <c r="J178" s="19">
        <v>0.0</v>
      </c>
      <c r="K178" s="19">
        <v>0.0</v>
      </c>
      <c r="L178" s="19">
        <v>0.0</v>
      </c>
      <c r="M178" s="19">
        <v>0.0</v>
      </c>
      <c r="N178" s="19">
        <v>0.0</v>
      </c>
      <c r="O178" s="19">
        <v>0.0</v>
      </c>
      <c r="P178" s="19">
        <v>0.0</v>
      </c>
      <c r="Q178" s="19">
        <v>0.0</v>
      </c>
      <c r="R178" s="19">
        <v>1.0</v>
      </c>
      <c r="S178" s="19">
        <v>0.0</v>
      </c>
      <c r="T178" s="13">
        <f t="shared" si="36"/>
        <v>6</v>
      </c>
    </row>
    <row r="179" ht="12.75" customHeight="1">
      <c r="A179" s="18"/>
      <c r="B179" s="55">
        <v>2.0</v>
      </c>
      <c r="C179" s="50" t="s">
        <v>131</v>
      </c>
      <c r="D179" s="60"/>
      <c r="E179" s="19">
        <v>0.0</v>
      </c>
      <c r="F179" s="19">
        <v>0.0</v>
      </c>
      <c r="G179" s="19">
        <v>0.0</v>
      </c>
      <c r="H179" s="19">
        <v>0.0</v>
      </c>
      <c r="I179" s="19">
        <v>1.0</v>
      </c>
      <c r="J179" s="19">
        <v>0.0</v>
      </c>
      <c r="K179" s="19">
        <v>0.0</v>
      </c>
      <c r="L179" s="19">
        <v>1.0</v>
      </c>
      <c r="M179" s="19">
        <v>0.0</v>
      </c>
      <c r="N179" s="19">
        <v>2.0</v>
      </c>
      <c r="O179" s="19">
        <v>0.0</v>
      </c>
      <c r="P179" s="19">
        <v>0.0</v>
      </c>
      <c r="Q179" s="19">
        <v>0.0</v>
      </c>
      <c r="R179" s="19">
        <v>0.0</v>
      </c>
      <c r="S179" s="19">
        <v>0.0</v>
      </c>
      <c r="T179" s="13">
        <f t="shared" si="36"/>
        <v>4</v>
      </c>
    </row>
    <row r="180" ht="12.75" customHeight="1">
      <c r="A180" s="18"/>
      <c r="B180" s="55">
        <v>3.0</v>
      </c>
      <c r="C180" s="50" t="s">
        <v>132</v>
      </c>
      <c r="D180" s="60"/>
      <c r="E180" s="19">
        <v>0.0</v>
      </c>
      <c r="F180" s="19">
        <v>0.0</v>
      </c>
      <c r="G180" s="19">
        <v>0.0</v>
      </c>
      <c r="H180" s="19">
        <v>1.0</v>
      </c>
      <c r="I180" s="19">
        <v>0.0</v>
      </c>
      <c r="J180" s="19">
        <v>0.0</v>
      </c>
      <c r="K180" s="19">
        <v>0.0</v>
      </c>
      <c r="L180" s="19">
        <v>0.0</v>
      </c>
      <c r="M180" s="19">
        <v>0.0</v>
      </c>
      <c r="N180" s="19">
        <v>0.0</v>
      </c>
      <c r="O180" s="19">
        <v>0.0</v>
      </c>
      <c r="P180" s="19">
        <v>0.0</v>
      </c>
      <c r="Q180" s="19">
        <v>0.0</v>
      </c>
      <c r="R180" s="19">
        <v>0.0</v>
      </c>
      <c r="S180" s="19">
        <v>0.0</v>
      </c>
      <c r="T180" s="13">
        <f t="shared" si="36"/>
        <v>1</v>
      </c>
    </row>
    <row r="181" ht="12.75" customHeight="1">
      <c r="A181" s="18"/>
      <c r="B181" s="55">
        <v>4.0</v>
      </c>
      <c r="C181" s="50" t="s">
        <v>133</v>
      </c>
      <c r="D181" s="60"/>
      <c r="E181" s="19">
        <v>0.0</v>
      </c>
      <c r="F181" s="19">
        <v>1.0</v>
      </c>
      <c r="G181" s="19">
        <v>0.0</v>
      </c>
      <c r="H181" s="19">
        <v>0.0</v>
      </c>
      <c r="I181" s="19">
        <v>0.0</v>
      </c>
      <c r="J181" s="19">
        <v>0.0</v>
      </c>
      <c r="K181" s="19">
        <v>0.0</v>
      </c>
      <c r="L181" s="19">
        <v>0.0</v>
      </c>
      <c r="M181" s="19">
        <v>0.0</v>
      </c>
      <c r="N181" s="19">
        <v>0.0</v>
      </c>
      <c r="O181" s="19">
        <v>0.0</v>
      </c>
      <c r="P181" s="19">
        <v>0.0</v>
      </c>
      <c r="Q181" s="19">
        <v>0.0</v>
      </c>
      <c r="R181" s="19">
        <v>0.0</v>
      </c>
      <c r="S181" s="19">
        <v>0.0</v>
      </c>
      <c r="T181" s="13">
        <f t="shared" si="36"/>
        <v>1</v>
      </c>
    </row>
    <row r="182" ht="12.75" customHeight="1">
      <c r="A182" s="18"/>
      <c r="B182" s="55">
        <v>5.0</v>
      </c>
      <c r="C182" s="50" t="s">
        <v>134</v>
      </c>
      <c r="D182" s="60"/>
      <c r="E182" s="19">
        <v>0.0</v>
      </c>
      <c r="F182" s="19">
        <v>0.0</v>
      </c>
      <c r="G182" s="19">
        <v>0.0</v>
      </c>
      <c r="H182" s="19">
        <v>0.0</v>
      </c>
      <c r="I182" s="19">
        <v>1.0</v>
      </c>
      <c r="J182" s="19">
        <v>0.0</v>
      </c>
      <c r="K182" s="19">
        <v>0.0</v>
      </c>
      <c r="L182" s="19">
        <v>0.0</v>
      </c>
      <c r="M182" s="19">
        <v>0.0</v>
      </c>
      <c r="N182" s="19">
        <v>0.0</v>
      </c>
      <c r="O182" s="19">
        <v>1.0</v>
      </c>
      <c r="P182" s="19">
        <v>0.0</v>
      </c>
      <c r="Q182" s="19">
        <v>0.0</v>
      </c>
      <c r="R182" s="19">
        <v>0.0</v>
      </c>
      <c r="S182" s="19">
        <v>0.0</v>
      </c>
      <c r="T182" s="13">
        <f t="shared" si="36"/>
        <v>2</v>
      </c>
    </row>
    <row r="183" ht="12.75" customHeight="1">
      <c r="A183" s="18"/>
      <c r="B183" s="55">
        <v>6.0</v>
      </c>
      <c r="C183" s="50" t="s">
        <v>135</v>
      </c>
      <c r="D183" s="60"/>
      <c r="E183" s="19">
        <v>0.0</v>
      </c>
      <c r="F183" s="19">
        <v>0.0</v>
      </c>
      <c r="G183" s="19">
        <v>0.0</v>
      </c>
      <c r="H183" s="19">
        <v>0.0</v>
      </c>
      <c r="I183" s="19">
        <v>0.0</v>
      </c>
      <c r="J183" s="19">
        <v>0.0</v>
      </c>
      <c r="K183" s="19">
        <v>0.0</v>
      </c>
      <c r="L183" s="19">
        <v>0.0</v>
      </c>
      <c r="M183" s="19">
        <v>0.0</v>
      </c>
      <c r="N183" s="19">
        <v>0.0</v>
      </c>
      <c r="O183" s="19">
        <v>0.0</v>
      </c>
      <c r="P183" s="19">
        <v>0.0</v>
      </c>
      <c r="Q183" s="19">
        <v>0.0</v>
      </c>
      <c r="R183" s="19">
        <v>0.0</v>
      </c>
      <c r="S183" s="19">
        <v>0.0</v>
      </c>
      <c r="T183" s="13">
        <f t="shared" si="36"/>
        <v>0</v>
      </c>
    </row>
    <row r="184" ht="12.75" customHeight="1">
      <c r="A184" s="18"/>
      <c r="B184" s="55">
        <v>7.0</v>
      </c>
      <c r="C184" s="50" t="s">
        <v>136</v>
      </c>
      <c r="D184" s="60"/>
      <c r="E184" s="19">
        <v>0.0</v>
      </c>
      <c r="F184" s="19">
        <v>0.0</v>
      </c>
      <c r="G184" s="19">
        <v>0.0</v>
      </c>
      <c r="H184" s="19">
        <v>0.0</v>
      </c>
      <c r="I184" s="19">
        <v>0.0</v>
      </c>
      <c r="J184" s="19">
        <v>0.0</v>
      </c>
      <c r="K184" s="19">
        <v>0.0</v>
      </c>
      <c r="L184" s="19">
        <v>0.0</v>
      </c>
      <c r="M184" s="19">
        <v>0.0</v>
      </c>
      <c r="N184" s="19">
        <v>0.0</v>
      </c>
      <c r="O184" s="19">
        <v>0.0</v>
      </c>
      <c r="P184" s="19">
        <v>0.0</v>
      </c>
      <c r="Q184" s="19">
        <v>0.0</v>
      </c>
      <c r="R184" s="19">
        <v>0.0</v>
      </c>
      <c r="S184" s="19">
        <v>0.0</v>
      </c>
      <c r="T184" s="13">
        <f t="shared" si="36"/>
        <v>0</v>
      </c>
    </row>
    <row r="185" ht="12.75" customHeight="1">
      <c r="A185" s="18"/>
      <c r="B185" s="56"/>
      <c r="C185" s="57"/>
      <c r="D185" s="62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3">
        <f t="shared" si="36"/>
        <v>0</v>
      </c>
    </row>
    <row r="186" ht="12.75" customHeight="1">
      <c r="A186" s="18"/>
      <c r="B186" s="56"/>
      <c r="C186" s="57"/>
      <c r="D186" s="62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3">
        <f t="shared" si="36"/>
        <v>0</v>
      </c>
    </row>
    <row r="187" ht="12.75" customHeight="1">
      <c r="A187" s="19" t="s">
        <v>15</v>
      </c>
      <c r="B187" s="47" t="s">
        <v>47</v>
      </c>
      <c r="C187" s="15"/>
      <c r="D187" s="16"/>
      <c r="E187" s="13">
        <f t="shared" ref="E187:T187" si="37">SUM(E177:E186)</f>
        <v>2</v>
      </c>
      <c r="F187" s="13">
        <f t="shared" si="37"/>
        <v>1</v>
      </c>
      <c r="G187" s="13">
        <f t="shared" si="37"/>
        <v>2</v>
      </c>
      <c r="H187" s="13">
        <f t="shared" si="37"/>
        <v>1</v>
      </c>
      <c r="I187" s="13">
        <f t="shared" si="37"/>
        <v>4</v>
      </c>
      <c r="J187" s="13">
        <f t="shared" si="37"/>
        <v>0</v>
      </c>
      <c r="K187" s="13">
        <f t="shared" si="37"/>
        <v>0</v>
      </c>
      <c r="L187" s="13">
        <f t="shared" si="37"/>
        <v>2</v>
      </c>
      <c r="M187" s="13">
        <f t="shared" si="37"/>
        <v>3</v>
      </c>
      <c r="N187" s="13">
        <f t="shared" si="37"/>
        <v>2</v>
      </c>
      <c r="O187" s="13">
        <f t="shared" si="37"/>
        <v>1</v>
      </c>
      <c r="P187" s="13">
        <f t="shared" si="37"/>
        <v>0</v>
      </c>
      <c r="Q187" s="13">
        <f t="shared" si="37"/>
        <v>0</v>
      </c>
      <c r="R187" s="13">
        <f t="shared" si="37"/>
        <v>1</v>
      </c>
      <c r="S187" s="13">
        <f t="shared" si="37"/>
        <v>0</v>
      </c>
      <c r="T187" s="13">
        <f t="shared" si="37"/>
        <v>19</v>
      </c>
    </row>
    <row r="188" ht="12.75" customHeight="1">
      <c r="A188" s="24"/>
      <c r="B188" s="15"/>
      <c r="C188" s="15"/>
      <c r="D188" s="15"/>
      <c r="E188" s="16"/>
      <c r="F188" s="84"/>
      <c r="G188" s="84"/>
      <c r="H188" s="84"/>
      <c r="I188" s="84"/>
      <c r="J188" s="84"/>
      <c r="K188" s="84"/>
      <c r="L188" s="84"/>
      <c r="M188" s="84"/>
      <c r="N188" s="84"/>
      <c r="T188" s="13"/>
    </row>
    <row r="189" ht="12.75" customHeight="1">
      <c r="A189" s="30" t="s">
        <v>37</v>
      </c>
      <c r="B189" s="47" t="s">
        <v>137</v>
      </c>
      <c r="C189" s="48" t="s">
        <v>138</v>
      </c>
      <c r="D189" s="16"/>
      <c r="E189" s="19">
        <v>0.0</v>
      </c>
      <c r="F189" s="19">
        <v>0.0</v>
      </c>
      <c r="G189" s="19">
        <v>0.0</v>
      </c>
      <c r="H189" s="19">
        <v>0.0</v>
      </c>
      <c r="I189" s="19">
        <v>0.0</v>
      </c>
      <c r="J189" s="19">
        <v>0.0</v>
      </c>
      <c r="K189" s="19">
        <v>0.0</v>
      </c>
      <c r="L189" s="19">
        <v>0.0</v>
      </c>
      <c r="M189" s="19">
        <v>1.0</v>
      </c>
      <c r="N189" s="19">
        <v>0.0</v>
      </c>
      <c r="O189" s="19">
        <v>0.0</v>
      </c>
      <c r="P189" s="19">
        <v>0.0</v>
      </c>
      <c r="Q189" s="19">
        <v>0.0</v>
      </c>
      <c r="R189" s="19">
        <v>0.0</v>
      </c>
      <c r="S189" s="19">
        <v>0.0</v>
      </c>
      <c r="T189" s="13">
        <f t="shared" ref="T189:T198" si="38">SUM(E189:S189)</f>
        <v>1</v>
      </c>
    </row>
    <row r="190" ht="12.75" customHeight="1">
      <c r="A190" s="30" t="s">
        <v>39</v>
      </c>
      <c r="B190" s="55">
        <v>1.0</v>
      </c>
      <c r="C190" s="50" t="s">
        <v>139</v>
      </c>
      <c r="D190" s="60"/>
      <c r="E190" s="19">
        <v>1.0</v>
      </c>
      <c r="F190" s="19">
        <v>0.0</v>
      </c>
      <c r="G190" s="19">
        <v>0.0</v>
      </c>
      <c r="H190" s="19">
        <v>1.0</v>
      </c>
      <c r="I190" s="19">
        <v>0.0</v>
      </c>
      <c r="J190" s="19">
        <v>0.0</v>
      </c>
      <c r="K190" s="19">
        <v>0.0</v>
      </c>
      <c r="L190" s="19">
        <v>0.0</v>
      </c>
      <c r="M190" s="19">
        <v>0.0</v>
      </c>
      <c r="N190" s="19">
        <v>0.0</v>
      </c>
      <c r="O190" s="19">
        <v>0.0</v>
      </c>
      <c r="P190" s="19">
        <v>0.0</v>
      </c>
      <c r="Q190" s="19">
        <v>0.0</v>
      </c>
      <c r="R190" s="19">
        <v>0.0</v>
      </c>
      <c r="S190" s="19">
        <v>0.0</v>
      </c>
      <c r="T190" s="13">
        <f t="shared" si="38"/>
        <v>2</v>
      </c>
    </row>
    <row r="191" ht="12.75" customHeight="1">
      <c r="A191" s="18"/>
      <c r="B191" s="55">
        <v>2.0</v>
      </c>
      <c r="C191" s="50" t="s">
        <v>140</v>
      </c>
      <c r="D191" s="60"/>
      <c r="E191" s="19">
        <v>0.0</v>
      </c>
      <c r="F191" s="19">
        <v>0.0</v>
      </c>
      <c r="G191" s="19">
        <v>0.0</v>
      </c>
      <c r="H191" s="19">
        <v>0.0</v>
      </c>
      <c r="I191" s="19">
        <v>1.0</v>
      </c>
      <c r="J191" s="19">
        <v>0.0</v>
      </c>
      <c r="K191" s="19">
        <v>0.0</v>
      </c>
      <c r="L191" s="19">
        <v>0.0</v>
      </c>
      <c r="M191" s="19">
        <v>0.0</v>
      </c>
      <c r="N191" s="19">
        <v>0.0</v>
      </c>
      <c r="O191" s="19">
        <v>0.0</v>
      </c>
      <c r="P191" s="19">
        <v>0.0</v>
      </c>
      <c r="Q191" s="19">
        <v>0.0</v>
      </c>
      <c r="R191" s="19">
        <v>0.0</v>
      </c>
      <c r="S191" s="19">
        <v>0.0</v>
      </c>
      <c r="T191" s="13">
        <f t="shared" si="38"/>
        <v>1</v>
      </c>
    </row>
    <row r="192" ht="12.75" customHeight="1">
      <c r="A192" s="18"/>
      <c r="B192" s="55">
        <v>3.0</v>
      </c>
      <c r="C192" s="50" t="s">
        <v>141</v>
      </c>
      <c r="D192" s="60"/>
      <c r="E192" s="19">
        <v>0.0</v>
      </c>
      <c r="F192" s="19">
        <v>0.0</v>
      </c>
      <c r="G192" s="19">
        <v>0.0</v>
      </c>
      <c r="H192" s="19">
        <v>0.0</v>
      </c>
      <c r="I192" s="19">
        <v>0.0</v>
      </c>
      <c r="J192" s="19">
        <v>0.0</v>
      </c>
      <c r="K192" s="19">
        <v>0.0</v>
      </c>
      <c r="L192" s="19">
        <v>0.0</v>
      </c>
      <c r="M192" s="19">
        <v>0.0</v>
      </c>
      <c r="N192" s="19">
        <v>0.0</v>
      </c>
      <c r="O192" s="19">
        <v>0.0</v>
      </c>
      <c r="P192" s="19">
        <v>0.0</v>
      </c>
      <c r="Q192" s="19">
        <v>0.0</v>
      </c>
      <c r="R192" s="19">
        <v>0.0</v>
      </c>
      <c r="S192" s="19">
        <v>0.0</v>
      </c>
      <c r="T192" s="13">
        <f t="shared" si="38"/>
        <v>0</v>
      </c>
    </row>
    <row r="193" ht="12.75" customHeight="1">
      <c r="A193" s="18"/>
      <c r="B193" s="55">
        <v>4.0</v>
      </c>
      <c r="C193" s="50" t="s">
        <v>142</v>
      </c>
      <c r="D193" s="60"/>
      <c r="E193" s="19">
        <v>0.0</v>
      </c>
      <c r="F193" s="19">
        <v>0.0</v>
      </c>
      <c r="G193" s="19">
        <v>0.0</v>
      </c>
      <c r="H193" s="19">
        <v>0.0</v>
      </c>
      <c r="I193" s="19">
        <v>0.0</v>
      </c>
      <c r="J193" s="19">
        <v>0.0</v>
      </c>
      <c r="K193" s="19">
        <v>0.0</v>
      </c>
      <c r="L193" s="19">
        <v>0.0</v>
      </c>
      <c r="M193" s="19">
        <v>0.0</v>
      </c>
      <c r="N193" s="19">
        <v>0.0</v>
      </c>
      <c r="O193" s="19">
        <v>0.0</v>
      </c>
      <c r="P193" s="19">
        <v>0.0</v>
      </c>
      <c r="Q193" s="19">
        <v>0.0</v>
      </c>
      <c r="R193" s="19">
        <v>0.0</v>
      </c>
      <c r="S193" s="19">
        <v>0.0</v>
      </c>
      <c r="T193" s="13">
        <f t="shared" si="38"/>
        <v>0</v>
      </c>
    </row>
    <row r="194" ht="12.75" customHeight="1">
      <c r="A194" s="18"/>
      <c r="B194" s="55">
        <v>5.0</v>
      </c>
      <c r="C194" s="50" t="s">
        <v>143</v>
      </c>
      <c r="D194" s="60"/>
      <c r="E194" s="19">
        <v>0.0</v>
      </c>
      <c r="F194" s="19">
        <v>0.0</v>
      </c>
      <c r="G194" s="19">
        <v>0.0</v>
      </c>
      <c r="H194" s="19">
        <v>0.0</v>
      </c>
      <c r="I194" s="19">
        <v>0.0</v>
      </c>
      <c r="J194" s="19">
        <v>0.0</v>
      </c>
      <c r="K194" s="19">
        <v>0.0</v>
      </c>
      <c r="L194" s="19">
        <v>0.0</v>
      </c>
      <c r="M194" s="19">
        <v>0.0</v>
      </c>
      <c r="N194" s="19">
        <v>0.0</v>
      </c>
      <c r="O194" s="19">
        <v>0.0</v>
      </c>
      <c r="P194" s="19">
        <v>0.0</v>
      </c>
      <c r="Q194" s="19">
        <v>0.0</v>
      </c>
      <c r="R194" s="19">
        <v>0.0</v>
      </c>
      <c r="S194" s="19">
        <v>0.0</v>
      </c>
      <c r="T194" s="13">
        <f t="shared" si="38"/>
        <v>0</v>
      </c>
    </row>
    <row r="195" ht="12.75" customHeight="1">
      <c r="A195" s="18"/>
      <c r="B195" s="55">
        <v>6.0</v>
      </c>
      <c r="C195" s="50" t="s">
        <v>144</v>
      </c>
      <c r="D195" s="60"/>
      <c r="E195" s="19">
        <v>0.0</v>
      </c>
      <c r="F195" s="19">
        <v>0.0</v>
      </c>
      <c r="G195" s="19">
        <v>0.0</v>
      </c>
      <c r="H195" s="19">
        <v>0.0</v>
      </c>
      <c r="I195" s="19">
        <v>0.0</v>
      </c>
      <c r="J195" s="19">
        <v>0.0</v>
      </c>
      <c r="K195" s="19">
        <v>0.0</v>
      </c>
      <c r="L195" s="19">
        <v>0.0</v>
      </c>
      <c r="M195" s="19">
        <v>0.0</v>
      </c>
      <c r="N195" s="19">
        <v>0.0</v>
      </c>
      <c r="O195" s="19">
        <v>0.0</v>
      </c>
      <c r="P195" s="19">
        <v>0.0</v>
      </c>
      <c r="Q195" s="19">
        <v>0.0</v>
      </c>
      <c r="R195" s="19">
        <v>0.0</v>
      </c>
      <c r="S195" s="19">
        <v>0.0</v>
      </c>
      <c r="T195" s="13">
        <f t="shared" si="38"/>
        <v>0</v>
      </c>
    </row>
    <row r="196" ht="12.75" customHeight="1">
      <c r="A196" s="18"/>
      <c r="B196" s="55">
        <v>7.0</v>
      </c>
      <c r="C196" s="50" t="s">
        <v>145</v>
      </c>
      <c r="D196" s="60"/>
      <c r="E196" s="19">
        <v>0.0</v>
      </c>
      <c r="F196" s="19">
        <v>0.0</v>
      </c>
      <c r="G196" s="19">
        <v>0.0</v>
      </c>
      <c r="H196" s="19">
        <v>0.0</v>
      </c>
      <c r="I196" s="19">
        <v>0.0</v>
      </c>
      <c r="J196" s="19">
        <v>0.0</v>
      </c>
      <c r="K196" s="19">
        <v>0.0</v>
      </c>
      <c r="L196" s="19">
        <v>0.0</v>
      </c>
      <c r="M196" s="19">
        <v>0.0</v>
      </c>
      <c r="N196" s="19">
        <v>0.0</v>
      </c>
      <c r="O196" s="19">
        <v>0.0</v>
      </c>
      <c r="P196" s="19">
        <v>0.0</v>
      </c>
      <c r="Q196" s="19">
        <v>0.0</v>
      </c>
      <c r="R196" s="19">
        <v>0.0</v>
      </c>
      <c r="S196" s="19">
        <v>0.0</v>
      </c>
      <c r="T196" s="13">
        <f t="shared" si="38"/>
        <v>0</v>
      </c>
    </row>
    <row r="197" ht="12.75" customHeight="1">
      <c r="A197" s="18"/>
      <c r="B197" s="56"/>
      <c r="C197" s="57"/>
      <c r="D197" s="62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3">
        <f t="shared" si="38"/>
        <v>0</v>
      </c>
    </row>
    <row r="198" ht="12.75" customHeight="1">
      <c r="A198" s="18"/>
      <c r="B198" s="56"/>
      <c r="C198" s="57"/>
      <c r="D198" s="62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3">
        <f t="shared" si="38"/>
        <v>0</v>
      </c>
    </row>
    <row r="199" ht="12.75" customHeight="1">
      <c r="A199" s="19" t="s">
        <v>15</v>
      </c>
      <c r="B199" s="47" t="s">
        <v>47</v>
      </c>
      <c r="C199" s="15"/>
      <c r="D199" s="16"/>
      <c r="E199" s="13">
        <f t="shared" ref="E199:T199" si="39">SUM(E189:E198)</f>
        <v>1</v>
      </c>
      <c r="F199" s="13">
        <f t="shared" si="39"/>
        <v>0</v>
      </c>
      <c r="G199" s="13">
        <f t="shared" si="39"/>
        <v>0</v>
      </c>
      <c r="H199" s="13">
        <f t="shared" si="39"/>
        <v>1</v>
      </c>
      <c r="I199" s="13">
        <f t="shared" si="39"/>
        <v>1</v>
      </c>
      <c r="J199" s="13">
        <f t="shared" si="39"/>
        <v>0</v>
      </c>
      <c r="K199" s="13">
        <f t="shared" si="39"/>
        <v>0</v>
      </c>
      <c r="L199" s="13">
        <f t="shared" si="39"/>
        <v>0</v>
      </c>
      <c r="M199" s="13">
        <f t="shared" si="39"/>
        <v>1</v>
      </c>
      <c r="N199" s="13">
        <f t="shared" si="39"/>
        <v>0</v>
      </c>
      <c r="O199" s="13">
        <f t="shared" si="39"/>
        <v>0</v>
      </c>
      <c r="P199" s="13">
        <f t="shared" si="39"/>
        <v>0</v>
      </c>
      <c r="Q199" s="13">
        <f t="shared" si="39"/>
        <v>0</v>
      </c>
      <c r="R199" s="13">
        <f t="shared" si="39"/>
        <v>0</v>
      </c>
      <c r="S199" s="13">
        <f t="shared" si="39"/>
        <v>0</v>
      </c>
      <c r="T199" s="13">
        <f t="shared" si="39"/>
        <v>4</v>
      </c>
    </row>
    <row r="200" ht="12.75" customHeight="1">
      <c r="A200" s="24"/>
      <c r="B200" s="15"/>
      <c r="C200" s="15"/>
      <c r="D200" s="15"/>
      <c r="E200" s="16"/>
      <c r="F200" s="84"/>
      <c r="G200" s="84"/>
      <c r="H200" s="84"/>
      <c r="I200" s="84"/>
      <c r="J200" s="84"/>
      <c r="K200" s="84"/>
      <c r="L200" s="84"/>
      <c r="M200" s="84"/>
      <c r="N200" s="84"/>
      <c r="O200" s="84"/>
      <c r="P200" s="84"/>
      <c r="Q200" s="84"/>
      <c r="R200" s="84"/>
      <c r="S200" s="84"/>
      <c r="T200" s="84"/>
    </row>
    <row r="201" ht="12.75" customHeight="1">
      <c r="A201" s="30" t="s">
        <v>37</v>
      </c>
      <c r="B201" s="47" t="s">
        <v>146</v>
      </c>
      <c r="C201" s="48" t="s">
        <v>147</v>
      </c>
      <c r="D201" s="16"/>
      <c r="E201" s="19">
        <v>0.0</v>
      </c>
      <c r="F201" s="19">
        <v>2.0</v>
      </c>
      <c r="G201" s="19">
        <v>2.0</v>
      </c>
      <c r="H201" s="19">
        <v>1.0</v>
      </c>
      <c r="I201" s="19">
        <v>5.0</v>
      </c>
      <c r="J201" s="19">
        <v>0.0</v>
      </c>
      <c r="K201" s="19">
        <v>0.0</v>
      </c>
      <c r="L201" s="19">
        <v>3.0</v>
      </c>
      <c r="M201" s="19">
        <v>2.0</v>
      </c>
      <c r="N201" s="19">
        <v>0.0</v>
      </c>
      <c r="O201" s="19">
        <v>1.0</v>
      </c>
      <c r="P201" s="19">
        <v>1.0</v>
      </c>
      <c r="Q201" s="19">
        <v>4.0</v>
      </c>
      <c r="R201" s="19">
        <v>1.0</v>
      </c>
      <c r="S201" s="19">
        <v>1.0</v>
      </c>
      <c r="T201" s="13">
        <f t="shared" ref="T201:T210" si="40">SUM(E201:S201)</f>
        <v>23</v>
      </c>
    </row>
    <row r="202" ht="12.75" customHeight="1">
      <c r="A202" s="30" t="s">
        <v>39</v>
      </c>
      <c r="B202" s="55">
        <v>1.0</v>
      </c>
      <c r="C202" s="50" t="s">
        <v>148</v>
      </c>
      <c r="D202" s="60"/>
      <c r="E202" s="19">
        <v>1.0</v>
      </c>
      <c r="F202" s="19">
        <v>1.0</v>
      </c>
      <c r="G202" s="19">
        <v>0.0</v>
      </c>
      <c r="H202" s="19">
        <v>1.0</v>
      </c>
      <c r="I202" s="19">
        <v>1.0</v>
      </c>
      <c r="J202" s="19">
        <v>2.0</v>
      </c>
      <c r="K202" s="19">
        <v>0.0</v>
      </c>
      <c r="L202" s="19">
        <v>2.0</v>
      </c>
      <c r="M202" s="19">
        <v>3.0</v>
      </c>
      <c r="N202" s="19">
        <v>0.0</v>
      </c>
      <c r="O202" s="19">
        <v>0.0</v>
      </c>
      <c r="P202" s="19">
        <v>1.0</v>
      </c>
      <c r="Q202" s="19">
        <v>1.0</v>
      </c>
      <c r="R202" s="19">
        <v>2.0</v>
      </c>
      <c r="S202" s="19">
        <v>4.0</v>
      </c>
      <c r="T202" s="13">
        <f t="shared" si="40"/>
        <v>19</v>
      </c>
    </row>
    <row r="203" ht="12.75" customHeight="1">
      <c r="A203" s="18"/>
      <c r="B203" s="55">
        <v>2.0</v>
      </c>
      <c r="C203" s="50" t="s">
        <v>149</v>
      </c>
      <c r="D203" s="60"/>
      <c r="E203" s="19">
        <v>1.0</v>
      </c>
      <c r="F203" s="19">
        <v>0.0</v>
      </c>
      <c r="G203" s="19">
        <v>0.0</v>
      </c>
      <c r="H203" s="19">
        <v>0.0</v>
      </c>
      <c r="I203" s="19">
        <v>5.0</v>
      </c>
      <c r="J203" s="19">
        <v>0.0</v>
      </c>
      <c r="K203" s="19">
        <v>0.0</v>
      </c>
      <c r="L203" s="19">
        <v>1.0</v>
      </c>
      <c r="M203" s="19">
        <v>0.0</v>
      </c>
      <c r="N203" s="19">
        <v>0.0</v>
      </c>
      <c r="O203" s="19">
        <v>0.0</v>
      </c>
      <c r="P203" s="19">
        <v>0.0</v>
      </c>
      <c r="Q203" s="19">
        <v>6.0</v>
      </c>
      <c r="R203" s="19">
        <v>1.0</v>
      </c>
      <c r="S203" s="19">
        <v>1.0</v>
      </c>
      <c r="T203" s="13">
        <f t="shared" si="40"/>
        <v>15</v>
      </c>
    </row>
    <row r="204" ht="12.75" customHeight="1">
      <c r="A204" s="18"/>
      <c r="B204" s="55">
        <v>3.0</v>
      </c>
      <c r="C204" s="50" t="s">
        <v>150</v>
      </c>
      <c r="D204" s="60"/>
      <c r="E204" s="19">
        <v>1.0</v>
      </c>
      <c r="F204" s="19">
        <v>0.0</v>
      </c>
      <c r="G204" s="19">
        <v>0.0</v>
      </c>
      <c r="H204" s="19">
        <v>1.0</v>
      </c>
      <c r="I204" s="19">
        <v>0.0</v>
      </c>
      <c r="J204" s="19">
        <v>0.0</v>
      </c>
      <c r="K204" s="19">
        <v>0.0</v>
      </c>
      <c r="L204" s="19">
        <v>0.0</v>
      </c>
      <c r="M204" s="19">
        <v>0.0</v>
      </c>
      <c r="N204" s="19">
        <v>0.0</v>
      </c>
      <c r="O204" s="19">
        <v>0.0</v>
      </c>
      <c r="P204" s="19">
        <v>0.0</v>
      </c>
      <c r="Q204" s="19">
        <v>0.0</v>
      </c>
      <c r="R204" s="19">
        <v>0.0</v>
      </c>
      <c r="S204" s="19">
        <v>0.0</v>
      </c>
      <c r="T204" s="13">
        <f t="shared" si="40"/>
        <v>2</v>
      </c>
    </row>
    <row r="205" ht="12.75" customHeight="1">
      <c r="A205" s="18"/>
      <c r="B205" s="55">
        <v>4.0</v>
      </c>
      <c r="C205" s="50" t="s">
        <v>151</v>
      </c>
      <c r="D205" s="60"/>
      <c r="E205" s="19">
        <v>0.0</v>
      </c>
      <c r="F205" s="19">
        <v>0.0</v>
      </c>
      <c r="G205" s="19">
        <v>1.0</v>
      </c>
      <c r="H205" s="19">
        <v>0.0</v>
      </c>
      <c r="I205" s="19">
        <v>0.0</v>
      </c>
      <c r="J205" s="19">
        <v>0.0</v>
      </c>
      <c r="K205" s="19">
        <v>0.0</v>
      </c>
      <c r="L205" s="19">
        <v>0.0</v>
      </c>
      <c r="M205" s="19">
        <v>2.0</v>
      </c>
      <c r="N205" s="19">
        <v>0.0</v>
      </c>
      <c r="O205" s="19">
        <v>0.0</v>
      </c>
      <c r="P205" s="19">
        <v>2.0</v>
      </c>
      <c r="Q205" s="19">
        <v>4.0</v>
      </c>
      <c r="R205" s="19">
        <v>0.0</v>
      </c>
      <c r="S205" s="19">
        <v>18.0</v>
      </c>
      <c r="T205" s="13">
        <f t="shared" si="40"/>
        <v>27</v>
      </c>
    </row>
    <row r="206" ht="12.75" customHeight="1">
      <c r="A206" s="18"/>
      <c r="B206" s="55">
        <v>5.0</v>
      </c>
      <c r="C206" s="50" t="s">
        <v>152</v>
      </c>
      <c r="D206" s="60"/>
      <c r="E206" s="19">
        <v>0.0</v>
      </c>
      <c r="F206" s="19">
        <v>0.0</v>
      </c>
      <c r="G206" s="19">
        <v>0.0</v>
      </c>
      <c r="H206" s="19">
        <v>0.0</v>
      </c>
      <c r="I206" s="19">
        <v>0.0</v>
      </c>
      <c r="J206" s="19">
        <v>0.0</v>
      </c>
      <c r="K206" s="19">
        <v>0.0</v>
      </c>
      <c r="L206" s="19">
        <v>0.0</v>
      </c>
      <c r="M206" s="19">
        <v>0.0</v>
      </c>
      <c r="N206" s="19">
        <v>0.0</v>
      </c>
      <c r="O206" s="19">
        <v>0.0</v>
      </c>
      <c r="P206" s="19">
        <v>0.0</v>
      </c>
      <c r="Q206" s="19">
        <v>1.0</v>
      </c>
      <c r="R206" s="19">
        <v>0.0</v>
      </c>
      <c r="S206" s="19">
        <v>0.0</v>
      </c>
      <c r="T206" s="13">
        <f t="shared" si="40"/>
        <v>1</v>
      </c>
    </row>
    <row r="207" ht="12.75" customHeight="1">
      <c r="A207" s="18"/>
      <c r="B207" s="55">
        <v>6.0</v>
      </c>
      <c r="C207" s="50" t="s">
        <v>153</v>
      </c>
      <c r="D207" s="60"/>
      <c r="E207" s="19">
        <v>0.0</v>
      </c>
      <c r="F207" s="19">
        <v>0.0</v>
      </c>
      <c r="G207" s="19">
        <v>0.0</v>
      </c>
      <c r="H207" s="19">
        <v>0.0</v>
      </c>
      <c r="I207" s="19">
        <v>0.0</v>
      </c>
      <c r="J207" s="19">
        <v>0.0</v>
      </c>
      <c r="K207" s="19">
        <v>0.0</v>
      </c>
      <c r="L207" s="19">
        <v>0.0</v>
      </c>
      <c r="M207" s="19">
        <v>0.0</v>
      </c>
      <c r="N207" s="19">
        <v>0.0</v>
      </c>
      <c r="O207" s="19">
        <v>0.0</v>
      </c>
      <c r="P207" s="19">
        <v>0.0</v>
      </c>
      <c r="Q207" s="19">
        <v>0.0</v>
      </c>
      <c r="R207" s="19">
        <v>0.0</v>
      </c>
      <c r="S207" s="19">
        <v>0.0</v>
      </c>
      <c r="T207" s="13">
        <f t="shared" si="40"/>
        <v>0</v>
      </c>
    </row>
    <row r="208" ht="12.75" customHeight="1">
      <c r="A208" s="18"/>
      <c r="B208" s="55">
        <v>7.0</v>
      </c>
      <c r="C208" s="50" t="s">
        <v>154</v>
      </c>
      <c r="D208" s="60"/>
      <c r="E208" s="19">
        <v>0.0</v>
      </c>
      <c r="F208" s="19">
        <v>0.0</v>
      </c>
      <c r="G208" s="19">
        <v>0.0</v>
      </c>
      <c r="H208" s="19">
        <v>0.0</v>
      </c>
      <c r="I208" s="19">
        <v>1.0</v>
      </c>
      <c r="J208" s="19">
        <v>0.0</v>
      </c>
      <c r="K208" s="19">
        <v>0.0</v>
      </c>
      <c r="L208" s="19">
        <v>0.0</v>
      </c>
      <c r="M208" s="19">
        <v>0.0</v>
      </c>
      <c r="N208" s="19">
        <v>0.0</v>
      </c>
      <c r="O208" s="19">
        <v>0.0</v>
      </c>
      <c r="P208" s="19">
        <v>0.0</v>
      </c>
      <c r="Q208" s="19">
        <v>0.0</v>
      </c>
      <c r="R208" s="19">
        <v>0.0</v>
      </c>
      <c r="S208" s="19">
        <v>0.0</v>
      </c>
      <c r="T208" s="13">
        <f t="shared" si="40"/>
        <v>1</v>
      </c>
    </row>
    <row r="209" ht="12.75" customHeight="1">
      <c r="A209" s="18"/>
      <c r="B209" s="56"/>
      <c r="C209" s="57"/>
      <c r="D209" s="62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3">
        <f t="shared" si="40"/>
        <v>0</v>
      </c>
    </row>
    <row r="210" ht="12.75" customHeight="1">
      <c r="A210" s="18"/>
      <c r="B210" s="56"/>
      <c r="C210" s="57"/>
      <c r="D210" s="62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3">
        <f t="shared" si="40"/>
        <v>0</v>
      </c>
    </row>
    <row r="211" ht="12.75" customHeight="1">
      <c r="A211" s="19" t="s">
        <v>15</v>
      </c>
      <c r="B211" s="47" t="s">
        <v>47</v>
      </c>
      <c r="C211" s="15"/>
      <c r="D211" s="16"/>
      <c r="E211" s="13">
        <f t="shared" ref="E211:T211" si="41">SUM(E201:E210)</f>
        <v>3</v>
      </c>
      <c r="F211" s="13">
        <f t="shared" si="41"/>
        <v>3</v>
      </c>
      <c r="G211" s="13">
        <f t="shared" si="41"/>
        <v>3</v>
      </c>
      <c r="H211" s="13">
        <f t="shared" si="41"/>
        <v>3</v>
      </c>
      <c r="I211" s="13">
        <f t="shared" si="41"/>
        <v>12</v>
      </c>
      <c r="J211" s="13">
        <f t="shared" si="41"/>
        <v>2</v>
      </c>
      <c r="K211" s="13">
        <f t="shared" si="41"/>
        <v>0</v>
      </c>
      <c r="L211" s="13">
        <f t="shared" si="41"/>
        <v>6</v>
      </c>
      <c r="M211" s="13">
        <f t="shared" si="41"/>
        <v>7</v>
      </c>
      <c r="N211" s="13">
        <f t="shared" si="41"/>
        <v>0</v>
      </c>
      <c r="O211" s="13">
        <f t="shared" si="41"/>
        <v>1</v>
      </c>
      <c r="P211" s="13">
        <f t="shared" si="41"/>
        <v>4</v>
      </c>
      <c r="Q211" s="13">
        <f t="shared" si="41"/>
        <v>16</v>
      </c>
      <c r="R211" s="13">
        <f t="shared" si="41"/>
        <v>4</v>
      </c>
      <c r="S211" s="13">
        <f t="shared" si="41"/>
        <v>24</v>
      </c>
      <c r="T211" s="13">
        <f t="shared" si="41"/>
        <v>88</v>
      </c>
    </row>
    <row r="212" ht="12.75" customHeight="1">
      <c r="A212" s="24"/>
      <c r="B212" s="15"/>
      <c r="C212" s="15"/>
      <c r="D212" s="15"/>
      <c r="E212" s="16"/>
      <c r="F212" s="84"/>
      <c r="G212" s="84"/>
      <c r="H212" s="84"/>
      <c r="I212" s="84"/>
      <c r="J212" s="84"/>
      <c r="K212" s="84"/>
      <c r="L212" s="84"/>
      <c r="M212" s="84"/>
      <c r="N212" s="84"/>
      <c r="O212" s="84"/>
      <c r="P212" s="84"/>
      <c r="Q212" s="84"/>
      <c r="R212" s="84"/>
      <c r="S212" s="84"/>
      <c r="T212" s="84"/>
    </row>
    <row r="213" ht="12.75" customHeight="1">
      <c r="A213" s="30" t="s">
        <v>37</v>
      </c>
      <c r="B213" s="47" t="s">
        <v>155</v>
      </c>
      <c r="C213" s="48" t="s">
        <v>156</v>
      </c>
      <c r="D213" s="16"/>
      <c r="E213" s="19">
        <v>0.0</v>
      </c>
      <c r="F213" s="19">
        <v>0.0</v>
      </c>
      <c r="G213" s="19">
        <v>1.0</v>
      </c>
      <c r="H213" s="19">
        <v>1.0</v>
      </c>
      <c r="I213" s="19">
        <v>1.0</v>
      </c>
      <c r="J213" s="19">
        <v>1.0</v>
      </c>
      <c r="K213" s="19">
        <v>0.0</v>
      </c>
      <c r="L213" s="19">
        <v>3.0</v>
      </c>
      <c r="M213" s="19">
        <v>1.0</v>
      </c>
      <c r="N213" s="19">
        <v>3.0</v>
      </c>
      <c r="O213" s="19">
        <v>1.0</v>
      </c>
      <c r="P213" s="19">
        <v>2.0</v>
      </c>
      <c r="Q213" s="19">
        <v>0.0</v>
      </c>
      <c r="R213" s="19">
        <v>1.0</v>
      </c>
      <c r="S213" s="19">
        <v>0.0</v>
      </c>
      <c r="T213" s="13">
        <f t="shared" ref="T213:T222" si="42">SUM(E213:S213)</f>
        <v>15</v>
      </c>
    </row>
    <row r="214" ht="12.75" customHeight="1">
      <c r="A214" s="30" t="s">
        <v>39</v>
      </c>
      <c r="B214" s="55">
        <v>1.0</v>
      </c>
      <c r="C214" s="50" t="s">
        <v>157</v>
      </c>
      <c r="D214" s="59"/>
      <c r="E214" s="19">
        <v>4.0</v>
      </c>
      <c r="F214" s="19">
        <v>3.0</v>
      </c>
      <c r="G214" s="19">
        <v>0.0</v>
      </c>
      <c r="H214" s="19">
        <v>4.0</v>
      </c>
      <c r="I214" s="19">
        <v>4.0</v>
      </c>
      <c r="J214" s="19">
        <v>0.0</v>
      </c>
      <c r="K214" s="19">
        <v>0.0</v>
      </c>
      <c r="L214" s="19">
        <v>1.0</v>
      </c>
      <c r="M214" s="19">
        <v>3.0</v>
      </c>
      <c r="N214" s="19">
        <v>2.0</v>
      </c>
      <c r="O214" s="19">
        <v>0.0</v>
      </c>
      <c r="P214" s="19">
        <v>0.0</v>
      </c>
      <c r="Q214" s="19">
        <v>1.0</v>
      </c>
      <c r="R214" s="19">
        <v>0.0</v>
      </c>
      <c r="S214" s="19">
        <v>1.0</v>
      </c>
      <c r="T214" s="13">
        <f t="shared" si="42"/>
        <v>23</v>
      </c>
    </row>
    <row r="215" ht="12.75" customHeight="1">
      <c r="A215" s="18"/>
      <c r="B215" s="55">
        <v>2.0</v>
      </c>
      <c r="C215" s="50" t="s">
        <v>158</v>
      </c>
      <c r="D215" s="59"/>
      <c r="E215" s="19">
        <v>4.0</v>
      </c>
      <c r="F215" s="19">
        <v>1.0</v>
      </c>
      <c r="G215" s="19">
        <v>8.0</v>
      </c>
      <c r="H215" s="19">
        <v>2.0</v>
      </c>
      <c r="I215" s="19">
        <v>3.0</v>
      </c>
      <c r="J215" s="19">
        <v>5.0</v>
      </c>
      <c r="K215" s="19">
        <v>3.0</v>
      </c>
      <c r="L215" s="19">
        <v>6.0</v>
      </c>
      <c r="M215" s="19">
        <v>10.0</v>
      </c>
      <c r="N215" s="19">
        <v>6.0</v>
      </c>
      <c r="O215" s="19">
        <v>20.0</v>
      </c>
      <c r="P215" s="19">
        <v>1.0</v>
      </c>
      <c r="Q215" s="19">
        <v>3.0</v>
      </c>
      <c r="R215" s="19">
        <v>1.0</v>
      </c>
      <c r="S215" s="19">
        <v>3.0</v>
      </c>
      <c r="T215" s="13">
        <f t="shared" si="42"/>
        <v>76</v>
      </c>
    </row>
    <row r="216" ht="12.75" customHeight="1">
      <c r="A216" s="18"/>
      <c r="B216" s="55">
        <v>3.0</v>
      </c>
      <c r="C216" s="70" t="s">
        <v>159</v>
      </c>
      <c r="E216" s="19">
        <v>0.0</v>
      </c>
      <c r="F216" s="19">
        <v>0.0</v>
      </c>
      <c r="G216" s="19">
        <v>1.0</v>
      </c>
      <c r="H216" s="19">
        <v>0.0</v>
      </c>
      <c r="I216" s="19">
        <v>0.0</v>
      </c>
      <c r="J216" s="19">
        <v>0.0</v>
      </c>
      <c r="K216" s="19">
        <v>0.0</v>
      </c>
      <c r="L216" s="19">
        <v>0.0</v>
      </c>
      <c r="M216" s="19">
        <v>0.0</v>
      </c>
      <c r="N216" s="19">
        <v>0.0</v>
      </c>
      <c r="O216" s="19">
        <v>0.0</v>
      </c>
      <c r="P216" s="19">
        <v>0.0</v>
      </c>
      <c r="Q216" s="19">
        <v>2.0</v>
      </c>
      <c r="R216" s="19">
        <v>0.0</v>
      </c>
      <c r="S216" s="19">
        <v>0.0</v>
      </c>
      <c r="T216" s="13">
        <f t="shared" si="42"/>
        <v>3</v>
      </c>
    </row>
    <row r="217" ht="12.75" customHeight="1">
      <c r="A217" s="18"/>
      <c r="B217" s="55">
        <v>4.0</v>
      </c>
      <c r="C217" s="50" t="s">
        <v>160</v>
      </c>
      <c r="D217" s="59"/>
      <c r="E217" s="19">
        <v>0.0</v>
      </c>
      <c r="F217" s="19">
        <v>0.0</v>
      </c>
      <c r="G217" s="19">
        <v>0.0</v>
      </c>
      <c r="H217" s="19">
        <v>1.0</v>
      </c>
      <c r="I217" s="19">
        <v>1.0</v>
      </c>
      <c r="J217" s="19">
        <v>0.0</v>
      </c>
      <c r="K217" s="19">
        <v>0.0</v>
      </c>
      <c r="L217" s="19">
        <v>0.0</v>
      </c>
      <c r="M217" s="19">
        <v>0.0</v>
      </c>
      <c r="N217" s="19">
        <v>0.0</v>
      </c>
      <c r="O217" s="19">
        <v>0.0</v>
      </c>
      <c r="P217" s="19">
        <v>0.0</v>
      </c>
      <c r="Q217" s="19">
        <v>0.0</v>
      </c>
      <c r="R217" s="19">
        <v>0.0</v>
      </c>
      <c r="S217" s="19">
        <v>0.0</v>
      </c>
      <c r="T217" s="13">
        <f t="shared" si="42"/>
        <v>2</v>
      </c>
    </row>
    <row r="218" ht="12.75" customHeight="1">
      <c r="A218" s="18"/>
      <c r="B218" s="55">
        <v>5.0</v>
      </c>
      <c r="C218" s="50" t="s">
        <v>161</v>
      </c>
      <c r="D218" s="59"/>
      <c r="E218" s="19">
        <v>0.0</v>
      </c>
      <c r="F218" s="19">
        <v>0.0</v>
      </c>
      <c r="G218" s="19">
        <v>0.0</v>
      </c>
      <c r="H218" s="19">
        <v>0.0</v>
      </c>
      <c r="I218" s="19">
        <v>0.0</v>
      </c>
      <c r="J218" s="19">
        <v>0.0</v>
      </c>
      <c r="K218" s="19">
        <v>0.0</v>
      </c>
      <c r="L218" s="19">
        <v>0.0</v>
      </c>
      <c r="M218" s="19">
        <v>0.0</v>
      </c>
      <c r="N218" s="19">
        <v>1.0</v>
      </c>
      <c r="O218" s="19">
        <v>0.0</v>
      </c>
      <c r="P218" s="19">
        <v>0.0</v>
      </c>
      <c r="Q218" s="19">
        <v>0.0</v>
      </c>
      <c r="R218" s="19">
        <v>0.0</v>
      </c>
      <c r="S218" s="19">
        <v>0.0</v>
      </c>
      <c r="T218" s="13">
        <f t="shared" si="42"/>
        <v>1</v>
      </c>
    </row>
    <row r="219" ht="12.75" customHeight="1">
      <c r="A219" s="18"/>
      <c r="B219" s="55">
        <v>6.0</v>
      </c>
      <c r="C219" s="50" t="s">
        <v>162</v>
      </c>
      <c r="D219" s="59"/>
      <c r="E219" s="19">
        <v>0.0</v>
      </c>
      <c r="F219" s="19">
        <v>0.0</v>
      </c>
      <c r="G219" s="19">
        <v>1.0</v>
      </c>
      <c r="H219" s="19">
        <v>0.0</v>
      </c>
      <c r="I219" s="19">
        <v>0.0</v>
      </c>
      <c r="J219" s="19">
        <v>0.0</v>
      </c>
      <c r="K219" s="19">
        <v>0.0</v>
      </c>
      <c r="L219" s="19">
        <v>0.0</v>
      </c>
      <c r="M219" s="19">
        <v>0.0</v>
      </c>
      <c r="N219" s="19">
        <v>0.0</v>
      </c>
      <c r="O219" s="19">
        <v>0.0</v>
      </c>
      <c r="P219" s="19">
        <v>0.0</v>
      </c>
      <c r="Q219" s="19">
        <v>0.0</v>
      </c>
      <c r="R219" s="19">
        <v>0.0</v>
      </c>
      <c r="S219" s="19">
        <v>0.0</v>
      </c>
      <c r="T219" s="13">
        <f t="shared" si="42"/>
        <v>1</v>
      </c>
    </row>
    <row r="220" ht="12.75" customHeight="1">
      <c r="A220" s="18"/>
      <c r="B220" s="55">
        <v>7.0</v>
      </c>
      <c r="C220" s="50" t="s">
        <v>163</v>
      </c>
      <c r="D220" s="59"/>
      <c r="E220" s="19">
        <v>0.0</v>
      </c>
      <c r="F220" s="19">
        <v>0.0</v>
      </c>
      <c r="G220" s="19">
        <v>0.0</v>
      </c>
      <c r="H220" s="19">
        <v>1.0</v>
      </c>
      <c r="I220" s="19">
        <v>0.0</v>
      </c>
      <c r="J220" s="19">
        <v>0.0</v>
      </c>
      <c r="K220" s="19">
        <v>0.0</v>
      </c>
      <c r="L220" s="19">
        <v>0.0</v>
      </c>
      <c r="M220" s="19">
        <v>0.0</v>
      </c>
      <c r="N220" s="19">
        <v>0.0</v>
      </c>
      <c r="O220" s="19">
        <v>0.0</v>
      </c>
      <c r="P220" s="19">
        <v>0.0</v>
      </c>
      <c r="Q220" s="19">
        <v>0.0</v>
      </c>
      <c r="R220" s="19">
        <v>0.0</v>
      </c>
      <c r="S220" s="19">
        <v>0.0</v>
      </c>
      <c r="T220" s="13">
        <f t="shared" si="42"/>
        <v>1</v>
      </c>
    </row>
    <row r="221" ht="12.75" customHeight="1">
      <c r="A221" s="18"/>
      <c r="B221" s="56"/>
      <c r="C221" s="57"/>
      <c r="D221" s="61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3">
        <f t="shared" si="42"/>
        <v>0</v>
      </c>
    </row>
    <row r="222" ht="12.75" customHeight="1">
      <c r="A222" s="18"/>
      <c r="B222" s="56"/>
      <c r="C222" s="57"/>
      <c r="D222" s="61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3">
        <f t="shared" si="42"/>
        <v>0</v>
      </c>
    </row>
    <row r="223" ht="12.75" customHeight="1">
      <c r="A223" s="19" t="s">
        <v>15</v>
      </c>
      <c r="B223" s="47" t="s">
        <v>47</v>
      </c>
      <c r="C223" s="15"/>
      <c r="D223" s="16"/>
      <c r="E223" s="13">
        <f t="shared" ref="E223:T223" si="43">SUM(E213:E222)</f>
        <v>8</v>
      </c>
      <c r="F223" s="13">
        <f t="shared" si="43"/>
        <v>4</v>
      </c>
      <c r="G223" s="13">
        <f t="shared" si="43"/>
        <v>11</v>
      </c>
      <c r="H223" s="13">
        <f t="shared" si="43"/>
        <v>9</v>
      </c>
      <c r="I223" s="13">
        <f t="shared" si="43"/>
        <v>9</v>
      </c>
      <c r="J223" s="13">
        <f t="shared" si="43"/>
        <v>6</v>
      </c>
      <c r="K223" s="13">
        <f t="shared" si="43"/>
        <v>3</v>
      </c>
      <c r="L223" s="13">
        <f t="shared" si="43"/>
        <v>10</v>
      </c>
      <c r="M223" s="13">
        <f t="shared" si="43"/>
        <v>14</v>
      </c>
      <c r="N223" s="13">
        <f t="shared" si="43"/>
        <v>12</v>
      </c>
      <c r="O223" s="13">
        <f t="shared" si="43"/>
        <v>21</v>
      </c>
      <c r="P223" s="13">
        <f t="shared" si="43"/>
        <v>3</v>
      </c>
      <c r="Q223" s="13">
        <f t="shared" si="43"/>
        <v>6</v>
      </c>
      <c r="R223" s="13">
        <f t="shared" si="43"/>
        <v>2</v>
      </c>
      <c r="S223" s="13">
        <f t="shared" si="43"/>
        <v>4</v>
      </c>
      <c r="T223" s="13">
        <f t="shared" si="43"/>
        <v>122</v>
      </c>
    </row>
    <row r="224" ht="12.75" customHeight="1">
      <c r="A224" s="24"/>
      <c r="B224" s="15"/>
      <c r="C224" s="15"/>
      <c r="D224" s="15"/>
      <c r="E224" s="16"/>
      <c r="F224" s="84"/>
      <c r="G224" s="84"/>
      <c r="H224" s="84"/>
      <c r="I224" s="84"/>
      <c r="J224" s="84"/>
      <c r="K224" s="84"/>
      <c r="L224" s="84"/>
      <c r="M224" s="84"/>
      <c r="N224" s="84"/>
      <c r="O224" s="84"/>
      <c r="P224" s="84"/>
      <c r="Q224" s="84"/>
      <c r="R224" s="84"/>
      <c r="S224" s="84"/>
      <c r="T224" s="84"/>
    </row>
    <row r="225" ht="12.75" customHeight="1">
      <c r="A225" s="30" t="s">
        <v>37</v>
      </c>
      <c r="B225" s="47" t="s">
        <v>164</v>
      </c>
      <c r="C225" s="48" t="s">
        <v>165</v>
      </c>
      <c r="D225" s="16"/>
      <c r="E225" s="19">
        <v>0.0</v>
      </c>
      <c r="F225" s="19">
        <v>0.0</v>
      </c>
      <c r="G225" s="19">
        <v>0.0</v>
      </c>
      <c r="H225" s="19">
        <v>0.0</v>
      </c>
      <c r="I225" s="19">
        <v>0.0</v>
      </c>
      <c r="J225" s="19">
        <v>0.0</v>
      </c>
      <c r="K225" s="19">
        <v>0.0</v>
      </c>
      <c r="L225" s="19">
        <v>1.0</v>
      </c>
      <c r="M225" s="19">
        <v>0.0</v>
      </c>
      <c r="N225" s="19">
        <v>0.0</v>
      </c>
      <c r="O225" s="19">
        <v>0.0</v>
      </c>
      <c r="P225" s="19">
        <v>0.0</v>
      </c>
      <c r="Q225" s="19">
        <v>0.0</v>
      </c>
      <c r="R225" s="19">
        <v>1.0</v>
      </c>
      <c r="S225" s="19">
        <v>0.0</v>
      </c>
      <c r="T225" s="13">
        <f t="shared" ref="T225:T234" si="44">SUM(E225:S225)</f>
        <v>2</v>
      </c>
    </row>
    <row r="226" ht="12.75" customHeight="1">
      <c r="A226" s="30" t="s">
        <v>39</v>
      </c>
      <c r="B226" s="55">
        <v>1.0</v>
      </c>
      <c r="C226" s="50" t="s">
        <v>166</v>
      </c>
      <c r="D226" s="60"/>
      <c r="E226" s="19">
        <v>0.0</v>
      </c>
      <c r="F226" s="19">
        <v>0.0</v>
      </c>
      <c r="G226" s="19">
        <v>0.0</v>
      </c>
      <c r="H226" s="19">
        <v>0.0</v>
      </c>
      <c r="I226" s="19">
        <v>0.0</v>
      </c>
      <c r="J226" s="19">
        <v>0.0</v>
      </c>
      <c r="K226" s="19">
        <v>0.0</v>
      </c>
      <c r="L226" s="19">
        <v>0.0</v>
      </c>
      <c r="M226" s="19">
        <v>0.0</v>
      </c>
      <c r="N226" s="19">
        <v>0.0</v>
      </c>
      <c r="O226" s="19">
        <v>0.0</v>
      </c>
      <c r="P226" s="19">
        <v>0.0</v>
      </c>
      <c r="Q226" s="19">
        <v>0.0</v>
      </c>
      <c r="R226" s="19">
        <v>1.0</v>
      </c>
      <c r="S226" s="19">
        <v>0.0</v>
      </c>
      <c r="T226" s="13">
        <f t="shared" si="44"/>
        <v>1</v>
      </c>
    </row>
    <row r="227" ht="12.75" customHeight="1">
      <c r="A227" s="18"/>
      <c r="B227" s="55">
        <v>2.0</v>
      </c>
      <c r="C227" s="50" t="s">
        <v>167</v>
      </c>
      <c r="D227" s="60"/>
      <c r="E227" s="19">
        <v>0.0</v>
      </c>
      <c r="F227" s="19">
        <v>0.0</v>
      </c>
      <c r="G227" s="19">
        <v>0.0</v>
      </c>
      <c r="H227" s="19">
        <v>0.0</v>
      </c>
      <c r="I227" s="19">
        <v>1.0</v>
      </c>
      <c r="J227" s="19">
        <v>0.0</v>
      </c>
      <c r="K227" s="19">
        <v>0.0</v>
      </c>
      <c r="L227" s="19">
        <v>0.0</v>
      </c>
      <c r="M227" s="19">
        <v>0.0</v>
      </c>
      <c r="N227" s="19">
        <v>0.0</v>
      </c>
      <c r="O227" s="19">
        <v>0.0</v>
      </c>
      <c r="P227" s="19">
        <v>0.0</v>
      </c>
      <c r="Q227" s="19">
        <v>0.0</v>
      </c>
      <c r="R227" s="19">
        <v>0.0</v>
      </c>
      <c r="S227" s="19">
        <v>0.0</v>
      </c>
      <c r="T227" s="13">
        <f t="shared" si="44"/>
        <v>1</v>
      </c>
    </row>
    <row r="228" ht="12.75" customHeight="1">
      <c r="A228" s="18"/>
      <c r="B228" s="55">
        <v>3.0</v>
      </c>
      <c r="C228" s="50" t="s">
        <v>168</v>
      </c>
      <c r="D228" s="60"/>
      <c r="E228" s="19">
        <v>0.0</v>
      </c>
      <c r="F228" s="19">
        <v>0.0</v>
      </c>
      <c r="G228" s="19">
        <v>0.0</v>
      </c>
      <c r="H228" s="19">
        <v>0.0</v>
      </c>
      <c r="I228" s="19">
        <v>0.0</v>
      </c>
      <c r="J228" s="19">
        <v>0.0</v>
      </c>
      <c r="K228" s="19">
        <v>0.0</v>
      </c>
      <c r="L228" s="19">
        <v>0.0</v>
      </c>
      <c r="M228" s="19">
        <v>0.0</v>
      </c>
      <c r="N228" s="19">
        <v>0.0</v>
      </c>
      <c r="O228" s="19">
        <v>0.0</v>
      </c>
      <c r="P228" s="19">
        <v>0.0</v>
      </c>
      <c r="Q228" s="19">
        <v>0.0</v>
      </c>
      <c r="R228" s="19">
        <v>0.0</v>
      </c>
      <c r="S228" s="19">
        <v>0.0</v>
      </c>
      <c r="T228" s="13">
        <f t="shared" si="44"/>
        <v>0</v>
      </c>
    </row>
    <row r="229" ht="12.75" customHeight="1">
      <c r="A229" s="18"/>
      <c r="B229" s="55">
        <v>4.0</v>
      </c>
      <c r="C229" s="50" t="s">
        <v>169</v>
      </c>
      <c r="D229" s="60"/>
      <c r="E229" s="19">
        <v>0.0</v>
      </c>
      <c r="F229" s="19">
        <v>0.0</v>
      </c>
      <c r="G229" s="19">
        <v>0.0</v>
      </c>
      <c r="H229" s="19">
        <v>0.0</v>
      </c>
      <c r="I229" s="19">
        <v>0.0</v>
      </c>
      <c r="J229" s="19">
        <v>0.0</v>
      </c>
      <c r="K229" s="19">
        <v>0.0</v>
      </c>
      <c r="L229" s="19">
        <v>0.0</v>
      </c>
      <c r="M229" s="19">
        <v>0.0</v>
      </c>
      <c r="N229" s="19">
        <v>0.0</v>
      </c>
      <c r="O229" s="19">
        <v>0.0</v>
      </c>
      <c r="P229" s="19">
        <v>0.0</v>
      </c>
      <c r="Q229" s="19">
        <v>0.0</v>
      </c>
      <c r="R229" s="19">
        <v>0.0</v>
      </c>
      <c r="S229" s="19">
        <v>0.0</v>
      </c>
      <c r="T229" s="13">
        <f t="shared" si="44"/>
        <v>0</v>
      </c>
    </row>
    <row r="230" ht="12.75" customHeight="1">
      <c r="A230" s="18"/>
      <c r="B230" s="55">
        <v>5.0</v>
      </c>
      <c r="C230" s="50" t="s">
        <v>170</v>
      </c>
      <c r="D230" s="60"/>
      <c r="E230" s="19">
        <v>0.0</v>
      </c>
      <c r="F230" s="19">
        <v>0.0</v>
      </c>
      <c r="G230" s="19">
        <v>0.0</v>
      </c>
      <c r="H230" s="19">
        <v>0.0</v>
      </c>
      <c r="I230" s="19">
        <v>0.0</v>
      </c>
      <c r="J230" s="19">
        <v>0.0</v>
      </c>
      <c r="K230" s="19">
        <v>0.0</v>
      </c>
      <c r="L230" s="19">
        <v>0.0</v>
      </c>
      <c r="M230" s="19">
        <v>0.0</v>
      </c>
      <c r="N230" s="19">
        <v>0.0</v>
      </c>
      <c r="O230" s="19">
        <v>0.0</v>
      </c>
      <c r="P230" s="19">
        <v>0.0</v>
      </c>
      <c r="Q230" s="19">
        <v>0.0</v>
      </c>
      <c r="R230" s="19">
        <v>0.0</v>
      </c>
      <c r="S230" s="19">
        <v>0.0</v>
      </c>
      <c r="T230" s="13">
        <f t="shared" si="44"/>
        <v>0</v>
      </c>
    </row>
    <row r="231" ht="12.75" customHeight="1">
      <c r="A231" s="18"/>
      <c r="B231" s="55">
        <v>6.0</v>
      </c>
      <c r="C231" s="50" t="s">
        <v>171</v>
      </c>
      <c r="D231" s="60"/>
      <c r="E231" s="19">
        <v>0.0</v>
      </c>
      <c r="F231" s="19">
        <v>0.0</v>
      </c>
      <c r="G231" s="19">
        <v>0.0</v>
      </c>
      <c r="H231" s="19">
        <v>0.0</v>
      </c>
      <c r="I231" s="19">
        <v>0.0</v>
      </c>
      <c r="J231" s="19">
        <v>0.0</v>
      </c>
      <c r="K231" s="19">
        <v>0.0</v>
      </c>
      <c r="L231" s="19">
        <v>0.0</v>
      </c>
      <c r="M231" s="19">
        <v>0.0</v>
      </c>
      <c r="N231" s="19">
        <v>0.0</v>
      </c>
      <c r="O231" s="19">
        <v>0.0</v>
      </c>
      <c r="P231" s="19">
        <v>0.0</v>
      </c>
      <c r="Q231" s="19">
        <v>0.0</v>
      </c>
      <c r="R231" s="19">
        <v>0.0</v>
      </c>
      <c r="S231" s="19">
        <v>0.0</v>
      </c>
      <c r="T231" s="13">
        <f t="shared" si="44"/>
        <v>0</v>
      </c>
    </row>
    <row r="232" ht="12.75" customHeight="1">
      <c r="A232" s="18"/>
      <c r="B232" s="55">
        <v>7.0</v>
      </c>
      <c r="C232" s="50" t="s">
        <v>172</v>
      </c>
      <c r="D232" s="60"/>
      <c r="E232" s="19">
        <v>0.0</v>
      </c>
      <c r="F232" s="19">
        <v>0.0</v>
      </c>
      <c r="G232" s="19">
        <v>0.0</v>
      </c>
      <c r="H232" s="19">
        <v>0.0</v>
      </c>
      <c r="I232" s="19">
        <v>0.0</v>
      </c>
      <c r="J232" s="19">
        <v>0.0</v>
      </c>
      <c r="K232" s="19">
        <v>0.0</v>
      </c>
      <c r="L232" s="19">
        <v>0.0</v>
      </c>
      <c r="M232" s="19">
        <v>0.0</v>
      </c>
      <c r="N232" s="19">
        <v>0.0</v>
      </c>
      <c r="O232" s="19">
        <v>0.0</v>
      </c>
      <c r="P232" s="19">
        <v>0.0</v>
      </c>
      <c r="Q232" s="19">
        <v>0.0</v>
      </c>
      <c r="R232" s="19">
        <v>0.0</v>
      </c>
      <c r="S232" s="19">
        <v>0.0</v>
      </c>
      <c r="T232" s="13">
        <f t="shared" si="44"/>
        <v>0</v>
      </c>
    </row>
    <row r="233" ht="12.75" customHeight="1">
      <c r="A233" s="18"/>
      <c r="B233" s="56"/>
      <c r="C233" s="57"/>
      <c r="D233" s="62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3">
        <f t="shared" si="44"/>
        <v>0</v>
      </c>
    </row>
    <row r="234" ht="12.75" customHeight="1">
      <c r="A234" s="18"/>
      <c r="B234" s="56"/>
      <c r="C234" s="57"/>
      <c r="D234" s="62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3">
        <f t="shared" si="44"/>
        <v>0</v>
      </c>
    </row>
    <row r="235" ht="12.75" customHeight="1">
      <c r="A235" s="19" t="s">
        <v>15</v>
      </c>
      <c r="B235" s="47" t="s">
        <v>47</v>
      </c>
      <c r="C235" s="15"/>
      <c r="D235" s="16"/>
      <c r="E235" s="13">
        <f t="shared" ref="E235:T235" si="45">SUM(E225:E234)</f>
        <v>0</v>
      </c>
      <c r="F235" s="13">
        <f t="shared" si="45"/>
        <v>0</v>
      </c>
      <c r="G235" s="13">
        <f t="shared" si="45"/>
        <v>0</v>
      </c>
      <c r="H235" s="13">
        <f t="shared" si="45"/>
        <v>0</v>
      </c>
      <c r="I235" s="13">
        <f t="shared" si="45"/>
        <v>1</v>
      </c>
      <c r="J235" s="13">
        <f t="shared" si="45"/>
        <v>0</v>
      </c>
      <c r="K235" s="13">
        <f t="shared" si="45"/>
        <v>0</v>
      </c>
      <c r="L235" s="13">
        <f t="shared" si="45"/>
        <v>1</v>
      </c>
      <c r="M235" s="13">
        <f t="shared" si="45"/>
        <v>0</v>
      </c>
      <c r="N235" s="13">
        <f t="shared" si="45"/>
        <v>0</v>
      </c>
      <c r="O235" s="13">
        <f t="shared" si="45"/>
        <v>0</v>
      </c>
      <c r="P235" s="13">
        <f t="shared" si="45"/>
        <v>0</v>
      </c>
      <c r="Q235" s="13">
        <f t="shared" si="45"/>
        <v>0</v>
      </c>
      <c r="R235" s="13">
        <f t="shared" si="45"/>
        <v>2</v>
      </c>
      <c r="S235" s="13">
        <f t="shared" si="45"/>
        <v>0</v>
      </c>
      <c r="T235" s="13">
        <f t="shared" si="45"/>
        <v>4</v>
      </c>
    </row>
    <row r="236" ht="12.75" customHeight="1">
      <c r="A236" s="24"/>
      <c r="B236" s="15"/>
      <c r="C236" s="15"/>
      <c r="D236" s="15"/>
      <c r="E236" s="16"/>
      <c r="F236" s="84"/>
      <c r="G236" s="84"/>
      <c r="H236" s="84"/>
      <c r="I236" s="84"/>
      <c r="J236" s="84"/>
      <c r="K236" s="84"/>
      <c r="L236" s="84"/>
      <c r="M236" s="84"/>
      <c r="N236" s="84"/>
      <c r="O236" s="84"/>
      <c r="P236" s="84"/>
      <c r="Q236" s="84"/>
      <c r="R236" s="84"/>
      <c r="S236" s="84"/>
      <c r="T236" s="84"/>
    </row>
    <row r="237" ht="12.75" customHeight="1">
      <c r="A237" s="30" t="s">
        <v>37</v>
      </c>
      <c r="B237" s="47" t="s">
        <v>173</v>
      </c>
      <c r="C237" s="48" t="s">
        <v>174</v>
      </c>
      <c r="D237" s="16"/>
      <c r="E237" s="19">
        <v>0.0</v>
      </c>
      <c r="F237" s="19">
        <v>1.0</v>
      </c>
      <c r="G237" s="19">
        <v>3.0</v>
      </c>
      <c r="H237" s="19">
        <v>0.0</v>
      </c>
      <c r="I237" s="19">
        <v>0.0</v>
      </c>
      <c r="J237" s="19">
        <v>1.0</v>
      </c>
      <c r="K237" s="19">
        <v>4.0</v>
      </c>
      <c r="L237" s="19">
        <v>1.0</v>
      </c>
      <c r="M237" s="19">
        <v>1.0</v>
      </c>
      <c r="N237" s="19">
        <v>1.0</v>
      </c>
      <c r="O237" s="19">
        <v>0.0</v>
      </c>
      <c r="P237" s="19">
        <v>7.0</v>
      </c>
      <c r="Q237" s="19">
        <v>0.0</v>
      </c>
      <c r="R237" s="19">
        <v>1.0</v>
      </c>
      <c r="S237" s="19">
        <v>0.0</v>
      </c>
      <c r="T237" s="13">
        <f t="shared" ref="T237:T246" si="46">SUM(E237:S237)</f>
        <v>20</v>
      </c>
    </row>
    <row r="238" ht="12.75" customHeight="1">
      <c r="A238" s="30" t="s">
        <v>39</v>
      </c>
      <c r="B238" s="55">
        <v>1.0</v>
      </c>
      <c r="C238" s="50" t="s">
        <v>175</v>
      </c>
      <c r="D238" s="60"/>
      <c r="E238" s="19">
        <v>0.0</v>
      </c>
      <c r="F238" s="19">
        <v>0.0</v>
      </c>
      <c r="G238" s="19">
        <v>0.0</v>
      </c>
      <c r="H238" s="19">
        <v>1.0</v>
      </c>
      <c r="I238" s="19">
        <v>0.0</v>
      </c>
      <c r="J238" s="19">
        <v>0.0</v>
      </c>
      <c r="K238" s="19">
        <v>1.0</v>
      </c>
      <c r="L238" s="19">
        <v>0.0</v>
      </c>
      <c r="M238" s="19">
        <v>0.0</v>
      </c>
      <c r="N238" s="19">
        <v>0.0</v>
      </c>
      <c r="O238" s="19">
        <v>1.0</v>
      </c>
      <c r="P238" s="19">
        <v>1.0</v>
      </c>
      <c r="Q238" s="19">
        <v>0.0</v>
      </c>
      <c r="R238" s="19">
        <v>0.0</v>
      </c>
      <c r="S238" s="19">
        <v>0.0</v>
      </c>
      <c r="T238" s="13">
        <f t="shared" si="46"/>
        <v>4</v>
      </c>
    </row>
    <row r="239" ht="12.75" customHeight="1">
      <c r="A239" s="18"/>
      <c r="B239" s="55">
        <v>2.0</v>
      </c>
      <c r="C239" s="50" t="s">
        <v>176</v>
      </c>
      <c r="D239" s="60"/>
      <c r="E239" s="19">
        <v>0.0</v>
      </c>
      <c r="F239" s="19">
        <v>1.0</v>
      </c>
      <c r="G239" s="19">
        <v>16.0</v>
      </c>
      <c r="H239" s="19">
        <v>4.0</v>
      </c>
      <c r="I239" s="19">
        <v>0.0</v>
      </c>
      <c r="J239" s="19">
        <v>5.0</v>
      </c>
      <c r="K239" s="19">
        <v>53.0</v>
      </c>
      <c r="L239" s="19">
        <v>13.0</v>
      </c>
      <c r="M239" s="19">
        <v>8.0</v>
      </c>
      <c r="N239" s="19">
        <v>24.0</v>
      </c>
      <c r="O239" s="19">
        <v>12.0</v>
      </c>
      <c r="P239" s="19">
        <v>14.0</v>
      </c>
      <c r="Q239" s="19">
        <v>7.0</v>
      </c>
      <c r="R239" s="19">
        <v>27.0</v>
      </c>
      <c r="S239" s="19">
        <v>1.0</v>
      </c>
      <c r="T239" s="13">
        <f t="shared" si="46"/>
        <v>185</v>
      </c>
    </row>
    <row r="240" ht="12.75" customHeight="1">
      <c r="A240" s="18"/>
      <c r="B240" s="55">
        <v>3.0</v>
      </c>
      <c r="C240" s="50" t="s">
        <v>177</v>
      </c>
      <c r="D240" s="60"/>
      <c r="E240" s="19">
        <v>0.0</v>
      </c>
      <c r="F240" s="19">
        <v>0.0</v>
      </c>
      <c r="G240" s="19">
        <v>1.0</v>
      </c>
      <c r="H240" s="19">
        <v>0.0</v>
      </c>
      <c r="I240" s="19">
        <v>0.0</v>
      </c>
      <c r="J240" s="19">
        <v>0.0</v>
      </c>
      <c r="K240" s="19">
        <v>1.0</v>
      </c>
      <c r="L240" s="19">
        <v>0.0</v>
      </c>
      <c r="M240" s="19">
        <v>0.0</v>
      </c>
      <c r="N240" s="19">
        <v>0.0</v>
      </c>
      <c r="O240" s="19">
        <v>0.0</v>
      </c>
      <c r="P240" s="19">
        <v>0.0</v>
      </c>
      <c r="Q240" s="19">
        <v>0.0</v>
      </c>
      <c r="R240" s="19">
        <v>0.0</v>
      </c>
      <c r="S240" s="19">
        <v>0.0</v>
      </c>
      <c r="T240" s="13">
        <f t="shared" si="46"/>
        <v>2</v>
      </c>
    </row>
    <row r="241" ht="12.75" customHeight="1">
      <c r="A241" s="18"/>
      <c r="B241" s="55">
        <v>4.0</v>
      </c>
      <c r="C241" s="50" t="s">
        <v>178</v>
      </c>
      <c r="D241" s="60"/>
      <c r="E241" s="19">
        <v>0.0</v>
      </c>
      <c r="F241" s="19">
        <v>0.0</v>
      </c>
      <c r="G241" s="19">
        <v>2.0</v>
      </c>
      <c r="H241" s="19">
        <v>0.0</v>
      </c>
      <c r="I241" s="19">
        <v>0.0</v>
      </c>
      <c r="J241" s="19">
        <v>0.0</v>
      </c>
      <c r="K241" s="19">
        <v>0.0</v>
      </c>
      <c r="L241" s="19">
        <v>0.0</v>
      </c>
      <c r="M241" s="19">
        <v>0.0</v>
      </c>
      <c r="N241" s="19">
        <v>1.0</v>
      </c>
      <c r="O241" s="19">
        <v>0.0</v>
      </c>
      <c r="P241" s="19">
        <v>1.0</v>
      </c>
      <c r="Q241" s="19">
        <v>0.0</v>
      </c>
      <c r="R241" s="19">
        <v>1.0</v>
      </c>
      <c r="S241" s="19">
        <v>3.0</v>
      </c>
      <c r="T241" s="13">
        <f t="shared" si="46"/>
        <v>8</v>
      </c>
    </row>
    <row r="242" ht="12.75" customHeight="1">
      <c r="A242" s="18"/>
      <c r="B242" s="55">
        <v>5.0</v>
      </c>
      <c r="C242" s="50" t="s">
        <v>179</v>
      </c>
      <c r="D242" s="60"/>
      <c r="E242" s="19">
        <v>0.0</v>
      </c>
      <c r="F242" s="19">
        <v>0.0</v>
      </c>
      <c r="G242" s="19">
        <v>0.0</v>
      </c>
      <c r="H242" s="19">
        <v>0.0</v>
      </c>
      <c r="I242" s="19">
        <v>0.0</v>
      </c>
      <c r="J242" s="19">
        <v>0.0</v>
      </c>
      <c r="K242" s="19">
        <v>0.0</v>
      </c>
      <c r="L242" s="19">
        <v>1.0</v>
      </c>
      <c r="M242" s="19">
        <v>0.0</v>
      </c>
      <c r="N242" s="19">
        <v>0.0</v>
      </c>
      <c r="O242" s="19">
        <v>0.0</v>
      </c>
      <c r="P242" s="19">
        <v>0.0</v>
      </c>
      <c r="Q242" s="19">
        <v>0.0</v>
      </c>
      <c r="R242" s="19">
        <v>0.0</v>
      </c>
      <c r="S242" s="19">
        <v>0.0</v>
      </c>
      <c r="T242" s="13">
        <f t="shared" si="46"/>
        <v>1</v>
      </c>
    </row>
    <row r="243" ht="12.75" customHeight="1">
      <c r="A243" s="18"/>
      <c r="B243" s="55">
        <v>6.0</v>
      </c>
      <c r="C243" s="50" t="s">
        <v>180</v>
      </c>
      <c r="D243" s="60"/>
      <c r="E243" s="19">
        <v>0.0</v>
      </c>
      <c r="F243" s="19">
        <v>0.0</v>
      </c>
      <c r="G243" s="19">
        <v>0.0</v>
      </c>
      <c r="H243" s="19">
        <v>0.0</v>
      </c>
      <c r="I243" s="19">
        <v>0.0</v>
      </c>
      <c r="J243" s="19">
        <v>0.0</v>
      </c>
      <c r="K243" s="19">
        <v>0.0</v>
      </c>
      <c r="L243" s="19">
        <v>0.0</v>
      </c>
      <c r="M243" s="19">
        <v>0.0</v>
      </c>
      <c r="N243" s="19">
        <v>0.0</v>
      </c>
      <c r="O243" s="19">
        <v>0.0</v>
      </c>
      <c r="P243" s="19">
        <v>0.0</v>
      </c>
      <c r="Q243" s="19">
        <v>0.0</v>
      </c>
      <c r="R243" s="19">
        <v>0.0</v>
      </c>
      <c r="S243" s="19">
        <v>0.0</v>
      </c>
      <c r="T243" s="13">
        <f t="shared" si="46"/>
        <v>0</v>
      </c>
    </row>
    <row r="244" ht="12.75" customHeight="1">
      <c r="A244" s="18"/>
      <c r="B244" s="55">
        <v>7.0</v>
      </c>
      <c r="C244" s="50" t="s">
        <v>181</v>
      </c>
      <c r="D244" s="60"/>
      <c r="E244" s="19">
        <v>0.0</v>
      </c>
      <c r="F244" s="19">
        <v>0.0</v>
      </c>
      <c r="G244" s="19">
        <v>0.0</v>
      </c>
      <c r="H244" s="19">
        <v>0.0</v>
      </c>
      <c r="I244" s="19">
        <v>0.0</v>
      </c>
      <c r="J244" s="19">
        <v>0.0</v>
      </c>
      <c r="K244" s="19">
        <v>1.0</v>
      </c>
      <c r="L244" s="19">
        <v>0.0</v>
      </c>
      <c r="M244" s="19">
        <v>0.0</v>
      </c>
      <c r="N244" s="19">
        <v>0.0</v>
      </c>
      <c r="O244" s="19">
        <v>0.0</v>
      </c>
      <c r="P244" s="19">
        <v>0.0</v>
      </c>
      <c r="Q244" s="19">
        <v>0.0</v>
      </c>
      <c r="R244" s="19">
        <v>0.0</v>
      </c>
      <c r="S244" s="19">
        <v>0.0</v>
      </c>
      <c r="T244" s="13">
        <f t="shared" si="46"/>
        <v>1</v>
      </c>
    </row>
    <row r="245" ht="12.75" customHeight="1">
      <c r="A245" s="18"/>
      <c r="B245" s="56"/>
      <c r="C245" s="57"/>
      <c r="D245" s="62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3">
        <f t="shared" si="46"/>
        <v>0</v>
      </c>
    </row>
    <row r="246" ht="12.75" customHeight="1">
      <c r="A246" s="18"/>
      <c r="B246" s="56"/>
      <c r="C246" s="57"/>
      <c r="D246" s="62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3">
        <f t="shared" si="46"/>
        <v>0</v>
      </c>
    </row>
    <row r="247" ht="12.75" customHeight="1">
      <c r="A247" s="19" t="s">
        <v>15</v>
      </c>
      <c r="B247" s="47" t="s">
        <v>47</v>
      </c>
      <c r="C247" s="15"/>
      <c r="D247" s="16"/>
      <c r="E247" s="13">
        <f t="shared" ref="E247:T247" si="47">SUM(E237:E246)</f>
        <v>0</v>
      </c>
      <c r="F247" s="13">
        <f t="shared" si="47"/>
        <v>2</v>
      </c>
      <c r="G247" s="13">
        <f t="shared" si="47"/>
        <v>22</v>
      </c>
      <c r="H247" s="13">
        <f t="shared" si="47"/>
        <v>5</v>
      </c>
      <c r="I247" s="13">
        <f t="shared" si="47"/>
        <v>0</v>
      </c>
      <c r="J247" s="13">
        <f t="shared" si="47"/>
        <v>6</v>
      </c>
      <c r="K247" s="13">
        <f t="shared" si="47"/>
        <v>60</v>
      </c>
      <c r="L247" s="13">
        <f t="shared" si="47"/>
        <v>15</v>
      </c>
      <c r="M247" s="13">
        <f t="shared" si="47"/>
        <v>9</v>
      </c>
      <c r="N247" s="13">
        <f t="shared" si="47"/>
        <v>26</v>
      </c>
      <c r="O247" s="13">
        <f t="shared" si="47"/>
        <v>13</v>
      </c>
      <c r="P247" s="13">
        <f t="shared" si="47"/>
        <v>23</v>
      </c>
      <c r="Q247" s="13">
        <f t="shared" si="47"/>
        <v>7</v>
      </c>
      <c r="R247" s="13">
        <f t="shared" si="47"/>
        <v>29</v>
      </c>
      <c r="S247" s="13">
        <f t="shared" si="47"/>
        <v>4</v>
      </c>
      <c r="T247" s="13">
        <f t="shared" si="47"/>
        <v>221</v>
      </c>
    </row>
    <row r="248" ht="12.75" customHeight="1">
      <c r="A248" s="24"/>
      <c r="B248" s="15"/>
      <c r="C248" s="15"/>
      <c r="D248" s="15"/>
      <c r="E248" s="16"/>
    </row>
    <row r="249" ht="12.75" customHeight="1">
      <c r="A249" s="30" t="s">
        <v>37</v>
      </c>
      <c r="B249" s="47" t="s">
        <v>182</v>
      </c>
      <c r="C249" s="48" t="s">
        <v>183</v>
      </c>
      <c r="D249" s="16"/>
      <c r="E249" s="19">
        <v>0.0</v>
      </c>
      <c r="F249" s="19">
        <v>0.0</v>
      </c>
      <c r="G249" s="19">
        <v>0.0</v>
      </c>
      <c r="H249" s="19">
        <v>0.0</v>
      </c>
      <c r="I249" s="19">
        <v>0.0</v>
      </c>
      <c r="J249" s="19">
        <v>0.0</v>
      </c>
      <c r="K249" s="19">
        <v>0.0</v>
      </c>
      <c r="L249" s="19">
        <v>0.0</v>
      </c>
      <c r="M249" s="19">
        <v>0.0</v>
      </c>
      <c r="N249" s="19">
        <v>1.0</v>
      </c>
      <c r="O249" s="19">
        <v>0.0</v>
      </c>
      <c r="P249" s="19">
        <v>0.0</v>
      </c>
      <c r="Q249" s="19">
        <v>0.0</v>
      </c>
      <c r="R249" s="19">
        <v>0.0</v>
      </c>
      <c r="S249" s="19">
        <v>0.0</v>
      </c>
      <c r="T249" s="13">
        <f t="shared" ref="T249:T258" si="48">SUM(E249:S249)</f>
        <v>1</v>
      </c>
    </row>
    <row r="250" ht="12.75" customHeight="1">
      <c r="A250" s="30" t="s">
        <v>39</v>
      </c>
      <c r="B250" s="55">
        <v>1.0</v>
      </c>
      <c r="C250" s="67" t="s">
        <v>184</v>
      </c>
      <c r="D250" s="60"/>
      <c r="E250" s="19">
        <v>0.0</v>
      </c>
      <c r="F250" s="19">
        <v>0.0</v>
      </c>
      <c r="G250" s="19">
        <v>0.0</v>
      </c>
      <c r="H250" s="19">
        <v>1.0</v>
      </c>
      <c r="I250" s="19">
        <v>0.0</v>
      </c>
      <c r="J250" s="19">
        <v>1.0</v>
      </c>
      <c r="K250" s="19">
        <v>0.0</v>
      </c>
      <c r="L250" s="19">
        <v>1.0</v>
      </c>
      <c r="M250" s="19">
        <v>0.0</v>
      </c>
      <c r="N250" s="19">
        <v>0.0</v>
      </c>
      <c r="O250" s="19">
        <v>0.0</v>
      </c>
      <c r="P250" s="19">
        <v>0.0</v>
      </c>
      <c r="Q250" s="19">
        <v>0.0</v>
      </c>
      <c r="R250" s="19">
        <v>0.0</v>
      </c>
      <c r="S250" s="19">
        <v>0.0</v>
      </c>
      <c r="T250" s="13">
        <f t="shared" si="48"/>
        <v>3</v>
      </c>
    </row>
    <row r="251" ht="12.75" customHeight="1">
      <c r="A251" s="18"/>
      <c r="B251" s="55">
        <v>2.0</v>
      </c>
      <c r="C251" s="67" t="s">
        <v>185</v>
      </c>
      <c r="D251" s="60"/>
      <c r="E251" s="19">
        <v>0.0</v>
      </c>
      <c r="F251" s="19">
        <v>0.0</v>
      </c>
      <c r="G251" s="19">
        <v>0.0</v>
      </c>
      <c r="H251" s="19">
        <v>0.0</v>
      </c>
      <c r="I251" s="19">
        <v>0.0</v>
      </c>
      <c r="J251" s="19">
        <v>0.0</v>
      </c>
      <c r="K251" s="19">
        <v>0.0</v>
      </c>
      <c r="L251" s="19">
        <v>0.0</v>
      </c>
      <c r="M251" s="19">
        <v>0.0</v>
      </c>
      <c r="N251" s="19">
        <v>0.0</v>
      </c>
      <c r="O251" s="19">
        <v>0.0</v>
      </c>
      <c r="P251" s="19">
        <v>0.0</v>
      </c>
      <c r="Q251" s="19">
        <v>0.0</v>
      </c>
      <c r="R251" s="19">
        <v>0.0</v>
      </c>
      <c r="S251" s="19">
        <v>0.0</v>
      </c>
      <c r="T251" s="13">
        <f t="shared" si="48"/>
        <v>0</v>
      </c>
    </row>
    <row r="252" ht="12.75" customHeight="1">
      <c r="A252" s="18"/>
      <c r="B252" s="55">
        <v>3.0</v>
      </c>
      <c r="C252" s="67" t="s">
        <v>186</v>
      </c>
      <c r="D252" s="60"/>
      <c r="E252" s="19">
        <v>0.0</v>
      </c>
      <c r="F252" s="19">
        <v>0.0</v>
      </c>
      <c r="G252" s="19">
        <v>0.0</v>
      </c>
      <c r="H252" s="19">
        <v>0.0</v>
      </c>
      <c r="I252" s="19">
        <v>0.0</v>
      </c>
      <c r="J252" s="19">
        <v>0.0</v>
      </c>
      <c r="K252" s="19">
        <v>0.0</v>
      </c>
      <c r="L252" s="19">
        <v>0.0</v>
      </c>
      <c r="M252" s="19">
        <v>0.0</v>
      </c>
      <c r="N252" s="19">
        <v>0.0</v>
      </c>
      <c r="O252" s="19">
        <v>0.0</v>
      </c>
      <c r="P252" s="19">
        <v>0.0</v>
      </c>
      <c r="Q252" s="19">
        <v>0.0</v>
      </c>
      <c r="R252" s="19">
        <v>0.0</v>
      </c>
      <c r="S252" s="19">
        <v>0.0</v>
      </c>
      <c r="T252" s="13">
        <f t="shared" si="48"/>
        <v>0</v>
      </c>
    </row>
    <row r="253" ht="12.75" customHeight="1">
      <c r="A253" s="18"/>
      <c r="B253" s="55">
        <v>4.0</v>
      </c>
      <c r="C253" s="67" t="s">
        <v>187</v>
      </c>
      <c r="D253" s="60"/>
      <c r="E253" s="19">
        <v>0.0</v>
      </c>
      <c r="F253" s="19">
        <v>0.0</v>
      </c>
      <c r="G253" s="19">
        <v>0.0</v>
      </c>
      <c r="H253" s="19">
        <v>0.0</v>
      </c>
      <c r="I253" s="19">
        <v>0.0</v>
      </c>
      <c r="J253" s="19">
        <v>0.0</v>
      </c>
      <c r="K253" s="19">
        <v>0.0</v>
      </c>
      <c r="L253" s="19">
        <v>0.0</v>
      </c>
      <c r="M253" s="19">
        <v>0.0</v>
      </c>
      <c r="N253" s="19">
        <v>0.0</v>
      </c>
      <c r="O253" s="19">
        <v>0.0</v>
      </c>
      <c r="P253" s="19">
        <v>0.0</v>
      </c>
      <c r="Q253" s="19">
        <v>0.0</v>
      </c>
      <c r="R253" s="19">
        <v>0.0</v>
      </c>
      <c r="S253" s="19">
        <v>0.0</v>
      </c>
      <c r="T253" s="13">
        <f t="shared" si="48"/>
        <v>0</v>
      </c>
    </row>
    <row r="254" ht="12.75" customHeight="1">
      <c r="A254" s="18"/>
      <c r="B254" s="55">
        <v>5.0</v>
      </c>
      <c r="C254" s="67" t="s">
        <v>188</v>
      </c>
      <c r="D254" s="60"/>
      <c r="E254" s="19">
        <v>0.0</v>
      </c>
      <c r="F254" s="19">
        <v>0.0</v>
      </c>
      <c r="G254" s="19">
        <v>0.0</v>
      </c>
      <c r="H254" s="19">
        <v>0.0</v>
      </c>
      <c r="I254" s="19">
        <v>0.0</v>
      </c>
      <c r="J254" s="19">
        <v>0.0</v>
      </c>
      <c r="K254" s="19">
        <v>0.0</v>
      </c>
      <c r="L254" s="19">
        <v>0.0</v>
      </c>
      <c r="M254" s="19">
        <v>0.0</v>
      </c>
      <c r="N254" s="19">
        <v>0.0</v>
      </c>
      <c r="O254" s="19">
        <v>0.0</v>
      </c>
      <c r="P254" s="19">
        <v>0.0</v>
      </c>
      <c r="Q254" s="19">
        <v>0.0</v>
      </c>
      <c r="R254" s="19">
        <v>0.0</v>
      </c>
      <c r="S254" s="19">
        <v>0.0</v>
      </c>
      <c r="T254" s="13">
        <f t="shared" si="48"/>
        <v>0</v>
      </c>
    </row>
    <row r="255" ht="12.75" customHeight="1">
      <c r="A255" s="18"/>
      <c r="B255" s="55">
        <v>6.0</v>
      </c>
      <c r="C255" s="67" t="s">
        <v>189</v>
      </c>
      <c r="D255" s="60"/>
      <c r="E255" s="19">
        <v>0.0</v>
      </c>
      <c r="F255" s="19">
        <v>0.0</v>
      </c>
      <c r="G255" s="19">
        <v>0.0</v>
      </c>
      <c r="H255" s="19">
        <v>0.0</v>
      </c>
      <c r="I255" s="19">
        <v>0.0</v>
      </c>
      <c r="J255" s="19">
        <v>1.0</v>
      </c>
      <c r="K255" s="19">
        <v>0.0</v>
      </c>
      <c r="L255" s="19">
        <v>0.0</v>
      </c>
      <c r="M255" s="19">
        <v>0.0</v>
      </c>
      <c r="N255" s="19">
        <v>0.0</v>
      </c>
      <c r="O255" s="19">
        <v>0.0</v>
      </c>
      <c r="P255" s="19">
        <v>0.0</v>
      </c>
      <c r="Q255" s="19">
        <v>0.0</v>
      </c>
      <c r="R255" s="19">
        <v>0.0</v>
      </c>
      <c r="S255" s="19">
        <v>0.0</v>
      </c>
      <c r="T255" s="13">
        <f t="shared" si="48"/>
        <v>1</v>
      </c>
    </row>
    <row r="256" ht="12.75" customHeight="1">
      <c r="A256" s="18"/>
      <c r="B256" s="56"/>
      <c r="C256" s="68"/>
      <c r="D256" s="62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3">
        <f t="shared" si="48"/>
        <v>0</v>
      </c>
    </row>
    <row r="257" ht="12.75" customHeight="1">
      <c r="A257" s="18"/>
      <c r="B257" s="56"/>
      <c r="C257" s="68"/>
      <c r="D257" s="62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3">
        <f t="shared" si="48"/>
        <v>0</v>
      </c>
    </row>
    <row r="258" ht="12.75" customHeight="1">
      <c r="A258" s="18"/>
      <c r="B258" s="56"/>
      <c r="C258" s="68"/>
      <c r="D258" s="62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3">
        <f t="shared" si="48"/>
        <v>0</v>
      </c>
    </row>
    <row r="259" ht="12.75" customHeight="1">
      <c r="A259" s="19" t="s">
        <v>15</v>
      </c>
      <c r="B259" s="47" t="s">
        <v>47</v>
      </c>
      <c r="C259" s="15"/>
      <c r="D259" s="16"/>
      <c r="E259" s="13">
        <f t="shared" ref="E259:T259" si="49">SUM(E249:E258)</f>
        <v>0</v>
      </c>
      <c r="F259" s="13">
        <f t="shared" si="49"/>
        <v>0</v>
      </c>
      <c r="G259" s="13">
        <f t="shared" si="49"/>
        <v>0</v>
      </c>
      <c r="H259" s="13">
        <f t="shared" si="49"/>
        <v>1</v>
      </c>
      <c r="I259" s="13">
        <f t="shared" si="49"/>
        <v>0</v>
      </c>
      <c r="J259" s="13">
        <f t="shared" si="49"/>
        <v>2</v>
      </c>
      <c r="K259" s="13">
        <f t="shared" si="49"/>
        <v>0</v>
      </c>
      <c r="L259" s="13">
        <f t="shared" si="49"/>
        <v>1</v>
      </c>
      <c r="M259" s="13">
        <f t="shared" si="49"/>
        <v>0</v>
      </c>
      <c r="N259" s="13">
        <f t="shared" si="49"/>
        <v>1</v>
      </c>
      <c r="O259" s="13">
        <f t="shared" si="49"/>
        <v>0</v>
      </c>
      <c r="P259" s="13">
        <f t="shared" si="49"/>
        <v>0</v>
      </c>
      <c r="Q259" s="13">
        <f t="shared" si="49"/>
        <v>0</v>
      </c>
      <c r="R259" s="13">
        <f t="shared" si="49"/>
        <v>0</v>
      </c>
      <c r="S259" s="13">
        <f t="shared" si="49"/>
        <v>0</v>
      </c>
      <c r="T259" s="13">
        <f t="shared" si="49"/>
        <v>5</v>
      </c>
    </row>
    <row r="260" ht="12.75" customHeight="1"/>
    <row r="261" ht="12.75" customHeight="1">
      <c r="A261" s="42" t="s">
        <v>190</v>
      </c>
      <c r="B261" s="14" t="s">
        <v>191</v>
      </c>
      <c r="C261" s="15"/>
      <c r="D261" s="16"/>
      <c r="E261" s="13"/>
      <c r="F261" s="13"/>
      <c r="G261" s="13"/>
      <c r="H261" s="13"/>
      <c r="I261" s="13"/>
      <c r="J261" s="13"/>
      <c r="K261" s="13"/>
      <c r="L261" s="13"/>
      <c r="M261" s="13"/>
      <c r="N261" s="78"/>
      <c r="O261" s="78"/>
      <c r="P261" s="78"/>
      <c r="Q261" s="78"/>
      <c r="R261" s="78"/>
      <c r="S261" s="78"/>
      <c r="T261" s="13"/>
    </row>
    <row r="262" ht="12.75" customHeight="1">
      <c r="A262" s="42"/>
      <c r="B262" s="71" t="s">
        <v>192</v>
      </c>
      <c r="C262" s="72" t="s">
        <v>193</v>
      </c>
      <c r="D262" s="16"/>
      <c r="E262" s="19">
        <f t="shared" ref="E262:S262" si="50">E55+E67+E79+E91+E103+E115+E127+E139+E151+E163+E175+E187+E199+E211+E223+E235+E247+E259</f>
        <v>191</v>
      </c>
      <c r="F262" s="19">
        <f t="shared" si="50"/>
        <v>207</v>
      </c>
      <c r="G262" s="19">
        <f t="shared" si="50"/>
        <v>185</v>
      </c>
      <c r="H262" s="19">
        <f t="shared" si="50"/>
        <v>179</v>
      </c>
      <c r="I262" s="19">
        <f t="shared" si="50"/>
        <v>207</v>
      </c>
      <c r="J262" s="19">
        <f t="shared" si="50"/>
        <v>205</v>
      </c>
      <c r="K262" s="19">
        <f t="shared" si="50"/>
        <v>231</v>
      </c>
      <c r="L262" s="19">
        <f t="shared" si="50"/>
        <v>189</v>
      </c>
      <c r="M262" s="19">
        <f t="shared" si="50"/>
        <v>200</v>
      </c>
      <c r="N262" s="19">
        <f t="shared" si="50"/>
        <v>202</v>
      </c>
      <c r="O262" s="19">
        <f t="shared" si="50"/>
        <v>208</v>
      </c>
      <c r="P262" s="19">
        <f t="shared" si="50"/>
        <v>224</v>
      </c>
      <c r="Q262" s="19">
        <f t="shared" si="50"/>
        <v>215</v>
      </c>
      <c r="R262" s="19">
        <f t="shared" si="50"/>
        <v>210</v>
      </c>
      <c r="S262" s="19">
        <f t="shared" si="50"/>
        <v>230</v>
      </c>
      <c r="T262" s="13">
        <f t="shared" ref="T262:T264" si="51">SUM(E262:S262)</f>
        <v>3083</v>
      </c>
    </row>
    <row r="263" ht="12.75" customHeight="1">
      <c r="A263" s="35"/>
      <c r="B263" s="71" t="s">
        <v>194</v>
      </c>
      <c r="C263" s="72" t="s">
        <v>195</v>
      </c>
      <c r="D263" s="16"/>
      <c r="E263" s="19">
        <v>20.0</v>
      </c>
      <c r="F263" s="19">
        <v>12.0</v>
      </c>
      <c r="G263" s="19">
        <v>7.0</v>
      </c>
      <c r="H263" s="19">
        <v>26.0</v>
      </c>
      <c r="I263" s="19">
        <v>15.0</v>
      </c>
      <c r="J263" s="19">
        <v>15.0</v>
      </c>
      <c r="K263" s="19">
        <v>12.0</v>
      </c>
      <c r="L263" s="19">
        <v>23.0</v>
      </c>
      <c r="M263" s="19">
        <v>17.0</v>
      </c>
      <c r="N263" s="19">
        <v>16.0</v>
      </c>
      <c r="O263" s="19">
        <v>14.0</v>
      </c>
      <c r="P263" s="19">
        <v>7.0</v>
      </c>
      <c r="Q263" s="19">
        <v>12.0</v>
      </c>
      <c r="R263" s="19">
        <v>15.0</v>
      </c>
      <c r="S263" s="19">
        <v>16.0</v>
      </c>
      <c r="T263" s="13">
        <f t="shared" si="51"/>
        <v>227</v>
      </c>
    </row>
    <row r="264" ht="12.75" customHeight="1">
      <c r="A264" s="41"/>
      <c r="B264" s="71" t="s">
        <v>196</v>
      </c>
      <c r="C264" s="72" t="s">
        <v>197</v>
      </c>
      <c r="D264" s="16"/>
      <c r="E264" s="13">
        <f t="shared" ref="E264:S264" si="52">SUM(E262:E263)</f>
        <v>211</v>
      </c>
      <c r="F264" s="13">
        <f t="shared" si="52"/>
        <v>219</v>
      </c>
      <c r="G264" s="13">
        <f t="shared" si="52"/>
        <v>192</v>
      </c>
      <c r="H264" s="13">
        <f t="shared" si="52"/>
        <v>205</v>
      </c>
      <c r="I264" s="13">
        <f t="shared" si="52"/>
        <v>222</v>
      </c>
      <c r="J264" s="13">
        <f t="shared" si="52"/>
        <v>220</v>
      </c>
      <c r="K264" s="13">
        <f t="shared" si="52"/>
        <v>243</v>
      </c>
      <c r="L264" s="13">
        <f t="shared" si="52"/>
        <v>212</v>
      </c>
      <c r="M264" s="13">
        <f t="shared" si="52"/>
        <v>217</v>
      </c>
      <c r="N264" s="13">
        <f t="shared" si="52"/>
        <v>218</v>
      </c>
      <c r="O264" s="13">
        <f t="shared" si="52"/>
        <v>222</v>
      </c>
      <c r="P264" s="13">
        <f t="shared" si="52"/>
        <v>231</v>
      </c>
      <c r="Q264" s="13">
        <f t="shared" si="52"/>
        <v>227</v>
      </c>
      <c r="R264" s="13">
        <f t="shared" si="52"/>
        <v>225</v>
      </c>
      <c r="S264" s="13">
        <f t="shared" si="52"/>
        <v>246</v>
      </c>
      <c r="T264" s="13">
        <f t="shared" si="51"/>
        <v>3310</v>
      </c>
    </row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93">
    <mergeCell ref="B55:D55"/>
    <mergeCell ref="A56:E56"/>
    <mergeCell ref="C57:D57"/>
    <mergeCell ref="B67:D67"/>
    <mergeCell ref="A68:E68"/>
    <mergeCell ref="C69:D69"/>
    <mergeCell ref="B79:D79"/>
    <mergeCell ref="A80:E80"/>
    <mergeCell ref="C81:D81"/>
    <mergeCell ref="B91:D91"/>
    <mergeCell ref="A92:E92"/>
    <mergeCell ref="C93:D93"/>
    <mergeCell ref="B103:D103"/>
    <mergeCell ref="A104:E104"/>
    <mergeCell ref="B127:D127"/>
    <mergeCell ref="A128:E128"/>
    <mergeCell ref="C129:D129"/>
    <mergeCell ref="B139:D139"/>
    <mergeCell ref="A140:E140"/>
    <mergeCell ref="C141:D141"/>
    <mergeCell ref="B151:D151"/>
    <mergeCell ref="A152:E152"/>
    <mergeCell ref="C153:D153"/>
    <mergeCell ref="B163:D163"/>
    <mergeCell ref="A164:E164"/>
    <mergeCell ref="C165:D165"/>
    <mergeCell ref="B175:D175"/>
    <mergeCell ref="A176:E176"/>
    <mergeCell ref="C177:D177"/>
    <mergeCell ref="B187:D187"/>
    <mergeCell ref="A188:E188"/>
    <mergeCell ref="C189:D189"/>
    <mergeCell ref="B199:D199"/>
    <mergeCell ref="A200:E200"/>
    <mergeCell ref="C201:D201"/>
    <mergeCell ref="B211:D211"/>
    <mergeCell ref="A212:E212"/>
    <mergeCell ref="C213:D213"/>
    <mergeCell ref="B223:D223"/>
    <mergeCell ref="A224:E224"/>
    <mergeCell ref="C225:D225"/>
    <mergeCell ref="B235:D235"/>
    <mergeCell ref="C262:D262"/>
    <mergeCell ref="C263:D263"/>
    <mergeCell ref="C264:D264"/>
    <mergeCell ref="A236:E236"/>
    <mergeCell ref="C237:D237"/>
    <mergeCell ref="B247:D247"/>
    <mergeCell ref="A248:E248"/>
    <mergeCell ref="C249:D249"/>
    <mergeCell ref="B259:D259"/>
    <mergeCell ref="B261:D261"/>
    <mergeCell ref="B12:D12"/>
    <mergeCell ref="E12:S12"/>
    <mergeCell ref="T12:T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B38:D38"/>
    <mergeCell ref="B39:C41"/>
    <mergeCell ref="A42:D42"/>
    <mergeCell ref="E42:I42"/>
    <mergeCell ref="B43:D43"/>
    <mergeCell ref="A44:D44"/>
    <mergeCell ref="C45:D45"/>
    <mergeCell ref="C46:D46"/>
    <mergeCell ref="C47:D47"/>
    <mergeCell ref="C48:D48"/>
    <mergeCell ref="C49:D49"/>
    <mergeCell ref="C50:D50"/>
    <mergeCell ref="C51:D51"/>
    <mergeCell ref="C52:D52"/>
    <mergeCell ref="C105:D105"/>
    <mergeCell ref="B115:D115"/>
    <mergeCell ref="A116:E116"/>
    <mergeCell ref="C117:D117"/>
  </mergeCells>
  <conditionalFormatting sqref="E14:S15">
    <cfRule type="containsBlanks" dxfId="1" priority="1">
      <formula>LEN(TRIM(E14))=0</formula>
    </cfRule>
  </conditionalFormatting>
  <conditionalFormatting sqref="E19:S20">
    <cfRule type="containsBlanks" dxfId="1" priority="2">
      <formula>LEN(TRIM(E19))=0</formula>
    </cfRule>
  </conditionalFormatting>
  <conditionalFormatting sqref="E22:S23 E25:S26 E33:S33 E35:S35 E39:S40">
    <cfRule type="containsBlanks" dxfId="1" priority="3">
      <formula>LEN(TRIM(E22))=0</formula>
    </cfRule>
  </conditionalFormatting>
  <conditionalFormatting sqref="E30:S30">
    <cfRule type="expression" dxfId="0" priority="4">
      <formula>E30&lt;&gt;E47</formula>
    </cfRule>
  </conditionalFormatting>
  <conditionalFormatting sqref="E30:S30">
    <cfRule type="expression" dxfId="0" priority="5">
      <formula>E30&lt;&gt;E34</formula>
    </cfRule>
  </conditionalFormatting>
  <conditionalFormatting sqref="E34:S34">
    <cfRule type="expression" dxfId="2" priority="6">
      <formula>E30&lt;&gt;E34</formula>
    </cfRule>
  </conditionalFormatting>
  <conditionalFormatting sqref="E34:S34">
    <cfRule type="expression" dxfId="3" priority="7">
      <formula>E30=E34</formula>
    </cfRule>
  </conditionalFormatting>
  <conditionalFormatting sqref="E34:S34">
    <cfRule type="expression" dxfId="0" priority="8">
      <formula>E34&lt;&gt;E30</formula>
    </cfRule>
  </conditionalFormatting>
  <conditionalFormatting sqref="E34:S34">
    <cfRule type="expression" dxfId="0" priority="9">
      <formula>E34&lt;&gt;E64</formula>
    </cfRule>
  </conditionalFormatting>
  <conditionalFormatting sqref="E45:S54">
    <cfRule type="containsBlanks" dxfId="1" priority="10">
      <formula>LEN(TRIM(E45))=0</formula>
    </cfRule>
  </conditionalFormatting>
  <conditionalFormatting sqref="E57:S66">
    <cfRule type="containsBlanks" dxfId="1" priority="11">
      <formula>LEN(TRIM(E57))=0</formula>
    </cfRule>
  </conditionalFormatting>
  <conditionalFormatting sqref="E69:S78">
    <cfRule type="containsBlanks" dxfId="1" priority="12">
      <formula>LEN(TRIM(E69))=0</formula>
    </cfRule>
  </conditionalFormatting>
  <conditionalFormatting sqref="E81:S90">
    <cfRule type="containsBlanks" dxfId="1" priority="13">
      <formula>LEN(TRIM(E81))=0</formula>
    </cfRule>
  </conditionalFormatting>
  <conditionalFormatting sqref="E93:S102">
    <cfRule type="containsBlanks" dxfId="1" priority="14">
      <formula>LEN(TRIM(E93))=0</formula>
    </cfRule>
  </conditionalFormatting>
  <conditionalFormatting sqref="E105:S114">
    <cfRule type="containsBlanks" dxfId="1" priority="15">
      <formula>LEN(TRIM(E105))=0</formula>
    </cfRule>
  </conditionalFormatting>
  <conditionalFormatting sqref="E117:S126">
    <cfRule type="containsBlanks" dxfId="1" priority="16">
      <formula>LEN(TRIM(E117))=0</formula>
    </cfRule>
  </conditionalFormatting>
  <conditionalFormatting sqref="E129:S138">
    <cfRule type="containsBlanks" dxfId="1" priority="17">
      <formula>LEN(TRIM(E129))=0</formula>
    </cfRule>
  </conditionalFormatting>
  <conditionalFormatting sqref="E141:S150">
    <cfRule type="containsBlanks" dxfId="1" priority="18">
      <formula>LEN(TRIM(E141))=0</formula>
    </cfRule>
  </conditionalFormatting>
  <conditionalFormatting sqref="E153:S162">
    <cfRule type="containsBlanks" dxfId="1" priority="19">
      <formula>LEN(TRIM(E153))=0</formula>
    </cfRule>
  </conditionalFormatting>
  <conditionalFormatting sqref="E165:S174">
    <cfRule type="containsBlanks" dxfId="1" priority="20">
      <formula>LEN(TRIM(E165))=0</formula>
    </cfRule>
  </conditionalFormatting>
  <conditionalFormatting sqref="E177:S186">
    <cfRule type="containsBlanks" dxfId="1" priority="21">
      <formula>LEN(TRIM(E177))=0</formula>
    </cfRule>
  </conditionalFormatting>
  <conditionalFormatting sqref="E189:S198">
    <cfRule type="containsBlanks" dxfId="1" priority="22">
      <formula>LEN(TRIM(E189))=0</formula>
    </cfRule>
  </conditionalFormatting>
  <conditionalFormatting sqref="E201:S210">
    <cfRule type="containsBlanks" dxfId="1" priority="23">
      <formula>LEN(TRIM(E201))=0</formula>
    </cfRule>
  </conditionalFormatting>
  <conditionalFormatting sqref="E213:S222">
    <cfRule type="containsBlanks" dxfId="1" priority="24">
      <formula>LEN(TRIM(E213))=0</formula>
    </cfRule>
  </conditionalFormatting>
  <conditionalFormatting sqref="E225:S234">
    <cfRule type="containsBlanks" dxfId="1" priority="25">
      <formula>LEN(TRIM(E225))=0</formula>
    </cfRule>
  </conditionalFormatting>
  <conditionalFormatting sqref="E237:S246">
    <cfRule type="containsBlanks" dxfId="1" priority="26">
      <formula>LEN(TRIM(E237))=0</formula>
    </cfRule>
  </conditionalFormatting>
  <conditionalFormatting sqref="E249:S258">
    <cfRule type="containsBlanks" dxfId="1" priority="27">
      <formula>LEN(TRIM(E249))=0</formula>
    </cfRule>
  </conditionalFormatting>
  <conditionalFormatting sqref="E262:S263">
    <cfRule type="containsBlanks" dxfId="1" priority="28">
      <formula>LEN(TRIM(E262))=0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20" width="8.71"/>
    <col customWidth="1" min="21" max="21" width="13.29"/>
    <col customWidth="1" min="22" max="26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198</v>
      </c>
      <c r="D9" s="8" t="s">
        <v>237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75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200</v>
      </c>
      <c r="F13" s="13" t="s">
        <v>201</v>
      </c>
      <c r="G13" s="13" t="s">
        <v>202</v>
      </c>
      <c r="H13" s="13" t="s">
        <v>203</v>
      </c>
      <c r="I13" s="13" t="s">
        <v>204</v>
      </c>
      <c r="J13" s="13" t="s">
        <v>205</v>
      </c>
      <c r="K13" s="13" t="s">
        <v>206</v>
      </c>
      <c r="L13" s="13" t="s">
        <v>207</v>
      </c>
      <c r="M13" s="13" t="s">
        <v>208</v>
      </c>
      <c r="N13" s="13" t="s">
        <v>209</v>
      </c>
      <c r="O13" s="13" t="s">
        <v>210</v>
      </c>
      <c r="P13" s="13" t="s">
        <v>211</v>
      </c>
      <c r="Q13" s="13" t="s">
        <v>212</v>
      </c>
      <c r="R13" s="13" t="s">
        <v>213</v>
      </c>
      <c r="S13" s="13" t="s">
        <v>214</v>
      </c>
      <c r="T13" s="13" t="s">
        <v>215</v>
      </c>
      <c r="U13" s="36"/>
    </row>
    <row r="14" ht="12.75" customHeight="1">
      <c r="A14" s="18"/>
      <c r="B14" s="22" t="s">
        <v>11</v>
      </c>
      <c r="C14" s="23"/>
      <c r="D14" s="19" t="s">
        <v>12</v>
      </c>
      <c r="E14" s="19">
        <v>137.0</v>
      </c>
      <c r="F14" s="19">
        <v>130.0</v>
      </c>
      <c r="G14" s="19">
        <v>151.0</v>
      </c>
      <c r="H14" s="19">
        <v>129.0</v>
      </c>
      <c r="I14" s="19">
        <v>134.0</v>
      </c>
      <c r="J14" s="19">
        <v>151.0</v>
      </c>
      <c r="K14" s="19">
        <v>141.0</v>
      </c>
      <c r="L14" s="19">
        <v>120.0</v>
      </c>
      <c r="M14" s="19">
        <v>133.0</v>
      </c>
      <c r="N14" s="19">
        <v>121.0</v>
      </c>
      <c r="O14" s="19">
        <v>141.0</v>
      </c>
      <c r="P14" s="19">
        <v>144.0</v>
      </c>
      <c r="Q14" s="19">
        <v>148.0</v>
      </c>
      <c r="R14" s="19">
        <v>149.0</v>
      </c>
      <c r="S14" s="19">
        <v>130.0</v>
      </c>
      <c r="T14" s="19">
        <v>94.0</v>
      </c>
      <c r="U14" s="13">
        <f t="shared" ref="U14:U16" si="1">SUM(E14:T14)</f>
        <v>2153</v>
      </c>
    </row>
    <row r="15" ht="12.75" customHeight="1">
      <c r="A15" s="18"/>
      <c r="B15" s="26"/>
      <c r="C15" s="27"/>
      <c r="D15" s="19" t="s">
        <v>13</v>
      </c>
      <c r="E15" s="19">
        <v>138.0</v>
      </c>
      <c r="F15" s="19">
        <v>132.0</v>
      </c>
      <c r="G15" s="19">
        <v>139.0</v>
      </c>
      <c r="H15" s="19">
        <v>125.0</v>
      </c>
      <c r="I15" s="19">
        <v>157.0</v>
      </c>
      <c r="J15" s="19">
        <v>135.0</v>
      </c>
      <c r="K15" s="19">
        <v>134.0</v>
      </c>
      <c r="L15" s="19">
        <v>113.0</v>
      </c>
      <c r="M15" s="19">
        <v>136.0</v>
      </c>
      <c r="N15" s="19">
        <v>126.0</v>
      </c>
      <c r="O15" s="19">
        <v>146.0</v>
      </c>
      <c r="P15" s="19">
        <v>143.0</v>
      </c>
      <c r="Q15" s="19">
        <v>138.0</v>
      </c>
      <c r="R15" s="19">
        <v>146.0</v>
      </c>
      <c r="S15" s="19">
        <v>122.0</v>
      </c>
      <c r="T15" s="19">
        <v>89.0</v>
      </c>
      <c r="U15" s="13">
        <f t="shared" si="1"/>
        <v>2119</v>
      </c>
    </row>
    <row r="16" ht="12.75" customHeight="1">
      <c r="A16" s="25"/>
      <c r="B16" s="21"/>
      <c r="C16" s="28"/>
      <c r="D16" s="13" t="s">
        <v>14</v>
      </c>
      <c r="E16" s="13">
        <f t="shared" ref="E16:T16" si="2">SUM(E14:E15)</f>
        <v>275</v>
      </c>
      <c r="F16" s="13">
        <f t="shared" si="2"/>
        <v>262</v>
      </c>
      <c r="G16" s="13">
        <f t="shared" si="2"/>
        <v>290</v>
      </c>
      <c r="H16" s="13">
        <f t="shared" si="2"/>
        <v>254</v>
      </c>
      <c r="I16" s="13">
        <f t="shared" si="2"/>
        <v>291</v>
      </c>
      <c r="J16" s="13">
        <f t="shared" si="2"/>
        <v>286</v>
      </c>
      <c r="K16" s="13">
        <f t="shared" si="2"/>
        <v>275</v>
      </c>
      <c r="L16" s="13">
        <f t="shared" si="2"/>
        <v>233</v>
      </c>
      <c r="M16" s="13">
        <f t="shared" si="2"/>
        <v>269</v>
      </c>
      <c r="N16" s="13">
        <f t="shared" si="2"/>
        <v>247</v>
      </c>
      <c r="O16" s="13">
        <f t="shared" si="2"/>
        <v>287</v>
      </c>
      <c r="P16" s="13">
        <f t="shared" si="2"/>
        <v>287</v>
      </c>
      <c r="Q16" s="13">
        <f t="shared" si="2"/>
        <v>286</v>
      </c>
      <c r="R16" s="13">
        <f t="shared" si="2"/>
        <v>295</v>
      </c>
      <c r="S16" s="13">
        <f t="shared" si="2"/>
        <v>252</v>
      </c>
      <c r="T16" s="13">
        <f t="shared" si="2"/>
        <v>183</v>
      </c>
      <c r="U16" s="13">
        <f t="shared" si="1"/>
        <v>4272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76"/>
      <c r="O17" s="76"/>
      <c r="P17" s="76"/>
      <c r="Q17" s="76"/>
      <c r="R17" s="76"/>
      <c r="S17" s="76"/>
      <c r="T17" s="76"/>
      <c r="U17" s="77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76"/>
      <c r="O18" s="76"/>
      <c r="P18" s="76"/>
      <c r="Q18" s="76"/>
      <c r="R18" s="76"/>
      <c r="S18" s="76"/>
      <c r="T18" s="76"/>
      <c r="U18" s="77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19">
        <v>111.0</v>
      </c>
      <c r="F19" s="19">
        <v>98.0</v>
      </c>
      <c r="G19" s="19">
        <v>131.0</v>
      </c>
      <c r="H19" s="19">
        <v>96.0</v>
      </c>
      <c r="I19" s="19">
        <v>95.0</v>
      </c>
      <c r="J19" s="19">
        <v>122.0</v>
      </c>
      <c r="K19" s="19">
        <v>103.0</v>
      </c>
      <c r="L19" s="19">
        <v>85.0</v>
      </c>
      <c r="M19" s="19">
        <v>92.0</v>
      </c>
      <c r="N19" s="19">
        <v>85.0</v>
      </c>
      <c r="O19" s="19">
        <v>89.0</v>
      </c>
      <c r="P19" s="19">
        <v>107.0</v>
      </c>
      <c r="Q19" s="19">
        <v>106.0</v>
      </c>
      <c r="R19" s="19">
        <v>109.0</v>
      </c>
      <c r="S19" s="19">
        <v>93.0</v>
      </c>
      <c r="T19" s="19">
        <v>73.0</v>
      </c>
      <c r="U19" s="13">
        <f t="shared" ref="U19:U30" si="3">SUM(E19:T19)</f>
        <v>1595</v>
      </c>
    </row>
    <row r="20" ht="12.75" customHeight="1">
      <c r="A20" s="33"/>
      <c r="B20" s="27"/>
      <c r="C20" s="34"/>
      <c r="D20" s="19" t="s">
        <v>13</v>
      </c>
      <c r="E20" s="19">
        <v>114.0</v>
      </c>
      <c r="F20" s="19">
        <v>112.0</v>
      </c>
      <c r="G20" s="19">
        <v>123.0</v>
      </c>
      <c r="H20" s="19">
        <v>94.0</v>
      </c>
      <c r="I20" s="19">
        <v>115.0</v>
      </c>
      <c r="J20" s="19">
        <v>118.0</v>
      </c>
      <c r="K20" s="19">
        <v>109.0</v>
      </c>
      <c r="L20" s="19">
        <v>94.0</v>
      </c>
      <c r="M20" s="19">
        <v>104.0</v>
      </c>
      <c r="N20" s="19">
        <v>103.0</v>
      </c>
      <c r="O20" s="19">
        <v>117.0</v>
      </c>
      <c r="P20" s="19">
        <v>126.0</v>
      </c>
      <c r="Q20" s="19">
        <v>97.0</v>
      </c>
      <c r="R20" s="19">
        <v>120.0</v>
      </c>
      <c r="S20" s="19">
        <v>103.0</v>
      </c>
      <c r="T20" s="19">
        <v>72.0</v>
      </c>
      <c r="U20" s="13">
        <f t="shared" si="3"/>
        <v>1721</v>
      </c>
    </row>
    <row r="21" ht="12.75" customHeight="1">
      <c r="A21" s="35"/>
      <c r="B21" s="28"/>
      <c r="C21" s="36"/>
      <c r="D21" s="13" t="s">
        <v>14</v>
      </c>
      <c r="E21" s="13">
        <f t="shared" ref="E21:T21" si="4">SUM(E19:E20)</f>
        <v>225</v>
      </c>
      <c r="F21" s="13">
        <f t="shared" si="4"/>
        <v>210</v>
      </c>
      <c r="G21" s="13">
        <f t="shared" si="4"/>
        <v>254</v>
      </c>
      <c r="H21" s="13">
        <f t="shared" si="4"/>
        <v>190</v>
      </c>
      <c r="I21" s="13">
        <f t="shared" si="4"/>
        <v>210</v>
      </c>
      <c r="J21" s="13">
        <f t="shared" si="4"/>
        <v>240</v>
      </c>
      <c r="K21" s="13">
        <f t="shared" si="4"/>
        <v>212</v>
      </c>
      <c r="L21" s="13">
        <f t="shared" si="4"/>
        <v>179</v>
      </c>
      <c r="M21" s="13">
        <f t="shared" si="4"/>
        <v>196</v>
      </c>
      <c r="N21" s="13">
        <f t="shared" si="4"/>
        <v>188</v>
      </c>
      <c r="O21" s="13">
        <f t="shared" si="4"/>
        <v>206</v>
      </c>
      <c r="P21" s="13">
        <f t="shared" si="4"/>
        <v>233</v>
      </c>
      <c r="Q21" s="13">
        <f t="shared" si="4"/>
        <v>203</v>
      </c>
      <c r="R21" s="13">
        <f t="shared" si="4"/>
        <v>229</v>
      </c>
      <c r="S21" s="13">
        <f t="shared" si="4"/>
        <v>196</v>
      </c>
      <c r="T21" s="13">
        <f t="shared" si="4"/>
        <v>145</v>
      </c>
      <c r="U21" s="13">
        <f t="shared" si="3"/>
        <v>3316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19">
        <v>0.0</v>
      </c>
      <c r="F22" s="19">
        <v>0.0</v>
      </c>
      <c r="G22" s="19">
        <v>0.0</v>
      </c>
      <c r="H22" s="19">
        <v>0.0</v>
      </c>
      <c r="I22" s="19">
        <v>1.0</v>
      </c>
      <c r="J22" s="19">
        <v>0.0</v>
      </c>
      <c r="K22" s="19">
        <v>0.0</v>
      </c>
      <c r="L22" s="19">
        <v>0.0</v>
      </c>
      <c r="M22" s="19">
        <v>0.0</v>
      </c>
      <c r="N22" s="19">
        <v>0.0</v>
      </c>
      <c r="O22" s="19">
        <v>0.0</v>
      </c>
      <c r="P22" s="19">
        <v>0.0</v>
      </c>
      <c r="Q22" s="19">
        <v>0.0</v>
      </c>
      <c r="R22" s="19">
        <v>1.0</v>
      </c>
      <c r="S22" s="19">
        <v>0.0</v>
      </c>
      <c r="T22" s="19">
        <v>0.0</v>
      </c>
      <c r="U22" s="13">
        <f t="shared" si="3"/>
        <v>2</v>
      </c>
    </row>
    <row r="23" ht="12.75" customHeight="1">
      <c r="A23" s="33"/>
      <c r="B23" s="27"/>
      <c r="C23" s="34"/>
      <c r="D23" s="19" t="s">
        <v>13</v>
      </c>
      <c r="E23" s="19">
        <v>0.0</v>
      </c>
      <c r="F23" s="19">
        <v>0.0</v>
      </c>
      <c r="G23" s="19">
        <v>0.0</v>
      </c>
      <c r="H23" s="19">
        <v>0.0</v>
      </c>
      <c r="I23" s="19">
        <v>0.0</v>
      </c>
      <c r="J23" s="19">
        <v>0.0</v>
      </c>
      <c r="K23" s="19">
        <v>0.0</v>
      </c>
      <c r="L23" s="19">
        <v>0.0</v>
      </c>
      <c r="M23" s="19">
        <v>0.0</v>
      </c>
      <c r="N23" s="19">
        <v>0.0</v>
      </c>
      <c r="O23" s="19">
        <v>0.0</v>
      </c>
      <c r="P23" s="19">
        <v>0.0</v>
      </c>
      <c r="Q23" s="19">
        <v>0.0</v>
      </c>
      <c r="R23" s="19">
        <v>0.0</v>
      </c>
      <c r="S23" s="19">
        <v>1.0</v>
      </c>
      <c r="T23" s="19">
        <v>1.0</v>
      </c>
      <c r="U23" s="13">
        <f t="shared" si="3"/>
        <v>2</v>
      </c>
    </row>
    <row r="24" ht="12.75" customHeight="1">
      <c r="A24" s="35"/>
      <c r="B24" s="28"/>
      <c r="C24" s="36"/>
      <c r="D24" s="13" t="s">
        <v>14</v>
      </c>
      <c r="E24" s="13">
        <f t="shared" ref="E24:T24" si="5">SUM(E22:E23)</f>
        <v>0</v>
      </c>
      <c r="F24" s="13">
        <f t="shared" si="5"/>
        <v>0</v>
      </c>
      <c r="G24" s="13">
        <f t="shared" si="5"/>
        <v>0</v>
      </c>
      <c r="H24" s="13">
        <f t="shared" si="5"/>
        <v>0</v>
      </c>
      <c r="I24" s="13">
        <f t="shared" si="5"/>
        <v>1</v>
      </c>
      <c r="J24" s="13">
        <f t="shared" si="5"/>
        <v>0</v>
      </c>
      <c r="K24" s="13">
        <f t="shared" si="5"/>
        <v>0</v>
      </c>
      <c r="L24" s="13">
        <f t="shared" si="5"/>
        <v>0</v>
      </c>
      <c r="M24" s="13">
        <f t="shared" si="5"/>
        <v>0</v>
      </c>
      <c r="N24" s="13">
        <f t="shared" si="5"/>
        <v>0</v>
      </c>
      <c r="O24" s="13">
        <f t="shared" si="5"/>
        <v>0</v>
      </c>
      <c r="P24" s="13">
        <f t="shared" si="5"/>
        <v>0</v>
      </c>
      <c r="Q24" s="13">
        <f t="shared" si="5"/>
        <v>0</v>
      </c>
      <c r="R24" s="13">
        <f t="shared" si="5"/>
        <v>1</v>
      </c>
      <c r="S24" s="13">
        <f t="shared" si="5"/>
        <v>1</v>
      </c>
      <c r="T24" s="13">
        <f t="shared" si="5"/>
        <v>1</v>
      </c>
      <c r="U24" s="13">
        <f t="shared" si="3"/>
        <v>4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19">
        <v>0.0</v>
      </c>
      <c r="F25" s="19">
        <v>3.0</v>
      </c>
      <c r="G25" s="19">
        <v>0.0</v>
      </c>
      <c r="H25" s="19">
        <v>1.0</v>
      </c>
      <c r="I25" s="19">
        <v>1.0</v>
      </c>
      <c r="J25" s="19">
        <v>0.0</v>
      </c>
      <c r="K25" s="19">
        <v>2.0</v>
      </c>
      <c r="L25" s="19">
        <v>1.0</v>
      </c>
      <c r="M25" s="19">
        <v>0.0</v>
      </c>
      <c r="N25" s="19">
        <v>1.0</v>
      </c>
      <c r="O25" s="19">
        <v>0.0</v>
      </c>
      <c r="P25" s="19">
        <v>0.0</v>
      </c>
      <c r="Q25" s="19">
        <v>0.0</v>
      </c>
      <c r="R25" s="19">
        <v>0.0</v>
      </c>
      <c r="S25" s="19">
        <v>1.0</v>
      </c>
      <c r="T25" s="19">
        <v>0.0</v>
      </c>
      <c r="U25" s="13">
        <f t="shared" si="3"/>
        <v>10</v>
      </c>
    </row>
    <row r="26" ht="12.75" customHeight="1">
      <c r="A26" s="33"/>
      <c r="B26" s="27"/>
      <c r="C26" s="34"/>
      <c r="D26" s="19" t="s">
        <v>13</v>
      </c>
      <c r="E26" s="19">
        <v>0.0</v>
      </c>
      <c r="F26" s="19">
        <v>2.0</v>
      </c>
      <c r="G26" s="19">
        <v>0.0</v>
      </c>
      <c r="H26" s="19">
        <v>2.0</v>
      </c>
      <c r="I26" s="19">
        <v>3.0</v>
      </c>
      <c r="J26" s="19">
        <v>0.0</v>
      </c>
      <c r="K26" s="19">
        <v>3.0</v>
      </c>
      <c r="L26" s="19">
        <v>0.0</v>
      </c>
      <c r="M26" s="19">
        <v>0.0</v>
      </c>
      <c r="N26" s="19">
        <v>1.0</v>
      </c>
      <c r="O26" s="19">
        <v>0.0</v>
      </c>
      <c r="P26" s="19">
        <v>0.0</v>
      </c>
      <c r="Q26" s="19">
        <v>0.0</v>
      </c>
      <c r="R26" s="19">
        <v>0.0</v>
      </c>
      <c r="S26" s="19">
        <v>2.0</v>
      </c>
      <c r="T26" s="19">
        <v>0.0</v>
      </c>
      <c r="U26" s="13">
        <f t="shared" si="3"/>
        <v>13</v>
      </c>
    </row>
    <row r="27" ht="12.75" customHeight="1">
      <c r="A27" s="35"/>
      <c r="B27" s="28"/>
      <c r="C27" s="36"/>
      <c r="D27" s="13" t="s">
        <v>14</v>
      </c>
      <c r="E27" s="13">
        <f t="shared" ref="E27:T27" si="6">SUM(E25:E26)</f>
        <v>0</v>
      </c>
      <c r="F27" s="13">
        <f t="shared" si="6"/>
        <v>5</v>
      </c>
      <c r="G27" s="13">
        <f t="shared" si="6"/>
        <v>0</v>
      </c>
      <c r="H27" s="13">
        <f t="shared" si="6"/>
        <v>3</v>
      </c>
      <c r="I27" s="13">
        <f t="shared" si="6"/>
        <v>4</v>
      </c>
      <c r="J27" s="13">
        <f t="shared" si="6"/>
        <v>0</v>
      </c>
      <c r="K27" s="13">
        <f t="shared" si="6"/>
        <v>5</v>
      </c>
      <c r="L27" s="13">
        <f t="shared" si="6"/>
        <v>1</v>
      </c>
      <c r="M27" s="13">
        <f t="shared" si="6"/>
        <v>0</v>
      </c>
      <c r="N27" s="13">
        <f t="shared" si="6"/>
        <v>2</v>
      </c>
      <c r="O27" s="13">
        <f t="shared" si="6"/>
        <v>0</v>
      </c>
      <c r="P27" s="13">
        <f t="shared" si="6"/>
        <v>0</v>
      </c>
      <c r="Q27" s="13">
        <f t="shared" si="6"/>
        <v>0</v>
      </c>
      <c r="R27" s="13">
        <f t="shared" si="6"/>
        <v>0</v>
      </c>
      <c r="S27" s="13">
        <f t="shared" si="6"/>
        <v>3</v>
      </c>
      <c r="T27" s="13">
        <f t="shared" si="6"/>
        <v>0</v>
      </c>
      <c r="U27" s="13">
        <f t="shared" si="3"/>
        <v>23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T28" si="7">SUM(E19,E22,E25)</f>
        <v>111</v>
      </c>
      <c r="F28" s="13">
        <f t="shared" si="7"/>
        <v>101</v>
      </c>
      <c r="G28" s="13">
        <f t="shared" si="7"/>
        <v>131</v>
      </c>
      <c r="H28" s="13">
        <f t="shared" si="7"/>
        <v>97</v>
      </c>
      <c r="I28" s="13">
        <f t="shared" si="7"/>
        <v>97</v>
      </c>
      <c r="J28" s="13">
        <f t="shared" si="7"/>
        <v>122</v>
      </c>
      <c r="K28" s="13">
        <f t="shared" si="7"/>
        <v>105</v>
      </c>
      <c r="L28" s="13">
        <f t="shared" si="7"/>
        <v>86</v>
      </c>
      <c r="M28" s="13">
        <f t="shared" si="7"/>
        <v>92</v>
      </c>
      <c r="N28" s="13">
        <f t="shared" si="7"/>
        <v>86</v>
      </c>
      <c r="O28" s="13">
        <f t="shared" si="7"/>
        <v>89</v>
      </c>
      <c r="P28" s="13">
        <f t="shared" si="7"/>
        <v>107</v>
      </c>
      <c r="Q28" s="13">
        <f t="shared" si="7"/>
        <v>106</v>
      </c>
      <c r="R28" s="13">
        <f t="shared" si="7"/>
        <v>110</v>
      </c>
      <c r="S28" s="13">
        <f t="shared" si="7"/>
        <v>94</v>
      </c>
      <c r="T28" s="13">
        <f t="shared" si="7"/>
        <v>73</v>
      </c>
      <c r="U28" s="13">
        <f t="shared" si="3"/>
        <v>1607</v>
      </c>
    </row>
    <row r="29" ht="12.75" customHeight="1">
      <c r="A29" s="35"/>
      <c r="B29" s="27"/>
      <c r="C29" s="34"/>
      <c r="D29" s="13" t="s">
        <v>13</v>
      </c>
      <c r="E29" s="13">
        <f t="shared" ref="E29:T29" si="8">SUM(E20,E23,E26)</f>
        <v>114</v>
      </c>
      <c r="F29" s="13">
        <f t="shared" si="8"/>
        <v>114</v>
      </c>
      <c r="G29" s="13">
        <f t="shared" si="8"/>
        <v>123</v>
      </c>
      <c r="H29" s="13">
        <f t="shared" si="8"/>
        <v>96</v>
      </c>
      <c r="I29" s="13">
        <f t="shared" si="8"/>
        <v>118</v>
      </c>
      <c r="J29" s="13">
        <f t="shared" si="8"/>
        <v>118</v>
      </c>
      <c r="K29" s="13">
        <f t="shared" si="8"/>
        <v>112</v>
      </c>
      <c r="L29" s="13">
        <f t="shared" si="8"/>
        <v>94</v>
      </c>
      <c r="M29" s="13">
        <f t="shared" si="8"/>
        <v>104</v>
      </c>
      <c r="N29" s="13">
        <f t="shared" si="8"/>
        <v>104</v>
      </c>
      <c r="O29" s="13">
        <f t="shared" si="8"/>
        <v>117</v>
      </c>
      <c r="P29" s="13">
        <f t="shared" si="8"/>
        <v>126</v>
      </c>
      <c r="Q29" s="13">
        <f t="shared" si="8"/>
        <v>97</v>
      </c>
      <c r="R29" s="13">
        <f t="shared" si="8"/>
        <v>120</v>
      </c>
      <c r="S29" s="13">
        <f t="shared" si="8"/>
        <v>106</v>
      </c>
      <c r="T29" s="13">
        <f t="shared" si="8"/>
        <v>73</v>
      </c>
      <c r="U29" s="13">
        <f t="shared" si="3"/>
        <v>1736</v>
      </c>
    </row>
    <row r="30" ht="12.75" customHeight="1">
      <c r="A30" s="35"/>
      <c r="B30" s="28"/>
      <c r="C30" s="36"/>
      <c r="D30" s="13" t="s">
        <v>14</v>
      </c>
      <c r="E30" s="13">
        <f t="shared" ref="E30:T30" si="9">SUM(E28:E29)</f>
        <v>225</v>
      </c>
      <c r="F30" s="13">
        <f t="shared" si="9"/>
        <v>215</v>
      </c>
      <c r="G30" s="13">
        <f t="shared" si="9"/>
        <v>254</v>
      </c>
      <c r="H30" s="13">
        <f t="shared" si="9"/>
        <v>193</v>
      </c>
      <c r="I30" s="13">
        <f t="shared" si="9"/>
        <v>215</v>
      </c>
      <c r="J30" s="13">
        <f t="shared" si="9"/>
        <v>240</v>
      </c>
      <c r="K30" s="13">
        <f t="shared" si="9"/>
        <v>217</v>
      </c>
      <c r="L30" s="13">
        <f t="shared" si="9"/>
        <v>180</v>
      </c>
      <c r="M30" s="13">
        <f t="shared" si="9"/>
        <v>196</v>
      </c>
      <c r="N30" s="13">
        <f t="shared" si="9"/>
        <v>190</v>
      </c>
      <c r="O30" s="13">
        <f t="shared" si="9"/>
        <v>206</v>
      </c>
      <c r="P30" s="13">
        <f t="shared" si="9"/>
        <v>233</v>
      </c>
      <c r="Q30" s="13">
        <f t="shared" si="9"/>
        <v>203</v>
      </c>
      <c r="R30" s="13">
        <f t="shared" si="9"/>
        <v>230</v>
      </c>
      <c r="S30" s="13">
        <f t="shared" si="9"/>
        <v>200</v>
      </c>
      <c r="T30" s="13">
        <f t="shared" si="9"/>
        <v>146</v>
      </c>
      <c r="U30" s="13">
        <f t="shared" si="3"/>
        <v>3343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76"/>
      <c r="O31" s="76"/>
      <c r="P31" s="76"/>
      <c r="Q31" s="76"/>
      <c r="R31" s="76"/>
      <c r="S31" s="76"/>
      <c r="T31" s="76"/>
      <c r="U31" s="77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78"/>
      <c r="O32" s="78"/>
      <c r="P32" s="78"/>
      <c r="Q32" s="78"/>
      <c r="R32" s="78"/>
      <c r="S32" s="78"/>
      <c r="T32" s="78"/>
      <c r="U32" s="77"/>
    </row>
    <row r="33" ht="12.75" customHeight="1">
      <c r="A33" s="19">
        <v>1.0</v>
      </c>
      <c r="B33" s="20" t="s">
        <v>27</v>
      </c>
      <c r="C33" s="15"/>
      <c r="D33" s="16"/>
      <c r="E33" s="19">
        <v>280.0</v>
      </c>
      <c r="F33" s="19">
        <v>267.0</v>
      </c>
      <c r="G33" s="19">
        <v>295.0</v>
      </c>
      <c r="H33" s="19">
        <v>259.0</v>
      </c>
      <c r="I33" s="19">
        <v>297.0</v>
      </c>
      <c r="J33" s="19">
        <v>291.0</v>
      </c>
      <c r="K33" s="19">
        <v>273.0</v>
      </c>
      <c r="L33" s="19">
        <v>241.0</v>
      </c>
      <c r="M33" s="19">
        <v>273.0</v>
      </c>
      <c r="N33" s="19">
        <v>252.0</v>
      </c>
      <c r="O33" s="19">
        <v>292.0</v>
      </c>
      <c r="P33" s="19">
        <v>282.0</v>
      </c>
      <c r="Q33" s="19">
        <v>291.0</v>
      </c>
      <c r="R33" s="19">
        <v>292.0</v>
      </c>
      <c r="S33" s="19">
        <v>257.0</v>
      </c>
      <c r="T33" s="19">
        <v>186.0</v>
      </c>
      <c r="U33" s="13">
        <f t="shared" ref="U33:U36" si="10">SUM(E33:T33)</f>
        <v>4328</v>
      </c>
    </row>
    <row r="34" ht="12.75" customHeight="1">
      <c r="A34" s="19">
        <v>2.0</v>
      </c>
      <c r="B34" s="20" t="s">
        <v>28</v>
      </c>
      <c r="C34" s="15"/>
      <c r="D34" s="16"/>
      <c r="E34" s="13">
        <v>225.0</v>
      </c>
      <c r="F34" s="13">
        <v>215.0</v>
      </c>
      <c r="G34" s="13">
        <v>254.0</v>
      </c>
      <c r="H34" s="13">
        <v>193.0</v>
      </c>
      <c r="I34" s="13">
        <v>215.0</v>
      </c>
      <c r="J34" s="13">
        <v>240.0</v>
      </c>
      <c r="K34" s="13">
        <v>217.0</v>
      </c>
      <c r="L34" s="13">
        <v>180.0</v>
      </c>
      <c r="M34" s="13">
        <v>196.0</v>
      </c>
      <c r="N34" s="13">
        <v>190.0</v>
      </c>
      <c r="O34" s="13">
        <v>206.0</v>
      </c>
      <c r="P34" s="13">
        <v>233.0</v>
      </c>
      <c r="Q34" s="13">
        <v>203.0</v>
      </c>
      <c r="R34" s="13">
        <v>230.0</v>
      </c>
      <c r="S34" s="13">
        <v>200.0</v>
      </c>
      <c r="T34" s="13">
        <v>146.0</v>
      </c>
      <c r="U34" s="13">
        <f t="shared" si="10"/>
        <v>3343</v>
      </c>
    </row>
    <row r="35" ht="12.75" customHeight="1">
      <c r="A35" s="19">
        <v>3.0</v>
      </c>
      <c r="B35" s="20" t="s">
        <v>29</v>
      </c>
      <c r="C35" s="15"/>
      <c r="D35" s="16"/>
      <c r="E35" s="19">
        <v>0.0</v>
      </c>
      <c r="F35" s="19">
        <v>0.0</v>
      </c>
      <c r="G35" s="19">
        <v>1.0</v>
      </c>
      <c r="H35" s="19">
        <v>0.0</v>
      </c>
      <c r="I35" s="19">
        <v>0.0</v>
      </c>
      <c r="J35" s="19">
        <v>0.0</v>
      </c>
      <c r="K35" s="19">
        <v>0.0</v>
      </c>
      <c r="L35" s="19">
        <v>0.0</v>
      </c>
      <c r="M35" s="19">
        <v>0.0</v>
      </c>
      <c r="N35" s="19">
        <v>0.0</v>
      </c>
      <c r="O35" s="19">
        <v>0.0</v>
      </c>
      <c r="P35" s="19">
        <v>0.0</v>
      </c>
      <c r="Q35" s="19">
        <v>0.0</v>
      </c>
      <c r="R35" s="19">
        <v>0.0</v>
      </c>
      <c r="S35" s="19">
        <v>0.0</v>
      </c>
      <c r="T35" s="19">
        <v>0.0</v>
      </c>
      <c r="U35" s="13">
        <f t="shared" si="10"/>
        <v>1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T36" si="11">E33-(E34+E35)</f>
        <v>55</v>
      </c>
      <c r="F36" s="13">
        <f t="shared" si="11"/>
        <v>52</v>
      </c>
      <c r="G36" s="13">
        <f t="shared" si="11"/>
        <v>40</v>
      </c>
      <c r="H36" s="13">
        <f t="shared" si="11"/>
        <v>66</v>
      </c>
      <c r="I36" s="13">
        <f t="shared" si="11"/>
        <v>82</v>
      </c>
      <c r="J36" s="13">
        <f t="shared" si="11"/>
        <v>51</v>
      </c>
      <c r="K36" s="13">
        <f t="shared" si="11"/>
        <v>56</v>
      </c>
      <c r="L36" s="13">
        <f t="shared" si="11"/>
        <v>61</v>
      </c>
      <c r="M36" s="13">
        <f t="shared" si="11"/>
        <v>77</v>
      </c>
      <c r="N36" s="13">
        <f t="shared" si="11"/>
        <v>62</v>
      </c>
      <c r="O36" s="13">
        <f t="shared" si="11"/>
        <v>86</v>
      </c>
      <c r="P36" s="13">
        <f t="shared" si="11"/>
        <v>49</v>
      </c>
      <c r="Q36" s="13">
        <f t="shared" si="11"/>
        <v>88</v>
      </c>
      <c r="R36" s="13">
        <f t="shared" si="11"/>
        <v>62</v>
      </c>
      <c r="S36" s="13">
        <f t="shared" si="11"/>
        <v>57</v>
      </c>
      <c r="T36" s="13">
        <f t="shared" si="11"/>
        <v>40</v>
      </c>
      <c r="U36" s="13">
        <f t="shared" si="10"/>
        <v>984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19"/>
      <c r="N37" s="76"/>
      <c r="O37" s="79"/>
      <c r="P37" s="79"/>
      <c r="Q37" s="79"/>
      <c r="R37" s="79"/>
      <c r="S37" s="79"/>
      <c r="T37" s="79"/>
      <c r="U37" s="77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78"/>
      <c r="O38" s="78"/>
      <c r="P38" s="78"/>
      <c r="Q38" s="78"/>
      <c r="R38" s="78"/>
      <c r="S38" s="78"/>
      <c r="T38" s="78"/>
      <c r="U38" s="77"/>
    </row>
    <row r="39" ht="12.75" customHeight="1">
      <c r="A39" s="30"/>
      <c r="B39" s="43" t="s">
        <v>33</v>
      </c>
      <c r="C39" s="23"/>
      <c r="D39" s="19" t="s">
        <v>12</v>
      </c>
      <c r="E39" s="19">
        <v>0.0</v>
      </c>
      <c r="F39" s="19">
        <v>0.0</v>
      </c>
      <c r="G39" s="19">
        <v>0.0</v>
      </c>
      <c r="H39" s="19">
        <v>0.0</v>
      </c>
      <c r="I39" s="19">
        <v>0.0</v>
      </c>
      <c r="J39" s="19">
        <v>0.0</v>
      </c>
      <c r="K39" s="19">
        <v>0.0</v>
      </c>
      <c r="L39" s="19">
        <v>0.0</v>
      </c>
      <c r="M39" s="19">
        <v>0.0</v>
      </c>
      <c r="N39" s="19">
        <v>0.0</v>
      </c>
      <c r="O39" s="19">
        <v>0.0</v>
      </c>
      <c r="P39" s="19">
        <v>0.0</v>
      </c>
      <c r="Q39" s="19">
        <v>0.0</v>
      </c>
      <c r="R39" s="19">
        <v>0.0</v>
      </c>
      <c r="S39" s="19">
        <v>1.0</v>
      </c>
      <c r="T39" s="19">
        <v>0.0</v>
      </c>
      <c r="U39" s="13">
        <f t="shared" ref="U39:U41" si="12">SUM(E39:T39)</f>
        <v>1</v>
      </c>
    </row>
    <row r="40" ht="12.75" customHeight="1">
      <c r="A40" s="33"/>
      <c r="C40" s="27"/>
      <c r="D40" s="19" t="s">
        <v>13</v>
      </c>
      <c r="E40" s="19">
        <v>0.0</v>
      </c>
      <c r="F40" s="19">
        <v>0.0</v>
      </c>
      <c r="G40" s="19">
        <v>0.0</v>
      </c>
      <c r="H40" s="19">
        <v>0.0</v>
      </c>
      <c r="I40" s="19">
        <v>0.0</v>
      </c>
      <c r="J40" s="19">
        <v>0.0</v>
      </c>
      <c r="K40" s="19">
        <v>0.0</v>
      </c>
      <c r="L40" s="19">
        <v>0.0</v>
      </c>
      <c r="M40" s="19">
        <v>1.0</v>
      </c>
      <c r="N40" s="19">
        <v>0.0</v>
      </c>
      <c r="O40" s="19">
        <v>0.0</v>
      </c>
      <c r="P40" s="19">
        <v>0.0</v>
      </c>
      <c r="Q40" s="19">
        <v>0.0</v>
      </c>
      <c r="R40" s="19">
        <v>0.0</v>
      </c>
      <c r="S40" s="19">
        <v>0.0</v>
      </c>
      <c r="T40" s="19">
        <v>0.0</v>
      </c>
      <c r="U40" s="13">
        <f t="shared" si="12"/>
        <v>1</v>
      </c>
    </row>
    <row r="41" ht="12.75" customHeight="1">
      <c r="A41" s="41"/>
      <c r="B41" s="44"/>
      <c r="C41" s="28"/>
      <c r="D41" s="13" t="s">
        <v>14</v>
      </c>
      <c r="E41" s="13">
        <f t="shared" ref="E41:T41" si="13">SUM(E39:E40)</f>
        <v>0</v>
      </c>
      <c r="F41" s="13">
        <f t="shared" si="13"/>
        <v>0</v>
      </c>
      <c r="G41" s="13">
        <f t="shared" si="13"/>
        <v>0</v>
      </c>
      <c r="H41" s="13">
        <f t="shared" si="13"/>
        <v>0</v>
      </c>
      <c r="I41" s="13">
        <f t="shared" si="13"/>
        <v>0</v>
      </c>
      <c r="J41" s="13">
        <f t="shared" si="13"/>
        <v>0</v>
      </c>
      <c r="K41" s="13">
        <f t="shared" si="13"/>
        <v>0</v>
      </c>
      <c r="L41" s="13">
        <f t="shared" si="13"/>
        <v>0</v>
      </c>
      <c r="M41" s="13">
        <f t="shared" si="13"/>
        <v>1</v>
      </c>
      <c r="N41" s="13">
        <f t="shared" si="13"/>
        <v>0</v>
      </c>
      <c r="O41" s="13">
        <f t="shared" si="13"/>
        <v>0</v>
      </c>
      <c r="P41" s="13">
        <f t="shared" si="13"/>
        <v>0</v>
      </c>
      <c r="Q41" s="13">
        <f t="shared" si="13"/>
        <v>0</v>
      </c>
      <c r="R41" s="13">
        <f t="shared" si="13"/>
        <v>0</v>
      </c>
      <c r="S41" s="13">
        <f t="shared" si="13"/>
        <v>1</v>
      </c>
      <c r="T41" s="13">
        <f t="shared" si="13"/>
        <v>0</v>
      </c>
      <c r="U41" s="13">
        <f t="shared" si="12"/>
        <v>2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9"/>
      <c r="N42" s="76"/>
      <c r="O42" s="19"/>
      <c r="P42" s="76"/>
      <c r="Q42" s="19"/>
      <c r="R42" s="76"/>
      <c r="S42" s="19"/>
      <c r="T42" s="76"/>
      <c r="U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78"/>
      <c r="O43" s="13"/>
      <c r="P43" s="78"/>
      <c r="Q43" s="13"/>
      <c r="R43" s="78"/>
      <c r="S43" s="13"/>
      <c r="T43" s="78"/>
      <c r="U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76"/>
      <c r="O44" s="19"/>
      <c r="P44" s="76"/>
      <c r="Q44" s="19"/>
      <c r="R44" s="76"/>
      <c r="S44" s="19"/>
      <c r="T44" s="76"/>
      <c r="U44" s="13"/>
    </row>
    <row r="45" ht="12.75" customHeight="1">
      <c r="A45" s="30" t="s">
        <v>37</v>
      </c>
      <c r="B45" s="47" t="s">
        <v>17</v>
      </c>
      <c r="C45" s="48" t="s">
        <v>38</v>
      </c>
      <c r="D45" s="16"/>
      <c r="E45" s="19">
        <v>7.0</v>
      </c>
      <c r="F45" s="19">
        <v>3.0</v>
      </c>
      <c r="G45" s="19">
        <v>2.0</v>
      </c>
      <c r="H45" s="19">
        <v>6.0</v>
      </c>
      <c r="I45" s="19">
        <v>6.0</v>
      </c>
      <c r="J45" s="19">
        <v>9.0</v>
      </c>
      <c r="K45" s="19">
        <v>6.0</v>
      </c>
      <c r="L45" s="19">
        <v>3.0</v>
      </c>
      <c r="M45" s="19">
        <v>12.0</v>
      </c>
      <c r="N45" s="19">
        <v>4.0</v>
      </c>
      <c r="O45" s="19">
        <v>1.0</v>
      </c>
      <c r="P45" s="19">
        <v>11.0</v>
      </c>
      <c r="Q45" s="19">
        <v>3.0</v>
      </c>
      <c r="R45" s="19">
        <v>5.0</v>
      </c>
      <c r="S45" s="19">
        <v>9.0</v>
      </c>
      <c r="T45" s="19">
        <v>4.0</v>
      </c>
      <c r="U45" s="13">
        <f t="shared" ref="U45:U54" si="14">SUM(E45:T45)</f>
        <v>91</v>
      </c>
    </row>
    <row r="46" ht="12.75" customHeight="1">
      <c r="A46" s="30" t="s">
        <v>39</v>
      </c>
      <c r="B46" s="49">
        <v>1.0</v>
      </c>
      <c r="C46" s="50" t="s">
        <v>40</v>
      </c>
      <c r="D46" s="16"/>
      <c r="E46" s="19">
        <v>17.0</v>
      </c>
      <c r="F46" s="19">
        <v>11.0</v>
      </c>
      <c r="G46" s="19">
        <v>3.0</v>
      </c>
      <c r="H46" s="19">
        <v>8.0</v>
      </c>
      <c r="I46" s="19">
        <v>6.0</v>
      </c>
      <c r="J46" s="19">
        <v>16.0</v>
      </c>
      <c r="K46" s="19">
        <v>9.0</v>
      </c>
      <c r="L46" s="19">
        <v>5.0</v>
      </c>
      <c r="M46" s="19">
        <v>29.0</v>
      </c>
      <c r="N46" s="19">
        <v>7.0</v>
      </c>
      <c r="O46" s="19">
        <v>6.0</v>
      </c>
      <c r="P46" s="19">
        <v>6.0</v>
      </c>
      <c r="Q46" s="19">
        <v>7.0</v>
      </c>
      <c r="R46" s="19">
        <v>5.0</v>
      </c>
      <c r="S46" s="19">
        <v>13.0</v>
      </c>
      <c r="T46" s="19">
        <v>2.0</v>
      </c>
      <c r="U46" s="13">
        <f t="shared" si="14"/>
        <v>150</v>
      </c>
    </row>
    <row r="47" ht="12.75" customHeight="1">
      <c r="A47" s="18"/>
      <c r="B47" s="55">
        <v>2.0</v>
      </c>
      <c r="C47" s="50" t="s">
        <v>41</v>
      </c>
      <c r="D47" s="16"/>
      <c r="E47" s="19">
        <v>1.0</v>
      </c>
      <c r="F47" s="19">
        <v>6.0</v>
      </c>
      <c r="G47" s="19">
        <v>4.0</v>
      </c>
      <c r="H47" s="19">
        <v>13.0</v>
      </c>
      <c r="I47" s="19">
        <v>2.0</v>
      </c>
      <c r="J47" s="19">
        <v>1.0</v>
      </c>
      <c r="K47" s="19">
        <v>3.0</v>
      </c>
      <c r="L47" s="19">
        <v>3.0</v>
      </c>
      <c r="M47" s="19">
        <v>1.0</v>
      </c>
      <c r="N47" s="19">
        <v>4.0</v>
      </c>
      <c r="O47" s="19">
        <v>4.0</v>
      </c>
      <c r="P47" s="19">
        <v>6.0</v>
      </c>
      <c r="Q47" s="19">
        <v>5.0</v>
      </c>
      <c r="R47" s="19">
        <v>1.0</v>
      </c>
      <c r="S47" s="19">
        <v>0.0</v>
      </c>
      <c r="T47" s="19">
        <v>5.0</v>
      </c>
      <c r="U47" s="13">
        <f t="shared" si="14"/>
        <v>59</v>
      </c>
    </row>
    <row r="48" ht="12.75" customHeight="1">
      <c r="A48" s="18"/>
      <c r="B48" s="55">
        <v>3.0</v>
      </c>
      <c r="C48" s="50" t="s">
        <v>42</v>
      </c>
      <c r="D48" s="16"/>
      <c r="E48" s="19">
        <v>2.0</v>
      </c>
      <c r="F48" s="19">
        <v>0.0</v>
      </c>
      <c r="G48" s="19">
        <v>0.0</v>
      </c>
      <c r="H48" s="19">
        <v>1.0</v>
      </c>
      <c r="I48" s="19">
        <v>1.0</v>
      </c>
      <c r="J48" s="19">
        <v>4.0</v>
      </c>
      <c r="K48" s="19">
        <v>0.0</v>
      </c>
      <c r="L48" s="19">
        <v>3.0</v>
      </c>
      <c r="M48" s="19">
        <v>1.0</v>
      </c>
      <c r="N48" s="19">
        <v>0.0</v>
      </c>
      <c r="O48" s="19">
        <v>0.0</v>
      </c>
      <c r="P48" s="19">
        <v>3.0</v>
      </c>
      <c r="Q48" s="19">
        <v>1.0</v>
      </c>
      <c r="R48" s="19">
        <v>1.0</v>
      </c>
      <c r="S48" s="19">
        <v>0.0</v>
      </c>
      <c r="T48" s="19">
        <v>0.0</v>
      </c>
      <c r="U48" s="13">
        <f t="shared" si="14"/>
        <v>17</v>
      </c>
    </row>
    <row r="49" ht="12.75" customHeight="1">
      <c r="A49" s="18"/>
      <c r="B49" s="55">
        <v>4.0</v>
      </c>
      <c r="C49" s="50" t="s">
        <v>43</v>
      </c>
      <c r="D49" s="16"/>
      <c r="E49" s="19">
        <v>0.0</v>
      </c>
      <c r="F49" s="19">
        <v>2.0</v>
      </c>
      <c r="G49" s="19">
        <v>1.0</v>
      </c>
      <c r="H49" s="19">
        <v>2.0</v>
      </c>
      <c r="I49" s="19">
        <v>2.0</v>
      </c>
      <c r="J49" s="19">
        <v>8.0</v>
      </c>
      <c r="K49" s="19">
        <v>1.0</v>
      </c>
      <c r="L49" s="19">
        <v>4.0</v>
      </c>
      <c r="M49" s="19">
        <v>3.0</v>
      </c>
      <c r="N49" s="19">
        <v>3.0</v>
      </c>
      <c r="O49" s="19">
        <v>1.0</v>
      </c>
      <c r="P49" s="19">
        <v>2.0</v>
      </c>
      <c r="Q49" s="19">
        <v>1.0</v>
      </c>
      <c r="R49" s="19">
        <v>2.0</v>
      </c>
      <c r="S49" s="19">
        <v>3.0</v>
      </c>
      <c r="T49" s="19">
        <v>1.0</v>
      </c>
      <c r="U49" s="13">
        <f t="shared" si="14"/>
        <v>36</v>
      </c>
    </row>
    <row r="50" ht="12.75" customHeight="1">
      <c r="A50" s="18"/>
      <c r="B50" s="55">
        <v>5.0</v>
      </c>
      <c r="C50" s="50" t="s">
        <v>44</v>
      </c>
      <c r="D50" s="16"/>
      <c r="E50" s="19">
        <v>0.0</v>
      </c>
      <c r="F50" s="19">
        <v>0.0</v>
      </c>
      <c r="G50" s="19">
        <v>0.0</v>
      </c>
      <c r="H50" s="19">
        <v>0.0</v>
      </c>
      <c r="I50" s="19">
        <v>0.0</v>
      </c>
      <c r="J50" s="19">
        <v>1.0</v>
      </c>
      <c r="K50" s="19">
        <v>0.0</v>
      </c>
      <c r="L50" s="19">
        <v>1.0</v>
      </c>
      <c r="M50" s="19">
        <v>0.0</v>
      </c>
      <c r="N50" s="19">
        <v>0.0</v>
      </c>
      <c r="O50" s="19">
        <v>0.0</v>
      </c>
      <c r="P50" s="19">
        <v>1.0</v>
      </c>
      <c r="Q50" s="19">
        <v>0.0</v>
      </c>
      <c r="R50" s="19">
        <v>0.0</v>
      </c>
      <c r="S50" s="19">
        <v>0.0</v>
      </c>
      <c r="T50" s="19">
        <v>0.0</v>
      </c>
      <c r="U50" s="13">
        <f t="shared" si="14"/>
        <v>3</v>
      </c>
    </row>
    <row r="51" ht="12.75" customHeight="1">
      <c r="A51" s="18"/>
      <c r="B51" s="55">
        <v>6.0</v>
      </c>
      <c r="C51" s="50" t="s">
        <v>45</v>
      </c>
      <c r="D51" s="16"/>
      <c r="E51" s="19">
        <v>0.0</v>
      </c>
      <c r="F51" s="19">
        <v>0.0</v>
      </c>
      <c r="G51" s="19">
        <v>0.0</v>
      </c>
      <c r="H51" s="19">
        <v>0.0</v>
      </c>
      <c r="I51" s="19">
        <v>0.0</v>
      </c>
      <c r="J51" s="19">
        <v>0.0</v>
      </c>
      <c r="K51" s="19">
        <v>0.0</v>
      </c>
      <c r="L51" s="19">
        <v>0.0</v>
      </c>
      <c r="M51" s="19">
        <v>0.0</v>
      </c>
      <c r="N51" s="19">
        <v>0.0</v>
      </c>
      <c r="O51" s="19">
        <v>0.0</v>
      </c>
      <c r="P51" s="19">
        <v>1.0</v>
      </c>
      <c r="Q51" s="19">
        <v>1.0</v>
      </c>
      <c r="R51" s="19">
        <v>0.0</v>
      </c>
      <c r="S51" s="19">
        <v>1.0</v>
      </c>
      <c r="T51" s="19">
        <v>0.0</v>
      </c>
      <c r="U51" s="13">
        <f t="shared" si="14"/>
        <v>3</v>
      </c>
    </row>
    <row r="52" ht="12.75" customHeight="1">
      <c r="A52" s="18"/>
      <c r="B52" s="55">
        <v>7.0</v>
      </c>
      <c r="C52" s="50" t="s">
        <v>46</v>
      </c>
      <c r="D52" s="16"/>
      <c r="E52" s="19">
        <v>0.0</v>
      </c>
      <c r="F52" s="19">
        <v>0.0</v>
      </c>
      <c r="G52" s="19">
        <v>0.0</v>
      </c>
      <c r="H52" s="19">
        <v>0.0</v>
      </c>
      <c r="I52" s="19">
        <v>0.0</v>
      </c>
      <c r="J52" s="19">
        <v>0.0</v>
      </c>
      <c r="K52" s="19">
        <v>0.0</v>
      </c>
      <c r="L52" s="19">
        <v>1.0</v>
      </c>
      <c r="M52" s="19">
        <v>0.0</v>
      </c>
      <c r="N52" s="19">
        <v>0.0</v>
      </c>
      <c r="O52" s="19">
        <v>0.0</v>
      </c>
      <c r="P52" s="19">
        <v>0.0</v>
      </c>
      <c r="Q52" s="19">
        <v>0.0</v>
      </c>
      <c r="R52" s="19">
        <v>0.0</v>
      </c>
      <c r="S52" s="19">
        <v>0.0</v>
      </c>
      <c r="T52" s="19">
        <v>0.0</v>
      </c>
      <c r="U52" s="13">
        <f t="shared" si="14"/>
        <v>1</v>
      </c>
    </row>
    <row r="53" ht="12.75" customHeight="1">
      <c r="A53" s="18"/>
      <c r="B53" s="56"/>
      <c r="C53" s="57"/>
      <c r="D53" s="57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3">
        <f t="shared" si="14"/>
        <v>0</v>
      </c>
    </row>
    <row r="54" ht="12.75" customHeight="1">
      <c r="A54" s="18"/>
      <c r="B54" s="56"/>
      <c r="C54" s="57"/>
      <c r="D54" s="57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3">
        <f t="shared" si="14"/>
        <v>0</v>
      </c>
    </row>
    <row r="55" ht="12.75" customHeight="1">
      <c r="A55" s="19" t="s">
        <v>15</v>
      </c>
      <c r="B55" s="47" t="s">
        <v>47</v>
      </c>
      <c r="C55" s="15"/>
      <c r="D55" s="16"/>
      <c r="E55" s="13">
        <f t="shared" ref="E55:U55" si="15">SUM(E45:E54)</f>
        <v>27</v>
      </c>
      <c r="F55" s="13">
        <f t="shared" si="15"/>
        <v>22</v>
      </c>
      <c r="G55" s="13">
        <f t="shared" si="15"/>
        <v>10</v>
      </c>
      <c r="H55" s="13">
        <f t="shared" si="15"/>
        <v>30</v>
      </c>
      <c r="I55" s="13">
        <f t="shared" si="15"/>
        <v>17</v>
      </c>
      <c r="J55" s="13">
        <f t="shared" si="15"/>
        <v>39</v>
      </c>
      <c r="K55" s="13">
        <f t="shared" si="15"/>
        <v>19</v>
      </c>
      <c r="L55" s="13">
        <f t="shared" si="15"/>
        <v>20</v>
      </c>
      <c r="M55" s="13">
        <f t="shared" si="15"/>
        <v>46</v>
      </c>
      <c r="N55" s="13">
        <f t="shared" si="15"/>
        <v>18</v>
      </c>
      <c r="O55" s="13">
        <f t="shared" si="15"/>
        <v>12</v>
      </c>
      <c r="P55" s="13">
        <f t="shared" si="15"/>
        <v>30</v>
      </c>
      <c r="Q55" s="13">
        <f t="shared" si="15"/>
        <v>18</v>
      </c>
      <c r="R55" s="13">
        <f t="shared" si="15"/>
        <v>14</v>
      </c>
      <c r="S55" s="13">
        <f t="shared" si="15"/>
        <v>26</v>
      </c>
      <c r="T55" s="13">
        <f t="shared" si="15"/>
        <v>12</v>
      </c>
      <c r="U55" s="13">
        <f t="shared" si="15"/>
        <v>360</v>
      </c>
    </row>
    <row r="56" ht="12.75" customHeight="1">
      <c r="A56" s="45"/>
      <c r="B56" s="44"/>
      <c r="C56" s="44"/>
      <c r="D56" s="44"/>
      <c r="E56" s="44"/>
      <c r="U56" s="13"/>
    </row>
    <row r="57" ht="12.75" customHeight="1">
      <c r="A57" s="30" t="s">
        <v>37</v>
      </c>
      <c r="B57" s="47" t="s">
        <v>19</v>
      </c>
      <c r="C57" s="48" t="s">
        <v>48</v>
      </c>
      <c r="D57" s="16"/>
      <c r="E57" s="19">
        <v>21.0</v>
      </c>
      <c r="F57" s="19">
        <v>8.0</v>
      </c>
      <c r="G57" s="19">
        <v>5.0</v>
      </c>
      <c r="H57" s="19">
        <v>6.0</v>
      </c>
      <c r="I57" s="19">
        <v>18.0</v>
      </c>
      <c r="J57" s="19">
        <v>11.0</v>
      </c>
      <c r="K57" s="19">
        <v>14.0</v>
      </c>
      <c r="L57" s="19">
        <v>9.0</v>
      </c>
      <c r="M57" s="19">
        <v>14.0</v>
      </c>
      <c r="N57" s="19">
        <v>12.0</v>
      </c>
      <c r="O57" s="19">
        <v>27.0</v>
      </c>
      <c r="P57" s="19">
        <v>17.0</v>
      </c>
      <c r="Q57" s="19">
        <v>8.0</v>
      </c>
      <c r="R57" s="19">
        <v>11.0</v>
      </c>
      <c r="S57" s="19">
        <v>6.0</v>
      </c>
      <c r="T57" s="19">
        <v>2.0</v>
      </c>
      <c r="U57" s="13">
        <f t="shared" ref="U57:U66" si="16">SUM(E57:T57)</f>
        <v>189</v>
      </c>
    </row>
    <row r="58" ht="12.75" customHeight="1">
      <c r="A58" s="30" t="s">
        <v>39</v>
      </c>
      <c r="B58" s="55">
        <v>1.0</v>
      </c>
      <c r="C58" s="50" t="s">
        <v>49</v>
      </c>
      <c r="D58" s="59"/>
      <c r="E58" s="19">
        <v>55.0</v>
      </c>
      <c r="F58" s="19">
        <v>59.0</v>
      </c>
      <c r="G58" s="19">
        <v>100.0</v>
      </c>
      <c r="H58" s="19">
        <v>65.0</v>
      </c>
      <c r="I58" s="19">
        <v>55.0</v>
      </c>
      <c r="J58" s="19">
        <v>65.0</v>
      </c>
      <c r="K58" s="19">
        <v>59.0</v>
      </c>
      <c r="L58" s="19">
        <v>91.0</v>
      </c>
      <c r="M58" s="19">
        <v>69.0</v>
      </c>
      <c r="N58" s="19">
        <v>87.0</v>
      </c>
      <c r="O58" s="19">
        <v>56.0</v>
      </c>
      <c r="P58" s="19">
        <v>44.0</v>
      </c>
      <c r="Q58" s="19">
        <v>29.0</v>
      </c>
      <c r="R58" s="19">
        <v>21.0</v>
      </c>
      <c r="S58" s="19">
        <v>35.0</v>
      </c>
      <c r="T58" s="19">
        <v>22.0</v>
      </c>
      <c r="U58" s="13">
        <f t="shared" si="16"/>
        <v>912</v>
      </c>
    </row>
    <row r="59" ht="12.75" customHeight="1">
      <c r="A59" s="18"/>
      <c r="B59" s="55">
        <v>2.0</v>
      </c>
      <c r="C59" s="50" t="s">
        <v>50</v>
      </c>
      <c r="D59" s="59"/>
      <c r="E59" s="19">
        <v>12.0</v>
      </c>
      <c r="F59" s="19">
        <v>22.0</v>
      </c>
      <c r="G59" s="19">
        <v>10.0</v>
      </c>
      <c r="H59" s="19">
        <v>9.0</v>
      </c>
      <c r="I59" s="19">
        <v>16.0</v>
      </c>
      <c r="J59" s="19">
        <v>18.0</v>
      </c>
      <c r="K59" s="19">
        <v>6.0</v>
      </c>
      <c r="L59" s="19">
        <v>2.0</v>
      </c>
      <c r="M59" s="19">
        <v>5.0</v>
      </c>
      <c r="N59" s="19">
        <v>3.0</v>
      </c>
      <c r="O59" s="19">
        <v>1.0</v>
      </c>
      <c r="P59" s="19">
        <v>6.0</v>
      </c>
      <c r="Q59" s="19">
        <v>7.0</v>
      </c>
      <c r="R59" s="19">
        <v>5.0</v>
      </c>
      <c r="S59" s="19">
        <v>0.0</v>
      </c>
      <c r="T59" s="19">
        <v>1.0</v>
      </c>
      <c r="U59" s="13">
        <f t="shared" si="16"/>
        <v>123</v>
      </c>
    </row>
    <row r="60" ht="12.75" customHeight="1">
      <c r="A60" s="18"/>
      <c r="B60" s="55">
        <v>3.0</v>
      </c>
      <c r="C60" s="50" t="s">
        <v>51</v>
      </c>
      <c r="D60" s="59"/>
      <c r="E60" s="19">
        <v>0.0</v>
      </c>
      <c r="F60" s="19">
        <v>0.0</v>
      </c>
      <c r="G60" s="19">
        <v>0.0</v>
      </c>
      <c r="H60" s="19">
        <v>0.0</v>
      </c>
      <c r="I60" s="19">
        <v>3.0</v>
      </c>
      <c r="J60" s="19">
        <v>0.0</v>
      </c>
      <c r="K60" s="19">
        <v>2.0</v>
      </c>
      <c r="L60" s="19">
        <v>2.0</v>
      </c>
      <c r="M60" s="19">
        <v>0.0</v>
      </c>
      <c r="N60" s="19">
        <v>1.0</v>
      </c>
      <c r="O60" s="19">
        <v>0.0</v>
      </c>
      <c r="P60" s="19">
        <v>0.0</v>
      </c>
      <c r="Q60" s="19">
        <v>0.0</v>
      </c>
      <c r="R60" s="19">
        <v>0.0</v>
      </c>
      <c r="S60" s="19">
        <v>0.0</v>
      </c>
      <c r="T60" s="19">
        <v>0.0</v>
      </c>
      <c r="U60" s="13">
        <f t="shared" si="16"/>
        <v>8</v>
      </c>
    </row>
    <row r="61" ht="12.75" customHeight="1">
      <c r="A61" s="18"/>
      <c r="B61" s="55">
        <v>4.0</v>
      </c>
      <c r="C61" s="50" t="s">
        <v>52</v>
      </c>
      <c r="D61" s="59"/>
      <c r="E61" s="19">
        <v>0.0</v>
      </c>
      <c r="F61" s="19">
        <v>0.0</v>
      </c>
      <c r="G61" s="19">
        <v>1.0</v>
      </c>
      <c r="H61" s="19">
        <v>0.0</v>
      </c>
      <c r="I61" s="19">
        <v>0.0</v>
      </c>
      <c r="J61" s="19">
        <v>2.0</v>
      </c>
      <c r="K61" s="19">
        <v>0.0</v>
      </c>
      <c r="L61" s="19">
        <v>0.0</v>
      </c>
      <c r="M61" s="19">
        <v>0.0</v>
      </c>
      <c r="N61" s="19">
        <v>1.0</v>
      </c>
      <c r="O61" s="19">
        <v>1.0</v>
      </c>
      <c r="P61" s="19">
        <v>0.0</v>
      </c>
      <c r="Q61" s="19">
        <v>0.0</v>
      </c>
      <c r="R61" s="19">
        <v>1.0</v>
      </c>
      <c r="S61" s="19">
        <v>1.0</v>
      </c>
      <c r="T61" s="19">
        <v>0.0</v>
      </c>
      <c r="U61" s="13">
        <f t="shared" si="16"/>
        <v>7</v>
      </c>
    </row>
    <row r="62" ht="12.75" customHeight="1">
      <c r="A62" s="18"/>
      <c r="B62" s="55">
        <v>5.0</v>
      </c>
      <c r="C62" s="50" t="s">
        <v>53</v>
      </c>
      <c r="D62" s="59"/>
      <c r="E62" s="19">
        <v>0.0</v>
      </c>
      <c r="F62" s="19">
        <v>0.0</v>
      </c>
      <c r="G62" s="19">
        <v>0.0</v>
      </c>
      <c r="H62" s="19">
        <v>0.0</v>
      </c>
      <c r="I62" s="19">
        <v>1.0</v>
      </c>
      <c r="J62" s="19">
        <v>2.0</v>
      </c>
      <c r="K62" s="19">
        <v>0.0</v>
      </c>
      <c r="L62" s="19">
        <v>0.0</v>
      </c>
      <c r="M62" s="19">
        <v>0.0</v>
      </c>
      <c r="N62" s="19">
        <v>0.0</v>
      </c>
      <c r="O62" s="19">
        <v>0.0</v>
      </c>
      <c r="P62" s="19">
        <v>0.0</v>
      </c>
      <c r="Q62" s="19">
        <v>0.0</v>
      </c>
      <c r="R62" s="19">
        <v>0.0</v>
      </c>
      <c r="S62" s="19">
        <v>0.0</v>
      </c>
      <c r="T62" s="19">
        <v>1.0</v>
      </c>
      <c r="U62" s="13">
        <f t="shared" si="16"/>
        <v>4</v>
      </c>
    </row>
    <row r="63" ht="12.75" customHeight="1">
      <c r="A63" s="18"/>
      <c r="B63" s="55">
        <v>6.0</v>
      </c>
      <c r="C63" s="50" t="s">
        <v>54</v>
      </c>
      <c r="D63" s="60"/>
      <c r="E63" s="19">
        <v>0.0</v>
      </c>
      <c r="F63" s="19">
        <v>0.0</v>
      </c>
      <c r="G63" s="19">
        <v>0.0</v>
      </c>
      <c r="H63" s="19">
        <v>1.0</v>
      </c>
      <c r="I63" s="19">
        <v>0.0</v>
      </c>
      <c r="J63" s="19">
        <v>0.0</v>
      </c>
      <c r="K63" s="19">
        <v>0.0</v>
      </c>
      <c r="L63" s="19">
        <v>0.0</v>
      </c>
      <c r="M63" s="19">
        <v>0.0</v>
      </c>
      <c r="N63" s="19">
        <v>0.0</v>
      </c>
      <c r="O63" s="19">
        <v>0.0</v>
      </c>
      <c r="P63" s="19">
        <v>0.0</v>
      </c>
      <c r="Q63" s="19">
        <v>0.0</v>
      </c>
      <c r="R63" s="19">
        <v>0.0</v>
      </c>
      <c r="S63" s="19">
        <v>0.0</v>
      </c>
      <c r="T63" s="19">
        <v>0.0</v>
      </c>
      <c r="U63" s="13">
        <f t="shared" si="16"/>
        <v>1</v>
      </c>
    </row>
    <row r="64" ht="12.75" customHeight="1">
      <c r="A64" s="18"/>
      <c r="B64" s="55">
        <v>7.0</v>
      </c>
      <c r="C64" s="50" t="s">
        <v>55</v>
      </c>
      <c r="D64" s="59"/>
      <c r="E64" s="19">
        <v>0.0</v>
      </c>
      <c r="F64" s="19">
        <v>0.0</v>
      </c>
      <c r="G64" s="19">
        <v>0.0</v>
      </c>
      <c r="H64" s="19">
        <v>0.0</v>
      </c>
      <c r="I64" s="19">
        <v>1.0</v>
      </c>
      <c r="J64" s="19">
        <v>0.0</v>
      </c>
      <c r="K64" s="19">
        <v>0.0</v>
      </c>
      <c r="L64" s="19">
        <v>0.0</v>
      </c>
      <c r="M64" s="19">
        <v>0.0</v>
      </c>
      <c r="N64" s="19">
        <v>1.0</v>
      </c>
      <c r="O64" s="19">
        <v>0.0</v>
      </c>
      <c r="P64" s="19">
        <v>0.0</v>
      </c>
      <c r="Q64" s="19">
        <v>0.0</v>
      </c>
      <c r="R64" s="19">
        <v>0.0</v>
      </c>
      <c r="S64" s="19">
        <v>0.0</v>
      </c>
      <c r="T64" s="19">
        <v>0.0</v>
      </c>
      <c r="U64" s="13">
        <f t="shared" si="16"/>
        <v>2</v>
      </c>
    </row>
    <row r="65" ht="12.75" customHeight="1">
      <c r="A65" s="18"/>
      <c r="B65" s="56"/>
      <c r="C65" s="57"/>
      <c r="D65" s="61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3">
        <f t="shared" si="16"/>
        <v>0</v>
      </c>
    </row>
    <row r="66" ht="12.75" customHeight="1">
      <c r="A66" s="18"/>
      <c r="B66" s="56"/>
      <c r="C66" s="57"/>
      <c r="D66" s="61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3">
        <f t="shared" si="16"/>
        <v>0</v>
      </c>
    </row>
    <row r="67" ht="12.75" customHeight="1">
      <c r="A67" s="19" t="s">
        <v>15</v>
      </c>
      <c r="B67" s="47" t="s">
        <v>47</v>
      </c>
      <c r="C67" s="15"/>
      <c r="D67" s="16"/>
      <c r="E67" s="13">
        <f t="shared" ref="E67:U67" si="17">SUM(E57:E66)</f>
        <v>88</v>
      </c>
      <c r="F67" s="13">
        <f t="shared" si="17"/>
        <v>89</v>
      </c>
      <c r="G67" s="13">
        <f t="shared" si="17"/>
        <v>116</v>
      </c>
      <c r="H67" s="13">
        <f t="shared" si="17"/>
        <v>81</v>
      </c>
      <c r="I67" s="13">
        <f t="shared" si="17"/>
        <v>94</v>
      </c>
      <c r="J67" s="13">
        <f t="shared" si="17"/>
        <v>98</v>
      </c>
      <c r="K67" s="13">
        <f t="shared" si="17"/>
        <v>81</v>
      </c>
      <c r="L67" s="13">
        <f t="shared" si="17"/>
        <v>104</v>
      </c>
      <c r="M67" s="13">
        <f t="shared" si="17"/>
        <v>88</v>
      </c>
      <c r="N67" s="13">
        <f t="shared" si="17"/>
        <v>105</v>
      </c>
      <c r="O67" s="13">
        <f t="shared" si="17"/>
        <v>85</v>
      </c>
      <c r="P67" s="13">
        <f t="shared" si="17"/>
        <v>67</v>
      </c>
      <c r="Q67" s="13">
        <f t="shared" si="17"/>
        <v>44</v>
      </c>
      <c r="R67" s="13">
        <f t="shared" si="17"/>
        <v>38</v>
      </c>
      <c r="S67" s="13">
        <f t="shared" si="17"/>
        <v>42</v>
      </c>
      <c r="T67" s="13">
        <f t="shared" si="17"/>
        <v>26</v>
      </c>
      <c r="U67" s="13">
        <f t="shared" si="17"/>
        <v>1246</v>
      </c>
    </row>
    <row r="68" ht="12.75" customHeight="1">
      <c r="A68" s="45"/>
      <c r="B68" s="44"/>
      <c r="C68" s="44"/>
      <c r="D68" s="44"/>
      <c r="E68" s="44"/>
    </row>
    <row r="69" ht="12.75" customHeight="1">
      <c r="A69" s="30" t="s">
        <v>37</v>
      </c>
      <c r="B69" s="47" t="s">
        <v>21</v>
      </c>
      <c r="C69" s="48" t="s">
        <v>56</v>
      </c>
      <c r="D69" s="16"/>
      <c r="E69" s="19">
        <v>12.0</v>
      </c>
      <c r="F69" s="19">
        <v>2.0</v>
      </c>
      <c r="G69" s="19">
        <v>2.0</v>
      </c>
      <c r="H69" s="19">
        <v>0.0</v>
      </c>
      <c r="I69" s="19">
        <v>3.0</v>
      </c>
      <c r="J69" s="19">
        <v>1.0</v>
      </c>
      <c r="K69" s="19">
        <v>5.0</v>
      </c>
      <c r="L69" s="19">
        <v>3.0</v>
      </c>
      <c r="M69" s="19">
        <v>7.0</v>
      </c>
      <c r="N69" s="19">
        <v>11.0</v>
      </c>
      <c r="O69" s="19">
        <v>5.0</v>
      </c>
      <c r="P69" s="19">
        <v>16.0</v>
      </c>
      <c r="Q69" s="19">
        <v>13.0</v>
      </c>
      <c r="R69" s="19">
        <v>17.0</v>
      </c>
      <c r="S69" s="19">
        <v>13.0</v>
      </c>
      <c r="T69" s="19">
        <v>3.0</v>
      </c>
      <c r="U69" s="13">
        <f t="shared" ref="U69:U78" si="18">SUM(E69:T69)</f>
        <v>113</v>
      </c>
    </row>
    <row r="70" ht="12.75" customHeight="1">
      <c r="A70" s="30" t="s">
        <v>39</v>
      </c>
      <c r="B70" s="55">
        <v>1.0</v>
      </c>
      <c r="C70" s="50" t="s">
        <v>57</v>
      </c>
      <c r="D70" s="60"/>
      <c r="E70" s="19">
        <v>10.0</v>
      </c>
      <c r="F70" s="19">
        <v>3.0</v>
      </c>
      <c r="G70" s="19">
        <v>2.0</v>
      </c>
      <c r="H70" s="19">
        <v>2.0</v>
      </c>
      <c r="I70" s="19">
        <v>5.0</v>
      </c>
      <c r="J70" s="19">
        <v>17.0</v>
      </c>
      <c r="K70" s="19">
        <v>0.0</v>
      </c>
      <c r="L70" s="19">
        <v>5.0</v>
      </c>
      <c r="M70" s="19">
        <v>5.0</v>
      </c>
      <c r="N70" s="19">
        <v>7.0</v>
      </c>
      <c r="O70" s="19">
        <v>11.0</v>
      </c>
      <c r="P70" s="19">
        <v>9.0</v>
      </c>
      <c r="Q70" s="19">
        <v>39.0</v>
      </c>
      <c r="R70" s="19">
        <v>7.0</v>
      </c>
      <c r="S70" s="19">
        <v>29.0</v>
      </c>
      <c r="T70" s="19">
        <v>3.0</v>
      </c>
      <c r="U70" s="13">
        <f t="shared" si="18"/>
        <v>154</v>
      </c>
    </row>
    <row r="71" ht="12.75" customHeight="1">
      <c r="A71" s="18"/>
      <c r="B71" s="55">
        <v>2.0</v>
      </c>
      <c r="C71" s="50" t="s">
        <v>58</v>
      </c>
      <c r="D71" s="60"/>
      <c r="E71" s="19">
        <v>2.0</v>
      </c>
      <c r="F71" s="19">
        <v>6.0</v>
      </c>
      <c r="G71" s="19">
        <v>4.0</v>
      </c>
      <c r="H71" s="19">
        <v>2.0</v>
      </c>
      <c r="I71" s="19">
        <v>6.0</v>
      </c>
      <c r="J71" s="19">
        <v>0.0</v>
      </c>
      <c r="K71" s="19">
        <v>1.0</v>
      </c>
      <c r="L71" s="19">
        <v>1.0</v>
      </c>
      <c r="M71" s="19">
        <v>2.0</v>
      </c>
      <c r="N71" s="19">
        <v>8.0</v>
      </c>
      <c r="O71" s="19">
        <v>7.0</v>
      </c>
      <c r="P71" s="19">
        <v>17.0</v>
      </c>
      <c r="Q71" s="19">
        <v>9.0</v>
      </c>
      <c r="R71" s="19">
        <v>16.0</v>
      </c>
      <c r="S71" s="19">
        <v>5.0</v>
      </c>
      <c r="T71" s="19">
        <v>13.0</v>
      </c>
      <c r="U71" s="13">
        <f t="shared" si="18"/>
        <v>99</v>
      </c>
    </row>
    <row r="72" ht="12.75" customHeight="1">
      <c r="A72" s="18"/>
      <c r="B72" s="55">
        <v>3.0</v>
      </c>
      <c r="C72" s="50" t="s">
        <v>59</v>
      </c>
      <c r="D72" s="60"/>
      <c r="E72" s="19">
        <v>2.0</v>
      </c>
      <c r="F72" s="19">
        <v>1.0</v>
      </c>
      <c r="G72" s="19">
        <v>0.0</v>
      </c>
      <c r="H72" s="19">
        <v>0.0</v>
      </c>
      <c r="I72" s="19">
        <v>1.0</v>
      </c>
      <c r="J72" s="19">
        <v>1.0</v>
      </c>
      <c r="K72" s="19">
        <v>8.0</v>
      </c>
      <c r="L72" s="19">
        <v>0.0</v>
      </c>
      <c r="M72" s="19">
        <v>1.0</v>
      </c>
      <c r="N72" s="19">
        <v>3.0</v>
      </c>
      <c r="O72" s="19">
        <v>7.0</v>
      </c>
      <c r="P72" s="19">
        <v>14.0</v>
      </c>
      <c r="Q72" s="19">
        <v>26.0</v>
      </c>
      <c r="R72" s="19">
        <v>42.0</v>
      </c>
      <c r="S72" s="19">
        <v>5.0</v>
      </c>
      <c r="T72" s="19">
        <v>17.0</v>
      </c>
      <c r="U72" s="13">
        <f t="shared" si="18"/>
        <v>128</v>
      </c>
    </row>
    <row r="73" ht="12.75" customHeight="1">
      <c r="A73" s="18"/>
      <c r="B73" s="55">
        <v>4.0</v>
      </c>
      <c r="C73" s="50" t="s">
        <v>60</v>
      </c>
      <c r="D73" s="60"/>
      <c r="E73" s="19">
        <v>0.0</v>
      </c>
      <c r="F73" s="19">
        <v>0.0</v>
      </c>
      <c r="G73" s="19">
        <v>0.0</v>
      </c>
      <c r="H73" s="19">
        <v>0.0</v>
      </c>
      <c r="I73" s="19">
        <v>0.0</v>
      </c>
      <c r="J73" s="19">
        <v>0.0</v>
      </c>
      <c r="K73" s="19">
        <v>0.0</v>
      </c>
      <c r="L73" s="19">
        <v>0.0</v>
      </c>
      <c r="M73" s="19">
        <v>1.0</v>
      </c>
      <c r="N73" s="19">
        <v>0.0</v>
      </c>
      <c r="O73" s="19">
        <v>0.0</v>
      </c>
      <c r="P73" s="19">
        <v>0.0</v>
      </c>
      <c r="Q73" s="19">
        <v>1.0</v>
      </c>
      <c r="R73" s="19">
        <v>0.0</v>
      </c>
      <c r="S73" s="19">
        <v>0.0</v>
      </c>
      <c r="T73" s="19">
        <v>0.0</v>
      </c>
      <c r="U73" s="13">
        <f t="shared" si="18"/>
        <v>2</v>
      </c>
    </row>
    <row r="74" ht="12.75" customHeight="1">
      <c r="A74" s="18"/>
      <c r="B74" s="55">
        <v>5.0</v>
      </c>
      <c r="C74" s="50" t="s">
        <v>61</v>
      </c>
      <c r="D74" s="60"/>
      <c r="E74" s="19">
        <v>0.0</v>
      </c>
      <c r="F74" s="19">
        <v>0.0</v>
      </c>
      <c r="G74" s="19">
        <v>1.0</v>
      </c>
      <c r="H74" s="19">
        <v>1.0</v>
      </c>
      <c r="I74" s="19">
        <v>2.0</v>
      </c>
      <c r="J74" s="19">
        <v>3.0</v>
      </c>
      <c r="K74" s="19">
        <v>5.0</v>
      </c>
      <c r="L74" s="19">
        <v>0.0</v>
      </c>
      <c r="M74" s="19">
        <v>0.0</v>
      </c>
      <c r="N74" s="19">
        <v>1.0</v>
      </c>
      <c r="O74" s="19">
        <v>0.0</v>
      </c>
      <c r="P74" s="19">
        <v>4.0</v>
      </c>
      <c r="Q74" s="19">
        <v>0.0</v>
      </c>
      <c r="R74" s="19">
        <v>0.0</v>
      </c>
      <c r="S74" s="19">
        <v>1.0</v>
      </c>
      <c r="T74" s="19">
        <v>0.0</v>
      </c>
      <c r="U74" s="13">
        <f t="shared" si="18"/>
        <v>18</v>
      </c>
    </row>
    <row r="75" ht="12.75" customHeight="1">
      <c r="A75" s="18"/>
      <c r="B75" s="55">
        <v>6.0</v>
      </c>
      <c r="C75" s="50" t="s">
        <v>62</v>
      </c>
      <c r="D75" s="60"/>
      <c r="E75" s="19">
        <v>0.0</v>
      </c>
      <c r="F75" s="19">
        <v>0.0</v>
      </c>
      <c r="G75" s="19">
        <v>0.0</v>
      </c>
      <c r="H75" s="19">
        <v>1.0</v>
      </c>
      <c r="I75" s="19">
        <v>1.0</v>
      </c>
      <c r="J75" s="19">
        <v>0.0</v>
      </c>
      <c r="K75" s="19">
        <v>0.0</v>
      </c>
      <c r="L75" s="19">
        <v>0.0</v>
      </c>
      <c r="M75" s="19">
        <v>0.0</v>
      </c>
      <c r="N75" s="19">
        <v>0.0</v>
      </c>
      <c r="O75" s="19">
        <v>0.0</v>
      </c>
      <c r="P75" s="19">
        <v>0.0</v>
      </c>
      <c r="Q75" s="19">
        <v>0.0</v>
      </c>
      <c r="R75" s="19">
        <v>2.0</v>
      </c>
      <c r="S75" s="19">
        <v>0.0</v>
      </c>
      <c r="T75" s="19">
        <v>0.0</v>
      </c>
      <c r="U75" s="13">
        <f t="shared" si="18"/>
        <v>4</v>
      </c>
    </row>
    <row r="76" ht="12.75" customHeight="1">
      <c r="A76" s="18"/>
      <c r="B76" s="55">
        <v>7.0</v>
      </c>
      <c r="C76" s="50" t="s">
        <v>63</v>
      </c>
      <c r="D76" s="60"/>
      <c r="E76" s="19">
        <v>4.0</v>
      </c>
      <c r="F76" s="19">
        <v>2.0</v>
      </c>
      <c r="G76" s="19">
        <v>1.0</v>
      </c>
      <c r="H76" s="19">
        <v>2.0</v>
      </c>
      <c r="I76" s="19">
        <v>1.0</v>
      </c>
      <c r="J76" s="19">
        <v>4.0</v>
      </c>
      <c r="K76" s="19">
        <v>9.0</v>
      </c>
      <c r="L76" s="19">
        <v>2.0</v>
      </c>
      <c r="M76" s="19">
        <v>0.0</v>
      </c>
      <c r="N76" s="19">
        <v>0.0</v>
      </c>
      <c r="O76" s="19">
        <v>6.0</v>
      </c>
      <c r="P76" s="19">
        <v>5.0</v>
      </c>
      <c r="Q76" s="19">
        <v>7.0</v>
      </c>
      <c r="R76" s="19">
        <v>4.0</v>
      </c>
      <c r="S76" s="19">
        <v>0.0</v>
      </c>
      <c r="T76" s="19">
        <v>7.0</v>
      </c>
      <c r="U76" s="13">
        <f t="shared" si="18"/>
        <v>54</v>
      </c>
    </row>
    <row r="77" ht="12.75" customHeight="1">
      <c r="A77" s="18"/>
      <c r="B77" s="56"/>
      <c r="C77" s="57"/>
      <c r="D77" s="62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3">
        <f t="shared" si="18"/>
        <v>0</v>
      </c>
    </row>
    <row r="78" ht="12.75" customHeight="1">
      <c r="A78" s="18"/>
      <c r="B78" s="56"/>
      <c r="C78" s="57"/>
      <c r="D78" s="62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3">
        <f t="shared" si="18"/>
        <v>0</v>
      </c>
    </row>
    <row r="79" ht="12.75" customHeight="1">
      <c r="A79" s="19" t="s">
        <v>15</v>
      </c>
      <c r="B79" s="47" t="s">
        <v>47</v>
      </c>
      <c r="C79" s="15"/>
      <c r="D79" s="16"/>
      <c r="E79" s="13">
        <f t="shared" ref="E79:U79" si="19">SUM(E69:E78)</f>
        <v>30</v>
      </c>
      <c r="F79" s="13">
        <f t="shared" si="19"/>
        <v>14</v>
      </c>
      <c r="G79" s="13">
        <f t="shared" si="19"/>
        <v>10</v>
      </c>
      <c r="H79" s="13">
        <f t="shared" si="19"/>
        <v>8</v>
      </c>
      <c r="I79" s="13">
        <f t="shared" si="19"/>
        <v>19</v>
      </c>
      <c r="J79" s="13">
        <f t="shared" si="19"/>
        <v>26</v>
      </c>
      <c r="K79" s="13">
        <f t="shared" si="19"/>
        <v>28</v>
      </c>
      <c r="L79" s="13">
        <f t="shared" si="19"/>
        <v>11</v>
      </c>
      <c r="M79" s="13">
        <f t="shared" si="19"/>
        <v>16</v>
      </c>
      <c r="N79" s="13">
        <f t="shared" si="19"/>
        <v>30</v>
      </c>
      <c r="O79" s="13">
        <f t="shared" si="19"/>
        <v>36</v>
      </c>
      <c r="P79" s="13">
        <f t="shared" si="19"/>
        <v>65</v>
      </c>
      <c r="Q79" s="13">
        <f t="shared" si="19"/>
        <v>95</v>
      </c>
      <c r="R79" s="13">
        <f t="shared" si="19"/>
        <v>88</v>
      </c>
      <c r="S79" s="13">
        <f t="shared" si="19"/>
        <v>53</v>
      </c>
      <c r="T79" s="13">
        <f t="shared" si="19"/>
        <v>43</v>
      </c>
      <c r="U79" s="13">
        <f t="shared" si="19"/>
        <v>572</v>
      </c>
    </row>
    <row r="80" ht="12.75" customHeight="1">
      <c r="A80" s="45"/>
      <c r="B80" s="44"/>
      <c r="C80" s="44"/>
      <c r="D80" s="44"/>
      <c r="E80" s="44"/>
    </row>
    <row r="81" ht="12.75" customHeight="1">
      <c r="A81" s="30" t="s">
        <v>37</v>
      </c>
      <c r="B81" s="47" t="s">
        <v>23</v>
      </c>
      <c r="C81" s="48" t="s">
        <v>64</v>
      </c>
      <c r="D81" s="16"/>
      <c r="E81" s="19">
        <v>4.0</v>
      </c>
      <c r="F81" s="19">
        <v>2.0</v>
      </c>
      <c r="G81" s="19">
        <v>0.0</v>
      </c>
      <c r="H81" s="19">
        <v>1.0</v>
      </c>
      <c r="I81" s="19">
        <v>2.0</v>
      </c>
      <c r="J81" s="19">
        <v>1.0</v>
      </c>
      <c r="K81" s="19">
        <v>2.0</v>
      </c>
      <c r="L81" s="19">
        <v>2.0</v>
      </c>
      <c r="M81" s="19">
        <v>1.0</v>
      </c>
      <c r="N81" s="19">
        <v>0.0</v>
      </c>
      <c r="O81" s="19">
        <v>7.0</v>
      </c>
      <c r="P81" s="19">
        <v>3.0</v>
      </c>
      <c r="Q81" s="19">
        <v>1.0</v>
      </c>
      <c r="R81" s="19">
        <v>1.0</v>
      </c>
      <c r="S81" s="19">
        <v>4.0</v>
      </c>
      <c r="T81" s="19">
        <v>2.0</v>
      </c>
      <c r="U81" s="13">
        <f t="shared" ref="U81:U90" si="20">SUM(E81:T81)</f>
        <v>33</v>
      </c>
    </row>
    <row r="82" ht="12.75" customHeight="1">
      <c r="A82" s="30" t="s">
        <v>39</v>
      </c>
      <c r="B82" s="55">
        <v>1.0</v>
      </c>
      <c r="C82" s="50" t="s">
        <v>65</v>
      </c>
      <c r="D82" s="60"/>
      <c r="E82" s="19">
        <v>0.0</v>
      </c>
      <c r="F82" s="19">
        <v>2.0</v>
      </c>
      <c r="G82" s="19">
        <v>2.0</v>
      </c>
      <c r="H82" s="19">
        <v>7.0</v>
      </c>
      <c r="I82" s="19">
        <v>3.0</v>
      </c>
      <c r="J82" s="19">
        <v>8.0</v>
      </c>
      <c r="K82" s="19">
        <v>6.0</v>
      </c>
      <c r="L82" s="19">
        <v>1.0</v>
      </c>
      <c r="M82" s="19">
        <v>5.0</v>
      </c>
      <c r="N82" s="19">
        <v>1.0</v>
      </c>
      <c r="O82" s="19">
        <v>5.0</v>
      </c>
      <c r="P82" s="19">
        <v>7.0</v>
      </c>
      <c r="Q82" s="19">
        <v>11.0</v>
      </c>
      <c r="R82" s="19">
        <v>21.0</v>
      </c>
      <c r="S82" s="19">
        <v>31.0</v>
      </c>
      <c r="T82" s="19">
        <v>31.0</v>
      </c>
      <c r="U82" s="13">
        <f t="shared" si="20"/>
        <v>141</v>
      </c>
    </row>
    <row r="83" ht="12.75" customHeight="1">
      <c r="A83" s="18"/>
      <c r="B83" s="55">
        <v>2.0</v>
      </c>
      <c r="C83" s="50" t="s">
        <v>66</v>
      </c>
      <c r="D83" s="60"/>
      <c r="E83" s="19">
        <v>5.0</v>
      </c>
      <c r="F83" s="19">
        <v>2.0</v>
      </c>
      <c r="G83" s="19">
        <v>0.0</v>
      </c>
      <c r="H83" s="19">
        <v>3.0</v>
      </c>
      <c r="I83" s="19">
        <v>2.0</v>
      </c>
      <c r="J83" s="19">
        <v>0.0</v>
      </c>
      <c r="K83" s="19">
        <v>2.0</v>
      </c>
      <c r="L83" s="19">
        <v>4.0</v>
      </c>
      <c r="M83" s="19">
        <v>0.0</v>
      </c>
      <c r="N83" s="19">
        <v>0.0</v>
      </c>
      <c r="O83" s="19">
        <v>8.0</v>
      </c>
      <c r="P83" s="19">
        <v>0.0</v>
      </c>
      <c r="Q83" s="19">
        <v>2.0</v>
      </c>
      <c r="R83" s="19">
        <v>4.0</v>
      </c>
      <c r="S83" s="19">
        <v>1.0</v>
      </c>
      <c r="T83" s="19">
        <v>2.0</v>
      </c>
      <c r="U83" s="13">
        <f t="shared" si="20"/>
        <v>35</v>
      </c>
    </row>
    <row r="84" ht="12.75" customHeight="1">
      <c r="A84" s="18"/>
      <c r="B84" s="55">
        <v>3.0</v>
      </c>
      <c r="C84" s="50" t="s">
        <v>67</v>
      </c>
      <c r="D84" s="60"/>
      <c r="E84" s="19">
        <v>0.0</v>
      </c>
      <c r="F84" s="19">
        <v>0.0</v>
      </c>
      <c r="G84" s="19">
        <v>0.0</v>
      </c>
      <c r="H84" s="19">
        <v>0.0</v>
      </c>
      <c r="I84" s="19">
        <v>0.0</v>
      </c>
      <c r="J84" s="19">
        <v>0.0</v>
      </c>
      <c r="K84" s="19">
        <v>1.0</v>
      </c>
      <c r="L84" s="19">
        <v>0.0</v>
      </c>
      <c r="M84" s="19">
        <v>0.0</v>
      </c>
      <c r="N84" s="19">
        <v>1.0</v>
      </c>
      <c r="O84" s="19">
        <v>1.0</v>
      </c>
      <c r="P84" s="19">
        <v>0.0</v>
      </c>
      <c r="Q84" s="19">
        <v>0.0</v>
      </c>
      <c r="R84" s="19">
        <v>0.0</v>
      </c>
      <c r="S84" s="19">
        <v>0.0</v>
      </c>
      <c r="T84" s="19">
        <v>0.0</v>
      </c>
      <c r="U84" s="13">
        <f t="shared" si="20"/>
        <v>3</v>
      </c>
    </row>
    <row r="85" ht="12.75" customHeight="1">
      <c r="A85" s="18"/>
      <c r="B85" s="55">
        <v>4.0</v>
      </c>
      <c r="C85" s="50" t="s">
        <v>68</v>
      </c>
      <c r="D85" s="60"/>
      <c r="E85" s="19">
        <v>0.0</v>
      </c>
      <c r="F85" s="19">
        <v>0.0</v>
      </c>
      <c r="G85" s="19">
        <v>0.0</v>
      </c>
      <c r="H85" s="19">
        <v>0.0</v>
      </c>
      <c r="I85" s="19">
        <v>0.0</v>
      </c>
      <c r="J85" s="19">
        <v>1.0</v>
      </c>
      <c r="K85" s="19">
        <v>0.0</v>
      </c>
      <c r="L85" s="19">
        <v>0.0</v>
      </c>
      <c r="M85" s="19">
        <v>0.0</v>
      </c>
      <c r="N85" s="19">
        <v>0.0</v>
      </c>
      <c r="O85" s="19">
        <v>0.0</v>
      </c>
      <c r="P85" s="19">
        <v>2.0</v>
      </c>
      <c r="Q85" s="19">
        <v>1.0</v>
      </c>
      <c r="R85" s="19">
        <v>0.0</v>
      </c>
      <c r="S85" s="19">
        <v>0.0</v>
      </c>
      <c r="T85" s="19">
        <v>1.0</v>
      </c>
      <c r="U85" s="13">
        <f t="shared" si="20"/>
        <v>5</v>
      </c>
    </row>
    <row r="86" ht="12.75" customHeight="1">
      <c r="A86" s="18"/>
      <c r="B86" s="55">
        <v>5.0</v>
      </c>
      <c r="C86" s="50" t="s">
        <v>69</v>
      </c>
      <c r="D86" s="60"/>
      <c r="E86" s="19">
        <v>1.0</v>
      </c>
      <c r="F86" s="19">
        <v>0.0</v>
      </c>
      <c r="G86" s="19">
        <v>0.0</v>
      </c>
      <c r="H86" s="19">
        <v>0.0</v>
      </c>
      <c r="I86" s="19">
        <v>1.0</v>
      </c>
      <c r="J86" s="19">
        <v>0.0</v>
      </c>
      <c r="K86" s="19">
        <v>0.0</v>
      </c>
      <c r="L86" s="19">
        <v>0.0</v>
      </c>
      <c r="M86" s="19">
        <v>0.0</v>
      </c>
      <c r="N86" s="19">
        <v>0.0</v>
      </c>
      <c r="O86" s="19">
        <v>0.0</v>
      </c>
      <c r="P86" s="19">
        <v>0.0</v>
      </c>
      <c r="Q86" s="19">
        <v>0.0</v>
      </c>
      <c r="R86" s="19">
        <v>0.0</v>
      </c>
      <c r="S86" s="19">
        <v>0.0</v>
      </c>
      <c r="T86" s="19">
        <v>0.0</v>
      </c>
      <c r="U86" s="13">
        <f t="shared" si="20"/>
        <v>2</v>
      </c>
    </row>
    <row r="87" ht="12.75" customHeight="1">
      <c r="A87" s="18"/>
      <c r="B87" s="55">
        <v>6.0</v>
      </c>
      <c r="C87" s="50" t="s">
        <v>70</v>
      </c>
      <c r="D87" s="60"/>
      <c r="E87" s="19">
        <v>0.0</v>
      </c>
      <c r="F87" s="19">
        <v>0.0</v>
      </c>
      <c r="G87" s="19">
        <v>0.0</v>
      </c>
      <c r="H87" s="19">
        <v>1.0</v>
      </c>
      <c r="I87" s="19">
        <v>0.0</v>
      </c>
      <c r="J87" s="19">
        <v>0.0</v>
      </c>
      <c r="K87" s="19">
        <v>0.0</v>
      </c>
      <c r="L87" s="19">
        <v>0.0</v>
      </c>
      <c r="M87" s="19">
        <v>0.0</v>
      </c>
      <c r="N87" s="19">
        <v>0.0</v>
      </c>
      <c r="O87" s="19">
        <v>0.0</v>
      </c>
      <c r="P87" s="19">
        <v>0.0</v>
      </c>
      <c r="Q87" s="19">
        <v>1.0</v>
      </c>
      <c r="R87" s="19">
        <v>0.0</v>
      </c>
      <c r="S87" s="19">
        <v>0.0</v>
      </c>
      <c r="T87" s="19">
        <v>0.0</v>
      </c>
      <c r="U87" s="13">
        <f t="shared" si="20"/>
        <v>2</v>
      </c>
    </row>
    <row r="88" ht="12.75" customHeight="1">
      <c r="A88" s="18"/>
      <c r="B88" s="55">
        <v>7.0</v>
      </c>
      <c r="C88" s="50" t="s">
        <v>71</v>
      </c>
      <c r="D88" s="60"/>
      <c r="E88" s="19">
        <v>0.0</v>
      </c>
      <c r="F88" s="19">
        <v>0.0</v>
      </c>
      <c r="G88" s="19">
        <v>0.0</v>
      </c>
      <c r="H88" s="19">
        <v>0.0</v>
      </c>
      <c r="I88" s="19">
        <v>0.0</v>
      </c>
      <c r="J88" s="19">
        <v>0.0</v>
      </c>
      <c r="K88" s="19">
        <v>0.0</v>
      </c>
      <c r="L88" s="19">
        <v>0.0</v>
      </c>
      <c r="M88" s="19">
        <v>0.0</v>
      </c>
      <c r="N88" s="19">
        <v>0.0</v>
      </c>
      <c r="O88" s="19">
        <v>0.0</v>
      </c>
      <c r="P88" s="19">
        <v>0.0</v>
      </c>
      <c r="Q88" s="19">
        <v>0.0</v>
      </c>
      <c r="R88" s="19">
        <v>0.0</v>
      </c>
      <c r="S88" s="19">
        <v>0.0</v>
      </c>
      <c r="T88" s="19">
        <v>0.0</v>
      </c>
      <c r="U88" s="13">
        <f t="shared" si="20"/>
        <v>0</v>
      </c>
    </row>
    <row r="89" ht="12.75" customHeight="1">
      <c r="A89" s="18"/>
      <c r="B89" s="56"/>
      <c r="C89" s="57"/>
      <c r="D89" s="62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3">
        <f t="shared" si="20"/>
        <v>0</v>
      </c>
    </row>
    <row r="90" ht="12.75" customHeight="1">
      <c r="A90" s="18"/>
      <c r="B90" s="56"/>
      <c r="C90" s="57"/>
      <c r="D90" s="62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3">
        <f t="shared" si="20"/>
        <v>0</v>
      </c>
    </row>
    <row r="91" ht="12.75" customHeight="1">
      <c r="A91" s="19" t="s">
        <v>15</v>
      </c>
      <c r="B91" s="47" t="s">
        <v>47</v>
      </c>
      <c r="C91" s="15"/>
      <c r="D91" s="16"/>
      <c r="E91" s="13">
        <f t="shared" ref="E91:U91" si="21">SUM(E81:E90)</f>
        <v>10</v>
      </c>
      <c r="F91" s="13">
        <f t="shared" si="21"/>
        <v>6</v>
      </c>
      <c r="G91" s="13">
        <f t="shared" si="21"/>
        <v>2</v>
      </c>
      <c r="H91" s="13">
        <f t="shared" si="21"/>
        <v>12</v>
      </c>
      <c r="I91" s="13">
        <f t="shared" si="21"/>
        <v>8</v>
      </c>
      <c r="J91" s="13">
        <f t="shared" si="21"/>
        <v>10</v>
      </c>
      <c r="K91" s="13">
        <f t="shared" si="21"/>
        <v>11</v>
      </c>
      <c r="L91" s="13">
        <f t="shared" si="21"/>
        <v>7</v>
      </c>
      <c r="M91" s="13">
        <f t="shared" si="21"/>
        <v>6</v>
      </c>
      <c r="N91" s="13">
        <f t="shared" si="21"/>
        <v>2</v>
      </c>
      <c r="O91" s="13">
        <f t="shared" si="21"/>
        <v>21</v>
      </c>
      <c r="P91" s="13">
        <f t="shared" si="21"/>
        <v>12</v>
      </c>
      <c r="Q91" s="13">
        <f t="shared" si="21"/>
        <v>16</v>
      </c>
      <c r="R91" s="13">
        <f t="shared" si="21"/>
        <v>26</v>
      </c>
      <c r="S91" s="13">
        <f t="shared" si="21"/>
        <v>36</v>
      </c>
      <c r="T91" s="13">
        <f t="shared" si="21"/>
        <v>36</v>
      </c>
      <c r="U91" s="13">
        <f t="shared" si="21"/>
        <v>221</v>
      </c>
    </row>
    <row r="92" ht="12.75" customHeight="1">
      <c r="A92" s="45"/>
      <c r="B92" s="44"/>
      <c r="C92" s="44"/>
      <c r="D92" s="44"/>
      <c r="E92" s="44"/>
    </row>
    <row r="93" ht="12.75" customHeight="1">
      <c r="A93" s="30" t="s">
        <v>37</v>
      </c>
      <c r="B93" s="47" t="s">
        <v>72</v>
      </c>
      <c r="C93" s="48" t="s">
        <v>73</v>
      </c>
      <c r="D93" s="16"/>
      <c r="E93" s="19">
        <v>0.0</v>
      </c>
      <c r="F93" s="19">
        <v>0.0</v>
      </c>
      <c r="G93" s="19">
        <v>0.0</v>
      </c>
      <c r="H93" s="19">
        <v>1.0</v>
      </c>
      <c r="I93" s="19">
        <v>0.0</v>
      </c>
      <c r="J93" s="19">
        <v>0.0</v>
      </c>
      <c r="K93" s="19">
        <v>0.0</v>
      </c>
      <c r="L93" s="19">
        <v>0.0</v>
      </c>
      <c r="M93" s="19">
        <v>0.0</v>
      </c>
      <c r="N93" s="19">
        <v>0.0</v>
      </c>
      <c r="O93" s="19">
        <v>0.0</v>
      </c>
      <c r="P93" s="19">
        <v>1.0</v>
      </c>
      <c r="Q93" s="19">
        <v>0.0</v>
      </c>
      <c r="R93" s="19">
        <v>1.0</v>
      </c>
      <c r="S93" s="19">
        <v>0.0</v>
      </c>
      <c r="T93" s="19">
        <v>0.0</v>
      </c>
      <c r="U93" s="13">
        <f t="shared" ref="U93:U102" si="22">SUM(E93:T93)</f>
        <v>3</v>
      </c>
    </row>
    <row r="94" ht="12.75" customHeight="1">
      <c r="A94" s="30" t="s">
        <v>39</v>
      </c>
      <c r="B94" s="55">
        <v>1.0</v>
      </c>
      <c r="C94" s="50" t="s">
        <v>74</v>
      </c>
      <c r="D94" s="60"/>
      <c r="E94" s="19">
        <v>0.0</v>
      </c>
      <c r="F94" s="19">
        <v>1.0</v>
      </c>
      <c r="G94" s="19">
        <v>0.0</v>
      </c>
      <c r="H94" s="19">
        <v>1.0</v>
      </c>
      <c r="I94" s="19">
        <v>1.0</v>
      </c>
      <c r="J94" s="19">
        <v>0.0</v>
      </c>
      <c r="K94" s="19">
        <v>1.0</v>
      </c>
      <c r="L94" s="19">
        <v>0.0</v>
      </c>
      <c r="M94" s="19">
        <v>0.0</v>
      </c>
      <c r="N94" s="19">
        <v>0.0</v>
      </c>
      <c r="O94" s="19">
        <v>1.0</v>
      </c>
      <c r="P94" s="19">
        <v>0.0</v>
      </c>
      <c r="Q94" s="19">
        <v>0.0</v>
      </c>
      <c r="R94" s="19">
        <v>0.0</v>
      </c>
      <c r="S94" s="19">
        <v>1.0</v>
      </c>
      <c r="T94" s="19">
        <v>0.0</v>
      </c>
      <c r="U94" s="13">
        <f t="shared" si="22"/>
        <v>6</v>
      </c>
    </row>
    <row r="95" ht="12.75" customHeight="1">
      <c r="A95" s="18"/>
      <c r="B95" s="55">
        <v>2.0</v>
      </c>
      <c r="C95" s="50" t="s">
        <v>75</v>
      </c>
      <c r="D95" s="60"/>
      <c r="E95" s="19">
        <v>0.0</v>
      </c>
      <c r="F95" s="19">
        <v>0.0</v>
      </c>
      <c r="G95" s="19">
        <v>0.0</v>
      </c>
      <c r="H95" s="19">
        <v>0.0</v>
      </c>
      <c r="I95" s="19">
        <v>0.0</v>
      </c>
      <c r="J95" s="19">
        <v>0.0</v>
      </c>
      <c r="K95" s="19">
        <v>0.0</v>
      </c>
      <c r="L95" s="19">
        <v>0.0</v>
      </c>
      <c r="M95" s="19">
        <v>0.0</v>
      </c>
      <c r="N95" s="19">
        <v>0.0</v>
      </c>
      <c r="O95" s="19">
        <v>0.0</v>
      </c>
      <c r="P95" s="19">
        <v>0.0</v>
      </c>
      <c r="Q95" s="19">
        <v>0.0</v>
      </c>
      <c r="R95" s="19">
        <v>0.0</v>
      </c>
      <c r="S95" s="19">
        <v>0.0</v>
      </c>
      <c r="T95" s="19">
        <v>0.0</v>
      </c>
      <c r="U95" s="13">
        <f t="shared" si="22"/>
        <v>0</v>
      </c>
    </row>
    <row r="96" ht="12.75" customHeight="1">
      <c r="A96" s="18"/>
      <c r="B96" s="55">
        <v>3.0</v>
      </c>
      <c r="C96" s="50" t="s">
        <v>76</v>
      </c>
      <c r="D96" s="60"/>
      <c r="E96" s="19">
        <v>0.0</v>
      </c>
      <c r="F96" s="19">
        <v>0.0</v>
      </c>
      <c r="G96" s="19">
        <v>0.0</v>
      </c>
      <c r="H96" s="19">
        <v>0.0</v>
      </c>
      <c r="I96" s="19">
        <v>0.0</v>
      </c>
      <c r="J96" s="19">
        <v>0.0</v>
      </c>
      <c r="K96" s="19">
        <v>0.0</v>
      </c>
      <c r="L96" s="19">
        <v>0.0</v>
      </c>
      <c r="M96" s="19">
        <v>0.0</v>
      </c>
      <c r="N96" s="19">
        <v>0.0</v>
      </c>
      <c r="O96" s="19">
        <v>0.0</v>
      </c>
      <c r="P96" s="19">
        <v>0.0</v>
      </c>
      <c r="Q96" s="19">
        <v>1.0</v>
      </c>
      <c r="R96" s="19">
        <v>0.0</v>
      </c>
      <c r="S96" s="19">
        <v>0.0</v>
      </c>
      <c r="T96" s="19">
        <v>0.0</v>
      </c>
      <c r="U96" s="13">
        <f t="shared" si="22"/>
        <v>1</v>
      </c>
    </row>
    <row r="97" ht="12.75" customHeight="1">
      <c r="A97" s="18"/>
      <c r="B97" s="55">
        <v>4.0</v>
      </c>
      <c r="C97" s="50" t="s">
        <v>77</v>
      </c>
      <c r="D97" s="60"/>
      <c r="E97" s="19">
        <v>0.0</v>
      </c>
      <c r="F97" s="19">
        <v>1.0</v>
      </c>
      <c r="G97" s="19">
        <v>0.0</v>
      </c>
      <c r="H97" s="19">
        <v>0.0</v>
      </c>
      <c r="I97" s="19">
        <v>0.0</v>
      </c>
      <c r="J97" s="19">
        <v>0.0</v>
      </c>
      <c r="K97" s="19">
        <v>0.0</v>
      </c>
      <c r="L97" s="19">
        <v>0.0</v>
      </c>
      <c r="M97" s="19">
        <v>0.0</v>
      </c>
      <c r="N97" s="19">
        <v>0.0</v>
      </c>
      <c r="O97" s="19">
        <v>0.0</v>
      </c>
      <c r="P97" s="19">
        <v>0.0</v>
      </c>
      <c r="Q97" s="19">
        <v>0.0</v>
      </c>
      <c r="R97" s="19">
        <v>1.0</v>
      </c>
      <c r="S97" s="19">
        <v>0.0</v>
      </c>
      <c r="T97" s="19">
        <v>0.0</v>
      </c>
      <c r="U97" s="13">
        <f t="shared" si="22"/>
        <v>2</v>
      </c>
    </row>
    <row r="98" ht="12.75" customHeight="1">
      <c r="A98" s="18"/>
      <c r="B98" s="55">
        <v>5.0</v>
      </c>
      <c r="C98" s="50" t="s">
        <v>78</v>
      </c>
      <c r="D98" s="60"/>
      <c r="E98" s="19">
        <v>0.0</v>
      </c>
      <c r="F98" s="19">
        <v>0.0</v>
      </c>
      <c r="G98" s="19">
        <v>0.0</v>
      </c>
      <c r="H98" s="19">
        <v>0.0</v>
      </c>
      <c r="I98" s="19">
        <v>0.0</v>
      </c>
      <c r="J98" s="19">
        <v>0.0</v>
      </c>
      <c r="K98" s="19">
        <v>0.0</v>
      </c>
      <c r="L98" s="19">
        <v>0.0</v>
      </c>
      <c r="M98" s="19">
        <v>0.0</v>
      </c>
      <c r="N98" s="19">
        <v>0.0</v>
      </c>
      <c r="O98" s="19">
        <v>0.0</v>
      </c>
      <c r="P98" s="19">
        <v>0.0</v>
      </c>
      <c r="Q98" s="19">
        <v>0.0</v>
      </c>
      <c r="R98" s="19">
        <v>0.0</v>
      </c>
      <c r="S98" s="19">
        <v>0.0</v>
      </c>
      <c r="T98" s="19">
        <v>0.0</v>
      </c>
      <c r="U98" s="13">
        <f t="shared" si="22"/>
        <v>0</v>
      </c>
    </row>
    <row r="99" ht="12.75" customHeight="1">
      <c r="A99" s="18"/>
      <c r="B99" s="55">
        <v>6.0</v>
      </c>
      <c r="C99" s="50" t="s">
        <v>79</v>
      </c>
      <c r="D99" s="60"/>
      <c r="E99" s="19">
        <v>0.0</v>
      </c>
      <c r="F99" s="19">
        <v>0.0</v>
      </c>
      <c r="G99" s="19">
        <v>0.0</v>
      </c>
      <c r="H99" s="19">
        <v>0.0</v>
      </c>
      <c r="I99" s="19">
        <v>0.0</v>
      </c>
      <c r="J99" s="19">
        <v>0.0</v>
      </c>
      <c r="K99" s="19">
        <v>0.0</v>
      </c>
      <c r="L99" s="19">
        <v>0.0</v>
      </c>
      <c r="M99" s="19">
        <v>0.0</v>
      </c>
      <c r="N99" s="19">
        <v>3.0</v>
      </c>
      <c r="O99" s="19">
        <v>0.0</v>
      </c>
      <c r="P99" s="19">
        <v>0.0</v>
      </c>
      <c r="Q99" s="19">
        <v>0.0</v>
      </c>
      <c r="R99" s="19">
        <v>1.0</v>
      </c>
      <c r="S99" s="19">
        <v>0.0</v>
      </c>
      <c r="T99" s="19">
        <v>0.0</v>
      </c>
      <c r="U99" s="13">
        <f t="shared" si="22"/>
        <v>4</v>
      </c>
    </row>
    <row r="100" ht="12.75" customHeight="1">
      <c r="A100" s="18"/>
      <c r="B100" s="55">
        <v>7.0</v>
      </c>
      <c r="C100" s="50" t="s">
        <v>80</v>
      </c>
      <c r="D100" s="60"/>
      <c r="E100" s="19">
        <v>0.0</v>
      </c>
      <c r="F100" s="19">
        <v>0.0</v>
      </c>
      <c r="G100" s="19">
        <v>1.0</v>
      </c>
      <c r="H100" s="19">
        <v>0.0</v>
      </c>
      <c r="I100" s="19">
        <v>0.0</v>
      </c>
      <c r="J100" s="19">
        <v>0.0</v>
      </c>
      <c r="K100" s="19">
        <v>0.0</v>
      </c>
      <c r="L100" s="19">
        <v>0.0</v>
      </c>
      <c r="M100" s="19">
        <v>0.0</v>
      </c>
      <c r="N100" s="19">
        <v>0.0</v>
      </c>
      <c r="O100" s="19">
        <v>0.0</v>
      </c>
      <c r="P100" s="19">
        <v>0.0</v>
      </c>
      <c r="Q100" s="19">
        <v>0.0</v>
      </c>
      <c r="R100" s="19">
        <v>0.0</v>
      </c>
      <c r="S100" s="19">
        <v>0.0</v>
      </c>
      <c r="T100" s="19">
        <v>0.0</v>
      </c>
      <c r="U100" s="13">
        <f t="shared" si="22"/>
        <v>1</v>
      </c>
    </row>
    <row r="101" ht="12.75" customHeight="1">
      <c r="A101" s="18"/>
      <c r="B101" s="56"/>
      <c r="C101" s="57"/>
      <c r="D101" s="62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3">
        <f t="shared" si="22"/>
        <v>0</v>
      </c>
    </row>
    <row r="102" ht="12.75" customHeight="1">
      <c r="A102" s="18"/>
      <c r="B102" s="56"/>
      <c r="C102" s="57"/>
      <c r="D102" s="62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3">
        <f t="shared" si="22"/>
        <v>0</v>
      </c>
    </row>
    <row r="103" ht="12.75" customHeight="1">
      <c r="A103" s="19" t="s">
        <v>15</v>
      </c>
      <c r="B103" s="47" t="s">
        <v>47</v>
      </c>
      <c r="C103" s="15"/>
      <c r="D103" s="16"/>
      <c r="E103" s="13">
        <f t="shared" ref="E103:U103" si="23">SUM(E93:E102)</f>
        <v>0</v>
      </c>
      <c r="F103" s="13">
        <f t="shared" si="23"/>
        <v>2</v>
      </c>
      <c r="G103" s="13">
        <f t="shared" si="23"/>
        <v>1</v>
      </c>
      <c r="H103" s="13">
        <f t="shared" si="23"/>
        <v>2</v>
      </c>
      <c r="I103" s="13">
        <f t="shared" si="23"/>
        <v>1</v>
      </c>
      <c r="J103" s="13">
        <f t="shared" si="23"/>
        <v>0</v>
      </c>
      <c r="K103" s="13">
        <f t="shared" si="23"/>
        <v>1</v>
      </c>
      <c r="L103" s="13">
        <f t="shared" si="23"/>
        <v>0</v>
      </c>
      <c r="M103" s="13">
        <f t="shared" si="23"/>
        <v>0</v>
      </c>
      <c r="N103" s="13">
        <f t="shared" si="23"/>
        <v>3</v>
      </c>
      <c r="O103" s="13">
        <f t="shared" si="23"/>
        <v>1</v>
      </c>
      <c r="P103" s="13">
        <f t="shared" si="23"/>
        <v>1</v>
      </c>
      <c r="Q103" s="13">
        <f t="shared" si="23"/>
        <v>1</v>
      </c>
      <c r="R103" s="13">
        <f t="shared" si="23"/>
        <v>3</v>
      </c>
      <c r="S103" s="13">
        <f t="shared" si="23"/>
        <v>1</v>
      </c>
      <c r="T103" s="13">
        <f t="shared" si="23"/>
        <v>0</v>
      </c>
      <c r="U103" s="13">
        <f t="shared" si="23"/>
        <v>17</v>
      </c>
    </row>
    <row r="104" ht="12.75" customHeight="1">
      <c r="A104" s="45"/>
      <c r="B104" s="44"/>
      <c r="C104" s="44"/>
      <c r="D104" s="44"/>
      <c r="E104" s="44"/>
      <c r="F104" s="84"/>
      <c r="G104" s="84"/>
      <c r="H104" s="84"/>
      <c r="I104" s="84"/>
      <c r="J104" s="84"/>
      <c r="K104" s="84"/>
      <c r="L104" s="84"/>
      <c r="M104" s="84"/>
      <c r="N104" s="84"/>
      <c r="O104" s="84"/>
      <c r="P104" s="84"/>
      <c r="Q104" s="84"/>
      <c r="R104" s="84"/>
      <c r="S104" s="84"/>
      <c r="T104" s="84"/>
      <c r="U104" s="84"/>
    </row>
    <row r="105" ht="12.75" customHeight="1">
      <c r="A105" s="30" t="s">
        <v>37</v>
      </c>
      <c r="B105" s="47" t="s">
        <v>81</v>
      </c>
      <c r="C105" s="48" t="s">
        <v>82</v>
      </c>
      <c r="D105" s="16"/>
      <c r="E105" s="19">
        <v>0.0</v>
      </c>
      <c r="F105" s="19">
        <v>1.0</v>
      </c>
      <c r="G105" s="19">
        <v>0.0</v>
      </c>
      <c r="H105" s="19">
        <v>0.0</v>
      </c>
      <c r="I105" s="19">
        <v>0.0</v>
      </c>
      <c r="J105" s="19">
        <v>0.0</v>
      </c>
      <c r="K105" s="19">
        <v>0.0</v>
      </c>
      <c r="L105" s="19">
        <v>0.0</v>
      </c>
      <c r="M105" s="19">
        <v>0.0</v>
      </c>
      <c r="N105" s="19">
        <v>0.0</v>
      </c>
      <c r="O105" s="19">
        <v>2.0</v>
      </c>
      <c r="P105" s="19">
        <v>0.0</v>
      </c>
      <c r="Q105" s="19">
        <v>0.0</v>
      </c>
      <c r="R105" s="19">
        <v>2.0</v>
      </c>
      <c r="S105" s="19">
        <v>0.0</v>
      </c>
      <c r="T105" s="19">
        <v>0.0</v>
      </c>
      <c r="U105" s="13">
        <f t="shared" ref="U105:U114" si="24">SUM(E105:T105)</f>
        <v>5</v>
      </c>
    </row>
    <row r="106" ht="12.75" customHeight="1">
      <c r="A106" s="30" t="s">
        <v>39</v>
      </c>
      <c r="B106" s="55">
        <v>1.0</v>
      </c>
      <c r="C106" s="50" t="s">
        <v>83</v>
      </c>
      <c r="D106" s="60"/>
      <c r="E106" s="19">
        <v>0.0</v>
      </c>
      <c r="F106" s="19">
        <v>0.0</v>
      </c>
      <c r="G106" s="19">
        <v>0.0</v>
      </c>
      <c r="H106" s="19">
        <v>1.0</v>
      </c>
      <c r="I106" s="19">
        <v>1.0</v>
      </c>
      <c r="J106" s="19">
        <v>0.0</v>
      </c>
      <c r="K106" s="19">
        <v>0.0</v>
      </c>
      <c r="L106" s="19">
        <v>0.0</v>
      </c>
      <c r="M106" s="19">
        <v>0.0</v>
      </c>
      <c r="N106" s="19">
        <v>0.0</v>
      </c>
      <c r="O106" s="19">
        <v>0.0</v>
      </c>
      <c r="P106" s="19">
        <v>0.0</v>
      </c>
      <c r="Q106" s="19">
        <v>0.0</v>
      </c>
      <c r="R106" s="19">
        <v>0.0</v>
      </c>
      <c r="S106" s="19">
        <v>0.0</v>
      </c>
      <c r="T106" s="19">
        <v>0.0</v>
      </c>
      <c r="U106" s="13">
        <f t="shared" si="24"/>
        <v>2</v>
      </c>
    </row>
    <row r="107" ht="12.75" customHeight="1">
      <c r="A107" s="18"/>
      <c r="B107" s="55">
        <v>2.0</v>
      </c>
      <c r="C107" s="50" t="s">
        <v>84</v>
      </c>
      <c r="D107" s="60"/>
      <c r="E107" s="19">
        <v>0.0</v>
      </c>
      <c r="F107" s="19">
        <v>0.0</v>
      </c>
      <c r="G107" s="19">
        <v>0.0</v>
      </c>
      <c r="H107" s="19">
        <v>0.0</v>
      </c>
      <c r="I107" s="19">
        <v>0.0</v>
      </c>
      <c r="J107" s="19">
        <v>0.0</v>
      </c>
      <c r="K107" s="19">
        <v>0.0</v>
      </c>
      <c r="L107" s="19">
        <v>0.0</v>
      </c>
      <c r="M107" s="19">
        <v>0.0</v>
      </c>
      <c r="N107" s="19">
        <v>0.0</v>
      </c>
      <c r="O107" s="19">
        <v>0.0</v>
      </c>
      <c r="P107" s="19">
        <v>1.0</v>
      </c>
      <c r="Q107" s="19">
        <v>0.0</v>
      </c>
      <c r="R107" s="19">
        <v>1.0</v>
      </c>
      <c r="S107" s="19">
        <v>0.0</v>
      </c>
      <c r="T107" s="19">
        <v>0.0</v>
      </c>
      <c r="U107" s="13">
        <f t="shared" si="24"/>
        <v>2</v>
      </c>
    </row>
    <row r="108" ht="12.75" customHeight="1">
      <c r="A108" s="18"/>
      <c r="B108" s="55">
        <v>3.0</v>
      </c>
      <c r="C108" s="50" t="s">
        <v>85</v>
      </c>
      <c r="D108" s="60"/>
      <c r="E108" s="85">
        <v>0.0</v>
      </c>
      <c r="F108" s="19">
        <v>0.0</v>
      </c>
      <c r="G108" s="19">
        <v>0.0</v>
      </c>
      <c r="H108" s="19">
        <v>0.0</v>
      </c>
      <c r="I108" s="19">
        <v>0.0</v>
      </c>
      <c r="J108" s="19">
        <v>0.0</v>
      </c>
      <c r="K108" s="19">
        <v>0.0</v>
      </c>
      <c r="L108" s="19">
        <v>0.0</v>
      </c>
      <c r="M108" s="19">
        <v>0.0</v>
      </c>
      <c r="N108" s="19">
        <v>0.0</v>
      </c>
      <c r="O108" s="19">
        <v>0.0</v>
      </c>
      <c r="P108" s="19">
        <v>0.0</v>
      </c>
      <c r="Q108" s="19">
        <v>0.0</v>
      </c>
      <c r="R108" s="19">
        <v>0.0</v>
      </c>
      <c r="S108" s="19">
        <v>0.0</v>
      </c>
      <c r="T108" s="19">
        <v>0.0</v>
      </c>
      <c r="U108" s="13">
        <f t="shared" si="24"/>
        <v>0</v>
      </c>
    </row>
    <row r="109" ht="12.75" customHeight="1">
      <c r="A109" s="18"/>
      <c r="B109" s="55">
        <v>4.0</v>
      </c>
      <c r="C109" s="50" t="s">
        <v>86</v>
      </c>
      <c r="D109" s="60"/>
      <c r="E109" s="85">
        <v>0.0</v>
      </c>
      <c r="F109" s="19">
        <v>0.0</v>
      </c>
      <c r="G109" s="19">
        <v>0.0</v>
      </c>
      <c r="H109" s="19">
        <v>0.0</v>
      </c>
      <c r="I109" s="19">
        <v>0.0</v>
      </c>
      <c r="J109" s="19">
        <v>0.0</v>
      </c>
      <c r="K109" s="19">
        <v>0.0</v>
      </c>
      <c r="L109" s="19">
        <v>0.0</v>
      </c>
      <c r="M109" s="19">
        <v>0.0</v>
      </c>
      <c r="N109" s="19">
        <v>0.0</v>
      </c>
      <c r="O109" s="19">
        <v>0.0</v>
      </c>
      <c r="P109" s="19">
        <v>0.0</v>
      </c>
      <c r="Q109" s="19">
        <v>0.0</v>
      </c>
      <c r="R109" s="19">
        <v>0.0</v>
      </c>
      <c r="S109" s="19">
        <v>0.0</v>
      </c>
      <c r="T109" s="19">
        <v>0.0</v>
      </c>
      <c r="U109" s="13">
        <f t="shared" si="24"/>
        <v>0</v>
      </c>
    </row>
    <row r="110" ht="12.75" customHeight="1">
      <c r="A110" s="18"/>
      <c r="B110" s="55">
        <v>5.0</v>
      </c>
      <c r="C110" s="50" t="s">
        <v>87</v>
      </c>
      <c r="D110" s="60"/>
      <c r="E110" s="85">
        <v>0.0</v>
      </c>
      <c r="F110" s="19">
        <v>0.0</v>
      </c>
      <c r="G110" s="19">
        <v>0.0</v>
      </c>
      <c r="H110" s="19">
        <v>0.0</v>
      </c>
      <c r="I110" s="19">
        <v>0.0</v>
      </c>
      <c r="J110" s="19">
        <v>0.0</v>
      </c>
      <c r="K110" s="19">
        <v>0.0</v>
      </c>
      <c r="L110" s="19">
        <v>0.0</v>
      </c>
      <c r="M110" s="19">
        <v>0.0</v>
      </c>
      <c r="N110" s="19">
        <v>0.0</v>
      </c>
      <c r="O110" s="19">
        <v>0.0</v>
      </c>
      <c r="P110" s="19">
        <v>0.0</v>
      </c>
      <c r="Q110" s="19">
        <v>0.0</v>
      </c>
      <c r="R110" s="19">
        <v>0.0</v>
      </c>
      <c r="S110" s="19">
        <v>0.0</v>
      </c>
      <c r="T110" s="19">
        <v>0.0</v>
      </c>
      <c r="U110" s="13">
        <f t="shared" si="24"/>
        <v>0</v>
      </c>
    </row>
    <row r="111" ht="12.75" customHeight="1">
      <c r="A111" s="18"/>
      <c r="B111" s="55">
        <v>6.0</v>
      </c>
      <c r="C111" s="50" t="s">
        <v>88</v>
      </c>
      <c r="D111" s="60"/>
      <c r="E111" s="85">
        <v>0.0</v>
      </c>
      <c r="F111" s="19">
        <v>0.0</v>
      </c>
      <c r="G111" s="19">
        <v>0.0</v>
      </c>
      <c r="H111" s="19">
        <v>0.0</v>
      </c>
      <c r="I111" s="19">
        <v>0.0</v>
      </c>
      <c r="J111" s="19">
        <v>0.0</v>
      </c>
      <c r="K111" s="19">
        <v>0.0</v>
      </c>
      <c r="L111" s="19">
        <v>0.0</v>
      </c>
      <c r="M111" s="19">
        <v>0.0</v>
      </c>
      <c r="N111" s="19">
        <v>0.0</v>
      </c>
      <c r="O111" s="19">
        <v>0.0</v>
      </c>
      <c r="P111" s="19">
        <v>0.0</v>
      </c>
      <c r="Q111" s="19">
        <v>0.0</v>
      </c>
      <c r="R111" s="19">
        <v>0.0</v>
      </c>
      <c r="S111" s="19">
        <v>0.0</v>
      </c>
      <c r="T111" s="19">
        <v>0.0</v>
      </c>
      <c r="U111" s="13">
        <f t="shared" si="24"/>
        <v>0</v>
      </c>
    </row>
    <row r="112" ht="12.75" customHeight="1">
      <c r="A112" s="18"/>
      <c r="B112" s="55">
        <v>7.0</v>
      </c>
      <c r="C112" s="50" t="s">
        <v>89</v>
      </c>
      <c r="D112" s="60"/>
      <c r="E112" s="85">
        <v>0.0</v>
      </c>
      <c r="F112" s="19">
        <v>0.0</v>
      </c>
      <c r="G112" s="19">
        <v>0.0</v>
      </c>
      <c r="H112" s="19">
        <v>0.0</v>
      </c>
      <c r="I112" s="19">
        <v>0.0</v>
      </c>
      <c r="J112" s="19">
        <v>0.0</v>
      </c>
      <c r="K112" s="19">
        <v>0.0</v>
      </c>
      <c r="L112" s="19">
        <v>0.0</v>
      </c>
      <c r="M112" s="19">
        <v>0.0</v>
      </c>
      <c r="N112" s="19">
        <v>0.0</v>
      </c>
      <c r="O112" s="19">
        <v>0.0</v>
      </c>
      <c r="P112" s="19">
        <v>0.0</v>
      </c>
      <c r="Q112" s="19">
        <v>0.0</v>
      </c>
      <c r="R112" s="19">
        <v>0.0</v>
      </c>
      <c r="S112" s="19">
        <v>0.0</v>
      </c>
      <c r="T112" s="19">
        <v>0.0</v>
      </c>
      <c r="U112" s="13">
        <f t="shared" si="24"/>
        <v>0</v>
      </c>
    </row>
    <row r="113" ht="12.75" customHeight="1">
      <c r="A113" s="18"/>
      <c r="B113" s="56"/>
      <c r="C113" s="57"/>
      <c r="D113" s="62"/>
      <c r="E113" s="85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3">
        <f t="shared" si="24"/>
        <v>0</v>
      </c>
    </row>
    <row r="114" ht="12.75" customHeight="1">
      <c r="A114" s="18"/>
      <c r="B114" s="56"/>
      <c r="C114" s="57"/>
      <c r="D114" s="62"/>
      <c r="E114" s="85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3">
        <f t="shared" si="24"/>
        <v>0</v>
      </c>
    </row>
    <row r="115" ht="12.75" customHeight="1">
      <c r="A115" s="19" t="s">
        <v>15</v>
      </c>
      <c r="B115" s="47" t="s">
        <v>47</v>
      </c>
      <c r="C115" s="15"/>
      <c r="D115" s="16"/>
      <c r="E115" s="13">
        <f t="shared" ref="E115:U115" si="25">SUM(E105:E114)</f>
        <v>0</v>
      </c>
      <c r="F115" s="13">
        <f t="shared" si="25"/>
        <v>1</v>
      </c>
      <c r="G115" s="13">
        <f t="shared" si="25"/>
        <v>0</v>
      </c>
      <c r="H115" s="13">
        <f t="shared" si="25"/>
        <v>1</v>
      </c>
      <c r="I115" s="13">
        <f t="shared" si="25"/>
        <v>1</v>
      </c>
      <c r="J115" s="13">
        <f t="shared" si="25"/>
        <v>0</v>
      </c>
      <c r="K115" s="13">
        <f t="shared" si="25"/>
        <v>0</v>
      </c>
      <c r="L115" s="13">
        <f t="shared" si="25"/>
        <v>0</v>
      </c>
      <c r="M115" s="13">
        <f t="shared" si="25"/>
        <v>0</v>
      </c>
      <c r="N115" s="13">
        <f t="shared" si="25"/>
        <v>0</v>
      </c>
      <c r="O115" s="13">
        <f t="shared" si="25"/>
        <v>2</v>
      </c>
      <c r="P115" s="13">
        <f t="shared" si="25"/>
        <v>1</v>
      </c>
      <c r="Q115" s="13">
        <f t="shared" si="25"/>
        <v>0</v>
      </c>
      <c r="R115" s="13">
        <f t="shared" si="25"/>
        <v>3</v>
      </c>
      <c r="S115" s="13">
        <f t="shared" si="25"/>
        <v>0</v>
      </c>
      <c r="T115" s="13">
        <f t="shared" si="25"/>
        <v>0</v>
      </c>
      <c r="U115" s="13">
        <f t="shared" si="25"/>
        <v>9</v>
      </c>
    </row>
    <row r="116" ht="12.75" customHeight="1">
      <c r="A116" s="24"/>
      <c r="B116" s="15"/>
      <c r="C116" s="15"/>
      <c r="D116" s="15"/>
      <c r="E116" s="16"/>
      <c r="F116" s="84"/>
      <c r="G116" s="84"/>
      <c r="H116" s="84"/>
      <c r="I116" s="84"/>
      <c r="J116" s="84"/>
      <c r="K116" s="84"/>
      <c r="L116" s="84"/>
      <c r="M116" s="84"/>
      <c r="N116" s="84"/>
      <c r="O116" s="84"/>
      <c r="P116" s="84"/>
      <c r="Q116" s="84"/>
      <c r="R116" s="84"/>
      <c r="S116" s="84"/>
      <c r="T116" s="84"/>
      <c r="U116" s="13"/>
    </row>
    <row r="117" ht="12.75" customHeight="1">
      <c r="A117" s="30" t="s">
        <v>37</v>
      </c>
      <c r="B117" s="47" t="s">
        <v>90</v>
      </c>
      <c r="C117" s="48" t="s">
        <v>91</v>
      </c>
      <c r="D117" s="16"/>
      <c r="E117" s="19">
        <v>0.0</v>
      </c>
      <c r="F117" s="19">
        <v>0.0</v>
      </c>
      <c r="G117" s="19">
        <v>0.0</v>
      </c>
      <c r="H117" s="19">
        <v>0.0</v>
      </c>
      <c r="I117" s="19">
        <v>1.0</v>
      </c>
      <c r="J117" s="19">
        <v>0.0</v>
      </c>
      <c r="K117" s="19">
        <v>0.0</v>
      </c>
      <c r="L117" s="19">
        <v>0.0</v>
      </c>
      <c r="M117" s="19">
        <v>1.0</v>
      </c>
      <c r="N117" s="19">
        <v>0.0</v>
      </c>
      <c r="O117" s="19">
        <v>1.0</v>
      </c>
      <c r="P117" s="19">
        <v>1.0</v>
      </c>
      <c r="Q117" s="19">
        <v>1.0</v>
      </c>
      <c r="R117" s="19">
        <v>0.0</v>
      </c>
      <c r="S117" s="19">
        <v>0.0</v>
      </c>
      <c r="T117" s="19">
        <v>0.0</v>
      </c>
      <c r="U117" s="13">
        <f t="shared" ref="U117:U126" si="26">SUM(E117:T117)</f>
        <v>5</v>
      </c>
    </row>
    <row r="118" ht="12.75" customHeight="1">
      <c r="A118" s="30" t="s">
        <v>39</v>
      </c>
      <c r="B118" s="55">
        <v>1.0</v>
      </c>
      <c r="C118" s="50" t="s">
        <v>92</v>
      </c>
      <c r="D118" s="60"/>
      <c r="E118" s="19">
        <v>0.0</v>
      </c>
      <c r="F118" s="19">
        <v>0.0</v>
      </c>
      <c r="G118" s="19">
        <v>0.0</v>
      </c>
      <c r="H118" s="19">
        <v>0.0</v>
      </c>
      <c r="I118" s="19">
        <v>0.0</v>
      </c>
      <c r="J118" s="19">
        <v>0.0</v>
      </c>
      <c r="K118" s="19">
        <v>0.0</v>
      </c>
      <c r="L118" s="19">
        <v>0.0</v>
      </c>
      <c r="M118" s="19">
        <v>0.0</v>
      </c>
      <c r="N118" s="19">
        <v>1.0</v>
      </c>
      <c r="O118" s="19">
        <v>0.0</v>
      </c>
      <c r="P118" s="19">
        <v>0.0</v>
      </c>
      <c r="Q118" s="19">
        <v>2.0</v>
      </c>
      <c r="R118" s="19">
        <v>1.0</v>
      </c>
      <c r="S118" s="19">
        <v>0.0</v>
      </c>
      <c r="T118" s="19">
        <v>0.0</v>
      </c>
      <c r="U118" s="13">
        <f t="shared" si="26"/>
        <v>4</v>
      </c>
    </row>
    <row r="119" ht="12.75" customHeight="1">
      <c r="A119" s="18"/>
      <c r="B119" s="55">
        <v>2.0</v>
      </c>
      <c r="C119" s="50" t="s">
        <v>93</v>
      </c>
      <c r="D119" s="60"/>
      <c r="E119" s="19">
        <v>0.0</v>
      </c>
      <c r="F119" s="19">
        <v>0.0</v>
      </c>
      <c r="G119" s="19">
        <v>0.0</v>
      </c>
      <c r="H119" s="19">
        <v>0.0</v>
      </c>
      <c r="I119" s="19">
        <v>0.0</v>
      </c>
      <c r="J119" s="19">
        <v>0.0</v>
      </c>
      <c r="K119" s="19">
        <v>0.0</v>
      </c>
      <c r="L119" s="19">
        <v>0.0</v>
      </c>
      <c r="M119" s="19">
        <v>0.0</v>
      </c>
      <c r="N119" s="19">
        <v>0.0</v>
      </c>
      <c r="O119" s="19">
        <v>0.0</v>
      </c>
      <c r="P119" s="19">
        <v>0.0</v>
      </c>
      <c r="Q119" s="19">
        <v>0.0</v>
      </c>
      <c r="R119" s="19">
        <v>0.0</v>
      </c>
      <c r="S119" s="19">
        <v>0.0</v>
      </c>
      <c r="T119" s="19">
        <v>0.0</v>
      </c>
      <c r="U119" s="13">
        <f t="shared" si="26"/>
        <v>0</v>
      </c>
    </row>
    <row r="120" ht="12.75" customHeight="1">
      <c r="A120" s="18"/>
      <c r="B120" s="55">
        <v>3.0</v>
      </c>
      <c r="C120" s="50" t="s">
        <v>94</v>
      </c>
      <c r="D120" s="60"/>
      <c r="E120" s="19">
        <v>0.0</v>
      </c>
      <c r="F120" s="19">
        <v>0.0</v>
      </c>
      <c r="G120" s="19">
        <v>0.0</v>
      </c>
      <c r="H120" s="19">
        <v>0.0</v>
      </c>
      <c r="I120" s="19">
        <v>0.0</v>
      </c>
      <c r="J120" s="19">
        <v>0.0</v>
      </c>
      <c r="K120" s="19">
        <v>0.0</v>
      </c>
      <c r="L120" s="19">
        <v>0.0</v>
      </c>
      <c r="M120" s="19">
        <v>0.0</v>
      </c>
      <c r="N120" s="19">
        <v>0.0</v>
      </c>
      <c r="O120" s="19">
        <v>0.0</v>
      </c>
      <c r="P120" s="19">
        <v>0.0</v>
      </c>
      <c r="Q120" s="19">
        <v>0.0</v>
      </c>
      <c r="R120" s="19">
        <v>0.0</v>
      </c>
      <c r="S120" s="19">
        <v>0.0</v>
      </c>
      <c r="T120" s="19">
        <v>0.0</v>
      </c>
      <c r="U120" s="13">
        <f t="shared" si="26"/>
        <v>0</v>
      </c>
    </row>
    <row r="121" ht="12.75" customHeight="1">
      <c r="A121" s="18"/>
      <c r="B121" s="56"/>
      <c r="C121" s="57"/>
      <c r="D121" s="62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3">
        <f t="shared" si="26"/>
        <v>0</v>
      </c>
    </row>
    <row r="122" ht="12.75" customHeight="1">
      <c r="A122" s="18"/>
      <c r="B122" s="56"/>
      <c r="C122" s="57"/>
      <c r="D122" s="62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3">
        <f t="shared" si="26"/>
        <v>0</v>
      </c>
    </row>
    <row r="123" ht="12.75" customHeight="1">
      <c r="A123" s="18"/>
      <c r="B123" s="56"/>
      <c r="C123" s="57"/>
      <c r="D123" s="62"/>
      <c r="E123" s="63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13">
        <f t="shared" si="26"/>
        <v>0</v>
      </c>
    </row>
    <row r="124" ht="12.75" customHeight="1">
      <c r="A124" s="18"/>
      <c r="B124" s="56"/>
      <c r="C124" s="57"/>
      <c r="D124" s="62"/>
      <c r="E124" s="63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13">
        <f t="shared" si="26"/>
        <v>0</v>
      </c>
    </row>
    <row r="125" ht="12.75" customHeight="1">
      <c r="A125" s="18"/>
      <c r="B125" s="56"/>
      <c r="C125" s="57"/>
      <c r="D125" s="62"/>
      <c r="E125" s="63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13">
        <f t="shared" si="26"/>
        <v>0</v>
      </c>
    </row>
    <row r="126" ht="12.75" customHeight="1">
      <c r="A126" s="18"/>
      <c r="B126" s="56"/>
      <c r="C126" s="57"/>
      <c r="D126" s="62"/>
      <c r="E126" s="63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13">
        <f t="shared" si="26"/>
        <v>0</v>
      </c>
    </row>
    <row r="127" ht="12.75" customHeight="1">
      <c r="A127" s="19" t="s">
        <v>15</v>
      </c>
      <c r="B127" s="47" t="s">
        <v>47</v>
      </c>
      <c r="C127" s="15"/>
      <c r="D127" s="16"/>
      <c r="E127" s="13">
        <f t="shared" ref="E127:U127" si="27">SUM(E117:E126)</f>
        <v>0</v>
      </c>
      <c r="F127" s="13">
        <f t="shared" si="27"/>
        <v>0</v>
      </c>
      <c r="G127" s="13">
        <f t="shared" si="27"/>
        <v>0</v>
      </c>
      <c r="H127" s="13">
        <f t="shared" si="27"/>
        <v>0</v>
      </c>
      <c r="I127" s="13">
        <f t="shared" si="27"/>
        <v>1</v>
      </c>
      <c r="J127" s="13">
        <f t="shared" si="27"/>
        <v>0</v>
      </c>
      <c r="K127" s="13">
        <f t="shared" si="27"/>
        <v>0</v>
      </c>
      <c r="L127" s="13">
        <f t="shared" si="27"/>
        <v>0</v>
      </c>
      <c r="M127" s="13">
        <f t="shared" si="27"/>
        <v>1</v>
      </c>
      <c r="N127" s="13">
        <f t="shared" si="27"/>
        <v>1</v>
      </c>
      <c r="O127" s="13">
        <f t="shared" si="27"/>
        <v>1</v>
      </c>
      <c r="P127" s="13">
        <f t="shared" si="27"/>
        <v>1</v>
      </c>
      <c r="Q127" s="13">
        <f t="shared" si="27"/>
        <v>3</v>
      </c>
      <c r="R127" s="13">
        <f t="shared" si="27"/>
        <v>1</v>
      </c>
      <c r="S127" s="13">
        <f t="shared" si="27"/>
        <v>0</v>
      </c>
      <c r="T127" s="13">
        <f t="shared" si="27"/>
        <v>0</v>
      </c>
      <c r="U127" s="13">
        <f t="shared" si="27"/>
        <v>9</v>
      </c>
    </row>
    <row r="128" ht="12.75" customHeight="1">
      <c r="A128" s="24"/>
      <c r="B128" s="15"/>
      <c r="C128" s="15"/>
      <c r="D128" s="15"/>
      <c r="E128" s="16"/>
      <c r="F128" s="84"/>
      <c r="G128" s="84"/>
      <c r="H128" s="84"/>
      <c r="I128" s="84"/>
      <c r="J128" s="84"/>
      <c r="K128" s="84"/>
      <c r="L128" s="84"/>
      <c r="M128" s="84"/>
      <c r="N128" s="84"/>
      <c r="O128" s="84"/>
      <c r="P128" s="84"/>
      <c r="Q128" s="84"/>
      <c r="R128" s="84"/>
      <c r="S128" s="84"/>
      <c r="T128" s="84"/>
      <c r="U128" s="84"/>
    </row>
    <row r="129" ht="12.75" customHeight="1">
      <c r="A129" s="30" t="s">
        <v>37</v>
      </c>
      <c r="B129" s="47" t="s">
        <v>95</v>
      </c>
      <c r="C129" s="48" t="s">
        <v>96</v>
      </c>
      <c r="D129" s="16"/>
      <c r="E129" s="19">
        <v>2.0</v>
      </c>
      <c r="F129" s="19">
        <v>1.0</v>
      </c>
      <c r="G129" s="19">
        <v>2.0</v>
      </c>
      <c r="H129" s="19">
        <v>0.0</v>
      </c>
      <c r="I129" s="19">
        <v>0.0</v>
      </c>
      <c r="J129" s="19">
        <v>0.0</v>
      </c>
      <c r="K129" s="19">
        <v>0.0</v>
      </c>
      <c r="L129" s="19">
        <v>0.0</v>
      </c>
      <c r="M129" s="19">
        <v>1.0</v>
      </c>
      <c r="N129" s="19">
        <v>1.0</v>
      </c>
      <c r="O129" s="19">
        <v>0.0</v>
      </c>
      <c r="P129" s="19">
        <v>0.0</v>
      </c>
      <c r="Q129" s="19">
        <v>0.0</v>
      </c>
      <c r="R129" s="19">
        <v>1.0</v>
      </c>
      <c r="S129" s="19">
        <v>0.0</v>
      </c>
      <c r="T129" s="19">
        <v>2.0</v>
      </c>
      <c r="U129" s="13">
        <f t="shared" ref="U129:U138" si="28">SUM(E129:T129)</f>
        <v>10</v>
      </c>
    </row>
    <row r="130" ht="12.75" customHeight="1">
      <c r="A130" s="30" t="s">
        <v>39</v>
      </c>
      <c r="B130" s="55">
        <v>1.0</v>
      </c>
      <c r="C130" s="50" t="s">
        <v>97</v>
      </c>
      <c r="D130" s="59"/>
      <c r="E130" s="19">
        <v>1.0</v>
      </c>
      <c r="F130" s="19">
        <v>1.0</v>
      </c>
      <c r="G130" s="19">
        <v>0.0</v>
      </c>
      <c r="H130" s="19">
        <v>2.0</v>
      </c>
      <c r="I130" s="19">
        <v>0.0</v>
      </c>
      <c r="J130" s="19">
        <v>3.0</v>
      </c>
      <c r="K130" s="19">
        <v>0.0</v>
      </c>
      <c r="L130" s="19">
        <v>0.0</v>
      </c>
      <c r="M130" s="19">
        <v>0.0</v>
      </c>
      <c r="N130" s="19">
        <v>0.0</v>
      </c>
      <c r="O130" s="19">
        <v>1.0</v>
      </c>
      <c r="P130" s="19">
        <v>0.0</v>
      </c>
      <c r="Q130" s="19">
        <v>1.0</v>
      </c>
      <c r="R130" s="19">
        <v>0.0</v>
      </c>
      <c r="S130" s="19">
        <v>1.0</v>
      </c>
      <c r="T130" s="19">
        <v>7.0</v>
      </c>
      <c r="U130" s="13">
        <f t="shared" si="28"/>
        <v>17</v>
      </c>
    </row>
    <row r="131" ht="12.75" customHeight="1">
      <c r="A131" s="18"/>
      <c r="B131" s="55">
        <v>2.0</v>
      </c>
      <c r="C131" s="50" t="s">
        <v>98</v>
      </c>
      <c r="D131" s="59"/>
      <c r="E131" s="19">
        <v>4.0</v>
      </c>
      <c r="F131" s="19">
        <v>2.0</v>
      </c>
      <c r="G131" s="19">
        <v>1.0</v>
      </c>
      <c r="H131" s="19">
        <v>1.0</v>
      </c>
      <c r="I131" s="19">
        <v>1.0</v>
      </c>
      <c r="J131" s="19">
        <v>2.0</v>
      </c>
      <c r="K131" s="19">
        <v>0.0</v>
      </c>
      <c r="L131" s="19">
        <v>0.0</v>
      </c>
      <c r="M131" s="19">
        <v>0.0</v>
      </c>
      <c r="N131" s="19">
        <v>0.0</v>
      </c>
      <c r="O131" s="19">
        <v>0.0</v>
      </c>
      <c r="P131" s="19">
        <v>0.0</v>
      </c>
      <c r="Q131" s="19">
        <v>0.0</v>
      </c>
      <c r="R131" s="19">
        <v>1.0</v>
      </c>
      <c r="S131" s="19">
        <v>0.0</v>
      </c>
      <c r="T131" s="19">
        <v>1.0</v>
      </c>
      <c r="U131" s="13">
        <f t="shared" si="28"/>
        <v>13</v>
      </c>
    </row>
    <row r="132" ht="12.75" customHeight="1">
      <c r="A132" s="18"/>
      <c r="B132" s="55">
        <v>3.0</v>
      </c>
      <c r="C132" s="50" t="s">
        <v>99</v>
      </c>
      <c r="D132" s="59"/>
      <c r="E132" s="19">
        <v>0.0</v>
      </c>
      <c r="F132" s="19">
        <v>0.0</v>
      </c>
      <c r="G132" s="19">
        <v>0.0</v>
      </c>
      <c r="H132" s="19">
        <v>0.0</v>
      </c>
      <c r="I132" s="19">
        <v>0.0</v>
      </c>
      <c r="J132" s="19">
        <v>2.0</v>
      </c>
      <c r="K132" s="19">
        <v>0.0</v>
      </c>
      <c r="L132" s="19">
        <v>0.0</v>
      </c>
      <c r="M132" s="19">
        <v>0.0</v>
      </c>
      <c r="N132" s="19">
        <v>0.0</v>
      </c>
      <c r="O132" s="19">
        <v>0.0</v>
      </c>
      <c r="P132" s="19">
        <v>0.0</v>
      </c>
      <c r="Q132" s="19">
        <v>0.0</v>
      </c>
      <c r="R132" s="19">
        <v>0.0</v>
      </c>
      <c r="S132" s="19">
        <v>1.0</v>
      </c>
      <c r="T132" s="19">
        <v>0.0</v>
      </c>
      <c r="U132" s="13">
        <f t="shared" si="28"/>
        <v>3</v>
      </c>
    </row>
    <row r="133" ht="12.75" customHeight="1">
      <c r="A133" s="18"/>
      <c r="B133" s="55">
        <v>4.0</v>
      </c>
      <c r="C133" s="50" t="s">
        <v>100</v>
      </c>
      <c r="D133" s="59"/>
      <c r="E133" s="19">
        <v>0.0</v>
      </c>
      <c r="F133" s="19">
        <v>0.0</v>
      </c>
      <c r="G133" s="19">
        <v>0.0</v>
      </c>
      <c r="H133" s="19">
        <v>1.0</v>
      </c>
      <c r="I133" s="19">
        <v>0.0</v>
      </c>
      <c r="J133" s="19">
        <v>0.0</v>
      </c>
      <c r="K133" s="19">
        <v>0.0</v>
      </c>
      <c r="L133" s="19">
        <v>0.0</v>
      </c>
      <c r="M133" s="19">
        <v>0.0</v>
      </c>
      <c r="N133" s="19">
        <v>0.0</v>
      </c>
      <c r="O133" s="19">
        <v>1.0</v>
      </c>
      <c r="P133" s="19">
        <v>0.0</v>
      </c>
      <c r="Q133" s="19">
        <v>0.0</v>
      </c>
      <c r="R133" s="19">
        <v>0.0</v>
      </c>
      <c r="S133" s="19">
        <v>0.0</v>
      </c>
      <c r="T133" s="19">
        <v>0.0</v>
      </c>
      <c r="U133" s="13">
        <f t="shared" si="28"/>
        <v>2</v>
      </c>
    </row>
    <row r="134" ht="12.75" customHeight="1">
      <c r="A134" s="18"/>
      <c r="B134" s="55">
        <v>5.0</v>
      </c>
      <c r="C134" s="50" t="s">
        <v>101</v>
      </c>
      <c r="D134" s="59"/>
      <c r="E134" s="19">
        <v>0.0</v>
      </c>
      <c r="F134" s="19">
        <v>0.0</v>
      </c>
      <c r="G134" s="19">
        <v>0.0</v>
      </c>
      <c r="H134" s="19">
        <v>0.0</v>
      </c>
      <c r="I134" s="19">
        <v>0.0</v>
      </c>
      <c r="J134" s="19">
        <v>0.0</v>
      </c>
      <c r="K134" s="19">
        <v>0.0</v>
      </c>
      <c r="L134" s="19">
        <v>0.0</v>
      </c>
      <c r="M134" s="19">
        <v>0.0</v>
      </c>
      <c r="N134" s="19">
        <v>0.0</v>
      </c>
      <c r="O134" s="19">
        <v>0.0</v>
      </c>
      <c r="P134" s="19">
        <v>0.0</v>
      </c>
      <c r="Q134" s="19">
        <v>0.0</v>
      </c>
      <c r="R134" s="19">
        <v>0.0</v>
      </c>
      <c r="S134" s="19">
        <v>0.0</v>
      </c>
      <c r="T134" s="19">
        <v>0.0</v>
      </c>
      <c r="U134" s="13">
        <f t="shared" si="28"/>
        <v>0</v>
      </c>
    </row>
    <row r="135" ht="12.75" customHeight="1">
      <c r="A135" s="18"/>
      <c r="B135" s="55">
        <v>6.0</v>
      </c>
      <c r="C135" s="50" t="s">
        <v>102</v>
      </c>
      <c r="D135" s="60"/>
      <c r="E135" s="19">
        <v>0.0</v>
      </c>
      <c r="F135" s="19">
        <v>0.0</v>
      </c>
      <c r="G135" s="19">
        <v>0.0</v>
      </c>
      <c r="H135" s="19">
        <v>0.0</v>
      </c>
      <c r="I135" s="19">
        <v>0.0</v>
      </c>
      <c r="J135" s="19">
        <v>0.0</v>
      </c>
      <c r="K135" s="19">
        <v>0.0</v>
      </c>
      <c r="L135" s="19">
        <v>0.0</v>
      </c>
      <c r="M135" s="19">
        <v>0.0</v>
      </c>
      <c r="N135" s="19">
        <v>0.0</v>
      </c>
      <c r="O135" s="19">
        <v>0.0</v>
      </c>
      <c r="P135" s="19">
        <v>0.0</v>
      </c>
      <c r="Q135" s="19">
        <v>0.0</v>
      </c>
      <c r="R135" s="19">
        <v>0.0</v>
      </c>
      <c r="S135" s="19">
        <v>0.0</v>
      </c>
      <c r="T135" s="19">
        <v>0.0</v>
      </c>
      <c r="U135" s="13">
        <f t="shared" si="28"/>
        <v>0</v>
      </c>
    </row>
    <row r="136" ht="12.75" customHeight="1">
      <c r="A136" s="18"/>
      <c r="B136" s="55">
        <v>7.0</v>
      </c>
      <c r="C136" s="50" t="s">
        <v>103</v>
      </c>
      <c r="D136" s="59"/>
      <c r="E136" s="19">
        <v>0.0</v>
      </c>
      <c r="F136" s="19">
        <v>0.0</v>
      </c>
      <c r="G136" s="19">
        <v>0.0</v>
      </c>
      <c r="H136" s="19">
        <v>0.0</v>
      </c>
      <c r="I136" s="19">
        <v>0.0</v>
      </c>
      <c r="J136" s="19">
        <v>0.0</v>
      </c>
      <c r="K136" s="19">
        <v>0.0</v>
      </c>
      <c r="L136" s="19">
        <v>0.0</v>
      </c>
      <c r="M136" s="19">
        <v>0.0</v>
      </c>
      <c r="N136" s="19">
        <v>0.0</v>
      </c>
      <c r="O136" s="19">
        <v>0.0</v>
      </c>
      <c r="P136" s="19">
        <v>0.0</v>
      </c>
      <c r="Q136" s="19">
        <v>0.0</v>
      </c>
      <c r="R136" s="19">
        <v>0.0</v>
      </c>
      <c r="S136" s="19">
        <v>0.0</v>
      </c>
      <c r="T136" s="19">
        <v>0.0</v>
      </c>
      <c r="U136" s="13">
        <f t="shared" si="28"/>
        <v>0</v>
      </c>
    </row>
    <row r="137" ht="12.75" customHeight="1">
      <c r="A137" s="18"/>
      <c r="B137" s="56"/>
      <c r="C137" s="57"/>
      <c r="D137" s="61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3">
        <f t="shared" si="28"/>
        <v>0</v>
      </c>
    </row>
    <row r="138" ht="12.75" customHeight="1">
      <c r="A138" s="18"/>
      <c r="B138" s="56"/>
      <c r="C138" s="57"/>
      <c r="D138" s="61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3">
        <f t="shared" si="28"/>
        <v>0</v>
      </c>
    </row>
    <row r="139" ht="12.75" customHeight="1">
      <c r="A139" s="19" t="s">
        <v>15</v>
      </c>
      <c r="B139" s="47" t="s">
        <v>47</v>
      </c>
      <c r="C139" s="15"/>
      <c r="D139" s="16"/>
      <c r="E139" s="13">
        <f t="shared" ref="E139:U139" si="29">SUM(E129:E138)</f>
        <v>7</v>
      </c>
      <c r="F139" s="13">
        <f t="shared" si="29"/>
        <v>4</v>
      </c>
      <c r="G139" s="13">
        <f t="shared" si="29"/>
        <v>3</v>
      </c>
      <c r="H139" s="13">
        <f t="shared" si="29"/>
        <v>4</v>
      </c>
      <c r="I139" s="13">
        <f t="shared" si="29"/>
        <v>1</v>
      </c>
      <c r="J139" s="13">
        <f t="shared" si="29"/>
        <v>7</v>
      </c>
      <c r="K139" s="13">
        <f t="shared" si="29"/>
        <v>0</v>
      </c>
      <c r="L139" s="13">
        <f t="shared" si="29"/>
        <v>0</v>
      </c>
      <c r="M139" s="13">
        <f t="shared" si="29"/>
        <v>1</v>
      </c>
      <c r="N139" s="13">
        <f t="shared" si="29"/>
        <v>1</v>
      </c>
      <c r="O139" s="13">
        <f t="shared" si="29"/>
        <v>2</v>
      </c>
      <c r="P139" s="13">
        <f t="shared" si="29"/>
        <v>0</v>
      </c>
      <c r="Q139" s="13">
        <f t="shared" si="29"/>
        <v>1</v>
      </c>
      <c r="R139" s="13">
        <f t="shared" si="29"/>
        <v>2</v>
      </c>
      <c r="S139" s="13">
        <f t="shared" si="29"/>
        <v>2</v>
      </c>
      <c r="T139" s="13">
        <f t="shared" si="29"/>
        <v>10</v>
      </c>
      <c r="U139" s="13">
        <f t="shared" si="29"/>
        <v>45</v>
      </c>
    </row>
    <row r="140" ht="12.75" customHeight="1">
      <c r="A140" s="24"/>
      <c r="B140" s="15"/>
      <c r="C140" s="15"/>
      <c r="D140" s="15"/>
      <c r="E140" s="16"/>
      <c r="F140" s="84"/>
      <c r="G140" s="84"/>
      <c r="H140" s="84"/>
      <c r="I140" s="84"/>
      <c r="J140" s="84"/>
      <c r="K140" s="84"/>
      <c r="L140" s="84"/>
      <c r="M140" s="84"/>
      <c r="N140" s="84"/>
      <c r="O140" s="84"/>
      <c r="P140" s="84"/>
      <c r="Q140" s="84"/>
      <c r="R140" s="84"/>
      <c r="S140" s="84"/>
      <c r="T140" s="84"/>
      <c r="U140" s="84"/>
    </row>
    <row r="141" ht="12.75" customHeight="1">
      <c r="A141" s="30" t="s">
        <v>37</v>
      </c>
      <c r="B141" s="47" t="s">
        <v>104</v>
      </c>
      <c r="C141" s="48" t="s">
        <v>105</v>
      </c>
      <c r="D141" s="16"/>
      <c r="E141" s="19">
        <v>0.0</v>
      </c>
      <c r="F141" s="19">
        <v>0.0</v>
      </c>
      <c r="G141" s="19">
        <v>0.0</v>
      </c>
      <c r="H141" s="19">
        <v>0.0</v>
      </c>
      <c r="I141" s="19">
        <v>0.0</v>
      </c>
      <c r="J141" s="19">
        <v>0.0</v>
      </c>
      <c r="K141" s="19">
        <v>0.0</v>
      </c>
      <c r="L141" s="19">
        <v>0.0</v>
      </c>
      <c r="M141" s="19">
        <v>0.0</v>
      </c>
      <c r="N141" s="19">
        <v>0.0</v>
      </c>
      <c r="O141" s="19">
        <v>0.0</v>
      </c>
      <c r="P141" s="19">
        <v>0.0</v>
      </c>
      <c r="Q141" s="19">
        <v>0.0</v>
      </c>
      <c r="R141" s="19">
        <v>0.0</v>
      </c>
      <c r="S141" s="19">
        <v>0.0</v>
      </c>
      <c r="T141" s="19">
        <v>0.0</v>
      </c>
      <c r="U141" s="13">
        <f t="shared" ref="U141:U150" si="30">SUM(E141:T141)</f>
        <v>0</v>
      </c>
    </row>
    <row r="142" ht="12.75" customHeight="1">
      <c r="A142" s="30" t="s">
        <v>39</v>
      </c>
      <c r="B142" s="55">
        <v>1.0</v>
      </c>
      <c r="C142" s="50" t="s">
        <v>106</v>
      </c>
      <c r="D142" s="60"/>
      <c r="E142" s="19">
        <v>0.0</v>
      </c>
      <c r="F142" s="19">
        <v>0.0</v>
      </c>
      <c r="G142" s="19">
        <v>0.0</v>
      </c>
      <c r="H142" s="19">
        <v>0.0</v>
      </c>
      <c r="I142" s="19">
        <v>0.0</v>
      </c>
      <c r="J142" s="19">
        <v>0.0</v>
      </c>
      <c r="K142" s="19">
        <v>0.0</v>
      </c>
      <c r="L142" s="19">
        <v>0.0</v>
      </c>
      <c r="M142" s="19">
        <v>0.0</v>
      </c>
      <c r="N142" s="19">
        <v>0.0</v>
      </c>
      <c r="O142" s="19">
        <v>0.0</v>
      </c>
      <c r="P142" s="19">
        <v>0.0</v>
      </c>
      <c r="Q142" s="19">
        <v>0.0</v>
      </c>
      <c r="R142" s="19">
        <v>0.0</v>
      </c>
      <c r="S142" s="19">
        <v>0.0</v>
      </c>
      <c r="T142" s="19">
        <v>0.0</v>
      </c>
      <c r="U142" s="13">
        <f t="shared" si="30"/>
        <v>0</v>
      </c>
    </row>
    <row r="143" ht="12.75" customHeight="1">
      <c r="A143" s="18"/>
      <c r="B143" s="55">
        <v>2.0</v>
      </c>
      <c r="C143" s="50" t="s">
        <v>107</v>
      </c>
      <c r="D143" s="60"/>
      <c r="E143" s="19">
        <v>0.0</v>
      </c>
      <c r="F143" s="19">
        <v>0.0</v>
      </c>
      <c r="G143" s="19">
        <v>0.0</v>
      </c>
      <c r="H143" s="19">
        <v>0.0</v>
      </c>
      <c r="I143" s="19">
        <v>0.0</v>
      </c>
      <c r="J143" s="19">
        <v>0.0</v>
      </c>
      <c r="K143" s="19">
        <v>0.0</v>
      </c>
      <c r="L143" s="19">
        <v>0.0</v>
      </c>
      <c r="M143" s="19">
        <v>0.0</v>
      </c>
      <c r="N143" s="19">
        <v>0.0</v>
      </c>
      <c r="O143" s="19">
        <v>0.0</v>
      </c>
      <c r="P143" s="19">
        <v>0.0</v>
      </c>
      <c r="Q143" s="19">
        <v>0.0</v>
      </c>
      <c r="R143" s="19">
        <v>0.0</v>
      </c>
      <c r="S143" s="19">
        <v>0.0</v>
      </c>
      <c r="T143" s="19">
        <v>0.0</v>
      </c>
      <c r="U143" s="13">
        <f t="shared" si="30"/>
        <v>0</v>
      </c>
    </row>
    <row r="144" ht="12.75" customHeight="1">
      <c r="A144" s="18"/>
      <c r="B144" s="55">
        <v>3.0</v>
      </c>
      <c r="C144" s="50" t="s">
        <v>108</v>
      </c>
      <c r="D144" s="60"/>
      <c r="E144" s="19">
        <v>0.0</v>
      </c>
      <c r="F144" s="19">
        <v>0.0</v>
      </c>
      <c r="G144" s="19">
        <v>0.0</v>
      </c>
      <c r="H144" s="19">
        <v>0.0</v>
      </c>
      <c r="I144" s="19">
        <v>0.0</v>
      </c>
      <c r="J144" s="19">
        <v>0.0</v>
      </c>
      <c r="K144" s="19">
        <v>0.0</v>
      </c>
      <c r="L144" s="19">
        <v>0.0</v>
      </c>
      <c r="M144" s="19">
        <v>0.0</v>
      </c>
      <c r="N144" s="19">
        <v>0.0</v>
      </c>
      <c r="O144" s="19">
        <v>0.0</v>
      </c>
      <c r="P144" s="19">
        <v>0.0</v>
      </c>
      <c r="Q144" s="19">
        <v>0.0</v>
      </c>
      <c r="R144" s="19">
        <v>0.0</v>
      </c>
      <c r="S144" s="19">
        <v>0.0</v>
      </c>
      <c r="T144" s="19">
        <v>0.0</v>
      </c>
      <c r="U144" s="13">
        <f t="shared" si="30"/>
        <v>0</v>
      </c>
    </row>
    <row r="145" ht="12.75" customHeight="1">
      <c r="A145" s="18"/>
      <c r="B145" s="55">
        <v>4.0</v>
      </c>
      <c r="C145" s="50" t="s">
        <v>109</v>
      </c>
      <c r="D145" s="60"/>
      <c r="E145" s="19">
        <v>0.0</v>
      </c>
      <c r="F145" s="19">
        <v>0.0</v>
      </c>
      <c r="G145" s="19">
        <v>0.0</v>
      </c>
      <c r="H145" s="19">
        <v>0.0</v>
      </c>
      <c r="I145" s="19">
        <v>0.0</v>
      </c>
      <c r="J145" s="19">
        <v>0.0</v>
      </c>
      <c r="K145" s="19">
        <v>0.0</v>
      </c>
      <c r="L145" s="19">
        <v>0.0</v>
      </c>
      <c r="M145" s="19">
        <v>0.0</v>
      </c>
      <c r="N145" s="19">
        <v>0.0</v>
      </c>
      <c r="O145" s="19">
        <v>0.0</v>
      </c>
      <c r="P145" s="19">
        <v>1.0</v>
      </c>
      <c r="Q145" s="19">
        <v>0.0</v>
      </c>
      <c r="R145" s="19">
        <v>0.0</v>
      </c>
      <c r="S145" s="19">
        <v>0.0</v>
      </c>
      <c r="T145" s="19">
        <v>0.0</v>
      </c>
      <c r="U145" s="13">
        <f t="shared" si="30"/>
        <v>1</v>
      </c>
    </row>
    <row r="146" ht="12.75" customHeight="1">
      <c r="A146" s="18"/>
      <c r="B146" s="55">
        <v>5.0</v>
      </c>
      <c r="C146" s="50" t="s">
        <v>110</v>
      </c>
      <c r="D146" s="60"/>
      <c r="E146" s="19">
        <v>0.0</v>
      </c>
      <c r="F146" s="19">
        <v>0.0</v>
      </c>
      <c r="G146" s="19">
        <v>0.0</v>
      </c>
      <c r="H146" s="19">
        <v>0.0</v>
      </c>
      <c r="I146" s="19">
        <v>0.0</v>
      </c>
      <c r="J146" s="19">
        <v>0.0</v>
      </c>
      <c r="K146" s="19">
        <v>0.0</v>
      </c>
      <c r="L146" s="19">
        <v>0.0</v>
      </c>
      <c r="M146" s="19">
        <v>0.0</v>
      </c>
      <c r="N146" s="19">
        <v>0.0</v>
      </c>
      <c r="O146" s="19">
        <v>0.0</v>
      </c>
      <c r="P146" s="19">
        <v>0.0</v>
      </c>
      <c r="Q146" s="19">
        <v>0.0</v>
      </c>
      <c r="R146" s="19">
        <v>0.0</v>
      </c>
      <c r="S146" s="19">
        <v>0.0</v>
      </c>
      <c r="T146" s="19">
        <v>0.0</v>
      </c>
      <c r="U146" s="13">
        <f t="shared" si="30"/>
        <v>0</v>
      </c>
    </row>
    <row r="147" ht="12.75" customHeight="1">
      <c r="A147" s="18"/>
      <c r="B147" s="55">
        <v>6.0</v>
      </c>
      <c r="C147" s="50" t="s">
        <v>111</v>
      </c>
      <c r="D147" s="60"/>
      <c r="E147" s="19">
        <v>0.0</v>
      </c>
      <c r="F147" s="19">
        <v>0.0</v>
      </c>
      <c r="G147" s="19">
        <v>0.0</v>
      </c>
      <c r="H147" s="19">
        <v>0.0</v>
      </c>
      <c r="I147" s="19">
        <v>0.0</v>
      </c>
      <c r="J147" s="19">
        <v>0.0</v>
      </c>
      <c r="K147" s="19">
        <v>0.0</v>
      </c>
      <c r="L147" s="19">
        <v>0.0</v>
      </c>
      <c r="M147" s="19">
        <v>0.0</v>
      </c>
      <c r="N147" s="19">
        <v>0.0</v>
      </c>
      <c r="O147" s="19">
        <v>0.0</v>
      </c>
      <c r="P147" s="19">
        <v>0.0</v>
      </c>
      <c r="Q147" s="19">
        <v>0.0</v>
      </c>
      <c r="R147" s="19">
        <v>0.0</v>
      </c>
      <c r="S147" s="19">
        <v>0.0</v>
      </c>
      <c r="T147" s="19">
        <v>0.0</v>
      </c>
      <c r="U147" s="13">
        <f t="shared" si="30"/>
        <v>0</v>
      </c>
    </row>
    <row r="148" ht="12.75" customHeight="1">
      <c r="A148" s="18"/>
      <c r="B148" s="55">
        <v>7.0</v>
      </c>
      <c r="C148" s="50" t="s">
        <v>112</v>
      </c>
      <c r="D148" s="60"/>
      <c r="E148" s="19">
        <v>0.0</v>
      </c>
      <c r="F148" s="19">
        <v>0.0</v>
      </c>
      <c r="G148" s="19">
        <v>0.0</v>
      </c>
      <c r="H148" s="19">
        <v>0.0</v>
      </c>
      <c r="I148" s="19">
        <v>0.0</v>
      </c>
      <c r="J148" s="19">
        <v>0.0</v>
      </c>
      <c r="K148" s="19">
        <v>0.0</v>
      </c>
      <c r="L148" s="19">
        <v>0.0</v>
      </c>
      <c r="M148" s="19">
        <v>0.0</v>
      </c>
      <c r="N148" s="19">
        <v>0.0</v>
      </c>
      <c r="O148" s="19">
        <v>0.0</v>
      </c>
      <c r="P148" s="19">
        <v>0.0</v>
      </c>
      <c r="Q148" s="19">
        <v>0.0</v>
      </c>
      <c r="R148" s="19">
        <v>0.0</v>
      </c>
      <c r="S148" s="19">
        <v>0.0</v>
      </c>
      <c r="T148" s="19">
        <v>0.0</v>
      </c>
      <c r="U148" s="13">
        <f t="shared" si="30"/>
        <v>0</v>
      </c>
    </row>
    <row r="149" ht="12.75" customHeight="1">
      <c r="A149" s="18"/>
      <c r="B149" s="56"/>
      <c r="C149" s="57"/>
      <c r="D149" s="62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3">
        <f t="shared" si="30"/>
        <v>0</v>
      </c>
    </row>
    <row r="150" ht="12.75" customHeight="1">
      <c r="A150" s="18"/>
      <c r="B150" s="56"/>
      <c r="C150" s="57"/>
      <c r="D150" s="62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3">
        <f t="shared" si="30"/>
        <v>0</v>
      </c>
    </row>
    <row r="151" ht="12.75" customHeight="1">
      <c r="A151" s="19" t="s">
        <v>15</v>
      </c>
      <c r="B151" s="47" t="s">
        <v>47</v>
      </c>
      <c r="C151" s="15"/>
      <c r="D151" s="16"/>
      <c r="E151" s="13">
        <f t="shared" ref="E151:U151" si="31">SUM(E141:E150)</f>
        <v>0</v>
      </c>
      <c r="F151" s="13">
        <f t="shared" si="31"/>
        <v>0</v>
      </c>
      <c r="G151" s="13">
        <f t="shared" si="31"/>
        <v>0</v>
      </c>
      <c r="H151" s="13">
        <f t="shared" si="31"/>
        <v>0</v>
      </c>
      <c r="I151" s="13">
        <f t="shared" si="31"/>
        <v>0</v>
      </c>
      <c r="J151" s="13">
        <f t="shared" si="31"/>
        <v>0</v>
      </c>
      <c r="K151" s="13">
        <f t="shared" si="31"/>
        <v>0</v>
      </c>
      <c r="L151" s="13">
        <f t="shared" si="31"/>
        <v>0</v>
      </c>
      <c r="M151" s="13">
        <f t="shared" si="31"/>
        <v>0</v>
      </c>
      <c r="N151" s="13">
        <f t="shared" si="31"/>
        <v>0</v>
      </c>
      <c r="O151" s="13">
        <f t="shared" si="31"/>
        <v>0</v>
      </c>
      <c r="P151" s="13">
        <f t="shared" si="31"/>
        <v>1</v>
      </c>
      <c r="Q151" s="13">
        <f t="shared" si="31"/>
        <v>0</v>
      </c>
      <c r="R151" s="13">
        <f t="shared" si="31"/>
        <v>0</v>
      </c>
      <c r="S151" s="13">
        <f t="shared" si="31"/>
        <v>0</v>
      </c>
      <c r="T151" s="13">
        <f t="shared" si="31"/>
        <v>0</v>
      </c>
      <c r="U151" s="13">
        <f t="shared" si="31"/>
        <v>1</v>
      </c>
    </row>
    <row r="152" ht="12.75" customHeight="1">
      <c r="A152" s="24"/>
      <c r="B152" s="15"/>
      <c r="C152" s="15"/>
      <c r="D152" s="15"/>
      <c r="E152" s="16"/>
      <c r="F152" s="84"/>
      <c r="G152" s="84"/>
      <c r="H152" s="84"/>
      <c r="I152" s="84"/>
      <c r="J152" s="84"/>
      <c r="K152" s="84"/>
      <c r="L152" s="84"/>
      <c r="M152" s="84"/>
      <c r="N152" s="84"/>
      <c r="O152" s="84"/>
      <c r="P152" s="84"/>
      <c r="Q152" s="84"/>
      <c r="R152" s="84"/>
      <c r="S152" s="84"/>
      <c r="T152" s="84"/>
      <c r="U152" s="13"/>
    </row>
    <row r="153" ht="12.75" customHeight="1">
      <c r="A153" s="30" t="s">
        <v>37</v>
      </c>
      <c r="B153" s="17" t="s">
        <v>113</v>
      </c>
      <c r="C153" s="65" t="s">
        <v>114</v>
      </c>
      <c r="D153" s="23"/>
      <c r="E153" s="19">
        <v>0.0</v>
      </c>
      <c r="F153" s="19">
        <v>0.0</v>
      </c>
      <c r="G153" s="19">
        <v>0.0</v>
      </c>
      <c r="H153" s="19">
        <v>0.0</v>
      </c>
      <c r="I153" s="19">
        <v>0.0</v>
      </c>
      <c r="J153" s="19">
        <v>0.0</v>
      </c>
      <c r="K153" s="19">
        <v>1.0</v>
      </c>
      <c r="L153" s="19">
        <v>0.0</v>
      </c>
      <c r="M153" s="19">
        <v>1.0</v>
      </c>
      <c r="N153" s="19">
        <v>0.0</v>
      </c>
      <c r="O153" s="19">
        <v>4.0</v>
      </c>
      <c r="P153" s="19">
        <v>2.0</v>
      </c>
      <c r="Q153" s="19">
        <v>0.0</v>
      </c>
      <c r="R153" s="19">
        <v>1.0</v>
      </c>
      <c r="S153" s="19">
        <v>1.0</v>
      </c>
      <c r="T153" s="19">
        <v>0.0</v>
      </c>
      <c r="U153" s="13">
        <f t="shared" ref="U153:U163" si="32">SUM(E153:T153)</f>
        <v>10</v>
      </c>
    </row>
    <row r="154" ht="12.75" customHeight="1">
      <c r="A154" s="66" t="s">
        <v>39</v>
      </c>
      <c r="B154" s="55">
        <v>1.0</v>
      </c>
      <c r="C154" s="67" t="s">
        <v>115</v>
      </c>
      <c r="D154" s="60"/>
      <c r="E154" s="86">
        <v>0.0</v>
      </c>
      <c r="F154" s="19">
        <v>0.0</v>
      </c>
      <c r="G154" s="19">
        <v>0.0</v>
      </c>
      <c r="H154" s="19">
        <v>0.0</v>
      </c>
      <c r="I154" s="19">
        <v>0.0</v>
      </c>
      <c r="J154" s="19">
        <v>0.0</v>
      </c>
      <c r="K154" s="19">
        <v>0.0</v>
      </c>
      <c r="L154" s="19">
        <v>0.0</v>
      </c>
      <c r="M154" s="19">
        <v>0.0</v>
      </c>
      <c r="N154" s="19">
        <v>0.0</v>
      </c>
      <c r="O154" s="19">
        <v>2.0</v>
      </c>
      <c r="P154" s="19">
        <v>0.0</v>
      </c>
      <c r="Q154" s="19">
        <v>2.0</v>
      </c>
      <c r="R154" s="19">
        <v>1.0</v>
      </c>
      <c r="S154" s="19">
        <v>0.0</v>
      </c>
      <c r="T154" s="19">
        <v>0.0</v>
      </c>
      <c r="U154" s="13">
        <f t="shared" si="32"/>
        <v>5</v>
      </c>
    </row>
    <row r="155" ht="12.75" customHeight="1">
      <c r="A155" s="18"/>
      <c r="B155" s="55">
        <v>2.0</v>
      </c>
      <c r="C155" s="67" t="s">
        <v>116</v>
      </c>
      <c r="D155" s="60"/>
      <c r="E155" s="86">
        <v>0.0</v>
      </c>
      <c r="F155" s="19">
        <v>0.0</v>
      </c>
      <c r="G155" s="19">
        <v>0.0</v>
      </c>
      <c r="H155" s="19">
        <v>0.0</v>
      </c>
      <c r="I155" s="19">
        <v>0.0</v>
      </c>
      <c r="J155" s="19">
        <v>0.0</v>
      </c>
      <c r="K155" s="19">
        <v>0.0</v>
      </c>
      <c r="L155" s="19">
        <v>0.0</v>
      </c>
      <c r="M155" s="19">
        <v>0.0</v>
      </c>
      <c r="N155" s="19">
        <v>0.0</v>
      </c>
      <c r="O155" s="19">
        <v>0.0</v>
      </c>
      <c r="P155" s="19">
        <v>1.0</v>
      </c>
      <c r="Q155" s="19">
        <v>0.0</v>
      </c>
      <c r="R155" s="19">
        <v>0.0</v>
      </c>
      <c r="S155" s="19">
        <v>0.0</v>
      </c>
      <c r="T155" s="19">
        <v>1.0</v>
      </c>
      <c r="U155" s="13">
        <f t="shared" si="32"/>
        <v>2</v>
      </c>
    </row>
    <row r="156" ht="12.75" customHeight="1">
      <c r="A156" s="18"/>
      <c r="B156" s="55">
        <v>3.0</v>
      </c>
      <c r="C156" s="67" t="s">
        <v>117</v>
      </c>
      <c r="D156" s="60"/>
      <c r="E156" s="86">
        <v>0.0</v>
      </c>
      <c r="F156" s="19">
        <v>0.0</v>
      </c>
      <c r="G156" s="19">
        <v>0.0</v>
      </c>
      <c r="H156" s="19">
        <v>0.0</v>
      </c>
      <c r="I156" s="19">
        <v>0.0</v>
      </c>
      <c r="J156" s="19">
        <v>0.0</v>
      </c>
      <c r="K156" s="19">
        <v>0.0</v>
      </c>
      <c r="L156" s="19">
        <v>0.0</v>
      </c>
      <c r="M156" s="19">
        <v>0.0</v>
      </c>
      <c r="N156" s="19">
        <v>0.0</v>
      </c>
      <c r="O156" s="19">
        <v>1.0</v>
      </c>
      <c r="P156" s="19">
        <v>0.0</v>
      </c>
      <c r="Q156" s="19">
        <v>0.0</v>
      </c>
      <c r="R156" s="19">
        <v>0.0</v>
      </c>
      <c r="S156" s="19">
        <v>0.0</v>
      </c>
      <c r="T156" s="19">
        <v>0.0</v>
      </c>
      <c r="U156" s="13">
        <f t="shared" si="32"/>
        <v>1</v>
      </c>
    </row>
    <row r="157" ht="12.75" customHeight="1">
      <c r="A157" s="18"/>
      <c r="B157" s="55">
        <v>4.0</v>
      </c>
      <c r="C157" s="67" t="s">
        <v>118</v>
      </c>
      <c r="D157" s="60"/>
      <c r="E157" s="86">
        <v>0.0</v>
      </c>
      <c r="F157" s="19">
        <v>0.0</v>
      </c>
      <c r="G157" s="19">
        <v>0.0</v>
      </c>
      <c r="H157" s="19">
        <v>0.0</v>
      </c>
      <c r="I157" s="19">
        <v>0.0</v>
      </c>
      <c r="J157" s="19">
        <v>0.0</v>
      </c>
      <c r="K157" s="19">
        <v>0.0</v>
      </c>
      <c r="L157" s="19">
        <v>0.0</v>
      </c>
      <c r="M157" s="19">
        <v>0.0</v>
      </c>
      <c r="N157" s="19">
        <v>1.0</v>
      </c>
      <c r="O157" s="19">
        <v>1.0</v>
      </c>
      <c r="P157" s="19">
        <v>0.0</v>
      </c>
      <c r="Q157" s="19">
        <v>4.0</v>
      </c>
      <c r="R157" s="19">
        <v>0.0</v>
      </c>
      <c r="S157" s="19">
        <v>0.0</v>
      </c>
      <c r="T157" s="19">
        <v>0.0</v>
      </c>
      <c r="U157" s="13">
        <f t="shared" si="32"/>
        <v>6</v>
      </c>
    </row>
    <row r="158" ht="12.75" customHeight="1">
      <c r="A158" s="18"/>
      <c r="B158" s="56"/>
      <c r="C158" s="57"/>
      <c r="D158" s="62"/>
      <c r="E158" s="86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3">
        <f t="shared" si="32"/>
        <v>0</v>
      </c>
    </row>
    <row r="159" ht="12.75" customHeight="1">
      <c r="A159" s="18"/>
      <c r="B159" s="56"/>
      <c r="C159" s="57"/>
      <c r="D159" s="62"/>
      <c r="E159" s="86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3">
        <f t="shared" si="32"/>
        <v>0</v>
      </c>
    </row>
    <row r="160" ht="12.75" customHeight="1">
      <c r="A160" s="18"/>
      <c r="B160" s="56"/>
      <c r="C160" s="57"/>
      <c r="D160" s="62"/>
      <c r="E160" s="86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3">
        <f t="shared" si="32"/>
        <v>0</v>
      </c>
    </row>
    <row r="161" ht="12.75" customHeight="1">
      <c r="A161" s="18"/>
      <c r="B161" s="56"/>
      <c r="C161" s="68"/>
      <c r="D161" s="62"/>
      <c r="E161" s="86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3">
        <f t="shared" si="32"/>
        <v>0</v>
      </c>
    </row>
    <row r="162" ht="12.75" customHeight="1">
      <c r="A162" s="18"/>
      <c r="B162" s="56"/>
      <c r="C162" s="68"/>
      <c r="D162" s="62"/>
      <c r="E162" s="86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3">
        <f t="shared" si="32"/>
        <v>0</v>
      </c>
    </row>
    <row r="163" ht="12.75" customHeight="1">
      <c r="A163" s="19" t="s">
        <v>15</v>
      </c>
      <c r="B163" s="69" t="s">
        <v>47</v>
      </c>
      <c r="C163" s="44"/>
      <c r="D163" s="28"/>
      <c r="E163" s="13">
        <f t="shared" ref="E163:T163" si="33">SUM(E153:E162)</f>
        <v>0</v>
      </c>
      <c r="F163" s="13">
        <f t="shared" si="33"/>
        <v>0</v>
      </c>
      <c r="G163" s="13">
        <f t="shared" si="33"/>
        <v>0</v>
      </c>
      <c r="H163" s="13">
        <f t="shared" si="33"/>
        <v>0</v>
      </c>
      <c r="I163" s="13">
        <f t="shared" si="33"/>
        <v>0</v>
      </c>
      <c r="J163" s="13">
        <f t="shared" si="33"/>
        <v>0</v>
      </c>
      <c r="K163" s="13">
        <f t="shared" si="33"/>
        <v>1</v>
      </c>
      <c r="L163" s="13">
        <f t="shared" si="33"/>
        <v>0</v>
      </c>
      <c r="M163" s="13">
        <f t="shared" si="33"/>
        <v>1</v>
      </c>
      <c r="N163" s="13">
        <f t="shared" si="33"/>
        <v>1</v>
      </c>
      <c r="O163" s="13">
        <f t="shared" si="33"/>
        <v>8</v>
      </c>
      <c r="P163" s="13">
        <f t="shared" si="33"/>
        <v>3</v>
      </c>
      <c r="Q163" s="13">
        <f t="shared" si="33"/>
        <v>6</v>
      </c>
      <c r="R163" s="13">
        <f t="shared" si="33"/>
        <v>2</v>
      </c>
      <c r="S163" s="13">
        <f t="shared" si="33"/>
        <v>1</v>
      </c>
      <c r="T163" s="13">
        <f t="shared" si="33"/>
        <v>1</v>
      </c>
      <c r="U163" s="13">
        <f t="shared" si="32"/>
        <v>24</v>
      </c>
    </row>
    <row r="164" ht="12.75" customHeight="1">
      <c r="A164" s="24"/>
      <c r="B164" s="15"/>
      <c r="C164" s="15"/>
      <c r="D164" s="15"/>
      <c r="E164" s="16"/>
      <c r="F164" s="84"/>
      <c r="G164" s="84"/>
      <c r="H164" s="84"/>
      <c r="I164" s="84"/>
      <c r="J164" s="84"/>
      <c r="K164" s="84"/>
      <c r="L164" s="84"/>
      <c r="M164" s="84"/>
      <c r="N164" s="84"/>
      <c r="O164" s="84"/>
      <c r="P164" s="84"/>
      <c r="Q164" s="84"/>
      <c r="R164" s="84"/>
      <c r="S164" s="84"/>
      <c r="T164" s="84"/>
      <c r="U164" s="84"/>
    </row>
    <row r="165" ht="12.75" customHeight="1">
      <c r="A165" s="30" t="s">
        <v>37</v>
      </c>
      <c r="B165" s="47" t="s">
        <v>119</v>
      </c>
      <c r="C165" s="48" t="s">
        <v>120</v>
      </c>
      <c r="D165" s="16"/>
      <c r="E165" s="19">
        <v>1.0</v>
      </c>
      <c r="F165" s="19">
        <v>0.0</v>
      </c>
      <c r="G165" s="19">
        <v>0.0</v>
      </c>
      <c r="H165" s="19">
        <v>0.0</v>
      </c>
      <c r="I165" s="19">
        <v>0.0</v>
      </c>
      <c r="J165" s="19">
        <v>0.0</v>
      </c>
      <c r="K165" s="19">
        <v>0.0</v>
      </c>
      <c r="L165" s="19">
        <v>0.0</v>
      </c>
      <c r="M165" s="19">
        <v>1.0</v>
      </c>
      <c r="N165" s="19">
        <v>0.0</v>
      </c>
      <c r="O165" s="19">
        <v>0.0</v>
      </c>
      <c r="P165" s="19">
        <v>0.0</v>
      </c>
      <c r="Q165" s="19">
        <v>0.0</v>
      </c>
      <c r="R165" s="19">
        <v>1.0</v>
      </c>
      <c r="S165" s="19">
        <v>0.0</v>
      </c>
      <c r="T165" s="19">
        <v>0.0</v>
      </c>
      <c r="U165" s="13">
        <f t="shared" ref="U165:U174" si="34">SUM(E165:T165)</f>
        <v>3</v>
      </c>
    </row>
    <row r="166" ht="12.75" customHeight="1">
      <c r="A166" s="30" t="s">
        <v>39</v>
      </c>
      <c r="B166" s="55">
        <v>1.0</v>
      </c>
      <c r="C166" s="50" t="s">
        <v>121</v>
      </c>
      <c r="D166" s="60"/>
      <c r="E166" s="19">
        <v>0.0</v>
      </c>
      <c r="F166" s="19">
        <v>0.0</v>
      </c>
      <c r="G166" s="19">
        <v>0.0</v>
      </c>
      <c r="H166" s="19">
        <v>0.0</v>
      </c>
      <c r="I166" s="19">
        <v>0.0</v>
      </c>
      <c r="J166" s="19">
        <v>0.0</v>
      </c>
      <c r="K166" s="19">
        <v>0.0</v>
      </c>
      <c r="L166" s="19">
        <v>0.0</v>
      </c>
      <c r="M166" s="19">
        <v>0.0</v>
      </c>
      <c r="N166" s="19">
        <v>0.0</v>
      </c>
      <c r="O166" s="19">
        <v>0.0</v>
      </c>
      <c r="P166" s="19">
        <v>0.0</v>
      </c>
      <c r="Q166" s="19">
        <v>0.0</v>
      </c>
      <c r="R166" s="19">
        <v>0.0</v>
      </c>
      <c r="S166" s="19">
        <v>0.0</v>
      </c>
      <c r="T166" s="19">
        <v>0.0</v>
      </c>
      <c r="U166" s="13">
        <f t="shared" si="34"/>
        <v>0</v>
      </c>
    </row>
    <row r="167" ht="12.75" customHeight="1">
      <c r="A167" s="18"/>
      <c r="B167" s="55">
        <v>2.0</v>
      </c>
      <c r="C167" s="50" t="s">
        <v>122</v>
      </c>
      <c r="D167" s="60"/>
      <c r="E167" s="19">
        <v>0.0</v>
      </c>
      <c r="F167" s="19">
        <v>0.0</v>
      </c>
      <c r="G167" s="19">
        <v>0.0</v>
      </c>
      <c r="H167" s="19">
        <v>0.0</v>
      </c>
      <c r="I167" s="19">
        <v>0.0</v>
      </c>
      <c r="J167" s="19">
        <v>0.0</v>
      </c>
      <c r="K167" s="19">
        <v>0.0</v>
      </c>
      <c r="L167" s="19">
        <v>0.0</v>
      </c>
      <c r="M167" s="19">
        <v>0.0</v>
      </c>
      <c r="N167" s="19">
        <v>1.0</v>
      </c>
      <c r="O167" s="19">
        <v>0.0</v>
      </c>
      <c r="P167" s="19">
        <v>0.0</v>
      </c>
      <c r="Q167" s="19">
        <v>0.0</v>
      </c>
      <c r="R167" s="19">
        <v>1.0</v>
      </c>
      <c r="S167" s="19">
        <v>0.0</v>
      </c>
      <c r="T167" s="19">
        <v>0.0</v>
      </c>
      <c r="U167" s="13">
        <f t="shared" si="34"/>
        <v>2</v>
      </c>
    </row>
    <row r="168" ht="12.75" customHeight="1">
      <c r="A168" s="18"/>
      <c r="B168" s="55">
        <v>3.0</v>
      </c>
      <c r="C168" s="50" t="s">
        <v>123</v>
      </c>
      <c r="D168" s="60"/>
      <c r="E168" s="19">
        <v>0.0</v>
      </c>
      <c r="F168" s="19">
        <v>0.0</v>
      </c>
      <c r="G168" s="19">
        <v>0.0</v>
      </c>
      <c r="H168" s="19">
        <v>0.0</v>
      </c>
      <c r="I168" s="19">
        <v>0.0</v>
      </c>
      <c r="J168" s="19">
        <v>0.0</v>
      </c>
      <c r="K168" s="19">
        <v>0.0</v>
      </c>
      <c r="L168" s="19">
        <v>0.0</v>
      </c>
      <c r="M168" s="19">
        <v>0.0</v>
      </c>
      <c r="N168" s="19">
        <v>0.0</v>
      </c>
      <c r="O168" s="19">
        <v>0.0</v>
      </c>
      <c r="P168" s="19">
        <v>0.0</v>
      </c>
      <c r="Q168" s="19">
        <v>0.0</v>
      </c>
      <c r="R168" s="19">
        <v>0.0</v>
      </c>
      <c r="S168" s="19">
        <v>0.0</v>
      </c>
      <c r="T168" s="19">
        <v>0.0</v>
      </c>
      <c r="U168" s="13">
        <f t="shared" si="34"/>
        <v>0</v>
      </c>
    </row>
    <row r="169" ht="12.75" customHeight="1">
      <c r="A169" s="18"/>
      <c r="B169" s="55">
        <v>4.0</v>
      </c>
      <c r="C169" s="50" t="s">
        <v>124</v>
      </c>
      <c r="D169" s="60"/>
      <c r="E169" s="19">
        <v>0.0</v>
      </c>
      <c r="F169" s="19">
        <v>0.0</v>
      </c>
      <c r="G169" s="19">
        <v>0.0</v>
      </c>
      <c r="H169" s="19">
        <v>0.0</v>
      </c>
      <c r="I169" s="19">
        <v>1.0</v>
      </c>
      <c r="J169" s="19">
        <v>0.0</v>
      </c>
      <c r="K169" s="19">
        <v>0.0</v>
      </c>
      <c r="L169" s="19">
        <v>0.0</v>
      </c>
      <c r="M169" s="19">
        <v>0.0</v>
      </c>
      <c r="N169" s="19">
        <v>0.0</v>
      </c>
      <c r="O169" s="19">
        <v>0.0</v>
      </c>
      <c r="P169" s="19">
        <v>0.0</v>
      </c>
      <c r="Q169" s="19">
        <v>0.0</v>
      </c>
      <c r="R169" s="19">
        <v>0.0</v>
      </c>
      <c r="S169" s="19">
        <v>0.0</v>
      </c>
      <c r="T169" s="19">
        <v>0.0</v>
      </c>
      <c r="U169" s="13">
        <f t="shared" si="34"/>
        <v>1</v>
      </c>
    </row>
    <row r="170" ht="12.75" customHeight="1">
      <c r="A170" s="18"/>
      <c r="B170" s="55">
        <v>5.0</v>
      </c>
      <c r="C170" s="50" t="s">
        <v>125</v>
      </c>
      <c r="D170" s="60"/>
      <c r="E170" s="19">
        <v>0.0</v>
      </c>
      <c r="F170" s="19">
        <v>0.0</v>
      </c>
      <c r="G170" s="19">
        <v>0.0</v>
      </c>
      <c r="H170" s="19">
        <v>0.0</v>
      </c>
      <c r="I170" s="19">
        <v>0.0</v>
      </c>
      <c r="J170" s="19">
        <v>0.0</v>
      </c>
      <c r="K170" s="19">
        <v>0.0</v>
      </c>
      <c r="L170" s="19">
        <v>0.0</v>
      </c>
      <c r="M170" s="19">
        <v>0.0</v>
      </c>
      <c r="N170" s="19">
        <v>0.0</v>
      </c>
      <c r="O170" s="19">
        <v>0.0</v>
      </c>
      <c r="P170" s="19">
        <v>0.0</v>
      </c>
      <c r="Q170" s="19">
        <v>0.0</v>
      </c>
      <c r="R170" s="19">
        <v>0.0</v>
      </c>
      <c r="S170" s="19">
        <v>0.0</v>
      </c>
      <c r="T170" s="19">
        <v>0.0</v>
      </c>
      <c r="U170" s="13">
        <f t="shared" si="34"/>
        <v>0</v>
      </c>
    </row>
    <row r="171" ht="12.75" customHeight="1">
      <c r="A171" s="18"/>
      <c r="B171" s="55">
        <v>6.0</v>
      </c>
      <c r="C171" s="50" t="s">
        <v>126</v>
      </c>
      <c r="D171" s="60"/>
      <c r="E171" s="19">
        <v>0.0</v>
      </c>
      <c r="F171" s="19">
        <v>0.0</v>
      </c>
      <c r="G171" s="19">
        <v>0.0</v>
      </c>
      <c r="H171" s="19">
        <v>0.0</v>
      </c>
      <c r="I171" s="19">
        <v>0.0</v>
      </c>
      <c r="J171" s="19">
        <v>0.0</v>
      </c>
      <c r="K171" s="19">
        <v>0.0</v>
      </c>
      <c r="L171" s="19">
        <v>0.0</v>
      </c>
      <c r="M171" s="19">
        <v>0.0</v>
      </c>
      <c r="N171" s="19">
        <v>0.0</v>
      </c>
      <c r="O171" s="19">
        <v>0.0</v>
      </c>
      <c r="P171" s="19">
        <v>0.0</v>
      </c>
      <c r="Q171" s="19">
        <v>0.0</v>
      </c>
      <c r="R171" s="19">
        <v>0.0</v>
      </c>
      <c r="S171" s="19">
        <v>0.0</v>
      </c>
      <c r="T171" s="19">
        <v>0.0</v>
      </c>
      <c r="U171" s="13">
        <f t="shared" si="34"/>
        <v>0</v>
      </c>
    </row>
    <row r="172" ht="12.75" customHeight="1">
      <c r="A172" s="18"/>
      <c r="B172" s="55">
        <v>7.0</v>
      </c>
      <c r="C172" s="50" t="s">
        <v>127</v>
      </c>
      <c r="D172" s="60"/>
      <c r="E172" s="19">
        <v>0.0</v>
      </c>
      <c r="F172" s="19">
        <v>0.0</v>
      </c>
      <c r="G172" s="19">
        <v>0.0</v>
      </c>
      <c r="H172" s="19">
        <v>0.0</v>
      </c>
      <c r="I172" s="19">
        <v>0.0</v>
      </c>
      <c r="J172" s="19">
        <v>0.0</v>
      </c>
      <c r="K172" s="19">
        <v>0.0</v>
      </c>
      <c r="L172" s="19">
        <v>0.0</v>
      </c>
      <c r="M172" s="19">
        <v>0.0</v>
      </c>
      <c r="N172" s="19">
        <v>0.0</v>
      </c>
      <c r="O172" s="19">
        <v>0.0</v>
      </c>
      <c r="P172" s="19">
        <v>0.0</v>
      </c>
      <c r="Q172" s="19">
        <v>0.0</v>
      </c>
      <c r="R172" s="19">
        <v>0.0</v>
      </c>
      <c r="S172" s="19">
        <v>0.0</v>
      </c>
      <c r="T172" s="19">
        <v>0.0</v>
      </c>
      <c r="U172" s="13">
        <f t="shared" si="34"/>
        <v>0</v>
      </c>
    </row>
    <row r="173" ht="12.75" customHeight="1">
      <c r="A173" s="18"/>
      <c r="B173" s="56"/>
      <c r="C173" s="57"/>
      <c r="D173" s="62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3">
        <f t="shared" si="34"/>
        <v>0</v>
      </c>
    </row>
    <row r="174" ht="12.75" customHeight="1">
      <c r="A174" s="18"/>
      <c r="B174" s="56"/>
      <c r="C174" s="57"/>
      <c r="D174" s="62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3">
        <f t="shared" si="34"/>
        <v>0</v>
      </c>
    </row>
    <row r="175" ht="12.75" customHeight="1">
      <c r="A175" s="19" t="s">
        <v>15</v>
      </c>
      <c r="B175" s="47" t="s">
        <v>47</v>
      </c>
      <c r="C175" s="15"/>
      <c r="D175" s="16"/>
      <c r="E175" s="13">
        <f t="shared" ref="E175:U175" si="35">SUM(E165:E174)</f>
        <v>1</v>
      </c>
      <c r="F175" s="13">
        <f t="shared" si="35"/>
        <v>0</v>
      </c>
      <c r="G175" s="13">
        <f t="shared" si="35"/>
        <v>0</v>
      </c>
      <c r="H175" s="13">
        <f t="shared" si="35"/>
        <v>0</v>
      </c>
      <c r="I175" s="13">
        <f t="shared" si="35"/>
        <v>1</v>
      </c>
      <c r="J175" s="13">
        <f t="shared" si="35"/>
        <v>0</v>
      </c>
      <c r="K175" s="13">
        <f t="shared" si="35"/>
        <v>0</v>
      </c>
      <c r="L175" s="13">
        <f t="shared" si="35"/>
        <v>0</v>
      </c>
      <c r="M175" s="13">
        <f t="shared" si="35"/>
        <v>1</v>
      </c>
      <c r="N175" s="13">
        <f t="shared" si="35"/>
        <v>1</v>
      </c>
      <c r="O175" s="13">
        <f t="shared" si="35"/>
        <v>0</v>
      </c>
      <c r="P175" s="13">
        <f t="shared" si="35"/>
        <v>0</v>
      </c>
      <c r="Q175" s="13">
        <f t="shared" si="35"/>
        <v>0</v>
      </c>
      <c r="R175" s="13">
        <f t="shared" si="35"/>
        <v>2</v>
      </c>
      <c r="S175" s="13">
        <f t="shared" si="35"/>
        <v>0</v>
      </c>
      <c r="T175" s="13">
        <f t="shared" si="35"/>
        <v>0</v>
      </c>
      <c r="U175" s="13">
        <f t="shared" si="35"/>
        <v>6</v>
      </c>
    </row>
    <row r="176" ht="12.75" customHeight="1">
      <c r="A176" s="24"/>
      <c r="B176" s="15"/>
      <c r="C176" s="15"/>
      <c r="D176" s="15"/>
      <c r="E176" s="16"/>
      <c r="F176" s="84"/>
      <c r="G176" s="84"/>
      <c r="H176" s="84"/>
      <c r="I176" s="84"/>
      <c r="J176" s="84"/>
      <c r="K176" s="84"/>
      <c r="L176" s="84"/>
      <c r="M176" s="84"/>
      <c r="N176" s="84"/>
      <c r="O176" s="84"/>
      <c r="P176" s="84"/>
      <c r="Q176" s="84"/>
      <c r="R176" s="84"/>
      <c r="S176" s="84"/>
      <c r="T176" s="84"/>
      <c r="U176" s="84"/>
    </row>
    <row r="177" ht="12.75" customHeight="1">
      <c r="A177" s="30" t="s">
        <v>37</v>
      </c>
      <c r="B177" s="47" t="s">
        <v>128</v>
      </c>
      <c r="C177" s="48" t="s">
        <v>129</v>
      </c>
      <c r="D177" s="16"/>
      <c r="E177" s="19">
        <v>0.0</v>
      </c>
      <c r="F177" s="19">
        <v>1.0</v>
      </c>
      <c r="G177" s="19">
        <v>1.0</v>
      </c>
      <c r="H177" s="19">
        <v>0.0</v>
      </c>
      <c r="I177" s="19">
        <v>0.0</v>
      </c>
      <c r="J177" s="19">
        <v>0.0</v>
      </c>
      <c r="K177" s="19">
        <v>0.0</v>
      </c>
      <c r="L177" s="19">
        <v>0.0</v>
      </c>
      <c r="M177" s="19">
        <v>0.0</v>
      </c>
      <c r="N177" s="19">
        <v>1.0</v>
      </c>
      <c r="O177" s="19">
        <v>1.0</v>
      </c>
      <c r="P177" s="19">
        <v>0.0</v>
      </c>
      <c r="Q177" s="19">
        <v>0.0</v>
      </c>
      <c r="R177" s="19">
        <v>0.0</v>
      </c>
      <c r="S177" s="19">
        <v>0.0</v>
      </c>
      <c r="T177" s="19">
        <v>0.0</v>
      </c>
      <c r="U177" s="13">
        <f t="shared" ref="U177:U186" si="36">SUM(E177:T177)</f>
        <v>4</v>
      </c>
    </row>
    <row r="178" ht="12.75" customHeight="1">
      <c r="A178" s="30" t="s">
        <v>39</v>
      </c>
      <c r="B178" s="55">
        <v>1.0</v>
      </c>
      <c r="C178" s="50" t="s">
        <v>130</v>
      </c>
      <c r="D178" s="60"/>
      <c r="E178" s="19">
        <v>14.0</v>
      </c>
      <c r="F178" s="19">
        <v>4.0</v>
      </c>
      <c r="G178" s="19">
        <v>0.0</v>
      </c>
      <c r="H178" s="19">
        <v>8.0</v>
      </c>
      <c r="I178" s="19">
        <v>10.0</v>
      </c>
      <c r="J178" s="19">
        <v>4.0</v>
      </c>
      <c r="K178" s="19">
        <v>1.0</v>
      </c>
      <c r="L178" s="19">
        <v>3.0</v>
      </c>
      <c r="M178" s="19">
        <v>0.0</v>
      </c>
      <c r="N178" s="19">
        <v>3.0</v>
      </c>
      <c r="O178" s="19">
        <v>4.0</v>
      </c>
      <c r="P178" s="19">
        <v>1.0</v>
      </c>
      <c r="Q178" s="19">
        <v>0.0</v>
      </c>
      <c r="R178" s="19">
        <v>1.0</v>
      </c>
      <c r="S178" s="19">
        <v>0.0</v>
      </c>
      <c r="T178" s="19">
        <v>0.0</v>
      </c>
      <c r="U178" s="13">
        <f t="shared" si="36"/>
        <v>53</v>
      </c>
    </row>
    <row r="179" ht="12.75" customHeight="1">
      <c r="A179" s="18"/>
      <c r="B179" s="55">
        <v>2.0</v>
      </c>
      <c r="C179" s="50" t="s">
        <v>131</v>
      </c>
      <c r="D179" s="60"/>
      <c r="E179" s="19">
        <v>1.0</v>
      </c>
      <c r="F179" s="19">
        <v>0.0</v>
      </c>
      <c r="G179" s="19">
        <v>0.0</v>
      </c>
      <c r="H179" s="19">
        <v>0.0</v>
      </c>
      <c r="I179" s="19">
        <v>0.0</v>
      </c>
      <c r="J179" s="19">
        <v>0.0</v>
      </c>
      <c r="K179" s="19">
        <v>1.0</v>
      </c>
      <c r="L179" s="19">
        <v>0.0</v>
      </c>
      <c r="M179" s="19">
        <v>0.0</v>
      </c>
      <c r="N179" s="19">
        <v>0.0</v>
      </c>
      <c r="O179" s="19">
        <v>1.0</v>
      </c>
      <c r="P179" s="19">
        <v>0.0</v>
      </c>
      <c r="Q179" s="19">
        <v>0.0</v>
      </c>
      <c r="R179" s="19">
        <v>0.0</v>
      </c>
      <c r="S179" s="19">
        <v>0.0</v>
      </c>
      <c r="T179" s="19">
        <v>0.0</v>
      </c>
      <c r="U179" s="13">
        <f t="shared" si="36"/>
        <v>3</v>
      </c>
    </row>
    <row r="180" ht="12.75" customHeight="1">
      <c r="A180" s="18"/>
      <c r="B180" s="55">
        <v>3.0</v>
      </c>
      <c r="C180" s="50" t="s">
        <v>132</v>
      </c>
      <c r="D180" s="60"/>
      <c r="E180" s="19">
        <v>0.0</v>
      </c>
      <c r="F180" s="19">
        <v>0.0</v>
      </c>
      <c r="G180" s="19">
        <v>0.0</v>
      </c>
      <c r="H180" s="19">
        <v>0.0</v>
      </c>
      <c r="I180" s="19">
        <v>0.0</v>
      </c>
      <c r="J180" s="19">
        <v>0.0</v>
      </c>
      <c r="K180" s="19">
        <v>0.0</v>
      </c>
      <c r="L180" s="19">
        <v>0.0</v>
      </c>
      <c r="M180" s="19">
        <v>0.0</v>
      </c>
      <c r="N180" s="19">
        <v>0.0</v>
      </c>
      <c r="O180" s="19">
        <v>0.0</v>
      </c>
      <c r="P180" s="19">
        <v>0.0</v>
      </c>
      <c r="Q180" s="19">
        <v>0.0</v>
      </c>
      <c r="R180" s="19">
        <v>0.0</v>
      </c>
      <c r="S180" s="19">
        <v>0.0</v>
      </c>
      <c r="T180" s="19">
        <v>0.0</v>
      </c>
      <c r="U180" s="13">
        <f t="shared" si="36"/>
        <v>0</v>
      </c>
    </row>
    <row r="181" ht="12.75" customHeight="1">
      <c r="A181" s="18"/>
      <c r="B181" s="55">
        <v>4.0</v>
      </c>
      <c r="C181" s="50" t="s">
        <v>133</v>
      </c>
      <c r="D181" s="60"/>
      <c r="E181" s="19">
        <v>0.0</v>
      </c>
      <c r="F181" s="19">
        <v>0.0</v>
      </c>
      <c r="G181" s="19">
        <v>0.0</v>
      </c>
      <c r="H181" s="19">
        <v>0.0</v>
      </c>
      <c r="I181" s="19">
        <v>0.0</v>
      </c>
      <c r="J181" s="19">
        <v>0.0</v>
      </c>
      <c r="K181" s="19">
        <v>0.0</v>
      </c>
      <c r="L181" s="19">
        <v>0.0</v>
      </c>
      <c r="M181" s="19">
        <v>0.0</v>
      </c>
      <c r="N181" s="19">
        <v>0.0</v>
      </c>
      <c r="O181" s="19">
        <v>0.0</v>
      </c>
      <c r="P181" s="19">
        <v>0.0</v>
      </c>
      <c r="Q181" s="19">
        <v>0.0</v>
      </c>
      <c r="R181" s="19">
        <v>0.0</v>
      </c>
      <c r="S181" s="19">
        <v>0.0</v>
      </c>
      <c r="T181" s="19">
        <v>0.0</v>
      </c>
      <c r="U181" s="13">
        <f t="shared" si="36"/>
        <v>0</v>
      </c>
    </row>
    <row r="182" ht="12.75" customHeight="1">
      <c r="A182" s="18"/>
      <c r="B182" s="55">
        <v>5.0</v>
      </c>
      <c r="C182" s="50" t="s">
        <v>134</v>
      </c>
      <c r="D182" s="60"/>
      <c r="E182" s="19">
        <v>0.0</v>
      </c>
      <c r="F182" s="19">
        <v>0.0</v>
      </c>
      <c r="G182" s="19">
        <v>0.0</v>
      </c>
      <c r="H182" s="19">
        <v>1.0</v>
      </c>
      <c r="I182" s="19">
        <v>1.0</v>
      </c>
      <c r="J182" s="19">
        <v>0.0</v>
      </c>
      <c r="K182" s="19">
        <v>0.0</v>
      </c>
      <c r="L182" s="19">
        <v>0.0</v>
      </c>
      <c r="M182" s="19">
        <v>0.0</v>
      </c>
      <c r="N182" s="19">
        <v>0.0</v>
      </c>
      <c r="O182" s="19">
        <v>0.0</v>
      </c>
      <c r="P182" s="19">
        <v>0.0</v>
      </c>
      <c r="Q182" s="19">
        <v>0.0</v>
      </c>
      <c r="R182" s="19">
        <v>0.0</v>
      </c>
      <c r="S182" s="19">
        <v>1.0</v>
      </c>
      <c r="T182" s="19">
        <v>0.0</v>
      </c>
      <c r="U182" s="13">
        <f t="shared" si="36"/>
        <v>3</v>
      </c>
    </row>
    <row r="183" ht="12.75" customHeight="1">
      <c r="A183" s="18"/>
      <c r="B183" s="55">
        <v>6.0</v>
      </c>
      <c r="C183" s="50" t="s">
        <v>135</v>
      </c>
      <c r="D183" s="60"/>
      <c r="E183" s="19">
        <v>0.0</v>
      </c>
      <c r="F183" s="19">
        <v>0.0</v>
      </c>
      <c r="G183" s="19">
        <v>0.0</v>
      </c>
      <c r="H183" s="19">
        <v>0.0</v>
      </c>
      <c r="I183" s="19">
        <v>1.0</v>
      </c>
      <c r="J183" s="19">
        <v>0.0</v>
      </c>
      <c r="K183" s="19">
        <v>0.0</v>
      </c>
      <c r="L183" s="19">
        <v>0.0</v>
      </c>
      <c r="M183" s="19">
        <v>0.0</v>
      </c>
      <c r="N183" s="19">
        <v>0.0</v>
      </c>
      <c r="O183" s="19">
        <v>0.0</v>
      </c>
      <c r="P183" s="19">
        <v>0.0</v>
      </c>
      <c r="Q183" s="19">
        <v>0.0</v>
      </c>
      <c r="R183" s="19">
        <v>0.0</v>
      </c>
      <c r="S183" s="19">
        <v>0.0</v>
      </c>
      <c r="T183" s="19">
        <v>0.0</v>
      </c>
      <c r="U183" s="13">
        <f t="shared" si="36"/>
        <v>1</v>
      </c>
    </row>
    <row r="184" ht="12.75" customHeight="1">
      <c r="A184" s="18"/>
      <c r="B184" s="55">
        <v>7.0</v>
      </c>
      <c r="C184" s="50" t="s">
        <v>136</v>
      </c>
      <c r="D184" s="60"/>
      <c r="E184" s="19">
        <v>0.0</v>
      </c>
      <c r="F184" s="19">
        <v>0.0</v>
      </c>
      <c r="G184" s="19">
        <v>0.0</v>
      </c>
      <c r="H184" s="19">
        <v>0.0</v>
      </c>
      <c r="I184" s="19">
        <v>0.0</v>
      </c>
      <c r="J184" s="19">
        <v>0.0</v>
      </c>
      <c r="K184" s="19">
        <v>0.0</v>
      </c>
      <c r="L184" s="19">
        <v>0.0</v>
      </c>
      <c r="M184" s="19">
        <v>0.0</v>
      </c>
      <c r="N184" s="19">
        <v>0.0</v>
      </c>
      <c r="O184" s="19">
        <v>0.0</v>
      </c>
      <c r="P184" s="19">
        <v>0.0</v>
      </c>
      <c r="Q184" s="19">
        <v>0.0</v>
      </c>
      <c r="R184" s="19">
        <v>0.0</v>
      </c>
      <c r="S184" s="19">
        <v>0.0</v>
      </c>
      <c r="T184" s="19">
        <v>0.0</v>
      </c>
      <c r="U184" s="13">
        <f t="shared" si="36"/>
        <v>0</v>
      </c>
    </row>
    <row r="185" ht="12.75" customHeight="1">
      <c r="A185" s="18"/>
      <c r="B185" s="56"/>
      <c r="C185" s="57"/>
      <c r="D185" s="62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3">
        <f t="shared" si="36"/>
        <v>0</v>
      </c>
    </row>
    <row r="186" ht="12.75" customHeight="1">
      <c r="A186" s="18"/>
      <c r="B186" s="56"/>
      <c r="C186" s="57"/>
      <c r="D186" s="62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3">
        <f t="shared" si="36"/>
        <v>0</v>
      </c>
    </row>
    <row r="187" ht="12.75" customHeight="1">
      <c r="A187" s="19" t="s">
        <v>15</v>
      </c>
      <c r="B187" s="47" t="s">
        <v>47</v>
      </c>
      <c r="C187" s="15"/>
      <c r="D187" s="16"/>
      <c r="E187" s="13">
        <f t="shared" ref="E187:U187" si="37">SUM(E177:E186)</f>
        <v>15</v>
      </c>
      <c r="F187" s="13">
        <f t="shared" si="37"/>
        <v>5</v>
      </c>
      <c r="G187" s="13">
        <f t="shared" si="37"/>
        <v>1</v>
      </c>
      <c r="H187" s="13">
        <f t="shared" si="37"/>
        <v>9</v>
      </c>
      <c r="I187" s="13">
        <f t="shared" si="37"/>
        <v>12</v>
      </c>
      <c r="J187" s="13">
        <f t="shared" si="37"/>
        <v>4</v>
      </c>
      <c r="K187" s="13">
        <f t="shared" si="37"/>
        <v>2</v>
      </c>
      <c r="L187" s="13">
        <f t="shared" si="37"/>
        <v>3</v>
      </c>
      <c r="M187" s="13">
        <f t="shared" si="37"/>
        <v>0</v>
      </c>
      <c r="N187" s="13">
        <f t="shared" si="37"/>
        <v>4</v>
      </c>
      <c r="O187" s="13">
        <f t="shared" si="37"/>
        <v>6</v>
      </c>
      <c r="P187" s="13">
        <f t="shared" si="37"/>
        <v>1</v>
      </c>
      <c r="Q187" s="13">
        <f t="shared" si="37"/>
        <v>0</v>
      </c>
      <c r="R187" s="13">
        <f t="shared" si="37"/>
        <v>1</v>
      </c>
      <c r="S187" s="13">
        <f t="shared" si="37"/>
        <v>1</v>
      </c>
      <c r="T187" s="13">
        <f t="shared" si="37"/>
        <v>0</v>
      </c>
      <c r="U187" s="13">
        <f t="shared" si="37"/>
        <v>64</v>
      </c>
    </row>
    <row r="188" ht="12.75" customHeight="1">
      <c r="A188" s="24"/>
      <c r="B188" s="15"/>
      <c r="C188" s="15"/>
      <c r="D188" s="15"/>
      <c r="E188" s="16"/>
      <c r="F188" s="84"/>
      <c r="G188" s="84"/>
      <c r="H188" s="84"/>
      <c r="I188" s="84"/>
      <c r="J188" s="84"/>
      <c r="K188" s="84"/>
      <c r="L188" s="84"/>
      <c r="M188" s="84"/>
      <c r="N188" s="84"/>
      <c r="U188" s="13"/>
    </row>
    <row r="189" ht="12.75" customHeight="1">
      <c r="A189" s="30" t="s">
        <v>37</v>
      </c>
      <c r="B189" s="47" t="s">
        <v>137</v>
      </c>
      <c r="C189" s="48" t="s">
        <v>138</v>
      </c>
      <c r="D189" s="16"/>
      <c r="E189" s="19">
        <v>0.0</v>
      </c>
      <c r="F189" s="19">
        <v>0.0</v>
      </c>
      <c r="G189" s="19">
        <v>0.0</v>
      </c>
      <c r="H189" s="19">
        <v>0.0</v>
      </c>
      <c r="I189" s="19">
        <v>0.0</v>
      </c>
      <c r="J189" s="19">
        <v>0.0</v>
      </c>
      <c r="K189" s="19">
        <v>0.0</v>
      </c>
      <c r="L189" s="19">
        <v>1.0</v>
      </c>
      <c r="M189" s="19">
        <v>0.0</v>
      </c>
      <c r="N189" s="19">
        <v>0.0</v>
      </c>
      <c r="O189" s="19">
        <v>1.0</v>
      </c>
      <c r="P189" s="19">
        <v>0.0</v>
      </c>
      <c r="Q189" s="19">
        <v>0.0</v>
      </c>
      <c r="R189" s="19">
        <v>0.0</v>
      </c>
      <c r="S189" s="19">
        <v>0.0</v>
      </c>
      <c r="T189" s="19">
        <v>0.0</v>
      </c>
      <c r="U189" s="13">
        <f t="shared" ref="U189:U198" si="38">SUM(E189:T189)</f>
        <v>2</v>
      </c>
    </row>
    <row r="190" ht="12.75" customHeight="1">
      <c r="A190" s="30" t="s">
        <v>39</v>
      </c>
      <c r="B190" s="55">
        <v>1.0</v>
      </c>
      <c r="C190" s="50" t="s">
        <v>139</v>
      </c>
      <c r="D190" s="60"/>
      <c r="E190" s="19">
        <v>0.0</v>
      </c>
      <c r="F190" s="19">
        <v>0.0</v>
      </c>
      <c r="G190" s="19">
        <v>0.0</v>
      </c>
      <c r="H190" s="19">
        <v>0.0</v>
      </c>
      <c r="I190" s="19">
        <v>0.0</v>
      </c>
      <c r="J190" s="19">
        <v>0.0</v>
      </c>
      <c r="K190" s="19">
        <v>0.0</v>
      </c>
      <c r="L190" s="19">
        <v>0.0</v>
      </c>
      <c r="M190" s="19">
        <v>0.0</v>
      </c>
      <c r="N190" s="19">
        <v>0.0</v>
      </c>
      <c r="O190" s="19">
        <v>0.0</v>
      </c>
      <c r="P190" s="19">
        <v>0.0</v>
      </c>
      <c r="Q190" s="19">
        <v>0.0</v>
      </c>
      <c r="R190" s="19">
        <v>0.0</v>
      </c>
      <c r="S190" s="19">
        <v>0.0</v>
      </c>
      <c r="T190" s="19">
        <v>0.0</v>
      </c>
      <c r="U190" s="13">
        <f t="shared" si="38"/>
        <v>0</v>
      </c>
    </row>
    <row r="191" ht="12.75" customHeight="1">
      <c r="A191" s="18"/>
      <c r="B191" s="55">
        <v>2.0</v>
      </c>
      <c r="C191" s="50" t="s">
        <v>140</v>
      </c>
      <c r="D191" s="60"/>
      <c r="E191" s="19">
        <v>0.0</v>
      </c>
      <c r="F191" s="19">
        <v>0.0</v>
      </c>
      <c r="G191" s="19">
        <v>0.0</v>
      </c>
      <c r="H191" s="19">
        <v>0.0</v>
      </c>
      <c r="I191" s="19">
        <v>0.0</v>
      </c>
      <c r="J191" s="19">
        <v>0.0</v>
      </c>
      <c r="K191" s="19">
        <v>0.0</v>
      </c>
      <c r="L191" s="19">
        <v>0.0</v>
      </c>
      <c r="M191" s="19">
        <v>0.0</v>
      </c>
      <c r="N191" s="19">
        <v>0.0</v>
      </c>
      <c r="O191" s="19">
        <v>0.0</v>
      </c>
      <c r="P191" s="19">
        <v>0.0</v>
      </c>
      <c r="Q191" s="19">
        <v>0.0</v>
      </c>
      <c r="R191" s="19">
        <v>0.0</v>
      </c>
      <c r="S191" s="19">
        <v>0.0</v>
      </c>
      <c r="T191" s="19">
        <v>0.0</v>
      </c>
      <c r="U191" s="13">
        <f t="shared" si="38"/>
        <v>0</v>
      </c>
    </row>
    <row r="192" ht="12.75" customHeight="1">
      <c r="A192" s="18"/>
      <c r="B192" s="55">
        <v>3.0</v>
      </c>
      <c r="C192" s="50" t="s">
        <v>141</v>
      </c>
      <c r="D192" s="60"/>
      <c r="E192" s="19">
        <v>0.0</v>
      </c>
      <c r="F192" s="19">
        <v>0.0</v>
      </c>
      <c r="G192" s="19">
        <v>0.0</v>
      </c>
      <c r="H192" s="19">
        <v>0.0</v>
      </c>
      <c r="I192" s="19">
        <v>0.0</v>
      </c>
      <c r="J192" s="19">
        <v>0.0</v>
      </c>
      <c r="K192" s="19">
        <v>0.0</v>
      </c>
      <c r="L192" s="19">
        <v>0.0</v>
      </c>
      <c r="M192" s="19">
        <v>0.0</v>
      </c>
      <c r="N192" s="19">
        <v>0.0</v>
      </c>
      <c r="O192" s="19">
        <v>0.0</v>
      </c>
      <c r="P192" s="19">
        <v>0.0</v>
      </c>
      <c r="Q192" s="19">
        <v>0.0</v>
      </c>
      <c r="R192" s="19">
        <v>0.0</v>
      </c>
      <c r="S192" s="19">
        <v>0.0</v>
      </c>
      <c r="T192" s="19">
        <v>0.0</v>
      </c>
      <c r="U192" s="13">
        <f t="shared" si="38"/>
        <v>0</v>
      </c>
    </row>
    <row r="193" ht="12.75" customHeight="1">
      <c r="A193" s="18"/>
      <c r="B193" s="55">
        <v>4.0</v>
      </c>
      <c r="C193" s="50" t="s">
        <v>142</v>
      </c>
      <c r="D193" s="60"/>
      <c r="E193" s="19">
        <v>0.0</v>
      </c>
      <c r="F193" s="19">
        <v>0.0</v>
      </c>
      <c r="G193" s="19">
        <v>0.0</v>
      </c>
      <c r="H193" s="19">
        <v>0.0</v>
      </c>
      <c r="I193" s="19">
        <v>0.0</v>
      </c>
      <c r="J193" s="19">
        <v>0.0</v>
      </c>
      <c r="K193" s="19">
        <v>0.0</v>
      </c>
      <c r="L193" s="19">
        <v>0.0</v>
      </c>
      <c r="M193" s="19">
        <v>0.0</v>
      </c>
      <c r="N193" s="19">
        <v>0.0</v>
      </c>
      <c r="O193" s="19">
        <v>0.0</v>
      </c>
      <c r="P193" s="19">
        <v>0.0</v>
      </c>
      <c r="Q193" s="19">
        <v>0.0</v>
      </c>
      <c r="R193" s="19">
        <v>0.0</v>
      </c>
      <c r="S193" s="19">
        <v>0.0</v>
      </c>
      <c r="T193" s="19">
        <v>0.0</v>
      </c>
      <c r="U193" s="13">
        <f t="shared" si="38"/>
        <v>0</v>
      </c>
    </row>
    <row r="194" ht="12.75" customHeight="1">
      <c r="A194" s="18"/>
      <c r="B194" s="55">
        <v>5.0</v>
      </c>
      <c r="C194" s="50" t="s">
        <v>143</v>
      </c>
      <c r="D194" s="60"/>
      <c r="E194" s="19">
        <v>0.0</v>
      </c>
      <c r="F194" s="19">
        <v>0.0</v>
      </c>
      <c r="G194" s="19">
        <v>0.0</v>
      </c>
      <c r="H194" s="19">
        <v>0.0</v>
      </c>
      <c r="I194" s="19">
        <v>0.0</v>
      </c>
      <c r="J194" s="19">
        <v>0.0</v>
      </c>
      <c r="K194" s="19">
        <v>0.0</v>
      </c>
      <c r="L194" s="19">
        <v>0.0</v>
      </c>
      <c r="M194" s="19">
        <v>0.0</v>
      </c>
      <c r="N194" s="19">
        <v>0.0</v>
      </c>
      <c r="O194" s="19">
        <v>0.0</v>
      </c>
      <c r="P194" s="19">
        <v>0.0</v>
      </c>
      <c r="Q194" s="19">
        <v>0.0</v>
      </c>
      <c r="R194" s="19">
        <v>0.0</v>
      </c>
      <c r="S194" s="19">
        <v>0.0</v>
      </c>
      <c r="T194" s="19">
        <v>0.0</v>
      </c>
      <c r="U194" s="13">
        <f t="shared" si="38"/>
        <v>0</v>
      </c>
    </row>
    <row r="195" ht="12.75" customHeight="1">
      <c r="A195" s="18"/>
      <c r="B195" s="55">
        <v>6.0</v>
      </c>
      <c r="C195" s="50" t="s">
        <v>144</v>
      </c>
      <c r="D195" s="60"/>
      <c r="E195" s="19">
        <v>0.0</v>
      </c>
      <c r="F195" s="19">
        <v>0.0</v>
      </c>
      <c r="G195" s="19">
        <v>0.0</v>
      </c>
      <c r="H195" s="19">
        <v>0.0</v>
      </c>
      <c r="I195" s="19">
        <v>0.0</v>
      </c>
      <c r="J195" s="19">
        <v>0.0</v>
      </c>
      <c r="K195" s="19">
        <v>0.0</v>
      </c>
      <c r="L195" s="19">
        <v>0.0</v>
      </c>
      <c r="M195" s="19">
        <v>0.0</v>
      </c>
      <c r="N195" s="19">
        <v>0.0</v>
      </c>
      <c r="O195" s="19">
        <v>0.0</v>
      </c>
      <c r="P195" s="19">
        <v>0.0</v>
      </c>
      <c r="Q195" s="19">
        <v>0.0</v>
      </c>
      <c r="R195" s="19">
        <v>0.0</v>
      </c>
      <c r="S195" s="19">
        <v>0.0</v>
      </c>
      <c r="T195" s="19">
        <v>0.0</v>
      </c>
      <c r="U195" s="13">
        <f t="shared" si="38"/>
        <v>0</v>
      </c>
    </row>
    <row r="196" ht="12.75" customHeight="1">
      <c r="A196" s="18"/>
      <c r="B196" s="55">
        <v>7.0</v>
      </c>
      <c r="C196" s="50" t="s">
        <v>145</v>
      </c>
      <c r="D196" s="60"/>
      <c r="E196" s="19">
        <v>0.0</v>
      </c>
      <c r="F196" s="19">
        <v>0.0</v>
      </c>
      <c r="G196" s="19">
        <v>0.0</v>
      </c>
      <c r="H196" s="19">
        <v>0.0</v>
      </c>
      <c r="I196" s="19">
        <v>0.0</v>
      </c>
      <c r="J196" s="19">
        <v>0.0</v>
      </c>
      <c r="K196" s="19">
        <v>0.0</v>
      </c>
      <c r="L196" s="19">
        <v>0.0</v>
      </c>
      <c r="M196" s="19">
        <v>0.0</v>
      </c>
      <c r="N196" s="19">
        <v>0.0</v>
      </c>
      <c r="O196" s="19">
        <v>0.0</v>
      </c>
      <c r="P196" s="19">
        <v>0.0</v>
      </c>
      <c r="Q196" s="19">
        <v>0.0</v>
      </c>
      <c r="R196" s="19">
        <v>0.0</v>
      </c>
      <c r="S196" s="19">
        <v>0.0</v>
      </c>
      <c r="T196" s="19">
        <v>0.0</v>
      </c>
      <c r="U196" s="13">
        <f t="shared" si="38"/>
        <v>0</v>
      </c>
    </row>
    <row r="197" ht="12.75" customHeight="1">
      <c r="A197" s="18"/>
      <c r="B197" s="56"/>
      <c r="C197" s="57"/>
      <c r="D197" s="62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3">
        <f t="shared" si="38"/>
        <v>0</v>
      </c>
    </row>
    <row r="198" ht="12.75" customHeight="1">
      <c r="A198" s="18"/>
      <c r="B198" s="56"/>
      <c r="C198" s="57"/>
      <c r="D198" s="62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3">
        <f t="shared" si="38"/>
        <v>0</v>
      </c>
    </row>
    <row r="199" ht="12.75" customHeight="1">
      <c r="A199" s="19" t="s">
        <v>15</v>
      </c>
      <c r="B199" s="47" t="s">
        <v>47</v>
      </c>
      <c r="C199" s="15"/>
      <c r="D199" s="16"/>
      <c r="E199" s="13">
        <f t="shared" ref="E199:U199" si="39">SUM(E189:E198)</f>
        <v>0</v>
      </c>
      <c r="F199" s="13">
        <f t="shared" si="39"/>
        <v>0</v>
      </c>
      <c r="G199" s="13">
        <f t="shared" si="39"/>
        <v>0</v>
      </c>
      <c r="H199" s="13">
        <f t="shared" si="39"/>
        <v>0</v>
      </c>
      <c r="I199" s="13">
        <f t="shared" si="39"/>
        <v>0</v>
      </c>
      <c r="J199" s="13">
        <f t="shared" si="39"/>
        <v>0</v>
      </c>
      <c r="K199" s="13">
        <f t="shared" si="39"/>
        <v>0</v>
      </c>
      <c r="L199" s="13">
        <f t="shared" si="39"/>
        <v>1</v>
      </c>
      <c r="M199" s="13">
        <f t="shared" si="39"/>
        <v>0</v>
      </c>
      <c r="N199" s="13">
        <f t="shared" si="39"/>
        <v>0</v>
      </c>
      <c r="O199" s="13">
        <f t="shared" si="39"/>
        <v>1</v>
      </c>
      <c r="P199" s="13">
        <f t="shared" si="39"/>
        <v>0</v>
      </c>
      <c r="Q199" s="13">
        <f t="shared" si="39"/>
        <v>0</v>
      </c>
      <c r="R199" s="13">
        <f t="shared" si="39"/>
        <v>0</v>
      </c>
      <c r="S199" s="13">
        <f t="shared" si="39"/>
        <v>0</v>
      </c>
      <c r="T199" s="13">
        <f t="shared" si="39"/>
        <v>0</v>
      </c>
      <c r="U199" s="13">
        <f t="shared" si="39"/>
        <v>2</v>
      </c>
    </row>
    <row r="200" ht="12.75" customHeight="1">
      <c r="A200" s="24"/>
      <c r="B200" s="15"/>
      <c r="C200" s="15"/>
      <c r="D200" s="15"/>
      <c r="E200" s="16"/>
      <c r="F200" s="84"/>
      <c r="G200" s="84"/>
      <c r="H200" s="84"/>
      <c r="I200" s="84"/>
      <c r="J200" s="84"/>
      <c r="K200" s="84"/>
      <c r="L200" s="84"/>
      <c r="M200" s="84"/>
      <c r="N200" s="84"/>
      <c r="O200" s="84"/>
      <c r="P200" s="84"/>
      <c r="Q200" s="84"/>
      <c r="R200" s="84"/>
      <c r="S200" s="84"/>
      <c r="T200" s="84"/>
      <c r="U200" s="84"/>
    </row>
    <row r="201" ht="12.75" customHeight="1">
      <c r="A201" s="30" t="s">
        <v>37</v>
      </c>
      <c r="B201" s="47" t="s">
        <v>146</v>
      </c>
      <c r="C201" s="48" t="s">
        <v>147</v>
      </c>
      <c r="D201" s="16"/>
      <c r="E201" s="19">
        <v>0.0</v>
      </c>
      <c r="F201" s="19">
        <v>1.0</v>
      </c>
      <c r="G201" s="19">
        <v>0.0</v>
      </c>
      <c r="H201" s="19">
        <v>2.0</v>
      </c>
      <c r="I201" s="19">
        <v>0.0</v>
      </c>
      <c r="J201" s="19">
        <v>1.0</v>
      </c>
      <c r="K201" s="19">
        <v>1.0</v>
      </c>
      <c r="L201" s="19">
        <v>2.0</v>
      </c>
      <c r="M201" s="19">
        <v>3.0</v>
      </c>
      <c r="N201" s="19">
        <v>2.0</v>
      </c>
      <c r="O201" s="19">
        <v>2.0</v>
      </c>
      <c r="P201" s="19">
        <v>2.0</v>
      </c>
      <c r="Q201" s="19">
        <v>0.0</v>
      </c>
      <c r="R201" s="19">
        <v>1.0</v>
      </c>
      <c r="S201" s="19">
        <v>2.0</v>
      </c>
      <c r="T201" s="19">
        <v>0.0</v>
      </c>
      <c r="U201" s="13">
        <f t="shared" ref="U201:U210" si="40">SUM(E201:T201)</f>
        <v>19</v>
      </c>
    </row>
    <row r="202" ht="12.75" customHeight="1">
      <c r="A202" s="30" t="s">
        <v>39</v>
      </c>
      <c r="B202" s="55">
        <v>1.0</v>
      </c>
      <c r="C202" s="50" t="s">
        <v>148</v>
      </c>
      <c r="D202" s="60"/>
      <c r="E202" s="19">
        <v>1.0</v>
      </c>
      <c r="F202" s="19">
        <v>0.0</v>
      </c>
      <c r="G202" s="19">
        <v>0.0</v>
      </c>
      <c r="H202" s="19">
        <v>0.0</v>
      </c>
      <c r="I202" s="19">
        <v>1.0</v>
      </c>
      <c r="J202" s="19">
        <v>1.0</v>
      </c>
      <c r="K202" s="19">
        <v>0.0</v>
      </c>
      <c r="L202" s="19">
        <v>0.0</v>
      </c>
      <c r="M202" s="19">
        <v>2.0</v>
      </c>
      <c r="N202" s="19">
        <v>0.0</v>
      </c>
      <c r="O202" s="19">
        <v>2.0</v>
      </c>
      <c r="P202" s="19">
        <v>2.0</v>
      </c>
      <c r="Q202" s="19">
        <v>2.0</v>
      </c>
      <c r="R202" s="19">
        <v>1.0</v>
      </c>
      <c r="S202" s="19">
        <v>0.0</v>
      </c>
      <c r="T202" s="19">
        <v>0.0</v>
      </c>
      <c r="U202" s="13">
        <f t="shared" si="40"/>
        <v>12</v>
      </c>
    </row>
    <row r="203" ht="12.75" customHeight="1">
      <c r="A203" s="18"/>
      <c r="B203" s="55">
        <v>2.0</v>
      </c>
      <c r="C203" s="50" t="s">
        <v>149</v>
      </c>
      <c r="D203" s="60"/>
      <c r="E203" s="19">
        <v>1.0</v>
      </c>
      <c r="F203" s="19">
        <v>1.0</v>
      </c>
      <c r="G203" s="19">
        <v>1.0</v>
      </c>
      <c r="H203" s="19">
        <v>0.0</v>
      </c>
      <c r="I203" s="19">
        <v>0.0</v>
      </c>
      <c r="J203" s="19">
        <v>1.0</v>
      </c>
      <c r="K203" s="19">
        <v>0.0</v>
      </c>
      <c r="L203" s="19">
        <v>0.0</v>
      </c>
      <c r="M203" s="19">
        <v>1.0</v>
      </c>
      <c r="N203" s="19">
        <v>0.0</v>
      </c>
      <c r="O203" s="19">
        <v>1.0</v>
      </c>
      <c r="P203" s="19">
        <v>0.0</v>
      </c>
      <c r="Q203" s="19">
        <v>1.0</v>
      </c>
      <c r="R203" s="19">
        <v>0.0</v>
      </c>
      <c r="S203" s="19">
        <v>0.0</v>
      </c>
      <c r="T203" s="19">
        <v>0.0</v>
      </c>
      <c r="U203" s="13">
        <f t="shared" si="40"/>
        <v>7</v>
      </c>
    </row>
    <row r="204" ht="12.75" customHeight="1">
      <c r="A204" s="18"/>
      <c r="B204" s="55">
        <v>3.0</v>
      </c>
      <c r="C204" s="50" t="s">
        <v>150</v>
      </c>
      <c r="D204" s="60"/>
      <c r="E204" s="19">
        <v>0.0</v>
      </c>
      <c r="F204" s="19">
        <v>3.0</v>
      </c>
      <c r="G204" s="19">
        <v>0.0</v>
      </c>
      <c r="H204" s="19">
        <v>0.0</v>
      </c>
      <c r="I204" s="19">
        <v>0.0</v>
      </c>
      <c r="J204" s="19">
        <v>0.0</v>
      </c>
      <c r="K204" s="19">
        <v>0.0</v>
      </c>
      <c r="L204" s="19">
        <v>0.0</v>
      </c>
      <c r="M204" s="19">
        <v>1.0</v>
      </c>
      <c r="N204" s="19">
        <v>0.0</v>
      </c>
      <c r="O204" s="19">
        <v>0.0</v>
      </c>
      <c r="P204" s="19">
        <v>0.0</v>
      </c>
      <c r="Q204" s="19">
        <v>0.0</v>
      </c>
      <c r="R204" s="19">
        <v>0.0</v>
      </c>
      <c r="S204" s="19">
        <v>0.0</v>
      </c>
      <c r="T204" s="19">
        <v>0.0</v>
      </c>
      <c r="U204" s="13">
        <f t="shared" si="40"/>
        <v>4</v>
      </c>
    </row>
    <row r="205" ht="12.75" customHeight="1">
      <c r="A205" s="18"/>
      <c r="B205" s="55">
        <v>4.0</v>
      </c>
      <c r="C205" s="50" t="s">
        <v>151</v>
      </c>
      <c r="D205" s="60"/>
      <c r="E205" s="19">
        <v>0.0</v>
      </c>
      <c r="F205" s="19">
        <v>0.0</v>
      </c>
      <c r="G205" s="19">
        <v>0.0</v>
      </c>
      <c r="H205" s="19">
        <v>0.0</v>
      </c>
      <c r="I205" s="19">
        <v>0.0</v>
      </c>
      <c r="J205" s="19">
        <v>0.0</v>
      </c>
      <c r="K205" s="19">
        <v>4.0</v>
      </c>
      <c r="L205" s="19">
        <v>0.0</v>
      </c>
      <c r="M205" s="19">
        <v>0.0</v>
      </c>
      <c r="N205" s="19">
        <v>1.0</v>
      </c>
      <c r="O205" s="19">
        <v>4.0</v>
      </c>
      <c r="P205" s="19">
        <v>0.0</v>
      </c>
      <c r="Q205" s="19">
        <v>0.0</v>
      </c>
      <c r="R205" s="19">
        <v>1.0</v>
      </c>
      <c r="S205" s="19">
        <v>0.0</v>
      </c>
      <c r="T205" s="19">
        <v>0.0</v>
      </c>
      <c r="U205" s="13">
        <f t="shared" si="40"/>
        <v>10</v>
      </c>
    </row>
    <row r="206" ht="12.75" customHeight="1">
      <c r="A206" s="18"/>
      <c r="B206" s="55">
        <v>5.0</v>
      </c>
      <c r="C206" s="50" t="s">
        <v>152</v>
      </c>
      <c r="D206" s="60"/>
      <c r="E206" s="19">
        <v>0.0</v>
      </c>
      <c r="F206" s="19">
        <v>0.0</v>
      </c>
      <c r="G206" s="19">
        <v>0.0</v>
      </c>
      <c r="H206" s="19">
        <v>0.0</v>
      </c>
      <c r="I206" s="19">
        <v>0.0</v>
      </c>
      <c r="J206" s="19">
        <v>0.0</v>
      </c>
      <c r="K206" s="19">
        <v>0.0</v>
      </c>
      <c r="L206" s="19">
        <v>0.0</v>
      </c>
      <c r="M206" s="19">
        <v>0.0</v>
      </c>
      <c r="N206" s="19">
        <v>0.0</v>
      </c>
      <c r="O206" s="19">
        <v>0.0</v>
      </c>
      <c r="P206" s="19">
        <v>0.0</v>
      </c>
      <c r="Q206" s="19">
        <v>0.0</v>
      </c>
      <c r="R206" s="19">
        <v>0.0</v>
      </c>
      <c r="S206" s="19">
        <v>0.0</v>
      </c>
      <c r="T206" s="19">
        <v>0.0</v>
      </c>
      <c r="U206" s="13">
        <f t="shared" si="40"/>
        <v>0</v>
      </c>
    </row>
    <row r="207" ht="12.75" customHeight="1">
      <c r="A207" s="18"/>
      <c r="B207" s="55">
        <v>6.0</v>
      </c>
      <c r="C207" s="50" t="s">
        <v>153</v>
      </c>
      <c r="D207" s="60"/>
      <c r="E207" s="19">
        <v>0.0</v>
      </c>
      <c r="F207" s="19">
        <v>0.0</v>
      </c>
      <c r="G207" s="19">
        <v>0.0</v>
      </c>
      <c r="H207" s="19">
        <v>0.0</v>
      </c>
      <c r="I207" s="19">
        <v>0.0</v>
      </c>
      <c r="J207" s="19">
        <v>0.0</v>
      </c>
      <c r="K207" s="19">
        <v>0.0</v>
      </c>
      <c r="L207" s="19">
        <v>0.0</v>
      </c>
      <c r="M207" s="19">
        <v>0.0</v>
      </c>
      <c r="N207" s="19">
        <v>0.0</v>
      </c>
      <c r="O207" s="19">
        <v>0.0</v>
      </c>
      <c r="P207" s="19">
        <v>0.0</v>
      </c>
      <c r="Q207" s="19">
        <v>0.0</v>
      </c>
      <c r="R207" s="19">
        <v>0.0</v>
      </c>
      <c r="S207" s="19">
        <v>0.0</v>
      </c>
      <c r="T207" s="19">
        <v>0.0</v>
      </c>
      <c r="U207" s="13">
        <f t="shared" si="40"/>
        <v>0</v>
      </c>
    </row>
    <row r="208" ht="12.75" customHeight="1">
      <c r="A208" s="18"/>
      <c r="B208" s="55">
        <v>7.0</v>
      </c>
      <c r="C208" s="50" t="s">
        <v>154</v>
      </c>
      <c r="D208" s="60"/>
      <c r="E208" s="19">
        <v>0.0</v>
      </c>
      <c r="F208" s="19">
        <v>0.0</v>
      </c>
      <c r="G208" s="19">
        <v>0.0</v>
      </c>
      <c r="H208" s="19">
        <v>1.0</v>
      </c>
      <c r="I208" s="19">
        <v>0.0</v>
      </c>
      <c r="J208" s="19">
        <v>0.0</v>
      </c>
      <c r="K208" s="19">
        <v>0.0</v>
      </c>
      <c r="L208" s="19">
        <v>0.0</v>
      </c>
      <c r="M208" s="19">
        <v>0.0</v>
      </c>
      <c r="N208" s="19">
        <v>0.0</v>
      </c>
      <c r="O208" s="19">
        <v>0.0</v>
      </c>
      <c r="P208" s="19">
        <v>0.0</v>
      </c>
      <c r="Q208" s="19">
        <v>0.0</v>
      </c>
      <c r="R208" s="19">
        <v>0.0</v>
      </c>
      <c r="S208" s="19">
        <v>0.0</v>
      </c>
      <c r="T208" s="19">
        <v>0.0</v>
      </c>
      <c r="U208" s="13">
        <f t="shared" si="40"/>
        <v>1</v>
      </c>
    </row>
    <row r="209" ht="12.75" customHeight="1">
      <c r="A209" s="18"/>
      <c r="B209" s="56"/>
      <c r="C209" s="57"/>
      <c r="D209" s="62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3">
        <f t="shared" si="40"/>
        <v>0</v>
      </c>
    </row>
    <row r="210" ht="12.75" customHeight="1">
      <c r="A210" s="18"/>
      <c r="B210" s="56"/>
      <c r="C210" s="57"/>
      <c r="D210" s="62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3">
        <f t="shared" si="40"/>
        <v>0</v>
      </c>
    </row>
    <row r="211" ht="12.75" customHeight="1">
      <c r="A211" s="19" t="s">
        <v>15</v>
      </c>
      <c r="B211" s="47" t="s">
        <v>47</v>
      </c>
      <c r="C211" s="15"/>
      <c r="D211" s="16"/>
      <c r="E211" s="13">
        <f t="shared" ref="E211:U211" si="41">SUM(E201:E210)</f>
        <v>2</v>
      </c>
      <c r="F211" s="13">
        <f t="shared" si="41"/>
        <v>5</v>
      </c>
      <c r="G211" s="13">
        <f t="shared" si="41"/>
        <v>1</v>
      </c>
      <c r="H211" s="13">
        <f t="shared" si="41"/>
        <v>3</v>
      </c>
      <c r="I211" s="13">
        <f t="shared" si="41"/>
        <v>1</v>
      </c>
      <c r="J211" s="13">
        <f t="shared" si="41"/>
        <v>3</v>
      </c>
      <c r="K211" s="13">
        <f t="shared" si="41"/>
        <v>5</v>
      </c>
      <c r="L211" s="13">
        <f t="shared" si="41"/>
        <v>2</v>
      </c>
      <c r="M211" s="13">
        <f t="shared" si="41"/>
        <v>7</v>
      </c>
      <c r="N211" s="13">
        <f t="shared" si="41"/>
        <v>3</v>
      </c>
      <c r="O211" s="13">
        <f t="shared" si="41"/>
        <v>9</v>
      </c>
      <c r="P211" s="13">
        <f t="shared" si="41"/>
        <v>4</v>
      </c>
      <c r="Q211" s="13">
        <f t="shared" si="41"/>
        <v>3</v>
      </c>
      <c r="R211" s="13">
        <f t="shared" si="41"/>
        <v>3</v>
      </c>
      <c r="S211" s="13">
        <f t="shared" si="41"/>
        <v>2</v>
      </c>
      <c r="T211" s="13">
        <f t="shared" si="41"/>
        <v>0</v>
      </c>
      <c r="U211" s="13">
        <f t="shared" si="41"/>
        <v>53</v>
      </c>
    </row>
    <row r="212" ht="12.75" customHeight="1">
      <c r="A212" s="24"/>
      <c r="B212" s="15"/>
      <c r="C212" s="15"/>
      <c r="D212" s="15"/>
      <c r="E212" s="16"/>
      <c r="F212" s="84"/>
      <c r="G212" s="84"/>
      <c r="H212" s="84"/>
      <c r="I212" s="84"/>
      <c r="J212" s="84"/>
      <c r="K212" s="84"/>
      <c r="L212" s="84"/>
      <c r="M212" s="84"/>
      <c r="N212" s="84"/>
      <c r="O212" s="84"/>
      <c r="P212" s="84"/>
      <c r="Q212" s="84"/>
      <c r="R212" s="84"/>
      <c r="S212" s="84"/>
      <c r="T212" s="84"/>
      <c r="U212" s="84"/>
    </row>
    <row r="213" ht="12.75" customHeight="1">
      <c r="A213" s="30" t="s">
        <v>37</v>
      </c>
      <c r="B213" s="47" t="s">
        <v>155</v>
      </c>
      <c r="C213" s="48" t="s">
        <v>156</v>
      </c>
      <c r="D213" s="16"/>
      <c r="E213" s="19">
        <v>1.0</v>
      </c>
      <c r="F213" s="19">
        <v>1.0</v>
      </c>
      <c r="G213" s="19">
        <v>1.0</v>
      </c>
      <c r="H213" s="19">
        <v>0.0</v>
      </c>
      <c r="I213" s="19">
        <v>4.0</v>
      </c>
      <c r="J213" s="19">
        <v>0.0</v>
      </c>
      <c r="K213" s="19">
        <v>0.0</v>
      </c>
      <c r="L213" s="19">
        <v>0.0</v>
      </c>
      <c r="M213" s="19">
        <v>2.0</v>
      </c>
      <c r="N213" s="19">
        <v>4.0</v>
      </c>
      <c r="O213" s="19">
        <v>3.0</v>
      </c>
      <c r="P213" s="19">
        <v>0.0</v>
      </c>
      <c r="Q213" s="19">
        <v>0.0</v>
      </c>
      <c r="R213" s="19">
        <v>0.0</v>
      </c>
      <c r="S213" s="19">
        <v>0.0</v>
      </c>
      <c r="T213" s="19">
        <v>0.0</v>
      </c>
      <c r="U213" s="13">
        <f t="shared" ref="U213:U222" si="42">SUM(E213:T213)</f>
        <v>16</v>
      </c>
    </row>
    <row r="214" ht="12.75" customHeight="1">
      <c r="A214" s="30" t="s">
        <v>39</v>
      </c>
      <c r="B214" s="55">
        <v>1.0</v>
      </c>
      <c r="C214" s="50" t="s">
        <v>157</v>
      </c>
      <c r="D214" s="59"/>
      <c r="E214" s="19">
        <v>2.0</v>
      </c>
      <c r="F214" s="19">
        <v>0.0</v>
      </c>
      <c r="G214" s="19">
        <v>0.0</v>
      </c>
      <c r="H214" s="19">
        <v>0.0</v>
      </c>
      <c r="I214" s="19">
        <v>1.0</v>
      </c>
      <c r="J214" s="19">
        <v>1.0</v>
      </c>
      <c r="K214" s="19">
        <v>2.0</v>
      </c>
      <c r="L214" s="19">
        <v>0.0</v>
      </c>
      <c r="M214" s="19">
        <v>3.0</v>
      </c>
      <c r="N214" s="19">
        <v>0.0</v>
      </c>
      <c r="O214" s="19">
        <v>0.0</v>
      </c>
      <c r="P214" s="19">
        <v>0.0</v>
      </c>
      <c r="Q214" s="19">
        <v>0.0</v>
      </c>
      <c r="R214" s="19">
        <v>1.0</v>
      </c>
      <c r="S214" s="19">
        <v>4.0</v>
      </c>
      <c r="T214" s="19">
        <v>2.0</v>
      </c>
      <c r="U214" s="13">
        <f t="shared" si="42"/>
        <v>16</v>
      </c>
    </row>
    <row r="215" ht="12.75" customHeight="1">
      <c r="A215" s="18"/>
      <c r="B215" s="55">
        <v>2.0</v>
      </c>
      <c r="C215" s="50" t="s">
        <v>158</v>
      </c>
      <c r="D215" s="59"/>
      <c r="E215" s="19">
        <v>0.0</v>
      </c>
      <c r="F215" s="19">
        <v>1.0</v>
      </c>
      <c r="G215" s="19">
        <v>0.0</v>
      </c>
      <c r="H215" s="19">
        <v>0.0</v>
      </c>
      <c r="I215" s="19">
        <v>1.0</v>
      </c>
      <c r="J215" s="19">
        <v>0.0</v>
      </c>
      <c r="K215" s="19">
        <v>0.0</v>
      </c>
      <c r="L215" s="19">
        <v>0.0</v>
      </c>
      <c r="M215" s="19">
        <v>0.0</v>
      </c>
      <c r="N215" s="19">
        <v>8.0</v>
      </c>
      <c r="O215" s="19">
        <v>0.0</v>
      </c>
      <c r="P215" s="19">
        <v>1.0</v>
      </c>
      <c r="Q215" s="19">
        <v>1.0</v>
      </c>
      <c r="R215" s="19">
        <v>3.0</v>
      </c>
      <c r="S215" s="19">
        <v>1.0</v>
      </c>
      <c r="T215" s="19">
        <v>1.0</v>
      </c>
      <c r="U215" s="13">
        <f t="shared" si="42"/>
        <v>17</v>
      </c>
    </row>
    <row r="216" ht="12.75" customHeight="1">
      <c r="A216" s="18"/>
      <c r="B216" s="55">
        <v>3.0</v>
      </c>
      <c r="C216" s="70" t="s">
        <v>159</v>
      </c>
      <c r="E216" s="19">
        <v>0.0</v>
      </c>
      <c r="F216" s="19">
        <v>1.0</v>
      </c>
      <c r="G216" s="19">
        <v>0.0</v>
      </c>
      <c r="H216" s="19">
        <v>0.0</v>
      </c>
      <c r="I216" s="19">
        <v>0.0</v>
      </c>
      <c r="J216" s="19">
        <v>0.0</v>
      </c>
      <c r="K216" s="19">
        <v>1.0</v>
      </c>
      <c r="L216" s="19">
        <v>0.0</v>
      </c>
      <c r="M216" s="19">
        <v>0.0</v>
      </c>
      <c r="N216" s="19">
        <v>0.0</v>
      </c>
      <c r="O216" s="19">
        <v>0.0</v>
      </c>
      <c r="P216" s="19">
        <v>0.0</v>
      </c>
      <c r="Q216" s="19">
        <v>0.0</v>
      </c>
      <c r="R216" s="19">
        <v>0.0</v>
      </c>
      <c r="S216" s="19">
        <v>0.0</v>
      </c>
      <c r="T216" s="19">
        <v>0.0</v>
      </c>
      <c r="U216" s="13">
        <f t="shared" si="42"/>
        <v>2</v>
      </c>
    </row>
    <row r="217" ht="12.75" customHeight="1">
      <c r="A217" s="18"/>
      <c r="B217" s="55">
        <v>4.0</v>
      </c>
      <c r="C217" s="50" t="s">
        <v>160</v>
      </c>
      <c r="D217" s="59"/>
      <c r="E217" s="19">
        <v>0.0</v>
      </c>
      <c r="F217" s="19">
        <v>0.0</v>
      </c>
      <c r="G217" s="19">
        <v>0.0</v>
      </c>
      <c r="H217" s="19">
        <v>0.0</v>
      </c>
      <c r="I217" s="19">
        <v>0.0</v>
      </c>
      <c r="J217" s="19">
        <v>0.0</v>
      </c>
      <c r="K217" s="19">
        <v>0.0</v>
      </c>
      <c r="L217" s="19">
        <v>0.0</v>
      </c>
      <c r="M217" s="19">
        <v>0.0</v>
      </c>
      <c r="N217" s="19">
        <v>0.0</v>
      </c>
      <c r="O217" s="19">
        <v>0.0</v>
      </c>
      <c r="P217" s="19">
        <v>0.0</v>
      </c>
      <c r="Q217" s="19">
        <v>0.0</v>
      </c>
      <c r="R217" s="19">
        <v>0.0</v>
      </c>
      <c r="S217" s="19">
        <v>0.0</v>
      </c>
      <c r="T217" s="19">
        <v>0.0</v>
      </c>
      <c r="U217" s="13">
        <f t="shared" si="42"/>
        <v>0</v>
      </c>
    </row>
    <row r="218" ht="12.75" customHeight="1">
      <c r="A218" s="18"/>
      <c r="B218" s="55">
        <v>5.0</v>
      </c>
      <c r="C218" s="50" t="s">
        <v>161</v>
      </c>
      <c r="D218" s="59"/>
      <c r="E218" s="19">
        <v>0.0</v>
      </c>
      <c r="F218" s="19">
        <v>0.0</v>
      </c>
      <c r="G218" s="19">
        <v>0.0</v>
      </c>
      <c r="H218" s="19">
        <v>0.0</v>
      </c>
      <c r="I218" s="19">
        <v>0.0</v>
      </c>
      <c r="J218" s="19">
        <v>0.0</v>
      </c>
      <c r="K218" s="19">
        <v>0.0</v>
      </c>
      <c r="L218" s="19">
        <v>0.0</v>
      </c>
      <c r="M218" s="19">
        <v>0.0</v>
      </c>
      <c r="N218" s="19">
        <v>0.0</v>
      </c>
      <c r="O218" s="19">
        <v>0.0</v>
      </c>
      <c r="P218" s="19">
        <v>0.0</v>
      </c>
      <c r="Q218" s="19">
        <v>0.0</v>
      </c>
      <c r="R218" s="19">
        <v>0.0</v>
      </c>
      <c r="S218" s="19">
        <v>0.0</v>
      </c>
      <c r="T218" s="19">
        <v>0.0</v>
      </c>
      <c r="U218" s="13">
        <f t="shared" si="42"/>
        <v>0</v>
      </c>
    </row>
    <row r="219" ht="12.75" customHeight="1">
      <c r="A219" s="18"/>
      <c r="B219" s="55">
        <v>6.0</v>
      </c>
      <c r="C219" s="50" t="s">
        <v>162</v>
      </c>
      <c r="D219" s="59"/>
      <c r="E219" s="19">
        <v>0.0</v>
      </c>
      <c r="F219" s="19">
        <v>0.0</v>
      </c>
      <c r="G219" s="19">
        <v>0.0</v>
      </c>
      <c r="H219" s="19">
        <v>0.0</v>
      </c>
      <c r="I219" s="19">
        <v>0.0</v>
      </c>
      <c r="J219" s="19">
        <v>0.0</v>
      </c>
      <c r="K219" s="19">
        <v>0.0</v>
      </c>
      <c r="L219" s="19">
        <v>0.0</v>
      </c>
      <c r="M219" s="19">
        <v>0.0</v>
      </c>
      <c r="N219" s="19">
        <v>0.0</v>
      </c>
      <c r="O219" s="19">
        <v>0.0</v>
      </c>
      <c r="P219" s="19">
        <v>0.0</v>
      </c>
      <c r="Q219" s="19">
        <v>0.0</v>
      </c>
      <c r="R219" s="19">
        <v>0.0</v>
      </c>
      <c r="S219" s="19">
        <v>0.0</v>
      </c>
      <c r="T219" s="19">
        <v>0.0</v>
      </c>
      <c r="U219" s="13">
        <f t="shared" si="42"/>
        <v>0</v>
      </c>
    </row>
    <row r="220" ht="12.75" customHeight="1">
      <c r="A220" s="18"/>
      <c r="B220" s="55">
        <v>7.0</v>
      </c>
      <c r="C220" s="50" t="s">
        <v>163</v>
      </c>
      <c r="D220" s="59"/>
      <c r="E220" s="19">
        <v>0.0</v>
      </c>
      <c r="F220" s="19">
        <v>0.0</v>
      </c>
      <c r="G220" s="19">
        <v>0.0</v>
      </c>
      <c r="H220" s="19">
        <v>0.0</v>
      </c>
      <c r="I220" s="19">
        <v>0.0</v>
      </c>
      <c r="J220" s="19">
        <v>0.0</v>
      </c>
      <c r="K220" s="19">
        <v>0.0</v>
      </c>
      <c r="L220" s="19">
        <v>0.0</v>
      </c>
      <c r="M220" s="19">
        <v>0.0</v>
      </c>
      <c r="N220" s="19">
        <v>0.0</v>
      </c>
      <c r="O220" s="19">
        <v>0.0</v>
      </c>
      <c r="P220" s="19">
        <v>0.0</v>
      </c>
      <c r="Q220" s="19">
        <v>0.0</v>
      </c>
      <c r="R220" s="19">
        <v>0.0</v>
      </c>
      <c r="S220" s="19">
        <v>0.0</v>
      </c>
      <c r="T220" s="19">
        <v>0.0</v>
      </c>
      <c r="U220" s="13">
        <f t="shared" si="42"/>
        <v>0</v>
      </c>
    </row>
    <row r="221" ht="12.75" customHeight="1">
      <c r="A221" s="18"/>
      <c r="B221" s="56"/>
      <c r="C221" s="57"/>
      <c r="D221" s="61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3">
        <f t="shared" si="42"/>
        <v>0</v>
      </c>
    </row>
    <row r="222" ht="12.75" customHeight="1">
      <c r="A222" s="18"/>
      <c r="B222" s="56"/>
      <c r="C222" s="57"/>
      <c r="D222" s="61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3">
        <f t="shared" si="42"/>
        <v>0</v>
      </c>
    </row>
    <row r="223" ht="12.75" customHeight="1">
      <c r="A223" s="19" t="s">
        <v>15</v>
      </c>
      <c r="B223" s="47" t="s">
        <v>47</v>
      </c>
      <c r="C223" s="15"/>
      <c r="D223" s="16"/>
      <c r="E223" s="13">
        <f t="shared" ref="E223:U223" si="43">SUM(E213:E222)</f>
        <v>3</v>
      </c>
      <c r="F223" s="13">
        <f t="shared" si="43"/>
        <v>3</v>
      </c>
      <c r="G223" s="13">
        <f t="shared" si="43"/>
        <v>1</v>
      </c>
      <c r="H223" s="13">
        <f t="shared" si="43"/>
        <v>0</v>
      </c>
      <c r="I223" s="13">
        <f t="shared" si="43"/>
        <v>6</v>
      </c>
      <c r="J223" s="13">
        <f t="shared" si="43"/>
        <v>1</v>
      </c>
      <c r="K223" s="13">
        <f t="shared" si="43"/>
        <v>3</v>
      </c>
      <c r="L223" s="13">
        <f t="shared" si="43"/>
        <v>0</v>
      </c>
      <c r="M223" s="13">
        <f t="shared" si="43"/>
        <v>5</v>
      </c>
      <c r="N223" s="13">
        <f t="shared" si="43"/>
        <v>12</v>
      </c>
      <c r="O223" s="13">
        <f t="shared" si="43"/>
        <v>3</v>
      </c>
      <c r="P223" s="13">
        <f t="shared" si="43"/>
        <v>1</v>
      </c>
      <c r="Q223" s="13">
        <f t="shared" si="43"/>
        <v>1</v>
      </c>
      <c r="R223" s="13">
        <f t="shared" si="43"/>
        <v>4</v>
      </c>
      <c r="S223" s="13">
        <f t="shared" si="43"/>
        <v>5</v>
      </c>
      <c r="T223" s="13">
        <f t="shared" si="43"/>
        <v>3</v>
      </c>
      <c r="U223" s="13">
        <f t="shared" si="43"/>
        <v>51</v>
      </c>
    </row>
    <row r="224" ht="12.75" customHeight="1">
      <c r="A224" s="24"/>
      <c r="B224" s="15"/>
      <c r="C224" s="15"/>
      <c r="D224" s="15"/>
      <c r="E224" s="16"/>
      <c r="F224" s="84"/>
      <c r="G224" s="84"/>
      <c r="H224" s="84"/>
      <c r="I224" s="84"/>
      <c r="J224" s="84"/>
      <c r="K224" s="84"/>
      <c r="L224" s="84"/>
      <c r="M224" s="84"/>
      <c r="N224" s="84"/>
      <c r="O224" s="84"/>
      <c r="P224" s="84"/>
      <c r="Q224" s="84"/>
      <c r="R224" s="84"/>
      <c r="S224" s="84"/>
      <c r="T224" s="84"/>
      <c r="U224" s="84"/>
    </row>
    <row r="225" ht="12.75" customHeight="1">
      <c r="A225" s="30" t="s">
        <v>37</v>
      </c>
      <c r="B225" s="47" t="s">
        <v>164</v>
      </c>
      <c r="C225" s="48" t="s">
        <v>165</v>
      </c>
      <c r="D225" s="16"/>
      <c r="E225" s="19">
        <v>0.0</v>
      </c>
      <c r="F225" s="19">
        <v>0.0</v>
      </c>
      <c r="G225" s="19">
        <v>0.0</v>
      </c>
      <c r="H225" s="19">
        <v>0.0</v>
      </c>
      <c r="I225" s="19">
        <v>0.0</v>
      </c>
      <c r="J225" s="19">
        <v>0.0</v>
      </c>
      <c r="K225" s="19">
        <v>0.0</v>
      </c>
      <c r="L225" s="19">
        <v>0.0</v>
      </c>
      <c r="M225" s="19">
        <v>0.0</v>
      </c>
      <c r="N225" s="19">
        <v>1.0</v>
      </c>
      <c r="O225" s="19">
        <v>0.0</v>
      </c>
      <c r="P225" s="19">
        <v>0.0</v>
      </c>
      <c r="Q225" s="19">
        <v>0.0</v>
      </c>
      <c r="R225" s="19">
        <v>1.0</v>
      </c>
      <c r="S225" s="19">
        <v>0.0</v>
      </c>
      <c r="T225" s="19">
        <v>0.0</v>
      </c>
      <c r="U225" s="13">
        <f t="shared" ref="U225:U234" si="44">SUM(E225:T225)</f>
        <v>2</v>
      </c>
    </row>
    <row r="226" ht="12.75" customHeight="1">
      <c r="A226" s="30" t="s">
        <v>39</v>
      </c>
      <c r="B226" s="55">
        <v>1.0</v>
      </c>
      <c r="C226" s="50" t="s">
        <v>166</v>
      </c>
      <c r="D226" s="60"/>
      <c r="E226" s="19">
        <v>1.0</v>
      </c>
      <c r="F226" s="19">
        <v>0.0</v>
      </c>
      <c r="G226" s="19">
        <v>0.0</v>
      </c>
      <c r="H226" s="19">
        <v>0.0</v>
      </c>
      <c r="I226" s="19">
        <v>0.0</v>
      </c>
      <c r="J226" s="19">
        <v>0.0</v>
      </c>
      <c r="K226" s="19">
        <v>0.0</v>
      </c>
      <c r="L226" s="19">
        <v>0.0</v>
      </c>
      <c r="M226" s="19">
        <v>0.0</v>
      </c>
      <c r="N226" s="19">
        <v>0.0</v>
      </c>
      <c r="O226" s="19">
        <v>0.0</v>
      </c>
      <c r="P226" s="19">
        <v>0.0</v>
      </c>
      <c r="Q226" s="19">
        <v>0.0</v>
      </c>
      <c r="R226" s="19">
        <v>0.0</v>
      </c>
      <c r="S226" s="19">
        <v>0.0</v>
      </c>
      <c r="T226" s="19">
        <v>0.0</v>
      </c>
      <c r="U226" s="13">
        <f t="shared" si="44"/>
        <v>1</v>
      </c>
    </row>
    <row r="227" ht="12.75" customHeight="1">
      <c r="A227" s="18"/>
      <c r="B227" s="55">
        <v>2.0</v>
      </c>
      <c r="C227" s="50" t="s">
        <v>167</v>
      </c>
      <c r="D227" s="60"/>
      <c r="E227" s="19">
        <v>0.0</v>
      </c>
      <c r="F227" s="19">
        <v>0.0</v>
      </c>
      <c r="G227" s="19">
        <v>0.0</v>
      </c>
      <c r="H227" s="19">
        <v>0.0</v>
      </c>
      <c r="I227" s="19">
        <v>0.0</v>
      </c>
      <c r="J227" s="19">
        <v>0.0</v>
      </c>
      <c r="K227" s="19">
        <v>0.0</v>
      </c>
      <c r="L227" s="19">
        <v>0.0</v>
      </c>
      <c r="M227" s="19">
        <v>0.0</v>
      </c>
      <c r="N227" s="19">
        <v>0.0</v>
      </c>
      <c r="O227" s="19">
        <v>0.0</v>
      </c>
      <c r="P227" s="19">
        <v>0.0</v>
      </c>
      <c r="Q227" s="19">
        <v>0.0</v>
      </c>
      <c r="R227" s="19">
        <v>0.0</v>
      </c>
      <c r="S227" s="19">
        <v>0.0</v>
      </c>
      <c r="T227" s="19">
        <v>0.0</v>
      </c>
      <c r="U227" s="13">
        <f t="shared" si="44"/>
        <v>0</v>
      </c>
    </row>
    <row r="228" ht="12.75" customHeight="1">
      <c r="A228" s="18"/>
      <c r="B228" s="55">
        <v>3.0</v>
      </c>
      <c r="C228" s="50" t="s">
        <v>168</v>
      </c>
      <c r="D228" s="60"/>
      <c r="E228" s="19">
        <v>0.0</v>
      </c>
      <c r="F228" s="19">
        <v>0.0</v>
      </c>
      <c r="G228" s="19">
        <v>0.0</v>
      </c>
      <c r="H228" s="19">
        <v>0.0</v>
      </c>
      <c r="I228" s="19">
        <v>0.0</v>
      </c>
      <c r="J228" s="19">
        <v>0.0</v>
      </c>
      <c r="K228" s="19">
        <v>0.0</v>
      </c>
      <c r="L228" s="19">
        <v>0.0</v>
      </c>
      <c r="M228" s="19">
        <v>0.0</v>
      </c>
      <c r="N228" s="19">
        <v>0.0</v>
      </c>
      <c r="O228" s="19">
        <v>0.0</v>
      </c>
      <c r="P228" s="19">
        <v>0.0</v>
      </c>
      <c r="Q228" s="19">
        <v>0.0</v>
      </c>
      <c r="R228" s="19">
        <v>0.0</v>
      </c>
      <c r="S228" s="19">
        <v>0.0</v>
      </c>
      <c r="T228" s="19">
        <v>0.0</v>
      </c>
      <c r="U228" s="13">
        <f t="shared" si="44"/>
        <v>0</v>
      </c>
    </row>
    <row r="229" ht="12.75" customHeight="1">
      <c r="A229" s="18"/>
      <c r="B229" s="55">
        <v>4.0</v>
      </c>
      <c r="C229" s="50" t="s">
        <v>169</v>
      </c>
      <c r="D229" s="60"/>
      <c r="E229" s="19">
        <v>0.0</v>
      </c>
      <c r="F229" s="19">
        <v>0.0</v>
      </c>
      <c r="G229" s="19">
        <v>0.0</v>
      </c>
      <c r="H229" s="19">
        <v>0.0</v>
      </c>
      <c r="I229" s="19">
        <v>0.0</v>
      </c>
      <c r="J229" s="19">
        <v>0.0</v>
      </c>
      <c r="K229" s="19">
        <v>0.0</v>
      </c>
      <c r="L229" s="19">
        <v>0.0</v>
      </c>
      <c r="M229" s="19">
        <v>0.0</v>
      </c>
      <c r="N229" s="19">
        <v>0.0</v>
      </c>
      <c r="O229" s="19">
        <v>0.0</v>
      </c>
      <c r="P229" s="19">
        <v>0.0</v>
      </c>
      <c r="Q229" s="19">
        <v>0.0</v>
      </c>
      <c r="R229" s="19">
        <v>0.0</v>
      </c>
      <c r="S229" s="19">
        <v>0.0</v>
      </c>
      <c r="T229" s="19">
        <v>0.0</v>
      </c>
      <c r="U229" s="13">
        <f t="shared" si="44"/>
        <v>0</v>
      </c>
    </row>
    <row r="230" ht="12.75" customHeight="1">
      <c r="A230" s="18"/>
      <c r="B230" s="55">
        <v>5.0</v>
      </c>
      <c r="C230" s="50" t="s">
        <v>170</v>
      </c>
      <c r="D230" s="60"/>
      <c r="E230" s="19">
        <v>0.0</v>
      </c>
      <c r="F230" s="19">
        <v>0.0</v>
      </c>
      <c r="G230" s="19">
        <v>0.0</v>
      </c>
      <c r="H230" s="19">
        <v>0.0</v>
      </c>
      <c r="I230" s="19">
        <v>0.0</v>
      </c>
      <c r="J230" s="19">
        <v>0.0</v>
      </c>
      <c r="K230" s="19">
        <v>0.0</v>
      </c>
      <c r="L230" s="19">
        <v>0.0</v>
      </c>
      <c r="M230" s="19">
        <v>0.0</v>
      </c>
      <c r="N230" s="19">
        <v>0.0</v>
      </c>
      <c r="O230" s="19">
        <v>0.0</v>
      </c>
      <c r="P230" s="19">
        <v>0.0</v>
      </c>
      <c r="Q230" s="19">
        <v>0.0</v>
      </c>
      <c r="R230" s="19">
        <v>0.0</v>
      </c>
      <c r="S230" s="19">
        <v>0.0</v>
      </c>
      <c r="T230" s="19">
        <v>0.0</v>
      </c>
      <c r="U230" s="13">
        <f t="shared" si="44"/>
        <v>0</v>
      </c>
    </row>
    <row r="231" ht="12.75" customHeight="1">
      <c r="A231" s="18"/>
      <c r="B231" s="55">
        <v>6.0</v>
      </c>
      <c r="C231" s="50" t="s">
        <v>171</v>
      </c>
      <c r="D231" s="60"/>
      <c r="E231" s="19">
        <v>0.0</v>
      </c>
      <c r="F231" s="19">
        <v>0.0</v>
      </c>
      <c r="G231" s="19">
        <v>0.0</v>
      </c>
      <c r="H231" s="19">
        <v>0.0</v>
      </c>
      <c r="I231" s="19">
        <v>0.0</v>
      </c>
      <c r="J231" s="19">
        <v>0.0</v>
      </c>
      <c r="K231" s="19">
        <v>0.0</v>
      </c>
      <c r="L231" s="19">
        <v>0.0</v>
      </c>
      <c r="M231" s="19">
        <v>0.0</v>
      </c>
      <c r="N231" s="19">
        <v>0.0</v>
      </c>
      <c r="O231" s="19">
        <v>0.0</v>
      </c>
      <c r="P231" s="19">
        <v>0.0</v>
      </c>
      <c r="Q231" s="19">
        <v>0.0</v>
      </c>
      <c r="R231" s="19">
        <v>0.0</v>
      </c>
      <c r="S231" s="19">
        <v>0.0</v>
      </c>
      <c r="T231" s="19">
        <v>0.0</v>
      </c>
      <c r="U231" s="13">
        <f t="shared" si="44"/>
        <v>0</v>
      </c>
    </row>
    <row r="232" ht="12.75" customHeight="1">
      <c r="A232" s="18"/>
      <c r="B232" s="55">
        <v>7.0</v>
      </c>
      <c r="C232" s="50" t="s">
        <v>172</v>
      </c>
      <c r="D232" s="60"/>
      <c r="E232" s="19">
        <v>0.0</v>
      </c>
      <c r="F232" s="19">
        <v>0.0</v>
      </c>
      <c r="G232" s="19">
        <v>0.0</v>
      </c>
      <c r="H232" s="19">
        <v>0.0</v>
      </c>
      <c r="I232" s="19">
        <v>0.0</v>
      </c>
      <c r="J232" s="19">
        <v>0.0</v>
      </c>
      <c r="K232" s="19">
        <v>0.0</v>
      </c>
      <c r="L232" s="19">
        <v>0.0</v>
      </c>
      <c r="M232" s="19">
        <v>0.0</v>
      </c>
      <c r="N232" s="19">
        <v>0.0</v>
      </c>
      <c r="O232" s="19">
        <v>0.0</v>
      </c>
      <c r="P232" s="19">
        <v>0.0</v>
      </c>
      <c r="Q232" s="19">
        <v>0.0</v>
      </c>
      <c r="R232" s="19">
        <v>0.0</v>
      </c>
      <c r="S232" s="19">
        <v>0.0</v>
      </c>
      <c r="T232" s="19">
        <v>0.0</v>
      </c>
      <c r="U232" s="13">
        <f t="shared" si="44"/>
        <v>0</v>
      </c>
    </row>
    <row r="233" ht="12.75" customHeight="1">
      <c r="A233" s="18"/>
      <c r="B233" s="56"/>
      <c r="C233" s="57"/>
      <c r="D233" s="62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3">
        <f t="shared" si="44"/>
        <v>0</v>
      </c>
    </row>
    <row r="234" ht="12.75" customHeight="1">
      <c r="A234" s="18"/>
      <c r="B234" s="56"/>
      <c r="C234" s="57"/>
      <c r="D234" s="62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3">
        <f t="shared" si="44"/>
        <v>0</v>
      </c>
    </row>
    <row r="235" ht="12.75" customHeight="1">
      <c r="A235" s="19" t="s">
        <v>15</v>
      </c>
      <c r="B235" s="47" t="s">
        <v>47</v>
      </c>
      <c r="C235" s="15"/>
      <c r="D235" s="16"/>
      <c r="E235" s="13">
        <f t="shared" ref="E235:U235" si="45">SUM(E225:E234)</f>
        <v>1</v>
      </c>
      <c r="F235" s="13">
        <f t="shared" si="45"/>
        <v>0</v>
      </c>
      <c r="G235" s="13">
        <f t="shared" si="45"/>
        <v>0</v>
      </c>
      <c r="H235" s="13">
        <f t="shared" si="45"/>
        <v>0</v>
      </c>
      <c r="I235" s="13">
        <f t="shared" si="45"/>
        <v>0</v>
      </c>
      <c r="J235" s="13">
        <f t="shared" si="45"/>
        <v>0</v>
      </c>
      <c r="K235" s="13">
        <f t="shared" si="45"/>
        <v>0</v>
      </c>
      <c r="L235" s="13">
        <f t="shared" si="45"/>
        <v>0</v>
      </c>
      <c r="M235" s="13">
        <f t="shared" si="45"/>
        <v>0</v>
      </c>
      <c r="N235" s="13">
        <f t="shared" si="45"/>
        <v>1</v>
      </c>
      <c r="O235" s="13">
        <f t="shared" si="45"/>
        <v>0</v>
      </c>
      <c r="P235" s="13">
        <f t="shared" si="45"/>
        <v>0</v>
      </c>
      <c r="Q235" s="13">
        <f t="shared" si="45"/>
        <v>0</v>
      </c>
      <c r="R235" s="13">
        <f t="shared" si="45"/>
        <v>1</v>
      </c>
      <c r="S235" s="13">
        <f t="shared" si="45"/>
        <v>0</v>
      </c>
      <c r="T235" s="13">
        <f t="shared" si="45"/>
        <v>0</v>
      </c>
      <c r="U235" s="13">
        <f t="shared" si="45"/>
        <v>3</v>
      </c>
    </row>
    <row r="236" ht="12.75" customHeight="1">
      <c r="A236" s="24"/>
      <c r="B236" s="15"/>
      <c r="C236" s="15"/>
      <c r="D236" s="15"/>
      <c r="E236" s="16"/>
      <c r="F236" s="84"/>
      <c r="G236" s="84"/>
      <c r="H236" s="84"/>
      <c r="I236" s="84"/>
      <c r="J236" s="84"/>
      <c r="K236" s="84"/>
      <c r="L236" s="84"/>
      <c r="M236" s="84"/>
      <c r="N236" s="84"/>
      <c r="O236" s="84"/>
      <c r="P236" s="84"/>
      <c r="Q236" s="84"/>
      <c r="R236" s="84"/>
      <c r="S236" s="84"/>
      <c r="T236" s="84"/>
      <c r="U236" s="84"/>
    </row>
    <row r="237" ht="12.75" customHeight="1">
      <c r="A237" s="30" t="s">
        <v>37</v>
      </c>
      <c r="B237" s="47" t="s">
        <v>173</v>
      </c>
      <c r="C237" s="48" t="s">
        <v>174</v>
      </c>
      <c r="D237" s="16"/>
      <c r="E237" s="19">
        <v>2.0</v>
      </c>
      <c r="F237" s="19">
        <v>2.0</v>
      </c>
      <c r="G237" s="19">
        <v>4.0</v>
      </c>
      <c r="H237" s="19">
        <v>3.0</v>
      </c>
      <c r="I237" s="19">
        <v>7.0</v>
      </c>
      <c r="J237" s="19">
        <v>1.0</v>
      </c>
      <c r="K237" s="19">
        <v>4.0</v>
      </c>
      <c r="L237" s="19">
        <v>1.0</v>
      </c>
      <c r="M237" s="19">
        <v>0.0</v>
      </c>
      <c r="N237" s="19">
        <v>0.0</v>
      </c>
      <c r="O237" s="19">
        <v>0.0</v>
      </c>
      <c r="P237" s="19">
        <v>4.0</v>
      </c>
      <c r="Q237" s="19">
        <v>0.0</v>
      </c>
      <c r="R237" s="19">
        <v>2.0</v>
      </c>
      <c r="S237" s="19">
        <v>3.0</v>
      </c>
      <c r="T237" s="19">
        <v>1.0</v>
      </c>
      <c r="U237" s="13">
        <f t="shared" ref="U237:U246" si="46">SUM(E237:T237)</f>
        <v>34</v>
      </c>
    </row>
    <row r="238" ht="12.75" customHeight="1">
      <c r="A238" s="30" t="s">
        <v>39</v>
      </c>
      <c r="B238" s="55">
        <v>1.0</v>
      </c>
      <c r="C238" s="50" t="s">
        <v>175</v>
      </c>
      <c r="D238" s="60"/>
      <c r="E238" s="19">
        <v>0.0</v>
      </c>
      <c r="F238" s="19">
        <v>1.0</v>
      </c>
      <c r="G238" s="19">
        <v>0.0</v>
      </c>
      <c r="H238" s="19">
        <v>0.0</v>
      </c>
      <c r="I238" s="19">
        <v>2.0</v>
      </c>
      <c r="J238" s="19">
        <v>1.0</v>
      </c>
      <c r="K238" s="19">
        <v>0.0</v>
      </c>
      <c r="L238" s="19">
        <v>2.0</v>
      </c>
      <c r="M238" s="19">
        <v>3.0</v>
      </c>
      <c r="N238" s="19">
        <v>0.0</v>
      </c>
      <c r="O238" s="19">
        <v>0.0</v>
      </c>
      <c r="P238" s="19">
        <v>1.0</v>
      </c>
      <c r="Q238" s="19">
        <v>0.0</v>
      </c>
      <c r="R238" s="19">
        <v>0.0</v>
      </c>
      <c r="S238" s="19">
        <v>0.0</v>
      </c>
      <c r="T238" s="19">
        <v>1.0</v>
      </c>
      <c r="U238" s="13">
        <f t="shared" si="46"/>
        <v>11</v>
      </c>
    </row>
    <row r="239" ht="12.75" customHeight="1">
      <c r="A239" s="18"/>
      <c r="B239" s="55">
        <v>2.0</v>
      </c>
      <c r="C239" s="50" t="s">
        <v>176</v>
      </c>
      <c r="D239" s="60"/>
      <c r="E239" s="19">
        <v>25.0</v>
      </c>
      <c r="F239" s="19">
        <v>44.0</v>
      </c>
      <c r="G239" s="19">
        <v>81.0</v>
      </c>
      <c r="H239" s="19">
        <v>24.0</v>
      </c>
      <c r="I239" s="19">
        <v>32.0</v>
      </c>
      <c r="J239" s="19">
        <v>39.0</v>
      </c>
      <c r="K239" s="19">
        <v>46.0</v>
      </c>
      <c r="L239" s="19">
        <v>15.0</v>
      </c>
      <c r="M239" s="19">
        <v>3.0</v>
      </c>
      <c r="N239" s="19">
        <v>2.0</v>
      </c>
      <c r="O239" s="19">
        <v>2.0</v>
      </c>
      <c r="P239" s="19">
        <v>22.0</v>
      </c>
      <c r="Q239" s="19">
        <v>7.0</v>
      </c>
      <c r="R239" s="19">
        <v>20.0</v>
      </c>
      <c r="S239" s="19">
        <v>8.0</v>
      </c>
      <c r="T239" s="19">
        <v>0.0</v>
      </c>
      <c r="U239" s="13">
        <f t="shared" si="46"/>
        <v>370</v>
      </c>
    </row>
    <row r="240" ht="12.75" customHeight="1">
      <c r="A240" s="18"/>
      <c r="B240" s="55">
        <v>3.0</v>
      </c>
      <c r="C240" s="50" t="s">
        <v>177</v>
      </c>
      <c r="D240" s="60"/>
      <c r="E240" s="19">
        <v>1.0</v>
      </c>
      <c r="F240" s="19">
        <v>2.0</v>
      </c>
      <c r="G240" s="19">
        <v>2.0</v>
      </c>
      <c r="H240" s="19">
        <v>0.0</v>
      </c>
      <c r="I240" s="19">
        <v>1.0</v>
      </c>
      <c r="J240" s="19">
        <v>0.0</v>
      </c>
      <c r="K240" s="19">
        <v>0.0</v>
      </c>
      <c r="L240" s="19">
        <v>0.0</v>
      </c>
      <c r="M240" s="19">
        <v>1.0</v>
      </c>
      <c r="N240" s="19">
        <v>1.0</v>
      </c>
      <c r="O240" s="19">
        <v>0.0</v>
      </c>
      <c r="P240" s="19">
        <v>0.0</v>
      </c>
      <c r="Q240" s="19">
        <v>0.0</v>
      </c>
      <c r="R240" s="19">
        <v>0.0</v>
      </c>
      <c r="S240" s="19">
        <v>0.0</v>
      </c>
      <c r="T240" s="19">
        <v>0.0</v>
      </c>
      <c r="U240" s="13">
        <f t="shared" si="46"/>
        <v>8</v>
      </c>
    </row>
    <row r="241" ht="12.75" customHeight="1">
      <c r="A241" s="18"/>
      <c r="B241" s="55">
        <v>4.0</v>
      </c>
      <c r="C241" s="50" t="s">
        <v>178</v>
      </c>
      <c r="D241" s="60"/>
      <c r="E241" s="19">
        <v>0.0</v>
      </c>
      <c r="F241" s="19">
        <v>0.0</v>
      </c>
      <c r="G241" s="19">
        <v>0.0</v>
      </c>
      <c r="H241" s="19">
        <v>0.0</v>
      </c>
      <c r="I241" s="19">
        <v>0.0</v>
      </c>
      <c r="J241" s="19">
        <v>1.0</v>
      </c>
      <c r="K241" s="19">
        <v>0.0</v>
      </c>
      <c r="L241" s="19">
        <v>0.0</v>
      </c>
      <c r="M241" s="19">
        <v>0.0</v>
      </c>
      <c r="N241" s="19">
        <v>0.0</v>
      </c>
      <c r="O241" s="19">
        <v>0.0</v>
      </c>
      <c r="P241" s="19">
        <v>0.0</v>
      </c>
      <c r="Q241" s="19">
        <v>0.0</v>
      </c>
      <c r="R241" s="19">
        <v>0.0</v>
      </c>
      <c r="S241" s="19">
        <v>0.0</v>
      </c>
      <c r="T241" s="19">
        <v>0.0</v>
      </c>
      <c r="U241" s="13">
        <f t="shared" si="46"/>
        <v>1</v>
      </c>
    </row>
    <row r="242" ht="12.75" customHeight="1">
      <c r="A242" s="18"/>
      <c r="B242" s="55">
        <v>5.0</v>
      </c>
      <c r="C242" s="50" t="s">
        <v>179</v>
      </c>
      <c r="D242" s="60"/>
      <c r="E242" s="19">
        <v>0.0</v>
      </c>
      <c r="F242" s="19">
        <v>0.0</v>
      </c>
      <c r="G242" s="19">
        <v>0.0</v>
      </c>
      <c r="H242" s="19">
        <v>0.0</v>
      </c>
      <c r="I242" s="19">
        <v>0.0</v>
      </c>
      <c r="J242" s="19">
        <v>0.0</v>
      </c>
      <c r="K242" s="19">
        <v>0.0</v>
      </c>
      <c r="L242" s="19">
        <v>0.0</v>
      </c>
      <c r="M242" s="19">
        <v>0.0</v>
      </c>
      <c r="N242" s="19">
        <v>0.0</v>
      </c>
      <c r="O242" s="19">
        <v>0.0</v>
      </c>
      <c r="P242" s="19">
        <v>0.0</v>
      </c>
      <c r="Q242" s="19">
        <v>0.0</v>
      </c>
      <c r="R242" s="19">
        <v>0.0</v>
      </c>
      <c r="S242" s="19">
        <v>0.0</v>
      </c>
      <c r="T242" s="19">
        <v>0.0</v>
      </c>
      <c r="U242" s="13">
        <f t="shared" si="46"/>
        <v>0</v>
      </c>
    </row>
    <row r="243" ht="12.75" customHeight="1">
      <c r="A243" s="18"/>
      <c r="B243" s="55">
        <v>6.0</v>
      </c>
      <c r="C243" s="50" t="s">
        <v>180</v>
      </c>
      <c r="D243" s="60"/>
      <c r="E243" s="19">
        <v>0.0</v>
      </c>
      <c r="F243" s="19">
        <v>0.0</v>
      </c>
      <c r="G243" s="19">
        <v>0.0</v>
      </c>
      <c r="H243" s="19">
        <v>0.0</v>
      </c>
      <c r="I243" s="19">
        <v>0.0</v>
      </c>
      <c r="J243" s="19">
        <v>0.0</v>
      </c>
      <c r="K243" s="19">
        <v>0.0</v>
      </c>
      <c r="L243" s="19">
        <v>0.0</v>
      </c>
      <c r="M243" s="19">
        <v>0.0</v>
      </c>
      <c r="N243" s="19">
        <v>0.0</v>
      </c>
      <c r="O243" s="19">
        <v>0.0</v>
      </c>
      <c r="P243" s="19">
        <v>0.0</v>
      </c>
      <c r="Q243" s="19">
        <v>1.0</v>
      </c>
      <c r="R243" s="19">
        <v>0.0</v>
      </c>
      <c r="S243" s="19">
        <v>0.0</v>
      </c>
      <c r="T243" s="19">
        <v>0.0</v>
      </c>
      <c r="U243" s="13">
        <f t="shared" si="46"/>
        <v>1</v>
      </c>
    </row>
    <row r="244" ht="12.75" customHeight="1">
      <c r="A244" s="18"/>
      <c r="B244" s="55">
        <v>7.0</v>
      </c>
      <c r="C244" s="50" t="s">
        <v>181</v>
      </c>
      <c r="D244" s="60"/>
      <c r="E244" s="19">
        <v>0.0</v>
      </c>
      <c r="F244" s="19">
        <v>0.0</v>
      </c>
      <c r="G244" s="19">
        <v>0.0</v>
      </c>
      <c r="H244" s="19">
        <v>0.0</v>
      </c>
      <c r="I244" s="19">
        <v>0.0</v>
      </c>
      <c r="J244" s="19">
        <v>2.0</v>
      </c>
      <c r="K244" s="19">
        <v>1.0</v>
      </c>
      <c r="L244" s="19">
        <v>0.0</v>
      </c>
      <c r="M244" s="19">
        <v>0.0</v>
      </c>
      <c r="N244" s="19">
        <v>0.0</v>
      </c>
      <c r="O244" s="19">
        <v>0.0</v>
      </c>
      <c r="P244" s="19">
        <v>0.0</v>
      </c>
      <c r="Q244" s="19">
        <v>0.0</v>
      </c>
      <c r="R244" s="19">
        <v>1.0</v>
      </c>
      <c r="S244" s="19">
        <v>0.0</v>
      </c>
      <c r="T244" s="19">
        <v>0.0</v>
      </c>
      <c r="U244" s="13">
        <f t="shared" si="46"/>
        <v>4</v>
      </c>
    </row>
    <row r="245" ht="12.75" customHeight="1">
      <c r="A245" s="18"/>
      <c r="B245" s="56"/>
      <c r="C245" s="57"/>
      <c r="D245" s="62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3">
        <f t="shared" si="46"/>
        <v>0</v>
      </c>
    </row>
    <row r="246" ht="12.75" customHeight="1">
      <c r="A246" s="18"/>
      <c r="B246" s="56"/>
      <c r="C246" s="57"/>
      <c r="D246" s="62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3">
        <f t="shared" si="46"/>
        <v>0</v>
      </c>
    </row>
    <row r="247" ht="12.75" customHeight="1">
      <c r="A247" s="19" t="s">
        <v>15</v>
      </c>
      <c r="B247" s="47" t="s">
        <v>47</v>
      </c>
      <c r="C247" s="15"/>
      <c r="D247" s="16"/>
      <c r="E247" s="13">
        <f t="shared" ref="E247:U247" si="47">SUM(E237:E246)</f>
        <v>28</v>
      </c>
      <c r="F247" s="13">
        <f t="shared" si="47"/>
        <v>49</v>
      </c>
      <c r="G247" s="13">
        <f t="shared" si="47"/>
        <v>87</v>
      </c>
      <c r="H247" s="13">
        <f t="shared" si="47"/>
        <v>27</v>
      </c>
      <c r="I247" s="13">
        <f t="shared" si="47"/>
        <v>42</v>
      </c>
      <c r="J247" s="13">
        <f t="shared" si="47"/>
        <v>44</v>
      </c>
      <c r="K247" s="13">
        <f t="shared" si="47"/>
        <v>51</v>
      </c>
      <c r="L247" s="13">
        <f t="shared" si="47"/>
        <v>18</v>
      </c>
      <c r="M247" s="13">
        <f t="shared" si="47"/>
        <v>7</v>
      </c>
      <c r="N247" s="13">
        <f t="shared" si="47"/>
        <v>3</v>
      </c>
      <c r="O247" s="13">
        <f t="shared" si="47"/>
        <v>2</v>
      </c>
      <c r="P247" s="13">
        <f t="shared" si="47"/>
        <v>27</v>
      </c>
      <c r="Q247" s="13">
        <f t="shared" si="47"/>
        <v>8</v>
      </c>
      <c r="R247" s="13">
        <f t="shared" si="47"/>
        <v>23</v>
      </c>
      <c r="S247" s="13">
        <f t="shared" si="47"/>
        <v>11</v>
      </c>
      <c r="T247" s="13">
        <f t="shared" si="47"/>
        <v>2</v>
      </c>
      <c r="U247" s="13">
        <f t="shared" si="47"/>
        <v>429</v>
      </c>
    </row>
    <row r="248" ht="12.75" customHeight="1">
      <c r="A248" s="24"/>
      <c r="B248" s="15"/>
      <c r="C248" s="15"/>
      <c r="D248" s="15"/>
      <c r="E248" s="16"/>
    </row>
    <row r="249" ht="12.75" customHeight="1">
      <c r="A249" s="30" t="s">
        <v>37</v>
      </c>
      <c r="B249" s="47" t="s">
        <v>182</v>
      </c>
      <c r="C249" s="48" t="s">
        <v>183</v>
      </c>
      <c r="D249" s="16"/>
      <c r="E249" s="19">
        <v>0.0</v>
      </c>
      <c r="F249" s="19">
        <v>0.0</v>
      </c>
      <c r="G249" s="19">
        <v>0.0</v>
      </c>
      <c r="H249" s="19">
        <v>0.0</v>
      </c>
      <c r="I249" s="19">
        <v>0.0</v>
      </c>
      <c r="J249" s="19">
        <v>0.0</v>
      </c>
      <c r="K249" s="19">
        <v>0.0</v>
      </c>
      <c r="L249" s="19">
        <v>0.0</v>
      </c>
      <c r="M249" s="19">
        <v>0.0</v>
      </c>
      <c r="N249" s="19">
        <v>0.0</v>
      </c>
      <c r="O249" s="19">
        <v>0.0</v>
      </c>
      <c r="P249" s="19">
        <v>1.0</v>
      </c>
      <c r="Q249" s="19">
        <v>0.0</v>
      </c>
      <c r="R249" s="19">
        <v>0.0</v>
      </c>
      <c r="S249" s="19">
        <v>0.0</v>
      </c>
      <c r="T249" s="19">
        <v>0.0</v>
      </c>
      <c r="U249" s="13">
        <f t="shared" ref="U249:U258" si="48">SUM(E249:T249)</f>
        <v>1</v>
      </c>
    </row>
    <row r="250" ht="12.75" customHeight="1">
      <c r="A250" s="30" t="s">
        <v>39</v>
      </c>
      <c r="B250" s="55">
        <v>1.0</v>
      </c>
      <c r="C250" s="67" t="s">
        <v>184</v>
      </c>
      <c r="D250" s="60"/>
      <c r="E250" s="19">
        <v>0.0</v>
      </c>
      <c r="F250" s="19">
        <v>0.0</v>
      </c>
      <c r="G250" s="19">
        <v>0.0</v>
      </c>
      <c r="H250" s="19">
        <v>0.0</v>
      </c>
      <c r="I250" s="19">
        <v>0.0</v>
      </c>
      <c r="J250" s="19">
        <v>0.0</v>
      </c>
      <c r="K250" s="19">
        <v>0.0</v>
      </c>
      <c r="L250" s="19">
        <v>0.0</v>
      </c>
      <c r="M250" s="19">
        <v>0.0</v>
      </c>
      <c r="N250" s="19">
        <v>0.0</v>
      </c>
      <c r="O250" s="19">
        <v>0.0</v>
      </c>
      <c r="P250" s="19">
        <v>0.0</v>
      </c>
      <c r="Q250" s="19">
        <v>0.0</v>
      </c>
      <c r="R250" s="19">
        <v>0.0</v>
      </c>
      <c r="S250" s="19">
        <v>0.0</v>
      </c>
      <c r="T250" s="19">
        <v>0.0</v>
      </c>
      <c r="U250" s="13">
        <f t="shared" si="48"/>
        <v>0</v>
      </c>
    </row>
    <row r="251" ht="12.75" customHeight="1">
      <c r="A251" s="18"/>
      <c r="B251" s="55">
        <v>2.0</v>
      </c>
      <c r="C251" s="67" t="s">
        <v>185</v>
      </c>
      <c r="D251" s="60"/>
      <c r="E251" s="19">
        <v>0.0</v>
      </c>
      <c r="F251" s="19">
        <v>0.0</v>
      </c>
      <c r="G251" s="19">
        <v>0.0</v>
      </c>
      <c r="H251" s="19">
        <v>0.0</v>
      </c>
      <c r="I251" s="19">
        <v>0.0</v>
      </c>
      <c r="J251" s="19">
        <v>0.0</v>
      </c>
      <c r="K251" s="19">
        <v>0.0</v>
      </c>
      <c r="L251" s="19">
        <v>0.0</v>
      </c>
      <c r="M251" s="19">
        <v>0.0</v>
      </c>
      <c r="N251" s="19">
        <v>0.0</v>
      </c>
      <c r="O251" s="19">
        <v>0.0</v>
      </c>
      <c r="P251" s="19">
        <v>0.0</v>
      </c>
      <c r="Q251" s="19">
        <v>0.0</v>
      </c>
      <c r="R251" s="19">
        <v>0.0</v>
      </c>
      <c r="S251" s="19">
        <v>0.0</v>
      </c>
      <c r="T251" s="19">
        <v>0.0</v>
      </c>
      <c r="U251" s="13">
        <f t="shared" si="48"/>
        <v>0</v>
      </c>
    </row>
    <row r="252" ht="12.75" customHeight="1">
      <c r="A252" s="18"/>
      <c r="B252" s="55">
        <v>3.0</v>
      </c>
      <c r="C252" s="67" t="s">
        <v>186</v>
      </c>
      <c r="D252" s="60"/>
      <c r="E252" s="19">
        <v>0.0</v>
      </c>
      <c r="F252" s="19">
        <v>0.0</v>
      </c>
      <c r="G252" s="19">
        <v>0.0</v>
      </c>
      <c r="H252" s="19">
        <v>0.0</v>
      </c>
      <c r="I252" s="19">
        <v>0.0</v>
      </c>
      <c r="J252" s="19">
        <v>0.0</v>
      </c>
      <c r="K252" s="19">
        <v>0.0</v>
      </c>
      <c r="L252" s="19">
        <v>0.0</v>
      </c>
      <c r="M252" s="19">
        <v>0.0</v>
      </c>
      <c r="N252" s="19">
        <v>0.0</v>
      </c>
      <c r="O252" s="19">
        <v>0.0</v>
      </c>
      <c r="P252" s="19">
        <v>0.0</v>
      </c>
      <c r="Q252" s="19">
        <v>0.0</v>
      </c>
      <c r="R252" s="19">
        <v>0.0</v>
      </c>
      <c r="S252" s="19">
        <v>0.0</v>
      </c>
      <c r="T252" s="19">
        <v>0.0</v>
      </c>
      <c r="U252" s="13">
        <f t="shared" si="48"/>
        <v>0</v>
      </c>
    </row>
    <row r="253" ht="12.75" customHeight="1">
      <c r="A253" s="18"/>
      <c r="B253" s="55">
        <v>4.0</v>
      </c>
      <c r="C253" s="67" t="s">
        <v>187</v>
      </c>
      <c r="D253" s="60"/>
      <c r="E253" s="19">
        <v>0.0</v>
      </c>
      <c r="F253" s="19">
        <v>0.0</v>
      </c>
      <c r="G253" s="19">
        <v>0.0</v>
      </c>
      <c r="H253" s="19">
        <v>0.0</v>
      </c>
      <c r="I253" s="19">
        <v>1.0</v>
      </c>
      <c r="J253" s="19">
        <v>0.0</v>
      </c>
      <c r="K253" s="19">
        <v>0.0</v>
      </c>
      <c r="L253" s="19">
        <v>0.0</v>
      </c>
      <c r="M253" s="19">
        <v>0.0</v>
      </c>
      <c r="N253" s="19">
        <v>0.0</v>
      </c>
      <c r="O253" s="19">
        <v>0.0</v>
      </c>
      <c r="P253" s="19">
        <v>0.0</v>
      </c>
      <c r="Q253" s="19">
        <v>0.0</v>
      </c>
      <c r="R253" s="19">
        <v>0.0</v>
      </c>
      <c r="S253" s="19">
        <v>0.0</v>
      </c>
      <c r="T253" s="19">
        <v>0.0</v>
      </c>
      <c r="U253" s="13">
        <f t="shared" si="48"/>
        <v>1</v>
      </c>
    </row>
    <row r="254" ht="12.75" customHeight="1">
      <c r="A254" s="18"/>
      <c r="B254" s="55">
        <v>5.0</v>
      </c>
      <c r="C254" s="67" t="s">
        <v>188</v>
      </c>
      <c r="D254" s="60"/>
      <c r="E254" s="19">
        <v>1.0</v>
      </c>
      <c r="F254" s="19">
        <v>0.0</v>
      </c>
      <c r="G254" s="19">
        <v>0.0</v>
      </c>
      <c r="H254" s="19">
        <v>0.0</v>
      </c>
      <c r="I254" s="19">
        <v>0.0</v>
      </c>
      <c r="J254" s="19">
        <v>0.0</v>
      </c>
      <c r="K254" s="19">
        <v>0.0</v>
      </c>
      <c r="L254" s="19">
        <v>0.0</v>
      </c>
      <c r="M254" s="19">
        <v>0.0</v>
      </c>
      <c r="N254" s="19">
        <v>0.0</v>
      </c>
      <c r="O254" s="19">
        <v>0.0</v>
      </c>
      <c r="P254" s="19">
        <v>0.0</v>
      </c>
      <c r="Q254" s="19">
        <v>0.0</v>
      </c>
      <c r="R254" s="19">
        <v>0.0</v>
      </c>
      <c r="S254" s="19">
        <v>0.0</v>
      </c>
      <c r="T254" s="19">
        <v>0.0</v>
      </c>
      <c r="U254" s="13">
        <f t="shared" si="48"/>
        <v>1</v>
      </c>
    </row>
    <row r="255" ht="12.75" customHeight="1">
      <c r="A255" s="18"/>
      <c r="B255" s="55">
        <v>6.0</v>
      </c>
      <c r="C255" s="67" t="s">
        <v>189</v>
      </c>
      <c r="D255" s="60"/>
      <c r="E255" s="19">
        <v>0.0</v>
      </c>
      <c r="F255" s="19">
        <v>0.0</v>
      </c>
      <c r="G255" s="19">
        <v>0.0</v>
      </c>
      <c r="H255" s="19">
        <v>0.0</v>
      </c>
      <c r="I255" s="19">
        <v>0.0</v>
      </c>
      <c r="J255" s="19">
        <v>0.0</v>
      </c>
      <c r="K255" s="19">
        <v>0.0</v>
      </c>
      <c r="L255" s="19">
        <v>0.0</v>
      </c>
      <c r="M255" s="19">
        <v>1.0</v>
      </c>
      <c r="N255" s="19">
        <v>0.0</v>
      </c>
      <c r="O255" s="19">
        <v>0.0</v>
      </c>
      <c r="P255" s="19">
        <v>2.0</v>
      </c>
      <c r="Q255" s="19">
        <v>0.0</v>
      </c>
      <c r="R255" s="19">
        <v>0.0</v>
      </c>
      <c r="S255" s="19">
        <v>0.0</v>
      </c>
      <c r="T255" s="19">
        <v>0.0</v>
      </c>
      <c r="U255" s="13">
        <f t="shared" si="48"/>
        <v>3</v>
      </c>
    </row>
    <row r="256" ht="12.75" customHeight="1">
      <c r="A256" s="18"/>
      <c r="B256" s="56"/>
      <c r="C256" s="68"/>
      <c r="D256" s="62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3">
        <f t="shared" si="48"/>
        <v>0</v>
      </c>
    </row>
    <row r="257" ht="12.75" customHeight="1">
      <c r="A257" s="18"/>
      <c r="B257" s="56"/>
      <c r="C257" s="68"/>
      <c r="D257" s="62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3">
        <f t="shared" si="48"/>
        <v>0</v>
      </c>
    </row>
    <row r="258" ht="12.75" customHeight="1">
      <c r="A258" s="18"/>
      <c r="B258" s="56"/>
      <c r="C258" s="68"/>
      <c r="D258" s="62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3">
        <f t="shared" si="48"/>
        <v>0</v>
      </c>
    </row>
    <row r="259" ht="12.75" customHeight="1">
      <c r="A259" s="19" t="s">
        <v>15</v>
      </c>
      <c r="B259" s="47" t="s">
        <v>47</v>
      </c>
      <c r="C259" s="15"/>
      <c r="D259" s="16"/>
      <c r="E259" s="13">
        <f t="shared" ref="E259:U259" si="49">SUM(E249:E258)</f>
        <v>1</v>
      </c>
      <c r="F259" s="13">
        <f t="shared" si="49"/>
        <v>0</v>
      </c>
      <c r="G259" s="13">
        <f t="shared" si="49"/>
        <v>0</v>
      </c>
      <c r="H259" s="13">
        <f t="shared" si="49"/>
        <v>0</v>
      </c>
      <c r="I259" s="13">
        <f t="shared" si="49"/>
        <v>1</v>
      </c>
      <c r="J259" s="13">
        <f t="shared" si="49"/>
        <v>0</v>
      </c>
      <c r="K259" s="13">
        <f t="shared" si="49"/>
        <v>0</v>
      </c>
      <c r="L259" s="13">
        <f t="shared" si="49"/>
        <v>0</v>
      </c>
      <c r="M259" s="13">
        <f t="shared" si="49"/>
        <v>1</v>
      </c>
      <c r="N259" s="13">
        <f t="shared" si="49"/>
        <v>0</v>
      </c>
      <c r="O259" s="13">
        <f t="shared" si="49"/>
        <v>0</v>
      </c>
      <c r="P259" s="13">
        <f t="shared" si="49"/>
        <v>3</v>
      </c>
      <c r="Q259" s="13">
        <f t="shared" si="49"/>
        <v>0</v>
      </c>
      <c r="R259" s="13">
        <f t="shared" si="49"/>
        <v>0</v>
      </c>
      <c r="S259" s="13">
        <f t="shared" si="49"/>
        <v>0</v>
      </c>
      <c r="T259" s="13">
        <f t="shared" si="49"/>
        <v>0</v>
      </c>
      <c r="U259" s="13">
        <f t="shared" si="49"/>
        <v>6</v>
      </c>
    </row>
    <row r="260" ht="12.75" customHeight="1"/>
    <row r="261" ht="12.75" customHeight="1">
      <c r="A261" s="42" t="s">
        <v>190</v>
      </c>
      <c r="B261" s="14" t="s">
        <v>191</v>
      </c>
      <c r="C261" s="15"/>
      <c r="D261" s="16"/>
      <c r="E261" s="13"/>
      <c r="F261" s="13"/>
      <c r="G261" s="13"/>
      <c r="H261" s="13"/>
      <c r="I261" s="13"/>
      <c r="J261" s="13"/>
      <c r="K261" s="13"/>
      <c r="L261" s="13"/>
      <c r="M261" s="13"/>
      <c r="N261" s="78"/>
      <c r="O261" s="78"/>
      <c r="P261" s="78"/>
      <c r="Q261" s="78"/>
      <c r="R261" s="78"/>
      <c r="S261" s="78"/>
      <c r="T261" s="78"/>
      <c r="U261" s="13"/>
    </row>
    <row r="262" ht="12.75" customHeight="1">
      <c r="A262" s="42"/>
      <c r="B262" s="71" t="s">
        <v>192</v>
      </c>
      <c r="C262" s="72" t="s">
        <v>193</v>
      </c>
      <c r="D262" s="16"/>
      <c r="E262" s="19">
        <f t="shared" ref="E262:T262" si="50">E55+E67+E79+E91+E103+E115+E127+E139+E151+E163+E175+E187+E199+E211+E223+E235+E247+E259</f>
        <v>213</v>
      </c>
      <c r="F262" s="19">
        <f t="shared" si="50"/>
        <v>200</v>
      </c>
      <c r="G262" s="19">
        <f t="shared" si="50"/>
        <v>232</v>
      </c>
      <c r="H262" s="19">
        <f t="shared" si="50"/>
        <v>177</v>
      </c>
      <c r="I262" s="19">
        <f t="shared" si="50"/>
        <v>205</v>
      </c>
      <c r="J262" s="19">
        <f t="shared" si="50"/>
        <v>232</v>
      </c>
      <c r="K262" s="19">
        <f t="shared" si="50"/>
        <v>202</v>
      </c>
      <c r="L262" s="19">
        <f t="shared" si="50"/>
        <v>166</v>
      </c>
      <c r="M262" s="19">
        <f t="shared" si="50"/>
        <v>180</v>
      </c>
      <c r="N262" s="19">
        <f t="shared" si="50"/>
        <v>185</v>
      </c>
      <c r="O262" s="19">
        <f t="shared" si="50"/>
        <v>189</v>
      </c>
      <c r="P262" s="19">
        <f t="shared" si="50"/>
        <v>217</v>
      </c>
      <c r="Q262" s="19">
        <f t="shared" si="50"/>
        <v>196</v>
      </c>
      <c r="R262" s="19">
        <f t="shared" si="50"/>
        <v>211</v>
      </c>
      <c r="S262" s="19">
        <f t="shared" si="50"/>
        <v>180</v>
      </c>
      <c r="T262" s="19">
        <f t="shared" si="50"/>
        <v>133</v>
      </c>
      <c r="U262" s="13">
        <f t="shared" ref="U262:U264" si="51">SUM(E262:T262)</f>
        <v>3118</v>
      </c>
    </row>
    <row r="263" ht="12.75" customHeight="1">
      <c r="A263" s="35"/>
      <c r="B263" s="71" t="s">
        <v>194</v>
      </c>
      <c r="C263" s="72" t="s">
        <v>195</v>
      </c>
      <c r="D263" s="16"/>
      <c r="E263" s="19">
        <v>12.0</v>
      </c>
      <c r="F263" s="19">
        <v>15.0</v>
      </c>
      <c r="G263" s="19">
        <v>22.0</v>
      </c>
      <c r="H263" s="19">
        <v>16.0</v>
      </c>
      <c r="I263" s="19">
        <v>10.0</v>
      </c>
      <c r="J263" s="19">
        <v>8.0</v>
      </c>
      <c r="K263" s="19">
        <v>15.0</v>
      </c>
      <c r="L263" s="19">
        <v>14.0</v>
      </c>
      <c r="M263" s="19">
        <v>15.0</v>
      </c>
      <c r="N263" s="19">
        <v>6.0</v>
      </c>
      <c r="O263" s="19">
        <v>17.0</v>
      </c>
      <c r="P263" s="19">
        <v>16.0</v>
      </c>
      <c r="Q263" s="19">
        <v>7.0</v>
      </c>
      <c r="R263" s="19">
        <v>19.0</v>
      </c>
      <c r="S263" s="19">
        <v>20.0</v>
      </c>
      <c r="T263" s="19">
        <v>13.0</v>
      </c>
      <c r="U263" s="13">
        <f t="shared" si="51"/>
        <v>225</v>
      </c>
    </row>
    <row r="264" ht="12.75" customHeight="1">
      <c r="A264" s="41"/>
      <c r="B264" s="71" t="s">
        <v>196</v>
      </c>
      <c r="C264" s="72" t="s">
        <v>197</v>
      </c>
      <c r="D264" s="16"/>
      <c r="E264" s="13">
        <f t="shared" ref="E264:T264" si="52">SUM(E262:E263)</f>
        <v>225</v>
      </c>
      <c r="F264" s="13">
        <f t="shared" si="52"/>
        <v>215</v>
      </c>
      <c r="G264" s="13">
        <f t="shared" si="52"/>
        <v>254</v>
      </c>
      <c r="H264" s="13">
        <f t="shared" si="52"/>
        <v>193</v>
      </c>
      <c r="I264" s="13">
        <f t="shared" si="52"/>
        <v>215</v>
      </c>
      <c r="J264" s="13">
        <f t="shared" si="52"/>
        <v>240</v>
      </c>
      <c r="K264" s="13">
        <f t="shared" si="52"/>
        <v>217</v>
      </c>
      <c r="L264" s="13">
        <f t="shared" si="52"/>
        <v>180</v>
      </c>
      <c r="M264" s="13">
        <f t="shared" si="52"/>
        <v>195</v>
      </c>
      <c r="N264" s="13">
        <f t="shared" si="52"/>
        <v>191</v>
      </c>
      <c r="O264" s="13">
        <f t="shared" si="52"/>
        <v>206</v>
      </c>
      <c r="P264" s="13">
        <f t="shared" si="52"/>
        <v>233</v>
      </c>
      <c r="Q264" s="13">
        <f t="shared" si="52"/>
        <v>203</v>
      </c>
      <c r="R264" s="13">
        <f t="shared" si="52"/>
        <v>230</v>
      </c>
      <c r="S264" s="13">
        <f t="shared" si="52"/>
        <v>200</v>
      </c>
      <c r="T264" s="13">
        <f t="shared" si="52"/>
        <v>146</v>
      </c>
      <c r="U264" s="13">
        <f t="shared" si="51"/>
        <v>3343</v>
      </c>
    </row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93">
    <mergeCell ref="B55:D55"/>
    <mergeCell ref="A56:E56"/>
    <mergeCell ref="C57:D57"/>
    <mergeCell ref="B67:D67"/>
    <mergeCell ref="A68:E68"/>
    <mergeCell ref="C69:D69"/>
    <mergeCell ref="B79:D79"/>
    <mergeCell ref="A80:E80"/>
    <mergeCell ref="C81:D81"/>
    <mergeCell ref="B91:D91"/>
    <mergeCell ref="A92:E92"/>
    <mergeCell ref="C93:D93"/>
    <mergeCell ref="B103:D103"/>
    <mergeCell ref="A104:E104"/>
    <mergeCell ref="B127:D127"/>
    <mergeCell ref="A128:E128"/>
    <mergeCell ref="C129:D129"/>
    <mergeCell ref="B139:D139"/>
    <mergeCell ref="A140:E140"/>
    <mergeCell ref="C141:D141"/>
    <mergeCell ref="B151:D151"/>
    <mergeCell ref="A152:E152"/>
    <mergeCell ref="C153:D153"/>
    <mergeCell ref="B163:D163"/>
    <mergeCell ref="A164:E164"/>
    <mergeCell ref="C165:D165"/>
    <mergeCell ref="B175:D175"/>
    <mergeCell ref="A176:E176"/>
    <mergeCell ref="C177:D177"/>
    <mergeCell ref="B187:D187"/>
    <mergeCell ref="A188:E188"/>
    <mergeCell ref="C189:D189"/>
    <mergeCell ref="B199:D199"/>
    <mergeCell ref="A200:E200"/>
    <mergeCell ref="C201:D201"/>
    <mergeCell ref="B211:D211"/>
    <mergeCell ref="A212:E212"/>
    <mergeCell ref="C213:D213"/>
    <mergeCell ref="B223:D223"/>
    <mergeCell ref="A224:E224"/>
    <mergeCell ref="C225:D225"/>
    <mergeCell ref="B235:D235"/>
    <mergeCell ref="C262:D262"/>
    <mergeCell ref="C263:D263"/>
    <mergeCell ref="C264:D264"/>
    <mergeCell ref="A236:E236"/>
    <mergeCell ref="C237:D237"/>
    <mergeCell ref="B247:D247"/>
    <mergeCell ref="A248:E248"/>
    <mergeCell ref="C249:D249"/>
    <mergeCell ref="B259:D259"/>
    <mergeCell ref="B261:D261"/>
    <mergeCell ref="B12:D12"/>
    <mergeCell ref="E12:T12"/>
    <mergeCell ref="U12:U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B38:D38"/>
    <mergeCell ref="B39:C41"/>
    <mergeCell ref="A42:D42"/>
    <mergeCell ref="E42:I42"/>
    <mergeCell ref="B43:D43"/>
    <mergeCell ref="A44:D44"/>
    <mergeCell ref="C45:D45"/>
    <mergeCell ref="C46:D46"/>
    <mergeCell ref="C47:D47"/>
    <mergeCell ref="C48:D48"/>
    <mergeCell ref="C49:D49"/>
    <mergeCell ref="C50:D50"/>
    <mergeCell ref="C51:D51"/>
    <mergeCell ref="C52:D52"/>
    <mergeCell ref="C105:D105"/>
    <mergeCell ref="B115:D115"/>
    <mergeCell ref="A116:E116"/>
    <mergeCell ref="C117:D117"/>
  </mergeCells>
  <conditionalFormatting sqref="E14:T15">
    <cfRule type="containsBlanks" dxfId="1" priority="1">
      <formula>LEN(TRIM(E14))=0</formula>
    </cfRule>
  </conditionalFormatting>
  <conditionalFormatting sqref="E19:T20">
    <cfRule type="containsBlanks" dxfId="1" priority="2">
      <formula>LEN(TRIM(E19))=0</formula>
    </cfRule>
  </conditionalFormatting>
  <conditionalFormatting sqref="E22:T23 E25:T26 E33:T33 E35:T35 E39:T40">
    <cfRule type="containsBlanks" dxfId="1" priority="3">
      <formula>LEN(TRIM(E22))=0</formula>
    </cfRule>
  </conditionalFormatting>
  <conditionalFormatting sqref="E30:T30">
    <cfRule type="expression" dxfId="0" priority="4">
      <formula>E30&lt;&gt;E47</formula>
    </cfRule>
  </conditionalFormatting>
  <conditionalFormatting sqref="E30:T30">
    <cfRule type="expression" dxfId="0" priority="5">
      <formula>E30&lt;&gt;E34</formula>
    </cfRule>
  </conditionalFormatting>
  <conditionalFormatting sqref="E34:T34">
    <cfRule type="expression" dxfId="2" priority="6">
      <formula>E30&lt;&gt;E34</formula>
    </cfRule>
  </conditionalFormatting>
  <conditionalFormatting sqref="E34:T34">
    <cfRule type="expression" dxfId="3" priority="7">
      <formula>E30=E34</formula>
    </cfRule>
  </conditionalFormatting>
  <conditionalFormatting sqref="E34:T34">
    <cfRule type="expression" dxfId="0" priority="8">
      <formula>E34&lt;&gt;E30</formula>
    </cfRule>
  </conditionalFormatting>
  <conditionalFormatting sqref="E34:T34">
    <cfRule type="expression" dxfId="0" priority="9">
      <formula>E34&lt;&gt;E64</formula>
    </cfRule>
  </conditionalFormatting>
  <conditionalFormatting sqref="E45:T54">
    <cfRule type="containsBlanks" dxfId="1" priority="10">
      <formula>LEN(TRIM(E45))=0</formula>
    </cfRule>
  </conditionalFormatting>
  <conditionalFormatting sqref="E57:T66">
    <cfRule type="containsBlanks" dxfId="1" priority="11">
      <formula>LEN(TRIM(E57))=0</formula>
    </cfRule>
  </conditionalFormatting>
  <conditionalFormatting sqref="E69:T78">
    <cfRule type="containsBlanks" dxfId="1" priority="12">
      <formula>LEN(TRIM(E69))=0</formula>
    </cfRule>
  </conditionalFormatting>
  <conditionalFormatting sqref="E81:T90">
    <cfRule type="containsBlanks" dxfId="1" priority="13">
      <formula>LEN(TRIM(E81))=0</formula>
    </cfRule>
  </conditionalFormatting>
  <conditionalFormatting sqref="E93:T102">
    <cfRule type="containsBlanks" dxfId="1" priority="14">
      <formula>LEN(TRIM(E93))=0</formula>
    </cfRule>
  </conditionalFormatting>
  <conditionalFormatting sqref="E105:T114">
    <cfRule type="containsBlanks" dxfId="1" priority="15">
      <formula>LEN(TRIM(E105))=0</formula>
    </cfRule>
  </conditionalFormatting>
  <conditionalFormatting sqref="E117:T126">
    <cfRule type="containsBlanks" dxfId="1" priority="16">
      <formula>LEN(TRIM(E117))=0</formula>
    </cfRule>
  </conditionalFormatting>
  <conditionalFormatting sqref="E129:T138">
    <cfRule type="containsBlanks" dxfId="1" priority="17">
      <formula>LEN(TRIM(E129))=0</formula>
    </cfRule>
  </conditionalFormatting>
  <conditionalFormatting sqref="E141:T150">
    <cfRule type="containsBlanks" dxfId="1" priority="18">
      <formula>LEN(TRIM(E141))=0</formula>
    </cfRule>
  </conditionalFormatting>
  <conditionalFormatting sqref="E153:T162">
    <cfRule type="containsBlanks" dxfId="1" priority="19">
      <formula>LEN(TRIM(E153))=0</formula>
    </cfRule>
  </conditionalFormatting>
  <conditionalFormatting sqref="E165:T174">
    <cfRule type="containsBlanks" dxfId="1" priority="20">
      <formula>LEN(TRIM(E165))=0</formula>
    </cfRule>
  </conditionalFormatting>
  <conditionalFormatting sqref="E177:T186">
    <cfRule type="containsBlanks" dxfId="1" priority="21">
      <formula>LEN(TRIM(E177))=0</formula>
    </cfRule>
  </conditionalFormatting>
  <conditionalFormatting sqref="E189:T198">
    <cfRule type="containsBlanks" dxfId="1" priority="22">
      <formula>LEN(TRIM(E189))=0</formula>
    </cfRule>
  </conditionalFormatting>
  <conditionalFormatting sqref="E201:T210">
    <cfRule type="containsBlanks" dxfId="1" priority="23">
      <formula>LEN(TRIM(E201))=0</formula>
    </cfRule>
  </conditionalFormatting>
  <conditionalFormatting sqref="E213:T222">
    <cfRule type="containsBlanks" dxfId="1" priority="24">
      <formula>LEN(TRIM(E213))=0</formula>
    </cfRule>
  </conditionalFormatting>
  <conditionalFormatting sqref="E225:T234">
    <cfRule type="containsBlanks" dxfId="1" priority="25">
      <formula>LEN(TRIM(E225))=0</formula>
    </cfRule>
  </conditionalFormatting>
  <conditionalFormatting sqref="E237:T246">
    <cfRule type="containsBlanks" dxfId="1" priority="26">
      <formula>LEN(TRIM(E237))=0</formula>
    </cfRule>
  </conditionalFormatting>
  <conditionalFormatting sqref="E249:T258">
    <cfRule type="containsBlanks" dxfId="1" priority="27">
      <formula>LEN(TRIM(E249))=0</formula>
    </cfRule>
  </conditionalFormatting>
  <conditionalFormatting sqref="E262:T263">
    <cfRule type="containsBlanks" dxfId="1" priority="28">
      <formula>LEN(TRIM(E262))=0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29" width="8.71"/>
    <col customWidth="1" min="30" max="30" width="13.29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198</v>
      </c>
      <c r="D9" s="8" t="s">
        <v>238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75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200</v>
      </c>
      <c r="F13" s="13" t="s">
        <v>201</v>
      </c>
      <c r="G13" s="13" t="s">
        <v>202</v>
      </c>
      <c r="H13" s="13" t="s">
        <v>203</v>
      </c>
      <c r="I13" s="13" t="s">
        <v>204</v>
      </c>
      <c r="J13" s="13" t="s">
        <v>205</v>
      </c>
      <c r="K13" s="13" t="s">
        <v>206</v>
      </c>
      <c r="L13" s="13" t="s">
        <v>207</v>
      </c>
      <c r="M13" s="13" t="s">
        <v>208</v>
      </c>
      <c r="N13" s="13" t="s">
        <v>209</v>
      </c>
      <c r="O13" s="13" t="s">
        <v>210</v>
      </c>
      <c r="P13" s="13" t="s">
        <v>211</v>
      </c>
      <c r="Q13" s="13" t="s">
        <v>212</v>
      </c>
      <c r="R13" s="13" t="s">
        <v>213</v>
      </c>
      <c r="S13" s="13" t="s">
        <v>214</v>
      </c>
      <c r="T13" s="13" t="s">
        <v>215</v>
      </c>
      <c r="U13" s="13" t="s">
        <v>216</v>
      </c>
      <c r="V13" s="13" t="s">
        <v>217</v>
      </c>
      <c r="W13" s="13" t="s">
        <v>219</v>
      </c>
      <c r="X13" s="13" t="s">
        <v>220</v>
      </c>
      <c r="Y13" s="13" t="s">
        <v>222</v>
      </c>
      <c r="Z13" s="13" t="s">
        <v>223</v>
      </c>
      <c r="AA13" s="13" t="s">
        <v>224</v>
      </c>
      <c r="AB13" s="13" t="s">
        <v>225</v>
      </c>
      <c r="AC13" s="13" t="s">
        <v>226</v>
      </c>
      <c r="AD13" s="36"/>
    </row>
    <row r="14" ht="12.75" customHeight="1">
      <c r="A14" s="18"/>
      <c r="B14" s="22" t="s">
        <v>11</v>
      </c>
      <c r="C14" s="23"/>
      <c r="D14" s="19" t="s">
        <v>12</v>
      </c>
      <c r="E14" s="19">
        <v>135.0</v>
      </c>
      <c r="F14" s="19">
        <v>140.0</v>
      </c>
      <c r="G14" s="19">
        <v>137.0</v>
      </c>
      <c r="H14" s="19">
        <v>147.0</v>
      </c>
      <c r="I14" s="19">
        <v>154.0</v>
      </c>
      <c r="J14" s="19">
        <v>129.0</v>
      </c>
      <c r="K14" s="19">
        <v>124.0</v>
      </c>
      <c r="L14" s="19">
        <v>140.0</v>
      </c>
      <c r="M14" s="19">
        <v>144.0</v>
      </c>
      <c r="N14" s="19">
        <v>125.0</v>
      </c>
      <c r="O14" s="19">
        <v>113.0</v>
      </c>
      <c r="P14" s="19">
        <v>137.0</v>
      </c>
      <c r="Q14" s="19">
        <v>104.0</v>
      </c>
      <c r="R14" s="19">
        <v>126.0</v>
      </c>
      <c r="S14" s="19">
        <v>131.0</v>
      </c>
      <c r="T14" s="19">
        <v>125.0</v>
      </c>
      <c r="U14" s="19">
        <v>131.0</v>
      </c>
      <c r="V14" s="19">
        <v>149.0</v>
      </c>
      <c r="W14" s="19">
        <v>142.0</v>
      </c>
      <c r="X14" s="19">
        <v>134.0</v>
      </c>
      <c r="Y14" s="19">
        <v>131.0</v>
      </c>
      <c r="Z14" s="19">
        <v>115.0</v>
      </c>
      <c r="AA14" s="19">
        <v>141.0</v>
      </c>
      <c r="AB14" s="19">
        <v>130.0</v>
      </c>
      <c r="AC14" s="19">
        <v>114.0</v>
      </c>
      <c r="AD14" s="13">
        <f t="shared" ref="AD14:AD16" si="1">SUM(E14:AC14)</f>
        <v>3298</v>
      </c>
    </row>
    <row r="15" ht="12.75" customHeight="1">
      <c r="A15" s="18"/>
      <c r="B15" s="26"/>
      <c r="C15" s="27"/>
      <c r="D15" s="19" t="s">
        <v>13</v>
      </c>
      <c r="E15" s="19">
        <v>145.0</v>
      </c>
      <c r="F15" s="19">
        <v>132.0</v>
      </c>
      <c r="G15" s="19">
        <v>135.0</v>
      </c>
      <c r="H15" s="19">
        <v>140.0</v>
      </c>
      <c r="I15" s="19">
        <v>134.0</v>
      </c>
      <c r="J15" s="19">
        <v>131.0</v>
      </c>
      <c r="K15" s="19">
        <v>136.0</v>
      </c>
      <c r="L15" s="19">
        <v>152.0</v>
      </c>
      <c r="M15" s="19">
        <v>148.0</v>
      </c>
      <c r="N15" s="19">
        <v>129.0</v>
      </c>
      <c r="O15" s="19">
        <v>125.0</v>
      </c>
      <c r="P15" s="19">
        <v>138.0</v>
      </c>
      <c r="Q15" s="19">
        <v>147.0</v>
      </c>
      <c r="R15" s="19">
        <v>118.0</v>
      </c>
      <c r="S15" s="19">
        <v>153.0</v>
      </c>
      <c r="T15" s="19">
        <v>116.0</v>
      </c>
      <c r="U15" s="19">
        <v>151.0</v>
      </c>
      <c r="V15" s="19">
        <v>145.0</v>
      </c>
      <c r="W15" s="19">
        <v>136.0</v>
      </c>
      <c r="X15" s="19">
        <v>147.0</v>
      </c>
      <c r="Y15" s="19">
        <v>141.0</v>
      </c>
      <c r="Z15" s="19">
        <v>113.0</v>
      </c>
      <c r="AA15" s="19">
        <v>140.0</v>
      </c>
      <c r="AB15" s="19">
        <v>127.0</v>
      </c>
      <c r="AC15" s="19">
        <v>131.0</v>
      </c>
      <c r="AD15" s="13">
        <f t="shared" si="1"/>
        <v>3410</v>
      </c>
    </row>
    <row r="16" ht="12.75" customHeight="1">
      <c r="A16" s="25"/>
      <c r="B16" s="21"/>
      <c r="C16" s="28"/>
      <c r="D16" s="13" t="s">
        <v>14</v>
      </c>
      <c r="E16" s="13">
        <f t="shared" ref="E16:AC16" si="2">SUM(E14:E15)</f>
        <v>280</v>
      </c>
      <c r="F16" s="13">
        <f t="shared" si="2"/>
        <v>272</v>
      </c>
      <c r="G16" s="13">
        <f t="shared" si="2"/>
        <v>272</v>
      </c>
      <c r="H16" s="13">
        <f t="shared" si="2"/>
        <v>287</v>
      </c>
      <c r="I16" s="13">
        <f t="shared" si="2"/>
        <v>288</v>
      </c>
      <c r="J16" s="13">
        <f t="shared" si="2"/>
        <v>260</v>
      </c>
      <c r="K16" s="13">
        <f t="shared" si="2"/>
        <v>260</v>
      </c>
      <c r="L16" s="13">
        <f t="shared" si="2"/>
        <v>292</v>
      </c>
      <c r="M16" s="13">
        <f t="shared" si="2"/>
        <v>292</v>
      </c>
      <c r="N16" s="13">
        <f t="shared" si="2"/>
        <v>254</v>
      </c>
      <c r="O16" s="13">
        <f t="shared" si="2"/>
        <v>238</v>
      </c>
      <c r="P16" s="13">
        <f t="shared" si="2"/>
        <v>275</v>
      </c>
      <c r="Q16" s="13">
        <f t="shared" si="2"/>
        <v>251</v>
      </c>
      <c r="R16" s="13">
        <f t="shared" si="2"/>
        <v>244</v>
      </c>
      <c r="S16" s="13">
        <f t="shared" si="2"/>
        <v>284</v>
      </c>
      <c r="T16" s="13">
        <f t="shared" si="2"/>
        <v>241</v>
      </c>
      <c r="U16" s="13">
        <f t="shared" si="2"/>
        <v>282</v>
      </c>
      <c r="V16" s="13">
        <f t="shared" si="2"/>
        <v>294</v>
      </c>
      <c r="W16" s="13">
        <f t="shared" si="2"/>
        <v>278</v>
      </c>
      <c r="X16" s="13">
        <f t="shared" si="2"/>
        <v>281</v>
      </c>
      <c r="Y16" s="13">
        <f t="shared" si="2"/>
        <v>272</v>
      </c>
      <c r="Z16" s="13">
        <f t="shared" si="2"/>
        <v>228</v>
      </c>
      <c r="AA16" s="13">
        <f t="shared" si="2"/>
        <v>281</v>
      </c>
      <c r="AB16" s="13">
        <f t="shared" si="2"/>
        <v>257</v>
      </c>
      <c r="AC16" s="13">
        <f t="shared" si="2"/>
        <v>245</v>
      </c>
      <c r="AD16" s="13">
        <f t="shared" si="1"/>
        <v>6708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76"/>
      <c r="O17" s="76"/>
      <c r="P17" s="76"/>
      <c r="Q17" s="76"/>
      <c r="R17" s="76"/>
      <c r="S17" s="76"/>
      <c r="T17" s="76"/>
      <c r="U17" s="76"/>
      <c r="V17" s="76"/>
      <c r="W17" s="76"/>
      <c r="X17" s="76"/>
      <c r="Y17" s="76"/>
      <c r="Z17" s="76"/>
      <c r="AA17" s="76"/>
      <c r="AB17" s="76"/>
      <c r="AC17" s="76"/>
      <c r="AD17" s="77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76"/>
      <c r="O18" s="76"/>
      <c r="P18" s="76"/>
      <c r="Q18" s="76"/>
      <c r="R18" s="76"/>
      <c r="S18" s="76"/>
      <c r="T18" s="76"/>
      <c r="U18" s="76"/>
      <c r="V18" s="76"/>
      <c r="W18" s="76"/>
      <c r="X18" s="76"/>
      <c r="Y18" s="76"/>
      <c r="Z18" s="76"/>
      <c r="AA18" s="76"/>
      <c r="AB18" s="76"/>
      <c r="AC18" s="76"/>
      <c r="AD18" s="77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19">
        <v>111.0</v>
      </c>
      <c r="F19" s="19">
        <v>99.0</v>
      </c>
      <c r="G19" s="19">
        <v>97.0</v>
      </c>
      <c r="H19" s="19">
        <v>93.0</v>
      </c>
      <c r="I19" s="19">
        <v>112.0</v>
      </c>
      <c r="J19" s="19">
        <v>91.0</v>
      </c>
      <c r="K19" s="19">
        <v>85.0</v>
      </c>
      <c r="L19" s="19">
        <v>98.0</v>
      </c>
      <c r="M19" s="19">
        <v>79.0</v>
      </c>
      <c r="N19" s="19">
        <v>99.0</v>
      </c>
      <c r="O19" s="19">
        <v>85.0</v>
      </c>
      <c r="P19" s="19">
        <v>93.0</v>
      </c>
      <c r="Q19" s="19">
        <v>66.0</v>
      </c>
      <c r="R19" s="19">
        <v>88.0</v>
      </c>
      <c r="S19" s="19">
        <v>82.0</v>
      </c>
      <c r="T19" s="19">
        <v>96.0</v>
      </c>
      <c r="U19" s="19">
        <v>89.0</v>
      </c>
      <c r="V19" s="19">
        <v>115.0</v>
      </c>
      <c r="W19" s="19">
        <v>99.0</v>
      </c>
      <c r="X19" s="19">
        <v>102.0</v>
      </c>
      <c r="Y19" s="19">
        <v>93.0</v>
      </c>
      <c r="Z19" s="19">
        <v>73.0</v>
      </c>
      <c r="AA19" s="19">
        <v>96.0</v>
      </c>
      <c r="AB19" s="19">
        <v>88.0</v>
      </c>
      <c r="AC19" s="19">
        <v>102.0</v>
      </c>
      <c r="AD19" s="13">
        <f t="shared" ref="AD19:AD30" si="3">SUM(E19:AC19)</f>
        <v>2331</v>
      </c>
    </row>
    <row r="20" ht="12.75" customHeight="1">
      <c r="A20" s="33"/>
      <c r="B20" s="27"/>
      <c r="C20" s="34"/>
      <c r="D20" s="19" t="s">
        <v>13</v>
      </c>
      <c r="E20" s="19">
        <v>117.0</v>
      </c>
      <c r="F20" s="19">
        <v>96.0</v>
      </c>
      <c r="G20" s="19">
        <v>107.0</v>
      </c>
      <c r="H20" s="19">
        <v>95.0</v>
      </c>
      <c r="I20" s="19">
        <v>111.0</v>
      </c>
      <c r="J20" s="19">
        <v>88.0</v>
      </c>
      <c r="K20" s="19">
        <v>99.0</v>
      </c>
      <c r="L20" s="19">
        <v>117.0</v>
      </c>
      <c r="M20" s="19">
        <v>95.0</v>
      </c>
      <c r="N20" s="19">
        <v>104.0</v>
      </c>
      <c r="O20" s="19">
        <v>103.0</v>
      </c>
      <c r="P20" s="19">
        <v>106.0</v>
      </c>
      <c r="Q20" s="19">
        <v>106.0</v>
      </c>
      <c r="R20" s="19">
        <v>91.0</v>
      </c>
      <c r="S20" s="19">
        <v>113.0</v>
      </c>
      <c r="T20" s="19">
        <v>86.0</v>
      </c>
      <c r="U20" s="19">
        <v>108.0</v>
      </c>
      <c r="V20" s="19">
        <v>110.0</v>
      </c>
      <c r="W20" s="19">
        <v>106.0</v>
      </c>
      <c r="X20" s="19">
        <v>123.0</v>
      </c>
      <c r="Y20" s="19">
        <v>113.0</v>
      </c>
      <c r="Z20" s="19">
        <v>72.0</v>
      </c>
      <c r="AA20" s="19">
        <v>104.0</v>
      </c>
      <c r="AB20" s="19">
        <v>95.0</v>
      </c>
      <c r="AC20" s="19">
        <v>98.0</v>
      </c>
      <c r="AD20" s="13">
        <f t="shared" si="3"/>
        <v>2563</v>
      </c>
    </row>
    <row r="21" ht="12.75" customHeight="1">
      <c r="A21" s="35"/>
      <c r="B21" s="28"/>
      <c r="C21" s="36"/>
      <c r="D21" s="13" t="s">
        <v>14</v>
      </c>
      <c r="E21" s="13">
        <f t="shared" ref="E21:AC21" si="4">SUM(E19:E20)</f>
        <v>228</v>
      </c>
      <c r="F21" s="13">
        <f t="shared" si="4"/>
        <v>195</v>
      </c>
      <c r="G21" s="13">
        <f t="shared" si="4"/>
        <v>204</v>
      </c>
      <c r="H21" s="13">
        <f t="shared" si="4"/>
        <v>188</v>
      </c>
      <c r="I21" s="13">
        <f t="shared" si="4"/>
        <v>223</v>
      </c>
      <c r="J21" s="13">
        <f t="shared" si="4"/>
        <v>179</v>
      </c>
      <c r="K21" s="13">
        <f t="shared" si="4"/>
        <v>184</v>
      </c>
      <c r="L21" s="13">
        <f t="shared" si="4"/>
        <v>215</v>
      </c>
      <c r="M21" s="13">
        <f t="shared" si="4"/>
        <v>174</v>
      </c>
      <c r="N21" s="13">
        <f t="shared" si="4"/>
        <v>203</v>
      </c>
      <c r="O21" s="13">
        <f t="shared" si="4"/>
        <v>188</v>
      </c>
      <c r="P21" s="13">
        <f t="shared" si="4"/>
        <v>199</v>
      </c>
      <c r="Q21" s="13">
        <f t="shared" si="4"/>
        <v>172</v>
      </c>
      <c r="R21" s="13">
        <f t="shared" si="4"/>
        <v>179</v>
      </c>
      <c r="S21" s="13">
        <f t="shared" si="4"/>
        <v>195</v>
      </c>
      <c r="T21" s="13">
        <f t="shared" si="4"/>
        <v>182</v>
      </c>
      <c r="U21" s="13">
        <f t="shared" si="4"/>
        <v>197</v>
      </c>
      <c r="V21" s="13">
        <f t="shared" si="4"/>
        <v>225</v>
      </c>
      <c r="W21" s="13">
        <f t="shared" si="4"/>
        <v>205</v>
      </c>
      <c r="X21" s="13">
        <f t="shared" si="4"/>
        <v>225</v>
      </c>
      <c r="Y21" s="13">
        <f t="shared" si="4"/>
        <v>206</v>
      </c>
      <c r="Z21" s="13">
        <f t="shared" si="4"/>
        <v>145</v>
      </c>
      <c r="AA21" s="13">
        <f t="shared" si="4"/>
        <v>200</v>
      </c>
      <c r="AB21" s="13">
        <f t="shared" si="4"/>
        <v>183</v>
      </c>
      <c r="AC21" s="13">
        <f t="shared" si="4"/>
        <v>200</v>
      </c>
      <c r="AD21" s="13">
        <f t="shared" si="3"/>
        <v>4894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19">
        <v>0.0</v>
      </c>
      <c r="F22" s="19">
        <v>0.0</v>
      </c>
      <c r="G22" s="19">
        <v>0.0</v>
      </c>
      <c r="H22" s="19">
        <v>0.0</v>
      </c>
      <c r="I22" s="19">
        <v>0.0</v>
      </c>
      <c r="J22" s="19">
        <v>1.0</v>
      </c>
      <c r="K22" s="19">
        <v>1.0</v>
      </c>
      <c r="L22" s="19">
        <v>0.0</v>
      </c>
      <c r="M22" s="19">
        <v>0.0</v>
      </c>
      <c r="N22" s="19">
        <v>0.0</v>
      </c>
      <c r="O22" s="19">
        <v>2.0</v>
      </c>
      <c r="P22" s="19">
        <v>1.0</v>
      </c>
      <c r="Q22" s="19">
        <v>0.0</v>
      </c>
      <c r="R22" s="19">
        <v>0.0</v>
      </c>
      <c r="S22" s="19">
        <v>0.0</v>
      </c>
      <c r="T22" s="19">
        <v>0.0</v>
      </c>
      <c r="U22" s="19">
        <v>0.0</v>
      </c>
      <c r="V22" s="19">
        <v>0.0</v>
      </c>
      <c r="W22" s="19">
        <v>0.0</v>
      </c>
      <c r="X22" s="19">
        <v>0.0</v>
      </c>
      <c r="Y22" s="19">
        <v>0.0</v>
      </c>
      <c r="Z22" s="19">
        <v>0.0</v>
      </c>
      <c r="AA22" s="19">
        <v>0.0</v>
      </c>
      <c r="AB22" s="19">
        <v>0.0</v>
      </c>
      <c r="AC22" s="19">
        <v>0.0</v>
      </c>
      <c r="AD22" s="13">
        <f t="shared" si="3"/>
        <v>5</v>
      </c>
    </row>
    <row r="23" ht="12.75" customHeight="1">
      <c r="A23" s="33"/>
      <c r="B23" s="27"/>
      <c r="C23" s="34"/>
      <c r="D23" s="19" t="s">
        <v>13</v>
      </c>
      <c r="E23" s="19">
        <v>0.0</v>
      </c>
      <c r="F23" s="19">
        <v>0.0</v>
      </c>
      <c r="G23" s="19">
        <v>0.0</v>
      </c>
      <c r="H23" s="19">
        <v>0.0</v>
      </c>
      <c r="I23" s="19">
        <v>0.0</v>
      </c>
      <c r="J23" s="19">
        <v>0.0</v>
      </c>
      <c r="K23" s="19">
        <v>0.0</v>
      </c>
      <c r="L23" s="19">
        <v>1.0</v>
      </c>
      <c r="M23" s="19">
        <v>0.0</v>
      </c>
      <c r="N23" s="19">
        <v>0.0</v>
      </c>
      <c r="O23" s="19">
        <v>1.0</v>
      </c>
      <c r="P23" s="19">
        <v>0.0</v>
      </c>
      <c r="Q23" s="19">
        <v>0.0</v>
      </c>
      <c r="R23" s="19">
        <v>0.0</v>
      </c>
      <c r="S23" s="19">
        <v>0.0</v>
      </c>
      <c r="T23" s="19">
        <v>0.0</v>
      </c>
      <c r="U23" s="19">
        <v>0.0</v>
      </c>
      <c r="V23" s="19">
        <v>0.0</v>
      </c>
      <c r="W23" s="19">
        <v>0.0</v>
      </c>
      <c r="X23" s="19">
        <v>0.0</v>
      </c>
      <c r="Y23" s="19">
        <v>0.0</v>
      </c>
      <c r="Z23" s="19">
        <v>1.0</v>
      </c>
      <c r="AA23" s="19">
        <v>0.0</v>
      </c>
      <c r="AB23" s="19">
        <v>0.0</v>
      </c>
      <c r="AC23" s="19">
        <v>1.0</v>
      </c>
      <c r="AD23" s="13">
        <f t="shared" si="3"/>
        <v>4</v>
      </c>
    </row>
    <row r="24" ht="12.75" customHeight="1">
      <c r="A24" s="35"/>
      <c r="B24" s="28"/>
      <c r="C24" s="36"/>
      <c r="D24" s="13" t="s">
        <v>14</v>
      </c>
      <c r="E24" s="13">
        <f t="shared" ref="E24:AC24" si="5">SUM(E22:E23)</f>
        <v>0</v>
      </c>
      <c r="F24" s="13">
        <f t="shared" si="5"/>
        <v>0</v>
      </c>
      <c r="G24" s="13">
        <f t="shared" si="5"/>
        <v>0</v>
      </c>
      <c r="H24" s="13">
        <f t="shared" si="5"/>
        <v>0</v>
      </c>
      <c r="I24" s="13">
        <f t="shared" si="5"/>
        <v>0</v>
      </c>
      <c r="J24" s="13">
        <f t="shared" si="5"/>
        <v>1</v>
      </c>
      <c r="K24" s="13">
        <f t="shared" si="5"/>
        <v>1</v>
      </c>
      <c r="L24" s="13">
        <f t="shared" si="5"/>
        <v>1</v>
      </c>
      <c r="M24" s="13">
        <f t="shared" si="5"/>
        <v>0</v>
      </c>
      <c r="N24" s="13">
        <f t="shared" si="5"/>
        <v>0</v>
      </c>
      <c r="O24" s="13">
        <f t="shared" si="5"/>
        <v>3</v>
      </c>
      <c r="P24" s="13">
        <f t="shared" si="5"/>
        <v>1</v>
      </c>
      <c r="Q24" s="13">
        <f t="shared" si="5"/>
        <v>0</v>
      </c>
      <c r="R24" s="13">
        <f t="shared" si="5"/>
        <v>0</v>
      </c>
      <c r="S24" s="13">
        <f t="shared" si="5"/>
        <v>0</v>
      </c>
      <c r="T24" s="13">
        <f t="shared" si="5"/>
        <v>0</v>
      </c>
      <c r="U24" s="13">
        <f t="shared" si="5"/>
        <v>0</v>
      </c>
      <c r="V24" s="13">
        <f t="shared" si="5"/>
        <v>0</v>
      </c>
      <c r="W24" s="13">
        <f t="shared" si="5"/>
        <v>0</v>
      </c>
      <c r="X24" s="13">
        <f t="shared" si="5"/>
        <v>0</v>
      </c>
      <c r="Y24" s="13">
        <f t="shared" si="5"/>
        <v>0</v>
      </c>
      <c r="Z24" s="13">
        <f t="shared" si="5"/>
        <v>1</v>
      </c>
      <c r="AA24" s="13">
        <f t="shared" si="5"/>
        <v>0</v>
      </c>
      <c r="AB24" s="13">
        <f t="shared" si="5"/>
        <v>0</v>
      </c>
      <c r="AC24" s="13">
        <f t="shared" si="5"/>
        <v>1</v>
      </c>
      <c r="AD24" s="13">
        <f t="shared" si="3"/>
        <v>9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19">
        <v>0.0</v>
      </c>
      <c r="F25" s="19">
        <v>1.0</v>
      </c>
      <c r="G25" s="19">
        <v>0.0</v>
      </c>
      <c r="H25" s="19">
        <v>0.0</v>
      </c>
      <c r="I25" s="19">
        <v>0.0</v>
      </c>
      <c r="J25" s="19">
        <v>3.0</v>
      </c>
      <c r="K25" s="19">
        <v>3.0</v>
      </c>
      <c r="L25" s="19">
        <v>0.0</v>
      </c>
      <c r="M25" s="19">
        <v>0.0</v>
      </c>
      <c r="N25" s="19">
        <v>0.0</v>
      </c>
      <c r="O25" s="19">
        <v>4.0</v>
      </c>
      <c r="P25" s="19">
        <v>0.0</v>
      </c>
      <c r="Q25" s="19">
        <v>2.0</v>
      </c>
      <c r="R25" s="19">
        <v>2.0</v>
      </c>
      <c r="S25" s="19">
        <v>1.0</v>
      </c>
      <c r="T25" s="19">
        <v>2.0</v>
      </c>
      <c r="U25" s="19">
        <v>4.0</v>
      </c>
      <c r="V25" s="19">
        <v>1.0</v>
      </c>
      <c r="W25" s="19">
        <v>1.0</v>
      </c>
      <c r="X25" s="19">
        <v>0.0</v>
      </c>
      <c r="Y25" s="19">
        <v>0.0</v>
      </c>
      <c r="Z25" s="19">
        <v>0.0</v>
      </c>
      <c r="AA25" s="19">
        <v>5.0</v>
      </c>
      <c r="AB25" s="19">
        <v>4.0</v>
      </c>
      <c r="AC25" s="19">
        <v>3.0</v>
      </c>
      <c r="AD25" s="13">
        <f t="shared" si="3"/>
        <v>36</v>
      </c>
    </row>
    <row r="26" ht="12.75" customHeight="1">
      <c r="A26" s="33"/>
      <c r="B26" s="27"/>
      <c r="C26" s="34"/>
      <c r="D26" s="19" t="s">
        <v>13</v>
      </c>
      <c r="E26" s="19">
        <v>0.0</v>
      </c>
      <c r="F26" s="19">
        <v>3.0</v>
      </c>
      <c r="G26" s="19">
        <v>0.0</v>
      </c>
      <c r="H26" s="19">
        <v>1.0</v>
      </c>
      <c r="I26" s="19">
        <v>0.0</v>
      </c>
      <c r="J26" s="19">
        <v>7.0</v>
      </c>
      <c r="K26" s="19">
        <v>2.0</v>
      </c>
      <c r="L26" s="19">
        <v>0.0</v>
      </c>
      <c r="M26" s="19">
        <v>3.0</v>
      </c>
      <c r="N26" s="19">
        <v>0.0</v>
      </c>
      <c r="O26" s="19">
        <v>2.0</v>
      </c>
      <c r="P26" s="19">
        <v>3.0</v>
      </c>
      <c r="Q26" s="19">
        <v>3.0</v>
      </c>
      <c r="R26" s="19">
        <v>2.0</v>
      </c>
      <c r="S26" s="19">
        <v>1.0</v>
      </c>
      <c r="T26" s="19">
        <v>5.0</v>
      </c>
      <c r="U26" s="19">
        <v>2.0</v>
      </c>
      <c r="V26" s="19">
        <v>1.0</v>
      </c>
      <c r="W26" s="19">
        <v>2.0</v>
      </c>
      <c r="X26" s="19">
        <v>0.0</v>
      </c>
      <c r="Y26" s="19">
        <v>0.0</v>
      </c>
      <c r="Z26" s="19">
        <v>0.0</v>
      </c>
      <c r="AA26" s="19">
        <v>6.0</v>
      </c>
      <c r="AB26" s="19">
        <v>3.0</v>
      </c>
      <c r="AC26" s="19">
        <v>6.0</v>
      </c>
      <c r="AD26" s="13">
        <f t="shared" si="3"/>
        <v>52</v>
      </c>
    </row>
    <row r="27" ht="12.75" customHeight="1">
      <c r="A27" s="35"/>
      <c r="B27" s="28"/>
      <c r="C27" s="36"/>
      <c r="D27" s="13" t="s">
        <v>14</v>
      </c>
      <c r="E27" s="13">
        <f t="shared" ref="E27:AC27" si="6">SUM(E25:E26)</f>
        <v>0</v>
      </c>
      <c r="F27" s="13">
        <f t="shared" si="6"/>
        <v>4</v>
      </c>
      <c r="G27" s="13">
        <f t="shared" si="6"/>
        <v>0</v>
      </c>
      <c r="H27" s="13">
        <f t="shared" si="6"/>
        <v>1</v>
      </c>
      <c r="I27" s="13">
        <f t="shared" si="6"/>
        <v>0</v>
      </c>
      <c r="J27" s="13">
        <f t="shared" si="6"/>
        <v>10</v>
      </c>
      <c r="K27" s="13">
        <f t="shared" si="6"/>
        <v>5</v>
      </c>
      <c r="L27" s="13">
        <f t="shared" si="6"/>
        <v>0</v>
      </c>
      <c r="M27" s="13">
        <f t="shared" si="6"/>
        <v>3</v>
      </c>
      <c r="N27" s="13">
        <f t="shared" si="6"/>
        <v>0</v>
      </c>
      <c r="O27" s="13">
        <f t="shared" si="6"/>
        <v>6</v>
      </c>
      <c r="P27" s="13">
        <f t="shared" si="6"/>
        <v>3</v>
      </c>
      <c r="Q27" s="13">
        <f t="shared" si="6"/>
        <v>5</v>
      </c>
      <c r="R27" s="13">
        <f t="shared" si="6"/>
        <v>4</v>
      </c>
      <c r="S27" s="13">
        <f t="shared" si="6"/>
        <v>2</v>
      </c>
      <c r="T27" s="13">
        <f t="shared" si="6"/>
        <v>7</v>
      </c>
      <c r="U27" s="13">
        <f t="shared" si="6"/>
        <v>6</v>
      </c>
      <c r="V27" s="13">
        <f t="shared" si="6"/>
        <v>2</v>
      </c>
      <c r="W27" s="13">
        <f t="shared" si="6"/>
        <v>3</v>
      </c>
      <c r="X27" s="13">
        <f t="shared" si="6"/>
        <v>0</v>
      </c>
      <c r="Y27" s="13">
        <f t="shared" si="6"/>
        <v>0</v>
      </c>
      <c r="Z27" s="13">
        <f t="shared" si="6"/>
        <v>0</v>
      </c>
      <c r="AA27" s="13">
        <f t="shared" si="6"/>
        <v>11</v>
      </c>
      <c r="AB27" s="13">
        <f t="shared" si="6"/>
        <v>7</v>
      </c>
      <c r="AC27" s="13">
        <f t="shared" si="6"/>
        <v>9</v>
      </c>
      <c r="AD27" s="13">
        <f t="shared" si="3"/>
        <v>88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AC28" si="7">SUM(E19,E22,E25)</f>
        <v>111</v>
      </c>
      <c r="F28" s="13">
        <f t="shared" si="7"/>
        <v>100</v>
      </c>
      <c r="G28" s="13">
        <f t="shared" si="7"/>
        <v>97</v>
      </c>
      <c r="H28" s="13">
        <f t="shared" si="7"/>
        <v>93</v>
      </c>
      <c r="I28" s="13">
        <f t="shared" si="7"/>
        <v>112</v>
      </c>
      <c r="J28" s="13">
        <f t="shared" si="7"/>
        <v>95</v>
      </c>
      <c r="K28" s="13">
        <f t="shared" si="7"/>
        <v>89</v>
      </c>
      <c r="L28" s="13">
        <f t="shared" si="7"/>
        <v>98</v>
      </c>
      <c r="M28" s="13">
        <f t="shared" si="7"/>
        <v>79</v>
      </c>
      <c r="N28" s="13">
        <f t="shared" si="7"/>
        <v>99</v>
      </c>
      <c r="O28" s="13">
        <f t="shared" si="7"/>
        <v>91</v>
      </c>
      <c r="P28" s="13">
        <f t="shared" si="7"/>
        <v>94</v>
      </c>
      <c r="Q28" s="13">
        <f t="shared" si="7"/>
        <v>68</v>
      </c>
      <c r="R28" s="13">
        <f t="shared" si="7"/>
        <v>90</v>
      </c>
      <c r="S28" s="13">
        <f t="shared" si="7"/>
        <v>83</v>
      </c>
      <c r="T28" s="13">
        <f t="shared" si="7"/>
        <v>98</v>
      </c>
      <c r="U28" s="13">
        <f t="shared" si="7"/>
        <v>93</v>
      </c>
      <c r="V28" s="13">
        <f t="shared" si="7"/>
        <v>116</v>
      </c>
      <c r="W28" s="13">
        <f t="shared" si="7"/>
        <v>100</v>
      </c>
      <c r="X28" s="13">
        <f t="shared" si="7"/>
        <v>102</v>
      </c>
      <c r="Y28" s="13">
        <f t="shared" si="7"/>
        <v>93</v>
      </c>
      <c r="Z28" s="13">
        <f t="shared" si="7"/>
        <v>73</v>
      </c>
      <c r="AA28" s="13">
        <f t="shared" si="7"/>
        <v>101</v>
      </c>
      <c r="AB28" s="13">
        <f t="shared" si="7"/>
        <v>92</v>
      </c>
      <c r="AC28" s="13">
        <f t="shared" si="7"/>
        <v>105</v>
      </c>
      <c r="AD28" s="13">
        <f t="shared" si="3"/>
        <v>2372</v>
      </c>
    </row>
    <row r="29" ht="12.75" customHeight="1">
      <c r="A29" s="35"/>
      <c r="B29" s="27"/>
      <c r="C29" s="34"/>
      <c r="D29" s="13" t="s">
        <v>13</v>
      </c>
      <c r="E29" s="13">
        <f t="shared" ref="E29:AC29" si="8">SUM(E20,E23,E26)</f>
        <v>117</v>
      </c>
      <c r="F29" s="13">
        <f t="shared" si="8"/>
        <v>99</v>
      </c>
      <c r="G29" s="13">
        <f t="shared" si="8"/>
        <v>107</v>
      </c>
      <c r="H29" s="13">
        <f t="shared" si="8"/>
        <v>96</v>
      </c>
      <c r="I29" s="13">
        <f t="shared" si="8"/>
        <v>111</v>
      </c>
      <c r="J29" s="13">
        <f t="shared" si="8"/>
        <v>95</v>
      </c>
      <c r="K29" s="13">
        <f t="shared" si="8"/>
        <v>101</v>
      </c>
      <c r="L29" s="13">
        <f t="shared" si="8"/>
        <v>118</v>
      </c>
      <c r="M29" s="13">
        <f t="shared" si="8"/>
        <v>98</v>
      </c>
      <c r="N29" s="13">
        <f t="shared" si="8"/>
        <v>104</v>
      </c>
      <c r="O29" s="13">
        <f t="shared" si="8"/>
        <v>106</v>
      </c>
      <c r="P29" s="13">
        <f t="shared" si="8"/>
        <v>109</v>
      </c>
      <c r="Q29" s="13">
        <f t="shared" si="8"/>
        <v>109</v>
      </c>
      <c r="R29" s="13">
        <f t="shared" si="8"/>
        <v>93</v>
      </c>
      <c r="S29" s="13">
        <f t="shared" si="8"/>
        <v>114</v>
      </c>
      <c r="T29" s="13">
        <f t="shared" si="8"/>
        <v>91</v>
      </c>
      <c r="U29" s="13">
        <f t="shared" si="8"/>
        <v>110</v>
      </c>
      <c r="V29" s="13">
        <f t="shared" si="8"/>
        <v>111</v>
      </c>
      <c r="W29" s="13">
        <f t="shared" si="8"/>
        <v>108</v>
      </c>
      <c r="X29" s="13">
        <f t="shared" si="8"/>
        <v>123</v>
      </c>
      <c r="Y29" s="13">
        <f t="shared" si="8"/>
        <v>113</v>
      </c>
      <c r="Z29" s="13">
        <f t="shared" si="8"/>
        <v>73</v>
      </c>
      <c r="AA29" s="13">
        <f t="shared" si="8"/>
        <v>110</v>
      </c>
      <c r="AB29" s="13">
        <f t="shared" si="8"/>
        <v>98</v>
      </c>
      <c r="AC29" s="13">
        <f t="shared" si="8"/>
        <v>105</v>
      </c>
      <c r="AD29" s="13">
        <f t="shared" si="3"/>
        <v>2619</v>
      </c>
    </row>
    <row r="30" ht="12.75" customHeight="1">
      <c r="A30" s="35"/>
      <c r="B30" s="28"/>
      <c r="C30" s="36"/>
      <c r="D30" s="13" t="s">
        <v>14</v>
      </c>
      <c r="E30" s="13">
        <f t="shared" ref="E30:AC30" si="9">SUM(E28:E29)</f>
        <v>228</v>
      </c>
      <c r="F30" s="13">
        <f t="shared" si="9"/>
        <v>199</v>
      </c>
      <c r="G30" s="13">
        <f t="shared" si="9"/>
        <v>204</v>
      </c>
      <c r="H30" s="13">
        <f t="shared" si="9"/>
        <v>189</v>
      </c>
      <c r="I30" s="13">
        <f t="shared" si="9"/>
        <v>223</v>
      </c>
      <c r="J30" s="13">
        <f t="shared" si="9"/>
        <v>190</v>
      </c>
      <c r="K30" s="13">
        <f t="shared" si="9"/>
        <v>190</v>
      </c>
      <c r="L30" s="13">
        <f t="shared" si="9"/>
        <v>216</v>
      </c>
      <c r="M30" s="13">
        <f t="shared" si="9"/>
        <v>177</v>
      </c>
      <c r="N30" s="13">
        <f t="shared" si="9"/>
        <v>203</v>
      </c>
      <c r="O30" s="13">
        <f t="shared" si="9"/>
        <v>197</v>
      </c>
      <c r="P30" s="13">
        <f t="shared" si="9"/>
        <v>203</v>
      </c>
      <c r="Q30" s="13">
        <f t="shared" si="9"/>
        <v>177</v>
      </c>
      <c r="R30" s="13">
        <f t="shared" si="9"/>
        <v>183</v>
      </c>
      <c r="S30" s="13">
        <f t="shared" si="9"/>
        <v>197</v>
      </c>
      <c r="T30" s="13">
        <f t="shared" si="9"/>
        <v>189</v>
      </c>
      <c r="U30" s="13">
        <f t="shared" si="9"/>
        <v>203</v>
      </c>
      <c r="V30" s="13">
        <f t="shared" si="9"/>
        <v>227</v>
      </c>
      <c r="W30" s="13">
        <f t="shared" si="9"/>
        <v>208</v>
      </c>
      <c r="X30" s="13">
        <f t="shared" si="9"/>
        <v>225</v>
      </c>
      <c r="Y30" s="13">
        <f t="shared" si="9"/>
        <v>206</v>
      </c>
      <c r="Z30" s="13">
        <f t="shared" si="9"/>
        <v>146</v>
      </c>
      <c r="AA30" s="13">
        <f t="shared" si="9"/>
        <v>211</v>
      </c>
      <c r="AB30" s="13">
        <f t="shared" si="9"/>
        <v>190</v>
      </c>
      <c r="AC30" s="13">
        <f t="shared" si="9"/>
        <v>210</v>
      </c>
      <c r="AD30" s="13">
        <f t="shared" si="3"/>
        <v>4991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76"/>
      <c r="O31" s="76"/>
      <c r="P31" s="76"/>
      <c r="Q31" s="76"/>
      <c r="R31" s="76"/>
      <c r="S31" s="76"/>
      <c r="T31" s="76"/>
      <c r="U31" s="76"/>
      <c r="V31" s="76"/>
      <c r="W31" s="76"/>
      <c r="X31" s="76"/>
      <c r="Y31" s="76"/>
      <c r="Z31" s="76"/>
      <c r="AA31" s="76"/>
      <c r="AB31" s="76"/>
      <c r="AC31" s="76"/>
      <c r="AD31" s="77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78"/>
      <c r="O32" s="78"/>
      <c r="P32" s="78"/>
      <c r="Q32" s="78"/>
      <c r="R32" s="78"/>
      <c r="S32" s="78"/>
      <c r="T32" s="78"/>
      <c r="U32" s="78"/>
      <c r="V32" s="78"/>
      <c r="W32" s="78"/>
      <c r="X32" s="78"/>
      <c r="Y32" s="78"/>
      <c r="Z32" s="78"/>
      <c r="AA32" s="78"/>
      <c r="AB32" s="78"/>
      <c r="AC32" s="78"/>
      <c r="AD32" s="77"/>
    </row>
    <row r="33" ht="12.75" customHeight="1">
      <c r="A33" s="19">
        <v>1.0</v>
      </c>
      <c r="B33" s="20" t="s">
        <v>27</v>
      </c>
      <c r="C33" s="15"/>
      <c r="D33" s="16"/>
      <c r="E33" s="19">
        <v>286.0</v>
      </c>
      <c r="F33" s="19">
        <v>278.0</v>
      </c>
      <c r="G33" s="19">
        <v>278.0</v>
      </c>
      <c r="H33" s="19">
        <v>293.0</v>
      </c>
      <c r="I33" s="19">
        <v>294.0</v>
      </c>
      <c r="J33" s="19">
        <v>266.0</v>
      </c>
      <c r="K33" s="19">
        <v>266.0</v>
      </c>
      <c r="L33" s="19">
        <v>298.0</v>
      </c>
      <c r="M33" s="19">
        <v>298.0</v>
      </c>
      <c r="N33" s="19">
        <v>260.0</v>
      </c>
      <c r="O33" s="19">
        <v>243.0</v>
      </c>
      <c r="P33" s="19">
        <v>281.0</v>
      </c>
      <c r="Q33" s="19">
        <v>255.0</v>
      </c>
      <c r="R33" s="19">
        <v>249.0</v>
      </c>
      <c r="S33" s="19">
        <v>290.0</v>
      </c>
      <c r="T33" s="19">
        <v>247.0</v>
      </c>
      <c r="U33" s="19">
        <v>288.0</v>
      </c>
      <c r="V33" s="19">
        <v>299.0</v>
      </c>
      <c r="W33" s="19">
        <v>284.0</v>
      </c>
      <c r="X33" s="19">
        <v>287.0</v>
      </c>
      <c r="Y33" s="19">
        <v>278.0</v>
      </c>
      <c r="Z33" s="19">
        <v>232.0</v>
      </c>
      <c r="AA33" s="19">
        <v>287.0</v>
      </c>
      <c r="AB33" s="19">
        <v>263.0</v>
      </c>
      <c r="AC33" s="19">
        <v>250.0</v>
      </c>
      <c r="AD33" s="13">
        <f t="shared" ref="AD33:AD36" si="10">SUM(E33:AC33)</f>
        <v>6850</v>
      </c>
    </row>
    <row r="34" ht="12.75" customHeight="1">
      <c r="A34" s="19">
        <v>2.0</v>
      </c>
      <c r="B34" s="20" t="s">
        <v>28</v>
      </c>
      <c r="C34" s="15"/>
      <c r="D34" s="16"/>
      <c r="E34" s="13">
        <v>228.0</v>
      </c>
      <c r="F34" s="13">
        <v>199.0</v>
      </c>
      <c r="G34" s="13">
        <v>204.0</v>
      </c>
      <c r="H34" s="13">
        <v>189.0</v>
      </c>
      <c r="I34" s="13">
        <v>223.0</v>
      </c>
      <c r="J34" s="13">
        <v>190.0</v>
      </c>
      <c r="K34" s="13">
        <v>190.0</v>
      </c>
      <c r="L34" s="13">
        <v>216.0</v>
      </c>
      <c r="M34" s="13">
        <v>177.0</v>
      </c>
      <c r="N34" s="13">
        <v>203.0</v>
      </c>
      <c r="O34" s="13">
        <v>197.0</v>
      </c>
      <c r="P34" s="13">
        <v>203.0</v>
      </c>
      <c r="Q34" s="13">
        <v>177.0</v>
      </c>
      <c r="R34" s="13">
        <v>183.0</v>
      </c>
      <c r="S34" s="13">
        <v>197.0</v>
      </c>
      <c r="T34" s="13">
        <v>189.0</v>
      </c>
      <c r="U34" s="13">
        <v>203.0</v>
      </c>
      <c r="V34" s="13">
        <v>227.0</v>
      </c>
      <c r="W34" s="13">
        <v>208.0</v>
      </c>
      <c r="X34" s="13">
        <v>225.0</v>
      </c>
      <c r="Y34" s="13">
        <v>206.0</v>
      </c>
      <c r="Z34" s="13">
        <v>146.0</v>
      </c>
      <c r="AA34" s="13">
        <v>211.0</v>
      </c>
      <c r="AB34" s="13">
        <v>190.0</v>
      </c>
      <c r="AC34" s="13">
        <v>210.0</v>
      </c>
      <c r="AD34" s="13">
        <f t="shared" si="10"/>
        <v>4991</v>
      </c>
    </row>
    <row r="35" ht="12.75" customHeight="1">
      <c r="A35" s="19">
        <v>3.0</v>
      </c>
      <c r="B35" s="20" t="s">
        <v>29</v>
      </c>
      <c r="C35" s="15"/>
      <c r="D35" s="16"/>
      <c r="E35" s="19">
        <v>2.0</v>
      </c>
      <c r="F35" s="19">
        <v>0.0</v>
      </c>
      <c r="G35" s="19">
        <v>0.0</v>
      </c>
      <c r="H35" s="19">
        <v>0.0</v>
      </c>
      <c r="I35" s="19">
        <v>0.0</v>
      </c>
      <c r="J35" s="19">
        <v>0.0</v>
      </c>
      <c r="K35" s="19">
        <v>0.0</v>
      </c>
      <c r="L35" s="19">
        <v>0.0</v>
      </c>
      <c r="M35" s="19">
        <v>0.0</v>
      </c>
      <c r="N35" s="19">
        <v>0.0</v>
      </c>
      <c r="O35" s="19">
        <v>1.0</v>
      </c>
      <c r="P35" s="19">
        <v>0.0</v>
      </c>
      <c r="Q35" s="19">
        <v>0.0</v>
      </c>
      <c r="R35" s="19">
        <v>1.0</v>
      </c>
      <c r="S35" s="19">
        <v>0.0</v>
      </c>
      <c r="T35" s="19">
        <v>0.0</v>
      </c>
      <c r="U35" s="19">
        <v>0.0</v>
      </c>
      <c r="V35" s="19">
        <v>0.0</v>
      </c>
      <c r="W35" s="19">
        <v>0.0</v>
      </c>
      <c r="X35" s="19">
        <v>1.0</v>
      </c>
      <c r="Y35" s="19">
        <v>0.0</v>
      </c>
      <c r="Z35" s="19">
        <v>0.0</v>
      </c>
      <c r="AA35" s="19">
        <v>0.0</v>
      </c>
      <c r="AB35" s="19">
        <v>0.0</v>
      </c>
      <c r="AC35" s="19">
        <v>0.0</v>
      </c>
      <c r="AD35" s="13">
        <f t="shared" si="10"/>
        <v>5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AC36" si="11">E33-(E34+E35)</f>
        <v>56</v>
      </c>
      <c r="F36" s="13">
        <f t="shared" si="11"/>
        <v>79</v>
      </c>
      <c r="G36" s="13">
        <f t="shared" si="11"/>
        <v>74</v>
      </c>
      <c r="H36" s="13">
        <f t="shared" si="11"/>
        <v>104</v>
      </c>
      <c r="I36" s="13">
        <f t="shared" si="11"/>
        <v>71</v>
      </c>
      <c r="J36" s="13">
        <f t="shared" si="11"/>
        <v>76</v>
      </c>
      <c r="K36" s="13">
        <f t="shared" si="11"/>
        <v>76</v>
      </c>
      <c r="L36" s="13">
        <f t="shared" si="11"/>
        <v>82</v>
      </c>
      <c r="M36" s="13">
        <f t="shared" si="11"/>
        <v>121</v>
      </c>
      <c r="N36" s="13">
        <f t="shared" si="11"/>
        <v>57</v>
      </c>
      <c r="O36" s="13">
        <f t="shared" si="11"/>
        <v>45</v>
      </c>
      <c r="P36" s="13">
        <f t="shared" si="11"/>
        <v>78</v>
      </c>
      <c r="Q36" s="13">
        <f t="shared" si="11"/>
        <v>78</v>
      </c>
      <c r="R36" s="13">
        <f t="shared" si="11"/>
        <v>65</v>
      </c>
      <c r="S36" s="13">
        <f t="shared" si="11"/>
        <v>93</v>
      </c>
      <c r="T36" s="13">
        <f t="shared" si="11"/>
        <v>58</v>
      </c>
      <c r="U36" s="13">
        <f t="shared" si="11"/>
        <v>85</v>
      </c>
      <c r="V36" s="13">
        <f t="shared" si="11"/>
        <v>72</v>
      </c>
      <c r="W36" s="13">
        <f t="shared" si="11"/>
        <v>76</v>
      </c>
      <c r="X36" s="13">
        <f t="shared" si="11"/>
        <v>61</v>
      </c>
      <c r="Y36" s="13">
        <f t="shared" si="11"/>
        <v>72</v>
      </c>
      <c r="Z36" s="13">
        <f t="shared" si="11"/>
        <v>86</v>
      </c>
      <c r="AA36" s="13">
        <f t="shared" si="11"/>
        <v>76</v>
      </c>
      <c r="AB36" s="13">
        <f t="shared" si="11"/>
        <v>73</v>
      </c>
      <c r="AC36" s="13">
        <f t="shared" si="11"/>
        <v>40</v>
      </c>
      <c r="AD36" s="13">
        <f t="shared" si="10"/>
        <v>1854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19"/>
      <c r="N37" s="76"/>
      <c r="O37" s="79"/>
      <c r="P37" s="79"/>
      <c r="Q37" s="79"/>
      <c r="R37" s="79"/>
      <c r="S37" s="79"/>
      <c r="T37" s="79"/>
      <c r="U37" s="79"/>
      <c r="V37" s="79"/>
      <c r="W37" s="79"/>
      <c r="X37" s="79"/>
      <c r="Y37" s="79"/>
      <c r="Z37" s="79"/>
      <c r="AA37" s="79"/>
      <c r="AB37" s="79"/>
      <c r="AC37" s="79"/>
      <c r="AD37" s="77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78"/>
      <c r="O38" s="78"/>
      <c r="P38" s="78"/>
      <c r="Q38" s="78"/>
      <c r="R38" s="78"/>
      <c r="S38" s="78"/>
      <c r="T38" s="78"/>
      <c r="U38" s="78"/>
      <c r="V38" s="78"/>
      <c r="W38" s="78"/>
      <c r="X38" s="78"/>
      <c r="Y38" s="78"/>
      <c r="Z38" s="78"/>
      <c r="AA38" s="78"/>
      <c r="AB38" s="78"/>
      <c r="AC38" s="78"/>
      <c r="AD38" s="77"/>
    </row>
    <row r="39" ht="12.75" customHeight="1">
      <c r="A39" s="30"/>
      <c r="B39" s="43" t="s">
        <v>33</v>
      </c>
      <c r="C39" s="23"/>
      <c r="D39" s="19" t="s">
        <v>12</v>
      </c>
      <c r="E39" s="19">
        <v>0.0</v>
      </c>
      <c r="F39" s="19">
        <v>0.0</v>
      </c>
      <c r="G39" s="19">
        <v>0.0</v>
      </c>
      <c r="H39" s="19">
        <v>0.0</v>
      </c>
      <c r="I39" s="19">
        <v>0.0</v>
      </c>
      <c r="J39" s="19">
        <v>0.0</v>
      </c>
      <c r="K39" s="19">
        <v>0.0</v>
      </c>
      <c r="L39" s="19">
        <v>1.0</v>
      </c>
      <c r="M39" s="19">
        <v>0.0</v>
      </c>
      <c r="N39" s="19">
        <v>0.0</v>
      </c>
      <c r="O39" s="19">
        <v>0.0</v>
      </c>
      <c r="P39" s="19">
        <v>0.0</v>
      </c>
      <c r="Q39" s="19">
        <v>0.0</v>
      </c>
      <c r="R39" s="19">
        <v>0.0</v>
      </c>
      <c r="S39" s="19">
        <v>0.0</v>
      </c>
      <c r="T39" s="19">
        <v>0.0</v>
      </c>
      <c r="U39" s="19">
        <v>0.0</v>
      </c>
      <c r="V39" s="19">
        <v>0.0</v>
      </c>
      <c r="W39" s="19">
        <v>0.0</v>
      </c>
      <c r="X39" s="19">
        <v>0.0</v>
      </c>
      <c r="Y39" s="19">
        <v>0.0</v>
      </c>
      <c r="Z39" s="19">
        <v>0.0</v>
      </c>
      <c r="AA39" s="19">
        <v>0.0</v>
      </c>
      <c r="AB39" s="19">
        <v>0.0</v>
      </c>
      <c r="AC39" s="19">
        <v>0.0</v>
      </c>
      <c r="AD39" s="13">
        <f t="shared" ref="AD39:AD41" si="12">SUM(E39:AC39)</f>
        <v>1</v>
      </c>
    </row>
    <row r="40" ht="12.75" customHeight="1">
      <c r="A40" s="33"/>
      <c r="C40" s="27"/>
      <c r="D40" s="19" t="s">
        <v>13</v>
      </c>
      <c r="E40" s="19">
        <v>0.0</v>
      </c>
      <c r="F40" s="19">
        <v>0.0</v>
      </c>
      <c r="G40" s="19">
        <v>0.0</v>
      </c>
      <c r="H40" s="19">
        <v>1.0</v>
      </c>
      <c r="I40" s="19">
        <v>0.0</v>
      </c>
      <c r="J40" s="19">
        <v>0.0</v>
      </c>
      <c r="K40" s="19">
        <v>0.0</v>
      </c>
      <c r="L40" s="19">
        <v>11.0</v>
      </c>
      <c r="M40" s="19">
        <v>0.0</v>
      </c>
      <c r="N40" s="19">
        <v>0.0</v>
      </c>
      <c r="O40" s="19">
        <v>0.0</v>
      </c>
      <c r="P40" s="19">
        <v>0.0</v>
      </c>
      <c r="Q40" s="19">
        <v>0.0</v>
      </c>
      <c r="R40" s="19">
        <v>0.0</v>
      </c>
      <c r="S40" s="19">
        <v>0.0</v>
      </c>
      <c r="T40" s="19">
        <v>0.0</v>
      </c>
      <c r="U40" s="19">
        <v>0.0</v>
      </c>
      <c r="V40" s="19">
        <v>0.0</v>
      </c>
      <c r="W40" s="19">
        <v>0.0</v>
      </c>
      <c r="X40" s="19">
        <v>0.0</v>
      </c>
      <c r="Y40" s="19">
        <v>0.0</v>
      </c>
      <c r="Z40" s="19">
        <v>0.0</v>
      </c>
      <c r="AA40" s="19">
        <v>2.0</v>
      </c>
      <c r="AB40" s="19">
        <v>0.0</v>
      </c>
      <c r="AC40" s="19">
        <v>0.0</v>
      </c>
      <c r="AD40" s="13">
        <f t="shared" si="12"/>
        <v>14</v>
      </c>
    </row>
    <row r="41" ht="12.75" customHeight="1">
      <c r="A41" s="41"/>
      <c r="B41" s="44"/>
      <c r="C41" s="28"/>
      <c r="D41" s="13" t="s">
        <v>14</v>
      </c>
      <c r="E41" s="13">
        <f t="shared" ref="E41:AC41" si="13">SUM(E39:E40)</f>
        <v>0</v>
      </c>
      <c r="F41" s="13">
        <f t="shared" si="13"/>
        <v>0</v>
      </c>
      <c r="G41" s="13">
        <f t="shared" si="13"/>
        <v>0</v>
      </c>
      <c r="H41" s="13">
        <f t="shared" si="13"/>
        <v>1</v>
      </c>
      <c r="I41" s="13">
        <f t="shared" si="13"/>
        <v>0</v>
      </c>
      <c r="J41" s="13">
        <f t="shared" si="13"/>
        <v>0</v>
      </c>
      <c r="K41" s="13">
        <f t="shared" si="13"/>
        <v>0</v>
      </c>
      <c r="L41" s="13">
        <f t="shared" si="13"/>
        <v>12</v>
      </c>
      <c r="M41" s="13">
        <f t="shared" si="13"/>
        <v>0</v>
      </c>
      <c r="N41" s="13">
        <f t="shared" si="13"/>
        <v>0</v>
      </c>
      <c r="O41" s="13">
        <f t="shared" si="13"/>
        <v>0</v>
      </c>
      <c r="P41" s="13">
        <f t="shared" si="13"/>
        <v>0</v>
      </c>
      <c r="Q41" s="13">
        <f t="shared" si="13"/>
        <v>0</v>
      </c>
      <c r="R41" s="13">
        <f t="shared" si="13"/>
        <v>0</v>
      </c>
      <c r="S41" s="13">
        <f t="shared" si="13"/>
        <v>0</v>
      </c>
      <c r="T41" s="13">
        <f t="shared" si="13"/>
        <v>0</v>
      </c>
      <c r="U41" s="13">
        <f t="shared" si="13"/>
        <v>0</v>
      </c>
      <c r="V41" s="13">
        <f t="shared" si="13"/>
        <v>0</v>
      </c>
      <c r="W41" s="13">
        <f t="shared" si="13"/>
        <v>0</v>
      </c>
      <c r="X41" s="13">
        <f t="shared" si="13"/>
        <v>0</v>
      </c>
      <c r="Y41" s="13">
        <f t="shared" si="13"/>
        <v>0</v>
      </c>
      <c r="Z41" s="13">
        <f t="shared" si="13"/>
        <v>0</v>
      </c>
      <c r="AA41" s="13">
        <f t="shared" si="13"/>
        <v>2</v>
      </c>
      <c r="AB41" s="13">
        <f t="shared" si="13"/>
        <v>0</v>
      </c>
      <c r="AC41" s="13">
        <f t="shared" si="13"/>
        <v>0</v>
      </c>
      <c r="AD41" s="13">
        <f t="shared" si="12"/>
        <v>15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9"/>
      <c r="N42" s="76"/>
      <c r="O42" s="19"/>
      <c r="P42" s="76"/>
      <c r="Q42" s="19"/>
      <c r="R42" s="76"/>
      <c r="S42" s="19"/>
      <c r="T42" s="76"/>
      <c r="U42" s="19"/>
      <c r="V42" s="76"/>
      <c r="W42" s="19"/>
      <c r="X42" s="76"/>
      <c r="Y42" s="76"/>
      <c r="Z42" s="19"/>
      <c r="AA42" s="76"/>
      <c r="AB42" s="19"/>
      <c r="AC42" s="76"/>
      <c r="AD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78"/>
      <c r="O43" s="13"/>
      <c r="P43" s="78"/>
      <c r="Q43" s="13"/>
      <c r="R43" s="78"/>
      <c r="S43" s="13"/>
      <c r="T43" s="78"/>
      <c r="U43" s="13"/>
      <c r="V43" s="78"/>
      <c r="W43" s="13"/>
      <c r="X43" s="78"/>
      <c r="Y43" s="78"/>
      <c r="Z43" s="13"/>
      <c r="AA43" s="78"/>
      <c r="AB43" s="13"/>
      <c r="AC43" s="78"/>
      <c r="AD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76"/>
      <c r="O44" s="19"/>
      <c r="P44" s="76"/>
      <c r="Q44" s="19"/>
      <c r="R44" s="76"/>
      <c r="S44" s="19"/>
      <c r="T44" s="76"/>
      <c r="U44" s="19"/>
      <c r="V44" s="76"/>
      <c r="W44" s="19"/>
      <c r="X44" s="76"/>
      <c r="Y44" s="76"/>
      <c r="Z44" s="19"/>
      <c r="AA44" s="76"/>
      <c r="AB44" s="19"/>
      <c r="AC44" s="76"/>
      <c r="AD44" s="13"/>
    </row>
    <row r="45" ht="12.75" customHeight="1">
      <c r="A45" s="30" t="s">
        <v>37</v>
      </c>
      <c r="B45" s="47" t="s">
        <v>17</v>
      </c>
      <c r="C45" s="48" t="s">
        <v>38</v>
      </c>
      <c r="D45" s="16"/>
      <c r="E45" s="19">
        <v>1.0</v>
      </c>
      <c r="F45" s="19">
        <v>4.0</v>
      </c>
      <c r="G45" s="19">
        <v>6.0</v>
      </c>
      <c r="H45" s="19">
        <v>16.0</v>
      </c>
      <c r="I45" s="19">
        <v>15.0</v>
      </c>
      <c r="J45" s="19">
        <v>8.0</v>
      </c>
      <c r="K45" s="19">
        <v>5.0</v>
      </c>
      <c r="L45" s="19">
        <v>10.0</v>
      </c>
      <c r="M45" s="19">
        <v>4.0</v>
      </c>
      <c r="N45" s="19">
        <v>5.0</v>
      </c>
      <c r="O45" s="19">
        <v>2.0</v>
      </c>
      <c r="P45" s="19">
        <v>3.0</v>
      </c>
      <c r="Q45" s="19">
        <v>9.0</v>
      </c>
      <c r="R45" s="19">
        <v>4.0</v>
      </c>
      <c r="S45" s="19">
        <v>0.0</v>
      </c>
      <c r="T45" s="19">
        <v>4.0</v>
      </c>
      <c r="U45" s="19">
        <v>3.0</v>
      </c>
      <c r="V45" s="19">
        <v>3.0</v>
      </c>
      <c r="W45" s="19">
        <v>9.0</v>
      </c>
      <c r="X45" s="19">
        <v>7.0</v>
      </c>
      <c r="Y45" s="19">
        <v>10.0</v>
      </c>
      <c r="Z45" s="19">
        <v>8.0</v>
      </c>
      <c r="AA45" s="19">
        <v>7.0</v>
      </c>
      <c r="AB45" s="19">
        <v>4.0</v>
      </c>
      <c r="AC45" s="19">
        <v>5.0</v>
      </c>
      <c r="AD45" s="13">
        <f t="shared" ref="AD45:AD54" si="14">SUM(E45:AC45)</f>
        <v>152</v>
      </c>
    </row>
    <row r="46" ht="12.75" customHeight="1">
      <c r="A46" s="30" t="s">
        <v>39</v>
      </c>
      <c r="B46" s="49">
        <v>1.0</v>
      </c>
      <c r="C46" s="50" t="s">
        <v>40</v>
      </c>
      <c r="D46" s="16"/>
      <c r="E46" s="19">
        <v>8.0</v>
      </c>
      <c r="F46" s="19">
        <v>8.0</v>
      </c>
      <c r="G46" s="19">
        <v>9.0</v>
      </c>
      <c r="H46" s="19">
        <v>7.0</v>
      </c>
      <c r="I46" s="19">
        <v>10.0</v>
      </c>
      <c r="J46" s="19">
        <v>5.0</v>
      </c>
      <c r="K46" s="19">
        <v>6.0</v>
      </c>
      <c r="L46" s="19">
        <v>4.0</v>
      </c>
      <c r="M46" s="19">
        <v>11.0</v>
      </c>
      <c r="N46" s="19">
        <v>10.0</v>
      </c>
      <c r="O46" s="19">
        <v>11.0</v>
      </c>
      <c r="P46" s="19">
        <v>9.0</v>
      </c>
      <c r="Q46" s="19">
        <v>4.0</v>
      </c>
      <c r="R46" s="19">
        <v>7.0</v>
      </c>
      <c r="S46" s="19">
        <v>2.0</v>
      </c>
      <c r="T46" s="19">
        <v>1.0</v>
      </c>
      <c r="U46" s="19">
        <v>7.0</v>
      </c>
      <c r="V46" s="19">
        <v>4.0</v>
      </c>
      <c r="W46" s="19">
        <v>9.0</v>
      </c>
      <c r="X46" s="19">
        <v>20.0</v>
      </c>
      <c r="Y46" s="19">
        <v>12.0</v>
      </c>
      <c r="Z46" s="19">
        <v>19.0</v>
      </c>
      <c r="AA46" s="19">
        <v>25.0</v>
      </c>
      <c r="AB46" s="19">
        <v>10.0</v>
      </c>
      <c r="AC46" s="19">
        <v>6.0</v>
      </c>
      <c r="AD46" s="13">
        <f t="shared" si="14"/>
        <v>224</v>
      </c>
    </row>
    <row r="47" ht="12.75" customHeight="1">
      <c r="A47" s="18"/>
      <c r="B47" s="55">
        <v>2.0</v>
      </c>
      <c r="C47" s="50" t="s">
        <v>41</v>
      </c>
      <c r="D47" s="16"/>
      <c r="E47" s="19">
        <v>3.0</v>
      </c>
      <c r="F47" s="19">
        <v>8.0</v>
      </c>
      <c r="G47" s="19">
        <v>10.0</v>
      </c>
      <c r="H47" s="19">
        <v>11.0</v>
      </c>
      <c r="I47" s="19">
        <v>12.0</v>
      </c>
      <c r="J47" s="19">
        <v>10.0</v>
      </c>
      <c r="K47" s="19">
        <v>8.0</v>
      </c>
      <c r="L47" s="19">
        <v>10.0</v>
      </c>
      <c r="M47" s="19">
        <v>8.0</v>
      </c>
      <c r="N47" s="19">
        <v>5.0</v>
      </c>
      <c r="O47" s="19">
        <v>3.0</v>
      </c>
      <c r="P47" s="19">
        <v>10.0</v>
      </c>
      <c r="Q47" s="19">
        <v>4.0</v>
      </c>
      <c r="R47" s="19">
        <v>1.0</v>
      </c>
      <c r="S47" s="19">
        <v>2.0</v>
      </c>
      <c r="T47" s="19">
        <v>2.0</v>
      </c>
      <c r="U47" s="19">
        <v>2.0</v>
      </c>
      <c r="V47" s="19">
        <v>2.0</v>
      </c>
      <c r="W47" s="19">
        <v>4.0</v>
      </c>
      <c r="X47" s="19">
        <v>13.0</v>
      </c>
      <c r="Y47" s="19">
        <v>11.0</v>
      </c>
      <c r="Z47" s="19">
        <v>22.0</v>
      </c>
      <c r="AA47" s="19">
        <v>9.0</v>
      </c>
      <c r="AB47" s="19">
        <v>8.0</v>
      </c>
      <c r="AC47" s="19">
        <v>3.0</v>
      </c>
      <c r="AD47" s="13">
        <f t="shared" si="14"/>
        <v>181</v>
      </c>
    </row>
    <row r="48" ht="12.75" customHeight="1">
      <c r="A48" s="18"/>
      <c r="B48" s="55">
        <v>3.0</v>
      </c>
      <c r="C48" s="50" t="s">
        <v>42</v>
      </c>
      <c r="D48" s="16"/>
      <c r="E48" s="19">
        <v>1.0</v>
      </c>
      <c r="F48" s="19">
        <v>0.0</v>
      </c>
      <c r="G48" s="19">
        <v>2.0</v>
      </c>
      <c r="H48" s="19">
        <v>1.0</v>
      </c>
      <c r="I48" s="19">
        <v>0.0</v>
      </c>
      <c r="J48" s="19">
        <v>2.0</v>
      </c>
      <c r="K48" s="19">
        <v>1.0</v>
      </c>
      <c r="L48" s="19">
        <v>6.0</v>
      </c>
      <c r="M48" s="19">
        <v>4.0</v>
      </c>
      <c r="N48" s="19">
        <v>5.0</v>
      </c>
      <c r="O48" s="19">
        <v>0.0</v>
      </c>
      <c r="P48" s="19">
        <v>0.0</v>
      </c>
      <c r="Q48" s="19">
        <v>1.0</v>
      </c>
      <c r="R48" s="19">
        <v>1.0</v>
      </c>
      <c r="S48" s="19">
        <v>1.0</v>
      </c>
      <c r="T48" s="19">
        <v>0.0</v>
      </c>
      <c r="U48" s="19">
        <v>1.0</v>
      </c>
      <c r="V48" s="19">
        <v>1.0</v>
      </c>
      <c r="W48" s="19">
        <v>0.0</v>
      </c>
      <c r="X48" s="19">
        <v>2.0</v>
      </c>
      <c r="Y48" s="19">
        <v>2.0</v>
      </c>
      <c r="Z48" s="19">
        <v>1.0</v>
      </c>
      <c r="AA48" s="19">
        <v>0.0</v>
      </c>
      <c r="AB48" s="19">
        <v>0.0</v>
      </c>
      <c r="AC48" s="19">
        <v>0.0</v>
      </c>
      <c r="AD48" s="13">
        <f t="shared" si="14"/>
        <v>32</v>
      </c>
    </row>
    <row r="49" ht="12.75" customHeight="1">
      <c r="A49" s="18"/>
      <c r="B49" s="55">
        <v>4.0</v>
      </c>
      <c r="C49" s="50" t="s">
        <v>43</v>
      </c>
      <c r="D49" s="16"/>
      <c r="E49" s="19">
        <v>1.0</v>
      </c>
      <c r="F49" s="19">
        <v>1.0</v>
      </c>
      <c r="G49" s="19">
        <v>0.0</v>
      </c>
      <c r="H49" s="19">
        <v>0.0</v>
      </c>
      <c r="I49" s="19">
        <v>1.0</v>
      </c>
      <c r="J49" s="19">
        <v>0.0</v>
      </c>
      <c r="K49" s="19">
        <v>2.0</v>
      </c>
      <c r="L49" s="19">
        <v>0.0</v>
      </c>
      <c r="M49" s="19">
        <v>3.0</v>
      </c>
      <c r="N49" s="19">
        <v>1.0</v>
      </c>
      <c r="O49" s="19">
        <v>2.0</v>
      </c>
      <c r="P49" s="19">
        <v>0.0</v>
      </c>
      <c r="Q49" s="19">
        <v>2.0</v>
      </c>
      <c r="R49" s="19">
        <v>1.0</v>
      </c>
      <c r="S49" s="19">
        <v>1.0</v>
      </c>
      <c r="T49" s="19">
        <v>0.0</v>
      </c>
      <c r="U49" s="19">
        <v>1.0</v>
      </c>
      <c r="V49" s="19">
        <v>1.0</v>
      </c>
      <c r="W49" s="19">
        <v>1.0</v>
      </c>
      <c r="X49" s="19">
        <v>2.0</v>
      </c>
      <c r="Y49" s="19">
        <v>0.0</v>
      </c>
      <c r="Z49" s="19">
        <v>2.0</v>
      </c>
      <c r="AA49" s="19">
        <v>1.0</v>
      </c>
      <c r="AB49" s="19">
        <v>0.0</v>
      </c>
      <c r="AC49" s="19">
        <v>1.0</v>
      </c>
      <c r="AD49" s="13">
        <f t="shared" si="14"/>
        <v>24</v>
      </c>
    </row>
    <row r="50" ht="12.75" customHeight="1">
      <c r="A50" s="18"/>
      <c r="B50" s="55">
        <v>5.0</v>
      </c>
      <c r="C50" s="50" t="s">
        <v>44</v>
      </c>
      <c r="D50" s="16"/>
      <c r="E50" s="19">
        <v>0.0</v>
      </c>
      <c r="F50" s="19">
        <v>0.0</v>
      </c>
      <c r="G50" s="19">
        <v>0.0</v>
      </c>
      <c r="H50" s="19">
        <v>1.0</v>
      </c>
      <c r="I50" s="19">
        <v>0.0</v>
      </c>
      <c r="J50" s="19">
        <v>0.0</v>
      </c>
      <c r="K50" s="19">
        <v>0.0</v>
      </c>
      <c r="L50" s="19">
        <v>0.0</v>
      </c>
      <c r="M50" s="19">
        <v>0.0</v>
      </c>
      <c r="N50" s="19">
        <v>1.0</v>
      </c>
      <c r="O50" s="19">
        <v>0.0</v>
      </c>
      <c r="P50" s="19">
        <v>1.0</v>
      </c>
      <c r="Q50" s="19">
        <v>0.0</v>
      </c>
      <c r="R50" s="19">
        <v>0.0</v>
      </c>
      <c r="S50" s="19">
        <v>0.0</v>
      </c>
      <c r="T50" s="19">
        <v>0.0</v>
      </c>
      <c r="U50" s="19">
        <v>0.0</v>
      </c>
      <c r="V50" s="19">
        <v>2.0</v>
      </c>
      <c r="W50" s="19">
        <v>0.0</v>
      </c>
      <c r="X50" s="19">
        <v>1.0</v>
      </c>
      <c r="Y50" s="19">
        <v>0.0</v>
      </c>
      <c r="Z50" s="19">
        <v>0.0</v>
      </c>
      <c r="AA50" s="19">
        <v>0.0</v>
      </c>
      <c r="AB50" s="19">
        <v>0.0</v>
      </c>
      <c r="AC50" s="19">
        <v>0.0</v>
      </c>
      <c r="AD50" s="13">
        <f t="shared" si="14"/>
        <v>6</v>
      </c>
    </row>
    <row r="51" ht="12.75" customHeight="1">
      <c r="A51" s="18"/>
      <c r="B51" s="55">
        <v>6.0</v>
      </c>
      <c r="C51" s="50" t="s">
        <v>45</v>
      </c>
      <c r="D51" s="16"/>
      <c r="E51" s="19">
        <v>0.0</v>
      </c>
      <c r="F51" s="19">
        <v>1.0</v>
      </c>
      <c r="G51" s="19">
        <v>0.0</v>
      </c>
      <c r="H51" s="19">
        <v>0.0</v>
      </c>
      <c r="I51" s="19">
        <v>0.0</v>
      </c>
      <c r="J51" s="19">
        <v>0.0</v>
      </c>
      <c r="K51" s="19">
        <v>0.0</v>
      </c>
      <c r="L51" s="19">
        <v>0.0</v>
      </c>
      <c r="M51" s="19">
        <v>0.0</v>
      </c>
      <c r="N51" s="19">
        <v>0.0</v>
      </c>
      <c r="O51" s="19">
        <v>0.0</v>
      </c>
      <c r="P51" s="19">
        <v>1.0</v>
      </c>
      <c r="Q51" s="19">
        <v>0.0</v>
      </c>
      <c r="R51" s="19">
        <v>1.0</v>
      </c>
      <c r="S51" s="19">
        <v>0.0</v>
      </c>
      <c r="T51" s="19">
        <v>0.0</v>
      </c>
      <c r="U51" s="19">
        <v>0.0</v>
      </c>
      <c r="V51" s="19">
        <v>0.0</v>
      </c>
      <c r="W51" s="19">
        <v>0.0</v>
      </c>
      <c r="X51" s="19">
        <v>0.0</v>
      </c>
      <c r="Y51" s="19">
        <v>0.0</v>
      </c>
      <c r="Z51" s="19">
        <v>0.0</v>
      </c>
      <c r="AA51" s="19">
        <v>0.0</v>
      </c>
      <c r="AB51" s="19">
        <v>0.0</v>
      </c>
      <c r="AC51" s="19">
        <v>0.0</v>
      </c>
      <c r="AD51" s="13">
        <f t="shared" si="14"/>
        <v>3</v>
      </c>
    </row>
    <row r="52" ht="12.75" customHeight="1">
      <c r="A52" s="18"/>
      <c r="B52" s="55">
        <v>7.0</v>
      </c>
      <c r="C52" s="50" t="s">
        <v>46</v>
      </c>
      <c r="D52" s="16"/>
      <c r="E52" s="19">
        <v>0.0</v>
      </c>
      <c r="F52" s="19">
        <v>0.0</v>
      </c>
      <c r="G52" s="19">
        <v>0.0</v>
      </c>
      <c r="H52" s="19">
        <v>0.0</v>
      </c>
      <c r="I52" s="19">
        <v>0.0</v>
      </c>
      <c r="J52" s="19">
        <v>0.0</v>
      </c>
      <c r="K52" s="19">
        <v>0.0</v>
      </c>
      <c r="L52" s="19">
        <v>0.0</v>
      </c>
      <c r="M52" s="19">
        <v>0.0</v>
      </c>
      <c r="N52" s="19">
        <v>0.0</v>
      </c>
      <c r="O52" s="19">
        <v>0.0</v>
      </c>
      <c r="P52" s="19">
        <v>1.0</v>
      </c>
      <c r="Q52" s="19">
        <v>0.0</v>
      </c>
      <c r="R52" s="19">
        <v>1.0</v>
      </c>
      <c r="S52" s="19">
        <v>0.0</v>
      </c>
      <c r="T52" s="19">
        <v>0.0</v>
      </c>
      <c r="U52" s="19">
        <v>0.0</v>
      </c>
      <c r="V52" s="19">
        <v>0.0</v>
      </c>
      <c r="W52" s="19">
        <v>0.0</v>
      </c>
      <c r="X52" s="19">
        <v>0.0</v>
      </c>
      <c r="Y52" s="19">
        <v>0.0</v>
      </c>
      <c r="Z52" s="19">
        <v>0.0</v>
      </c>
      <c r="AA52" s="19">
        <v>0.0</v>
      </c>
      <c r="AB52" s="19">
        <v>0.0</v>
      </c>
      <c r="AC52" s="19">
        <v>0.0</v>
      </c>
      <c r="AD52" s="13">
        <f t="shared" si="14"/>
        <v>2</v>
      </c>
    </row>
    <row r="53" ht="12.75" customHeight="1">
      <c r="A53" s="18"/>
      <c r="B53" s="56"/>
      <c r="C53" s="57"/>
      <c r="D53" s="57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3">
        <f t="shared" si="14"/>
        <v>0</v>
      </c>
    </row>
    <row r="54" ht="12.75" customHeight="1">
      <c r="A54" s="18"/>
      <c r="B54" s="56"/>
      <c r="C54" s="57"/>
      <c r="D54" s="57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3">
        <f t="shared" si="14"/>
        <v>0</v>
      </c>
    </row>
    <row r="55" ht="12.75" customHeight="1">
      <c r="A55" s="19" t="s">
        <v>15</v>
      </c>
      <c r="B55" s="47" t="s">
        <v>47</v>
      </c>
      <c r="C55" s="15"/>
      <c r="D55" s="16"/>
      <c r="E55" s="13">
        <f t="shared" ref="E55:AD55" si="15">SUM(E45:E54)</f>
        <v>14</v>
      </c>
      <c r="F55" s="13">
        <f t="shared" si="15"/>
        <v>22</v>
      </c>
      <c r="G55" s="13">
        <f t="shared" si="15"/>
        <v>27</v>
      </c>
      <c r="H55" s="13">
        <f t="shared" si="15"/>
        <v>36</v>
      </c>
      <c r="I55" s="13">
        <f t="shared" si="15"/>
        <v>38</v>
      </c>
      <c r="J55" s="13">
        <f t="shared" si="15"/>
        <v>25</v>
      </c>
      <c r="K55" s="13">
        <f t="shared" si="15"/>
        <v>22</v>
      </c>
      <c r="L55" s="13">
        <f t="shared" si="15"/>
        <v>30</v>
      </c>
      <c r="M55" s="13">
        <f t="shared" si="15"/>
        <v>30</v>
      </c>
      <c r="N55" s="13">
        <f t="shared" si="15"/>
        <v>27</v>
      </c>
      <c r="O55" s="13">
        <f t="shared" si="15"/>
        <v>18</v>
      </c>
      <c r="P55" s="13">
        <f t="shared" si="15"/>
        <v>25</v>
      </c>
      <c r="Q55" s="13">
        <f t="shared" si="15"/>
        <v>20</v>
      </c>
      <c r="R55" s="13">
        <f t="shared" si="15"/>
        <v>16</v>
      </c>
      <c r="S55" s="13">
        <f t="shared" si="15"/>
        <v>6</v>
      </c>
      <c r="T55" s="13">
        <f t="shared" si="15"/>
        <v>7</v>
      </c>
      <c r="U55" s="13">
        <f t="shared" si="15"/>
        <v>14</v>
      </c>
      <c r="V55" s="13">
        <f t="shared" si="15"/>
        <v>13</v>
      </c>
      <c r="W55" s="13">
        <f t="shared" si="15"/>
        <v>23</v>
      </c>
      <c r="X55" s="13">
        <f t="shared" si="15"/>
        <v>45</v>
      </c>
      <c r="Y55" s="13">
        <f t="shared" si="15"/>
        <v>35</v>
      </c>
      <c r="Z55" s="13">
        <f t="shared" si="15"/>
        <v>52</v>
      </c>
      <c r="AA55" s="13">
        <f t="shared" si="15"/>
        <v>42</v>
      </c>
      <c r="AB55" s="13">
        <f t="shared" si="15"/>
        <v>22</v>
      </c>
      <c r="AC55" s="13">
        <f t="shared" si="15"/>
        <v>15</v>
      </c>
      <c r="AD55" s="13">
        <f t="shared" si="15"/>
        <v>624</v>
      </c>
    </row>
    <row r="56" ht="12.75" customHeight="1">
      <c r="A56" s="45"/>
      <c r="B56" s="44"/>
      <c r="C56" s="44"/>
      <c r="D56" s="44"/>
      <c r="E56" s="44"/>
      <c r="AD56" s="13"/>
    </row>
    <row r="57" ht="12.75" customHeight="1">
      <c r="A57" s="30" t="s">
        <v>37</v>
      </c>
      <c r="B57" s="47" t="s">
        <v>19</v>
      </c>
      <c r="C57" s="48" t="s">
        <v>48</v>
      </c>
      <c r="D57" s="16"/>
      <c r="E57" s="19">
        <v>14.0</v>
      </c>
      <c r="F57" s="19">
        <v>10.0</v>
      </c>
      <c r="G57" s="19">
        <v>18.0</v>
      </c>
      <c r="H57" s="19">
        <v>14.0</v>
      </c>
      <c r="I57" s="19">
        <v>10.0</v>
      </c>
      <c r="J57" s="19">
        <v>9.0</v>
      </c>
      <c r="K57" s="19">
        <v>24.0</v>
      </c>
      <c r="L57" s="19">
        <v>8.0</v>
      </c>
      <c r="M57" s="19">
        <v>13.0</v>
      </c>
      <c r="N57" s="19">
        <v>14.0</v>
      </c>
      <c r="O57" s="19">
        <v>10.0</v>
      </c>
      <c r="P57" s="19">
        <v>19.0</v>
      </c>
      <c r="Q57" s="19">
        <v>17.0</v>
      </c>
      <c r="R57" s="19">
        <v>10.0</v>
      </c>
      <c r="S57" s="19">
        <v>13.0</v>
      </c>
      <c r="T57" s="19">
        <v>11.0</v>
      </c>
      <c r="U57" s="19">
        <v>13.0</v>
      </c>
      <c r="V57" s="19">
        <v>12.0</v>
      </c>
      <c r="W57" s="19">
        <v>23.0</v>
      </c>
      <c r="X57" s="19">
        <v>10.0</v>
      </c>
      <c r="Y57" s="19">
        <v>5.0</v>
      </c>
      <c r="Z57" s="19">
        <v>3.0</v>
      </c>
      <c r="AA57" s="19">
        <v>12.0</v>
      </c>
      <c r="AB57" s="19">
        <v>10.0</v>
      </c>
      <c r="AC57" s="19">
        <v>15.0</v>
      </c>
      <c r="AD57" s="13">
        <f t="shared" ref="AD57:AD66" si="16">SUM(E57:AC57)</f>
        <v>317</v>
      </c>
    </row>
    <row r="58" ht="12.75" customHeight="1">
      <c r="A58" s="30" t="s">
        <v>39</v>
      </c>
      <c r="B58" s="55">
        <v>1.0</v>
      </c>
      <c r="C58" s="50" t="s">
        <v>49</v>
      </c>
      <c r="D58" s="59"/>
      <c r="E58" s="19">
        <v>150.0</v>
      </c>
      <c r="F58" s="19">
        <v>88.0</v>
      </c>
      <c r="G58" s="19">
        <v>68.0</v>
      </c>
      <c r="H58" s="19">
        <v>53.0</v>
      </c>
      <c r="I58" s="19">
        <v>61.0</v>
      </c>
      <c r="J58" s="19">
        <v>61.0</v>
      </c>
      <c r="K58" s="19">
        <v>57.0</v>
      </c>
      <c r="L58" s="19">
        <v>75.0</v>
      </c>
      <c r="M58" s="19">
        <v>53.0</v>
      </c>
      <c r="N58" s="19">
        <v>45.0</v>
      </c>
      <c r="O58" s="19">
        <v>67.0</v>
      </c>
      <c r="P58" s="19">
        <v>62.0</v>
      </c>
      <c r="Q58" s="19">
        <v>71.0</v>
      </c>
      <c r="R58" s="19">
        <v>56.0</v>
      </c>
      <c r="S58" s="19">
        <v>74.0</v>
      </c>
      <c r="T58" s="19">
        <v>64.0</v>
      </c>
      <c r="U58" s="19">
        <v>46.0</v>
      </c>
      <c r="V58" s="19">
        <v>58.0</v>
      </c>
      <c r="W58" s="19">
        <v>58.0</v>
      </c>
      <c r="X58" s="19">
        <v>63.0</v>
      </c>
      <c r="Y58" s="19">
        <v>41.0</v>
      </c>
      <c r="Z58" s="19">
        <v>27.0</v>
      </c>
      <c r="AA58" s="19">
        <v>39.0</v>
      </c>
      <c r="AB58" s="19">
        <v>58.0</v>
      </c>
      <c r="AC58" s="19">
        <v>69.0</v>
      </c>
      <c r="AD58" s="13">
        <f t="shared" si="16"/>
        <v>1564</v>
      </c>
    </row>
    <row r="59" ht="12.75" customHeight="1">
      <c r="A59" s="18"/>
      <c r="B59" s="55">
        <v>2.0</v>
      </c>
      <c r="C59" s="50" t="s">
        <v>50</v>
      </c>
      <c r="D59" s="59"/>
      <c r="E59" s="19">
        <v>4.0</v>
      </c>
      <c r="F59" s="19">
        <v>6.0</v>
      </c>
      <c r="G59" s="19">
        <v>3.0</v>
      </c>
      <c r="H59" s="19">
        <v>1.0</v>
      </c>
      <c r="I59" s="19">
        <v>4.0</v>
      </c>
      <c r="J59" s="19">
        <v>0.0</v>
      </c>
      <c r="K59" s="19">
        <v>4.0</v>
      </c>
      <c r="L59" s="19">
        <v>9.0</v>
      </c>
      <c r="M59" s="19">
        <v>2.0</v>
      </c>
      <c r="N59" s="19">
        <v>3.0</v>
      </c>
      <c r="O59" s="19">
        <v>2.0</v>
      </c>
      <c r="P59" s="19">
        <v>2.0</v>
      </c>
      <c r="Q59" s="19">
        <v>2.0</v>
      </c>
      <c r="R59" s="19">
        <v>1.0</v>
      </c>
      <c r="S59" s="19">
        <v>1.0</v>
      </c>
      <c r="T59" s="19">
        <v>1.0</v>
      </c>
      <c r="U59" s="19">
        <v>0.0</v>
      </c>
      <c r="V59" s="19">
        <v>4.0</v>
      </c>
      <c r="W59" s="19">
        <v>1.0</v>
      </c>
      <c r="X59" s="19">
        <v>1.0</v>
      </c>
      <c r="Y59" s="19">
        <v>0.0</v>
      </c>
      <c r="Z59" s="19">
        <v>2.0</v>
      </c>
      <c r="AA59" s="19">
        <v>1.0</v>
      </c>
      <c r="AB59" s="19">
        <v>2.0</v>
      </c>
      <c r="AC59" s="19">
        <v>3.0</v>
      </c>
      <c r="AD59" s="13">
        <f t="shared" si="16"/>
        <v>59</v>
      </c>
    </row>
    <row r="60" ht="12.75" customHeight="1">
      <c r="A60" s="18"/>
      <c r="B60" s="55">
        <v>3.0</v>
      </c>
      <c r="C60" s="50" t="s">
        <v>51</v>
      </c>
      <c r="D60" s="59"/>
      <c r="E60" s="19">
        <v>0.0</v>
      </c>
      <c r="F60" s="19">
        <v>1.0</v>
      </c>
      <c r="G60" s="19">
        <v>1.0</v>
      </c>
      <c r="H60" s="19">
        <v>0.0</v>
      </c>
      <c r="I60" s="19">
        <v>2.0</v>
      </c>
      <c r="J60" s="19">
        <v>0.0</v>
      </c>
      <c r="K60" s="19">
        <v>0.0</v>
      </c>
      <c r="L60" s="19">
        <v>1.0</v>
      </c>
      <c r="M60" s="19">
        <v>2.0</v>
      </c>
      <c r="N60" s="19">
        <v>0.0</v>
      </c>
      <c r="O60" s="19">
        <v>1.0</v>
      </c>
      <c r="P60" s="19">
        <v>0.0</v>
      </c>
      <c r="Q60" s="19">
        <v>1.0</v>
      </c>
      <c r="R60" s="19">
        <v>0.0</v>
      </c>
      <c r="S60" s="19">
        <v>1.0</v>
      </c>
      <c r="T60" s="19">
        <v>1.0</v>
      </c>
      <c r="U60" s="19">
        <v>2.0</v>
      </c>
      <c r="V60" s="19">
        <v>0.0</v>
      </c>
      <c r="W60" s="19">
        <v>0.0</v>
      </c>
      <c r="X60" s="19">
        <v>2.0</v>
      </c>
      <c r="Y60" s="19">
        <v>0.0</v>
      </c>
      <c r="Z60" s="19">
        <v>1.0</v>
      </c>
      <c r="AA60" s="19">
        <v>2.0</v>
      </c>
      <c r="AB60" s="19">
        <v>0.0</v>
      </c>
      <c r="AC60" s="19">
        <v>0.0</v>
      </c>
      <c r="AD60" s="13">
        <f t="shared" si="16"/>
        <v>18</v>
      </c>
    </row>
    <row r="61" ht="12.75" customHeight="1">
      <c r="A61" s="18"/>
      <c r="B61" s="55">
        <v>4.0</v>
      </c>
      <c r="C61" s="50" t="s">
        <v>52</v>
      </c>
      <c r="D61" s="59"/>
      <c r="E61" s="19">
        <v>0.0</v>
      </c>
      <c r="F61" s="19">
        <v>0.0</v>
      </c>
      <c r="G61" s="19">
        <v>1.0</v>
      </c>
      <c r="H61" s="19">
        <v>1.0</v>
      </c>
      <c r="I61" s="19">
        <v>0.0</v>
      </c>
      <c r="J61" s="19">
        <v>1.0</v>
      </c>
      <c r="K61" s="19">
        <v>0.0</v>
      </c>
      <c r="L61" s="19">
        <v>1.0</v>
      </c>
      <c r="M61" s="19">
        <v>1.0</v>
      </c>
      <c r="N61" s="19">
        <v>0.0</v>
      </c>
      <c r="O61" s="19">
        <v>1.0</v>
      </c>
      <c r="P61" s="19">
        <v>1.0</v>
      </c>
      <c r="Q61" s="19">
        <v>2.0</v>
      </c>
      <c r="R61" s="19">
        <v>1.0</v>
      </c>
      <c r="S61" s="19">
        <v>0.0</v>
      </c>
      <c r="T61" s="19">
        <v>0.0</v>
      </c>
      <c r="U61" s="19">
        <v>1.0</v>
      </c>
      <c r="V61" s="19">
        <v>2.0</v>
      </c>
      <c r="W61" s="19">
        <v>0.0</v>
      </c>
      <c r="X61" s="19">
        <v>0.0</v>
      </c>
      <c r="Y61" s="19">
        <v>0.0</v>
      </c>
      <c r="Z61" s="19">
        <v>1.0</v>
      </c>
      <c r="AA61" s="19">
        <v>1.0</v>
      </c>
      <c r="AB61" s="19">
        <v>1.0</v>
      </c>
      <c r="AC61" s="19">
        <v>1.0</v>
      </c>
      <c r="AD61" s="13">
        <f t="shared" si="16"/>
        <v>17</v>
      </c>
    </row>
    <row r="62" ht="12.75" customHeight="1">
      <c r="A62" s="18"/>
      <c r="B62" s="55">
        <v>5.0</v>
      </c>
      <c r="C62" s="50" t="s">
        <v>53</v>
      </c>
      <c r="D62" s="59"/>
      <c r="E62" s="19">
        <v>0.0</v>
      </c>
      <c r="F62" s="19">
        <v>1.0</v>
      </c>
      <c r="G62" s="19">
        <v>0.0</v>
      </c>
      <c r="H62" s="19">
        <v>0.0</v>
      </c>
      <c r="I62" s="19">
        <v>0.0</v>
      </c>
      <c r="J62" s="19">
        <v>0.0</v>
      </c>
      <c r="K62" s="19">
        <v>0.0</v>
      </c>
      <c r="L62" s="19">
        <v>1.0</v>
      </c>
      <c r="M62" s="19">
        <v>0.0</v>
      </c>
      <c r="N62" s="19">
        <v>0.0</v>
      </c>
      <c r="O62" s="19">
        <v>0.0</v>
      </c>
      <c r="P62" s="19">
        <v>1.0</v>
      </c>
      <c r="Q62" s="19">
        <v>0.0</v>
      </c>
      <c r="R62" s="19">
        <v>0.0</v>
      </c>
      <c r="S62" s="19">
        <v>0.0</v>
      </c>
      <c r="T62" s="19">
        <v>0.0</v>
      </c>
      <c r="U62" s="19">
        <v>2.0</v>
      </c>
      <c r="V62" s="19">
        <v>0.0</v>
      </c>
      <c r="W62" s="19">
        <v>0.0</v>
      </c>
      <c r="X62" s="19">
        <v>0.0</v>
      </c>
      <c r="Y62" s="19">
        <v>0.0</v>
      </c>
      <c r="Z62" s="19">
        <v>0.0</v>
      </c>
      <c r="AA62" s="19">
        <v>0.0</v>
      </c>
      <c r="AB62" s="19">
        <v>0.0</v>
      </c>
      <c r="AC62" s="19">
        <v>0.0</v>
      </c>
      <c r="AD62" s="13">
        <f t="shared" si="16"/>
        <v>5</v>
      </c>
    </row>
    <row r="63" ht="12.75" customHeight="1">
      <c r="A63" s="18"/>
      <c r="B63" s="55">
        <v>6.0</v>
      </c>
      <c r="C63" s="50" t="s">
        <v>54</v>
      </c>
      <c r="D63" s="60"/>
      <c r="E63" s="19">
        <v>3.0</v>
      </c>
      <c r="F63" s="19">
        <v>0.0</v>
      </c>
      <c r="G63" s="19">
        <v>0.0</v>
      </c>
      <c r="H63" s="19">
        <v>0.0</v>
      </c>
      <c r="I63" s="19">
        <v>0.0</v>
      </c>
      <c r="J63" s="19">
        <v>0.0</v>
      </c>
      <c r="K63" s="19">
        <v>0.0</v>
      </c>
      <c r="L63" s="19">
        <v>0.0</v>
      </c>
      <c r="M63" s="19">
        <v>1.0</v>
      </c>
      <c r="N63" s="19">
        <v>0.0</v>
      </c>
      <c r="O63" s="19">
        <v>0.0</v>
      </c>
      <c r="P63" s="19">
        <v>0.0</v>
      </c>
      <c r="Q63" s="19">
        <v>0.0</v>
      </c>
      <c r="R63" s="19">
        <v>0.0</v>
      </c>
      <c r="S63" s="19">
        <v>0.0</v>
      </c>
      <c r="T63" s="19">
        <v>0.0</v>
      </c>
      <c r="U63" s="19">
        <v>0.0</v>
      </c>
      <c r="V63" s="19">
        <v>1.0</v>
      </c>
      <c r="W63" s="19">
        <v>1.0</v>
      </c>
      <c r="X63" s="19">
        <v>0.0</v>
      </c>
      <c r="Y63" s="19">
        <v>2.0</v>
      </c>
      <c r="Z63" s="19">
        <v>0.0</v>
      </c>
      <c r="AA63" s="19">
        <v>1.0</v>
      </c>
      <c r="AB63" s="19">
        <v>0.0</v>
      </c>
      <c r="AC63" s="19">
        <v>0.0</v>
      </c>
      <c r="AD63" s="13">
        <f t="shared" si="16"/>
        <v>9</v>
      </c>
    </row>
    <row r="64" ht="12.75" customHeight="1">
      <c r="A64" s="18"/>
      <c r="B64" s="55">
        <v>7.0</v>
      </c>
      <c r="C64" s="50" t="s">
        <v>55</v>
      </c>
      <c r="D64" s="59"/>
      <c r="E64" s="19">
        <v>1.0</v>
      </c>
      <c r="F64" s="19">
        <v>0.0</v>
      </c>
      <c r="G64" s="19">
        <v>0.0</v>
      </c>
      <c r="H64" s="19">
        <v>0.0</v>
      </c>
      <c r="I64" s="19">
        <v>0.0</v>
      </c>
      <c r="J64" s="19">
        <v>0.0</v>
      </c>
      <c r="K64" s="19">
        <v>0.0</v>
      </c>
      <c r="L64" s="19">
        <v>0.0</v>
      </c>
      <c r="M64" s="19">
        <v>0.0</v>
      </c>
      <c r="N64" s="19">
        <v>0.0</v>
      </c>
      <c r="O64" s="19">
        <v>0.0</v>
      </c>
      <c r="P64" s="19">
        <v>0.0</v>
      </c>
      <c r="Q64" s="19">
        <v>0.0</v>
      </c>
      <c r="R64" s="19">
        <v>0.0</v>
      </c>
      <c r="S64" s="19">
        <v>0.0</v>
      </c>
      <c r="T64" s="19">
        <v>1.0</v>
      </c>
      <c r="U64" s="19">
        <v>0.0</v>
      </c>
      <c r="V64" s="19">
        <v>0.0</v>
      </c>
      <c r="W64" s="19">
        <v>0.0</v>
      </c>
      <c r="X64" s="19">
        <v>0.0</v>
      </c>
      <c r="Y64" s="19">
        <v>0.0</v>
      </c>
      <c r="Z64" s="19">
        <v>0.0</v>
      </c>
      <c r="AA64" s="19">
        <v>0.0</v>
      </c>
      <c r="AB64" s="19">
        <v>0.0</v>
      </c>
      <c r="AC64" s="19">
        <v>0.0</v>
      </c>
      <c r="AD64" s="13">
        <f t="shared" si="16"/>
        <v>2</v>
      </c>
    </row>
    <row r="65" ht="12.75" customHeight="1">
      <c r="A65" s="18"/>
      <c r="B65" s="56"/>
      <c r="C65" s="57"/>
      <c r="D65" s="61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3">
        <f t="shared" si="16"/>
        <v>0</v>
      </c>
    </row>
    <row r="66" ht="12.75" customHeight="1">
      <c r="A66" s="18"/>
      <c r="B66" s="56"/>
      <c r="C66" s="57"/>
      <c r="D66" s="61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3">
        <f t="shared" si="16"/>
        <v>0</v>
      </c>
    </row>
    <row r="67" ht="12.75" customHeight="1">
      <c r="A67" s="19" t="s">
        <v>15</v>
      </c>
      <c r="B67" s="47" t="s">
        <v>47</v>
      </c>
      <c r="C67" s="15"/>
      <c r="D67" s="16"/>
      <c r="E67" s="13">
        <f t="shared" ref="E67:AD67" si="17">SUM(E57:E66)</f>
        <v>172</v>
      </c>
      <c r="F67" s="13">
        <f t="shared" si="17"/>
        <v>106</v>
      </c>
      <c r="G67" s="13">
        <f t="shared" si="17"/>
        <v>91</v>
      </c>
      <c r="H67" s="13">
        <f t="shared" si="17"/>
        <v>69</v>
      </c>
      <c r="I67" s="13">
        <f t="shared" si="17"/>
        <v>77</v>
      </c>
      <c r="J67" s="13">
        <f t="shared" si="17"/>
        <v>71</v>
      </c>
      <c r="K67" s="13">
        <f t="shared" si="17"/>
        <v>85</v>
      </c>
      <c r="L67" s="13">
        <f t="shared" si="17"/>
        <v>95</v>
      </c>
      <c r="M67" s="13">
        <f t="shared" si="17"/>
        <v>72</v>
      </c>
      <c r="N67" s="13">
        <f t="shared" si="17"/>
        <v>62</v>
      </c>
      <c r="O67" s="13">
        <f t="shared" si="17"/>
        <v>81</v>
      </c>
      <c r="P67" s="13">
        <f t="shared" si="17"/>
        <v>85</v>
      </c>
      <c r="Q67" s="13">
        <f t="shared" si="17"/>
        <v>93</v>
      </c>
      <c r="R67" s="13">
        <f t="shared" si="17"/>
        <v>68</v>
      </c>
      <c r="S67" s="13">
        <f t="shared" si="17"/>
        <v>89</v>
      </c>
      <c r="T67" s="13">
        <f t="shared" si="17"/>
        <v>78</v>
      </c>
      <c r="U67" s="13">
        <f t="shared" si="17"/>
        <v>64</v>
      </c>
      <c r="V67" s="13">
        <f t="shared" si="17"/>
        <v>77</v>
      </c>
      <c r="W67" s="13">
        <f t="shared" si="17"/>
        <v>83</v>
      </c>
      <c r="X67" s="13">
        <f t="shared" si="17"/>
        <v>76</v>
      </c>
      <c r="Y67" s="13">
        <f t="shared" si="17"/>
        <v>48</v>
      </c>
      <c r="Z67" s="13">
        <f t="shared" si="17"/>
        <v>34</v>
      </c>
      <c r="AA67" s="13">
        <f t="shared" si="17"/>
        <v>56</v>
      </c>
      <c r="AB67" s="13">
        <f t="shared" si="17"/>
        <v>71</v>
      </c>
      <c r="AC67" s="13">
        <f t="shared" si="17"/>
        <v>88</v>
      </c>
      <c r="AD67" s="13">
        <f t="shared" si="17"/>
        <v>1991</v>
      </c>
    </row>
    <row r="68" ht="12.75" customHeight="1">
      <c r="A68" s="45"/>
      <c r="B68" s="44"/>
      <c r="C68" s="44"/>
      <c r="D68" s="44"/>
      <c r="E68" s="44"/>
    </row>
    <row r="69" ht="12.75" customHeight="1">
      <c r="A69" s="30" t="s">
        <v>37</v>
      </c>
      <c r="B69" s="47" t="s">
        <v>21</v>
      </c>
      <c r="C69" s="48" t="s">
        <v>56</v>
      </c>
      <c r="D69" s="16"/>
      <c r="E69" s="19">
        <v>6.0</v>
      </c>
      <c r="F69" s="19">
        <v>3.0</v>
      </c>
      <c r="G69" s="19">
        <v>8.0</v>
      </c>
      <c r="H69" s="19">
        <v>6.0</v>
      </c>
      <c r="I69" s="19">
        <v>8.0</v>
      </c>
      <c r="J69" s="19">
        <v>3.0</v>
      </c>
      <c r="K69" s="19">
        <v>7.0</v>
      </c>
      <c r="L69" s="19">
        <v>2.0</v>
      </c>
      <c r="M69" s="19">
        <v>7.0</v>
      </c>
      <c r="N69" s="19">
        <v>4.0</v>
      </c>
      <c r="O69" s="19">
        <v>6.0</v>
      </c>
      <c r="P69" s="19">
        <v>9.0</v>
      </c>
      <c r="Q69" s="19">
        <v>6.0</v>
      </c>
      <c r="R69" s="19">
        <v>9.0</v>
      </c>
      <c r="S69" s="19">
        <v>4.0</v>
      </c>
      <c r="T69" s="19">
        <v>6.0</v>
      </c>
      <c r="U69" s="19">
        <v>10.0</v>
      </c>
      <c r="V69" s="19">
        <v>18.0</v>
      </c>
      <c r="W69" s="19">
        <v>13.0</v>
      </c>
      <c r="X69" s="19">
        <v>3.0</v>
      </c>
      <c r="Y69" s="19">
        <v>3.0</v>
      </c>
      <c r="Z69" s="19">
        <v>2.0</v>
      </c>
      <c r="AA69" s="19">
        <v>7.0</v>
      </c>
      <c r="AB69" s="19">
        <v>2.0</v>
      </c>
      <c r="AC69" s="19">
        <v>2.0</v>
      </c>
      <c r="AD69" s="13">
        <f t="shared" ref="AD69:AD78" si="18">SUM(E69:AC69)</f>
        <v>154</v>
      </c>
    </row>
    <row r="70" ht="12.75" customHeight="1">
      <c r="A70" s="30" t="s">
        <v>39</v>
      </c>
      <c r="B70" s="55">
        <v>1.0</v>
      </c>
      <c r="C70" s="50" t="s">
        <v>57</v>
      </c>
      <c r="D70" s="60"/>
      <c r="E70" s="19">
        <v>7.0</v>
      </c>
      <c r="F70" s="19">
        <v>7.0</v>
      </c>
      <c r="G70" s="19">
        <v>5.0</v>
      </c>
      <c r="H70" s="19">
        <v>1.0</v>
      </c>
      <c r="I70" s="19">
        <v>5.0</v>
      </c>
      <c r="J70" s="19">
        <v>6.0</v>
      </c>
      <c r="K70" s="19">
        <v>2.0</v>
      </c>
      <c r="L70" s="19">
        <v>7.0</v>
      </c>
      <c r="M70" s="19">
        <v>18.0</v>
      </c>
      <c r="N70" s="19">
        <v>14.0</v>
      </c>
      <c r="O70" s="19">
        <v>2.0</v>
      </c>
      <c r="P70" s="19">
        <v>19.0</v>
      </c>
      <c r="Q70" s="19">
        <v>3.0</v>
      </c>
      <c r="R70" s="19">
        <v>10.0</v>
      </c>
      <c r="S70" s="19">
        <v>7.0</v>
      </c>
      <c r="T70" s="19">
        <v>6.0</v>
      </c>
      <c r="U70" s="19">
        <v>1.0</v>
      </c>
      <c r="V70" s="19">
        <v>4.0</v>
      </c>
      <c r="W70" s="19">
        <v>7.0</v>
      </c>
      <c r="X70" s="19">
        <v>1.0</v>
      </c>
      <c r="Y70" s="19">
        <v>2.0</v>
      </c>
      <c r="Z70" s="19">
        <v>2.0</v>
      </c>
      <c r="AA70" s="19">
        <v>5.0</v>
      </c>
      <c r="AB70" s="19">
        <v>2.0</v>
      </c>
      <c r="AC70" s="19">
        <v>3.0</v>
      </c>
      <c r="AD70" s="13">
        <f t="shared" si="18"/>
        <v>146</v>
      </c>
    </row>
    <row r="71" ht="12.75" customHeight="1">
      <c r="A71" s="18"/>
      <c r="B71" s="55">
        <v>2.0</v>
      </c>
      <c r="C71" s="50" t="s">
        <v>58</v>
      </c>
      <c r="D71" s="60"/>
      <c r="E71" s="19">
        <v>1.0</v>
      </c>
      <c r="F71" s="19">
        <v>2.0</v>
      </c>
      <c r="G71" s="19">
        <v>0.0</v>
      </c>
      <c r="H71" s="19">
        <v>0.0</v>
      </c>
      <c r="I71" s="19">
        <v>1.0</v>
      </c>
      <c r="J71" s="19">
        <v>2.0</v>
      </c>
      <c r="K71" s="19">
        <v>0.0</v>
      </c>
      <c r="L71" s="19">
        <v>3.0</v>
      </c>
      <c r="M71" s="19">
        <v>2.0</v>
      </c>
      <c r="N71" s="19">
        <v>2.0</v>
      </c>
      <c r="O71" s="19">
        <v>2.0</v>
      </c>
      <c r="P71" s="19">
        <v>2.0</v>
      </c>
      <c r="Q71" s="19">
        <v>0.0</v>
      </c>
      <c r="R71" s="19">
        <v>4.0</v>
      </c>
      <c r="S71" s="19">
        <v>8.0</v>
      </c>
      <c r="T71" s="19">
        <v>3.0</v>
      </c>
      <c r="U71" s="19">
        <v>6.0</v>
      </c>
      <c r="V71" s="19">
        <v>8.0</v>
      </c>
      <c r="W71" s="19">
        <v>2.0</v>
      </c>
      <c r="X71" s="19">
        <v>0.0</v>
      </c>
      <c r="Y71" s="19">
        <v>2.0</v>
      </c>
      <c r="Z71" s="19">
        <v>1.0</v>
      </c>
      <c r="AA71" s="19">
        <v>4.0</v>
      </c>
      <c r="AB71" s="19">
        <v>5.0</v>
      </c>
      <c r="AC71" s="19">
        <v>2.0</v>
      </c>
      <c r="AD71" s="13">
        <f t="shared" si="18"/>
        <v>62</v>
      </c>
    </row>
    <row r="72" ht="12.75" customHeight="1">
      <c r="A72" s="18"/>
      <c r="B72" s="55">
        <v>3.0</v>
      </c>
      <c r="C72" s="50" t="s">
        <v>59</v>
      </c>
      <c r="D72" s="60"/>
      <c r="E72" s="19">
        <v>0.0</v>
      </c>
      <c r="F72" s="19">
        <v>1.0</v>
      </c>
      <c r="G72" s="19">
        <v>2.0</v>
      </c>
      <c r="H72" s="19">
        <v>0.0</v>
      </c>
      <c r="I72" s="19">
        <v>5.0</v>
      </c>
      <c r="J72" s="19">
        <v>2.0</v>
      </c>
      <c r="K72" s="19">
        <v>0.0</v>
      </c>
      <c r="L72" s="19">
        <v>3.0</v>
      </c>
      <c r="M72" s="19">
        <v>1.0</v>
      </c>
      <c r="N72" s="19">
        <v>0.0</v>
      </c>
      <c r="O72" s="19">
        <v>1.0</v>
      </c>
      <c r="P72" s="19">
        <v>1.0</v>
      </c>
      <c r="Q72" s="19">
        <v>0.0</v>
      </c>
      <c r="R72" s="19">
        <v>3.0</v>
      </c>
      <c r="S72" s="19">
        <v>1.0</v>
      </c>
      <c r="T72" s="19">
        <v>1.0</v>
      </c>
      <c r="U72" s="19">
        <v>0.0</v>
      </c>
      <c r="V72" s="19">
        <v>4.0</v>
      </c>
      <c r="W72" s="19">
        <v>0.0</v>
      </c>
      <c r="X72" s="19">
        <v>5.0</v>
      </c>
      <c r="Y72" s="19">
        <v>4.0</v>
      </c>
      <c r="Z72" s="19">
        <v>1.0</v>
      </c>
      <c r="AA72" s="19">
        <v>9.0</v>
      </c>
      <c r="AB72" s="19">
        <v>0.0</v>
      </c>
      <c r="AC72" s="19">
        <v>5.0</v>
      </c>
      <c r="AD72" s="13">
        <f t="shared" si="18"/>
        <v>49</v>
      </c>
    </row>
    <row r="73" ht="12.75" customHeight="1">
      <c r="A73" s="18"/>
      <c r="B73" s="55">
        <v>4.0</v>
      </c>
      <c r="C73" s="50" t="s">
        <v>60</v>
      </c>
      <c r="D73" s="60"/>
      <c r="E73" s="19">
        <v>0.0</v>
      </c>
      <c r="F73" s="19">
        <v>1.0</v>
      </c>
      <c r="G73" s="19">
        <v>0.0</v>
      </c>
      <c r="H73" s="19">
        <v>0.0</v>
      </c>
      <c r="I73" s="19">
        <v>0.0</v>
      </c>
      <c r="J73" s="19">
        <v>0.0</v>
      </c>
      <c r="K73" s="19">
        <v>0.0</v>
      </c>
      <c r="L73" s="19">
        <v>3.0</v>
      </c>
      <c r="M73" s="19">
        <v>0.0</v>
      </c>
      <c r="N73" s="19">
        <v>0.0</v>
      </c>
      <c r="O73" s="19">
        <v>0.0</v>
      </c>
      <c r="P73" s="19">
        <v>1.0</v>
      </c>
      <c r="Q73" s="19">
        <v>1.0</v>
      </c>
      <c r="R73" s="19">
        <v>0.0</v>
      </c>
      <c r="S73" s="19">
        <v>0.0</v>
      </c>
      <c r="T73" s="19">
        <v>1.0</v>
      </c>
      <c r="U73" s="19">
        <v>0.0</v>
      </c>
      <c r="V73" s="19">
        <v>0.0</v>
      </c>
      <c r="W73" s="19">
        <v>2.0</v>
      </c>
      <c r="X73" s="19">
        <v>0.0</v>
      </c>
      <c r="Y73" s="19">
        <v>1.0</v>
      </c>
      <c r="Z73" s="19">
        <v>1.0</v>
      </c>
      <c r="AA73" s="19">
        <v>2.0</v>
      </c>
      <c r="AB73" s="19">
        <v>0.0</v>
      </c>
      <c r="AC73" s="19">
        <v>0.0</v>
      </c>
      <c r="AD73" s="13">
        <f t="shared" si="18"/>
        <v>13</v>
      </c>
    </row>
    <row r="74" ht="12.75" customHeight="1">
      <c r="A74" s="18"/>
      <c r="B74" s="55">
        <v>5.0</v>
      </c>
      <c r="C74" s="50" t="s">
        <v>61</v>
      </c>
      <c r="D74" s="60"/>
      <c r="E74" s="19">
        <v>1.0</v>
      </c>
      <c r="F74" s="19">
        <v>0.0</v>
      </c>
      <c r="G74" s="19">
        <v>1.0</v>
      </c>
      <c r="H74" s="19">
        <v>1.0</v>
      </c>
      <c r="I74" s="19">
        <v>0.0</v>
      </c>
      <c r="J74" s="19">
        <v>3.0</v>
      </c>
      <c r="K74" s="19">
        <v>0.0</v>
      </c>
      <c r="L74" s="19">
        <v>1.0</v>
      </c>
      <c r="M74" s="19">
        <v>0.0</v>
      </c>
      <c r="N74" s="19">
        <v>0.0</v>
      </c>
      <c r="O74" s="19">
        <v>1.0</v>
      </c>
      <c r="P74" s="19">
        <v>0.0</v>
      </c>
      <c r="Q74" s="19">
        <v>3.0</v>
      </c>
      <c r="R74" s="19">
        <v>5.0</v>
      </c>
      <c r="S74" s="19">
        <v>1.0</v>
      </c>
      <c r="T74" s="19">
        <v>2.0</v>
      </c>
      <c r="U74" s="19">
        <v>3.0</v>
      </c>
      <c r="V74" s="19">
        <v>2.0</v>
      </c>
      <c r="W74" s="19">
        <v>2.0</v>
      </c>
      <c r="X74" s="19">
        <v>5.0</v>
      </c>
      <c r="Y74" s="19">
        <v>1.0</v>
      </c>
      <c r="Z74" s="19">
        <v>0.0</v>
      </c>
      <c r="AA74" s="19">
        <v>0.0</v>
      </c>
      <c r="AB74" s="19">
        <v>0.0</v>
      </c>
      <c r="AC74" s="19">
        <v>0.0</v>
      </c>
      <c r="AD74" s="13">
        <f t="shared" si="18"/>
        <v>32</v>
      </c>
    </row>
    <row r="75" ht="12.75" customHeight="1">
      <c r="A75" s="18"/>
      <c r="B75" s="55">
        <v>6.0</v>
      </c>
      <c r="C75" s="50" t="s">
        <v>62</v>
      </c>
      <c r="D75" s="60"/>
      <c r="E75" s="19">
        <v>0.0</v>
      </c>
      <c r="F75" s="19">
        <v>1.0</v>
      </c>
      <c r="G75" s="19">
        <v>0.0</v>
      </c>
      <c r="H75" s="19">
        <v>0.0</v>
      </c>
      <c r="I75" s="19">
        <v>0.0</v>
      </c>
      <c r="J75" s="19">
        <v>0.0</v>
      </c>
      <c r="K75" s="19">
        <v>2.0</v>
      </c>
      <c r="L75" s="19">
        <v>1.0</v>
      </c>
      <c r="M75" s="19">
        <v>1.0</v>
      </c>
      <c r="N75" s="19">
        <v>0.0</v>
      </c>
      <c r="O75" s="19">
        <v>1.0</v>
      </c>
      <c r="P75" s="19">
        <v>1.0</v>
      </c>
      <c r="Q75" s="19">
        <v>1.0</v>
      </c>
      <c r="R75" s="19">
        <v>0.0</v>
      </c>
      <c r="S75" s="19">
        <v>0.0</v>
      </c>
      <c r="T75" s="19">
        <v>0.0</v>
      </c>
      <c r="U75" s="19">
        <v>0.0</v>
      </c>
      <c r="V75" s="19">
        <v>1.0</v>
      </c>
      <c r="W75" s="19">
        <v>1.0</v>
      </c>
      <c r="X75" s="19">
        <v>0.0</v>
      </c>
      <c r="Y75" s="19">
        <v>0.0</v>
      </c>
      <c r="Z75" s="19">
        <v>0.0</v>
      </c>
      <c r="AA75" s="19">
        <v>2.0</v>
      </c>
      <c r="AB75" s="19">
        <v>0.0</v>
      </c>
      <c r="AC75" s="19">
        <v>0.0</v>
      </c>
      <c r="AD75" s="13">
        <f t="shared" si="18"/>
        <v>12</v>
      </c>
    </row>
    <row r="76" ht="12.75" customHeight="1">
      <c r="A76" s="18"/>
      <c r="B76" s="55">
        <v>7.0</v>
      </c>
      <c r="C76" s="50" t="s">
        <v>63</v>
      </c>
      <c r="D76" s="60"/>
      <c r="E76" s="19">
        <v>5.0</v>
      </c>
      <c r="F76" s="19">
        <v>11.0</v>
      </c>
      <c r="G76" s="19">
        <v>2.0</v>
      </c>
      <c r="H76" s="19">
        <v>1.0</v>
      </c>
      <c r="I76" s="19">
        <v>11.0</v>
      </c>
      <c r="J76" s="19">
        <v>12.0</v>
      </c>
      <c r="K76" s="19">
        <v>6.0</v>
      </c>
      <c r="L76" s="19">
        <v>4.0</v>
      </c>
      <c r="M76" s="19">
        <v>0.0</v>
      </c>
      <c r="N76" s="19">
        <v>3.0</v>
      </c>
      <c r="O76" s="19">
        <v>6.0</v>
      </c>
      <c r="P76" s="19">
        <v>3.0</v>
      </c>
      <c r="Q76" s="19">
        <v>8.0</v>
      </c>
      <c r="R76" s="19">
        <v>1.0</v>
      </c>
      <c r="S76" s="19">
        <v>5.0</v>
      </c>
      <c r="T76" s="19">
        <v>16.0</v>
      </c>
      <c r="U76" s="19">
        <v>7.0</v>
      </c>
      <c r="V76" s="19">
        <v>6.0</v>
      </c>
      <c r="W76" s="19">
        <v>12.0</v>
      </c>
      <c r="X76" s="19">
        <v>1.0</v>
      </c>
      <c r="Y76" s="19">
        <v>4.0</v>
      </c>
      <c r="Z76" s="19">
        <v>2.0</v>
      </c>
      <c r="AA76" s="19">
        <v>11.0</v>
      </c>
      <c r="AB76" s="19">
        <v>6.0</v>
      </c>
      <c r="AC76" s="19">
        <v>4.0</v>
      </c>
      <c r="AD76" s="13">
        <f t="shared" si="18"/>
        <v>147</v>
      </c>
    </row>
    <row r="77" ht="12.75" customHeight="1">
      <c r="A77" s="18"/>
      <c r="B77" s="56"/>
      <c r="C77" s="57"/>
      <c r="D77" s="62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3">
        <f t="shared" si="18"/>
        <v>0</v>
      </c>
    </row>
    <row r="78" ht="12.75" customHeight="1">
      <c r="A78" s="18"/>
      <c r="B78" s="56"/>
      <c r="C78" s="57"/>
      <c r="D78" s="62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3">
        <f t="shared" si="18"/>
        <v>0</v>
      </c>
    </row>
    <row r="79" ht="12.75" customHeight="1">
      <c r="A79" s="19" t="s">
        <v>15</v>
      </c>
      <c r="B79" s="47" t="s">
        <v>47</v>
      </c>
      <c r="C79" s="15"/>
      <c r="D79" s="16"/>
      <c r="E79" s="13">
        <f t="shared" ref="E79:AD79" si="19">SUM(E69:E78)</f>
        <v>20</v>
      </c>
      <c r="F79" s="13">
        <f t="shared" si="19"/>
        <v>26</v>
      </c>
      <c r="G79" s="13">
        <f t="shared" si="19"/>
        <v>18</v>
      </c>
      <c r="H79" s="13">
        <f t="shared" si="19"/>
        <v>9</v>
      </c>
      <c r="I79" s="13">
        <f t="shared" si="19"/>
        <v>30</v>
      </c>
      <c r="J79" s="13">
        <f t="shared" si="19"/>
        <v>28</v>
      </c>
      <c r="K79" s="13">
        <f t="shared" si="19"/>
        <v>17</v>
      </c>
      <c r="L79" s="13">
        <f t="shared" si="19"/>
        <v>24</v>
      </c>
      <c r="M79" s="13">
        <f t="shared" si="19"/>
        <v>29</v>
      </c>
      <c r="N79" s="13">
        <f t="shared" si="19"/>
        <v>23</v>
      </c>
      <c r="O79" s="13">
        <f t="shared" si="19"/>
        <v>19</v>
      </c>
      <c r="P79" s="13">
        <f t="shared" si="19"/>
        <v>36</v>
      </c>
      <c r="Q79" s="13">
        <f t="shared" si="19"/>
        <v>22</v>
      </c>
      <c r="R79" s="13">
        <f t="shared" si="19"/>
        <v>32</v>
      </c>
      <c r="S79" s="13">
        <f t="shared" si="19"/>
        <v>26</v>
      </c>
      <c r="T79" s="13">
        <f t="shared" si="19"/>
        <v>35</v>
      </c>
      <c r="U79" s="13">
        <f t="shared" si="19"/>
        <v>27</v>
      </c>
      <c r="V79" s="13">
        <f t="shared" si="19"/>
        <v>43</v>
      </c>
      <c r="W79" s="13">
        <f t="shared" si="19"/>
        <v>39</v>
      </c>
      <c r="X79" s="13">
        <f t="shared" si="19"/>
        <v>15</v>
      </c>
      <c r="Y79" s="13">
        <f t="shared" si="19"/>
        <v>17</v>
      </c>
      <c r="Z79" s="13">
        <f t="shared" si="19"/>
        <v>9</v>
      </c>
      <c r="AA79" s="13">
        <f t="shared" si="19"/>
        <v>40</v>
      </c>
      <c r="AB79" s="13">
        <f t="shared" si="19"/>
        <v>15</v>
      </c>
      <c r="AC79" s="13">
        <f t="shared" si="19"/>
        <v>16</v>
      </c>
      <c r="AD79" s="13">
        <f t="shared" si="19"/>
        <v>615</v>
      </c>
    </row>
    <row r="80" ht="12.75" customHeight="1">
      <c r="A80" s="45"/>
      <c r="B80" s="44"/>
      <c r="C80" s="44"/>
      <c r="D80" s="44"/>
      <c r="E80" s="44"/>
    </row>
    <row r="81" ht="12.75" customHeight="1">
      <c r="A81" s="30" t="s">
        <v>37</v>
      </c>
      <c r="B81" s="47" t="s">
        <v>23</v>
      </c>
      <c r="C81" s="48" t="s">
        <v>64</v>
      </c>
      <c r="D81" s="16"/>
      <c r="E81" s="19">
        <v>0.0</v>
      </c>
      <c r="F81" s="19">
        <v>1.0</v>
      </c>
      <c r="G81" s="19">
        <v>6.0</v>
      </c>
      <c r="H81" s="19">
        <v>0.0</v>
      </c>
      <c r="I81" s="19">
        <v>4.0</v>
      </c>
      <c r="J81" s="19">
        <v>2.0</v>
      </c>
      <c r="K81" s="19">
        <v>3.0</v>
      </c>
      <c r="L81" s="19">
        <v>2.0</v>
      </c>
      <c r="M81" s="19">
        <v>0.0</v>
      </c>
      <c r="N81" s="19">
        <v>5.0</v>
      </c>
      <c r="O81" s="19">
        <v>5.0</v>
      </c>
      <c r="P81" s="19">
        <v>4.0</v>
      </c>
      <c r="Q81" s="19">
        <v>1.0</v>
      </c>
      <c r="R81" s="19">
        <v>6.0</v>
      </c>
      <c r="S81" s="19">
        <v>1.0</v>
      </c>
      <c r="T81" s="19">
        <v>7.0</v>
      </c>
      <c r="U81" s="19">
        <v>4.0</v>
      </c>
      <c r="V81" s="19">
        <v>3.0</v>
      </c>
      <c r="W81" s="19">
        <v>1.0</v>
      </c>
      <c r="X81" s="19">
        <v>2.0</v>
      </c>
      <c r="Y81" s="19">
        <v>3.0</v>
      </c>
      <c r="Z81" s="19">
        <v>1.0</v>
      </c>
      <c r="AA81" s="19">
        <v>3.0</v>
      </c>
      <c r="AB81" s="19">
        <v>6.0</v>
      </c>
      <c r="AC81" s="19">
        <v>1.0</v>
      </c>
      <c r="AD81" s="13">
        <f t="shared" ref="AD81:AD90" si="20">SUM(E81:AC81)</f>
        <v>71</v>
      </c>
    </row>
    <row r="82" ht="12.75" customHeight="1">
      <c r="A82" s="30" t="s">
        <v>39</v>
      </c>
      <c r="B82" s="55">
        <v>1.0</v>
      </c>
      <c r="C82" s="50" t="s">
        <v>65</v>
      </c>
      <c r="D82" s="60"/>
      <c r="E82" s="19">
        <v>2.0</v>
      </c>
      <c r="F82" s="19">
        <v>5.0</v>
      </c>
      <c r="G82" s="19">
        <v>14.0</v>
      </c>
      <c r="H82" s="19">
        <v>31.0</v>
      </c>
      <c r="I82" s="19">
        <v>21.0</v>
      </c>
      <c r="J82" s="19">
        <v>16.0</v>
      </c>
      <c r="K82" s="19">
        <v>15.0</v>
      </c>
      <c r="L82" s="19">
        <v>25.0</v>
      </c>
      <c r="M82" s="19">
        <v>10.0</v>
      </c>
      <c r="N82" s="19">
        <v>20.0</v>
      </c>
      <c r="O82" s="19">
        <v>4.0</v>
      </c>
      <c r="P82" s="19">
        <v>8.0</v>
      </c>
      <c r="Q82" s="19">
        <v>3.0</v>
      </c>
      <c r="R82" s="19">
        <v>20.0</v>
      </c>
      <c r="S82" s="19">
        <v>8.0</v>
      </c>
      <c r="T82" s="19">
        <v>28.0</v>
      </c>
      <c r="U82" s="19">
        <v>11.0</v>
      </c>
      <c r="V82" s="19">
        <v>3.0</v>
      </c>
      <c r="W82" s="19">
        <v>5.0</v>
      </c>
      <c r="X82" s="19">
        <v>26.0</v>
      </c>
      <c r="Y82" s="19">
        <v>34.0</v>
      </c>
      <c r="Z82" s="19">
        <v>18.0</v>
      </c>
      <c r="AA82" s="19">
        <v>6.0</v>
      </c>
      <c r="AB82" s="19">
        <v>14.0</v>
      </c>
      <c r="AC82" s="19">
        <v>10.0</v>
      </c>
      <c r="AD82" s="13">
        <f t="shared" si="20"/>
        <v>357</v>
      </c>
    </row>
    <row r="83" ht="12.75" customHeight="1">
      <c r="A83" s="18"/>
      <c r="B83" s="55">
        <v>2.0</v>
      </c>
      <c r="C83" s="50" t="s">
        <v>66</v>
      </c>
      <c r="D83" s="60"/>
      <c r="E83" s="19">
        <v>0.0</v>
      </c>
      <c r="F83" s="19">
        <v>1.0</v>
      </c>
      <c r="G83" s="19">
        <v>2.0</v>
      </c>
      <c r="H83" s="19">
        <v>1.0</v>
      </c>
      <c r="I83" s="19">
        <v>9.0</v>
      </c>
      <c r="J83" s="19">
        <v>0.0</v>
      </c>
      <c r="K83" s="19">
        <v>0.0</v>
      </c>
      <c r="L83" s="19">
        <v>1.0</v>
      </c>
      <c r="M83" s="19">
        <v>2.0</v>
      </c>
      <c r="N83" s="19">
        <v>1.0</v>
      </c>
      <c r="O83" s="19">
        <v>3.0</v>
      </c>
      <c r="P83" s="19">
        <v>2.0</v>
      </c>
      <c r="Q83" s="19">
        <v>0.0</v>
      </c>
      <c r="R83" s="19">
        <v>1.0</v>
      </c>
      <c r="S83" s="19">
        <v>2.0</v>
      </c>
      <c r="T83" s="19">
        <v>0.0</v>
      </c>
      <c r="U83" s="19">
        <v>1.0</v>
      </c>
      <c r="V83" s="19">
        <v>0.0</v>
      </c>
      <c r="W83" s="19">
        <v>0.0</v>
      </c>
      <c r="X83" s="19">
        <v>9.0</v>
      </c>
      <c r="Y83" s="19">
        <v>2.0</v>
      </c>
      <c r="Z83" s="19">
        <v>1.0</v>
      </c>
      <c r="AA83" s="19">
        <v>1.0</v>
      </c>
      <c r="AB83" s="19">
        <v>5.0</v>
      </c>
      <c r="AC83" s="19">
        <v>1.0</v>
      </c>
      <c r="AD83" s="13">
        <f t="shared" si="20"/>
        <v>45</v>
      </c>
    </row>
    <row r="84" ht="12.75" customHeight="1">
      <c r="A84" s="18"/>
      <c r="B84" s="55">
        <v>3.0</v>
      </c>
      <c r="C84" s="50" t="s">
        <v>67</v>
      </c>
      <c r="D84" s="60"/>
      <c r="E84" s="19">
        <v>0.0</v>
      </c>
      <c r="F84" s="19">
        <v>0.0</v>
      </c>
      <c r="G84" s="19">
        <v>1.0</v>
      </c>
      <c r="H84" s="19">
        <v>0.0</v>
      </c>
      <c r="I84" s="19">
        <v>1.0</v>
      </c>
      <c r="J84" s="19">
        <v>0.0</v>
      </c>
      <c r="K84" s="19">
        <v>0.0</v>
      </c>
      <c r="L84" s="19">
        <v>0.0</v>
      </c>
      <c r="M84" s="19">
        <v>0.0</v>
      </c>
      <c r="N84" s="19">
        <v>0.0</v>
      </c>
      <c r="O84" s="19">
        <v>1.0</v>
      </c>
      <c r="P84" s="19">
        <v>1.0</v>
      </c>
      <c r="Q84" s="19">
        <v>1.0</v>
      </c>
      <c r="R84" s="19">
        <v>0.0</v>
      </c>
      <c r="S84" s="19">
        <v>2.0</v>
      </c>
      <c r="T84" s="19">
        <v>1.0</v>
      </c>
      <c r="U84" s="19">
        <v>0.0</v>
      </c>
      <c r="V84" s="19">
        <v>0.0</v>
      </c>
      <c r="W84" s="19">
        <v>0.0</v>
      </c>
      <c r="X84" s="19">
        <v>0.0</v>
      </c>
      <c r="Y84" s="19">
        <v>1.0</v>
      </c>
      <c r="Z84" s="19">
        <v>0.0</v>
      </c>
      <c r="AA84" s="19">
        <v>0.0</v>
      </c>
      <c r="AB84" s="19">
        <v>0.0</v>
      </c>
      <c r="AC84" s="19">
        <v>0.0</v>
      </c>
      <c r="AD84" s="13">
        <f t="shared" si="20"/>
        <v>9</v>
      </c>
    </row>
    <row r="85" ht="12.75" customHeight="1">
      <c r="A85" s="18"/>
      <c r="B85" s="55">
        <v>4.0</v>
      </c>
      <c r="C85" s="50" t="s">
        <v>68</v>
      </c>
      <c r="D85" s="60"/>
      <c r="E85" s="19">
        <v>0.0</v>
      </c>
      <c r="F85" s="19">
        <v>0.0</v>
      </c>
      <c r="G85" s="19">
        <v>0.0</v>
      </c>
      <c r="H85" s="19">
        <v>1.0</v>
      </c>
      <c r="I85" s="19">
        <v>1.0</v>
      </c>
      <c r="J85" s="19">
        <v>0.0</v>
      </c>
      <c r="K85" s="19">
        <v>0.0</v>
      </c>
      <c r="L85" s="19">
        <v>1.0</v>
      </c>
      <c r="M85" s="19">
        <v>1.0</v>
      </c>
      <c r="N85" s="19">
        <v>0.0</v>
      </c>
      <c r="O85" s="19">
        <v>0.0</v>
      </c>
      <c r="P85" s="19">
        <v>1.0</v>
      </c>
      <c r="Q85" s="19">
        <v>0.0</v>
      </c>
      <c r="R85" s="19">
        <v>1.0</v>
      </c>
      <c r="S85" s="19">
        <v>0.0</v>
      </c>
      <c r="T85" s="19">
        <v>0.0</v>
      </c>
      <c r="U85" s="19">
        <v>0.0</v>
      </c>
      <c r="V85" s="19">
        <v>0.0</v>
      </c>
      <c r="W85" s="19">
        <v>1.0</v>
      </c>
      <c r="X85" s="19">
        <v>0.0</v>
      </c>
      <c r="Y85" s="19">
        <v>0.0</v>
      </c>
      <c r="Z85" s="19">
        <v>1.0</v>
      </c>
      <c r="AA85" s="19">
        <v>0.0</v>
      </c>
      <c r="AB85" s="19">
        <v>0.0</v>
      </c>
      <c r="AC85" s="19">
        <v>0.0</v>
      </c>
      <c r="AD85" s="13">
        <f t="shared" si="20"/>
        <v>8</v>
      </c>
    </row>
    <row r="86" ht="12.75" customHeight="1">
      <c r="A86" s="18"/>
      <c r="B86" s="55">
        <v>5.0</v>
      </c>
      <c r="C86" s="50" t="s">
        <v>69</v>
      </c>
      <c r="D86" s="60"/>
      <c r="E86" s="19">
        <v>1.0</v>
      </c>
      <c r="F86" s="19">
        <v>1.0</v>
      </c>
      <c r="G86" s="19">
        <v>0.0</v>
      </c>
      <c r="H86" s="19">
        <v>0.0</v>
      </c>
      <c r="I86" s="19">
        <v>0.0</v>
      </c>
      <c r="J86" s="19">
        <v>0.0</v>
      </c>
      <c r="K86" s="19">
        <v>0.0</v>
      </c>
      <c r="L86" s="19">
        <v>0.0</v>
      </c>
      <c r="M86" s="19">
        <v>0.0</v>
      </c>
      <c r="N86" s="19">
        <v>0.0</v>
      </c>
      <c r="O86" s="19">
        <v>0.0</v>
      </c>
      <c r="P86" s="19">
        <v>1.0</v>
      </c>
      <c r="Q86" s="19">
        <v>0.0</v>
      </c>
      <c r="R86" s="19">
        <v>1.0</v>
      </c>
      <c r="S86" s="19">
        <v>0.0</v>
      </c>
      <c r="T86" s="19">
        <v>0.0</v>
      </c>
      <c r="U86" s="19">
        <v>0.0</v>
      </c>
      <c r="V86" s="19">
        <v>0.0</v>
      </c>
      <c r="W86" s="19">
        <v>0.0</v>
      </c>
      <c r="X86" s="19">
        <v>1.0</v>
      </c>
      <c r="Y86" s="19">
        <v>2.0</v>
      </c>
      <c r="Z86" s="19">
        <v>0.0</v>
      </c>
      <c r="AA86" s="19">
        <v>0.0</v>
      </c>
      <c r="AB86" s="19">
        <v>0.0</v>
      </c>
      <c r="AC86" s="19">
        <v>1.0</v>
      </c>
      <c r="AD86" s="13">
        <f t="shared" si="20"/>
        <v>8</v>
      </c>
    </row>
    <row r="87" ht="12.75" customHeight="1">
      <c r="A87" s="18"/>
      <c r="B87" s="55">
        <v>6.0</v>
      </c>
      <c r="C87" s="50" t="s">
        <v>70</v>
      </c>
      <c r="D87" s="60"/>
      <c r="E87" s="19">
        <v>0.0</v>
      </c>
      <c r="F87" s="19">
        <v>0.0</v>
      </c>
      <c r="G87" s="19">
        <v>0.0</v>
      </c>
      <c r="H87" s="19">
        <v>0.0</v>
      </c>
      <c r="I87" s="19">
        <v>0.0</v>
      </c>
      <c r="J87" s="19">
        <v>0.0</v>
      </c>
      <c r="K87" s="19">
        <v>0.0</v>
      </c>
      <c r="L87" s="19">
        <v>1.0</v>
      </c>
      <c r="M87" s="19">
        <v>0.0</v>
      </c>
      <c r="N87" s="19">
        <v>0.0</v>
      </c>
      <c r="O87" s="19">
        <v>0.0</v>
      </c>
      <c r="P87" s="19">
        <v>0.0</v>
      </c>
      <c r="Q87" s="19">
        <v>0.0</v>
      </c>
      <c r="R87" s="19">
        <v>0.0</v>
      </c>
      <c r="S87" s="19">
        <v>0.0</v>
      </c>
      <c r="T87" s="19">
        <v>0.0</v>
      </c>
      <c r="U87" s="19">
        <v>0.0</v>
      </c>
      <c r="V87" s="19">
        <v>0.0</v>
      </c>
      <c r="W87" s="19">
        <v>0.0</v>
      </c>
      <c r="X87" s="19">
        <v>0.0</v>
      </c>
      <c r="Y87" s="19">
        <v>0.0</v>
      </c>
      <c r="Z87" s="19">
        <v>0.0</v>
      </c>
      <c r="AA87" s="19">
        <v>0.0</v>
      </c>
      <c r="AB87" s="19">
        <v>0.0</v>
      </c>
      <c r="AC87" s="19">
        <v>0.0</v>
      </c>
      <c r="AD87" s="13">
        <f t="shared" si="20"/>
        <v>1</v>
      </c>
    </row>
    <row r="88" ht="12.75" customHeight="1">
      <c r="A88" s="18"/>
      <c r="B88" s="55">
        <v>7.0</v>
      </c>
      <c r="C88" s="50" t="s">
        <v>71</v>
      </c>
      <c r="D88" s="60"/>
      <c r="E88" s="19">
        <v>0.0</v>
      </c>
      <c r="F88" s="19">
        <v>0.0</v>
      </c>
      <c r="G88" s="19">
        <v>0.0</v>
      </c>
      <c r="H88" s="19">
        <v>0.0</v>
      </c>
      <c r="I88" s="19">
        <v>0.0</v>
      </c>
      <c r="J88" s="19">
        <v>0.0</v>
      </c>
      <c r="K88" s="19">
        <v>0.0</v>
      </c>
      <c r="L88" s="19">
        <v>0.0</v>
      </c>
      <c r="M88" s="19">
        <v>0.0</v>
      </c>
      <c r="N88" s="19">
        <v>0.0</v>
      </c>
      <c r="O88" s="19">
        <v>1.0</v>
      </c>
      <c r="P88" s="19">
        <v>1.0</v>
      </c>
      <c r="Q88" s="19">
        <v>0.0</v>
      </c>
      <c r="R88" s="19">
        <v>0.0</v>
      </c>
      <c r="S88" s="19">
        <v>0.0</v>
      </c>
      <c r="T88" s="19">
        <v>0.0</v>
      </c>
      <c r="U88" s="19">
        <v>0.0</v>
      </c>
      <c r="V88" s="19">
        <v>1.0</v>
      </c>
      <c r="W88" s="19">
        <v>0.0</v>
      </c>
      <c r="X88" s="19">
        <v>0.0</v>
      </c>
      <c r="Y88" s="19">
        <v>0.0</v>
      </c>
      <c r="Z88" s="19">
        <v>0.0</v>
      </c>
      <c r="AA88" s="19">
        <v>0.0</v>
      </c>
      <c r="AB88" s="19">
        <v>0.0</v>
      </c>
      <c r="AC88" s="19">
        <v>0.0</v>
      </c>
      <c r="AD88" s="13">
        <f t="shared" si="20"/>
        <v>3</v>
      </c>
    </row>
    <row r="89" ht="12.75" customHeight="1">
      <c r="A89" s="18"/>
      <c r="B89" s="56"/>
      <c r="C89" s="57"/>
      <c r="D89" s="62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3">
        <f t="shared" si="20"/>
        <v>0</v>
      </c>
    </row>
    <row r="90" ht="12.75" customHeight="1">
      <c r="A90" s="18"/>
      <c r="B90" s="56"/>
      <c r="C90" s="57"/>
      <c r="D90" s="62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3">
        <f t="shared" si="20"/>
        <v>0</v>
      </c>
    </row>
    <row r="91" ht="12.75" customHeight="1">
      <c r="A91" s="19" t="s">
        <v>15</v>
      </c>
      <c r="B91" s="47" t="s">
        <v>47</v>
      </c>
      <c r="C91" s="15"/>
      <c r="D91" s="16"/>
      <c r="E91" s="13">
        <f t="shared" ref="E91:AD91" si="21">SUM(E81:E90)</f>
        <v>3</v>
      </c>
      <c r="F91" s="13">
        <f t="shared" si="21"/>
        <v>8</v>
      </c>
      <c r="G91" s="13">
        <f t="shared" si="21"/>
        <v>23</v>
      </c>
      <c r="H91" s="13">
        <f t="shared" si="21"/>
        <v>33</v>
      </c>
      <c r="I91" s="13">
        <f t="shared" si="21"/>
        <v>36</v>
      </c>
      <c r="J91" s="13">
        <f t="shared" si="21"/>
        <v>18</v>
      </c>
      <c r="K91" s="13">
        <f t="shared" si="21"/>
        <v>18</v>
      </c>
      <c r="L91" s="13">
        <f t="shared" si="21"/>
        <v>30</v>
      </c>
      <c r="M91" s="13">
        <f t="shared" si="21"/>
        <v>13</v>
      </c>
      <c r="N91" s="13">
        <f t="shared" si="21"/>
        <v>26</v>
      </c>
      <c r="O91" s="13">
        <f t="shared" si="21"/>
        <v>14</v>
      </c>
      <c r="P91" s="13">
        <f t="shared" si="21"/>
        <v>18</v>
      </c>
      <c r="Q91" s="13">
        <f t="shared" si="21"/>
        <v>5</v>
      </c>
      <c r="R91" s="13">
        <f t="shared" si="21"/>
        <v>29</v>
      </c>
      <c r="S91" s="13">
        <f t="shared" si="21"/>
        <v>13</v>
      </c>
      <c r="T91" s="13">
        <f t="shared" si="21"/>
        <v>36</v>
      </c>
      <c r="U91" s="13">
        <f t="shared" si="21"/>
        <v>16</v>
      </c>
      <c r="V91" s="13">
        <f t="shared" si="21"/>
        <v>7</v>
      </c>
      <c r="W91" s="13">
        <f t="shared" si="21"/>
        <v>7</v>
      </c>
      <c r="X91" s="13">
        <f t="shared" si="21"/>
        <v>38</v>
      </c>
      <c r="Y91" s="13">
        <f t="shared" si="21"/>
        <v>42</v>
      </c>
      <c r="Z91" s="13">
        <f t="shared" si="21"/>
        <v>21</v>
      </c>
      <c r="AA91" s="13">
        <f t="shared" si="21"/>
        <v>10</v>
      </c>
      <c r="AB91" s="13">
        <f t="shared" si="21"/>
        <v>25</v>
      </c>
      <c r="AC91" s="13">
        <f t="shared" si="21"/>
        <v>13</v>
      </c>
      <c r="AD91" s="13">
        <f t="shared" si="21"/>
        <v>502</v>
      </c>
    </row>
    <row r="92" ht="12.75" customHeight="1">
      <c r="A92" s="45"/>
      <c r="B92" s="44"/>
      <c r="C92" s="44"/>
      <c r="D92" s="44"/>
      <c r="E92" s="44"/>
    </row>
    <row r="93" ht="12.75" customHeight="1">
      <c r="A93" s="30" t="s">
        <v>37</v>
      </c>
      <c r="B93" s="47" t="s">
        <v>72</v>
      </c>
      <c r="C93" s="48" t="s">
        <v>73</v>
      </c>
      <c r="D93" s="16"/>
      <c r="E93" s="19">
        <v>1.0</v>
      </c>
      <c r="F93" s="19">
        <v>1.0</v>
      </c>
      <c r="G93" s="19">
        <v>1.0</v>
      </c>
      <c r="H93" s="19">
        <v>1.0</v>
      </c>
      <c r="I93" s="19">
        <v>0.0</v>
      </c>
      <c r="J93" s="19">
        <v>1.0</v>
      </c>
      <c r="K93" s="19">
        <v>0.0</v>
      </c>
      <c r="L93" s="19">
        <v>0.0</v>
      </c>
      <c r="M93" s="19">
        <v>0.0</v>
      </c>
      <c r="N93" s="19">
        <v>0.0</v>
      </c>
      <c r="O93" s="19">
        <v>1.0</v>
      </c>
      <c r="P93" s="19">
        <v>3.0</v>
      </c>
      <c r="Q93" s="19">
        <v>0.0</v>
      </c>
      <c r="R93" s="19">
        <v>0.0</v>
      </c>
      <c r="S93" s="19">
        <v>1.0</v>
      </c>
      <c r="T93" s="19">
        <v>0.0</v>
      </c>
      <c r="U93" s="19">
        <v>2.0</v>
      </c>
      <c r="V93" s="19">
        <v>2.0</v>
      </c>
      <c r="W93" s="19">
        <v>2.0</v>
      </c>
      <c r="X93" s="19">
        <v>0.0</v>
      </c>
      <c r="Y93" s="19">
        <v>0.0</v>
      </c>
      <c r="Z93" s="19">
        <v>0.0</v>
      </c>
      <c r="AA93" s="19">
        <v>0.0</v>
      </c>
      <c r="AB93" s="19">
        <v>0.0</v>
      </c>
      <c r="AC93" s="19">
        <v>0.0</v>
      </c>
      <c r="AD93" s="13">
        <f t="shared" ref="AD93:AD102" si="22">SUM(E93:AC93)</f>
        <v>16</v>
      </c>
    </row>
    <row r="94" ht="12.75" customHeight="1">
      <c r="A94" s="30" t="s">
        <v>39</v>
      </c>
      <c r="B94" s="55">
        <v>1.0</v>
      </c>
      <c r="C94" s="50" t="s">
        <v>74</v>
      </c>
      <c r="D94" s="60"/>
      <c r="E94" s="19">
        <v>2.0</v>
      </c>
      <c r="F94" s="19">
        <v>7.0</v>
      </c>
      <c r="G94" s="19">
        <v>0.0</v>
      </c>
      <c r="H94" s="19">
        <v>1.0</v>
      </c>
      <c r="I94" s="19">
        <v>0.0</v>
      </c>
      <c r="J94" s="19">
        <v>1.0</v>
      </c>
      <c r="K94" s="19">
        <v>1.0</v>
      </c>
      <c r="L94" s="19">
        <v>1.0</v>
      </c>
      <c r="M94" s="19">
        <v>0.0</v>
      </c>
      <c r="N94" s="19">
        <v>1.0</v>
      </c>
      <c r="O94" s="19">
        <v>1.0</v>
      </c>
      <c r="P94" s="19">
        <v>0.0</v>
      </c>
      <c r="Q94" s="19">
        <v>1.0</v>
      </c>
      <c r="R94" s="19">
        <v>0.0</v>
      </c>
      <c r="S94" s="19">
        <v>0.0</v>
      </c>
      <c r="T94" s="19">
        <v>0.0</v>
      </c>
      <c r="U94" s="19">
        <v>3.0</v>
      </c>
      <c r="V94" s="19">
        <v>2.0</v>
      </c>
      <c r="W94" s="19">
        <v>2.0</v>
      </c>
      <c r="X94" s="19">
        <v>0.0</v>
      </c>
      <c r="Y94" s="19">
        <v>0.0</v>
      </c>
      <c r="Z94" s="19">
        <v>0.0</v>
      </c>
      <c r="AA94" s="19">
        <v>0.0</v>
      </c>
      <c r="AB94" s="19">
        <v>0.0</v>
      </c>
      <c r="AC94" s="19">
        <v>0.0</v>
      </c>
      <c r="AD94" s="13">
        <f t="shared" si="22"/>
        <v>23</v>
      </c>
    </row>
    <row r="95" ht="12.75" customHeight="1">
      <c r="A95" s="18"/>
      <c r="B95" s="55">
        <v>2.0</v>
      </c>
      <c r="C95" s="50" t="s">
        <v>75</v>
      </c>
      <c r="D95" s="60"/>
      <c r="E95" s="19">
        <v>0.0</v>
      </c>
      <c r="F95" s="19">
        <v>0.0</v>
      </c>
      <c r="G95" s="19">
        <v>0.0</v>
      </c>
      <c r="H95" s="19">
        <v>0.0</v>
      </c>
      <c r="I95" s="19">
        <v>0.0</v>
      </c>
      <c r="J95" s="19">
        <v>0.0</v>
      </c>
      <c r="K95" s="19">
        <v>1.0</v>
      </c>
      <c r="L95" s="19">
        <v>0.0</v>
      </c>
      <c r="M95" s="19">
        <v>0.0</v>
      </c>
      <c r="N95" s="19">
        <v>0.0</v>
      </c>
      <c r="O95" s="19">
        <v>1.0</v>
      </c>
      <c r="P95" s="19">
        <v>0.0</v>
      </c>
      <c r="Q95" s="19">
        <v>0.0</v>
      </c>
      <c r="R95" s="19">
        <v>1.0</v>
      </c>
      <c r="S95" s="19">
        <v>0.0</v>
      </c>
      <c r="T95" s="19">
        <v>0.0</v>
      </c>
      <c r="U95" s="19">
        <v>0.0</v>
      </c>
      <c r="V95" s="19">
        <v>0.0</v>
      </c>
      <c r="W95" s="19">
        <v>0.0</v>
      </c>
      <c r="X95" s="19">
        <v>0.0</v>
      </c>
      <c r="Y95" s="19">
        <v>0.0</v>
      </c>
      <c r="Z95" s="19">
        <v>0.0</v>
      </c>
      <c r="AA95" s="19">
        <v>0.0</v>
      </c>
      <c r="AB95" s="19">
        <v>0.0</v>
      </c>
      <c r="AC95" s="19">
        <v>0.0</v>
      </c>
      <c r="AD95" s="13">
        <f t="shared" si="22"/>
        <v>3</v>
      </c>
    </row>
    <row r="96" ht="12.75" customHeight="1">
      <c r="A96" s="18"/>
      <c r="B96" s="55">
        <v>3.0</v>
      </c>
      <c r="C96" s="50" t="s">
        <v>76</v>
      </c>
      <c r="D96" s="60"/>
      <c r="E96" s="19">
        <v>1.0</v>
      </c>
      <c r="F96" s="19">
        <v>0.0</v>
      </c>
      <c r="G96" s="19">
        <v>0.0</v>
      </c>
      <c r="H96" s="19">
        <v>0.0</v>
      </c>
      <c r="I96" s="19">
        <v>0.0</v>
      </c>
      <c r="J96" s="19">
        <v>0.0</v>
      </c>
      <c r="K96" s="19">
        <v>0.0</v>
      </c>
      <c r="L96" s="19">
        <v>0.0</v>
      </c>
      <c r="M96" s="19">
        <v>0.0</v>
      </c>
      <c r="N96" s="19">
        <v>0.0</v>
      </c>
      <c r="O96" s="19">
        <v>0.0</v>
      </c>
      <c r="P96" s="19">
        <v>0.0</v>
      </c>
      <c r="Q96" s="19">
        <v>0.0</v>
      </c>
      <c r="R96" s="19">
        <v>0.0</v>
      </c>
      <c r="S96" s="19">
        <v>0.0</v>
      </c>
      <c r="T96" s="19">
        <v>0.0</v>
      </c>
      <c r="U96" s="19">
        <v>0.0</v>
      </c>
      <c r="V96" s="19">
        <v>0.0</v>
      </c>
      <c r="W96" s="19">
        <v>0.0</v>
      </c>
      <c r="X96" s="19">
        <v>0.0</v>
      </c>
      <c r="Y96" s="19">
        <v>0.0</v>
      </c>
      <c r="Z96" s="19">
        <v>0.0</v>
      </c>
      <c r="AA96" s="19">
        <v>0.0</v>
      </c>
      <c r="AB96" s="19">
        <v>0.0</v>
      </c>
      <c r="AC96" s="19">
        <v>0.0</v>
      </c>
      <c r="AD96" s="13">
        <f t="shared" si="22"/>
        <v>1</v>
      </c>
    </row>
    <row r="97" ht="12.75" customHeight="1">
      <c r="A97" s="18"/>
      <c r="B97" s="55">
        <v>4.0</v>
      </c>
      <c r="C97" s="50" t="s">
        <v>77</v>
      </c>
      <c r="D97" s="60"/>
      <c r="E97" s="19">
        <v>0.0</v>
      </c>
      <c r="F97" s="19">
        <v>0.0</v>
      </c>
      <c r="G97" s="19">
        <v>0.0</v>
      </c>
      <c r="H97" s="19">
        <v>0.0</v>
      </c>
      <c r="I97" s="19">
        <v>0.0</v>
      </c>
      <c r="J97" s="19">
        <v>0.0</v>
      </c>
      <c r="K97" s="19">
        <v>1.0</v>
      </c>
      <c r="L97" s="19">
        <v>0.0</v>
      </c>
      <c r="M97" s="19">
        <v>0.0</v>
      </c>
      <c r="N97" s="19">
        <v>0.0</v>
      </c>
      <c r="O97" s="19">
        <v>0.0</v>
      </c>
      <c r="P97" s="19">
        <v>0.0</v>
      </c>
      <c r="Q97" s="19">
        <v>1.0</v>
      </c>
      <c r="R97" s="19">
        <v>0.0</v>
      </c>
      <c r="S97" s="19">
        <v>0.0</v>
      </c>
      <c r="T97" s="19">
        <v>0.0</v>
      </c>
      <c r="U97" s="19">
        <v>0.0</v>
      </c>
      <c r="V97" s="19">
        <v>0.0</v>
      </c>
      <c r="W97" s="19">
        <v>0.0</v>
      </c>
      <c r="X97" s="19">
        <v>1.0</v>
      </c>
      <c r="Y97" s="19">
        <v>1.0</v>
      </c>
      <c r="Z97" s="19">
        <v>0.0</v>
      </c>
      <c r="AA97" s="19">
        <v>0.0</v>
      </c>
      <c r="AB97" s="19">
        <v>0.0</v>
      </c>
      <c r="AC97" s="19">
        <v>0.0</v>
      </c>
      <c r="AD97" s="13">
        <f t="shared" si="22"/>
        <v>4</v>
      </c>
    </row>
    <row r="98" ht="12.75" customHeight="1">
      <c r="A98" s="18"/>
      <c r="B98" s="55">
        <v>5.0</v>
      </c>
      <c r="C98" s="50" t="s">
        <v>78</v>
      </c>
      <c r="D98" s="60"/>
      <c r="E98" s="19">
        <v>1.0</v>
      </c>
      <c r="F98" s="19">
        <v>0.0</v>
      </c>
      <c r="G98" s="19">
        <v>0.0</v>
      </c>
      <c r="H98" s="19">
        <v>0.0</v>
      </c>
      <c r="I98" s="19">
        <v>0.0</v>
      </c>
      <c r="J98" s="19">
        <v>0.0</v>
      </c>
      <c r="K98" s="19">
        <v>0.0</v>
      </c>
      <c r="L98" s="19">
        <v>0.0</v>
      </c>
      <c r="M98" s="19">
        <v>0.0</v>
      </c>
      <c r="N98" s="19">
        <v>0.0</v>
      </c>
      <c r="O98" s="19">
        <v>0.0</v>
      </c>
      <c r="P98" s="19">
        <v>1.0</v>
      </c>
      <c r="Q98" s="19">
        <v>0.0</v>
      </c>
      <c r="R98" s="19">
        <v>0.0</v>
      </c>
      <c r="S98" s="19">
        <v>0.0</v>
      </c>
      <c r="T98" s="19">
        <v>0.0</v>
      </c>
      <c r="U98" s="19">
        <v>0.0</v>
      </c>
      <c r="V98" s="19">
        <v>0.0</v>
      </c>
      <c r="W98" s="19">
        <v>2.0</v>
      </c>
      <c r="X98" s="19">
        <v>0.0</v>
      </c>
      <c r="Y98" s="19">
        <v>0.0</v>
      </c>
      <c r="Z98" s="19">
        <v>0.0</v>
      </c>
      <c r="AA98" s="19">
        <v>0.0</v>
      </c>
      <c r="AB98" s="19">
        <v>0.0</v>
      </c>
      <c r="AC98" s="19">
        <v>0.0</v>
      </c>
      <c r="AD98" s="13">
        <f t="shared" si="22"/>
        <v>4</v>
      </c>
    </row>
    <row r="99" ht="12.75" customHeight="1">
      <c r="A99" s="18"/>
      <c r="B99" s="55">
        <v>6.0</v>
      </c>
      <c r="C99" s="50" t="s">
        <v>79</v>
      </c>
      <c r="D99" s="60"/>
      <c r="E99" s="19">
        <v>1.0</v>
      </c>
      <c r="F99" s="19">
        <v>1.0</v>
      </c>
      <c r="G99" s="19">
        <v>0.0</v>
      </c>
      <c r="H99" s="19">
        <v>0.0</v>
      </c>
      <c r="I99" s="19">
        <v>0.0</v>
      </c>
      <c r="J99" s="19">
        <v>1.0</v>
      </c>
      <c r="K99" s="19">
        <v>1.0</v>
      </c>
      <c r="L99" s="19">
        <v>1.0</v>
      </c>
      <c r="M99" s="19">
        <v>0.0</v>
      </c>
      <c r="N99" s="19">
        <v>0.0</v>
      </c>
      <c r="O99" s="19">
        <v>1.0</v>
      </c>
      <c r="P99" s="19">
        <v>2.0</v>
      </c>
      <c r="Q99" s="19">
        <v>0.0</v>
      </c>
      <c r="R99" s="19">
        <v>0.0</v>
      </c>
      <c r="S99" s="19">
        <v>0.0</v>
      </c>
      <c r="T99" s="19">
        <v>0.0</v>
      </c>
      <c r="U99" s="19">
        <v>0.0</v>
      </c>
      <c r="V99" s="19">
        <v>0.0</v>
      </c>
      <c r="W99" s="19">
        <v>0.0</v>
      </c>
      <c r="X99" s="19">
        <v>0.0</v>
      </c>
      <c r="Y99" s="19">
        <v>1.0</v>
      </c>
      <c r="Z99" s="19">
        <v>0.0</v>
      </c>
      <c r="AA99" s="19">
        <v>1.0</v>
      </c>
      <c r="AB99" s="19">
        <v>0.0</v>
      </c>
      <c r="AC99" s="19">
        <v>1.0</v>
      </c>
      <c r="AD99" s="13">
        <f t="shared" si="22"/>
        <v>11</v>
      </c>
    </row>
    <row r="100" ht="12.75" customHeight="1">
      <c r="A100" s="18"/>
      <c r="B100" s="55">
        <v>7.0</v>
      </c>
      <c r="C100" s="50" t="s">
        <v>80</v>
      </c>
      <c r="D100" s="60"/>
      <c r="E100" s="19">
        <v>0.0</v>
      </c>
      <c r="F100" s="19">
        <v>1.0</v>
      </c>
      <c r="G100" s="19">
        <v>0.0</v>
      </c>
      <c r="H100" s="19">
        <v>0.0</v>
      </c>
      <c r="I100" s="19">
        <v>0.0</v>
      </c>
      <c r="J100" s="19">
        <v>0.0</v>
      </c>
      <c r="K100" s="19">
        <v>1.0</v>
      </c>
      <c r="L100" s="19">
        <v>1.0</v>
      </c>
      <c r="M100" s="19">
        <v>0.0</v>
      </c>
      <c r="N100" s="19">
        <v>0.0</v>
      </c>
      <c r="O100" s="19">
        <v>0.0</v>
      </c>
      <c r="P100" s="19">
        <v>1.0</v>
      </c>
      <c r="Q100" s="19">
        <v>0.0</v>
      </c>
      <c r="R100" s="19">
        <v>0.0</v>
      </c>
      <c r="S100" s="19">
        <v>0.0</v>
      </c>
      <c r="T100" s="19">
        <v>0.0</v>
      </c>
      <c r="U100" s="19">
        <v>0.0</v>
      </c>
      <c r="V100" s="19">
        <v>1.0</v>
      </c>
      <c r="W100" s="19">
        <v>0.0</v>
      </c>
      <c r="X100" s="19">
        <v>1.0</v>
      </c>
      <c r="Y100" s="19">
        <v>0.0</v>
      </c>
      <c r="Z100" s="19">
        <v>0.0</v>
      </c>
      <c r="AA100" s="19">
        <v>0.0</v>
      </c>
      <c r="AB100" s="19">
        <v>0.0</v>
      </c>
      <c r="AC100" s="19">
        <v>0.0</v>
      </c>
      <c r="AD100" s="13">
        <f t="shared" si="22"/>
        <v>6</v>
      </c>
    </row>
    <row r="101" ht="12.75" customHeight="1">
      <c r="A101" s="18"/>
      <c r="B101" s="56"/>
      <c r="C101" s="57"/>
      <c r="D101" s="62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9"/>
      <c r="AB101" s="19"/>
      <c r="AC101" s="19"/>
      <c r="AD101" s="13">
        <f t="shared" si="22"/>
        <v>0</v>
      </c>
    </row>
    <row r="102" ht="12.75" customHeight="1">
      <c r="A102" s="18"/>
      <c r="B102" s="56"/>
      <c r="C102" s="57"/>
      <c r="D102" s="62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9"/>
      <c r="AB102" s="19"/>
      <c r="AC102" s="19"/>
      <c r="AD102" s="13">
        <f t="shared" si="22"/>
        <v>0</v>
      </c>
    </row>
    <row r="103" ht="12.75" customHeight="1">
      <c r="A103" s="19" t="s">
        <v>15</v>
      </c>
      <c r="B103" s="47" t="s">
        <v>47</v>
      </c>
      <c r="C103" s="15"/>
      <c r="D103" s="16"/>
      <c r="E103" s="13">
        <f t="shared" ref="E103:AD103" si="23">SUM(E93:E102)</f>
        <v>6</v>
      </c>
      <c r="F103" s="13">
        <f t="shared" si="23"/>
        <v>10</v>
      </c>
      <c r="G103" s="13">
        <f t="shared" si="23"/>
        <v>1</v>
      </c>
      <c r="H103" s="13">
        <f t="shared" si="23"/>
        <v>2</v>
      </c>
      <c r="I103" s="13">
        <f t="shared" si="23"/>
        <v>0</v>
      </c>
      <c r="J103" s="13">
        <f t="shared" si="23"/>
        <v>3</v>
      </c>
      <c r="K103" s="13">
        <f t="shared" si="23"/>
        <v>5</v>
      </c>
      <c r="L103" s="13">
        <f t="shared" si="23"/>
        <v>3</v>
      </c>
      <c r="M103" s="13">
        <f t="shared" si="23"/>
        <v>0</v>
      </c>
      <c r="N103" s="13">
        <f t="shared" si="23"/>
        <v>1</v>
      </c>
      <c r="O103" s="13">
        <f t="shared" si="23"/>
        <v>4</v>
      </c>
      <c r="P103" s="13">
        <f t="shared" si="23"/>
        <v>7</v>
      </c>
      <c r="Q103" s="13">
        <f t="shared" si="23"/>
        <v>2</v>
      </c>
      <c r="R103" s="13">
        <f t="shared" si="23"/>
        <v>1</v>
      </c>
      <c r="S103" s="13">
        <f t="shared" si="23"/>
        <v>1</v>
      </c>
      <c r="T103" s="13">
        <f t="shared" si="23"/>
        <v>0</v>
      </c>
      <c r="U103" s="13">
        <f t="shared" si="23"/>
        <v>5</v>
      </c>
      <c r="V103" s="13">
        <f t="shared" si="23"/>
        <v>5</v>
      </c>
      <c r="W103" s="13">
        <f t="shared" si="23"/>
        <v>6</v>
      </c>
      <c r="X103" s="13">
        <f t="shared" si="23"/>
        <v>2</v>
      </c>
      <c r="Y103" s="13">
        <f t="shared" si="23"/>
        <v>2</v>
      </c>
      <c r="Z103" s="13">
        <f t="shared" si="23"/>
        <v>0</v>
      </c>
      <c r="AA103" s="13">
        <f t="shared" si="23"/>
        <v>1</v>
      </c>
      <c r="AB103" s="13">
        <f t="shared" si="23"/>
        <v>0</v>
      </c>
      <c r="AC103" s="13">
        <f t="shared" si="23"/>
        <v>1</v>
      </c>
      <c r="AD103" s="13">
        <f t="shared" si="23"/>
        <v>68</v>
      </c>
    </row>
    <row r="104" ht="12.75" customHeight="1">
      <c r="A104" s="45"/>
      <c r="B104" s="44"/>
      <c r="C104" s="44"/>
      <c r="D104" s="44"/>
      <c r="E104" s="44"/>
      <c r="F104" s="84"/>
      <c r="G104" s="84"/>
      <c r="H104" s="84"/>
      <c r="I104" s="84"/>
      <c r="J104" s="84"/>
      <c r="K104" s="84"/>
      <c r="L104" s="84"/>
      <c r="M104" s="84"/>
      <c r="N104" s="84"/>
      <c r="O104" s="84"/>
      <c r="P104" s="84"/>
      <c r="Q104" s="84"/>
      <c r="R104" s="84"/>
      <c r="S104" s="84"/>
      <c r="T104" s="84"/>
      <c r="U104" s="84"/>
      <c r="V104" s="84"/>
      <c r="W104" s="84"/>
      <c r="X104" s="84"/>
      <c r="Y104" s="84"/>
      <c r="Z104" s="84"/>
      <c r="AA104" s="84"/>
      <c r="AB104" s="84"/>
      <c r="AC104" s="84"/>
      <c r="AD104" s="84"/>
    </row>
    <row r="105" ht="12.75" customHeight="1">
      <c r="A105" s="30" t="s">
        <v>37</v>
      </c>
      <c r="B105" s="47" t="s">
        <v>81</v>
      </c>
      <c r="C105" s="48" t="s">
        <v>82</v>
      </c>
      <c r="D105" s="16"/>
      <c r="E105" s="19">
        <v>2.0</v>
      </c>
      <c r="F105" s="19">
        <v>0.0</v>
      </c>
      <c r="G105" s="19">
        <v>0.0</v>
      </c>
      <c r="H105" s="19">
        <v>0.0</v>
      </c>
      <c r="I105" s="19">
        <v>0.0</v>
      </c>
      <c r="J105" s="19">
        <v>0.0</v>
      </c>
      <c r="K105" s="19">
        <v>1.0</v>
      </c>
      <c r="L105" s="19">
        <v>0.0</v>
      </c>
      <c r="M105" s="19">
        <v>1.0</v>
      </c>
      <c r="N105" s="19">
        <v>0.0</v>
      </c>
      <c r="O105" s="19">
        <v>0.0</v>
      </c>
      <c r="P105" s="19">
        <v>0.0</v>
      </c>
      <c r="Q105" s="19">
        <v>0.0</v>
      </c>
      <c r="R105" s="19">
        <v>0.0</v>
      </c>
      <c r="S105" s="19">
        <v>0.0</v>
      </c>
      <c r="T105" s="19">
        <v>0.0</v>
      </c>
      <c r="U105" s="19">
        <v>0.0</v>
      </c>
      <c r="V105" s="19">
        <v>0.0</v>
      </c>
      <c r="W105" s="19">
        <v>0.0</v>
      </c>
      <c r="X105" s="19">
        <v>0.0</v>
      </c>
      <c r="Y105" s="19">
        <v>0.0</v>
      </c>
      <c r="Z105" s="19">
        <v>0.0</v>
      </c>
      <c r="AA105" s="19">
        <v>0.0</v>
      </c>
      <c r="AB105" s="19">
        <v>0.0</v>
      </c>
      <c r="AC105" s="19">
        <v>0.0</v>
      </c>
      <c r="AD105" s="13">
        <f t="shared" ref="AD105:AD114" si="24">SUM(E105:AC105)</f>
        <v>4</v>
      </c>
    </row>
    <row r="106" ht="12.75" customHeight="1">
      <c r="A106" s="30" t="s">
        <v>39</v>
      </c>
      <c r="B106" s="55">
        <v>1.0</v>
      </c>
      <c r="C106" s="50" t="s">
        <v>83</v>
      </c>
      <c r="D106" s="60"/>
      <c r="E106" s="19">
        <v>0.0</v>
      </c>
      <c r="F106" s="19">
        <v>0.0</v>
      </c>
      <c r="G106" s="19">
        <v>0.0</v>
      </c>
      <c r="H106" s="19">
        <v>0.0</v>
      </c>
      <c r="I106" s="19">
        <v>0.0</v>
      </c>
      <c r="J106" s="19">
        <v>0.0</v>
      </c>
      <c r="K106" s="19">
        <v>0.0</v>
      </c>
      <c r="L106" s="19">
        <v>0.0</v>
      </c>
      <c r="M106" s="19">
        <v>0.0</v>
      </c>
      <c r="N106" s="19">
        <v>0.0</v>
      </c>
      <c r="O106" s="19">
        <v>0.0</v>
      </c>
      <c r="P106" s="19">
        <v>0.0</v>
      </c>
      <c r="Q106" s="19">
        <v>0.0</v>
      </c>
      <c r="R106" s="19">
        <v>0.0</v>
      </c>
      <c r="S106" s="19">
        <v>0.0</v>
      </c>
      <c r="T106" s="19">
        <v>0.0</v>
      </c>
      <c r="U106" s="19">
        <v>0.0</v>
      </c>
      <c r="V106" s="19">
        <v>1.0</v>
      </c>
      <c r="W106" s="19">
        <v>0.0</v>
      </c>
      <c r="X106" s="19">
        <v>0.0</v>
      </c>
      <c r="Y106" s="19">
        <v>0.0</v>
      </c>
      <c r="Z106" s="19">
        <v>0.0</v>
      </c>
      <c r="AA106" s="19">
        <v>1.0</v>
      </c>
      <c r="AB106" s="19">
        <v>0.0</v>
      </c>
      <c r="AC106" s="19">
        <v>0.0</v>
      </c>
      <c r="AD106" s="13">
        <f t="shared" si="24"/>
        <v>2</v>
      </c>
    </row>
    <row r="107" ht="12.75" customHeight="1">
      <c r="A107" s="18"/>
      <c r="B107" s="55">
        <v>2.0</v>
      </c>
      <c r="C107" s="50" t="s">
        <v>84</v>
      </c>
      <c r="D107" s="60"/>
      <c r="E107" s="19">
        <v>0.0</v>
      </c>
      <c r="F107" s="19">
        <v>0.0</v>
      </c>
      <c r="G107" s="19">
        <v>0.0</v>
      </c>
      <c r="H107" s="19">
        <v>0.0</v>
      </c>
      <c r="I107" s="19">
        <v>0.0</v>
      </c>
      <c r="J107" s="19">
        <v>0.0</v>
      </c>
      <c r="K107" s="19">
        <v>0.0</v>
      </c>
      <c r="L107" s="19">
        <v>0.0</v>
      </c>
      <c r="M107" s="19">
        <v>0.0</v>
      </c>
      <c r="N107" s="19">
        <v>0.0</v>
      </c>
      <c r="O107" s="19">
        <v>0.0</v>
      </c>
      <c r="P107" s="19">
        <v>0.0</v>
      </c>
      <c r="Q107" s="19">
        <v>0.0</v>
      </c>
      <c r="R107" s="19">
        <v>0.0</v>
      </c>
      <c r="S107" s="19">
        <v>0.0</v>
      </c>
      <c r="T107" s="19">
        <v>0.0</v>
      </c>
      <c r="U107" s="19">
        <v>0.0</v>
      </c>
      <c r="V107" s="19">
        <v>0.0</v>
      </c>
      <c r="W107" s="19">
        <v>0.0</v>
      </c>
      <c r="X107" s="19">
        <v>0.0</v>
      </c>
      <c r="Y107" s="19">
        <v>0.0</v>
      </c>
      <c r="Z107" s="19">
        <v>0.0</v>
      </c>
      <c r="AA107" s="19">
        <v>0.0</v>
      </c>
      <c r="AB107" s="19">
        <v>0.0</v>
      </c>
      <c r="AC107" s="19">
        <v>0.0</v>
      </c>
      <c r="AD107" s="13">
        <f t="shared" si="24"/>
        <v>0</v>
      </c>
    </row>
    <row r="108" ht="12.75" customHeight="1">
      <c r="A108" s="18"/>
      <c r="B108" s="55">
        <v>3.0</v>
      </c>
      <c r="C108" s="50" t="s">
        <v>85</v>
      </c>
      <c r="D108" s="60"/>
      <c r="E108" s="85">
        <v>0.0</v>
      </c>
      <c r="F108" s="19">
        <v>0.0</v>
      </c>
      <c r="G108" s="19">
        <v>0.0</v>
      </c>
      <c r="H108" s="19">
        <v>0.0</v>
      </c>
      <c r="I108" s="19">
        <v>0.0</v>
      </c>
      <c r="J108" s="19">
        <v>0.0</v>
      </c>
      <c r="K108" s="19">
        <v>0.0</v>
      </c>
      <c r="L108" s="19">
        <v>0.0</v>
      </c>
      <c r="M108" s="19">
        <v>0.0</v>
      </c>
      <c r="N108" s="19">
        <v>0.0</v>
      </c>
      <c r="O108" s="19">
        <v>0.0</v>
      </c>
      <c r="P108" s="19">
        <v>0.0</v>
      </c>
      <c r="Q108" s="19">
        <v>0.0</v>
      </c>
      <c r="R108" s="19">
        <v>0.0</v>
      </c>
      <c r="S108" s="19">
        <v>0.0</v>
      </c>
      <c r="T108" s="19">
        <v>0.0</v>
      </c>
      <c r="U108" s="19">
        <v>0.0</v>
      </c>
      <c r="V108" s="19">
        <v>1.0</v>
      </c>
      <c r="W108" s="19">
        <v>0.0</v>
      </c>
      <c r="X108" s="19">
        <v>0.0</v>
      </c>
      <c r="Y108" s="19">
        <v>0.0</v>
      </c>
      <c r="Z108" s="19">
        <v>0.0</v>
      </c>
      <c r="AA108" s="19">
        <v>0.0</v>
      </c>
      <c r="AB108" s="19">
        <v>0.0</v>
      </c>
      <c r="AC108" s="19">
        <v>0.0</v>
      </c>
      <c r="AD108" s="13">
        <f t="shared" si="24"/>
        <v>1</v>
      </c>
    </row>
    <row r="109" ht="12.75" customHeight="1">
      <c r="A109" s="18"/>
      <c r="B109" s="55">
        <v>4.0</v>
      </c>
      <c r="C109" s="50" t="s">
        <v>86</v>
      </c>
      <c r="D109" s="60"/>
      <c r="E109" s="85">
        <v>0.0</v>
      </c>
      <c r="F109" s="19">
        <v>0.0</v>
      </c>
      <c r="G109" s="19">
        <v>0.0</v>
      </c>
      <c r="H109" s="19">
        <v>0.0</v>
      </c>
      <c r="I109" s="19">
        <v>0.0</v>
      </c>
      <c r="J109" s="19">
        <v>0.0</v>
      </c>
      <c r="K109" s="19">
        <v>0.0</v>
      </c>
      <c r="L109" s="19">
        <v>0.0</v>
      </c>
      <c r="M109" s="19">
        <v>0.0</v>
      </c>
      <c r="N109" s="19">
        <v>0.0</v>
      </c>
      <c r="O109" s="19">
        <v>0.0</v>
      </c>
      <c r="P109" s="19">
        <v>0.0</v>
      </c>
      <c r="Q109" s="19">
        <v>0.0</v>
      </c>
      <c r="R109" s="19">
        <v>0.0</v>
      </c>
      <c r="S109" s="19">
        <v>0.0</v>
      </c>
      <c r="T109" s="19">
        <v>0.0</v>
      </c>
      <c r="U109" s="19">
        <v>0.0</v>
      </c>
      <c r="V109" s="19">
        <v>0.0</v>
      </c>
      <c r="W109" s="19">
        <v>0.0</v>
      </c>
      <c r="X109" s="19">
        <v>0.0</v>
      </c>
      <c r="Y109" s="19">
        <v>0.0</v>
      </c>
      <c r="Z109" s="19">
        <v>0.0</v>
      </c>
      <c r="AA109" s="19">
        <v>0.0</v>
      </c>
      <c r="AB109" s="19">
        <v>0.0</v>
      </c>
      <c r="AC109" s="19">
        <v>0.0</v>
      </c>
      <c r="AD109" s="13">
        <f t="shared" si="24"/>
        <v>0</v>
      </c>
    </row>
    <row r="110" ht="12.75" customHeight="1">
      <c r="A110" s="18"/>
      <c r="B110" s="55">
        <v>5.0</v>
      </c>
      <c r="C110" s="50" t="s">
        <v>87</v>
      </c>
      <c r="D110" s="60"/>
      <c r="E110" s="85">
        <v>0.0</v>
      </c>
      <c r="F110" s="19">
        <v>0.0</v>
      </c>
      <c r="G110" s="19">
        <v>0.0</v>
      </c>
      <c r="H110" s="19">
        <v>0.0</v>
      </c>
      <c r="I110" s="19">
        <v>0.0</v>
      </c>
      <c r="J110" s="19">
        <v>0.0</v>
      </c>
      <c r="K110" s="19">
        <v>0.0</v>
      </c>
      <c r="L110" s="19">
        <v>0.0</v>
      </c>
      <c r="M110" s="19">
        <v>0.0</v>
      </c>
      <c r="N110" s="19">
        <v>0.0</v>
      </c>
      <c r="O110" s="19">
        <v>0.0</v>
      </c>
      <c r="P110" s="19">
        <v>0.0</v>
      </c>
      <c r="Q110" s="19">
        <v>0.0</v>
      </c>
      <c r="R110" s="19">
        <v>0.0</v>
      </c>
      <c r="S110" s="19">
        <v>0.0</v>
      </c>
      <c r="T110" s="19">
        <v>0.0</v>
      </c>
      <c r="U110" s="19">
        <v>0.0</v>
      </c>
      <c r="V110" s="19">
        <v>0.0</v>
      </c>
      <c r="W110" s="19">
        <v>0.0</v>
      </c>
      <c r="X110" s="19">
        <v>0.0</v>
      </c>
      <c r="Y110" s="19">
        <v>0.0</v>
      </c>
      <c r="Z110" s="19">
        <v>0.0</v>
      </c>
      <c r="AA110" s="19">
        <v>0.0</v>
      </c>
      <c r="AB110" s="19">
        <v>0.0</v>
      </c>
      <c r="AC110" s="19">
        <v>0.0</v>
      </c>
      <c r="AD110" s="13">
        <f t="shared" si="24"/>
        <v>0</v>
      </c>
    </row>
    <row r="111" ht="12.75" customHeight="1">
      <c r="A111" s="18"/>
      <c r="B111" s="55">
        <v>6.0</v>
      </c>
      <c r="C111" s="50" t="s">
        <v>88</v>
      </c>
      <c r="D111" s="60"/>
      <c r="E111" s="85">
        <v>1.0</v>
      </c>
      <c r="F111" s="19">
        <v>0.0</v>
      </c>
      <c r="G111" s="19">
        <v>0.0</v>
      </c>
      <c r="H111" s="19">
        <v>0.0</v>
      </c>
      <c r="I111" s="19">
        <v>0.0</v>
      </c>
      <c r="J111" s="19">
        <v>0.0</v>
      </c>
      <c r="K111" s="19">
        <v>0.0</v>
      </c>
      <c r="L111" s="19">
        <v>0.0</v>
      </c>
      <c r="M111" s="19">
        <v>0.0</v>
      </c>
      <c r="N111" s="19">
        <v>0.0</v>
      </c>
      <c r="O111" s="19">
        <v>0.0</v>
      </c>
      <c r="P111" s="19">
        <v>0.0</v>
      </c>
      <c r="Q111" s="19">
        <v>0.0</v>
      </c>
      <c r="R111" s="19">
        <v>0.0</v>
      </c>
      <c r="S111" s="19">
        <v>0.0</v>
      </c>
      <c r="T111" s="19">
        <v>0.0</v>
      </c>
      <c r="U111" s="19">
        <v>0.0</v>
      </c>
      <c r="V111" s="19">
        <v>0.0</v>
      </c>
      <c r="W111" s="19">
        <v>0.0</v>
      </c>
      <c r="X111" s="19">
        <v>0.0</v>
      </c>
      <c r="Y111" s="19">
        <v>0.0</v>
      </c>
      <c r="Z111" s="19">
        <v>0.0</v>
      </c>
      <c r="AA111" s="19">
        <v>0.0</v>
      </c>
      <c r="AB111" s="19">
        <v>0.0</v>
      </c>
      <c r="AC111" s="19">
        <v>0.0</v>
      </c>
      <c r="AD111" s="13">
        <f t="shared" si="24"/>
        <v>1</v>
      </c>
    </row>
    <row r="112" ht="12.75" customHeight="1">
      <c r="A112" s="18"/>
      <c r="B112" s="55">
        <v>7.0</v>
      </c>
      <c r="C112" s="50" t="s">
        <v>89</v>
      </c>
      <c r="D112" s="60"/>
      <c r="E112" s="85">
        <v>0.0</v>
      </c>
      <c r="F112" s="19">
        <v>0.0</v>
      </c>
      <c r="G112" s="19">
        <v>0.0</v>
      </c>
      <c r="H112" s="19">
        <v>0.0</v>
      </c>
      <c r="I112" s="19">
        <v>0.0</v>
      </c>
      <c r="J112" s="19">
        <v>0.0</v>
      </c>
      <c r="K112" s="19">
        <v>0.0</v>
      </c>
      <c r="L112" s="19">
        <v>0.0</v>
      </c>
      <c r="M112" s="19">
        <v>0.0</v>
      </c>
      <c r="N112" s="19">
        <v>0.0</v>
      </c>
      <c r="O112" s="19">
        <v>0.0</v>
      </c>
      <c r="P112" s="19">
        <v>0.0</v>
      </c>
      <c r="Q112" s="19">
        <v>0.0</v>
      </c>
      <c r="R112" s="19">
        <v>0.0</v>
      </c>
      <c r="S112" s="19">
        <v>0.0</v>
      </c>
      <c r="T112" s="19">
        <v>0.0</v>
      </c>
      <c r="U112" s="19">
        <v>0.0</v>
      </c>
      <c r="V112" s="19">
        <v>0.0</v>
      </c>
      <c r="W112" s="19">
        <v>0.0</v>
      </c>
      <c r="X112" s="19">
        <v>0.0</v>
      </c>
      <c r="Y112" s="19">
        <v>0.0</v>
      </c>
      <c r="Z112" s="19">
        <v>0.0</v>
      </c>
      <c r="AA112" s="19">
        <v>1.0</v>
      </c>
      <c r="AB112" s="19">
        <v>0.0</v>
      </c>
      <c r="AC112" s="19">
        <v>0.0</v>
      </c>
      <c r="AD112" s="13">
        <f t="shared" si="24"/>
        <v>1</v>
      </c>
    </row>
    <row r="113" ht="12.75" customHeight="1">
      <c r="A113" s="18"/>
      <c r="B113" s="56"/>
      <c r="C113" s="57"/>
      <c r="D113" s="62"/>
      <c r="E113" s="85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19"/>
      <c r="AC113" s="19"/>
      <c r="AD113" s="13">
        <f t="shared" si="24"/>
        <v>0</v>
      </c>
    </row>
    <row r="114" ht="12.75" customHeight="1">
      <c r="A114" s="18"/>
      <c r="B114" s="56"/>
      <c r="C114" s="57"/>
      <c r="D114" s="62"/>
      <c r="E114" s="85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  <c r="AB114" s="19"/>
      <c r="AC114" s="19"/>
      <c r="AD114" s="13">
        <f t="shared" si="24"/>
        <v>0</v>
      </c>
    </row>
    <row r="115" ht="12.75" customHeight="1">
      <c r="A115" s="19" t="s">
        <v>15</v>
      </c>
      <c r="B115" s="47" t="s">
        <v>47</v>
      </c>
      <c r="C115" s="15"/>
      <c r="D115" s="16"/>
      <c r="E115" s="13">
        <f t="shared" ref="E115:AD115" si="25">SUM(E105:E114)</f>
        <v>3</v>
      </c>
      <c r="F115" s="13">
        <f t="shared" si="25"/>
        <v>0</v>
      </c>
      <c r="G115" s="13">
        <f t="shared" si="25"/>
        <v>0</v>
      </c>
      <c r="H115" s="13">
        <f t="shared" si="25"/>
        <v>0</v>
      </c>
      <c r="I115" s="13">
        <f t="shared" si="25"/>
        <v>0</v>
      </c>
      <c r="J115" s="13">
        <f t="shared" si="25"/>
        <v>0</v>
      </c>
      <c r="K115" s="13">
        <f t="shared" si="25"/>
        <v>1</v>
      </c>
      <c r="L115" s="13">
        <f t="shared" si="25"/>
        <v>0</v>
      </c>
      <c r="M115" s="13">
        <f t="shared" si="25"/>
        <v>1</v>
      </c>
      <c r="N115" s="13">
        <f t="shared" si="25"/>
        <v>0</v>
      </c>
      <c r="O115" s="13">
        <f t="shared" si="25"/>
        <v>0</v>
      </c>
      <c r="P115" s="13">
        <f t="shared" si="25"/>
        <v>0</v>
      </c>
      <c r="Q115" s="13">
        <f t="shared" si="25"/>
        <v>0</v>
      </c>
      <c r="R115" s="13">
        <f t="shared" si="25"/>
        <v>0</v>
      </c>
      <c r="S115" s="13">
        <f t="shared" si="25"/>
        <v>0</v>
      </c>
      <c r="T115" s="13">
        <f t="shared" si="25"/>
        <v>0</v>
      </c>
      <c r="U115" s="13">
        <f t="shared" si="25"/>
        <v>0</v>
      </c>
      <c r="V115" s="13">
        <f t="shared" si="25"/>
        <v>2</v>
      </c>
      <c r="W115" s="13">
        <f t="shared" si="25"/>
        <v>0</v>
      </c>
      <c r="X115" s="13">
        <f t="shared" si="25"/>
        <v>0</v>
      </c>
      <c r="Y115" s="13">
        <f t="shared" si="25"/>
        <v>0</v>
      </c>
      <c r="Z115" s="13">
        <f t="shared" si="25"/>
        <v>0</v>
      </c>
      <c r="AA115" s="13">
        <f t="shared" si="25"/>
        <v>2</v>
      </c>
      <c r="AB115" s="13">
        <f t="shared" si="25"/>
        <v>0</v>
      </c>
      <c r="AC115" s="13">
        <f t="shared" si="25"/>
        <v>0</v>
      </c>
      <c r="AD115" s="13">
        <f t="shared" si="25"/>
        <v>9</v>
      </c>
    </row>
    <row r="116" ht="12.75" customHeight="1">
      <c r="A116" s="24"/>
      <c r="B116" s="15"/>
      <c r="C116" s="15"/>
      <c r="D116" s="15"/>
      <c r="E116" s="16"/>
      <c r="F116" s="84"/>
      <c r="G116" s="84"/>
      <c r="H116" s="84"/>
      <c r="I116" s="84"/>
      <c r="J116" s="84"/>
      <c r="K116" s="84"/>
      <c r="L116" s="84"/>
      <c r="M116" s="84"/>
      <c r="N116" s="84"/>
      <c r="O116" s="84"/>
      <c r="P116" s="84"/>
      <c r="Q116" s="84"/>
      <c r="R116" s="84"/>
      <c r="S116" s="84"/>
      <c r="T116" s="84"/>
      <c r="U116" s="84"/>
      <c r="V116" s="84"/>
      <c r="Y116" s="84"/>
      <c r="Z116" s="84"/>
      <c r="AA116" s="84"/>
      <c r="AB116" s="84"/>
      <c r="AC116" s="84"/>
      <c r="AD116" s="13"/>
    </row>
    <row r="117" ht="12.75" customHeight="1">
      <c r="A117" s="30" t="s">
        <v>37</v>
      </c>
      <c r="B117" s="47" t="s">
        <v>90</v>
      </c>
      <c r="C117" s="48" t="s">
        <v>91</v>
      </c>
      <c r="D117" s="16"/>
      <c r="E117" s="19">
        <v>0.0</v>
      </c>
      <c r="F117" s="19">
        <v>0.0</v>
      </c>
      <c r="G117" s="19">
        <v>0.0</v>
      </c>
      <c r="H117" s="19">
        <v>0.0</v>
      </c>
      <c r="I117" s="19">
        <v>0.0</v>
      </c>
      <c r="J117" s="19">
        <v>0.0</v>
      </c>
      <c r="K117" s="19">
        <v>0.0</v>
      </c>
      <c r="L117" s="19">
        <v>0.0</v>
      </c>
      <c r="M117" s="19">
        <v>0.0</v>
      </c>
      <c r="N117" s="19">
        <v>0.0</v>
      </c>
      <c r="O117" s="19">
        <v>2.0</v>
      </c>
      <c r="P117" s="19">
        <v>0.0</v>
      </c>
      <c r="Q117" s="19">
        <v>0.0</v>
      </c>
      <c r="R117" s="19">
        <v>1.0</v>
      </c>
      <c r="S117" s="19">
        <v>0.0</v>
      </c>
      <c r="T117" s="19">
        <v>0.0</v>
      </c>
      <c r="U117" s="19">
        <v>0.0</v>
      </c>
      <c r="V117" s="19">
        <v>0.0</v>
      </c>
      <c r="W117" s="19">
        <v>0.0</v>
      </c>
      <c r="X117" s="19">
        <v>0.0</v>
      </c>
      <c r="Y117" s="19">
        <v>0.0</v>
      </c>
      <c r="Z117" s="19">
        <v>0.0</v>
      </c>
      <c r="AA117" s="19">
        <v>0.0</v>
      </c>
      <c r="AB117" s="19">
        <v>0.0</v>
      </c>
      <c r="AC117" s="19">
        <v>1.0</v>
      </c>
      <c r="AD117" s="13">
        <f t="shared" ref="AD117:AD126" si="26">SUM(E117:AC117)</f>
        <v>4</v>
      </c>
    </row>
    <row r="118" ht="12.75" customHeight="1">
      <c r="A118" s="30" t="s">
        <v>39</v>
      </c>
      <c r="B118" s="55">
        <v>1.0</v>
      </c>
      <c r="C118" s="50" t="s">
        <v>92</v>
      </c>
      <c r="D118" s="60"/>
      <c r="E118" s="19">
        <v>0.0</v>
      </c>
      <c r="F118" s="19">
        <v>0.0</v>
      </c>
      <c r="G118" s="19">
        <v>0.0</v>
      </c>
      <c r="H118" s="19">
        <v>0.0</v>
      </c>
      <c r="I118" s="19">
        <v>0.0</v>
      </c>
      <c r="J118" s="19">
        <v>0.0</v>
      </c>
      <c r="K118" s="19">
        <v>0.0</v>
      </c>
      <c r="L118" s="19">
        <v>0.0</v>
      </c>
      <c r="M118" s="19">
        <v>0.0</v>
      </c>
      <c r="N118" s="19">
        <v>0.0</v>
      </c>
      <c r="O118" s="19">
        <v>0.0</v>
      </c>
      <c r="P118" s="19">
        <v>0.0</v>
      </c>
      <c r="Q118" s="19">
        <v>0.0</v>
      </c>
      <c r="R118" s="19">
        <v>0.0</v>
      </c>
      <c r="S118" s="19">
        <v>0.0</v>
      </c>
      <c r="T118" s="19">
        <v>2.0</v>
      </c>
      <c r="U118" s="19">
        <v>0.0</v>
      </c>
      <c r="V118" s="19">
        <v>0.0</v>
      </c>
      <c r="W118" s="19">
        <v>0.0</v>
      </c>
      <c r="X118" s="19">
        <v>0.0</v>
      </c>
      <c r="Y118" s="19">
        <v>0.0</v>
      </c>
      <c r="Z118" s="19">
        <v>0.0</v>
      </c>
      <c r="AA118" s="19">
        <v>0.0</v>
      </c>
      <c r="AB118" s="19">
        <v>0.0</v>
      </c>
      <c r="AC118" s="19">
        <v>0.0</v>
      </c>
      <c r="AD118" s="13">
        <f t="shared" si="26"/>
        <v>2</v>
      </c>
    </row>
    <row r="119" ht="12.75" customHeight="1">
      <c r="A119" s="18"/>
      <c r="B119" s="55">
        <v>2.0</v>
      </c>
      <c r="C119" s="50" t="s">
        <v>93</v>
      </c>
      <c r="D119" s="60"/>
      <c r="E119" s="19">
        <v>0.0</v>
      </c>
      <c r="F119" s="19">
        <v>0.0</v>
      </c>
      <c r="G119" s="19">
        <v>0.0</v>
      </c>
      <c r="H119" s="19">
        <v>0.0</v>
      </c>
      <c r="I119" s="19">
        <v>0.0</v>
      </c>
      <c r="J119" s="19">
        <v>0.0</v>
      </c>
      <c r="K119" s="19">
        <v>0.0</v>
      </c>
      <c r="L119" s="19">
        <v>0.0</v>
      </c>
      <c r="M119" s="19">
        <v>0.0</v>
      </c>
      <c r="N119" s="19">
        <v>0.0</v>
      </c>
      <c r="O119" s="19">
        <v>0.0</v>
      </c>
      <c r="P119" s="19">
        <v>0.0</v>
      </c>
      <c r="Q119" s="19">
        <v>0.0</v>
      </c>
      <c r="R119" s="19">
        <v>0.0</v>
      </c>
      <c r="S119" s="19">
        <v>0.0</v>
      </c>
      <c r="T119" s="19">
        <v>0.0</v>
      </c>
      <c r="U119" s="19">
        <v>0.0</v>
      </c>
      <c r="V119" s="19">
        <v>1.0</v>
      </c>
      <c r="W119" s="19">
        <v>0.0</v>
      </c>
      <c r="X119" s="19">
        <v>0.0</v>
      </c>
      <c r="Y119" s="19">
        <v>0.0</v>
      </c>
      <c r="Z119" s="19">
        <v>0.0</v>
      </c>
      <c r="AA119" s="19">
        <v>0.0</v>
      </c>
      <c r="AB119" s="19">
        <v>1.0</v>
      </c>
      <c r="AC119" s="19">
        <v>0.0</v>
      </c>
      <c r="AD119" s="13">
        <f t="shared" si="26"/>
        <v>2</v>
      </c>
    </row>
    <row r="120" ht="12.75" customHeight="1">
      <c r="A120" s="18"/>
      <c r="B120" s="55">
        <v>3.0</v>
      </c>
      <c r="C120" s="50" t="s">
        <v>94</v>
      </c>
      <c r="D120" s="60"/>
      <c r="E120" s="19">
        <v>0.0</v>
      </c>
      <c r="F120" s="19">
        <v>0.0</v>
      </c>
      <c r="G120" s="19">
        <v>0.0</v>
      </c>
      <c r="H120" s="19">
        <v>0.0</v>
      </c>
      <c r="I120" s="19">
        <v>0.0</v>
      </c>
      <c r="J120" s="19">
        <v>0.0</v>
      </c>
      <c r="K120" s="19">
        <v>0.0</v>
      </c>
      <c r="L120" s="19">
        <v>0.0</v>
      </c>
      <c r="M120" s="19">
        <v>0.0</v>
      </c>
      <c r="N120" s="19">
        <v>0.0</v>
      </c>
      <c r="O120" s="19">
        <v>0.0</v>
      </c>
      <c r="P120" s="19">
        <v>0.0</v>
      </c>
      <c r="Q120" s="19">
        <v>0.0</v>
      </c>
      <c r="R120" s="19">
        <v>0.0</v>
      </c>
      <c r="S120" s="19">
        <v>0.0</v>
      </c>
      <c r="T120" s="19">
        <v>0.0</v>
      </c>
      <c r="U120" s="19">
        <v>0.0</v>
      </c>
      <c r="V120" s="19">
        <v>0.0</v>
      </c>
      <c r="W120" s="19">
        <v>0.0</v>
      </c>
      <c r="X120" s="19">
        <v>0.0</v>
      </c>
      <c r="Y120" s="19">
        <v>0.0</v>
      </c>
      <c r="Z120" s="19">
        <v>0.0</v>
      </c>
      <c r="AA120" s="19">
        <v>0.0</v>
      </c>
      <c r="AB120" s="19">
        <v>0.0</v>
      </c>
      <c r="AC120" s="19">
        <v>0.0</v>
      </c>
      <c r="AD120" s="13">
        <f t="shared" si="26"/>
        <v>0</v>
      </c>
    </row>
    <row r="121" ht="12.75" customHeight="1">
      <c r="A121" s="18"/>
      <c r="B121" s="56"/>
      <c r="C121" s="57"/>
      <c r="D121" s="62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  <c r="AA121" s="19"/>
      <c r="AB121" s="19"/>
      <c r="AC121" s="19"/>
      <c r="AD121" s="13">
        <f t="shared" si="26"/>
        <v>0</v>
      </c>
    </row>
    <row r="122" ht="12.75" customHeight="1">
      <c r="A122" s="18"/>
      <c r="B122" s="56"/>
      <c r="C122" s="57"/>
      <c r="D122" s="62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  <c r="AA122" s="19"/>
      <c r="AB122" s="19"/>
      <c r="AC122" s="19"/>
      <c r="AD122" s="13">
        <f t="shared" si="26"/>
        <v>0</v>
      </c>
    </row>
    <row r="123" ht="12.75" customHeight="1">
      <c r="A123" s="18"/>
      <c r="B123" s="56"/>
      <c r="C123" s="57"/>
      <c r="D123" s="62"/>
      <c r="E123" s="63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40"/>
      <c r="Y123" s="40"/>
      <c r="Z123" s="40"/>
      <c r="AA123" s="40"/>
      <c r="AB123" s="40"/>
      <c r="AC123" s="40"/>
      <c r="AD123" s="13">
        <f t="shared" si="26"/>
        <v>0</v>
      </c>
    </row>
    <row r="124" ht="12.75" customHeight="1">
      <c r="A124" s="18"/>
      <c r="B124" s="56"/>
      <c r="C124" s="57"/>
      <c r="D124" s="62"/>
      <c r="E124" s="63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40"/>
      <c r="Y124" s="40"/>
      <c r="Z124" s="40"/>
      <c r="AA124" s="40"/>
      <c r="AB124" s="40"/>
      <c r="AC124" s="40"/>
      <c r="AD124" s="13">
        <f t="shared" si="26"/>
        <v>0</v>
      </c>
    </row>
    <row r="125" ht="12.75" customHeight="1">
      <c r="A125" s="18"/>
      <c r="B125" s="56"/>
      <c r="C125" s="57"/>
      <c r="D125" s="62"/>
      <c r="E125" s="63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40"/>
      <c r="AA125" s="40"/>
      <c r="AB125" s="40"/>
      <c r="AC125" s="40"/>
      <c r="AD125" s="13">
        <f t="shared" si="26"/>
        <v>0</v>
      </c>
    </row>
    <row r="126" ht="12.75" customHeight="1">
      <c r="A126" s="18"/>
      <c r="B126" s="56"/>
      <c r="C126" s="57"/>
      <c r="D126" s="62"/>
      <c r="E126" s="63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40"/>
      <c r="Y126" s="40"/>
      <c r="Z126" s="40"/>
      <c r="AA126" s="40"/>
      <c r="AB126" s="40"/>
      <c r="AC126" s="40"/>
      <c r="AD126" s="13">
        <f t="shared" si="26"/>
        <v>0</v>
      </c>
    </row>
    <row r="127" ht="12.75" customHeight="1">
      <c r="A127" s="19" t="s">
        <v>15</v>
      </c>
      <c r="B127" s="47" t="s">
        <v>47</v>
      </c>
      <c r="C127" s="15"/>
      <c r="D127" s="16"/>
      <c r="E127" s="13">
        <f t="shared" ref="E127:AD127" si="27">SUM(E117:E126)</f>
        <v>0</v>
      </c>
      <c r="F127" s="13">
        <f t="shared" si="27"/>
        <v>0</v>
      </c>
      <c r="G127" s="13">
        <f t="shared" si="27"/>
        <v>0</v>
      </c>
      <c r="H127" s="13">
        <f t="shared" si="27"/>
        <v>0</v>
      </c>
      <c r="I127" s="13">
        <f t="shared" si="27"/>
        <v>0</v>
      </c>
      <c r="J127" s="13">
        <f t="shared" si="27"/>
        <v>0</v>
      </c>
      <c r="K127" s="13">
        <f t="shared" si="27"/>
        <v>0</v>
      </c>
      <c r="L127" s="13">
        <f t="shared" si="27"/>
        <v>0</v>
      </c>
      <c r="M127" s="13">
        <f t="shared" si="27"/>
        <v>0</v>
      </c>
      <c r="N127" s="13">
        <f t="shared" si="27"/>
        <v>0</v>
      </c>
      <c r="O127" s="13">
        <f t="shared" si="27"/>
        <v>2</v>
      </c>
      <c r="P127" s="13">
        <f t="shared" si="27"/>
        <v>0</v>
      </c>
      <c r="Q127" s="13">
        <f t="shared" si="27"/>
        <v>0</v>
      </c>
      <c r="R127" s="13">
        <f t="shared" si="27"/>
        <v>1</v>
      </c>
      <c r="S127" s="13">
        <f t="shared" si="27"/>
        <v>0</v>
      </c>
      <c r="T127" s="13">
        <f t="shared" si="27"/>
        <v>2</v>
      </c>
      <c r="U127" s="13">
        <f t="shared" si="27"/>
        <v>0</v>
      </c>
      <c r="V127" s="13">
        <f t="shared" si="27"/>
        <v>1</v>
      </c>
      <c r="W127" s="13">
        <f t="shared" si="27"/>
        <v>0</v>
      </c>
      <c r="X127" s="13">
        <f t="shared" si="27"/>
        <v>0</v>
      </c>
      <c r="Y127" s="13">
        <f t="shared" si="27"/>
        <v>0</v>
      </c>
      <c r="Z127" s="13">
        <f t="shared" si="27"/>
        <v>0</v>
      </c>
      <c r="AA127" s="13">
        <f t="shared" si="27"/>
        <v>0</v>
      </c>
      <c r="AB127" s="13">
        <f t="shared" si="27"/>
        <v>1</v>
      </c>
      <c r="AC127" s="13">
        <f t="shared" si="27"/>
        <v>1</v>
      </c>
      <c r="AD127" s="13">
        <f t="shared" si="27"/>
        <v>8</v>
      </c>
    </row>
    <row r="128" ht="12.75" customHeight="1">
      <c r="A128" s="24"/>
      <c r="B128" s="15"/>
      <c r="C128" s="15"/>
      <c r="D128" s="15"/>
      <c r="E128" s="16"/>
      <c r="F128" s="84"/>
      <c r="G128" s="84"/>
      <c r="H128" s="84"/>
      <c r="I128" s="84"/>
      <c r="J128" s="84"/>
      <c r="K128" s="84"/>
      <c r="L128" s="84"/>
      <c r="M128" s="84"/>
      <c r="N128" s="84"/>
      <c r="O128" s="84"/>
      <c r="P128" s="84"/>
      <c r="Q128" s="84"/>
      <c r="R128" s="84"/>
      <c r="S128" s="84"/>
      <c r="T128" s="84"/>
      <c r="U128" s="84"/>
      <c r="V128" s="84"/>
      <c r="W128" s="84"/>
      <c r="X128" s="84"/>
      <c r="Y128" s="84"/>
      <c r="Z128" s="84"/>
      <c r="AA128" s="84"/>
      <c r="AB128" s="84"/>
      <c r="AC128" s="84"/>
      <c r="AD128" s="84"/>
    </row>
    <row r="129" ht="12.75" customHeight="1">
      <c r="A129" s="30" t="s">
        <v>37</v>
      </c>
      <c r="B129" s="47" t="s">
        <v>95</v>
      </c>
      <c r="C129" s="48" t="s">
        <v>96</v>
      </c>
      <c r="D129" s="16"/>
      <c r="E129" s="19">
        <v>0.0</v>
      </c>
      <c r="F129" s="19">
        <v>1.0</v>
      </c>
      <c r="G129" s="19">
        <v>1.0</v>
      </c>
      <c r="H129" s="19">
        <v>1.0</v>
      </c>
      <c r="I129" s="19">
        <v>0.0</v>
      </c>
      <c r="J129" s="19">
        <v>1.0</v>
      </c>
      <c r="K129" s="19">
        <v>5.0</v>
      </c>
      <c r="L129" s="19">
        <v>1.0</v>
      </c>
      <c r="M129" s="19">
        <v>1.0</v>
      </c>
      <c r="N129" s="19">
        <v>1.0</v>
      </c>
      <c r="O129" s="19">
        <v>1.0</v>
      </c>
      <c r="P129" s="19">
        <v>0.0</v>
      </c>
      <c r="Q129" s="19">
        <v>1.0</v>
      </c>
      <c r="R129" s="19">
        <v>0.0</v>
      </c>
      <c r="S129" s="19">
        <v>1.0</v>
      </c>
      <c r="T129" s="19">
        <v>0.0</v>
      </c>
      <c r="U129" s="19">
        <v>2.0</v>
      </c>
      <c r="V129" s="19">
        <v>1.0</v>
      </c>
      <c r="W129" s="19">
        <v>1.0</v>
      </c>
      <c r="X129" s="19">
        <v>1.0</v>
      </c>
      <c r="Y129" s="19">
        <v>2.0</v>
      </c>
      <c r="Z129" s="19">
        <v>0.0</v>
      </c>
      <c r="AA129" s="19">
        <v>0.0</v>
      </c>
      <c r="AB129" s="19">
        <v>0.0</v>
      </c>
      <c r="AC129" s="19">
        <v>1.0</v>
      </c>
      <c r="AD129" s="13">
        <f t="shared" ref="AD129:AD138" si="28">SUM(E129:AC129)</f>
        <v>23</v>
      </c>
    </row>
    <row r="130" ht="12.75" customHeight="1">
      <c r="A130" s="30" t="s">
        <v>39</v>
      </c>
      <c r="B130" s="55">
        <v>1.0</v>
      </c>
      <c r="C130" s="50" t="s">
        <v>97</v>
      </c>
      <c r="D130" s="59"/>
      <c r="E130" s="19">
        <v>1.0</v>
      </c>
      <c r="F130" s="19">
        <v>0.0</v>
      </c>
      <c r="G130" s="19">
        <v>0.0</v>
      </c>
      <c r="H130" s="19">
        <v>1.0</v>
      </c>
      <c r="I130" s="19">
        <v>0.0</v>
      </c>
      <c r="J130" s="19">
        <v>1.0</v>
      </c>
      <c r="K130" s="19">
        <v>2.0</v>
      </c>
      <c r="L130" s="19">
        <v>2.0</v>
      </c>
      <c r="M130" s="19">
        <v>2.0</v>
      </c>
      <c r="N130" s="19">
        <v>1.0</v>
      </c>
      <c r="O130" s="19">
        <v>3.0</v>
      </c>
      <c r="P130" s="19">
        <v>1.0</v>
      </c>
      <c r="Q130" s="19">
        <v>0.0</v>
      </c>
      <c r="R130" s="19">
        <v>1.0</v>
      </c>
      <c r="S130" s="19">
        <v>0.0</v>
      </c>
      <c r="T130" s="19">
        <v>0.0</v>
      </c>
      <c r="U130" s="19">
        <v>0.0</v>
      </c>
      <c r="V130" s="19">
        <v>0.0</v>
      </c>
      <c r="W130" s="19">
        <v>0.0</v>
      </c>
      <c r="X130" s="19">
        <v>0.0</v>
      </c>
      <c r="Y130" s="19">
        <v>2.0</v>
      </c>
      <c r="Z130" s="19">
        <v>0.0</v>
      </c>
      <c r="AA130" s="19">
        <v>0.0</v>
      </c>
      <c r="AB130" s="19">
        <v>0.0</v>
      </c>
      <c r="AC130" s="19">
        <v>0.0</v>
      </c>
      <c r="AD130" s="13">
        <f t="shared" si="28"/>
        <v>17</v>
      </c>
    </row>
    <row r="131" ht="12.75" customHeight="1">
      <c r="A131" s="18"/>
      <c r="B131" s="55">
        <v>2.0</v>
      </c>
      <c r="C131" s="50" t="s">
        <v>98</v>
      </c>
      <c r="D131" s="59"/>
      <c r="E131" s="19">
        <v>0.0</v>
      </c>
      <c r="F131" s="19">
        <v>2.0</v>
      </c>
      <c r="G131" s="19">
        <v>1.0</v>
      </c>
      <c r="H131" s="19">
        <v>0.0</v>
      </c>
      <c r="I131" s="19">
        <v>0.0</v>
      </c>
      <c r="J131" s="19">
        <v>0.0</v>
      </c>
      <c r="K131" s="19">
        <v>1.0</v>
      </c>
      <c r="L131" s="19">
        <v>0.0</v>
      </c>
      <c r="M131" s="19">
        <v>0.0</v>
      </c>
      <c r="N131" s="19">
        <v>0.0</v>
      </c>
      <c r="O131" s="19">
        <v>2.0</v>
      </c>
      <c r="P131" s="19">
        <v>0.0</v>
      </c>
      <c r="Q131" s="19">
        <v>0.0</v>
      </c>
      <c r="R131" s="19">
        <v>0.0</v>
      </c>
      <c r="S131" s="19">
        <v>0.0</v>
      </c>
      <c r="T131" s="19">
        <v>2.0</v>
      </c>
      <c r="U131" s="19">
        <v>0.0</v>
      </c>
      <c r="V131" s="19">
        <v>0.0</v>
      </c>
      <c r="W131" s="19">
        <v>1.0</v>
      </c>
      <c r="X131" s="19">
        <v>0.0</v>
      </c>
      <c r="Y131" s="19">
        <v>0.0</v>
      </c>
      <c r="Z131" s="19">
        <v>0.0</v>
      </c>
      <c r="AA131" s="19">
        <v>0.0</v>
      </c>
      <c r="AB131" s="19">
        <v>0.0</v>
      </c>
      <c r="AC131" s="19">
        <v>0.0</v>
      </c>
      <c r="AD131" s="13">
        <f t="shared" si="28"/>
        <v>9</v>
      </c>
    </row>
    <row r="132" ht="12.75" customHeight="1">
      <c r="A132" s="18"/>
      <c r="B132" s="55">
        <v>3.0</v>
      </c>
      <c r="C132" s="50" t="s">
        <v>99</v>
      </c>
      <c r="D132" s="59"/>
      <c r="E132" s="19">
        <v>0.0</v>
      </c>
      <c r="F132" s="19">
        <v>0.0</v>
      </c>
      <c r="G132" s="19">
        <v>0.0</v>
      </c>
      <c r="H132" s="19">
        <v>0.0</v>
      </c>
      <c r="I132" s="19">
        <v>0.0</v>
      </c>
      <c r="J132" s="19">
        <v>2.0</v>
      </c>
      <c r="K132" s="19">
        <v>0.0</v>
      </c>
      <c r="L132" s="19">
        <v>0.0</v>
      </c>
      <c r="M132" s="19">
        <v>0.0</v>
      </c>
      <c r="N132" s="19">
        <v>0.0</v>
      </c>
      <c r="O132" s="19">
        <v>0.0</v>
      </c>
      <c r="P132" s="19">
        <v>0.0</v>
      </c>
      <c r="Q132" s="19">
        <v>0.0</v>
      </c>
      <c r="R132" s="19">
        <v>0.0</v>
      </c>
      <c r="S132" s="19">
        <v>0.0</v>
      </c>
      <c r="T132" s="19">
        <v>0.0</v>
      </c>
      <c r="U132" s="19">
        <v>0.0</v>
      </c>
      <c r="V132" s="19">
        <v>0.0</v>
      </c>
      <c r="W132" s="19">
        <v>0.0</v>
      </c>
      <c r="X132" s="19">
        <v>0.0</v>
      </c>
      <c r="Y132" s="19">
        <v>0.0</v>
      </c>
      <c r="Z132" s="19">
        <v>0.0</v>
      </c>
      <c r="AA132" s="19">
        <v>0.0</v>
      </c>
      <c r="AB132" s="19">
        <v>0.0</v>
      </c>
      <c r="AC132" s="19">
        <v>0.0</v>
      </c>
      <c r="AD132" s="13">
        <f t="shared" si="28"/>
        <v>2</v>
      </c>
    </row>
    <row r="133" ht="12.75" customHeight="1">
      <c r="A133" s="18"/>
      <c r="B133" s="55">
        <v>4.0</v>
      </c>
      <c r="C133" s="50" t="s">
        <v>100</v>
      </c>
      <c r="D133" s="59"/>
      <c r="E133" s="19">
        <v>0.0</v>
      </c>
      <c r="F133" s="19">
        <v>0.0</v>
      </c>
      <c r="G133" s="19">
        <v>0.0</v>
      </c>
      <c r="H133" s="19">
        <v>0.0</v>
      </c>
      <c r="I133" s="19">
        <v>0.0</v>
      </c>
      <c r="J133" s="19">
        <v>0.0</v>
      </c>
      <c r="K133" s="19">
        <v>0.0</v>
      </c>
      <c r="L133" s="19">
        <v>0.0</v>
      </c>
      <c r="M133" s="19">
        <v>0.0</v>
      </c>
      <c r="N133" s="19">
        <v>0.0</v>
      </c>
      <c r="O133" s="19">
        <v>0.0</v>
      </c>
      <c r="P133" s="19">
        <v>0.0</v>
      </c>
      <c r="Q133" s="19">
        <v>0.0</v>
      </c>
      <c r="R133" s="19">
        <v>0.0</v>
      </c>
      <c r="S133" s="19">
        <v>0.0</v>
      </c>
      <c r="T133" s="19">
        <v>0.0</v>
      </c>
      <c r="U133" s="19">
        <v>0.0</v>
      </c>
      <c r="V133" s="19">
        <v>0.0</v>
      </c>
      <c r="W133" s="19">
        <v>0.0</v>
      </c>
      <c r="X133" s="19">
        <v>0.0</v>
      </c>
      <c r="Y133" s="19">
        <v>0.0</v>
      </c>
      <c r="Z133" s="19">
        <v>0.0</v>
      </c>
      <c r="AA133" s="19">
        <v>0.0</v>
      </c>
      <c r="AB133" s="19">
        <v>0.0</v>
      </c>
      <c r="AC133" s="19">
        <v>0.0</v>
      </c>
      <c r="AD133" s="13">
        <f t="shared" si="28"/>
        <v>0</v>
      </c>
    </row>
    <row r="134" ht="12.75" customHeight="1">
      <c r="A134" s="18"/>
      <c r="B134" s="55">
        <v>5.0</v>
      </c>
      <c r="C134" s="50" t="s">
        <v>101</v>
      </c>
      <c r="D134" s="59"/>
      <c r="E134" s="19">
        <v>0.0</v>
      </c>
      <c r="F134" s="19">
        <v>0.0</v>
      </c>
      <c r="G134" s="19">
        <v>0.0</v>
      </c>
      <c r="H134" s="19">
        <v>0.0</v>
      </c>
      <c r="I134" s="19">
        <v>0.0</v>
      </c>
      <c r="J134" s="19">
        <v>0.0</v>
      </c>
      <c r="K134" s="19">
        <v>0.0</v>
      </c>
      <c r="L134" s="19">
        <v>0.0</v>
      </c>
      <c r="M134" s="19">
        <v>0.0</v>
      </c>
      <c r="N134" s="19">
        <v>0.0</v>
      </c>
      <c r="O134" s="19">
        <v>0.0</v>
      </c>
      <c r="P134" s="19">
        <v>0.0</v>
      </c>
      <c r="Q134" s="19">
        <v>0.0</v>
      </c>
      <c r="R134" s="19">
        <v>0.0</v>
      </c>
      <c r="S134" s="19">
        <v>0.0</v>
      </c>
      <c r="T134" s="19">
        <v>0.0</v>
      </c>
      <c r="U134" s="19">
        <v>0.0</v>
      </c>
      <c r="V134" s="19">
        <v>0.0</v>
      </c>
      <c r="W134" s="19">
        <v>0.0</v>
      </c>
      <c r="X134" s="19">
        <v>0.0</v>
      </c>
      <c r="Y134" s="19">
        <v>0.0</v>
      </c>
      <c r="Z134" s="19">
        <v>0.0</v>
      </c>
      <c r="AA134" s="19">
        <v>0.0</v>
      </c>
      <c r="AB134" s="19">
        <v>0.0</v>
      </c>
      <c r="AC134" s="19">
        <v>0.0</v>
      </c>
      <c r="AD134" s="13">
        <f t="shared" si="28"/>
        <v>0</v>
      </c>
    </row>
    <row r="135" ht="12.75" customHeight="1">
      <c r="A135" s="18"/>
      <c r="B135" s="55">
        <v>6.0</v>
      </c>
      <c r="C135" s="50" t="s">
        <v>102</v>
      </c>
      <c r="D135" s="60"/>
      <c r="E135" s="19">
        <v>0.0</v>
      </c>
      <c r="F135" s="19">
        <v>0.0</v>
      </c>
      <c r="G135" s="19">
        <v>0.0</v>
      </c>
      <c r="H135" s="19">
        <v>0.0</v>
      </c>
      <c r="I135" s="19">
        <v>0.0</v>
      </c>
      <c r="J135" s="19">
        <v>0.0</v>
      </c>
      <c r="K135" s="19">
        <v>0.0</v>
      </c>
      <c r="L135" s="19">
        <v>0.0</v>
      </c>
      <c r="M135" s="19">
        <v>0.0</v>
      </c>
      <c r="N135" s="19">
        <v>0.0</v>
      </c>
      <c r="O135" s="19">
        <v>0.0</v>
      </c>
      <c r="P135" s="19">
        <v>0.0</v>
      </c>
      <c r="Q135" s="19">
        <v>0.0</v>
      </c>
      <c r="R135" s="19">
        <v>0.0</v>
      </c>
      <c r="S135" s="19">
        <v>0.0</v>
      </c>
      <c r="T135" s="19">
        <v>0.0</v>
      </c>
      <c r="U135" s="19">
        <v>0.0</v>
      </c>
      <c r="V135" s="19">
        <v>0.0</v>
      </c>
      <c r="W135" s="19">
        <v>0.0</v>
      </c>
      <c r="X135" s="19">
        <v>0.0</v>
      </c>
      <c r="Y135" s="19">
        <v>0.0</v>
      </c>
      <c r="Z135" s="19">
        <v>0.0</v>
      </c>
      <c r="AA135" s="19">
        <v>0.0</v>
      </c>
      <c r="AB135" s="19">
        <v>0.0</v>
      </c>
      <c r="AC135" s="19">
        <v>0.0</v>
      </c>
      <c r="AD135" s="13">
        <f t="shared" si="28"/>
        <v>0</v>
      </c>
    </row>
    <row r="136" ht="12.75" customHeight="1">
      <c r="A136" s="18"/>
      <c r="B136" s="55">
        <v>7.0</v>
      </c>
      <c r="C136" s="50" t="s">
        <v>103</v>
      </c>
      <c r="D136" s="59"/>
      <c r="E136" s="19">
        <v>0.0</v>
      </c>
      <c r="F136" s="19">
        <v>0.0</v>
      </c>
      <c r="G136" s="19">
        <v>0.0</v>
      </c>
      <c r="H136" s="19">
        <v>0.0</v>
      </c>
      <c r="I136" s="19">
        <v>0.0</v>
      </c>
      <c r="J136" s="19">
        <v>0.0</v>
      </c>
      <c r="K136" s="19">
        <v>0.0</v>
      </c>
      <c r="L136" s="19">
        <v>0.0</v>
      </c>
      <c r="M136" s="19">
        <v>0.0</v>
      </c>
      <c r="N136" s="19">
        <v>0.0</v>
      </c>
      <c r="O136" s="19">
        <v>0.0</v>
      </c>
      <c r="P136" s="19">
        <v>0.0</v>
      </c>
      <c r="Q136" s="19">
        <v>1.0</v>
      </c>
      <c r="R136" s="19">
        <v>0.0</v>
      </c>
      <c r="S136" s="19">
        <v>0.0</v>
      </c>
      <c r="T136" s="19">
        <v>0.0</v>
      </c>
      <c r="U136" s="19">
        <v>0.0</v>
      </c>
      <c r="V136" s="19">
        <v>0.0</v>
      </c>
      <c r="W136" s="19">
        <v>0.0</v>
      </c>
      <c r="X136" s="19">
        <v>0.0</v>
      </c>
      <c r="Y136" s="19">
        <v>0.0</v>
      </c>
      <c r="Z136" s="19">
        <v>0.0</v>
      </c>
      <c r="AA136" s="19">
        <v>0.0</v>
      </c>
      <c r="AB136" s="19">
        <v>0.0</v>
      </c>
      <c r="AC136" s="19">
        <v>0.0</v>
      </c>
      <c r="AD136" s="13">
        <f t="shared" si="28"/>
        <v>1</v>
      </c>
    </row>
    <row r="137" ht="12.75" customHeight="1">
      <c r="A137" s="18"/>
      <c r="B137" s="56"/>
      <c r="C137" s="57"/>
      <c r="D137" s="61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  <c r="AA137" s="19"/>
      <c r="AB137" s="19"/>
      <c r="AC137" s="19"/>
      <c r="AD137" s="13">
        <f t="shared" si="28"/>
        <v>0</v>
      </c>
    </row>
    <row r="138" ht="12.75" customHeight="1">
      <c r="A138" s="18"/>
      <c r="B138" s="56"/>
      <c r="C138" s="57"/>
      <c r="D138" s="61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  <c r="AA138" s="19"/>
      <c r="AB138" s="19"/>
      <c r="AC138" s="19"/>
      <c r="AD138" s="13">
        <f t="shared" si="28"/>
        <v>0</v>
      </c>
    </row>
    <row r="139" ht="12.75" customHeight="1">
      <c r="A139" s="19" t="s">
        <v>15</v>
      </c>
      <c r="B139" s="47" t="s">
        <v>47</v>
      </c>
      <c r="C139" s="15"/>
      <c r="D139" s="16"/>
      <c r="E139" s="13">
        <f t="shared" ref="E139:AD139" si="29">SUM(E129:E138)</f>
        <v>1</v>
      </c>
      <c r="F139" s="13">
        <f t="shared" si="29"/>
        <v>3</v>
      </c>
      <c r="G139" s="13">
        <f t="shared" si="29"/>
        <v>2</v>
      </c>
      <c r="H139" s="13">
        <f t="shared" si="29"/>
        <v>2</v>
      </c>
      <c r="I139" s="13">
        <f t="shared" si="29"/>
        <v>0</v>
      </c>
      <c r="J139" s="13">
        <f t="shared" si="29"/>
        <v>4</v>
      </c>
      <c r="K139" s="13">
        <f t="shared" si="29"/>
        <v>8</v>
      </c>
      <c r="L139" s="13">
        <f t="shared" si="29"/>
        <v>3</v>
      </c>
      <c r="M139" s="13">
        <f t="shared" si="29"/>
        <v>3</v>
      </c>
      <c r="N139" s="13">
        <f t="shared" si="29"/>
        <v>2</v>
      </c>
      <c r="O139" s="13">
        <f t="shared" si="29"/>
        <v>6</v>
      </c>
      <c r="P139" s="13">
        <f t="shared" si="29"/>
        <v>1</v>
      </c>
      <c r="Q139" s="13">
        <f t="shared" si="29"/>
        <v>2</v>
      </c>
      <c r="R139" s="13">
        <f t="shared" si="29"/>
        <v>1</v>
      </c>
      <c r="S139" s="13">
        <f t="shared" si="29"/>
        <v>1</v>
      </c>
      <c r="T139" s="13">
        <f t="shared" si="29"/>
        <v>2</v>
      </c>
      <c r="U139" s="13">
        <f t="shared" si="29"/>
        <v>2</v>
      </c>
      <c r="V139" s="13">
        <f t="shared" si="29"/>
        <v>1</v>
      </c>
      <c r="W139" s="13">
        <f t="shared" si="29"/>
        <v>2</v>
      </c>
      <c r="X139" s="13">
        <f t="shared" si="29"/>
        <v>1</v>
      </c>
      <c r="Y139" s="13">
        <f t="shared" si="29"/>
        <v>4</v>
      </c>
      <c r="Z139" s="13">
        <f t="shared" si="29"/>
        <v>0</v>
      </c>
      <c r="AA139" s="13">
        <f t="shared" si="29"/>
        <v>0</v>
      </c>
      <c r="AB139" s="13">
        <f t="shared" si="29"/>
        <v>0</v>
      </c>
      <c r="AC139" s="13">
        <f t="shared" si="29"/>
        <v>1</v>
      </c>
      <c r="AD139" s="13">
        <f t="shared" si="29"/>
        <v>52</v>
      </c>
    </row>
    <row r="140" ht="12.75" customHeight="1">
      <c r="A140" s="24"/>
      <c r="B140" s="15"/>
      <c r="C140" s="15"/>
      <c r="D140" s="15"/>
      <c r="E140" s="16"/>
      <c r="F140" s="84"/>
      <c r="G140" s="84"/>
      <c r="H140" s="84"/>
      <c r="I140" s="84"/>
      <c r="J140" s="84"/>
      <c r="K140" s="84"/>
      <c r="L140" s="84"/>
      <c r="M140" s="84"/>
      <c r="N140" s="84"/>
      <c r="O140" s="84"/>
      <c r="P140" s="84"/>
      <c r="Q140" s="84"/>
      <c r="R140" s="84"/>
      <c r="S140" s="84"/>
      <c r="T140" s="84"/>
      <c r="U140" s="84"/>
      <c r="V140" s="84"/>
      <c r="W140" s="84"/>
      <c r="X140" s="84"/>
      <c r="Y140" s="84"/>
      <c r="Z140" s="84"/>
      <c r="AA140" s="84"/>
      <c r="AB140" s="84"/>
      <c r="AC140" s="84"/>
      <c r="AD140" s="84"/>
    </row>
    <row r="141" ht="12.75" customHeight="1">
      <c r="A141" s="30" t="s">
        <v>37</v>
      </c>
      <c r="B141" s="47" t="s">
        <v>104</v>
      </c>
      <c r="C141" s="48" t="s">
        <v>105</v>
      </c>
      <c r="D141" s="16"/>
      <c r="E141" s="19">
        <v>0.0</v>
      </c>
      <c r="F141" s="19">
        <v>0.0</v>
      </c>
      <c r="G141" s="19">
        <v>0.0</v>
      </c>
      <c r="H141" s="19">
        <v>0.0</v>
      </c>
      <c r="I141" s="19">
        <v>0.0</v>
      </c>
      <c r="J141" s="19">
        <v>0.0</v>
      </c>
      <c r="K141" s="19">
        <v>0.0</v>
      </c>
      <c r="L141" s="19">
        <v>0.0</v>
      </c>
      <c r="M141" s="19">
        <v>0.0</v>
      </c>
      <c r="N141" s="19">
        <v>0.0</v>
      </c>
      <c r="O141" s="19">
        <v>0.0</v>
      </c>
      <c r="P141" s="19">
        <v>0.0</v>
      </c>
      <c r="Q141" s="19">
        <v>0.0</v>
      </c>
      <c r="R141" s="19">
        <v>0.0</v>
      </c>
      <c r="S141" s="19">
        <v>0.0</v>
      </c>
      <c r="T141" s="19">
        <v>0.0</v>
      </c>
      <c r="U141" s="19">
        <v>0.0</v>
      </c>
      <c r="V141" s="19">
        <v>0.0</v>
      </c>
      <c r="W141" s="19">
        <v>0.0</v>
      </c>
      <c r="X141" s="19">
        <v>0.0</v>
      </c>
      <c r="Y141" s="19">
        <v>0.0</v>
      </c>
      <c r="Z141" s="19">
        <v>0.0</v>
      </c>
      <c r="AA141" s="19">
        <v>0.0</v>
      </c>
      <c r="AB141" s="19">
        <v>0.0</v>
      </c>
      <c r="AC141" s="19">
        <v>0.0</v>
      </c>
      <c r="AD141" s="13">
        <f t="shared" ref="AD141:AD150" si="30">SUM(E141:AC141)</f>
        <v>0</v>
      </c>
    </row>
    <row r="142" ht="12.75" customHeight="1">
      <c r="A142" s="30" t="s">
        <v>39</v>
      </c>
      <c r="B142" s="55">
        <v>1.0</v>
      </c>
      <c r="C142" s="50" t="s">
        <v>106</v>
      </c>
      <c r="D142" s="60"/>
      <c r="E142" s="19">
        <v>0.0</v>
      </c>
      <c r="F142" s="19">
        <v>0.0</v>
      </c>
      <c r="G142" s="19">
        <v>0.0</v>
      </c>
      <c r="H142" s="19">
        <v>0.0</v>
      </c>
      <c r="I142" s="19">
        <v>0.0</v>
      </c>
      <c r="J142" s="19">
        <v>0.0</v>
      </c>
      <c r="K142" s="19">
        <v>0.0</v>
      </c>
      <c r="L142" s="19">
        <v>0.0</v>
      </c>
      <c r="M142" s="19">
        <v>0.0</v>
      </c>
      <c r="N142" s="19">
        <v>0.0</v>
      </c>
      <c r="O142" s="19">
        <v>0.0</v>
      </c>
      <c r="P142" s="19">
        <v>0.0</v>
      </c>
      <c r="Q142" s="19">
        <v>0.0</v>
      </c>
      <c r="R142" s="19">
        <v>0.0</v>
      </c>
      <c r="S142" s="19">
        <v>0.0</v>
      </c>
      <c r="T142" s="19">
        <v>0.0</v>
      </c>
      <c r="U142" s="19">
        <v>0.0</v>
      </c>
      <c r="V142" s="19">
        <v>0.0</v>
      </c>
      <c r="W142" s="19">
        <v>0.0</v>
      </c>
      <c r="X142" s="19">
        <v>0.0</v>
      </c>
      <c r="Y142" s="19">
        <v>0.0</v>
      </c>
      <c r="Z142" s="19">
        <v>0.0</v>
      </c>
      <c r="AA142" s="19">
        <v>0.0</v>
      </c>
      <c r="AB142" s="19">
        <v>0.0</v>
      </c>
      <c r="AC142" s="19">
        <v>0.0</v>
      </c>
      <c r="AD142" s="13">
        <f t="shared" si="30"/>
        <v>0</v>
      </c>
    </row>
    <row r="143" ht="12.75" customHeight="1">
      <c r="A143" s="18"/>
      <c r="B143" s="55">
        <v>2.0</v>
      </c>
      <c r="C143" s="50" t="s">
        <v>107</v>
      </c>
      <c r="D143" s="60"/>
      <c r="E143" s="19">
        <v>0.0</v>
      </c>
      <c r="F143" s="19">
        <v>0.0</v>
      </c>
      <c r="G143" s="19">
        <v>0.0</v>
      </c>
      <c r="H143" s="19">
        <v>0.0</v>
      </c>
      <c r="I143" s="19">
        <v>0.0</v>
      </c>
      <c r="J143" s="19">
        <v>0.0</v>
      </c>
      <c r="K143" s="19">
        <v>0.0</v>
      </c>
      <c r="L143" s="19">
        <v>0.0</v>
      </c>
      <c r="M143" s="19">
        <v>0.0</v>
      </c>
      <c r="N143" s="19">
        <v>0.0</v>
      </c>
      <c r="O143" s="19">
        <v>0.0</v>
      </c>
      <c r="P143" s="19">
        <v>0.0</v>
      </c>
      <c r="Q143" s="19">
        <v>0.0</v>
      </c>
      <c r="R143" s="19">
        <v>0.0</v>
      </c>
      <c r="S143" s="19">
        <v>0.0</v>
      </c>
      <c r="T143" s="19">
        <v>0.0</v>
      </c>
      <c r="U143" s="19">
        <v>0.0</v>
      </c>
      <c r="V143" s="19">
        <v>0.0</v>
      </c>
      <c r="W143" s="19">
        <v>0.0</v>
      </c>
      <c r="X143" s="19">
        <v>0.0</v>
      </c>
      <c r="Y143" s="19">
        <v>0.0</v>
      </c>
      <c r="Z143" s="19">
        <v>0.0</v>
      </c>
      <c r="AA143" s="19">
        <v>0.0</v>
      </c>
      <c r="AB143" s="19">
        <v>0.0</v>
      </c>
      <c r="AC143" s="19">
        <v>0.0</v>
      </c>
      <c r="AD143" s="13">
        <f t="shared" si="30"/>
        <v>0</v>
      </c>
    </row>
    <row r="144" ht="12.75" customHeight="1">
      <c r="A144" s="18"/>
      <c r="B144" s="55">
        <v>3.0</v>
      </c>
      <c r="C144" s="50" t="s">
        <v>108</v>
      </c>
      <c r="D144" s="60"/>
      <c r="E144" s="19">
        <v>0.0</v>
      </c>
      <c r="F144" s="19">
        <v>0.0</v>
      </c>
      <c r="G144" s="19">
        <v>0.0</v>
      </c>
      <c r="H144" s="19">
        <v>0.0</v>
      </c>
      <c r="I144" s="19">
        <v>0.0</v>
      </c>
      <c r="J144" s="19">
        <v>0.0</v>
      </c>
      <c r="K144" s="19">
        <v>0.0</v>
      </c>
      <c r="L144" s="19">
        <v>0.0</v>
      </c>
      <c r="M144" s="19">
        <v>0.0</v>
      </c>
      <c r="N144" s="19">
        <v>0.0</v>
      </c>
      <c r="O144" s="19">
        <v>0.0</v>
      </c>
      <c r="P144" s="19">
        <v>0.0</v>
      </c>
      <c r="Q144" s="19">
        <v>0.0</v>
      </c>
      <c r="R144" s="19">
        <v>0.0</v>
      </c>
      <c r="S144" s="19">
        <v>0.0</v>
      </c>
      <c r="T144" s="19">
        <v>0.0</v>
      </c>
      <c r="U144" s="19">
        <v>0.0</v>
      </c>
      <c r="V144" s="19">
        <v>0.0</v>
      </c>
      <c r="W144" s="19">
        <v>0.0</v>
      </c>
      <c r="X144" s="19">
        <v>0.0</v>
      </c>
      <c r="Y144" s="19">
        <v>0.0</v>
      </c>
      <c r="Z144" s="19">
        <v>0.0</v>
      </c>
      <c r="AA144" s="19">
        <v>0.0</v>
      </c>
      <c r="AB144" s="19">
        <v>0.0</v>
      </c>
      <c r="AC144" s="19">
        <v>0.0</v>
      </c>
      <c r="AD144" s="13">
        <f t="shared" si="30"/>
        <v>0</v>
      </c>
    </row>
    <row r="145" ht="12.75" customHeight="1">
      <c r="A145" s="18"/>
      <c r="B145" s="55">
        <v>4.0</v>
      </c>
      <c r="C145" s="50" t="s">
        <v>109</v>
      </c>
      <c r="D145" s="60"/>
      <c r="E145" s="19">
        <v>0.0</v>
      </c>
      <c r="F145" s="19">
        <v>0.0</v>
      </c>
      <c r="G145" s="19">
        <v>0.0</v>
      </c>
      <c r="H145" s="19">
        <v>0.0</v>
      </c>
      <c r="I145" s="19">
        <v>0.0</v>
      </c>
      <c r="J145" s="19">
        <v>0.0</v>
      </c>
      <c r="K145" s="19">
        <v>0.0</v>
      </c>
      <c r="L145" s="19">
        <v>0.0</v>
      </c>
      <c r="M145" s="19">
        <v>0.0</v>
      </c>
      <c r="N145" s="19">
        <v>0.0</v>
      </c>
      <c r="O145" s="19">
        <v>0.0</v>
      </c>
      <c r="P145" s="19">
        <v>0.0</v>
      </c>
      <c r="Q145" s="19">
        <v>0.0</v>
      </c>
      <c r="R145" s="19">
        <v>0.0</v>
      </c>
      <c r="S145" s="19">
        <v>0.0</v>
      </c>
      <c r="T145" s="19">
        <v>0.0</v>
      </c>
      <c r="U145" s="19">
        <v>0.0</v>
      </c>
      <c r="V145" s="19">
        <v>0.0</v>
      </c>
      <c r="W145" s="19">
        <v>0.0</v>
      </c>
      <c r="X145" s="19">
        <v>0.0</v>
      </c>
      <c r="Y145" s="19">
        <v>0.0</v>
      </c>
      <c r="Z145" s="19">
        <v>0.0</v>
      </c>
      <c r="AA145" s="19">
        <v>0.0</v>
      </c>
      <c r="AB145" s="19">
        <v>0.0</v>
      </c>
      <c r="AC145" s="19">
        <v>0.0</v>
      </c>
      <c r="AD145" s="13">
        <f t="shared" si="30"/>
        <v>0</v>
      </c>
    </row>
    <row r="146" ht="12.75" customHeight="1">
      <c r="A146" s="18"/>
      <c r="B146" s="55">
        <v>5.0</v>
      </c>
      <c r="C146" s="50" t="s">
        <v>110</v>
      </c>
      <c r="D146" s="60"/>
      <c r="E146" s="19">
        <v>0.0</v>
      </c>
      <c r="F146" s="19">
        <v>0.0</v>
      </c>
      <c r="G146" s="19">
        <v>0.0</v>
      </c>
      <c r="H146" s="19">
        <v>0.0</v>
      </c>
      <c r="I146" s="19">
        <v>0.0</v>
      </c>
      <c r="J146" s="19">
        <v>0.0</v>
      </c>
      <c r="K146" s="19">
        <v>0.0</v>
      </c>
      <c r="L146" s="19">
        <v>0.0</v>
      </c>
      <c r="M146" s="19">
        <v>0.0</v>
      </c>
      <c r="N146" s="19">
        <v>0.0</v>
      </c>
      <c r="O146" s="19">
        <v>0.0</v>
      </c>
      <c r="P146" s="19">
        <v>0.0</v>
      </c>
      <c r="Q146" s="19">
        <v>0.0</v>
      </c>
      <c r="R146" s="19">
        <v>0.0</v>
      </c>
      <c r="S146" s="19">
        <v>0.0</v>
      </c>
      <c r="T146" s="19">
        <v>0.0</v>
      </c>
      <c r="U146" s="19">
        <v>0.0</v>
      </c>
      <c r="V146" s="19">
        <v>0.0</v>
      </c>
      <c r="W146" s="19">
        <v>0.0</v>
      </c>
      <c r="X146" s="19">
        <v>0.0</v>
      </c>
      <c r="Y146" s="19">
        <v>0.0</v>
      </c>
      <c r="Z146" s="19">
        <v>0.0</v>
      </c>
      <c r="AA146" s="19">
        <v>0.0</v>
      </c>
      <c r="AB146" s="19">
        <v>0.0</v>
      </c>
      <c r="AC146" s="19">
        <v>0.0</v>
      </c>
      <c r="AD146" s="13">
        <f t="shared" si="30"/>
        <v>0</v>
      </c>
    </row>
    <row r="147" ht="12.75" customHeight="1">
      <c r="A147" s="18"/>
      <c r="B147" s="55">
        <v>6.0</v>
      </c>
      <c r="C147" s="50" t="s">
        <v>111</v>
      </c>
      <c r="D147" s="60"/>
      <c r="E147" s="19">
        <v>1.0</v>
      </c>
      <c r="F147" s="19">
        <v>0.0</v>
      </c>
      <c r="G147" s="19">
        <v>0.0</v>
      </c>
      <c r="H147" s="19">
        <v>0.0</v>
      </c>
      <c r="I147" s="19">
        <v>0.0</v>
      </c>
      <c r="J147" s="19">
        <v>0.0</v>
      </c>
      <c r="K147" s="19">
        <v>0.0</v>
      </c>
      <c r="L147" s="19">
        <v>0.0</v>
      </c>
      <c r="M147" s="19">
        <v>0.0</v>
      </c>
      <c r="N147" s="19">
        <v>0.0</v>
      </c>
      <c r="O147" s="19">
        <v>0.0</v>
      </c>
      <c r="P147" s="19">
        <v>0.0</v>
      </c>
      <c r="Q147" s="19">
        <v>0.0</v>
      </c>
      <c r="R147" s="19">
        <v>0.0</v>
      </c>
      <c r="S147" s="19">
        <v>0.0</v>
      </c>
      <c r="T147" s="19">
        <v>0.0</v>
      </c>
      <c r="U147" s="19">
        <v>0.0</v>
      </c>
      <c r="V147" s="19">
        <v>0.0</v>
      </c>
      <c r="W147" s="19">
        <v>0.0</v>
      </c>
      <c r="X147" s="19">
        <v>0.0</v>
      </c>
      <c r="Y147" s="19">
        <v>0.0</v>
      </c>
      <c r="Z147" s="19">
        <v>0.0</v>
      </c>
      <c r="AA147" s="19">
        <v>0.0</v>
      </c>
      <c r="AB147" s="19">
        <v>0.0</v>
      </c>
      <c r="AC147" s="19">
        <v>0.0</v>
      </c>
      <c r="AD147" s="13">
        <f t="shared" si="30"/>
        <v>1</v>
      </c>
    </row>
    <row r="148" ht="12.75" customHeight="1">
      <c r="A148" s="18"/>
      <c r="B148" s="55">
        <v>7.0</v>
      </c>
      <c r="C148" s="50" t="s">
        <v>112</v>
      </c>
      <c r="D148" s="60"/>
      <c r="E148" s="19">
        <v>0.0</v>
      </c>
      <c r="F148" s="19">
        <v>0.0</v>
      </c>
      <c r="G148" s="19">
        <v>0.0</v>
      </c>
      <c r="H148" s="19">
        <v>0.0</v>
      </c>
      <c r="I148" s="19">
        <v>0.0</v>
      </c>
      <c r="J148" s="19">
        <v>0.0</v>
      </c>
      <c r="K148" s="19">
        <v>0.0</v>
      </c>
      <c r="L148" s="19">
        <v>0.0</v>
      </c>
      <c r="M148" s="19">
        <v>0.0</v>
      </c>
      <c r="N148" s="19">
        <v>0.0</v>
      </c>
      <c r="O148" s="19">
        <v>0.0</v>
      </c>
      <c r="P148" s="19">
        <v>0.0</v>
      </c>
      <c r="Q148" s="19">
        <v>0.0</v>
      </c>
      <c r="R148" s="19">
        <v>0.0</v>
      </c>
      <c r="S148" s="19">
        <v>0.0</v>
      </c>
      <c r="T148" s="19">
        <v>0.0</v>
      </c>
      <c r="U148" s="19">
        <v>0.0</v>
      </c>
      <c r="V148" s="19">
        <v>0.0</v>
      </c>
      <c r="W148" s="19">
        <v>0.0</v>
      </c>
      <c r="X148" s="19">
        <v>0.0</v>
      </c>
      <c r="Y148" s="19">
        <v>0.0</v>
      </c>
      <c r="Z148" s="19">
        <v>0.0</v>
      </c>
      <c r="AA148" s="19">
        <v>0.0</v>
      </c>
      <c r="AB148" s="19">
        <v>0.0</v>
      </c>
      <c r="AC148" s="19">
        <v>0.0</v>
      </c>
      <c r="AD148" s="13">
        <f t="shared" si="30"/>
        <v>0</v>
      </c>
    </row>
    <row r="149" ht="12.75" customHeight="1">
      <c r="A149" s="18"/>
      <c r="B149" s="56"/>
      <c r="C149" s="57"/>
      <c r="D149" s="62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  <c r="AB149" s="19"/>
      <c r="AC149" s="19"/>
      <c r="AD149" s="13">
        <f t="shared" si="30"/>
        <v>0</v>
      </c>
    </row>
    <row r="150" ht="12.75" customHeight="1">
      <c r="A150" s="18"/>
      <c r="B150" s="56"/>
      <c r="C150" s="57"/>
      <c r="D150" s="62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  <c r="AB150" s="19"/>
      <c r="AC150" s="19"/>
      <c r="AD150" s="13">
        <f t="shared" si="30"/>
        <v>0</v>
      </c>
    </row>
    <row r="151" ht="12.75" customHeight="1">
      <c r="A151" s="19" t="s">
        <v>15</v>
      </c>
      <c r="B151" s="47" t="s">
        <v>47</v>
      </c>
      <c r="C151" s="15"/>
      <c r="D151" s="16"/>
      <c r="E151" s="13">
        <f t="shared" ref="E151:AD151" si="31">SUM(E141:E150)</f>
        <v>1</v>
      </c>
      <c r="F151" s="13">
        <f t="shared" si="31"/>
        <v>0</v>
      </c>
      <c r="G151" s="13">
        <f t="shared" si="31"/>
        <v>0</v>
      </c>
      <c r="H151" s="13">
        <f t="shared" si="31"/>
        <v>0</v>
      </c>
      <c r="I151" s="13">
        <f t="shared" si="31"/>
        <v>0</v>
      </c>
      <c r="J151" s="13">
        <f t="shared" si="31"/>
        <v>0</v>
      </c>
      <c r="K151" s="13">
        <f t="shared" si="31"/>
        <v>0</v>
      </c>
      <c r="L151" s="13">
        <f t="shared" si="31"/>
        <v>0</v>
      </c>
      <c r="M151" s="13">
        <f t="shared" si="31"/>
        <v>0</v>
      </c>
      <c r="N151" s="13">
        <f t="shared" si="31"/>
        <v>0</v>
      </c>
      <c r="O151" s="13">
        <f t="shared" si="31"/>
        <v>0</v>
      </c>
      <c r="P151" s="13">
        <f t="shared" si="31"/>
        <v>0</v>
      </c>
      <c r="Q151" s="13">
        <f t="shared" si="31"/>
        <v>0</v>
      </c>
      <c r="R151" s="13">
        <f t="shared" si="31"/>
        <v>0</v>
      </c>
      <c r="S151" s="13">
        <f t="shared" si="31"/>
        <v>0</v>
      </c>
      <c r="T151" s="13">
        <f t="shared" si="31"/>
        <v>0</v>
      </c>
      <c r="U151" s="13">
        <f t="shared" si="31"/>
        <v>0</v>
      </c>
      <c r="V151" s="13">
        <f t="shared" si="31"/>
        <v>0</v>
      </c>
      <c r="W151" s="13">
        <f t="shared" si="31"/>
        <v>0</v>
      </c>
      <c r="X151" s="13">
        <f t="shared" si="31"/>
        <v>0</v>
      </c>
      <c r="Y151" s="13">
        <f t="shared" si="31"/>
        <v>0</v>
      </c>
      <c r="Z151" s="13">
        <f t="shared" si="31"/>
        <v>0</v>
      </c>
      <c r="AA151" s="13">
        <f t="shared" si="31"/>
        <v>0</v>
      </c>
      <c r="AB151" s="13">
        <f t="shared" si="31"/>
        <v>0</v>
      </c>
      <c r="AC151" s="13">
        <f t="shared" si="31"/>
        <v>0</v>
      </c>
      <c r="AD151" s="13">
        <f t="shared" si="31"/>
        <v>1</v>
      </c>
    </row>
    <row r="152" ht="12.75" customHeight="1">
      <c r="A152" s="24"/>
      <c r="B152" s="15"/>
      <c r="C152" s="15"/>
      <c r="D152" s="15"/>
      <c r="E152" s="16"/>
      <c r="F152" s="84"/>
      <c r="G152" s="84"/>
      <c r="H152" s="84"/>
      <c r="I152" s="84"/>
      <c r="J152" s="84"/>
      <c r="K152" s="84"/>
      <c r="L152" s="84"/>
      <c r="M152" s="84"/>
      <c r="N152" s="84"/>
      <c r="O152" s="84"/>
      <c r="P152" s="84"/>
      <c r="Q152" s="84"/>
      <c r="R152" s="84"/>
      <c r="S152" s="84"/>
      <c r="T152" s="84"/>
      <c r="U152" s="84"/>
      <c r="V152" s="84"/>
      <c r="W152" s="84"/>
      <c r="X152" s="84"/>
      <c r="Y152" s="84"/>
      <c r="Z152" s="84"/>
      <c r="AA152" s="84"/>
      <c r="AB152" s="84"/>
      <c r="AC152" s="84"/>
      <c r="AD152" s="13"/>
    </row>
    <row r="153" ht="12.75" customHeight="1">
      <c r="A153" s="30" t="s">
        <v>37</v>
      </c>
      <c r="B153" s="17" t="s">
        <v>113</v>
      </c>
      <c r="C153" s="65" t="s">
        <v>114</v>
      </c>
      <c r="D153" s="23"/>
      <c r="E153" s="19">
        <v>0.0</v>
      </c>
      <c r="F153" s="19">
        <v>0.0</v>
      </c>
      <c r="G153" s="19">
        <v>0.0</v>
      </c>
      <c r="H153" s="19">
        <v>0.0</v>
      </c>
      <c r="I153" s="19">
        <v>1.0</v>
      </c>
      <c r="J153" s="19">
        <v>1.0</v>
      </c>
      <c r="K153" s="19">
        <v>1.0</v>
      </c>
      <c r="L153" s="19">
        <v>0.0</v>
      </c>
      <c r="M153" s="19">
        <v>0.0</v>
      </c>
      <c r="N153" s="19">
        <v>0.0</v>
      </c>
      <c r="O153" s="19">
        <v>0.0</v>
      </c>
      <c r="P153" s="19">
        <v>0.0</v>
      </c>
      <c r="Q153" s="19">
        <v>0.0</v>
      </c>
      <c r="R153" s="19">
        <v>0.0</v>
      </c>
      <c r="S153" s="19">
        <v>0.0</v>
      </c>
      <c r="T153" s="19">
        <v>1.0</v>
      </c>
      <c r="U153" s="19">
        <v>0.0</v>
      </c>
      <c r="V153" s="19">
        <v>0.0</v>
      </c>
      <c r="W153" s="19">
        <v>1.0</v>
      </c>
      <c r="X153" s="19">
        <v>0.0</v>
      </c>
      <c r="Y153" s="19">
        <v>0.0</v>
      </c>
      <c r="Z153" s="19">
        <v>0.0</v>
      </c>
      <c r="AA153" s="19">
        <v>0.0</v>
      </c>
      <c r="AB153" s="19">
        <v>1.0</v>
      </c>
      <c r="AC153" s="19">
        <v>0.0</v>
      </c>
      <c r="AD153" s="13">
        <f t="shared" ref="AD153:AD163" si="32">SUM(E153:AC153)</f>
        <v>6</v>
      </c>
    </row>
    <row r="154" ht="12.75" customHeight="1">
      <c r="A154" s="66" t="s">
        <v>39</v>
      </c>
      <c r="B154" s="55">
        <v>1.0</v>
      </c>
      <c r="C154" s="67" t="s">
        <v>115</v>
      </c>
      <c r="D154" s="60"/>
      <c r="E154" s="86">
        <v>0.0</v>
      </c>
      <c r="F154" s="19">
        <v>1.0</v>
      </c>
      <c r="G154" s="19">
        <v>1.0</v>
      </c>
      <c r="H154" s="19">
        <v>0.0</v>
      </c>
      <c r="I154" s="19">
        <v>1.0</v>
      </c>
      <c r="J154" s="19">
        <v>1.0</v>
      </c>
      <c r="K154" s="19">
        <v>0.0</v>
      </c>
      <c r="L154" s="19">
        <v>0.0</v>
      </c>
      <c r="M154" s="19">
        <v>0.0</v>
      </c>
      <c r="N154" s="19">
        <v>0.0</v>
      </c>
      <c r="O154" s="19">
        <v>0.0</v>
      </c>
      <c r="P154" s="19">
        <v>0.0</v>
      </c>
      <c r="Q154" s="19">
        <v>0.0</v>
      </c>
      <c r="R154" s="19">
        <v>0.0</v>
      </c>
      <c r="S154" s="19">
        <v>0.0</v>
      </c>
      <c r="T154" s="19">
        <v>1.0</v>
      </c>
      <c r="U154" s="19">
        <v>0.0</v>
      </c>
      <c r="V154" s="19">
        <v>0.0</v>
      </c>
      <c r="W154" s="19">
        <v>0.0</v>
      </c>
      <c r="X154" s="19">
        <v>0.0</v>
      </c>
      <c r="Y154" s="19">
        <v>1.0</v>
      </c>
      <c r="Z154" s="19">
        <v>0.0</v>
      </c>
      <c r="AA154" s="19">
        <v>0.0</v>
      </c>
      <c r="AB154" s="19">
        <v>0.0</v>
      </c>
      <c r="AC154" s="19">
        <v>0.0</v>
      </c>
      <c r="AD154" s="13">
        <f t="shared" si="32"/>
        <v>6</v>
      </c>
    </row>
    <row r="155" ht="12.75" customHeight="1">
      <c r="A155" s="18"/>
      <c r="B155" s="55">
        <v>2.0</v>
      </c>
      <c r="C155" s="67" t="s">
        <v>116</v>
      </c>
      <c r="D155" s="60"/>
      <c r="E155" s="86">
        <v>0.0</v>
      </c>
      <c r="F155" s="19">
        <v>0.0</v>
      </c>
      <c r="G155" s="19">
        <v>0.0</v>
      </c>
      <c r="H155" s="19">
        <v>0.0</v>
      </c>
      <c r="I155" s="19">
        <v>0.0</v>
      </c>
      <c r="J155" s="19">
        <v>0.0</v>
      </c>
      <c r="K155" s="19">
        <v>0.0</v>
      </c>
      <c r="L155" s="19">
        <v>0.0</v>
      </c>
      <c r="M155" s="19">
        <v>0.0</v>
      </c>
      <c r="N155" s="19">
        <v>0.0</v>
      </c>
      <c r="O155" s="19">
        <v>0.0</v>
      </c>
      <c r="P155" s="19">
        <v>0.0</v>
      </c>
      <c r="Q155" s="19">
        <v>0.0</v>
      </c>
      <c r="R155" s="19">
        <v>0.0</v>
      </c>
      <c r="S155" s="19">
        <v>0.0</v>
      </c>
      <c r="T155" s="19">
        <v>0.0</v>
      </c>
      <c r="U155" s="19">
        <v>0.0</v>
      </c>
      <c r="V155" s="19">
        <v>0.0</v>
      </c>
      <c r="W155" s="19">
        <v>0.0</v>
      </c>
      <c r="X155" s="19">
        <v>0.0</v>
      </c>
      <c r="Y155" s="19">
        <v>0.0</v>
      </c>
      <c r="Z155" s="19">
        <v>0.0</v>
      </c>
      <c r="AA155" s="19">
        <v>0.0</v>
      </c>
      <c r="AB155" s="19">
        <v>0.0</v>
      </c>
      <c r="AC155" s="19">
        <v>0.0</v>
      </c>
      <c r="AD155" s="13">
        <f t="shared" si="32"/>
        <v>0</v>
      </c>
    </row>
    <row r="156" ht="12.75" customHeight="1">
      <c r="A156" s="18"/>
      <c r="B156" s="55">
        <v>3.0</v>
      </c>
      <c r="C156" s="67" t="s">
        <v>117</v>
      </c>
      <c r="D156" s="60"/>
      <c r="E156" s="86">
        <v>0.0</v>
      </c>
      <c r="F156" s="19">
        <v>0.0</v>
      </c>
      <c r="G156" s="19">
        <v>0.0</v>
      </c>
      <c r="H156" s="19">
        <v>0.0</v>
      </c>
      <c r="I156" s="19">
        <v>0.0</v>
      </c>
      <c r="J156" s="19">
        <v>0.0</v>
      </c>
      <c r="K156" s="19">
        <v>0.0</v>
      </c>
      <c r="L156" s="19">
        <v>0.0</v>
      </c>
      <c r="M156" s="19">
        <v>0.0</v>
      </c>
      <c r="N156" s="19">
        <v>0.0</v>
      </c>
      <c r="O156" s="19">
        <v>0.0</v>
      </c>
      <c r="P156" s="19">
        <v>0.0</v>
      </c>
      <c r="Q156" s="19">
        <v>0.0</v>
      </c>
      <c r="R156" s="19">
        <v>0.0</v>
      </c>
      <c r="S156" s="19">
        <v>0.0</v>
      </c>
      <c r="T156" s="19">
        <v>0.0</v>
      </c>
      <c r="U156" s="19">
        <v>0.0</v>
      </c>
      <c r="V156" s="19">
        <v>0.0</v>
      </c>
      <c r="W156" s="19">
        <v>0.0</v>
      </c>
      <c r="X156" s="19">
        <v>0.0</v>
      </c>
      <c r="Y156" s="19">
        <v>0.0</v>
      </c>
      <c r="Z156" s="19">
        <v>0.0</v>
      </c>
      <c r="AA156" s="19">
        <v>0.0</v>
      </c>
      <c r="AB156" s="19">
        <v>0.0</v>
      </c>
      <c r="AC156" s="19">
        <v>0.0</v>
      </c>
      <c r="AD156" s="13">
        <f t="shared" si="32"/>
        <v>0</v>
      </c>
    </row>
    <row r="157" ht="12.75" customHeight="1">
      <c r="A157" s="18"/>
      <c r="B157" s="55">
        <v>4.0</v>
      </c>
      <c r="C157" s="67" t="s">
        <v>118</v>
      </c>
      <c r="D157" s="60"/>
      <c r="E157" s="86">
        <v>0.0</v>
      </c>
      <c r="F157" s="19">
        <v>0.0</v>
      </c>
      <c r="G157" s="19">
        <v>0.0</v>
      </c>
      <c r="H157" s="19">
        <v>0.0</v>
      </c>
      <c r="I157" s="19">
        <v>0.0</v>
      </c>
      <c r="J157" s="19">
        <v>1.0</v>
      </c>
      <c r="K157" s="19">
        <v>1.0</v>
      </c>
      <c r="L157" s="19">
        <v>0.0</v>
      </c>
      <c r="M157" s="19">
        <v>0.0</v>
      </c>
      <c r="N157" s="19">
        <v>0.0</v>
      </c>
      <c r="O157" s="19">
        <v>0.0</v>
      </c>
      <c r="P157" s="19">
        <v>0.0</v>
      </c>
      <c r="Q157" s="19">
        <v>0.0</v>
      </c>
      <c r="R157" s="19">
        <v>0.0</v>
      </c>
      <c r="S157" s="19">
        <v>0.0</v>
      </c>
      <c r="T157" s="19">
        <v>0.0</v>
      </c>
      <c r="U157" s="19">
        <v>0.0</v>
      </c>
      <c r="V157" s="19">
        <v>0.0</v>
      </c>
      <c r="W157" s="19">
        <v>1.0</v>
      </c>
      <c r="X157" s="19">
        <v>0.0</v>
      </c>
      <c r="Y157" s="19">
        <v>0.0</v>
      </c>
      <c r="Z157" s="19">
        <v>0.0</v>
      </c>
      <c r="AA157" s="19">
        <v>0.0</v>
      </c>
      <c r="AB157" s="19">
        <v>0.0</v>
      </c>
      <c r="AC157" s="19">
        <v>1.0</v>
      </c>
      <c r="AD157" s="13">
        <f t="shared" si="32"/>
        <v>4</v>
      </c>
    </row>
    <row r="158" ht="12.75" customHeight="1">
      <c r="A158" s="18"/>
      <c r="B158" s="56"/>
      <c r="C158" s="57"/>
      <c r="D158" s="62"/>
      <c r="E158" s="86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  <c r="AA158" s="19"/>
      <c r="AB158" s="19"/>
      <c r="AC158" s="19"/>
      <c r="AD158" s="13">
        <f t="shared" si="32"/>
        <v>0</v>
      </c>
    </row>
    <row r="159" ht="12.75" customHeight="1">
      <c r="A159" s="18"/>
      <c r="B159" s="56"/>
      <c r="C159" s="57"/>
      <c r="D159" s="62"/>
      <c r="E159" s="86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  <c r="AA159" s="19"/>
      <c r="AB159" s="19"/>
      <c r="AC159" s="19"/>
      <c r="AD159" s="13">
        <f t="shared" si="32"/>
        <v>0</v>
      </c>
    </row>
    <row r="160" ht="12.75" customHeight="1">
      <c r="A160" s="18"/>
      <c r="B160" s="56"/>
      <c r="C160" s="57"/>
      <c r="D160" s="62"/>
      <c r="E160" s="86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  <c r="AA160" s="19"/>
      <c r="AB160" s="19"/>
      <c r="AC160" s="19"/>
      <c r="AD160" s="13">
        <f t="shared" si="32"/>
        <v>0</v>
      </c>
    </row>
    <row r="161" ht="12.75" customHeight="1">
      <c r="A161" s="18"/>
      <c r="B161" s="56"/>
      <c r="C161" s="68"/>
      <c r="D161" s="62"/>
      <c r="E161" s="86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9"/>
      <c r="AB161" s="19"/>
      <c r="AC161" s="19"/>
      <c r="AD161" s="13">
        <f t="shared" si="32"/>
        <v>0</v>
      </c>
    </row>
    <row r="162" ht="12.75" customHeight="1">
      <c r="A162" s="18"/>
      <c r="B162" s="56"/>
      <c r="C162" s="68"/>
      <c r="D162" s="62"/>
      <c r="E162" s="86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9"/>
      <c r="AB162" s="19"/>
      <c r="AC162" s="19"/>
      <c r="AD162" s="13">
        <f t="shared" si="32"/>
        <v>0</v>
      </c>
    </row>
    <row r="163" ht="12.75" customHeight="1">
      <c r="A163" s="19" t="s">
        <v>15</v>
      </c>
      <c r="B163" s="69" t="s">
        <v>47</v>
      </c>
      <c r="C163" s="44"/>
      <c r="D163" s="28"/>
      <c r="E163" s="13">
        <f t="shared" ref="E163:AC163" si="33">SUM(E153:E162)</f>
        <v>0</v>
      </c>
      <c r="F163" s="13">
        <f t="shared" si="33"/>
        <v>1</v>
      </c>
      <c r="G163" s="13">
        <f t="shared" si="33"/>
        <v>1</v>
      </c>
      <c r="H163" s="13">
        <f t="shared" si="33"/>
        <v>0</v>
      </c>
      <c r="I163" s="13">
        <f t="shared" si="33"/>
        <v>2</v>
      </c>
      <c r="J163" s="13">
        <f t="shared" si="33"/>
        <v>3</v>
      </c>
      <c r="K163" s="13">
        <f t="shared" si="33"/>
        <v>2</v>
      </c>
      <c r="L163" s="13">
        <f t="shared" si="33"/>
        <v>0</v>
      </c>
      <c r="M163" s="13">
        <f t="shared" si="33"/>
        <v>0</v>
      </c>
      <c r="N163" s="13">
        <f t="shared" si="33"/>
        <v>0</v>
      </c>
      <c r="O163" s="13">
        <f t="shared" si="33"/>
        <v>0</v>
      </c>
      <c r="P163" s="13">
        <f t="shared" si="33"/>
        <v>0</v>
      </c>
      <c r="Q163" s="13">
        <f t="shared" si="33"/>
        <v>0</v>
      </c>
      <c r="R163" s="13">
        <f t="shared" si="33"/>
        <v>0</v>
      </c>
      <c r="S163" s="13">
        <f t="shared" si="33"/>
        <v>0</v>
      </c>
      <c r="T163" s="13">
        <f t="shared" si="33"/>
        <v>2</v>
      </c>
      <c r="U163" s="13">
        <f t="shared" si="33"/>
        <v>0</v>
      </c>
      <c r="V163" s="13">
        <f t="shared" si="33"/>
        <v>0</v>
      </c>
      <c r="W163" s="13">
        <f t="shared" si="33"/>
        <v>2</v>
      </c>
      <c r="X163" s="13">
        <f t="shared" si="33"/>
        <v>0</v>
      </c>
      <c r="Y163" s="13">
        <f t="shared" si="33"/>
        <v>1</v>
      </c>
      <c r="Z163" s="13">
        <f t="shared" si="33"/>
        <v>0</v>
      </c>
      <c r="AA163" s="13">
        <f t="shared" si="33"/>
        <v>0</v>
      </c>
      <c r="AB163" s="13">
        <f t="shared" si="33"/>
        <v>1</v>
      </c>
      <c r="AC163" s="13">
        <f t="shared" si="33"/>
        <v>1</v>
      </c>
      <c r="AD163" s="13">
        <f t="shared" si="32"/>
        <v>16</v>
      </c>
    </row>
    <row r="164" ht="12.75" customHeight="1">
      <c r="A164" s="24"/>
      <c r="B164" s="15"/>
      <c r="C164" s="15"/>
      <c r="D164" s="15"/>
      <c r="E164" s="16"/>
      <c r="F164" s="84"/>
      <c r="G164" s="84"/>
      <c r="H164" s="84"/>
      <c r="I164" s="84"/>
      <c r="J164" s="84"/>
      <c r="K164" s="84"/>
      <c r="L164" s="84"/>
      <c r="M164" s="84"/>
      <c r="N164" s="84"/>
      <c r="O164" s="84"/>
      <c r="P164" s="84"/>
      <c r="Q164" s="84"/>
      <c r="R164" s="84"/>
      <c r="S164" s="84"/>
      <c r="T164" s="84"/>
      <c r="U164" s="84"/>
      <c r="V164" s="84"/>
      <c r="W164" s="84"/>
      <c r="X164" s="84"/>
      <c r="Y164" s="84"/>
      <c r="Z164" s="84"/>
      <c r="AA164" s="84"/>
      <c r="AB164" s="84"/>
      <c r="AC164" s="84"/>
      <c r="AD164" s="84"/>
    </row>
    <row r="165" ht="12.75" customHeight="1">
      <c r="A165" s="30" t="s">
        <v>37</v>
      </c>
      <c r="B165" s="47" t="s">
        <v>119</v>
      </c>
      <c r="C165" s="48" t="s">
        <v>120</v>
      </c>
      <c r="D165" s="16"/>
      <c r="E165" s="19">
        <v>0.0</v>
      </c>
      <c r="F165" s="19">
        <v>0.0</v>
      </c>
      <c r="G165" s="19">
        <v>0.0</v>
      </c>
      <c r="H165" s="19">
        <v>0.0</v>
      </c>
      <c r="I165" s="19">
        <v>0.0</v>
      </c>
      <c r="J165" s="19">
        <v>0.0</v>
      </c>
      <c r="K165" s="19">
        <v>0.0</v>
      </c>
      <c r="L165" s="19">
        <v>0.0</v>
      </c>
      <c r="M165" s="19">
        <v>0.0</v>
      </c>
      <c r="N165" s="19">
        <v>0.0</v>
      </c>
      <c r="O165" s="19">
        <v>0.0</v>
      </c>
      <c r="P165" s="19">
        <v>0.0</v>
      </c>
      <c r="Q165" s="19">
        <v>0.0</v>
      </c>
      <c r="R165" s="19">
        <v>0.0</v>
      </c>
      <c r="S165" s="19">
        <v>0.0</v>
      </c>
      <c r="T165" s="19">
        <v>0.0</v>
      </c>
      <c r="U165" s="19">
        <v>0.0</v>
      </c>
      <c r="V165" s="19">
        <v>0.0</v>
      </c>
      <c r="W165" s="19">
        <v>1.0</v>
      </c>
      <c r="X165" s="19">
        <v>0.0</v>
      </c>
      <c r="Y165" s="19">
        <v>0.0</v>
      </c>
      <c r="Z165" s="19">
        <v>0.0</v>
      </c>
      <c r="AA165" s="19">
        <v>1.0</v>
      </c>
      <c r="AB165" s="19">
        <v>0.0</v>
      </c>
      <c r="AC165" s="19">
        <v>0.0</v>
      </c>
      <c r="AD165" s="13">
        <f t="shared" ref="AD165:AD174" si="34">SUM(E165:AC165)</f>
        <v>2</v>
      </c>
    </row>
    <row r="166" ht="12.75" customHeight="1">
      <c r="A166" s="30" t="s">
        <v>39</v>
      </c>
      <c r="B166" s="55">
        <v>1.0</v>
      </c>
      <c r="C166" s="50" t="s">
        <v>121</v>
      </c>
      <c r="D166" s="60"/>
      <c r="E166" s="19">
        <v>0.0</v>
      </c>
      <c r="F166" s="19">
        <v>0.0</v>
      </c>
      <c r="G166" s="19">
        <v>0.0</v>
      </c>
      <c r="H166" s="19">
        <v>0.0</v>
      </c>
      <c r="I166" s="19">
        <v>0.0</v>
      </c>
      <c r="J166" s="19">
        <v>0.0</v>
      </c>
      <c r="K166" s="19">
        <v>0.0</v>
      </c>
      <c r="L166" s="19">
        <v>0.0</v>
      </c>
      <c r="M166" s="19">
        <v>0.0</v>
      </c>
      <c r="N166" s="19">
        <v>0.0</v>
      </c>
      <c r="O166" s="19">
        <v>1.0</v>
      </c>
      <c r="P166" s="19">
        <v>0.0</v>
      </c>
      <c r="Q166" s="19">
        <v>0.0</v>
      </c>
      <c r="R166" s="19">
        <v>0.0</v>
      </c>
      <c r="S166" s="19">
        <v>0.0</v>
      </c>
      <c r="T166" s="19">
        <v>0.0</v>
      </c>
      <c r="U166" s="19">
        <v>0.0</v>
      </c>
      <c r="V166" s="19">
        <v>0.0</v>
      </c>
      <c r="W166" s="19">
        <v>0.0</v>
      </c>
      <c r="X166" s="19">
        <v>0.0</v>
      </c>
      <c r="Y166" s="19">
        <v>0.0</v>
      </c>
      <c r="Z166" s="19">
        <v>0.0</v>
      </c>
      <c r="AA166" s="19">
        <v>0.0</v>
      </c>
      <c r="AB166" s="19">
        <v>0.0</v>
      </c>
      <c r="AC166" s="19">
        <v>0.0</v>
      </c>
      <c r="AD166" s="13">
        <f t="shared" si="34"/>
        <v>1</v>
      </c>
    </row>
    <row r="167" ht="12.75" customHeight="1">
      <c r="A167" s="18"/>
      <c r="B167" s="55">
        <v>2.0</v>
      </c>
      <c r="C167" s="50" t="s">
        <v>122</v>
      </c>
      <c r="D167" s="60"/>
      <c r="E167" s="19">
        <v>0.0</v>
      </c>
      <c r="F167" s="19">
        <v>0.0</v>
      </c>
      <c r="G167" s="19">
        <v>0.0</v>
      </c>
      <c r="H167" s="19">
        <v>0.0</v>
      </c>
      <c r="I167" s="19">
        <v>0.0</v>
      </c>
      <c r="J167" s="19">
        <v>0.0</v>
      </c>
      <c r="K167" s="19">
        <v>0.0</v>
      </c>
      <c r="L167" s="19">
        <v>0.0</v>
      </c>
      <c r="M167" s="19">
        <v>0.0</v>
      </c>
      <c r="N167" s="19">
        <v>0.0</v>
      </c>
      <c r="O167" s="19">
        <v>0.0</v>
      </c>
      <c r="P167" s="19">
        <v>0.0</v>
      </c>
      <c r="Q167" s="19">
        <v>0.0</v>
      </c>
      <c r="R167" s="19">
        <v>0.0</v>
      </c>
      <c r="S167" s="19">
        <v>0.0</v>
      </c>
      <c r="T167" s="19">
        <v>0.0</v>
      </c>
      <c r="U167" s="19">
        <v>0.0</v>
      </c>
      <c r="V167" s="19">
        <v>0.0</v>
      </c>
      <c r="W167" s="19">
        <v>0.0</v>
      </c>
      <c r="X167" s="19">
        <v>0.0</v>
      </c>
      <c r="Y167" s="19">
        <v>0.0</v>
      </c>
      <c r="Z167" s="19">
        <v>0.0</v>
      </c>
      <c r="AA167" s="19">
        <v>0.0</v>
      </c>
      <c r="AB167" s="19">
        <v>0.0</v>
      </c>
      <c r="AC167" s="19">
        <v>0.0</v>
      </c>
      <c r="AD167" s="13">
        <f t="shared" si="34"/>
        <v>0</v>
      </c>
    </row>
    <row r="168" ht="12.75" customHeight="1">
      <c r="A168" s="18"/>
      <c r="B168" s="55">
        <v>3.0</v>
      </c>
      <c r="C168" s="50" t="s">
        <v>123</v>
      </c>
      <c r="D168" s="60"/>
      <c r="E168" s="19">
        <v>0.0</v>
      </c>
      <c r="F168" s="19">
        <v>0.0</v>
      </c>
      <c r="G168" s="19">
        <v>0.0</v>
      </c>
      <c r="H168" s="19">
        <v>0.0</v>
      </c>
      <c r="I168" s="19">
        <v>0.0</v>
      </c>
      <c r="J168" s="19">
        <v>0.0</v>
      </c>
      <c r="K168" s="19">
        <v>0.0</v>
      </c>
      <c r="L168" s="19">
        <v>0.0</v>
      </c>
      <c r="M168" s="19">
        <v>0.0</v>
      </c>
      <c r="N168" s="19">
        <v>0.0</v>
      </c>
      <c r="O168" s="19">
        <v>1.0</v>
      </c>
      <c r="P168" s="19">
        <v>0.0</v>
      </c>
      <c r="Q168" s="19">
        <v>0.0</v>
      </c>
      <c r="R168" s="19">
        <v>0.0</v>
      </c>
      <c r="S168" s="19">
        <v>0.0</v>
      </c>
      <c r="T168" s="19">
        <v>0.0</v>
      </c>
      <c r="U168" s="19">
        <v>0.0</v>
      </c>
      <c r="V168" s="19">
        <v>1.0</v>
      </c>
      <c r="W168" s="19">
        <v>0.0</v>
      </c>
      <c r="X168" s="19">
        <v>0.0</v>
      </c>
      <c r="Y168" s="19">
        <v>0.0</v>
      </c>
      <c r="Z168" s="19">
        <v>0.0</v>
      </c>
      <c r="AA168" s="19">
        <v>0.0</v>
      </c>
      <c r="AB168" s="19">
        <v>0.0</v>
      </c>
      <c r="AC168" s="19">
        <v>0.0</v>
      </c>
      <c r="AD168" s="13">
        <f t="shared" si="34"/>
        <v>2</v>
      </c>
    </row>
    <row r="169" ht="12.75" customHeight="1">
      <c r="A169" s="18"/>
      <c r="B169" s="55">
        <v>4.0</v>
      </c>
      <c r="C169" s="50" t="s">
        <v>124</v>
      </c>
      <c r="D169" s="60"/>
      <c r="E169" s="19">
        <v>0.0</v>
      </c>
      <c r="F169" s="19">
        <v>0.0</v>
      </c>
      <c r="G169" s="19">
        <v>0.0</v>
      </c>
      <c r="H169" s="19">
        <v>0.0</v>
      </c>
      <c r="I169" s="19">
        <v>0.0</v>
      </c>
      <c r="J169" s="19">
        <v>0.0</v>
      </c>
      <c r="K169" s="19">
        <v>0.0</v>
      </c>
      <c r="L169" s="19">
        <v>0.0</v>
      </c>
      <c r="M169" s="19">
        <v>0.0</v>
      </c>
      <c r="N169" s="19">
        <v>0.0</v>
      </c>
      <c r="O169" s="19">
        <v>1.0</v>
      </c>
      <c r="P169" s="19">
        <v>0.0</v>
      </c>
      <c r="Q169" s="19">
        <v>0.0</v>
      </c>
      <c r="R169" s="19">
        <v>0.0</v>
      </c>
      <c r="S169" s="19">
        <v>0.0</v>
      </c>
      <c r="T169" s="19">
        <v>0.0</v>
      </c>
      <c r="U169" s="19">
        <v>0.0</v>
      </c>
      <c r="V169" s="19">
        <v>0.0</v>
      </c>
      <c r="W169" s="19">
        <v>0.0</v>
      </c>
      <c r="X169" s="19">
        <v>0.0</v>
      </c>
      <c r="Y169" s="19">
        <v>0.0</v>
      </c>
      <c r="Z169" s="19">
        <v>0.0</v>
      </c>
      <c r="AA169" s="19">
        <v>0.0</v>
      </c>
      <c r="AB169" s="19">
        <v>0.0</v>
      </c>
      <c r="AC169" s="19">
        <v>0.0</v>
      </c>
      <c r="AD169" s="13">
        <f t="shared" si="34"/>
        <v>1</v>
      </c>
    </row>
    <row r="170" ht="12.75" customHeight="1">
      <c r="A170" s="18"/>
      <c r="B170" s="55">
        <v>5.0</v>
      </c>
      <c r="C170" s="50" t="s">
        <v>125</v>
      </c>
      <c r="D170" s="60"/>
      <c r="E170" s="19">
        <v>0.0</v>
      </c>
      <c r="F170" s="19">
        <v>0.0</v>
      </c>
      <c r="G170" s="19">
        <v>0.0</v>
      </c>
      <c r="H170" s="19">
        <v>0.0</v>
      </c>
      <c r="I170" s="19">
        <v>0.0</v>
      </c>
      <c r="J170" s="19">
        <v>0.0</v>
      </c>
      <c r="K170" s="19">
        <v>0.0</v>
      </c>
      <c r="L170" s="19">
        <v>0.0</v>
      </c>
      <c r="M170" s="19">
        <v>0.0</v>
      </c>
      <c r="N170" s="19">
        <v>0.0</v>
      </c>
      <c r="O170" s="19">
        <v>0.0</v>
      </c>
      <c r="P170" s="19">
        <v>0.0</v>
      </c>
      <c r="Q170" s="19">
        <v>0.0</v>
      </c>
      <c r="R170" s="19">
        <v>0.0</v>
      </c>
      <c r="S170" s="19">
        <v>0.0</v>
      </c>
      <c r="T170" s="19">
        <v>0.0</v>
      </c>
      <c r="U170" s="19">
        <v>0.0</v>
      </c>
      <c r="V170" s="19">
        <v>1.0</v>
      </c>
      <c r="W170" s="19">
        <v>0.0</v>
      </c>
      <c r="X170" s="19">
        <v>0.0</v>
      </c>
      <c r="Y170" s="19">
        <v>0.0</v>
      </c>
      <c r="Z170" s="19">
        <v>0.0</v>
      </c>
      <c r="AA170" s="19">
        <v>0.0</v>
      </c>
      <c r="AB170" s="19">
        <v>0.0</v>
      </c>
      <c r="AC170" s="19">
        <v>0.0</v>
      </c>
      <c r="AD170" s="13">
        <f t="shared" si="34"/>
        <v>1</v>
      </c>
    </row>
    <row r="171" ht="12.75" customHeight="1">
      <c r="A171" s="18"/>
      <c r="B171" s="55">
        <v>6.0</v>
      </c>
      <c r="C171" s="50" t="s">
        <v>126</v>
      </c>
      <c r="D171" s="60"/>
      <c r="E171" s="19">
        <v>0.0</v>
      </c>
      <c r="F171" s="19">
        <v>0.0</v>
      </c>
      <c r="G171" s="19">
        <v>0.0</v>
      </c>
      <c r="H171" s="19">
        <v>0.0</v>
      </c>
      <c r="I171" s="19">
        <v>0.0</v>
      </c>
      <c r="J171" s="19">
        <v>0.0</v>
      </c>
      <c r="K171" s="19">
        <v>0.0</v>
      </c>
      <c r="L171" s="19">
        <v>0.0</v>
      </c>
      <c r="M171" s="19">
        <v>0.0</v>
      </c>
      <c r="N171" s="19">
        <v>0.0</v>
      </c>
      <c r="O171" s="19">
        <v>0.0</v>
      </c>
      <c r="P171" s="19">
        <v>0.0</v>
      </c>
      <c r="Q171" s="19">
        <v>0.0</v>
      </c>
      <c r="R171" s="19">
        <v>0.0</v>
      </c>
      <c r="S171" s="19">
        <v>0.0</v>
      </c>
      <c r="T171" s="19">
        <v>0.0</v>
      </c>
      <c r="U171" s="19">
        <v>0.0</v>
      </c>
      <c r="V171" s="19">
        <v>0.0</v>
      </c>
      <c r="W171" s="19">
        <v>0.0</v>
      </c>
      <c r="X171" s="19">
        <v>0.0</v>
      </c>
      <c r="Y171" s="19">
        <v>0.0</v>
      </c>
      <c r="Z171" s="19">
        <v>0.0</v>
      </c>
      <c r="AA171" s="19">
        <v>0.0</v>
      </c>
      <c r="AB171" s="19">
        <v>0.0</v>
      </c>
      <c r="AC171" s="19">
        <v>0.0</v>
      </c>
      <c r="AD171" s="13">
        <f t="shared" si="34"/>
        <v>0</v>
      </c>
    </row>
    <row r="172" ht="12.75" customHeight="1">
      <c r="A172" s="18"/>
      <c r="B172" s="55">
        <v>7.0</v>
      </c>
      <c r="C172" s="50" t="s">
        <v>127</v>
      </c>
      <c r="D172" s="60"/>
      <c r="E172" s="19">
        <v>0.0</v>
      </c>
      <c r="F172" s="19">
        <v>0.0</v>
      </c>
      <c r="G172" s="19">
        <v>0.0</v>
      </c>
      <c r="H172" s="19">
        <v>0.0</v>
      </c>
      <c r="I172" s="19">
        <v>0.0</v>
      </c>
      <c r="J172" s="19">
        <v>0.0</v>
      </c>
      <c r="K172" s="19">
        <v>0.0</v>
      </c>
      <c r="L172" s="19">
        <v>0.0</v>
      </c>
      <c r="M172" s="19">
        <v>0.0</v>
      </c>
      <c r="N172" s="19">
        <v>0.0</v>
      </c>
      <c r="O172" s="19">
        <v>0.0</v>
      </c>
      <c r="P172" s="19">
        <v>0.0</v>
      </c>
      <c r="Q172" s="19">
        <v>0.0</v>
      </c>
      <c r="R172" s="19">
        <v>0.0</v>
      </c>
      <c r="S172" s="19">
        <v>0.0</v>
      </c>
      <c r="T172" s="19">
        <v>0.0</v>
      </c>
      <c r="U172" s="19">
        <v>0.0</v>
      </c>
      <c r="V172" s="19">
        <v>0.0</v>
      </c>
      <c r="W172" s="19">
        <v>0.0</v>
      </c>
      <c r="X172" s="19">
        <v>0.0</v>
      </c>
      <c r="Y172" s="19">
        <v>0.0</v>
      </c>
      <c r="Z172" s="19">
        <v>0.0</v>
      </c>
      <c r="AA172" s="19">
        <v>0.0</v>
      </c>
      <c r="AB172" s="19">
        <v>0.0</v>
      </c>
      <c r="AC172" s="19">
        <v>0.0</v>
      </c>
      <c r="AD172" s="13">
        <f t="shared" si="34"/>
        <v>0</v>
      </c>
    </row>
    <row r="173" ht="12.75" customHeight="1">
      <c r="A173" s="18"/>
      <c r="B173" s="56"/>
      <c r="C173" s="57"/>
      <c r="D173" s="62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9"/>
      <c r="AB173" s="19"/>
      <c r="AC173" s="19"/>
      <c r="AD173" s="13">
        <f t="shared" si="34"/>
        <v>0</v>
      </c>
    </row>
    <row r="174" ht="12.75" customHeight="1">
      <c r="A174" s="18"/>
      <c r="B174" s="56"/>
      <c r="C174" s="57"/>
      <c r="D174" s="62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9"/>
      <c r="AB174" s="19"/>
      <c r="AC174" s="19"/>
      <c r="AD174" s="13">
        <f t="shared" si="34"/>
        <v>0</v>
      </c>
    </row>
    <row r="175" ht="12.75" customHeight="1">
      <c r="A175" s="19" t="s">
        <v>15</v>
      </c>
      <c r="B175" s="47" t="s">
        <v>47</v>
      </c>
      <c r="C175" s="15"/>
      <c r="D175" s="16"/>
      <c r="E175" s="13">
        <f t="shared" ref="E175:AD175" si="35">SUM(E165:E174)</f>
        <v>0</v>
      </c>
      <c r="F175" s="13">
        <f t="shared" si="35"/>
        <v>0</v>
      </c>
      <c r="G175" s="13">
        <f t="shared" si="35"/>
        <v>0</v>
      </c>
      <c r="H175" s="13">
        <f t="shared" si="35"/>
        <v>0</v>
      </c>
      <c r="I175" s="13">
        <f t="shared" si="35"/>
        <v>0</v>
      </c>
      <c r="J175" s="13">
        <f t="shared" si="35"/>
        <v>0</v>
      </c>
      <c r="K175" s="13">
        <f t="shared" si="35"/>
        <v>0</v>
      </c>
      <c r="L175" s="13">
        <f t="shared" si="35"/>
        <v>0</v>
      </c>
      <c r="M175" s="13">
        <f t="shared" si="35"/>
        <v>0</v>
      </c>
      <c r="N175" s="13">
        <f t="shared" si="35"/>
        <v>0</v>
      </c>
      <c r="O175" s="13">
        <f t="shared" si="35"/>
        <v>3</v>
      </c>
      <c r="P175" s="13">
        <f t="shared" si="35"/>
        <v>0</v>
      </c>
      <c r="Q175" s="13">
        <f t="shared" si="35"/>
        <v>0</v>
      </c>
      <c r="R175" s="13">
        <f t="shared" si="35"/>
        <v>0</v>
      </c>
      <c r="S175" s="13">
        <f t="shared" si="35"/>
        <v>0</v>
      </c>
      <c r="T175" s="13">
        <f t="shared" si="35"/>
        <v>0</v>
      </c>
      <c r="U175" s="13">
        <f t="shared" si="35"/>
        <v>0</v>
      </c>
      <c r="V175" s="13">
        <f t="shared" si="35"/>
        <v>2</v>
      </c>
      <c r="W175" s="13">
        <f t="shared" si="35"/>
        <v>1</v>
      </c>
      <c r="X175" s="13">
        <f t="shared" si="35"/>
        <v>0</v>
      </c>
      <c r="Y175" s="13">
        <f t="shared" si="35"/>
        <v>0</v>
      </c>
      <c r="Z175" s="13">
        <f t="shared" si="35"/>
        <v>0</v>
      </c>
      <c r="AA175" s="13">
        <f t="shared" si="35"/>
        <v>1</v>
      </c>
      <c r="AB175" s="13">
        <f t="shared" si="35"/>
        <v>0</v>
      </c>
      <c r="AC175" s="13">
        <f t="shared" si="35"/>
        <v>0</v>
      </c>
      <c r="AD175" s="13">
        <f t="shared" si="35"/>
        <v>7</v>
      </c>
    </row>
    <row r="176" ht="12.75" customHeight="1">
      <c r="A176" s="24"/>
      <c r="B176" s="15"/>
      <c r="C176" s="15"/>
      <c r="D176" s="15"/>
      <c r="E176" s="16"/>
      <c r="F176" s="84"/>
      <c r="G176" s="84"/>
      <c r="H176" s="84"/>
      <c r="I176" s="84"/>
      <c r="J176" s="84"/>
      <c r="K176" s="84"/>
      <c r="L176" s="84"/>
      <c r="M176" s="84"/>
      <c r="N176" s="84"/>
      <c r="O176" s="84"/>
      <c r="P176" s="84"/>
      <c r="Q176" s="84"/>
      <c r="R176" s="84"/>
      <c r="S176" s="84"/>
      <c r="T176" s="84"/>
      <c r="U176" s="84"/>
      <c r="V176" s="84"/>
      <c r="W176" s="84"/>
      <c r="X176" s="84"/>
      <c r="Y176" s="84"/>
      <c r="Z176" s="84"/>
      <c r="AA176" s="84"/>
      <c r="AB176" s="84"/>
      <c r="AC176" s="84"/>
      <c r="AD176" s="84"/>
    </row>
    <row r="177" ht="12.75" customHeight="1">
      <c r="A177" s="30" t="s">
        <v>37</v>
      </c>
      <c r="B177" s="47" t="s">
        <v>128</v>
      </c>
      <c r="C177" s="48" t="s">
        <v>129</v>
      </c>
      <c r="D177" s="16"/>
      <c r="E177" s="19">
        <v>1.0</v>
      </c>
      <c r="F177" s="19">
        <v>0.0</v>
      </c>
      <c r="G177" s="19">
        <v>0.0</v>
      </c>
      <c r="H177" s="19">
        <v>0.0</v>
      </c>
      <c r="I177" s="19">
        <v>0.0</v>
      </c>
      <c r="J177" s="19">
        <v>2.0</v>
      </c>
      <c r="K177" s="19">
        <v>0.0</v>
      </c>
      <c r="L177" s="19">
        <v>0.0</v>
      </c>
      <c r="M177" s="19">
        <v>0.0</v>
      </c>
      <c r="N177" s="19">
        <v>0.0</v>
      </c>
      <c r="O177" s="19">
        <v>0.0</v>
      </c>
      <c r="P177" s="19">
        <v>0.0</v>
      </c>
      <c r="Q177" s="19">
        <v>1.0</v>
      </c>
      <c r="R177" s="19">
        <v>0.0</v>
      </c>
      <c r="S177" s="19">
        <v>3.0</v>
      </c>
      <c r="T177" s="19">
        <v>0.0</v>
      </c>
      <c r="U177" s="19">
        <v>0.0</v>
      </c>
      <c r="V177" s="19">
        <v>0.0</v>
      </c>
      <c r="W177" s="19">
        <v>1.0</v>
      </c>
      <c r="X177" s="19">
        <v>0.0</v>
      </c>
      <c r="Y177" s="19">
        <v>0.0</v>
      </c>
      <c r="Z177" s="19">
        <v>1.0</v>
      </c>
      <c r="AA177" s="19">
        <v>1.0</v>
      </c>
      <c r="AB177" s="19">
        <v>1.0</v>
      </c>
      <c r="AC177" s="19">
        <v>1.0</v>
      </c>
      <c r="AD177" s="13">
        <f t="shared" ref="AD177:AD186" si="36">SUM(E177:AC177)</f>
        <v>12</v>
      </c>
    </row>
    <row r="178" ht="12.75" customHeight="1">
      <c r="A178" s="30" t="s">
        <v>39</v>
      </c>
      <c r="B178" s="55">
        <v>1.0</v>
      </c>
      <c r="C178" s="50" t="s">
        <v>130</v>
      </c>
      <c r="D178" s="60"/>
      <c r="E178" s="19">
        <v>0.0</v>
      </c>
      <c r="F178" s="19">
        <v>0.0</v>
      </c>
      <c r="G178" s="19">
        <v>0.0</v>
      </c>
      <c r="H178" s="19">
        <v>0.0</v>
      </c>
      <c r="I178" s="19">
        <v>0.0</v>
      </c>
      <c r="J178" s="19">
        <v>1.0</v>
      </c>
      <c r="K178" s="19">
        <v>2.0</v>
      </c>
      <c r="L178" s="19">
        <v>1.0</v>
      </c>
      <c r="M178" s="19">
        <v>2.0</v>
      </c>
      <c r="N178" s="19">
        <v>1.0</v>
      </c>
      <c r="O178" s="19">
        <v>0.0</v>
      </c>
      <c r="P178" s="19">
        <v>5.0</v>
      </c>
      <c r="Q178" s="19">
        <v>2.0</v>
      </c>
      <c r="R178" s="19">
        <v>6.0</v>
      </c>
      <c r="S178" s="19">
        <v>6.0</v>
      </c>
      <c r="T178" s="19">
        <v>5.0</v>
      </c>
      <c r="U178" s="19">
        <v>2.0</v>
      </c>
      <c r="V178" s="19">
        <v>2.0</v>
      </c>
      <c r="W178" s="19">
        <v>0.0</v>
      </c>
      <c r="X178" s="19">
        <v>0.0</v>
      </c>
      <c r="Y178" s="19">
        <v>7.0</v>
      </c>
      <c r="Z178" s="19">
        <v>2.0</v>
      </c>
      <c r="AA178" s="19">
        <v>0.0</v>
      </c>
      <c r="AB178" s="19">
        <v>1.0</v>
      </c>
      <c r="AC178" s="19">
        <v>0.0</v>
      </c>
      <c r="AD178" s="13">
        <f t="shared" si="36"/>
        <v>45</v>
      </c>
    </row>
    <row r="179" ht="12.75" customHeight="1">
      <c r="A179" s="18"/>
      <c r="B179" s="55">
        <v>2.0</v>
      </c>
      <c r="C179" s="50" t="s">
        <v>131</v>
      </c>
      <c r="D179" s="60"/>
      <c r="E179" s="19">
        <v>0.0</v>
      </c>
      <c r="F179" s="19">
        <v>0.0</v>
      </c>
      <c r="G179" s="19">
        <v>0.0</v>
      </c>
      <c r="H179" s="19">
        <v>0.0</v>
      </c>
      <c r="I179" s="19">
        <v>1.0</v>
      </c>
      <c r="J179" s="19">
        <v>1.0</v>
      </c>
      <c r="K179" s="19">
        <v>0.0</v>
      </c>
      <c r="L179" s="19">
        <v>0.0</v>
      </c>
      <c r="M179" s="19">
        <v>1.0</v>
      </c>
      <c r="N179" s="19">
        <v>0.0</v>
      </c>
      <c r="O179" s="19">
        <v>0.0</v>
      </c>
      <c r="P179" s="19">
        <v>0.0</v>
      </c>
      <c r="Q179" s="19">
        <v>0.0</v>
      </c>
      <c r="R179" s="19">
        <v>0.0</v>
      </c>
      <c r="S179" s="19">
        <v>0.0</v>
      </c>
      <c r="T179" s="19">
        <v>0.0</v>
      </c>
      <c r="U179" s="19">
        <v>0.0</v>
      </c>
      <c r="V179" s="19">
        <v>1.0</v>
      </c>
      <c r="W179" s="19">
        <v>0.0</v>
      </c>
      <c r="X179" s="19">
        <v>0.0</v>
      </c>
      <c r="Y179" s="19">
        <v>0.0</v>
      </c>
      <c r="Z179" s="19">
        <v>0.0</v>
      </c>
      <c r="AA179" s="19">
        <v>0.0</v>
      </c>
      <c r="AB179" s="19">
        <v>0.0</v>
      </c>
      <c r="AC179" s="19">
        <v>0.0</v>
      </c>
      <c r="AD179" s="13">
        <f t="shared" si="36"/>
        <v>4</v>
      </c>
    </row>
    <row r="180" ht="12.75" customHeight="1">
      <c r="A180" s="18"/>
      <c r="B180" s="55">
        <v>3.0</v>
      </c>
      <c r="C180" s="50" t="s">
        <v>132</v>
      </c>
      <c r="D180" s="60"/>
      <c r="E180" s="19">
        <v>0.0</v>
      </c>
      <c r="F180" s="19">
        <v>0.0</v>
      </c>
      <c r="G180" s="19">
        <v>0.0</v>
      </c>
      <c r="H180" s="19">
        <v>0.0</v>
      </c>
      <c r="I180" s="19">
        <v>0.0</v>
      </c>
      <c r="J180" s="19">
        <v>0.0</v>
      </c>
      <c r="K180" s="19">
        <v>0.0</v>
      </c>
      <c r="L180" s="19">
        <v>0.0</v>
      </c>
      <c r="M180" s="19">
        <v>0.0</v>
      </c>
      <c r="N180" s="19">
        <v>1.0</v>
      </c>
      <c r="O180" s="19">
        <v>0.0</v>
      </c>
      <c r="P180" s="19">
        <v>0.0</v>
      </c>
      <c r="Q180" s="19">
        <v>0.0</v>
      </c>
      <c r="R180" s="19">
        <v>0.0</v>
      </c>
      <c r="S180" s="19">
        <v>0.0</v>
      </c>
      <c r="T180" s="19">
        <v>0.0</v>
      </c>
      <c r="U180" s="19">
        <v>1.0</v>
      </c>
      <c r="V180" s="19">
        <v>0.0</v>
      </c>
      <c r="W180" s="19">
        <v>0.0</v>
      </c>
      <c r="X180" s="19">
        <v>0.0</v>
      </c>
      <c r="Y180" s="19">
        <v>0.0</v>
      </c>
      <c r="Z180" s="19">
        <v>0.0</v>
      </c>
      <c r="AA180" s="19">
        <v>0.0</v>
      </c>
      <c r="AB180" s="19">
        <v>0.0</v>
      </c>
      <c r="AC180" s="19">
        <v>0.0</v>
      </c>
      <c r="AD180" s="13">
        <f t="shared" si="36"/>
        <v>2</v>
      </c>
    </row>
    <row r="181" ht="12.75" customHeight="1">
      <c r="A181" s="18"/>
      <c r="B181" s="55">
        <v>4.0</v>
      </c>
      <c r="C181" s="50" t="s">
        <v>133</v>
      </c>
      <c r="D181" s="60"/>
      <c r="E181" s="19">
        <v>1.0</v>
      </c>
      <c r="F181" s="19">
        <v>0.0</v>
      </c>
      <c r="G181" s="19">
        <v>0.0</v>
      </c>
      <c r="H181" s="19">
        <v>0.0</v>
      </c>
      <c r="I181" s="19">
        <v>0.0</v>
      </c>
      <c r="J181" s="19">
        <v>0.0</v>
      </c>
      <c r="K181" s="19">
        <v>0.0</v>
      </c>
      <c r="L181" s="19">
        <v>0.0</v>
      </c>
      <c r="M181" s="19">
        <v>0.0</v>
      </c>
      <c r="N181" s="19">
        <v>0.0</v>
      </c>
      <c r="O181" s="19">
        <v>0.0</v>
      </c>
      <c r="P181" s="19">
        <v>0.0</v>
      </c>
      <c r="Q181" s="19">
        <v>0.0</v>
      </c>
      <c r="R181" s="19">
        <v>0.0</v>
      </c>
      <c r="S181" s="19">
        <v>0.0</v>
      </c>
      <c r="T181" s="19">
        <v>0.0</v>
      </c>
      <c r="U181" s="19">
        <v>0.0</v>
      </c>
      <c r="V181" s="19">
        <v>0.0</v>
      </c>
      <c r="W181" s="19">
        <v>0.0</v>
      </c>
      <c r="X181" s="19">
        <v>1.0</v>
      </c>
      <c r="Y181" s="19">
        <v>0.0</v>
      </c>
      <c r="Z181" s="19">
        <v>0.0</v>
      </c>
      <c r="AA181" s="19">
        <v>1.0</v>
      </c>
      <c r="AB181" s="19">
        <v>0.0</v>
      </c>
      <c r="AC181" s="19">
        <v>0.0</v>
      </c>
      <c r="AD181" s="13">
        <f t="shared" si="36"/>
        <v>3</v>
      </c>
    </row>
    <row r="182" ht="12.75" customHeight="1">
      <c r="A182" s="18"/>
      <c r="B182" s="55">
        <v>5.0</v>
      </c>
      <c r="C182" s="50" t="s">
        <v>134</v>
      </c>
      <c r="D182" s="60"/>
      <c r="E182" s="19">
        <v>0.0</v>
      </c>
      <c r="F182" s="19">
        <v>0.0</v>
      </c>
      <c r="G182" s="19">
        <v>0.0</v>
      </c>
      <c r="H182" s="19">
        <v>0.0</v>
      </c>
      <c r="I182" s="19">
        <v>0.0</v>
      </c>
      <c r="J182" s="19">
        <v>2.0</v>
      </c>
      <c r="K182" s="19">
        <v>0.0</v>
      </c>
      <c r="L182" s="19">
        <v>0.0</v>
      </c>
      <c r="M182" s="19">
        <v>0.0</v>
      </c>
      <c r="N182" s="19">
        <v>0.0</v>
      </c>
      <c r="O182" s="19">
        <v>1.0</v>
      </c>
      <c r="P182" s="19">
        <v>0.0</v>
      </c>
      <c r="Q182" s="19">
        <v>0.0</v>
      </c>
      <c r="R182" s="19">
        <v>0.0</v>
      </c>
      <c r="S182" s="19">
        <v>0.0</v>
      </c>
      <c r="T182" s="19">
        <v>0.0</v>
      </c>
      <c r="U182" s="19">
        <v>0.0</v>
      </c>
      <c r="V182" s="19">
        <v>0.0</v>
      </c>
      <c r="W182" s="19">
        <v>0.0</v>
      </c>
      <c r="X182" s="19">
        <v>0.0</v>
      </c>
      <c r="Y182" s="19">
        <v>0.0</v>
      </c>
      <c r="Z182" s="19">
        <v>0.0</v>
      </c>
      <c r="AA182" s="19">
        <v>0.0</v>
      </c>
      <c r="AB182" s="19">
        <v>0.0</v>
      </c>
      <c r="AC182" s="19">
        <v>0.0</v>
      </c>
      <c r="AD182" s="13">
        <f t="shared" si="36"/>
        <v>3</v>
      </c>
    </row>
    <row r="183" ht="12.75" customHeight="1">
      <c r="A183" s="18"/>
      <c r="B183" s="55">
        <v>6.0</v>
      </c>
      <c r="C183" s="50" t="s">
        <v>135</v>
      </c>
      <c r="D183" s="60"/>
      <c r="E183" s="19">
        <v>0.0</v>
      </c>
      <c r="F183" s="19">
        <v>0.0</v>
      </c>
      <c r="G183" s="19">
        <v>0.0</v>
      </c>
      <c r="H183" s="19">
        <v>0.0</v>
      </c>
      <c r="I183" s="19">
        <v>0.0</v>
      </c>
      <c r="J183" s="19">
        <v>0.0</v>
      </c>
      <c r="K183" s="19">
        <v>1.0</v>
      </c>
      <c r="L183" s="19">
        <v>0.0</v>
      </c>
      <c r="M183" s="19">
        <v>0.0</v>
      </c>
      <c r="N183" s="19">
        <v>0.0</v>
      </c>
      <c r="O183" s="19">
        <v>0.0</v>
      </c>
      <c r="P183" s="19">
        <v>0.0</v>
      </c>
      <c r="Q183" s="19">
        <v>1.0</v>
      </c>
      <c r="R183" s="19">
        <v>0.0</v>
      </c>
      <c r="S183" s="19">
        <v>0.0</v>
      </c>
      <c r="T183" s="19">
        <v>0.0</v>
      </c>
      <c r="U183" s="19">
        <v>0.0</v>
      </c>
      <c r="V183" s="19">
        <v>0.0</v>
      </c>
      <c r="W183" s="19">
        <v>0.0</v>
      </c>
      <c r="X183" s="19">
        <v>0.0</v>
      </c>
      <c r="Y183" s="19">
        <v>0.0</v>
      </c>
      <c r="Z183" s="19">
        <v>0.0</v>
      </c>
      <c r="AA183" s="19">
        <v>0.0</v>
      </c>
      <c r="AB183" s="19">
        <v>0.0</v>
      </c>
      <c r="AC183" s="19">
        <v>0.0</v>
      </c>
      <c r="AD183" s="13">
        <f t="shared" si="36"/>
        <v>2</v>
      </c>
    </row>
    <row r="184" ht="12.75" customHeight="1">
      <c r="A184" s="18"/>
      <c r="B184" s="55">
        <v>7.0</v>
      </c>
      <c r="C184" s="50" t="s">
        <v>136</v>
      </c>
      <c r="D184" s="60"/>
      <c r="E184" s="19">
        <v>0.0</v>
      </c>
      <c r="F184" s="19">
        <v>0.0</v>
      </c>
      <c r="G184" s="19">
        <v>0.0</v>
      </c>
      <c r="H184" s="19">
        <v>0.0</v>
      </c>
      <c r="I184" s="19">
        <v>0.0</v>
      </c>
      <c r="J184" s="19">
        <v>0.0</v>
      </c>
      <c r="K184" s="19">
        <v>0.0</v>
      </c>
      <c r="L184" s="19">
        <v>0.0</v>
      </c>
      <c r="M184" s="19">
        <v>0.0</v>
      </c>
      <c r="N184" s="19">
        <v>0.0</v>
      </c>
      <c r="O184" s="19">
        <v>0.0</v>
      </c>
      <c r="P184" s="19">
        <v>0.0</v>
      </c>
      <c r="Q184" s="19">
        <v>0.0</v>
      </c>
      <c r="R184" s="19">
        <v>0.0</v>
      </c>
      <c r="S184" s="19">
        <v>0.0</v>
      </c>
      <c r="T184" s="19">
        <v>0.0</v>
      </c>
      <c r="U184" s="19">
        <v>0.0</v>
      </c>
      <c r="V184" s="19">
        <v>0.0</v>
      </c>
      <c r="W184" s="19">
        <v>0.0</v>
      </c>
      <c r="X184" s="19">
        <v>0.0</v>
      </c>
      <c r="Y184" s="19">
        <v>0.0</v>
      </c>
      <c r="Z184" s="19">
        <v>0.0</v>
      </c>
      <c r="AA184" s="19">
        <v>0.0</v>
      </c>
      <c r="AB184" s="19">
        <v>0.0</v>
      </c>
      <c r="AC184" s="19">
        <v>0.0</v>
      </c>
      <c r="AD184" s="13">
        <f t="shared" si="36"/>
        <v>0</v>
      </c>
    </row>
    <row r="185" ht="12.75" customHeight="1">
      <c r="A185" s="18"/>
      <c r="B185" s="56"/>
      <c r="C185" s="57"/>
      <c r="D185" s="62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  <c r="AA185" s="19"/>
      <c r="AB185" s="19"/>
      <c r="AC185" s="19"/>
      <c r="AD185" s="13">
        <f t="shared" si="36"/>
        <v>0</v>
      </c>
    </row>
    <row r="186" ht="12.75" customHeight="1">
      <c r="A186" s="18"/>
      <c r="B186" s="56"/>
      <c r="C186" s="57"/>
      <c r="D186" s="62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  <c r="AA186" s="19"/>
      <c r="AB186" s="19"/>
      <c r="AC186" s="19"/>
      <c r="AD186" s="13">
        <f t="shared" si="36"/>
        <v>0</v>
      </c>
    </row>
    <row r="187" ht="12.75" customHeight="1">
      <c r="A187" s="19" t="s">
        <v>15</v>
      </c>
      <c r="B187" s="47" t="s">
        <v>47</v>
      </c>
      <c r="C187" s="15"/>
      <c r="D187" s="16"/>
      <c r="E187" s="13">
        <f t="shared" ref="E187:AD187" si="37">SUM(E177:E186)</f>
        <v>2</v>
      </c>
      <c r="F187" s="13">
        <f t="shared" si="37"/>
        <v>0</v>
      </c>
      <c r="G187" s="13">
        <f t="shared" si="37"/>
        <v>0</v>
      </c>
      <c r="H187" s="13">
        <f t="shared" si="37"/>
        <v>0</v>
      </c>
      <c r="I187" s="13">
        <f t="shared" si="37"/>
        <v>1</v>
      </c>
      <c r="J187" s="13">
        <f t="shared" si="37"/>
        <v>6</v>
      </c>
      <c r="K187" s="13">
        <f t="shared" si="37"/>
        <v>3</v>
      </c>
      <c r="L187" s="13">
        <f t="shared" si="37"/>
        <v>1</v>
      </c>
      <c r="M187" s="13">
        <f t="shared" si="37"/>
        <v>3</v>
      </c>
      <c r="N187" s="13">
        <f t="shared" si="37"/>
        <v>2</v>
      </c>
      <c r="O187" s="13">
        <f t="shared" si="37"/>
        <v>1</v>
      </c>
      <c r="P187" s="13">
        <f t="shared" si="37"/>
        <v>5</v>
      </c>
      <c r="Q187" s="13">
        <f t="shared" si="37"/>
        <v>4</v>
      </c>
      <c r="R187" s="13">
        <f t="shared" si="37"/>
        <v>6</v>
      </c>
      <c r="S187" s="13">
        <f t="shared" si="37"/>
        <v>9</v>
      </c>
      <c r="T187" s="13">
        <f t="shared" si="37"/>
        <v>5</v>
      </c>
      <c r="U187" s="13">
        <f t="shared" si="37"/>
        <v>3</v>
      </c>
      <c r="V187" s="13">
        <f t="shared" si="37"/>
        <v>3</v>
      </c>
      <c r="W187" s="13">
        <f t="shared" si="37"/>
        <v>1</v>
      </c>
      <c r="X187" s="13">
        <f t="shared" si="37"/>
        <v>1</v>
      </c>
      <c r="Y187" s="13">
        <f t="shared" si="37"/>
        <v>7</v>
      </c>
      <c r="Z187" s="13">
        <f t="shared" si="37"/>
        <v>3</v>
      </c>
      <c r="AA187" s="13">
        <f t="shared" si="37"/>
        <v>2</v>
      </c>
      <c r="AB187" s="13">
        <f t="shared" si="37"/>
        <v>2</v>
      </c>
      <c r="AC187" s="13">
        <f t="shared" si="37"/>
        <v>1</v>
      </c>
      <c r="AD187" s="13">
        <f t="shared" si="37"/>
        <v>71</v>
      </c>
    </row>
    <row r="188" ht="12.75" customHeight="1">
      <c r="A188" s="24"/>
      <c r="B188" s="15"/>
      <c r="C188" s="15"/>
      <c r="D188" s="15"/>
      <c r="E188" s="16"/>
      <c r="F188" s="84"/>
      <c r="G188" s="84"/>
      <c r="H188" s="84"/>
      <c r="I188" s="84"/>
      <c r="J188" s="84"/>
      <c r="K188" s="84"/>
      <c r="L188" s="84"/>
      <c r="M188" s="84"/>
      <c r="N188" s="84"/>
      <c r="AD188" s="13"/>
    </row>
    <row r="189" ht="12.75" customHeight="1">
      <c r="A189" s="30" t="s">
        <v>37</v>
      </c>
      <c r="B189" s="47" t="s">
        <v>137</v>
      </c>
      <c r="C189" s="48" t="s">
        <v>138</v>
      </c>
      <c r="D189" s="16"/>
      <c r="E189" s="19">
        <v>0.0</v>
      </c>
      <c r="F189" s="19">
        <v>0.0</v>
      </c>
      <c r="G189" s="19">
        <v>0.0</v>
      </c>
      <c r="H189" s="19">
        <v>0.0</v>
      </c>
      <c r="I189" s="19">
        <v>0.0</v>
      </c>
      <c r="J189" s="19">
        <v>0.0</v>
      </c>
      <c r="K189" s="19">
        <v>0.0</v>
      </c>
      <c r="L189" s="19">
        <v>0.0</v>
      </c>
      <c r="M189" s="19">
        <v>0.0</v>
      </c>
      <c r="N189" s="19">
        <v>0.0</v>
      </c>
      <c r="O189" s="19">
        <v>1.0</v>
      </c>
      <c r="P189" s="19">
        <v>0.0</v>
      </c>
      <c r="Q189" s="19">
        <v>0.0</v>
      </c>
      <c r="R189" s="19">
        <v>0.0</v>
      </c>
      <c r="S189" s="19">
        <v>0.0</v>
      </c>
      <c r="T189" s="19">
        <v>0.0</v>
      </c>
      <c r="U189" s="19">
        <v>0.0</v>
      </c>
      <c r="V189" s="19">
        <v>0.0</v>
      </c>
      <c r="W189" s="19">
        <v>0.0</v>
      </c>
      <c r="X189" s="19">
        <v>0.0</v>
      </c>
      <c r="Y189" s="19">
        <v>0.0</v>
      </c>
      <c r="Z189" s="19">
        <v>1.0</v>
      </c>
      <c r="AA189" s="19">
        <v>0.0</v>
      </c>
      <c r="AB189" s="19">
        <v>0.0</v>
      </c>
      <c r="AC189" s="19">
        <v>0.0</v>
      </c>
      <c r="AD189" s="13">
        <f t="shared" ref="AD189:AD198" si="38">SUM(E189:AC189)</f>
        <v>2</v>
      </c>
    </row>
    <row r="190" ht="12.75" customHeight="1">
      <c r="A190" s="30" t="s">
        <v>39</v>
      </c>
      <c r="B190" s="55">
        <v>1.0</v>
      </c>
      <c r="C190" s="50" t="s">
        <v>139</v>
      </c>
      <c r="D190" s="60"/>
      <c r="E190" s="19">
        <v>0.0</v>
      </c>
      <c r="F190" s="19">
        <v>0.0</v>
      </c>
      <c r="G190" s="19">
        <v>0.0</v>
      </c>
      <c r="H190" s="19">
        <v>0.0</v>
      </c>
      <c r="I190" s="19">
        <v>0.0</v>
      </c>
      <c r="J190" s="19">
        <v>0.0</v>
      </c>
      <c r="K190" s="19">
        <v>0.0</v>
      </c>
      <c r="L190" s="19">
        <v>0.0</v>
      </c>
      <c r="M190" s="19">
        <v>0.0</v>
      </c>
      <c r="N190" s="19">
        <v>1.0</v>
      </c>
      <c r="O190" s="19">
        <v>0.0</v>
      </c>
      <c r="P190" s="19">
        <v>0.0</v>
      </c>
      <c r="Q190" s="19">
        <v>0.0</v>
      </c>
      <c r="R190" s="19">
        <v>0.0</v>
      </c>
      <c r="S190" s="19">
        <v>0.0</v>
      </c>
      <c r="T190" s="19">
        <v>0.0</v>
      </c>
      <c r="U190" s="19">
        <v>1.0</v>
      </c>
      <c r="V190" s="19">
        <v>0.0</v>
      </c>
      <c r="W190" s="19">
        <v>0.0</v>
      </c>
      <c r="X190" s="19">
        <v>0.0</v>
      </c>
      <c r="Y190" s="19">
        <v>0.0</v>
      </c>
      <c r="Z190" s="19">
        <v>0.0</v>
      </c>
      <c r="AA190" s="19">
        <v>0.0</v>
      </c>
      <c r="AB190" s="19">
        <v>0.0</v>
      </c>
      <c r="AC190" s="19">
        <v>0.0</v>
      </c>
      <c r="AD190" s="13">
        <f t="shared" si="38"/>
        <v>2</v>
      </c>
    </row>
    <row r="191" ht="12.75" customHeight="1">
      <c r="A191" s="18"/>
      <c r="B191" s="55">
        <v>2.0</v>
      </c>
      <c r="C191" s="50" t="s">
        <v>140</v>
      </c>
      <c r="D191" s="60"/>
      <c r="E191" s="19">
        <v>0.0</v>
      </c>
      <c r="F191" s="19">
        <v>0.0</v>
      </c>
      <c r="G191" s="19">
        <v>0.0</v>
      </c>
      <c r="H191" s="19">
        <v>0.0</v>
      </c>
      <c r="I191" s="19">
        <v>0.0</v>
      </c>
      <c r="J191" s="19">
        <v>0.0</v>
      </c>
      <c r="K191" s="19">
        <v>0.0</v>
      </c>
      <c r="L191" s="19">
        <v>0.0</v>
      </c>
      <c r="M191" s="19">
        <v>0.0</v>
      </c>
      <c r="N191" s="19">
        <v>0.0</v>
      </c>
      <c r="O191" s="19">
        <v>0.0</v>
      </c>
      <c r="P191" s="19">
        <v>0.0</v>
      </c>
      <c r="Q191" s="19">
        <v>0.0</v>
      </c>
      <c r="R191" s="19">
        <v>0.0</v>
      </c>
      <c r="S191" s="19">
        <v>0.0</v>
      </c>
      <c r="T191" s="19">
        <v>0.0</v>
      </c>
      <c r="U191" s="19">
        <v>0.0</v>
      </c>
      <c r="V191" s="19">
        <v>0.0</v>
      </c>
      <c r="W191" s="19">
        <v>0.0</v>
      </c>
      <c r="X191" s="19">
        <v>0.0</v>
      </c>
      <c r="Y191" s="19">
        <v>0.0</v>
      </c>
      <c r="Z191" s="19">
        <v>0.0</v>
      </c>
      <c r="AA191" s="19">
        <v>0.0</v>
      </c>
      <c r="AB191" s="19">
        <v>0.0</v>
      </c>
      <c r="AC191" s="19">
        <v>0.0</v>
      </c>
      <c r="AD191" s="13">
        <f t="shared" si="38"/>
        <v>0</v>
      </c>
    </row>
    <row r="192" ht="12.75" customHeight="1">
      <c r="A192" s="18"/>
      <c r="B192" s="55">
        <v>3.0</v>
      </c>
      <c r="C192" s="50" t="s">
        <v>141</v>
      </c>
      <c r="D192" s="60"/>
      <c r="E192" s="19">
        <v>0.0</v>
      </c>
      <c r="F192" s="19">
        <v>0.0</v>
      </c>
      <c r="G192" s="19">
        <v>0.0</v>
      </c>
      <c r="H192" s="19">
        <v>0.0</v>
      </c>
      <c r="I192" s="19">
        <v>0.0</v>
      </c>
      <c r="J192" s="19">
        <v>0.0</v>
      </c>
      <c r="K192" s="19">
        <v>0.0</v>
      </c>
      <c r="L192" s="19">
        <v>0.0</v>
      </c>
      <c r="M192" s="19">
        <v>0.0</v>
      </c>
      <c r="N192" s="19">
        <v>0.0</v>
      </c>
      <c r="O192" s="19">
        <v>0.0</v>
      </c>
      <c r="P192" s="19">
        <v>0.0</v>
      </c>
      <c r="Q192" s="19">
        <v>0.0</v>
      </c>
      <c r="R192" s="19">
        <v>0.0</v>
      </c>
      <c r="S192" s="19">
        <v>0.0</v>
      </c>
      <c r="T192" s="19">
        <v>0.0</v>
      </c>
      <c r="U192" s="19">
        <v>0.0</v>
      </c>
      <c r="V192" s="19">
        <v>0.0</v>
      </c>
      <c r="W192" s="19">
        <v>0.0</v>
      </c>
      <c r="X192" s="19">
        <v>0.0</v>
      </c>
      <c r="Y192" s="19">
        <v>0.0</v>
      </c>
      <c r="Z192" s="19">
        <v>0.0</v>
      </c>
      <c r="AA192" s="19">
        <v>0.0</v>
      </c>
      <c r="AB192" s="19">
        <v>0.0</v>
      </c>
      <c r="AC192" s="19">
        <v>0.0</v>
      </c>
      <c r="AD192" s="13">
        <f t="shared" si="38"/>
        <v>0</v>
      </c>
    </row>
    <row r="193" ht="12.75" customHeight="1">
      <c r="A193" s="18"/>
      <c r="B193" s="55">
        <v>4.0</v>
      </c>
      <c r="C193" s="50" t="s">
        <v>142</v>
      </c>
      <c r="D193" s="60"/>
      <c r="E193" s="19">
        <v>0.0</v>
      </c>
      <c r="F193" s="19">
        <v>0.0</v>
      </c>
      <c r="G193" s="19">
        <v>0.0</v>
      </c>
      <c r="H193" s="19">
        <v>0.0</v>
      </c>
      <c r="I193" s="19">
        <v>0.0</v>
      </c>
      <c r="J193" s="19">
        <v>0.0</v>
      </c>
      <c r="K193" s="19">
        <v>1.0</v>
      </c>
      <c r="L193" s="19">
        <v>0.0</v>
      </c>
      <c r="M193" s="19">
        <v>0.0</v>
      </c>
      <c r="N193" s="19">
        <v>0.0</v>
      </c>
      <c r="O193" s="19">
        <v>0.0</v>
      </c>
      <c r="P193" s="19">
        <v>0.0</v>
      </c>
      <c r="Q193" s="19">
        <v>0.0</v>
      </c>
      <c r="R193" s="19">
        <v>0.0</v>
      </c>
      <c r="S193" s="19">
        <v>0.0</v>
      </c>
      <c r="T193" s="19">
        <v>0.0</v>
      </c>
      <c r="U193" s="19">
        <v>0.0</v>
      </c>
      <c r="V193" s="19">
        <v>0.0</v>
      </c>
      <c r="W193" s="19">
        <v>0.0</v>
      </c>
      <c r="X193" s="19">
        <v>0.0</v>
      </c>
      <c r="Y193" s="19">
        <v>0.0</v>
      </c>
      <c r="Z193" s="19">
        <v>0.0</v>
      </c>
      <c r="AA193" s="19">
        <v>0.0</v>
      </c>
      <c r="AB193" s="19">
        <v>0.0</v>
      </c>
      <c r="AC193" s="19">
        <v>0.0</v>
      </c>
      <c r="AD193" s="13">
        <f t="shared" si="38"/>
        <v>1</v>
      </c>
    </row>
    <row r="194" ht="12.75" customHeight="1">
      <c r="A194" s="18"/>
      <c r="B194" s="55">
        <v>5.0</v>
      </c>
      <c r="C194" s="50" t="s">
        <v>143</v>
      </c>
      <c r="D194" s="60"/>
      <c r="E194" s="19">
        <v>0.0</v>
      </c>
      <c r="F194" s="19">
        <v>0.0</v>
      </c>
      <c r="G194" s="19">
        <v>0.0</v>
      </c>
      <c r="H194" s="19">
        <v>0.0</v>
      </c>
      <c r="I194" s="19">
        <v>0.0</v>
      </c>
      <c r="J194" s="19">
        <v>0.0</v>
      </c>
      <c r="K194" s="19">
        <v>0.0</v>
      </c>
      <c r="L194" s="19">
        <v>0.0</v>
      </c>
      <c r="M194" s="19">
        <v>0.0</v>
      </c>
      <c r="N194" s="19">
        <v>0.0</v>
      </c>
      <c r="O194" s="19">
        <v>0.0</v>
      </c>
      <c r="P194" s="19">
        <v>0.0</v>
      </c>
      <c r="Q194" s="19">
        <v>0.0</v>
      </c>
      <c r="R194" s="19">
        <v>0.0</v>
      </c>
      <c r="S194" s="19">
        <v>0.0</v>
      </c>
      <c r="T194" s="19">
        <v>0.0</v>
      </c>
      <c r="U194" s="19">
        <v>0.0</v>
      </c>
      <c r="V194" s="19">
        <v>0.0</v>
      </c>
      <c r="W194" s="19">
        <v>0.0</v>
      </c>
      <c r="X194" s="19">
        <v>0.0</v>
      </c>
      <c r="Y194" s="19">
        <v>1.0</v>
      </c>
      <c r="Z194" s="19">
        <v>0.0</v>
      </c>
      <c r="AA194" s="19">
        <v>0.0</v>
      </c>
      <c r="AB194" s="19">
        <v>0.0</v>
      </c>
      <c r="AC194" s="19">
        <v>0.0</v>
      </c>
      <c r="AD194" s="13">
        <f t="shared" si="38"/>
        <v>1</v>
      </c>
    </row>
    <row r="195" ht="12.75" customHeight="1">
      <c r="A195" s="18"/>
      <c r="B195" s="55">
        <v>6.0</v>
      </c>
      <c r="C195" s="50" t="s">
        <v>144</v>
      </c>
      <c r="D195" s="60"/>
      <c r="E195" s="19">
        <v>0.0</v>
      </c>
      <c r="F195" s="19">
        <v>0.0</v>
      </c>
      <c r="G195" s="19">
        <v>0.0</v>
      </c>
      <c r="H195" s="19">
        <v>0.0</v>
      </c>
      <c r="I195" s="19">
        <v>0.0</v>
      </c>
      <c r="J195" s="19">
        <v>0.0</v>
      </c>
      <c r="K195" s="19">
        <v>0.0</v>
      </c>
      <c r="L195" s="19">
        <v>0.0</v>
      </c>
      <c r="M195" s="19">
        <v>0.0</v>
      </c>
      <c r="N195" s="19">
        <v>0.0</v>
      </c>
      <c r="O195" s="19">
        <v>0.0</v>
      </c>
      <c r="P195" s="19">
        <v>0.0</v>
      </c>
      <c r="Q195" s="19">
        <v>0.0</v>
      </c>
      <c r="R195" s="19">
        <v>0.0</v>
      </c>
      <c r="S195" s="19">
        <v>0.0</v>
      </c>
      <c r="T195" s="19">
        <v>0.0</v>
      </c>
      <c r="U195" s="19">
        <v>0.0</v>
      </c>
      <c r="V195" s="19">
        <v>0.0</v>
      </c>
      <c r="W195" s="19">
        <v>0.0</v>
      </c>
      <c r="X195" s="19">
        <v>0.0</v>
      </c>
      <c r="Y195" s="19">
        <v>0.0</v>
      </c>
      <c r="Z195" s="19">
        <v>0.0</v>
      </c>
      <c r="AA195" s="19">
        <v>0.0</v>
      </c>
      <c r="AB195" s="19">
        <v>0.0</v>
      </c>
      <c r="AC195" s="19">
        <v>0.0</v>
      </c>
      <c r="AD195" s="13">
        <f t="shared" si="38"/>
        <v>0</v>
      </c>
    </row>
    <row r="196" ht="12.75" customHeight="1">
      <c r="A196" s="18"/>
      <c r="B196" s="55">
        <v>7.0</v>
      </c>
      <c r="C196" s="50" t="s">
        <v>145</v>
      </c>
      <c r="D196" s="60"/>
      <c r="E196" s="19">
        <v>0.0</v>
      </c>
      <c r="F196" s="19">
        <v>0.0</v>
      </c>
      <c r="G196" s="19">
        <v>0.0</v>
      </c>
      <c r="H196" s="19">
        <v>0.0</v>
      </c>
      <c r="I196" s="19">
        <v>0.0</v>
      </c>
      <c r="J196" s="19">
        <v>0.0</v>
      </c>
      <c r="K196" s="19">
        <v>0.0</v>
      </c>
      <c r="L196" s="19">
        <v>0.0</v>
      </c>
      <c r="M196" s="19">
        <v>0.0</v>
      </c>
      <c r="N196" s="19">
        <v>0.0</v>
      </c>
      <c r="O196" s="19">
        <v>0.0</v>
      </c>
      <c r="P196" s="19">
        <v>0.0</v>
      </c>
      <c r="Q196" s="19">
        <v>0.0</v>
      </c>
      <c r="R196" s="19">
        <v>0.0</v>
      </c>
      <c r="S196" s="19">
        <v>0.0</v>
      </c>
      <c r="T196" s="19">
        <v>0.0</v>
      </c>
      <c r="U196" s="19">
        <v>0.0</v>
      </c>
      <c r="V196" s="19">
        <v>0.0</v>
      </c>
      <c r="W196" s="19">
        <v>0.0</v>
      </c>
      <c r="X196" s="19">
        <v>0.0</v>
      </c>
      <c r="Y196" s="19">
        <v>0.0</v>
      </c>
      <c r="Z196" s="19">
        <v>0.0</v>
      </c>
      <c r="AA196" s="19">
        <v>0.0</v>
      </c>
      <c r="AB196" s="19">
        <v>0.0</v>
      </c>
      <c r="AC196" s="19">
        <v>0.0</v>
      </c>
      <c r="AD196" s="13">
        <f t="shared" si="38"/>
        <v>0</v>
      </c>
    </row>
    <row r="197" ht="12.75" customHeight="1">
      <c r="A197" s="18"/>
      <c r="B197" s="56"/>
      <c r="C197" s="57"/>
      <c r="D197" s="62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  <c r="AA197" s="19"/>
      <c r="AB197" s="19"/>
      <c r="AC197" s="19"/>
      <c r="AD197" s="13">
        <f t="shared" si="38"/>
        <v>0</v>
      </c>
    </row>
    <row r="198" ht="12.75" customHeight="1">
      <c r="A198" s="18"/>
      <c r="B198" s="56"/>
      <c r="C198" s="57"/>
      <c r="D198" s="62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  <c r="AA198" s="19"/>
      <c r="AB198" s="19"/>
      <c r="AC198" s="19"/>
      <c r="AD198" s="13">
        <f t="shared" si="38"/>
        <v>0</v>
      </c>
    </row>
    <row r="199" ht="12.75" customHeight="1">
      <c r="A199" s="19" t="s">
        <v>15</v>
      </c>
      <c r="B199" s="47" t="s">
        <v>47</v>
      </c>
      <c r="C199" s="15"/>
      <c r="D199" s="16"/>
      <c r="E199" s="13">
        <f t="shared" ref="E199:AD199" si="39">SUM(E189:E198)</f>
        <v>0</v>
      </c>
      <c r="F199" s="13">
        <f t="shared" si="39"/>
        <v>0</v>
      </c>
      <c r="G199" s="13">
        <f t="shared" si="39"/>
        <v>0</v>
      </c>
      <c r="H199" s="13">
        <f t="shared" si="39"/>
        <v>0</v>
      </c>
      <c r="I199" s="13">
        <f t="shared" si="39"/>
        <v>0</v>
      </c>
      <c r="J199" s="13">
        <f t="shared" si="39"/>
        <v>0</v>
      </c>
      <c r="K199" s="13">
        <f t="shared" si="39"/>
        <v>1</v>
      </c>
      <c r="L199" s="13">
        <f t="shared" si="39"/>
        <v>0</v>
      </c>
      <c r="M199" s="13">
        <f t="shared" si="39"/>
        <v>0</v>
      </c>
      <c r="N199" s="13">
        <f t="shared" si="39"/>
        <v>1</v>
      </c>
      <c r="O199" s="13">
        <f t="shared" si="39"/>
        <v>1</v>
      </c>
      <c r="P199" s="13">
        <f t="shared" si="39"/>
        <v>0</v>
      </c>
      <c r="Q199" s="13">
        <f t="shared" si="39"/>
        <v>0</v>
      </c>
      <c r="R199" s="13">
        <f t="shared" si="39"/>
        <v>0</v>
      </c>
      <c r="S199" s="13">
        <f t="shared" si="39"/>
        <v>0</v>
      </c>
      <c r="T199" s="13">
        <f t="shared" si="39"/>
        <v>0</v>
      </c>
      <c r="U199" s="13">
        <f t="shared" si="39"/>
        <v>1</v>
      </c>
      <c r="V199" s="13">
        <f t="shared" si="39"/>
        <v>0</v>
      </c>
      <c r="W199" s="13">
        <f t="shared" si="39"/>
        <v>0</v>
      </c>
      <c r="X199" s="13">
        <f t="shared" si="39"/>
        <v>0</v>
      </c>
      <c r="Y199" s="13">
        <f t="shared" si="39"/>
        <v>1</v>
      </c>
      <c r="Z199" s="13">
        <f t="shared" si="39"/>
        <v>1</v>
      </c>
      <c r="AA199" s="13">
        <f t="shared" si="39"/>
        <v>0</v>
      </c>
      <c r="AB199" s="13">
        <f t="shared" si="39"/>
        <v>0</v>
      </c>
      <c r="AC199" s="13">
        <f t="shared" si="39"/>
        <v>0</v>
      </c>
      <c r="AD199" s="13">
        <f t="shared" si="39"/>
        <v>6</v>
      </c>
    </row>
    <row r="200" ht="12.75" customHeight="1">
      <c r="A200" s="24"/>
      <c r="B200" s="15"/>
      <c r="C200" s="15"/>
      <c r="D200" s="15"/>
      <c r="E200" s="16"/>
      <c r="F200" s="84"/>
      <c r="G200" s="84"/>
      <c r="H200" s="84"/>
      <c r="I200" s="84"/>
      <c r="J200" s="84"/>
      <c r="K200" s="84"/>
      <c r="L200" s="84"/>
      <c r="M200" s="84"/>
      <c r="N200" s="84"/>
      <c r="O200" s="84"/>
      <c r="P200" s="84"/>
      <c r="Q200" s="84"/>
      <c r="R200" s="84"/>
      <c r="S200" s="84"/>
      <c r="T200" s="84"/>
      <c r="U200" s="84"/>
      <c r="V200" s="84"/>
      <c r="W200" s="84"/>
      <c r="X200" s="84"/>
      <c r="Y200" s="84"/>
      <c r="Z200" s="84"/>
      <c r="AA200" s="84"/>
      <c r="AB200" s="84"/>
      <c r="AC200" s="84"/>
      <c r="AD200" s="84"/>
    </row>
    <row r="201" ht="12.75" customHeight="1">
      <c r="A201" s="30" t="s">
        <v>37</v>
      </c>
      <c r="B201" s="47" t="s">
        <v>146</v>
      </c>
      <c r="C201" s="48" t="s">
        <v>147</v>
      </c>
      <c r="D201" s="16"/>
      <c r="E201" s="19">
        <v>0.0</v>
      </c>
      <c r="F201" s="19">
        <v>1.0</v>
      </c>
      <c r="G201" s="19">
        <v>0.0</v>
      </c>
      <c r="H201" s="19">
        <v>0.0</v>
      </c>
      <c r="I201" s="19">
        <v>2.0</v>
      </c>
      <c r="J201" s="19">
        <v>1.0</v>
      </c>
      <c r="K201" s="19">
        <v>1.0</v>
      </c>
      <c r="L201" s="19">
        <v>0.0</v>
      </c>
      <c r="M201" s="19">
        <v>0.0</v>
      </c>
      <c r="N201" s="19">
        <v>4.0</v>
      </c>
      <c r="O201" s="19">
        <v>0.0</v>
      </c>
      <c r="P201" s="19">
        <v>0.0</v>
      </c>
      <c r="Q201" s="19">
        <v>1.0</v>
      </c>
      <c r="R201" s="19">
        <v>1.0</v>
      </c>
      <c r="S201" s="19">
        <v>0.0</v>
      </c>
      <c r="T201" s="19">
        <v>0.0</v>
      </c>
      <c r="U201" s="19">
        <v>0.0</v>
      </c>
      <c r="V201" s="19">
        <v>0.0</v>
      </c>
      <c r="W201" s="19">
        <v>1.0</v>
      </c>
      <c r="X201" s="19">
        <v>1.0</v>
      </c>
      <c r="Y201" s="19">
        <v>1.0</v>
      </c>
      <c r="Z201" s="19">
        <v>3.0</v>
      </c>
      <c r="AA201" s="19">
        <v>1.0</v>
      </c>
      <c r="AB201" s="19">
        <v>0.0</v>
      </c>
      <c r="AC201" s="19">
        <v>0.0</v>
      </c>
      <c r="AD201" s="13">
        <f t="shared" ref="AD201:AD210" si="40">SUM(E201:AC201)</f>
        <v>18</v>
      </c>
    </row>
    <row r="202" ht="12.75" customHeight="1">
      <c r="A202" s="30" t="s">
        <v>39</v>
      </c>
      <c r="B202" s="55">
        <v>1.0</v>
      </c>
      <c r="C202" s="50" t="s">
        <v>148</v>
      </c>
      <c r="D202" s="60"/>
      <c r="E202" s="19">
        <v>1.0</v>
      </c>
      <c r="F202" s="19">
        <v>1.0</v>
      </c>
      <c r="G202" s="19">
        <v>1.0</v>
      </c>
      <c r="H202" s="19">
        <v>1.0</v>
      </c>
      <c r="I202" s="19">
        <v>2.0</v>
      </c>
      <c r="J202" s="19">
        <v>1.0</v>
      </c>
      <c r="K202" s="19">
        <v>1.0</v>
      </c>
      <c r="L202" s="19">
        <v>2.0</v>
      </c>
      <c r="M202" s="19">
        <v>1.0</v>
      </c>
      <c r="N202" s="19">
        <v>1.0</v>
      </c>
      <c r="O202" s="19">
        <v>0.0</v>
      </c>
      <c r="P202" s="19">
        <v>0.0</v>
      </c>
      <c r="Q202" s="19">
        <v>2.0</v>
      </c>
      <c r="R202" s="19">
        <v>0.0</v>
      </c>
      <c r="S202" s="19">
        <v>0.0</v>
      </c>
      <c r="T202" s="19">
        <v>0.0</v>
      </c>
      <c r="U202" s="19">
        <v>1.0</v>
      </c>
      <c r="V202" s="19">
        <v>0.0</v>
      </c>
      <c r="W202" s="19">
        <v>0.0</v>
      </c>
      <c r="X202" s="19">
        <v>0.0</v>
      </c>
      <c r="Y202" s="19">
        <v>0.0</v>
      </c>
      <c r="Z202" s="19">
        <v>2.0</v>
      </c>
      <c r="AA202" s="19">
        <v>1.0</v>
      </c>
      <c r="AB202" s="19">
        <v>0.0</v>
      </c>
      <c r="AC202" s="19">
        <v>0.0</v>
      </c>
      <c r="AD202" s="13">
        <f t="shared" si="40"/>
        <v>18</v>
      </c>
    </row>
    <row r="203" ht="12.75" customHeight="1">
      <c r="A203" s="18"/>
      <c r="B203" s="55">
        <v>2.0</v>
      </c>
      <c r="C203" s="50" t="s">
        <v>149</v>
      </c>
      <c r="D203" s="60"/>
      <c r="E203" s="19">
        <v>0.0</v>
      </c>
      <c r="F203" s="19">
        <v>0.0</v>
      </c>
      <c r="G203" s="19">
        <v>0.0</v>
      </c>
      <c r="H203" s="19">
        <v>2.0</v>
      </c>
      <c r="I203" s="19">
        <v>0.0</v>
      </c>
      <c r="J203" s="19">
        <v>1.0</v>
      </c>
      <c r="K203" s="19">
        <v>0.0</v>
      </c>
      <c r="L203" s="19">
        <v>0.0</v>
      </c>
      <c r="M203" s="19">
        <v>1.0</v>
      </c>
      <c r="N203" s="19">
        <v>1.0</v>
      </c>
      <c r="O203" s="19">
        <v>2.0</v>
      </c>
      <c r="P203" s="19">
        <v>2.0</v>
      </c>
      <c r="Q203" s="19">
        <v>1.0</v>
      </c>
      <c r="R203" s="19">
        <v>1.0</v>
      </c>
      <c r="S203" s="19">
        <v>1.0</v>
      </c>
      <c r="T203" s="19">
        <v>1.0</v>
      </c>
      <c r="U203" s="19">
        <v>3.0</v>
      </c>
      <c r="V203" s="19">
        <v>0.0</v>
      </c>
      <c r="W203" s="19">
        <v>0.0</v>
      </c>
      <c r="X203" s="19">
        <v>1.0</v>
      </c>
      <c r="Y203" s="19">
        <v>0.0</v>
      </c>
      <c r="Z203" s="19">
        <v>0.0</v>
      </c>
      <c r="AA203" s="19">
        <v>0.0</v>
      </c>
      <c r="AB203" s="19">
        <v>0.0</v>
      </c>
      <c r="AC203" s="19">
        <v>0.0</v>
      </c>
      <c r="AD203" s="13">
        <f t="shared" si="40"/>
        <v>17</v>
      </c>
    </row>
    <row r="204" ht="12.75" customHeight="1">
      <c r="A204" s="18"/>
      <c r="B204" s="55">
        <v>3.0</v>
      </c>
      <c r="C204" s="50" t="s">
        <v>150</v>
      </c>
      <c r="D204" s="60"/>
      <c r="E204" s="19">
        <v>0.0</v>
      </c>
      <c r="F204" s="19">
        <v>0.0</v>
      </c>
      <c r="G204" s="19">
        <v>1.0</v>
      </c>
      <c r="H204" s="19">
        <v>1.0</v>
      </c>
      <c r="I204" s="19">
        <v>1.0</v>
      </c>
      <c r="J204" s="19">
        <v>0.0</v>
      </c>
      <c r="K204" s="19">
        <v>0.0</v>
      </c>
      <c r="L204" s="19">
        <v>0.0</v>
      </c>
      <c r="M204" s="19">
        <v>0.0</v>
      </c>
      <c r="N204" s="19">
        <v>0.0</v>
      </c>
      <c r="O204" s="19">
        <v>0.0</v>
      </c>
      <c r="P204" s="19">
        <v>2.0</v>
      </c>
      <c r="Q204" s="19">
        <v>0.0</v>
      </c>
      <c r="R204" s="19">
        <v>1.0</v>
      </c>
      <c r="S204" s="19">
        <v>0.0</v>
      </c>
      <c r="T204" s="19">
        <v>0.0</v>
      </c>
      <c r="U204" s="19">
        <v>0.0</v>
      </c>
      <c r="V204" s="19">
        <v>0.0</v>
      </c>
      <c r="W204" s="19">
        <v>0.0</v>
      </c>
      <c r="X204" s="19">
        <v>0.0</v>
      </c>
      <c r="Y204" s="19">
        <v>1.0</v>
      </c>
      <c r="Z204" s="19">
        <v>0.0</v>
      </c>
      <c r="AA204" s="19">
        <v>0.0</v>
      </c>
      <c r="AB204" s="19">
        <v>0.0</v>
      </c>
      <c r="AC204" s="19">
        <v>0.0</v>
      </c>
      <c r="AD204" s="13">
        <f t="shared" si="40"/>
        <v>7</v>
      </c>
    </row>
    <row r="205" ht="12.75" customHeight="1">
      <c r="A205" s="18"/>
      <c r="B205" s="55">
        <v>4.0</v>
      </c>
      <c r="C205" s="50" t="s">
        <v>151</v>
      </c>
      <c r="D205" s="60"/>
      <c r="E205" s="19">
        <v>0.0</v>
      </c>
      <c r="F205" s="19">
        <v>0.0</v>
      </c>
      <c r="G205" s="19">
        <v>0.0</v>
      </c>
      <c r="H205" s="19">
        <v>2.0</v>
      </c>
      <c r="I205" s="19">
        <v>0.0</v>
      </c>
      <c r="J205" s="19">
        <v>0.0</v>
      </c>
      <c r="K205" s="19">
        <v>0.0</v>
      </c>
      <c r="L205" s="19">
        <v>0.0</v>
      </c>
      <c r="M205" s="19">
        <v>4.0</v>
      </c>
      <c r="N205" s="19">
        <v>0.0</v>
      </c>
      <c r="O205" s="19">
        <v>0.0</v>
      </c>
      <c r="P205" s="19">
        <v>1.0</v>
      </c>
      <c r="Q205" s="19">
        <v>0.0</v>
      </c>
      <c r="R205" s="19">
        <v>0.0</v>
      </c>
      <c r="S205" s="19">
        <v>0.0</v>
      </c>
      <c r="T205" s="19">
        <v>0.0</v>
      </c>
      <c r="U205" s="19">
        <v>1.0</v>
      </c>
      <c r="V205" s="19">
        <v>0.0</v>
      </c>
      <c r="W205" s="19">
        <v>1.0</v>
      </c>
      <c r="X205" s="19">
        <v>2.0</v>
      </c>
      <c r="Y205" s="19">
        <v>8.0</v>
      </c>
      <c r="Z205" s="19">
        <v>0.0</v>
      </c>
      <c r="AA205" s="19">
        <v>0.0</v>
      </c>
      <c r="AB205" s="19">
        <v>0.0</v>
      </c>
      <c r="AC205" s="19">
        <v>0.0</v>
      </c>
      <c r="AD205" s="13">
        <f t="shared" si="40"/>
        <v>19</v>
      </c>
    </row>
    <row r="206" ht="12.75" customHeight="1">
      <c r="A206" s="18"/>
      <c r="B206" s="55">
        <v>5.0</v>
      </c>
      <c r="C206" s="50" t="s">
        <v>152</v>
      </c>
      <c r="D206" s="60"/>
      <c r="E206" s="19">
        <v>0.0</v>
      </c>
      <c r="F206" s="19">
        <v>0.0</v>
      </c>
      <c r="G206" s="19">
        <v>1.0</v>
      </c>
      <c r="H206" s="19">
        <v>0.0</v>
      </c>
      <c r="I206" s="19">
        <v>0.0</v>
      </c>
      <c r="J206" s="19">
        <v>0.0</v>
      </c>
      <c r="K206" s="19">
        <v>0.0</v>
      </c>
      <c r="L206" s="19">
        <v>0.0</v>
      </c>
      <c r="M206" s="19">
        <v>0.0</v>
      </c>
      <c r="N206" s="19">
        <v>0.0</v>
      </c>
      <c r="O206" s="19">
        <v>0.0</v>
      </c>
      <c r="P206" s="19">
        <v>0.0</v>
      </c>
      <c r="Q206" s="19">
        <v>0.0</v>
      </c>
      <c r="R206" s="19">
        <v>0.0</v>
      </c>
      <c r="S206" s="19">
        <v>0.0</v>
      </c>
      <c r="T206" s="19">
        <v>0.0</v>
      </c>
      <c r="U206" s="19">
        <v>0.0</v>
      </c>
      <c r="V206" s="19">
        <v>0.0</v>
      </c>
      <c r="W206" s="19">
        <v>0.0</v>
      </c>
      <c r="X206" s="19">
        <v>1.0</v>
      </c>
      <c r="Y206" s="19">
        <v>0.0</v>
      </c>
      <c r="Z206" s="19">
        <v>0.0</v>
      </c>
      <c r="AA206" s="19">
        <v>0.0</v>
      </c>
      <c r="AB206" s="19">
        <v>0.0</v>
      </c>
      <c r="AC206" s="19">
        <v>0.0</v>
      </c>
      <c r="AD206" s="13">
        <f t="shared" si="40"/>
        <v>2</v>
      </c>
    </row>
    <row r="207" ht="12.75" customHeight="1">
      <c r="A207" s="18"/>
      <c r="B207" s="55">
        <v>6.0</v>
      </c>
      <c r="C207" s="50" t="s">
        <v>153</v>
      </c>
      <c r="D207" s="60"/>
      <c r="E207" s="19">
        <v>0.0</v>
      </c>
      <c r="F207" s="19">
        <v>0.0</v>
      </c>
      <c r="G207" s="19">
        <v>0.0</v>
      </c>
      <c r="H207" s="19">
        <v>0.0</v>
      </c>
      <c r="I207" s="19">
        <v>0.0</v>
      </c>
      <c r="J207" s="19">
        <v>0.0</v>
      </c>
      <c r="K207" s="19">
        <v>0.0</v>
      </c>
      <c r="L207" s="19">
        <v>1.0</v>
      </c>
      <c r="M207" s="19">
        <v>0.0</v>
      </c>
      <c r="N207" s="19">
        <v>0.0</v>
      </c>
      <c r="O207" s="19">
        <v>0.0</v>
      </c>
      <c r="P207" s="19">
        <v>0.0</v>
      </c>
      <c r="Q207" s="19">
        <v>0.0</v>
      </c>
      <c r="R207" s="19">
        <v>0.0</v>
      </c>
      <c r="S207" s="19">
        <v>0.0</v>
      </c>
      <c r="T207" s="19">
        <v>0.0</v>
      </c>
      <c r="U207" s="19">
        <v>0.0</v>
      </c>
      <c r="V207" s="19">
        <v>0.0</v>
      </c>
      <c r="W207" s="19">
        <v>0.0</v>
      </c>
      <c r="X207" s="19">
        <v>0.0</v>
      </c>
      <c r="Y207" s="19">
        <v>0.0</v>
      </c>
      <c r="Z207" s="19">
        <v>0.0</v>
      </c>
      <c r="AA207" s="19">
        <v>0.0</v>
      </c>
      <c r="AB207" s="19">
        <v>0.0</v>
      </c>
      <c r="AC207" s="19">
        <v>0.0</v>
      </c>
      <c r="AD207" s="13">
        <f t="shared" si="40"/>
        <v>1</v>
      </c>
    </row>
    <row r="208" ht="12.75" customHeight="1">
      <c r="A208" s="18"/>
      <c r="B208" s="55">
        <v>7.0</v>
      </c>
      <c r="C208" s="50" t="s">
        <v>154</v>
      </c>
      <c r="D208" s="60"/>
      <c r="E208" s="19">
        <v>0.0</v>
      </c>
      <c r="F208" s="19">
        <v>0.0</v>
      </c>
      <c r="G208" s="19">
        <v>0.0</v>
      </c>
      <c r="H208" s="19">
        <v>0.0</v>
      </c>
      <c r="I208" s="19">
        <v>0.0</v>
      </c>
      <c r="J208" s="19">
        <v>0.0</v>
      </c>
      <c r="K208" s="19">
        <v>0.0</v>
      </c>
      <c r="L208" s="19">
        <v>0.0</v>
      </c>
      <c r="M208" s="19">
        <v>1.0</v>
      </c>
      <c r="N208" s="19">
        <v>0.0</v>
      </c>
      <c r="O208" s="19">
        <v>0.0</v>
      </c>
      <c r="P208" s="19">
        <v>0.0</v>
      </c>
      <c r="Q208" s="19">
        <v>0.0</v>
      </c>
      <c r="R208" s="19">
        <v>0.0</v>
      </c>
      <c r="S208" s="19">
        <v>0.0</v>
      </c>
      <c r="T208" s="19">
        <v>0.0</v>
      </c>
      <c r="U208" s="19">
        <v>0.0</v>
      </c>
      <c r="V208" s="19">
        <v>0.0</v>
      </c>
      <c r="W208" s="19">
        <v>0.0</v>
      </c>
      <c r="X208" s="19">
        <v>0.0</v>
      </c>
      <c r="Y208" s="19">
        <v>0.0</v>
      </c>
      <c r="Z208" s="19">
        <v>0.0</v>
      </c>
      <c r="AA208" s="19">
        <v>0.0</v>
      </c>
      <c r="AB208" s="19">
        <v>0.0</v>
      </c>
      <c r="AC208" s="19">
        <v>0.0</v>
      </c>
      <c r="AD208" s="13">
        <f t="shared" si="40"/>
        <v>1</v>
      </c>
    </row>
    <row r="209" ht="12.75" customHeight="1">
      <c r="A209" s="18"/>
      <c r="B209" s="56"/>
      <c r="C209" s="57"/>
      <c r="D209" s="62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  <c r="AA209" s="19"/>
      <c r="AB209" s="19"/>
      <c r="AC209" s="19"/>
      <c r="AD209" s="13">
        <f t="shared" si="40"/>
        <v>0</v>
      </c>
    </row>
    <row r="210" ht="12.75" customHeight="1">
      <c r="A210" s="18"/>
      <c r="B210" s="56"/>
      <c r="C210" s="57"/>
      <c r="D210" s="62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  <c r="AA210" s="19"/>
      <c r="AB210" s="19"/>
      <c r="AC210" s="19"/>
      <c r="AD210" s="13">
        <f t="shared" si="40"/>
        <v>0</v>
      </c>
    </row>
    <row r="211" ht="12.75" customHeight="1">
      <c r="A211" s="19" t="s">
        <v>15</v>
      </c>
      <c r="B211" s="47" t="s">
        <v>47</v>
      </c>
      <c r="C211" s="15"/>
      <c r="D211" s="16"/>
      <c r="E211" s="13">
        <f t="shared" ref="E211:AD211" si="41">SUM(E201:E210)</f>
        <v>1</v>
      </c>
      <c r="F211" s="13">
        <f t="shared" si="41"/>
        <v>2</v>
      </c>
      <c r="G211" s="13">
        <f t="shared" si="41"/>
        <v>3</v>
      </c>
      <c r="H211" s="13">
        <f t="shared" si="41"/>
        <v>6</v>
      </c>
      <c r="I211" s="13">
        <f t="shared" si="41"/>
        <v>5</v>
      </c>
      <c r="J211" s="13">
        <f t="shared" si="41"/>
        <v>3</v>
      </c>
      <c r="K211" s="13">
        <f t="shared" si="41"/>
        <v>2</v>
      </c>
      <c r="L211" s="13">
        <f t="shared" si="41"/>
        <v>3</v>
      </c>
      <c r="M211" s="13">
        <f t="shared" si="41"/>
        <v>7</v>
      </c>
      <c r="N211" s="13">
        <f t="shared" si="41"/>
        <v>6</v>
      </c>
      <c r="O211" s="13">
        <f t="shared" si="41"/>
        <v>2</v>
      </c>
      <c r="P211" s="13">
        <f t="shared" si="41"/>
        <v>5</v>
      </c>
      <c r="Q211" s="13">
        <f t="shared" si="41"/>
        <v>4</v>
      </c>
      <c r="R211" s="13">
        <f t="shared" si="41"/>
        <v>3</v>
      </c>
      <c r="S211" s="13">
        <f t="shared" si="41"/>
        <v>1</v>
      </c>
      <c r="T211" s="13">
        <f t="shared" si="41"/>
        <v>1</v>
      </c>
      <c r="U211" s="13">
        <f t="shared" si="41"/>
        <v>5</v>
      </c>
      <c r="V211" s="13">
        <f t="shared" si="41"/>
        <v>0</v>
      </c>
      <c r="W211" s="13">
        <f t="shared" si="41"/>
        <v>2</v>
      </c>
      <c r="X211" s="13">
        <f t="shared" si="41"/>
        <v>5</v>
      </c>
      <c r="Y211" s="13">
        <f t="shared" si="41"/>
        <v>10</v>
      </c>
      <c r="Z211" s="13">
        <f t="shared" si="41"/>
        <v>5</v>
      </c>
      <c r="AA211" s="13">
        <f t="shared" si="41"/>
        <v>2</v>
      </c>
      <c r="AB211" s="13">
        <f t="shared" si="41"/>
        <v>0</v>
      </c>
      <c r="AC211" s="13">
        <f t="shared" si="41"/>
        <v>0</v>
      </c>
      <c r="AD211" s="13">
        <f t="shared" si="41"/>
        <v>83</v>
      </c>
    </row>
    <row r="212" ht="12.75" customHeight="1">
      <c r="A212" s="24"/>
      <c r="B212" s="15"/>
      <c r="C212" s="15"/>
      <c r="D212" s="15"/>
      <c r="E212" s="16"/>
      <c r="F212" s="84"/>
      <c r="G212" s="84"/>
      <c r="H212" s="84"/>
      <c r="I212" s="84"/>
      <c r="J212" s="84"/>
      <c r="K212" s="84"/>
      <c r="L212" s="84"/>
      <c r="M212" s="84"/>
      <c r="N212" s="84"/>
      <c r="O212" s="84"/>
      <c r="P212" s="84"/>
      <c r="Q212" s="84"/>
      <c r="R212" s="84"/>
      <c r="S212" s="84"/>
      <c r="T212" s="84"/>
      <c r="U212" s="84"/>
      <c r="V212" s="84"/>
      <c r="W212" s="84"/>
      <c r="X212" s="84"/>
      <c r="Y212" s="84"/>
      <c r="Z212" s="84"/>
      <c r="AA212" s="84"/>
      <c r="AB212" s="84"/>
      <c r="AC212" s="84"/>
      <c r="AD212" s="84"/>
    </row>
    <row r="213" ht="12.75" customHeight="1">
      <c r="A213" s="30" t="s">
        <v>37</v>
      </c>
      <c r="B213" s="47" t="s">
        <v>155</v>
      </c>
      <c r="C213" s="48" t="s">
        <v>156</v>
      </c>
      <c r="D213" s="16"/>
      <c r="E213" s="19">
        <v>0.0</v>
      </c>
      <c r="F213" s="19">
        <v>0.0</v>
      </c>
      <c r="G213" s="19">
        <v>0.0</v>
      </c>
      <c r="H213" s="19">
        <v>2.0</v>
      </c>
      <c r="I213" s="19">
        <v>1.0</v>
      </c>
      <c r="J213" s="19">
        <v>0.0</v>
      </c>
      <c r="K213" s="19">
        <v>1.0</v>
      </c>
      <c r="L213" s="19">
        <v>1.0</v>
      </c>
      <c r="M213" s="19">
        <v>2.0</v>
      </c>
      <c r="N213" s="19">
        <v>2.0</v>
      </c>
      <c r="O213" s="19">
        <v>2.0</v>
      </c>
      <c r="P213" s="19">
        <v>1.0</v>
      </c>
      <c r="Q213" s="19">
        <v>0.0</v>
      </c>
      <c r="R213" s="19">
        <v>2.0</v>
      </c>
      <c r="S213" s="19">
        <v>3.0</v>
      </c>
      <c r="T213" s="19">
        <v>0.0</v>
      </c>
      <c r="U213" s="19">
        <v>1.0</v>
      </c>
      <c r="V213" s="19">
        <v>0.0</v>
      </c>
      <c r="W213" s="19">
        <v>0.0</v>
      </c>
      <c r="X213" s="19">
        <v>0.0</v>
      </c>
      <c r="Y213" s="19">
        <v>1.0</v>
      </c>
      <c r="Z213" s="19">
        <v>1.0</v>
      </c>
      <c r="AA213" s="19">
        <v>2.0</v>
      </c>
      <c r="AB213" s="19">
        <v>1.0</v>
      </c>
      <c r="AC213" s="19">
        <v>1.0</v>
      </c>
      <c r="AD213" s="13">
        <f t="shared" ref="AD213:AD222" si="42">SUM(E213:AC213)</f>
        <v>24</v>
      </c>
    </row>
    <row r="214" ht="12.75" customHeight="1">
      <c r="A214" s="30" t="s">
        <v>39</v>
      </c>
      <c r="B214" s="55">
        <v>1.0</v>
      </c>
      <c r="C214" s="50" t="s">
        <v>157</v>
      </c>
      <c r="D214" s="59"/>
      <c r="E214" s="19">
        <v>0.0</v>
      </c>
      <c r="F214" s="19">
        <v>1.0</v>
      </c>
      <c r="G214" s="19">
        <v>2.0</v>
      </c>
      <c r="H214" s="19">
        <v>0.0</v>
      </c>
      <c r="I214" s="19">
        <v>0.0</v>
      </c>
      <c r="J214" s="19">
        <v>6.0</v>
      </c>
      <c r="K214" s="19">
        <v>0.0</v>
      </c>
      <c r="L214" s="19">
        <v>2.0</v>
      </c>
      <c r="M214" s="19">
        <v>3.0</v>
      </c>
      <c r="N214" s="19">
        <v>6.0</v>
      </c>
      <c r="O214" s="19">
        <v>4.0</v>
      </c>
      <c r="P214" s="19">
        <v>1.0</v>
      </c>
      <c r="Q214" s="19">
        <v>1.0</v>
      </c>
      <c r="R214" s="19">
        <v>1.0</v>
      </c>
      <c r="S214" s="19">
        <v>1.0</v>
      </c>
      <c r="T214" s="19">
        <v>1.0</v>
      </c>
      <c r="U214" s="19">
        <v>0.0</v>
      </c>
      <c r="V214" s="19">
        <v>5.0</v>
      </c>
      <c r="W214" s="19">
        <v>1.0</v>
      </c>
      <c r="X214" s="19">
        <v>1.0</v>
      </c>
      <c r="Y214" s="19">
        <v>1.0</v>
      </c>
      <c r="Z214" s="19">
        <v>0.0</v>
      </c>
      <c r="AA214" s="19">
        <v>0.0</v>
      </c>
      <c r="AB214" s="19">
        <v>2.0</v>
      </c>
      <c r="AC214" s="19">
        <v>3.0</v>
      </c>
      <c r="AD214" s="13">
        <f t="shared" si="42"/>
        <v>42</v>
      </c>
    </row>
    <row r="215" ht="12.75" customHeight="1">
      <c r="A215" s="18"/>
      <c r="B215" s="55">
        <v>2.0</v>
      </c>
      <c r="C215" s="50" t="s">
        <v>158</v>
      </c>
      <c r="D215" s="59"/>
      <c r="E215" s="19">
        <v>1.0</v>
      </c>
      <c r="F215" s="19">
        <v>3.0</v>
      </c>
      <c r="G215" s="19">
        <v>3.0</v>
      </c>
      <c r="H215" s="19">
        <v>2.0</v>
      </c>
      <c r="I215" s="19">
        <v>7.0</v>
      </c>
      <c r="J215" s="19">
        <v>0.0</v>
      </c>
      <c r="K215" s="19">
        <v>1.0</v>
      </c>
      <c r="L215" s="19">
        <v>0.0</v>
      </c>
      <c r="M215" s="19">
        <v>0.0</v>
      </c>
      <c r="N215" s="19">
        <v>3.0</v>
      </c>
      <c r="O215" s="19">
        <v>20.0</v>
      </c>
      <c r="P215" s="19">
        <v>3.0</v>
      </c>
      <c r="Q215" s="19">
        <v>1.0</v>
      </c>
      <c r="R215" s="19">
        <v>1.0</v>
      </c>
      <c r="S215" s="19">
        <v>1.0</v>
      </c>
      <c r="T215" s="19">
        <v>0.0</v>
      </c>
      <c r="U215" s="19">
        <v>1.0</v>
      </c>
      <c r="V215" s="19">
        <v>3.0</v>
      </c>
      <c r="W215" s="19">
        <v>4.0</v>
      </c>
      <c r="X215" s="19">
        <v>6.0</v>
      </c>
      <c r="Y215" s="19">
        <v>1.0</v>
      </c>
      <c r="Z215" s="19">
        <v>0.0</v>
      </c>
      <c r="AA215" s="19">
        <v>17.0</v>
      </c>
      <c r="AB215" s="19">
        <v>5.0</v>
      </c>
      <c r="AC215" s="19">
        <v>0.0</v>
      </c>
      <c r="AD215" s="13">
        <f t="shared" si="42"/>
        <v>83</v>
      </c>
    </row>
    <row r="216" ht="12.75" customHeight="1">
      <c r="A216" s="18"/>
      <c r="B216" s="55">
        <v>3.0</v>
      </c>
      <c r="C216" s="70" t="s">
        <v>159</v>
      </c>
      <c r="E216" s="19">
        <v>0.0</v>
      </c>
      <c r="F216" s="19">
        <v>0.0</v>
      </c>
      <c r="G216" s="19">
        <v>0.0</v>
      </c>
      <c r="H216" s="19">
        <v>0.0</v>
      </c>
      <c r="I216" s="19">
        <v>0.0</v>
      </c>
      <c r="J216" s="19">
        <v>1.0</v>
      </c>
      <c r="K216" s="19">
        <v>0.0</v>
      </c>
      <c r="L216" s="19">
        <v>0.0</v>
      </c>
      <c r="M216" s="19">
        <v>0.0</v>
      </c>
      <c r="N216" s="19">
        <v>1.0</v>
      </c>
      <c r="O216" s="19">
        <v>0.0</v>
      </c>
      <c r="P216" s="19">
        <v>0.0</v>
      </c>
      <c r="Q216" s="19">
        <v>1.0</v>
      </c>
      <c r="R216" s="19">
        <v>0.0</v>
      </c>
      <c r="S216" s="19">
        <v>0.0</v>
      </c>
      <c r="T216" s="19">
        <v>0.0</v>
      </c>
      <c r="U216" s="19">
        <v>2.0</v>
      </c>
      <c r="V216" s="19">
        <v>1.0</v>
      </c>
      <c r="W216" s="19">
        <v>0.0</v>
      </c>
      <c r="X216" s="19">
        <v>1.0</v>
      </c>
      <c r="Y216" s="19">
        <v>0.0</v>
      </c>
      <c r="Z216" s="19">
        <v>0.0</v>
      </c>
      <c r="AA216" s="19">
        <v>1.0</v>
      </c>
      <c r="AB216" s="19">
        <v>0.0</v>
      </c>
      <c r="AC216" s="19">
        <v>0.0</v>
      </c>
      <c r="AD216" s="13">
        <f t="shared" si="42"/>
        <v>8</v>
      </c>
    </row>
    <row r="217" ht="12.75" customHeight="1">
      <c r="A217" s="18"/>
      <c r="B217" s="55">
        <v>4.0</v>
      </c>
      <c r="C217" s="50" t="s">
        <v>160</v>
      </c>
      <c r="D217" s="59"/>
      <c r="E217" s="19">
        <v>0.0</v>
      </c>
      <c r="F217" s="19">
        <v>0.0</v>
      </c>
      <c r="G217" s="19">
        <v>0.0</v>
      </c>
      <c r="H217" s="19">
        <v>0.0</v>
      </c>
      <c r="I217" s="19">
        <v>0.0</v>
      </c>
      <c r="J217" s="19">
        <v>0.0</v>
      </c>
      <c r="K217" s="19">
        <v>0.0</v>
      </c>
      <c r="L217" s="19">
        <v>0.0</v>
      </c>
      <c r="M217" s="19">
        <v>0.0</v>
      </c>
      <c r="N217" s="19">
        <v>0.0</v>
      </c>
      <c r="O217" s="19">
        <v>0.0</v>
      </c>
      <c r="P217" s="19">
        <v>0.0</v>
      </c>
      <c r="Q217" s="19">
        <v>0.0</v>
      </c>
      <c r="R217" s="19">
        <v>0.0</v>
      </c>
      <c r="S217" s="19">
        <v>0.0</v>
      </c>
      <c r="T217" s="19">
        <v>0.0</v>
      </c>
      <c r="U217" s="19">
        <v>0.0</v>
      </c>
      <c r="V217" s="19">
        <v>1.0</v>
      </c>
      <c r="W217" s="19">
        <v>0.0</v>
      </c>
      <c r="X217" s="19">
        <v>0.0</v>
      </c>
      <c r="Y217" s="19">
        <v>0.0</v>
      </c>
      <c r="Z217" s="19">
        <v>0.0</v>
      </c>
      <c r="AA217" s="19">
        <v>0.0</v>
      </c>
      <c r="AB217" s="19">
        <v>0.0</v>
      </c>
      <c r="AC217" s="19">
        <v>0.0</v>
      </c>
      <c r="AD217" s="13">
        <f t="shared" si="42"/>
        <v>1</v>
      </c>
    </row>
    <row r="218" ht="12.75" customHeight="1">
      <c r="A218" s="18"/>
      <c r="B218" s="55">
        <v>5.0</v>
      </c>
      <c r="C218" s="50" t="s">
        <v>161</v>
      </c>
      <c r="D218" s="59"/>
      <c r="E218" s="19">
        <v>0.0</v>
      </c>
      <c r="F218" s="19">
        <v>0.0</v>
      </c>
      <c r="G218" s="19">
        <v>0.0</v>
      </c>
      <c r="H218" s="19">
        <v>0.0</v>
      </c>
      <c r="I218" s="19">
        <v>0.0</v>
      </c>
      <c r="J218" s="19">
        <v>0.0</v>
      </c>
      <c r="K218" s="19">
        <v>0.0</v>
      </c>
      <c r="L218" s="19">
        <v>0.0</v>
      </c>
      <c r="M218" s="19">
        <v>0.0</v>
      </c>
      <c r="N218" s="19">
        <v>0.0</v>
      </c>
      <c r="O218" s="19">
        <v>0.0</v>
      </c>
      <c r="P218" s="19">
        <v>0.0</v>
      </c>
      <c r="Q218" s="19">
        <v>0.0</v>
      </c>
      <c r="R218" s="19">
        <v>0.0</v>
      </c>
      <c r="S218" s="19">
        <v>2.0</v>
      </c>
      <c r="T218" s="19">
        <v>0.0</v>
      </c>
      <c r="U218" s="19">
        <v>1.0</v>
      </c>
      <c r="V218" s="19">
        <v>1.0</v>
      </c>
      <c r="W218" s="19">
        <v>1.0</v>
      </c>
      <c r="X218" s="19">
        <v>0.0</v>
      </c>
      <c r="Y218" s="19">
        <v>0.0</v>
      </c>
      <c r="Z218" s="19">
        <v>0.0</v>
      </c>
      <c r="AA218" s="19">
        <v>0.0</v>
      </c>
      <c r="AB218" s="19">
        <v>0.0</v>
      </c>
      <c r="AC218" s="19">
        <v>0.0</v>
      </c>
      <c r="AD218" s="13">
        <f t="shared" si="42"/>
        <v>5</v>
      </c>
    </row>
    <row r="219" ht="12.75" customHeight="1">
      <c r="A219" s="18"/>
      <c r="B219" s="55">
        <v>6.0</v>
      </c>
      <c r="C219" s="50" t="s">
        <v>162</v>
      </c>
      <c r="D219" s="59"/>
      <c r="E219" s="19">
        <v>0.0</v>
      </c>
      <c r="F219" s="19">
        <v>0.0</v>
      </c>
      <c r="G219" s="19">
        <v>0.0</v>
      </c>
      <c r="H219" s="19">
        <v>0.0</v>
      </c>
      <c r="I219" s="19">
        <v>0.0</v>
      </c>
      <c r="J219" s="19">
        <v>0.0</v>
      </c>
      <c r="K219" s="19">
        <v>0.0</v>
      </c>
      <c r="L219" s="19">
        <v>1.0</v>
      </c>
      <c r="M219" s="19">
        <v>0.0</v>
      </c>
      <c r="N219" s="19">
        <v>0.0</v>
      </c>
      <c r="O219" s="19">
        <v>0.0</v>
      </c>
      <c r="P219" s="19">
        <v>0.0</v>
      </c>
      <c r="Q219" s="19">
        <v>1.0</v>
      </c>
      <c r="R219" s="19">
        <v>0.0</v>
      </c>
      <c r="S219" s="19">
        <v>0.0</v>
      </c>
      <c r="T219" s="19">
        <v>0.0</v>
      </c>
      <c r="U219" s="19">
        <v>0.0</v>
      </c>
      <c r="V219" s="19">
        <v>0.0</v>
      </c>
      <c r="W219" s="19">
        <v>0.0</v>
      </c>
      <c r="X219" s="19">
        <v>0.0</v>
      </c>
      <c r="Y219" s="19">
        <v>0.0</v>
      </c>
      <c r="Z219" s="19">
        <v>1.0</v>
      </c>
      <c r="AA219" s="19">
        <v>0.0</v>
      </c>
      <c r="AB219" s="19">
        <v>0.0</v>
      </c>
      <c r="AC219" s="19">
        <v>0.0</v>
      </c>
      <c r="AD219" s="13">
        <f t="shared" si="42"/>
        <v>3</v>
      </c>
    </row>
    <row r="220" ht="12.75" customHeight="1">
      <c r="A220" s="18"/>
      <c r="B220" s="55">
        <v>7.0</v>
      </c>
      <c r="C220" s="50" t="s">
        <v>163</v>
      </c>
      <c r="D220" s="59"/>
      <c r="E220" s="19">
        <v>0.0</v>
      </c>
      <c r="F220" s="19">
        <v>0.0</v>
      </c>
      <c r="G220" s="19">
        <v>0.0</v>
      </c>
      <c r="H220" s="19">
        <v>0.0</v>
      </c>
      <c r="I220" s="19">
        <v>0.0</v>
      </c>
      <c r="J220" s="19">
        <v>0.0</v>
      </c>
      <c r="K220" s="19">
        <v>0.0</v>
      </c>
      <c r="L220" s="19">
        <v>0.0</v>
      </c>
      <c r="M220" s="19">
        <v>0.0</v>
      </c>
      <c r="N220" s="19">
        <v>0.0</v>
      </c>
      <c r="O220" s="19">
        <v>0.0</v>
      </c>
      <c r="P220" s="19">
        <v>0.0</v>
      </c>
      <c r="Q220" s="19">
        <v>0.0</v>
      </c>
      <c r="R220" s="19">
        <v>0.0</v>
      </c>
      <c r="S220" s="19">
        <v>0.0</v>
      </c>
      <c r="T220" s="19">
        <v>0.0</v>
      </c>
      <c r="U220" s="19">
        <v>0.0</v>
      </c>
      <c r="V220" s="19">
        <v>1.0</v>
      </c>
      <c r="W220" s="19">
        <v>0.0</v>
      </c>
      <c r="X220" s="19">
        <v>0.0</v>
      </c>
      <c r="Y220" s="19">
        <v>0.0</v>
      </c>
      <c r="Z220" s="19">
        <v>0.0</v>
      </c>
      <c r="AA220" s="19">
        <v>0.0</v>
      </c>
      <c r="AB220" s="19">
        <v>1.0</v>
      </c>
      <c r="AC220" s="19">
        <v>0.0</v>
      </c>
      <c r="AD220" s="13">
        <f t="shared" si="42"/>
        <v>2</v>
      </c>
    </row>
    <row r="221" ht="12.75" customHeight="1">
      <c r="A221" s="18"/>
      <c r="B221" s="56"/>
      <c r="C221" s="57"/>
      <c r="D221" s="61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  <c r="AA221" s="19"/>
      <c r="AB221" s="19"/>
      <c r="AC221" s="19"/>
      <c r="AD221" s="13">
        <f t="shared" si="42"/>
        <v>0</v>
      </c>
    </row>
    <row r="222" ht="12.75" customHeight="1">
      <c r="A222" s="18"/>
      <c r="B222" s="56"/>
      <c r="C222" s="57"/>
      <c r="D222" s="61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19"/>
      <c r="AB222" s="19"/>
      <c r="AC222" s="19"/>
      <c r="AD222" s="13">
        <f t="shared" si="42"/>
        <v>0</v>
      </c>
    </row>
    <row r="223" ht="12.75" customHeight="1">
      <c r="A223" s="19" t="s">
        <v>15</v>
      </c>
      <c r="B223" s="47" t="s">
        <v>47</v>
      </c>
      <c r="C223" s="15"/>
      <c r="D223" s="16"/>
      <c r="E223" s="13">
        <f t="shared" ref="E223:AD223" si="43">SUM(E213:E222)</f>
        <v>1</v>
      </c>
      <c r="F223" s="13">
        <f t="shared" si="43"/>
        <v>4</v>
      </c>
      <c r="G223" s="13">
        <f t="shared" si="43"/>
        <v>5</v>
      </c>
      <c r="H223" s="13">
        <f t="shared" si="43"/>
        <v>4</v>
      </c>
      <c r="I223" s="13">
        <f t="shared" si="43"/>
        <v>8</v>
      </c>
      <c r="J223" s="13">
        <f t="shared" si="43"/>
        <v>7</v>
      </c>
      <c r="K223" s="13">
        <f t="shared" si="43"/>
        <v>2</v>
      </c>
      <c r="L223" s="13">
        <f t="shared" si="43"/>
        <v>4</v>
      </c>
      <c r="M223" s="13">
        <f t="shared" si="43"/>
        <v>5</v>
      </c>
      <c r="N223" s="13">
        <f t="shared" si="43"/>
        <v>12</v>
      </c>
      <c r="O223" s="13">
        <f t="shared" si="43"/>
        <v>26</v>
      </c>
      <c r="P223" s="13">
        <f t="shared" si="43"/>
        <v>5</v>
      </c>
      <c r="Q223" s="13">
        <f t="shared" si="43"/>
        <v>4</v>
      </c>
      <c r="R223" s="13">
        <f t="shared" si="43"/>
        <v>4</v>
      </c>
      <c r="S223" s="13">
        <f t="shared" si="43"/>
        <v>7</v>
      </c>
      <c r="T223" s="13">
        <f t="shared" si="43"/>
        <v>1</v>
      </c>
      <c r="U223" s="13">
        <f t="shared" si="43"/>
        <v>5</v>
      </c>
      <c r="V223" s="13">
        <f t="shared" si="43"/>
        <v>12</v>
      </c>
      <c r="W223" s="13">
        <f t="shared" si="43"/>
        <v>6</v>
      </c>
      <c r="X223" s="13">
        <f t="shared" si="43"/>
        <v>8</v>
      </c>
      <c r="Y223" s="13">
        <f t="shared" si="43"/>
        <v>3</v>
      </c>
      <c r="Z223" s="13">
        <f t="shared" si="43"/>
        <v>2</v>
      </c>
      <c r="AA223" s="13">
        <f t="shared" si="43"/>
        <v>20</v>
      </c>
      <c r="AB223" s="13">
        <f t="shared" si="43"/>
        <v>9</v>
      </c>
      <c r="AC223" s="13">
        <f t="shared" si="43"/>
        <v>4</v>
      </c>
      <c r="AD223" s="13">
        <f t="shared" si="43"/>
        <v>168</v>
      </c>
    </row>
    <row r="224" ht="12.75" customHeight="1">
      <c r="A224" s="24"/>
      <c r="B224" s="15"/>
      <c r="C224" s="15"/>
      <c r="D224" s="15"/>
      <c r="E224" s="16"/>
      <c r="F224" s="84"/>
      <c r="G224" s="84"/>
      <c r="H224" s="84"/>
      <c r="I224" s="84"/>
      <c r="J224" s="84"/>
      <c r="K224" s="84"/>
      <c r="L224" s="84"/>
      <c r="M224" s="84"/>
      <c r="N224" s="84"/>
      <c r="O224" s="84"/>
      <c r="P224" s="84"/>
      <c r="Q224" s="84"/>
      <c r="R224" s="84"/>
      <c r="S224" s="84"/>
      <c r="T224" s="84"/>
      <c r="U224" s="84"/>
      <c r="V224" s="84"/>
      <c r="W224" s="84"/>
      <c r="X224" s="84"/>
      <c r="Y224" s="84"/>
      <c r="Z224" s="84"/>
      <c r="AA224" s="84"/>
      <c r="AB224" s="84"/>
      <c r="AC224" s="84"/>
      <c r="AD224" s="84"/>
    </row>
    <row r="225" ht="12.75" customHeight="1">
      <c r="A225" s="30" t="s">
        <v>37</v>
      </c>
      <c r="B225" s="47" t="s">
        <v>164</v>
      </c>
      <c r="C225" s="48" t="s">
        <v>165</v>
      </c>
      <c r="D225" s="16"/>
      <c r="E225" s="19">
        <v>0.0</v>
      </c>
      <c r="F225" s="19">
        <v>0.0</v>
      </c>
      <c r="G225" s="19">
        <v>0.0</v>
      </c>
      <c r="H225" s="19">
        <v>0.0</v>
      </c>
      <c r="I225" s="19">
        <v>0.0</v>
      </c>
      <c r="J225" s="19">
        <v>0.0</v>
      </c>
      <c r="K225" s="19">
        <v>0.0</v>
      </c>
      <c r="L225" s="19">
        <v>0.0</v>
      </c>
      <c r="M225" s="19">
        <v>0.0</v>
      </c>
      <c r="N225" s="19">
        <v>0.0</v>
      </c>
      <c r="O225" s="19">
        <v>0.0</v>
      </c>
      <c r="P225" s="19">
        <v>0.0</v>
      </c>
      <c r="Q225" s="19">
        <v>0.0</v>
      </c>
      <c r="R225" s="19">
        <v>0.0</v>
      </c>
      <c r="S225" s="19">
        <v>2.0</v>
      </c>
      <c r="T225" s="19">
        <v>0.0</v>
      </c>
      <c r="U225" s="19">
        <v>0.0</v>
      </c>
      <c r="V225" s="19">
        <v>0.0</v>
      </c>
      <c r="W225" s="19">
        <v>0.0</v>
      </c>
      <c r="X225" s="19">
        <v>0.0</v>
      </c>
      <c r="Y225" s="19">
        <v>0.0</v>
      </c>
      <c r="Z225" s="19">
        <v>0.0</v>
      </c>
      <c r="AA225" s="19">
        <v>0.0</v>
      </c>
      <c r="AB225" s="19">
        <v>0.0</v>
      </c>
      <c r="AC225" s="19">
        <v>0.0</v>
      </c>
      <c r="AD225" s="13">
        <f t="shared" ref="AD225:AD234" si="44">SUM(E225:AC225)</f>
        <v>2</v>
      </c>
    </row>
    <row r="226" ht="12.75" customHeight="1">
      <c r="A226" s="30" t="s">
        <v>39</v>
      </c>
      <c r="B226" s="55">
        <v>1.0</v>
      </c>
      <c r="C226" s="50" t="s">
        <v>166</v>
      </c>
      <c r="D226" s="60"/>
      <c r="E226" s="19">
        <v>0.0</v>
      </c>
      <c r="F226" s="19">
        <v>0.0</v>
      </c>
      <c r="G226" s="19">
        <v>1.0</v>
      </c>
      <c r="H226" s="19">
        <v>0.0</v>
      </c>
      <c r="I226" s="19">
        <v>0.0</v>
      </c>
      <c r="J226" s="19">
        <v>0.0</v>
      </c>
      <c r="K226" s="19">
        <v>0.0</v>
      </c>
      <c r="L226" s="19">
        <v>0.0</v>
      </c>
      <c r="M226" s="19">
        <v>0.0</v>
      </c>
      <c r="N226" s="19">
        <v>0.0</v>
      </c>
      <c r="O226" s="19">
        <v>0.0</v>
      </c>
      <c r="P226" s="19">
        <v>0.0</v>
      </c>
      <c r="Q226" s="19">
        <v>0.0</v>
      </c>
      <c r="R226" s="19">
        <v>0.0</v>
      </c>
      <c r="S226" s="19">
        <v>0.0</v>
      </c>
      <c r="T226" s="19">
        <v>0.0</v>
      </c>
      <c r="U226" s="19">
        <v>0.0</v>
      </c>
      <c r="V226" s="19">
        <v>0.0</v>
      </c>
      <c r="W226" s="19">
        <v>0.0</v>
      </c>
      <c r="X226" s="19">
        <v>0.0</v>
      </c>
      <c r="Y226" s="19">
        <v>0.0</v>
      </c>
      <c r="Z226" s="19">
        <v>0.0</v>
      </c>
      <c r="AA226" s="19">
        <v>0.0</v>
      </c>
      <c r="AB226" s="19">
        <v>0.0</v>
      </c>
      <c r="AC226" s="19">
        <v>0.0</v>
      </c>
      <c r="AD226" s="13">
        <f t="shared" si="44"/>
        <v>1</v>
      </c>
    </row>
    <row r="227" ht="12.75" customHeight="1">
      <c r="A227" s="18"/>
      <c r="B227" s="55">
        <v>2.0</v>
      </c>
      <c r="C227" s="50" t="s">
        <v>167</v>
      </c>
      <c r="D227" s="60"/>
      <c r="E227" s="19">
        <v>0.0</v>
      </c>
      <c r="F227" s="19">
        <v>0.0</v>
      </c>
      <c r="G227" s="19">
        <v>0.0</v>
      </c>
      <c r="H227" s="19">
        <v>0.0</v>
      </c>
      <c r="I227" s="19">
        <v>0.0</v>
      </c>
      <c r="J227" s="19">
        <v>0.0</v>
      </c>
      <c r="K227" s="19">
        <v>0.0</v>
      </c>
      <c r="L227" s="19">
        <v>0.0</v>
      </c>
      <c r="M227" s="19">
        <v>0.0</v>
      </c>
      <c r="N227" s="19">
        <v>0.0</v>
      </c>
      <c r="O227" s="19">
        <v>0.0</v>
      </c>
      <c r="P227" s="19">
        <v>0.0</v>
      </c>
      <c r="Q227" s="19">
        <v>0.0</v>
      </c>
      <c r="R227" s="19">
        <v>0.0</v>
      </c>
      <c r="S227" s="19">
        <v>0.0</v>
      </c>
      <c r="T227" s="19">
        <v>0.0</v>
      </c>
      <c r="U227" s="19">
        <v>0.0</v>
      </c>
      <c r="V227" s="19">
        <v>1.0</v>
      </c>
      <c r="W227" s="19">
        <v>0.0</v>
      </c>
      <c r="X227" s="19">
        <v>0.0</v>
      </c>
      <c r="Y227" s="19">
        <v>0.0</v>
      </c>
      <c r="Z227" s="19">
        <v>0.0</v>
      </c>
      <c r="AA227" s="19">
        <v>0.0</v>
      </c>
      <c r="AB227" s="19">
        <v>0.0</v>
      </c>
      <c r="AC227" s="19">
        <v>0.0</v>
      </c>
      <c r="AD227" s="13">
        <f t="shared" si="44"/>
        <v>1</v>
      </c>
    </row>
    <row r="228" ht="12.75" customHeight="1">
      <c r="A228" s="18"/>
      <c r="B228" s="55">
        <v>3.0</v>
      </c>
      <c r="C228" s="50" t="s">
        <v>168</v>
      </c>
      <c r="D228" s="60"/>
      <c r="E228" s="19">
        <v>0.0</v>
      </c>
      <c r="F228" s="19">
        <v>0.0</v>
      </c>
      <c r="G228" s="19">
        <v>0.0</v>
      </c>
      <c r="H228" s="19">
        <v>0.0</v>
      </c>
      <c r="I228" s="19">
        <v>0.0</v>
      </c>
      <c r="J228" s="19">
        <v>0.0</v>
      </c>
      <c r="K228" s="19">
        <v>0.0</v>
      </c>
      <c r="L228" s="19">
        <v>0.0</v>
      </c>
      <c r="M228" s="19">
        <v>0.0</v>
      </c>
      <c r="N228" s="19">
        <v>0.0</v>
      </c>
      <c r="O228" s="19">
        <v>0.0</v>
      </c>
      <c r="P228" s="19">
        <v>0.0</v>
      </c>
      <c r="Q228" s="19">
        <v>0.0</v>
      </c>
      <c r="R228" s="19">
        <v>0.0</v>
      </c>
      <c r="S228" s="19">
        <v>1.0</v>
      </c>
      <c r="T228" s="19">
        <v>0.0</v>
      </c>
      <c r="U228" s="19">
        <v>0.0</v>
      </c>
      <c r="V228" s="19">
        <v>0.0</v>
      </c>
      <c r="W228" s="19">
        <v>0.0</v>
      </c>
      <c r="X228" s="19">
        <v>0.0</v>
      </c>
      <c r="Y228" s="19">
        <v>0.0</v>
      </c>
      <c r="Z228" s="19">
        <v>1.0</v>
      </c>
      <c r="AA228" s="19">
        <v>0.0</v>
      </c>
      <c r="AB228" s="19">
        <v>0.0</v>
      </c>
      <c r="AC228" s="19">
        <v>0.0</v>
      </c>
      <c r="AD228" s="13">
        <f t="shared" si="44"/>
        <v>2</v>
      </c>
    </row>
    <row r="229" ht="12.75" customHeight="1">
      <c r="A229" s="18"/>
      <c r="B229" s="55">
        <v>4.0</v>
      </c>
      <c r="C229" s="50" t="s">
        <v>169</v>
      </c>
      <c r="D229" s="60"/>
      <c r="E229" s="19">
        <v>0.0</v>
      </c>
      <c r="F229" s="19">
        <v>0.0</v>
      </c>
      <c r="G229" s="19">
        <v>0.0</v>
      </c>
      <c r="H229" s="19">
        <v>0.0</v>
      </c>
      <c r="I229" s="19">
        <v>0.0</v>
      </c>
      <c r="J229" s="19">
        <v>0.0</v>
      </c>
      <c r="K229" s="19">
        <v>0.0</v>
      </c>
      <c r="L229" s="19">
        <v>0.0</v>
      </c>
      <c r="M229" s="19">
        <v>0.0</v>
      </c>
      <c r="N229" s="19">
        <v>0.0</v>
      </c>
      <c r="O229" s="19">
        <v>0.0</v>
      </c>
      <c r="P229" s="19">
        <v>0.0</v>
      </c>
      <c r="Q229" s="19">
        <v>0.0</v>
      </c>
      <c r="R229" s="19">
        <v>0.0</v>
      </c>
      <c r="S229" s="19">
        <v>0.0</v>
      </c>
      <c r="T229" s="19">
        <v>0.0</v>
      </c>
      <c r="U229" s="19">
        <v>0.0</v>
      </c>
      <c r="V229" s="19">
        <v>0.0</v>
      </c>
      <c r="W229" s="19">
        <v>0.0</v>
      </c>
      <c r="X229" s="19">
        <v>0.0</v>
      </c>
      <c r="Y229" s="19">
        <v>0.0</v>
      </c>
      <c r="Z229" s="19">
        <v>0.0</v>
      </c>
      <c r="AA229" s="19">
        <v>0.0</v>
      </c>
      <c r="AB229" s="19">
        <v>0.0</v>
      </c>
      <c r="AC229" s="19">
        <v>0.0</v>
      </c>
      <c r="AD229" s="13">
        <f t="shared" si="44"/>
        <v>0</v>
      </c>
    </row>
    <row r="230" ht="12.75" customHeight="1">
      <c r="A230" s="18"/>
      <c r="B230" s="55">
        <v>5.0</v>
      </c>
      <c r="C230" s="50" t="s">
        <v>170</v>
      </c>
      <c r="D230" s="60"/>
      <c r="E230" s="19">
        <v>0.0</v>
      </c>
      <c r="F230" s="19">
        <v>0.0</v>
      </c>
      <c r="G230" s="19">
        <v>0.0</v>
      </c>
      <c r="H230" s="19">
        <v>0.0</v>
      </c>
      <c r="I230" s="19">
        <v>0.0</v>
      </c>
      <c r="J230" s="19">
        <v>0.0</v>
      </c>
      <c r="K230" s="19">
        <v>0.0</v>
      </c>
      <c r="L230" s="19">
        <v>0.0</v>
      </c>
      <c r="M230" s="19">
        <v>0.0</v>
      </c>
      <c r="N230" s="19">
        <v>0.0</v>
      </c>
      <c r="O230" s="19">
        <v>0.0</v>
      </c>
      <c r="P230" s="19">
        <v>0.0</v>
      </c>
      <c r="Q230" s="19">
        <v>0.0</v>
      </c>
      <c r="R230" s="19">
        <v>0.0</v>
      </c>
      <c r="S230" s="19">
        <v>0.0</v>
      </c>
      <c r="T230" s="19">
        <v>0.0</v>
      </c>
      <c r="U230" s="19">
        <v>0.0</v>
      </c>
      <c r="V230" s="19">
        <v>0.0</v>
      </c>
      <c r="W230" s="19">
        <v>0.0</v>
      </c>
      <c r="X230" s="19">
        <v>0.0</v>
      </c>
      <c r="Y230" s="19">
        <v>0.0</v>
      </c>
      <c r="Z230" s="19">
        <v>0.0</v>
      </c>
      <c r="AA230" s="19">
        <v>0.0</v>
      </c>
      <c r="AB230" s="19">
        <v>0.0</v>
      </c>
      <c r="AC230" s="19">
        <v>0.0</v>
      </c>
      <c r="AD230" s="13">
        <f t="shared" si="44"/>
        <v>0</v>
      </c>
    </row>
    <row r="231" ht="12.75" customHeight="1">
      <c r="A231" s="18"/>
      <c r="B231" s="55">
        <v>6.0</v>
      </c>
      <c r="C231" s="50" t="s">
        <v>171</v>
      </c>
      <c r="D231" s="60"/>
      <c r="E231" s="19">
        <v>0.0</v>
      </c>
      <c r="F231" s="19">
        <v>0.0</v>
      </c>
      <c r="G231" s="19">
        <v>0.0</v>
      </c>
      <c r="H231" s="19">
        <v>0.0</v>
      </c>
      <c r="I231" s="19">
        <v>0.0</v>
      </c>
      <c r="J231" s="19">
        <v>0.0</v>
      </c>
      <c r="K231" s="19">
        <v>0.0</v>
      </c>
      <c r="L231" s="19">
        <v>0.0</v>
      </c>
      <c r="M231" s="19">
        <v>0.0</v>
      </c>
      <c r="N231" s="19">
        <v>0.0</v>
      </c>
      <c r="O231" s="19">
        <v>0.0</v>
      </c>
      <c r="P231" s="19">
        <v>0.0</v>
      </c>
      <c r="Q231" s="19">
        <v>0.0</v>
      </c>
      <c r="R231" s="19">
        <v>0.0</v>
      </c>
      <c r="S231" s="19">
        <v>0.0</v>
      </c>
      <c r="T231" s="19">
        <v>0.0</v>
      </c>
      <c r="U231" s="19">
        <v>0.0</v>
      </c>
      <c r="V231" s="19">
        <v>0.0</v>
      </c>
      <c r="W231" s="19">
        <v>0.0</v>
      </c>
      <c r="X231" s="19">
        <v>0.0</v>
      </c>
      <c r="Y231" s="19">
        <v>0.0</v>
      </c>
      <c r="Z231" s="19">
        <v>0.0</v>
      </c>
      <c r="AA231" s="19">
        <v>0.0</v>
      </c>
      <c r="AB231" s="19">
        <v>0.0</v>
      </c>
      <c r="AC231" s="19">
        <v>0.0</v>
      </c>
      <c r="AD231" s="13">
        <f t="shared" si="44"/>
        <v>0</v>
      </c>
    </row>
    <row r="232" ht="12.75" customHeight="1">
      <c r="A232" s="18"/>
      <c r="B232" s="55">
        <v>7.0</v>
      </c>
      <c r="C232" s="50" t="s">
        <v>172</v>
      </c>
      <c r="D232" s="60"/>
      <c r="E232" s="19">
        <v>0.0</v>
      </c>
      <c r="F232" s="19">
        <v>0.0</v>
      </c>
      <c r="G232" s="19">
        <v>0.0</v>
      </c>
      <c r="H232" s="19">
        <v>0.0</v>
      </c>
      <c r="I232" s="19">
        <v>0.0</v>
      </c>
      <c r="J232" s="19">
        <v>2.0</v>
      </c>
      <c r="K232" s="19">
        <v>1.0</v>
      </c>
      <c r="L232" s="19">
        <v>0.0</v>
      </c>
      <c r="M232" s="19">
        <v>0.0</v>
      </c>
      <c r="N232" s="19">
        <v>0.0</v>
      </c>
      <c r="O232" s="19">
        <v>0.0</v>
      </c>
      <c r="P232" s="19">
        <v>0.0</v>
      </c>
      <c r="Q232" s="19">
        <v>2.0</v>
      </c>
      <c r="R232" s="19">
        <v>0.0</v>
      </c>
      <c r="S232" s="19">
        <v>2.0</v>
      </c>
      <c r="T232" s="19">
        <v>0.0</v>
      </c>
      <c r="U232" s="19">
        <v>0.0</v>
      </c>
      <c r="V232" s="19">
        <v>0.0</v>
      </c>
      <c r="W232" s="19">
        <v>0.0</v>
      </c>
      <c r="X232" s="19">
        <v>1.0</v>
      </c>
      <c r="Y232" s="19">
        <v>0.0</v>
      </c>
      <c r="Z232" s="19">
        <v>0.0</v>
      </c>
      <c r="AA232" s="19">
        <v>0.0</v>
      </c>
      <c r="AB232" s="19">
        <v>0.0</v>
      </c>
      <c r="AC232" s="19">
        <v>0.0</v>
      </c>
      <c r="AD232" s="13">
        <f t="shared" si="44"/>
        <v>8</v>
      </c>
    </row>
    <row r="233" ht="12.75" customHeight="1">
      <c r="A233" s="18"/>
      <c r="B233" s="56"/>
      <c r="C233" s="57"/>
      <c r="D233" s="62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  <c r="AA233" s="19"/>
      <c r="AB233" s="19"/>
      <c r="AC233" s="19"/>
      <c r="AD233" s="13">
        <f t="shared" si="44"/>
        <v>0</v>
      </c>
    </row>
    <row r="234" ht="12.75" customHeight="1">
      <c r="A234" s="18"/>
      <c r="B234" s="56"/>
      <c r="C234" s="57"/>
      <c r="D234" s="62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  <c r="AA234" s="19"/>
      <c r="AB234" s="19"/>
      <c r="AC234" s="19"/>
      <c r="AD234" s="13">
        <f t="shared" si="44"/>
        <v>0</v>
      </c>
    </row>
    <row r="235" ht="12.75" customHeight="1">
      <c r="A235" s="19" t="s">
        <v>15</v>
      </c>
      <c r="B235" s="47" t="s">
        <v>47</v>
      </c>
      <c r="C235" s="15"/>
      <c r="D235" s="16"/>
      <c r="E235" s="13">
        <f t="shared" ref="E235:AD235" si="45">SUM(E225:E234)</f>
        <v>0</v>
      </c>
      <c r="F235" s="13">
        <f t="shared" si="45"/>
        <v>0</v>
      </c>
      <c r="G235" s="13">
        <f t="shared" si="45"/>
        <v>1</v>
      </c>
      <c r="H235" s="13">
        <f t="shared" si="45"/>
        <v>0</v>
      </c>
      <c r="I235" s="13">
        <f t="shared" si="45"/>
        <v>0</v>
      </c>
      <c r="J235" s="13">
        <f t="shared" si="45"/>
        <v>2</v>
      </c>
      <c r="K235" s="13">
        <f t="shared" si="45"/>
        <v>1</v>
      </c>
      <c r="L235" s="13">
        <f t="shared" si="45"/>
        <v>0</v>
      </c>
      <c r="M235" s="13">
        <f t="shared" si="45"/>
        <v>0</v>
      </c>
      <c r="N235" s="13">
        <f t="shared" si="45"/>
        <v>0</v>
      </c>
      <c r="O235" s="13">
        <f t="shared" si="45"/>
        <v>0</v>
      </c>
      <c r="P235" s="13">
        <f t="shared" si="45"/>
        <v>0</v>
      </c>
      <c r="Q235" s="13">
        <f t="shared" si="45"/>
        <v>2</v>
      </c>
      <c r="R235" s="13">
        <f t="shared" si="45"/>
        <v>0</v>
      </c>
      <c r="S235" s="13">
        <f t="shared" si="45"/>
        <v>5</v>
      </c>
      <c r="T235" s="13">
        <f t="shared" si="45"/>
        <v>0</v>
      </c>
      <c r="U235" s="13">
        <f t="shared" si="45"/>
        <v>0</v>
      </c>
      <c r="V235" s="13">
        <f t="shared" si="45"/>
        <v>1</v>
      </c>
      <c r="W235" s="13">
        <f t="shared" si="45"/>
        <v>0</v>
      </c>
      <c r="X235" s="13">
        <f t="shared" si="45"/>
        <v>1</v>
      </c>
      <c r="Y235" s="13">
        <f t="shared" si="45"/>
        <v>0</v>
      </c>
      <c r="Z235" s="13">
        <f t="shared" si="45"/>
        <v>1</v>
      </c>
      <c r="AA235" s="13">
        <f t="shared" si="45"/>
        <v>0</v>
      </c>
      <c r="AB235" s="13">
        <f t="shared" si="45"/>
        <v>0</v>
      </c>
      <c r="AC235" s="13">
        <f t="shared" si="45"/>
        <v>0</v>
      </c>
      <c r="AD235" s="13">
        <f t="shared" si="45"/>
        <v>14</v>
      </c>
    </row>
    <row r="236" ht="12.75" customHeight="1">
      <c r="A236" s="24"/>
      <c r="B236" s="15"/>
      <c r="C236" s="15"/>
      <c r="D236" s="15"/>
      <c r="E236" s="16"/>
      <c r="F236" s="84"/>
      <c r="G236" s="84"/>
      <c r="H236" s="84"/>
      <c r="I236" s="84"/>
      <c r="J236" s="84"/>
      <c r="K236" s="84"/>
      <c r="L236" s="84"/>
      <c r="M236" s="84"/>
      <c r="N236" s="84"/>
      <c r="O236" s="84"/>
      <c r="P236" s="84"/>
      <c r="Q236" s="84"/>
      <c r="R236" s="84"/>
      <c r="S236" s="84"/>
      <c r="T236" s="84"/>
      <c r="U236" s="84"/>
      <c r="V236" s="84"/>
      <c r="W236" s="84"/>
      <c r="X236" s="84"/>
      <c r="Y236" s="84"/>
      <c r="Z236" s="84"/>
      <c r="AA236" s="84"/>
      <c r="AB236" s="84"/>
      <c r="AC236" s="84"/>
      <c r="AD236" s="84"/>
    </row>
    <row r="237" ht="12.75" customHeight="1">
      <c r="A237" s="30" t="s">
        <v>37</v>
      </c>
      <c r="B237" s="47" t="s">
        <v>173</v>
      </c>
      <c r="C237" s="48" t="s">
        <v>174</v>
      </c>
      <c r="D237" s="16"/>
      <c r="E237" s="19">
        <v>0.0</v>
      </c>
      <c r="F237" s="19">
        <v>0.0</v>
      </c>
      <c r="G237" s="19">
        <v>3.0</v>
      </c>
      <c r="H237" s="19">
        <v>2.0</v>
      </c>
      <c r="I237" s="19">
        <v>2.0</v>
      </c>
      <c r="J237" s="19">
        <v>0.0</v>
      </c>
      <c r="K237" s="19">
        <v>0.0</v>
      </c>
      <c r="L237" s="19">
        <v>0.0</v>
      </c>
      <c r="M237" s="19">
        <v>0.0</v>
      </c>
      <c r="N237" s="19">
        <v>4.0</v>
      </c>
      <c r="O237" s="19">
        <v>2.0</v>
      </c>
      <c r="P237" s="19">
        <v>1.0</v>
      </c>
      <c r="Q237" s="19">
        <v>0.0</v>
      </c>
      <c r="R237" s="19">
        <v>0.0</v>
      </c>
      <c r="S237" s="19">
        <v>2.0</v>
      </c>
      <c r="T237" s="19">
        <v>1.0</v>
      </c>
      <c r="U237" s="19">
        <v>8.0</v>
      </c>
      <c r="V237" s="19">
        <v>4.0</v>
      </c>
      <c r="W237" s="19">
        <v>3.0</v>
      </c>
      <c r="X237" s="19">
        <v>2.0</v>
      </c>
      <c r="Y237" s="19">
        <v>4.0</v>
      </c>
      <c r="Z237" s="19">
        <v>2.0</v>
      </c>
      <c r="AA237" s="19">
        <v>1.0</v>
      </c>
      <c r="AB237" s="19">
        <v>1.0</v>
      </c>
      <c r="AC237" s="19">
        <v>2.0</v>
      </c>
      <c r="AD237" s="13">
        <f t="shared" ref="AD237:AD246" si="46">SUM(E237:AC237)</f>
        <v>44</v>
      </c>
    </row>
    <row r="238" ht="12.75" customHeight="1">
      <c r="A238" s="30" t="s">
        <v>39</v>
      </c>
      <c r="B238" s="55">
        <v>1.0</v>
      </c>
      <c r="C238" s="50" t="s">
        <v>175</v>
      </c>
      <c r="D238" s="60"/>
      <c r="E238" s="19">
        <v>0.0</v>
      </c>
      <c r="F238" s="19">
        <v>0.0</v>
      </c>
      <c r="G238" s="19">
        <v>5.0</v>
      </c>
      <c r="H238" s="19">
        <v>1.0</v>
      </c>
      <c r="I238" s="19">
        <v>2.0</v>
      </c>
      <c r="J238" s="19">
        <v>1.0</v>
      </c>
      <c r="K238" s="19">
        <v>0.0</v>
      </c>
      <c r="L238" s="19">
        <v>0.0</v>
      </c>
      <c r="M238" s="19">
        <v>0.0</v>
      </c>
      <c r="N238" s="19">
        <v>0.0</v>
      </c>
      <c r="O238" s="19">
        <v>0.0</v>
      </c>
      <c r="P238" s="19">
        <v>0.0</v>
      </c>
      <c r="Q238" s="19">
        <v>0.0</v>
      </c>
      <c r="R238" s="19">
        <v>0.0</v>
      </c>
      <c r="S238" s="19">
        <v>1.0</v>
      </c>
      <c r="T238" s="19">
        <v>0.0</v>
      </c>
      <c r="U238" s="19">
        <v>0.0</v>
      </c>
      <c r="V238" s="19">
        <v>1.0</v>
      </c>
      <c r="W238" s="19">
        <v>0.0</v>
      </c>
      <c r="X238" s="19">
        <v>0.0</v>
      </c>
      <c r="Y238" s="19">
        <v>0.0</v>
      </c>
      <c r="Z238" s="19">
        <v>0.0</v>
      </c>
      <c r="AA238" s="19">
        <v>1.0</v>
      </c>
      <c r="AB238" s="19">
        <v>1.0</v>
      </c>
      <c r="AC238" s="19">
        <v>0.0</v>
      </c>
      <c r="AD238" s="13">
        <f t="shared" si="46"/>
        <v>13</v>
      </c>
    </row>
    <row r="239" ht="12.75" customHeight="1">
      <c r="A239" s="18"/>
      <c r="B239" s="55">
        <v>2.0</v>
      </c>
      <c r="C239" s="50" t="s">
        <v>176</v>
      </c>
      <c r="D239" s="60"/>
      <c r="E239" s="19">
        <v>4.0</v>
      </c>
      <c r="F239" s="19">
        <v>3.0</v>
      </c>
      <c r="G239" s="19">
        <v>5.0</v>
      </c>
      <c r="H239" s="19">
        <v>8.0</v>
      </c>
      <c r="I239" s="19">
        <v>1.0</v>
      </c>
      <c r="J239" s="19">
        <v>4.0</v>
      </c>
      <c r="K239" s="19">
        <v>3.0</v>
      </c>
      <c r="L239" s="19">
        <v>4.0</v>
      </c>
      <c r="M239" s="19">
        <v>0.0</v>
      </c>
      <c r="N239" s="19">
        <v>25.0</v>
      </c>
      <c r="O239" s="19">
        <v>2.0</v>
      </c>
      <c r="P239" s="19">
        <v>1.0</v>
      </c>
      <c r="Q239" s="19">
        <v>2.0</v>
      </c>
      <c r="R239" s="19">
        <v>0.0</v>
      </c>
      <c r="S239" s="19">
        <v>17.0</v>
      </c>
      <c r="T239" s="19">
        <v>8.0</v>
      </c>
      <c r="U239" s="19">
        <v>39.0</v>
      </c>
      <c r="V239" s="19">
        <v>38.0</v>
      </c>
      <c r="W239" s="19">
        <v>11.0</v>
      </c>
      <c r="X239" s="19">
        <v>13.0</v>
      </c>
      <c r="Y239" s="19">
        <v>20.0</v>
      </c>
      <c r="Z239" s="19">
        <v>5.0</v>
      </c>
      <c r="AA239" s="19">
        <v>14.0</v>
      </c>
      <c r="AB239" s="19">
        <v>21.0</v>
      </c>
      <c r="AC239" s="19">
        <v>54.0</v>
      </c>
      <c r="AD239" s="13">
        <f t="shared" si="46"/>
        <v>302</v>
      </c>
    </row>
    <row r="240" ht="12.75" customHeight="1">
      <c r="A240" s="18"/>
      <c r="B240" s="55">
        <v>3.0</v>
      </c>
      <c r="C240" s="50" t="s">
        <v>177</v>
      </c>
      <c r="D240" s="60"/>
      <c r="E240" s="19">
        <v>0.0</v>
      </c>
      <c r="F240" s="19">
        <v>0.0</v>
      </c>
      <c r="G240" s="19">
        <v>0.0</v>
      </c>
      <c r="H240" s="19">
        <v>0.0</v>
      </c>
      <c r="I240" s="19">
        <v>1.0</v>
      </c>
      <c r="J240" s="19">
        <v>0.0</v>
      </c>
      <c r="K240" s="19">
        <v>0.0</v>
      </c>
      <c r="L240" s="19">
        <v>0.0</v>
      </c>
      <c r="M240" s="19">
        <v>1.0</v>
      </c>
      <c r="N240" s="19">
        <v>0.0</v>
      </c>
      <c r="O240" s="19">
        <v>0.0</v>
      </c>
      <c r="P240" s="19">
        <v>0.0</v>
      </c>
      <c r="Q240" s="19">
        <v>0.0</v>
      </c>
      <c r="R240" s="19">
        <v>1.0</v>
      </c>
      <c r="S240" s="19">
        <v>0.0</v>
      </c>
      <c r="T240" s="19">
        <v>0.0</v>
      </c>
      <c r="U240" s="19">
        <v>3.0</v>
      </c>
      <c r="V240" s="19">
        <v>0.0</v>
      </c>
      <c r="W240" s="19">
        <v>0.0</v>
      </c>
      <c r="X240" s="19">
        <v>0.0</v>
      </c>
      <c r="Y240" s="19">
        <v>1.0</v>
      </c>
      <c r="Z240" s="19">
        <v>0.0</v>
      </c>
      <c r="AA240" s="19">
        <v>0.0</v>
      </c>
      <c r="AB240" s="19">
        <v>1.0</v>
      </c>
      <c r="AC240" s="19">
        <v>0.0</v>
      </c>
      <c r="AD240" s="13">
        <f t="shared" si="46"/>
        <v>8</v>
      </c>
    </row>
    <row r="241" ht="12.75" customHeight="1">
      <c r="A241" s="18"/>
      <c r="B241" s="55">
        <v>4.0</v>
      </c>
      <c r="C241" s="50" t="s">
        <v>178</v>
      </c>
      <c r="D241" s="60"/>
      <c r="E241" s="19">
        <v>0.0</v>
      </c>
      <c r="F241" s="19">
        <v>0.0</v>
      </c>
      <c r="G241" s="19">
        <v>0.0</v>
      </c>
      <c r="H241" s="19">
        <v>1.0</v>
      </c>
      <c r="I241" s="19">
        <v>0.0</v>
      </c>
      <c r="J241" s="19">
        <v>0.0</v>
      </c>
      <c r="K241" s="19">
        <v>0.0</v>
      </c>
      <c r="L241" s="19">
        <v>0.0</v>
      </c>
      <c r="M241" s="19">
        <v>0.0</v>
      </c>
      <c r="N241" s="19">
        <v>0.0</v>
      </c>
      <c r="O241" s="19">
        <v>1.0</v>
      </c>
      <c r="P241" s="19">
        <v>0.0</v>
      </c>
      <c r="Q241" s="19">
        <v>0.0</v>
      </c>
      <c r="R241" s="19">
        <v>0.0</v>
      </c>
      <c r="S241" s="19">
        <v>0.0</v>
      </c>
      <c r="T241" s="19">
        <v>0.0</v>
      </c>
      <c r="U241" s="19">
        <v>0.0</v>
      </c>
      <c r="V241" s="19">
        <v>0.0</v>
      </c>
      <c r="W241" s="19">
        <v>0.0</v>
      </c>
      <c r="X241" s="19">
        <v>0.0</v>
      </c>
      <c r="Y241" s="19">
        <v>0.0</v>
      </c>
      <c r="Z241" s="19">
        <v>0.0</v>
      </c>
      <c r="AA241" s="19">
        <v>0.0</v>
      </c>
      <c r="AB241" s="19">
        <v>0.0</v>
      </c>
      <c r="AC241" s="19">
        <v>0.0</v>
      </c>
      <c r="AD241" s="13">
        <f t="shared" si="46"/>
        <v>2</v>
      </c>
    </row>
    <row r="242" ht="12.75" customHeight="1">
      <c r="A242" s="18"/>
      <c r="B242" s="55">
        <v>5.0</v>
      </c>
      <c r="C242" s="50" t="s">
        <v>179</v>
      </c>
      <c r="D242" s="60"/>
      <c r="E242" s="19">
        <v>0.0</v>
      </c>
      <c r="F242" s="19">
        <v>0.0</v>
      </c>
      <c r="G242" s="19">
        <v>0.0</v>
      </c>
      <c r="H242" s="19">
        <v>0.0</v>
      </c>
      <c r="I242" s="19">
        <v>0.0</v>
      </c>
      <c r="J242" s="19">
        <v>0.0</v>
      </c>
      <c r="K242" s="19">
        <v>0.0</v>
      </c>
      <c r="L242" s="19">
        <v>0.0</v>
      </c>
      <c r="M242" s="19">
        <v>0.0</v>
      </c>
      <c r="N242" s="19">
        <v>0.0</v>
      </c>
      <c r="O242" s="19">
        <v>0.0</v>
      </c>
      <c r="P242" s="19">
        <v>0.0</v>
      </c>
      <c r="Q242" s="19">
        <v>0.0</v>
      </c>
      <c r="R242" s="19">
        <v>0.0</v>
      </c>
      <c r="S242" s="19">
        <v>0.0</v>
      </c>
      <c r="T242" s="19">
        <v>0.0</v>
      </c>
      <c r="U242" s="19">
        <v>0.0</v>
      </c>
      <c r="V242" s="19">
        <v>0.0</v>
      </c>
      <c r="W242" s="19">
        <v>0.0</v>
      </c>
      <c r="X242" s="19">
        <v>0.0</v>
      </c>
      <c r="Y242" s="19">
        <v>0.0</v>
      </c>
      <c r="Z242" s="19">
        <v>0.0</v>
      </c>
      <c r="AA242" s="19">
        <v>0.0</v>
      </c>
      <c r="AB242" s="19">
        <v>0.0</v>
      </c>
      <c r="AC242" s="19">
        <v>0.0</v>
      </c>
      <c r="AD242" s="13">
        <f t="shared" si="46"/>
        <v>0</v>
      </c>
    </row>
    <row r="243" ht="12.75" customHeight="1">
      <c r="A243" s="18"/>
      <c r="B243" s="55">
        <v>6.0</v>
      </c>
      <c r="C243" s="50" t="s">
        <v>180</v>
      </c>
      <c r="D243" s="60"/>
      <c r="E243" s="19">
        <v>0.0</v>
      </c>
      <c r="F243" s="19">
        <v>0.0</v>
      </c>
      <c r="G243" s="19">
        <v>0.0</v>
      </c>
      <c r="H243" s="19">
        <v>0.0</v>
      </c>
      <c r="I243" s="19">
        <v>0.0</v>
      </c>
      <c r="J243" s="19">
        <v>1.0</v>
      </c>
      <c r="K243" s="19">
        <v>0.0</v>
      </c>
      <c r="L243" s="19">
        <v>0.0</v>
      </c>
      <c r="M243" s="19">
        <v>0.0</v>
      </c>
      <c r="N243" s="19">
        <v>0.0</v>
      </c>
      <c r="O243" s="19">
        <v>0.0</v>
      </c>
      <c r="P243" s="19">
        <v>0.0</v>
      </c>
      <c r="Q243" s="19">
        <v>0.0</v>
      </c>
      <c r="R243" s="19">
        <v>0.0</v>
      </c>
      <c r="S243" s="19">
        <v>0.0</v>
      </c>
      <c r="T243" s="19">
        <v>0.0</v>
      </c>
      <c r="U243" s="19">
        <v>0.0</v>
      </c>
      <c r="V243" s="19">
        <v>0.0</v>
      </c>
      <c r="W243" s="19">
        <v>1.0</v>
      </c>
      <c r="X243" s="19">
        <v>1.0</v>
      </c>
      <c r="Y243" s="19">
        <v>0.0</v>
      </c>
      <c r="Z243" s="19">
        <v>0.0</v>
      </c>
      <c r="AA243" s="19">
        <v>0.0</v>
      </c>
      <c r="AB243" s="19">
        <v>0.0</v>
      </c>
      <c r="AC243" s="19">
        <v>0.0</v>
      </c>
      <c r="AD243" s="13">
        <f t="shared" si="46"/>
        <v>3</v>
      </c>
    </row>
    <row r="244" ht="12.75" customHeight="1">
      <c r="A244" s="18"/>
      <c r="B244" s="55">
        <v>7.0</v>
      </c>
      <c r="C244" s="50" t="s">
        <v>181</v>
      </c>
      <c r="D244" s="60"/>
      <c r="E244" s="19">
        <v>0.0</v>
      </c>
      <c r="F244" s="19">
        <v>0.0</v>
      </c>
      <c r="G244" s="19">
        <v>0.0</v>
      </c>
      <c r="H244" s="19">
        <v>0.0</v>
      </c>
      <c r="I244" s="19">
        <v>0.0</v>
      </c>
      <c r="J244" s="19">
        <v>0.0</v>
      </c>
      <c r="K244" s="19">
        <v>0.0</v>
      </c>
      <c r="L244" s="19">
        <v>0.0</v>
      </c>
      <c r="M244" s="19">
        <v>0.0</v>
      </c>
      <c r="N244" s="19">
        <v>0.0</v>
      </c>
      <c r="O244" s="19">
        <v>0.0</v>
      </c>
      <c r="P244" s="19">
        <v>0.0</v>
      </c>
      <c r="Q244" s="19">
        <v>0.0</v>
      </c>
      <c r="R244" s="19">
        <v>0.0</v>
      </c>
      <c r="S244" s="19">
        <v>0.0</v>
      </c>
      <c r="T244" s="19">
        <v>0.0</v>
      </c>
      <c r="U244" s="19">
        <v>0.0</v>
      </c>
      <c r="V244" s="19">
        <v>0.0</v>
      </c>
      <c r="W244" s="19">
        <v>0.0</v>
      </c>
      <c r="X244" s="19">
        <v>0.0</v>
      </c>
      <c r="Y244" s="19">
        <v>0.0</v>
      </c>
      <c r="Z244" s="19">
        <v>0.0</v>
      </c>
      <c r="AA244" s="19">
        <v>0.0</v>
      </c>
      <c r="AB244" s="19">
        <v>0.0</v>
      </c>
      <c r="AC244" s="19">
        <v>0.0</v>
      </c>
      <c r="AD244" s="13">
        <f t="shared" si="46"/>
        <v>0</v>
      </c>
    </row>
    <row r="245" ht="12.75" customHeight="1">
      <c r="A245" s="18"/>
      <c r="B245" s="56"/>
      <c r="C245" s="57"/>
      <c r="D245" s="62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9"/>
      <c r="AB245" s="19"/>
      <c r="AC245" s="19"/>
      <c r="AD245" s="13">
        <f t="shared" si="46"/>
        <v>0</v>
      </c>
    </row>
    <row r="246" ht="12.75" customHeight="1">
      <c r="A246" s="18"/>
      <c r="B246" s="56"/>
      <c r="C246" s="57"/>
      <c r="D246" s="62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  <c r="AA246" s="19"/>
      <c r="AB246" s="19"/>
      <c r="AC246" s="19"/>
      <c r="AD246" s="13">
        <f t="shared" si="46"/>
        <v>0</v>
      </c>
    </row>
    <row r="247" ht="12.75" customHeight="1">
      <c r="A247" s="19" t="s">
        <v>15</v>
      </c>
      <c r="B247" s="47" t="s">
        <v>47</v>
      </c>
      <c r="C247" s="15"/>
      <c r="D247" s="16"/>
      <c r="E247" s="13">
        <f t="shared" ref="E247:AD247" si="47">SUM(E237:E246)</f>
        <v>4</v>
      </c>
      <c r="F247" s="13">
        <f t="shared" si="47"/>
        <v>3</v>
      </c>
      <c r="G247" s="13">
        <f t="shared" si="47"/>
        <v>13</v>
      </c>
      <c r="H247" s="13">
        <f t="shared" si="47"/>
        <v>12</v>
      </c>
      <c r="I247" s="13">
        <f t="shared" si="47"/>
        <v>6</v>
      </c>
      <c r="J247" s="13">
        <f t="shared" si="47"/>
        <v>6</v>
      </c>
      <c r="K247" s="13">
        <f t="shared" si="47"/>
        <v>3</v>
      </c>
      <c r="L247" s="13">
        <f t="shared" si="47"/>
        <v>4</v>
      </c>
      <c r="M247" s="13">
        <f t="shared" si="47"/>
        <v>1</v>
      </c>
      <c r="N247" s="13">
        <f t="shared" si="47"/>
        <v>29</v>
      </c>
      <c r="O247" s="13">
        <f t="shared" si="47"/>
        <v>5</v>
      </c>
      <c r="P247" s="13">
        <f t="shared" si="47"/>
        <v>2</v>
      </c>
      <c r="Q247" s="13">
        <f t="shared" si="47"/>
        <v>2</v>
      </c>
      <c r="R247" s="13">
        <f t="shared" si="47"/>
        <v>1</v>
      </c>
      <c r="S247" s="13">
        <f t="shared" si="47"/>
        <v>20</v>
      </c>
      <c r="T247" s="13">
        <f t="shared" si="47"/>
        <v>9</v>
      </c>
      <c r="U247" s="13">
        <f t="shared" si="47"/>
        <v>50</v>
      </c>
      <c r="V247" s="13">
        <f t="shared" si="47"/>
        <v>43</v>
      </c>
      <c r="W247" s="13">
        <f t="shared" si="47"/>
        <v>15</v>
      </c>
      <c r="X247" s="13">
        <f t="shared" si="47"/>
        <v>16</v>
      </c>
      <c r="Y247" s="13">
        <f t="shared" si="47"/>
        <v>25</v>
      </c>
      <c r="Z247" s="13">
        <f t="shared" si="47"/>
        <v>7</v>
      </c>
      <c r="AA247" s="13">
        <f t="shared" si="47"/>
        <v>16</v>
      </c>
      <c r="AB247" s="13">
        <f t="shared" si="47"/>
        <v>24</v>
      </c>
      <c r="AC247" s="13">
        <f t="shared" si="47"/>
        <v>56</v>
      </c>
      <c r="AD247" s="13">
        <f t="shared" si="47"/>
        <v>372</v>
      </c>
    </row>
    <row r="248" ht="12.75" customHeight="1">
      <c r="A248" s="24"/>
      <c r="B248" s="15"/>
      <c r="C248" s="15"/>
      <c r="D248" s="15"/>
      <c r="E248" s="16"/>
    </row>
    <row r="249" ht="12.75" customHeight="1">
      <c r="A249" s="30" t="s">
        <v>37</v>
      </c>
      <c r="B249" s="47" t="s">
        <v>182</v>
      </c>
      <c r="C249" s="48" t="s">
        <v>183</v>
      </c>
      <c r="D249" s="16"/>
      <c r="E249" s="19">
        <v>0.0</v>
      </c>
      <c r="F249" s="19">
        <v>0.0</v>
      </c>
      <c r="G249" s="19">
        <v>0.0</v>
      </c>
      <c r="H249" s="19">
        <v>0.0</v>
      </c>
      <c r="I249" s="19">
        <v>0.0</v>
      </c>
      <c r="J249" s="19">
        <v>0.0</v>
      </c>
      <c r="K249" s="19">
        <v>1.0</v>
      </c>
      <c r="L249" s="19">
        <v>0.0</v>
      </c>
      <c r="M249" s="19">
        <v>0.0</v>
      </c>
      <c r="N249" s="19">
        <v>0.0</v>
      </c>
      <c r="O249" s="19">
        <v>0.0</v>
      </c>
      <c r="P249" s="19">
        <v>1.0</v>
      </c>
      <c r="Q249" s="19">
        <v>0.0</v>
      </c>
      <c r="R249" s="19">
        <v>0.0</v>
      </c>
      <c r="S249" s="19">
        <v>0.0</v>
      </c>
      <c r="T249" s="19">
        <v>0.0</v>
      </c>
      <c r="U249" s="19">
        <v>0.0</v>
      </c>
      <c r="V249" s="19">
        <v>0.0</v>
      </c>
      <c r="W249" s="19">
        <v>0.0</v>
      </c>
      <c r="X249" s="19">
        <v>0.0</v>
      </c>
      <c r="Y249" s="19">
        <v>0.0</v>
      </c>
      <c r="Z249" s="19">
        <v>0.0</v>
      </c>
      <c r="AA249" s="19">
        <v>0.0</v>
      </c>
      <c r="AB249" s="19">
        <v>0.0</v>
      </c>
      <c r="AC249" s="19">
        <v>0.0</v>
      </c>
      <c r="AD249" s="13">
        <f t="shared" ref="AD249:AD258" si="48">SUM(E249:AC249)</f>
        <v>2</v>
      </c>
    </row>
    <row r="250" ht="12.75" customHeight="1">
      <c r="A250" s="30" t="s">
        <v>39</v>
      </c>
      <c r="B250" s="55">
        <v>1.0</v>
      </c>
      <c r="C250" s="67" t="s">
        <v>184</v>
      </c>
      <c r="D250" s="60"/>
      <c r="E250" s="19">
        <v>0.0</v>
      </c>
      <c r="F250" s="19">
        <v>0.0</v>
      </c>
      <c r="G250" s="19">
        <v>0.0</v>
      </c>
      <c r="H250" s="19">
        <v>0.0</v>
      </c>
      <c r="I250" s="19">
        <v>0.0</v>
      </c>
      <c r="J250" s="19">
        <v>0.0</v>
      </c>
      <c r="K250" s="19">
        <v>0.0</v>
      </c>
      <c r="L250" s="19">
        <v>0.0</v>
      </c>
      <c r="M250" s="19">
        <v>0.0</v>
      </c>
      <c r="N250" s="19">
        <v>0.0</v>
      </c>
      <c r="O250" s="19">
        <v>0.0</v>
      </c>
      <c r="P250" s="19">
        <v>0.0</v>
      </c>
      <c r="Q250" s="19">
        <v>0.0</v>
      </c>
      <c r="R250" s="19">
        <v>0.0</v>
      </c>
      <c r="S250" s="19">
        <v>0.0</v>
      </c>
      <c r="T250" s="19">
        <v>1.0</v>
      </c>
      <c r="U250" s="19">
        <v>0.0</v>
      </c>
      <c r="V250" s="19">
        <v>0.0</v>
      </c>
      <c r="W250" s="19">
        <v>0.0</v>
      </c>
      <c r="X250" s="19">
        <v>0.0</v>
      </c>
      <c r="Y250" s="19">
        <v>0.0</v>
      </c>
      <c r="Z250" s="19">
        <v>0.0</v>
      </c>
      <c r="AA250" s="19">
        <v>0.0</v>
      </c>
      <c r="AB250" s="19">
        <v>0.0</v>
      </c>
      <c r="AC250" s="19">
        <v>0.0</v>
      </c>
      <c r="AD250" s="13">
        <f t="shared" si="48"/>
        <v>1</v>
      </c>
    </row>
    <row r="251" ht="12.75" customHeight="1">
      <c r="A251" s="18"/>
      <c r="B251" s="55">
        <v>2.0</v>
      </c>
      <c r="C251" s="67" t="s">
        <v>185</v>
      </c>
      <c r="D251" s="60"/>
      <c r="E251" s="19">
        <v>0.0</v>
      </c>
      <c r="F251" s="19">
        <v>0.0</v>
      </c>
      <c r="G251" s="19">
        <v>0.0</v>
      </c>
      <c r="H251" s="19">
        <v>0.0</v>
      </c>
      <c r="I251" s="19">
        <v>0.0</v>
      </c>
      <c r="J251" s="19">
        <v>0.0</v>
      </c>
      <c r="K251" s="19">
        <v>0.0</v>
      </c>
      <c r="L251" s="19">
        <v>0.0</v>
      </c>
      <c r="M251" s="19">
        <v>0.0</v>
      </c>
      <c r="N251" s="19">
        <v>0.0</v>
      </c>
      <c r="O251" s="19">
        <v>0.0</v>
      </c>
      <c r="P251" s="19">
        <v>0.0</v>
      </c>
      <c r="Q251" s="19">
        <v>0.0</v>
      </c>
      <c r="R251" s="19">
        <v>0.0</v>
      </c>
      <c r="S251" s="19">
        <v>0.0</v>
      </c>
      <c r="T251" s="19">
        <v>0.0</v>
      </c>
      <c r="U251" s="19">
        <v>0.0</v>
      </c>
      <c r="V251" s="19">
        <v>0.0</v>
      </c>
      <c r="W251" s="19">
        <v>0.0</v>
      </c>
      <c r="X251" s="19">
        <v>0.0</v>
      </c>
      <c r="Y251" s="19">
        <v>0.0</v>
      </c>
      <c r="Z251" s="19">
        <v>0.0</v>
      </c>
      <c r="AA251" s="19">
        <v>2.0</v>
      </c>
      <c r="AB251" s="19">
        <v>0.0</v>
      </c>
      <c r="AC251" s="19">
        <v>0.0</v>
      </c>
      <c r="AD251" s="13">
        <f t="shared" si="48"/>
        <v>2</v>
      </c>
    </row>
    <row r="252" ht="12.75" customHeight="1">
      <c r="A252" s="18"/>
      <c r="B252" s="55">
        <v>3.0</v>
      </c>
      <c r="C252" s="67" t="s">
        <v>186</v>
      </c>
      <c r="D252" s="60"/>
      <c r="E252" s="19">
        <v>0.0</v>
      </c>
      <c r="F252" s="19">
        <v>0.0</v>
      </c>
      <c r="G252" s="19">
        <v>0.0</v>
      </c>
      <c r="H252" s="19">
        <v>0.0</v>
      </c>
      <c r="I252" s="19">
        <v>0.0</v>
      </c>
      <c r="J252" s="19">
        <v>0.0</v>
      </c>
      <c r="K252" s="19">
        <v>0.0</v>
      </c>
      <c r="L252" s="19">
        <v>0.0</v>
      </c>
      <c r="M252" s="19">
        <v>0.0</v>
      </c>
      <c r="N252" s="19">
        <v>0.0</v>
      </c>
      <c r="O252" s="19">
        <v>0.0</v>
      </c>
      <c r="P252" s="19">
        <v>0.0</v>
      </c>
      <c r="Q252" s="19">
        <v>0.0</v>
      </c>
      <c r="R252" s="19">
        <v>0.0</v>
      </c>
      <c r="S252" s="19">
        <v>1.0</v>
      </c>
      <c r="T252" s="19">
        <v>0.0</v>
      </c>
      <c r="U252" s="19">
        <v>0.0</v>
      </c>
      <c r="V252" s="19">
        <v>0.0</v>
      </c>
      <c r="W252" s="19">
        <v>0.0</v>
      </c>
      <c r="X252" s="19">
        <v>0.0</v>
      </c>
      <c r="Y252" s="19">
        <v>0.0</v>
      </c>
      <c r="Z252" s="19">
        <v>0.0</v>
      </c>
      <c r="AA252" s="19">
        <v>0.0</v>
      </c>
      <c r="AB252" s="19">
        <v>0.0</v>
      </c>
      <c r="AC252" s="19">
        <v>0.0</v>
      </c>
      <c r="AD252" s="13">
        <f t="shared" si="48"/>
        <v>1</v>
      </c>
    </row>
    <row r="253" ht="12.75" customHeight="1">
      <c r="A253" s="18"/>
      <c r="B253" s="55">
        <v>4.0</v>
      </c>
      <c r="C253" s="67" t="s">
        <v>187</v>
      </c>
      <c r="D253" s="60"/>
      <c r="E253" s="19">
        <v>0.0</v>
      </c>
      <c r="F253" s="19">
        <v>0.0</v>
      </c>
      <c r="G253" s="19">
        <v>0.0</v>
      </c>
      <c r="H253" s="19">
        <v>0.0</v>
      </c>
      <c r="I253" s="19">
        <v>0.0</v>
      </c>
      <c r="J253" s="19">
        <v>0.0</v>
      </c>
      <c r="K253" s="19">
        <v>0.0</v>
      </c>
      <c r="L253" s="19">
        <v>0.0</v>
      </c>
      <c r="M253" s="19">
        <v>0.0</v>
      </c>
      <c r="N253" s="19">
        <v>0.0</v>
      </c>
      <c r="O253" s="19">
        <v>0.0</v>
      </c>
      <c r="P253" s="19">
        <v>0.0</v>
      </c>
      <c r="Q253" s="19">
        <v>0.0</v>
      </c>
      <c r="R253" s="19">
        <v>0.0</v>
      </c>
      <c r="S253" s="19">
        <v>0.0</v>
      </c>
      <c r="T253" s="19">
        <v>0.0</v>
      </c>
      <c r="U253" s="19">
        <v>0.0</v>
      </c>
      <c r="V253" s="19">
        <v>0.0</v>
      </c>
      <c r="W253" s="19">
        <v>0.0</v>
      </c>
      <c r="X253" s="19">
        <v>0.0</v>
      </c>
      <c r="Y253" s="19">
        <v>0.0</v>
      </c>
      <c r="Z253" s="19">
        <v>0.0</v>
      </c>
      <c r="AA253" s="19">
        <v>0.0</v>
      </c>
      <c r="AB253" s="19">
        <v>0.0</v>
      </c>
      <c r="AC253" s="19">
        <v>0.0</v>
      </c>
      <c r="AD253" s="13">
        <f t="shared" si="48"/>
        <v>0</v>
      </c>
    </row>
    <row r="254" ht="12.75" customHeight="1">
      <c r="A254" s="18"/>
      <c r="B254" s="55">
        <v>5.0</v>
      </c>
      <c r="C254" s="67" t="s">
        <v>188</v>
      </c>
      <c r="D254" s="60"/>
      <c r="E254" s="19">
        <v>0.0</v>
      </c>
      <c r="F254" s="19">
        <v>0.0</v>
      </c>
      <c r="G254" s="19">
        <v>0.0</v>
      </c>
      <c r="H254" s="19">
        <v>0.0</v>
      </c>
      <c r="I254" s="19">
        <v>0.0</v>
      </c>
      <c r="J254" s="19">
        <v>0.0</v>
      </c>
      <c r="K254" s="19">
        <v>0.0</v>
      </c>
      <c r="L254" s="19">
        <v>0.0</v>
      </c>
      <c r="M254" s="19">
        <v>0.0</v>
      </c>
      <c r="N254" s="19">
        <v>0.0</v>
      </c>
      <c r="O254" s="19">
        <v>0.0</v>
      </c>
      <c r="P254" s="19">
        <v>0.0</v>
      </c>
      <c r="Q254" s="19">
        <v>0.0</v>
      </c>
      <c r="R254" s="19">
        <v>0.0</v>
      </c>
      <c r="S254" s="19">
        <v>0.0</v>
      </c>
      <c r="T254" s="19">
        <v>0.0</v>
      </c>
      <c r="U254" s="19">
        <v>0.0</v>
      </c>
      <c r="V254" s="19">
        <v>0.0</v>
      </c>
      <c r="W254" s="19">
        <v>0.0</v>
      </c>
      <c r="X254" s="19">
        <v>0.0</v>
      </c>
      <c r="Y254" s="19">
        <v>0.0</v>
      </c>
      <c r="Z254" s="19">
        <v>0.0</v>
      </c>
      <c r="AA254" s="19">
        <v>0.0</v>
      </c>
      <c r="AB254" s="19">
        <v>0.0</v>
      </c>
      <c r="AC254" s="19">
        <v>0.0</v>
      </c>
      <c r="AD254" s="13">
        <f t="shared" si="48"/>
        <v>0</v>
      </c>
    </row>
    <row r="255" ht="12.75" customHeight="1">
      <c r="A255" s="18"/>
      <c r="B255" s="55">
        <v>6.0</v>
      </c>
      <c r="C255" s="67" t="s">
        <v>189</v>
      </c>
      <c r="D255" s="60"/>
      <c r="E255" s="19">
        <v>0.0</v>
      </c>
      <c r="F255" s="19">
        <v>0.0</v>
      </c>
      <c r="G255" s="19">
        <v>0.0</v>
      </c>
      <c r="H255" s="19">
        <v>0.0</v>
      </c>
      <c r="I255" s="19">
        <v>0.0</v>
      </c>
      <c r="J255" s="19">
        <v>0.0</v>
      </c>
      <c r="K255" s="19">
        <v>0.0</v>
      </c>
      <c r="L255" s="19">
        <v>0.0</v>
      </c>
      <c r="M255" s="19">
        <v>0.0</v>
      </c>
      <c r="N255" s="19">
        <v>0.0</v>
      </c>
      <c r="O255" s="19">
        <v>0.0</v>
      </c>
      <c r="P255" s="19">
        <v>0.0</v>
      </c>
      <c r="Q255" s="19">
        <v>0.0</v>
      </c>
      <c r="R255" s="19">
        <v>0.0</v>
      </c>
      <c r="S255" s="19">
        <v>0.0</v>
      </c>
      <c r="T255" s="19">
        <v>0.0</v>
      </c>
      <c r="U255" s="19">
        <v>0.0</v>
      </c>
      <c r="V255" s="19">
        <v>0.0</v>
      </c>
      <c r="W255" s="19">
        <v>0.0</v>
      </c>
      <c r="X255" s="19">
        <v>0.0</v>
      </c>
      <c r="Y255" s="19">
        <v>0.0</v>
      </c>
      <c r="Z255" s="19">
        <v>0.0</v>
      </c>
      <c r="AA255" s="19">
        <v>0.0</v>
      </c>
      <c r="AB255" s="19">
        <v>0.0</v>
      </c>
      <c r="AC255" s="19">
        <v>0.0</v>
      </c>
      <c r="AD255" s="13">
        <f t="shared" si="48"/>
        <v>0</v>
      </c>
    </row>
    <row r="256" ht="12.75" customHeight="1">
      <c r="A256" s="18"/>
      <c r="B256" s="56"/>
      <c r="C256" s="68"/>
      <c r="D256" s="62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  <c r="AA256" s="19"/>
      <c r="AB256" s="19"/>
      <c r="AC256" s="19"/>
      <c r="AD256" s="13">
        <f t="shared" si="48"/>
        <v>0</v>
      </c>
    </row>
    <row r="257" ht="12.75" customHeight="1">
      <c r="A257" s="18"/>
      <c r="B257" s="56"/>
      <c r="C257" s="68"/>
      <c r="D257" s="62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  <c r="AA257" s="19"/>
      <c r="AB257" s="19"/>
      <c r="AC257" s="19"/>
      <c r="AD257" s="13">
        <f t="shared" si="48"/>
        <v>0</v>
      </c>
    </row>
    <row r="258" ht="12.75" customHeight="1">
      <c r="A258" s="18"/>
      <c r="B258" s="56"/>
      <c r="C258" s="68"/>
      <c r="D258" s="62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3">
        <f t="shared" si="48"/>
        <v>0</v>
      </c>
    </row>
    <row r="259" ht="12.75" customHeight="1">
      <c r="A259" s="19" t="s">
        <v>15</v>
      </c>
      <c r="B259" s="47" t="s">
        <v>47</v>
      </c>
      <c r="C259" s="15"/>
      <c r="D259" s="16"/>
      <c r="E259" s="13">
        <f t="shared" ref="E259:AD259" si="49">SUM(E249:E258)</f>
        <v>0</v>
      </c>
      <c r="F259" s="13">
        <f t="shared" si="49"/>
        <v>0</v>
      </c>
      <c r="G259" s="13">
        <f t="shared" si="49"/>
        <v>0</v>
      </c>
      <c r="H259" s="13">
        <f t="shared" si="49"/>
        <v>0</v>
      </c>
      <c r="I259" s="13">
        <f t="shared" si="49"/>
        <v>0</v>
      </c>
      <c r="J259" s="13">
        <f t="shared" si="49"/>
        <v>0</v>
      </c>
      <c r="K259" s="13">
        <f t="shared" si="49"/>
        <v>1</v>
      </c>
      <c r="L259" s="13">
        <f t="shared" si="49"/>
        <v>0</v>
      </c>
      <c r="M259" s="13">
        <f t="shared" si="49"/>
        <v>0</v>
      </c>
      <c r="N259" s="13">
        <f t="shared" si="49"/>
        <v>0</v>
      </c>
      <c r="O259" s="13">
        <f t="shared" si="49"/>
        <v>0</v>
      </c>
      <c r="P259" s="13">
        <f t="shared" si="49"/>
        <v>1</v>
      </c>
      <c r="Q259" s="13">
        <f t="shared" si="49"/>
        <v>0</v>
      </c>
      <c r="R259" s="13">
        <f t="shared" si="49"/>
        <v>0</v>
      </c>
      <c r="S259" s="13">
        <f t="shared" si="49"/>
        <v>1</v>
      </c>
      <c r="T259" s="13">
        <f t="shared" si="49"/>
        <v>1</v>
      </c>
      <c r="U259" s="13">
        <f t="shared" si="49"/>
        <v>0</v>
      </c>
      <c r="V259" s="13">
        <f t="shared" si="49"/>
        <v>0</v>
      </c>
      <c r="W259" s="13">
        <f t="shared" si="49"/>
        <v>0</v>
      </c>
      <c r="X259" s="13">
        <f t="shared" si="49"/>
        <v>0</v>
      </c>
      <c r="Y259" s="13">
        <f t="shared" si="49"/>
        <v>0</v>
      </c>
      <c r="Z259" s="13">
        <f t="shared" si="49"/>
        <v>0</v>
      </c>
      <c r="AA259" s="13">
        <f t="shared" si="49"/>
        <v>2</v>
      </c>
      <c r="AB259" s="13">
        <f t="shared" si="49"/>
        <v>0</v>
      </c>
      <c r="AC259" s="13">
        <f t="shared" si="49"/>
        <v>0</v>
      </c>
      <c r="AD259" s="13">
        <f t="shared" si="49"/>
        <v>6</v>
      </c>
    </row>
    <row r="260" ht="12.75" customHeight="1"/>
    <row r="261" ht="12.75" customHeight="1">
      <c r="A261" s="42" t="s">
        <v>190</v>
      </c>
      <c r="B261" s="14" t="s">
        <v>191</v>
      </c>
      <c r="C261" s="15"/>
      <c r="D261" s="16"/>
      <c r="E261" s="13"/>
      <c r="F261" s="13"/>
      <c r="G261" s="13"/>
      <c r="H261" s="13"/>
      <c r="I261" s="13"/>
      <c r="J261" s="13"/>
      <c r="K261" s="13"/>
      <c r="L261" s="13"/>
      <c r="M261" s="13"/>
      <c r="N261" s="78"/>
      <c r="O261" s="78"/>
      <c r="P261" s="78"/>
      <c r="Q261" s="78"/>
      <c r="R261" s="78"/>
      <c r="S261" s="78"/>
      <c r="T261" s="78"/>
      <c r="U261" s="78"/>
      <c r="V261" s="78"/>
      <c r="W261" s="78"/>
      <c r="X261" s="78"/>
      <c r="Y261" s="78"/>
      <c r="Z261" s="78"/>
      <c r="AA261" s="78"/>
      <c r="AB261" s="78"/>
      <c r="AC261" s="78"/>
      <c r="AD261" s="13"/>
    </row>
    <row r="262" ht="12.75" customHeight="1">
      <c r="A262" s="42"/>
      <c r="B262" s="71" t="s">
        <v>192</v>
      </c>
      <c r="C262" s="72" t="s">
        <v>193</v>
      </c>
      <c r="D262" s="16"/>
      <c r="E262" s="19">
        <f t="shared" ref="E262:AC262" si="50">E55+E67+E79+E91+E103+E115+E127+E139+E151+E163+E175+E187+E199+E211+E223+E235+E247+E259</f>
        <v>228</v>
      </c>
      <c r="F262" s="19">
        <f t="shared" si="50"/>
        <v>185</v>
      </c>
      <c r="G262" s="19">
        <f t="shared" si="50"/>
        <v>185</v>
      </c>
      <c r="H262" s="19">
        <f t="shared" si="50"/>
        <v>173</v>
      </c>
      <c r="I262" s="19">
        <f t="shared" si="50"/>
        <v>203</v>
      </c>
      <c r="J262" s="19">
        <f t="shared" si="50"/>
        <v>176</v>
      </c>
      <c r="K262" s="19">
        <f t="shared" si="50"/>
        <v>171</v>
      </c>
      <c r="L262" s="19">
        <f t="shared" si="50"/>
        <v>197</v>
      </c>
      <c r="M262" s="19">
        <f t="shared" si="50"/>
        <v>164</v>
      </c>
      <c r="N262" s="19">
        <f t="shared" si="50"/>
        <v>191</v>
      </c>
      <c r="O262" s="19">
        <f t="shared" si="50"/>
        <v>182</v>
      </c>
      <c r="P262" s="19">
        <f t="shared" si="50"/>
        <v>190</v>
      </c>
      <c r="Q262" s="19">
        <f t="shared" si="50"/>
        <v>160</v>
      </c>
      <c r="R262" s="19">
        <f t="shared" si="50"/>
        <v>162</v>
      </c>
      <c r="S262" s="19">
        <f t="shared" si="50"/>
        <v>179</v>
      </c>
      <c r="T262" s="19">
        <f t="shared" si="50"/>
        <v>179</v>
      </c>
      <c r="U262" s="19">
        <f t="shared" si="50"/>
        <v>192</v>
      </c>
      <c r="V262" s="19">
        <f t="shared" si="50"/>
        <v>210</v>
      </c>
      <c r="W262" s="19">
        <f t="shared" si="50"/>
        <v>187</v>
      </c>
      <c r="X262" s="19">
        <f t="shared" si="50"/>
        <v>208</v>
      </c>
      <c r="Y262" s="19">
        <f t="shared" si="50"/>
        <v>195</v>
      </c>
      <c r="Z262" s="19">
        <f t="shared" si="50"/>
        <v>135</v>
      </c>
      <c r="AA262" s="19">
        <f t="shared" si="50"/>
        <v>194</v>
      </c>
      <c r="AB262" s="19">
        <f t="shared" si="50"/>
        <v>170</v>
      </c>
      <c r="AC262" s="19">
        <f t="shared" si="50"/>
        <v>197</v>
      </c>
      <c r="AD262" s="13">
        <f t="shared" ref="AD262:AD264" si="51">SUM(E262:AC262)</f>
        <v>4613</v>
      </c>
    </row>
    <row r="263" ht="12.75" customHeight="1">
      <c r="A263" s="35"/>
      <c r="B263" s="71" t="s">
        <v>194</v>
      </c>
      <c r="C263" s="72" t="s">
        <v>195</v>
      </c>
      <c r="D263" s="16"/>
      <c r="E263" s="19">
        <v>0.0</v>
      </c>
      <c r="F263" s="19">
        <v>14.0</v>
      </c>
      <c r="G263" s="19">
        <v>19.0</v>
      </c>
      <c r="H263" s="19">
        <v>16.0</v>
      </c>
      <c r="I263" s="19">
        <v>20.0</v>
      </c>
      <c r="J263" s="19">
        <v>13.0</v>
      </c>
      <c r="K263" s="19">
        <v>19.0</v>
      </c>
      <c r="L263" s="19">
        <v>19.0</v>
      </c>
      <c r="M263" s="19">
        <v>13.0</v>
      </c>
      <c r="N263" s="19">
        <v>12.0</v>
      </c>
      <c r="O263" s="19">
        <v>15.0</v>
      </c>
      <c r="P263" s="19">
        <v>13.0</v>
      </c>
      <c r="Q263" s="19">
        <v>17.0</v>
      </c>
      <c r="R263" s="19">
        <v>21.0</v>
      </c>
      <c r="S263" s="19">
        <v>18.0</v>
      </c>
      <c r="T263" s="19">
        <v>10.0</v>
      </c>
      <c r="U263" s="19">
        <v>11.0</v>
      </c>
      <c r="V263" s="19">
        <v>17.0</v>
      </c>
      <c r="W263" s="19">
        <v>21.0</v>
      </c>
      <c r="X263" s="19">
        <v>17.0</v>
      </c>
      <c r="Y263" s="19">
        <v>12.0</v>
      </c>
      <c r="Z263" s="19">
        <v>10.0</v>
      </c>
      <c r="AA263" s="19">
        <v>18.0</v>
      </c>
      <c r="AB263" s="19">
        <v>20.0</v>
      </c>
      <c r="AC263" s="19">
        <v>13.0</v>
      </c>
      <c r="AD263" s="13">
        <f t="shared" si="51"/>
        <v>378</v>
      </c>
    </row>
    <row r="264" ht="12.75" customHeight="1">
      <c r="A264" s="41"/>
      <c r="B264" s="71" t="s">
        <v>196</v>
      </c>
      <c r="C264" s="72" t="s">
        <v>197</v>
      </c>
      <c r="D264" s="16"/>
      <c r="E264" s="13">
        <f t="shared" ref="E264:AC264" si="52">SUM(E262:E263)</f>
        <v>228</v>
      </c>
      <c r="F264" s="13">
        <f t="shared" si="52"/>
        <v>199</v>
      </c>
      <c r="G264" s="13">
        <f t="shared" si="52"/>
        <v>204</v>
      </c>
      <c r="H264" s="13">
        <f t="shared" si="52"/>
        <v>189</v>
      </c>
      <c r="I264" s="13">
        <f t="shared" si="52"/>
        <v>223</v>
      </c>
      <c r="J264" s="13">
        <f t="shared" si="52"/>
        <v>189</v>
      </c>
      <c r="K264" s="13">
        <f t="shared" si="52"/>
        <v>190</v>
      </c>
      <c r="L264" s="13">
        <f t="shared" si="52"/>
        <v>216</v>
      </c>
      <c r="M264" s="13">
        <f t="shared" si="52"/>
        <v>177</v>
      </c>
      <c r="N264" s="13">
        <f t="shared" si="52"/>
        <v>203</v>
      </c>
      <c r="O264" s="13">
        <f t="shared" si="52"/>
        <v>197</v>
      </c>
      <c r="P264" s="13">
        <f t="shared" si="52"/>
        <v>203</v>
      </c>
      <c r="Q264" s="13">
        <f t="shared" si="52"/>
        <v>177</v>
      </c>
      <c r="R264" s="13">
        <f t="shared" si="52"/>
        <v>183</v>
      </c>
      <c r="S264" s="13">
        <f t="shared" si="52"/>
        <v>197</v>
      </c>
      <c r="T264" s="13">
        <f t="shared" si="52"/>
        <v>189</v>
      </c>
      <c r="U264" s="13">
        <f t="shared" si="52"/>
        <v>203</v>
      </c>
      <c r="V264" s="13">
        <f t="shared" si="52"/>
        <v>227</v>
      </c>
      <c r="W264" s="13">
        <f t="shared" si="52"/>
        <v>208</v>
      </c>
      <c r="X264" s="13">
        <f t="shared" si="52"/>
        <v>225</v>
      </c>
      <c r="Y264" s="13">
        <f t="shared" si="52"/>
        <v>207</v>
      </c>
      <c r="Z264" s="13">
        <f t="shared" si="52"/>
        <v>145</v>
      </c>
      <c r="AA264" s="13">
        <f t="shared" si="52"/>
        <v>212</v>
      </c>
      <c r="AB264" s="13">
        <f t="shared" si="52"/>
        <v>190</v>
      </c>
      <c r="AC264" s="13">
        <f t="shared" si="52"/>
        <v>210</v>
      </c>
      <c r="AD264" s="13">
        <f t="shared" si="51"/>
        <v>4991</v>
      </c>
    </row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93">
    <mergeCell ref="B55:D55"/>
    <mergeCell ref="A56:E56"/>
    <mergeCell ref="C57:D57"/>
    <mergeCell ref="B67:D67"/>
    <mergeCell ref="A68:E68"/>
    <mergeCell ref="C69:D69"/>
    <mergeCell ref="B79:D79"/>
    <mergeCell ref="A80:E80"/>
    <mergeCell ref="C81:D81"/>
    <mergeCell ref="B91:D91"/>
    <mergeCell ref="A92:E92"/>
    <mergeCell ref="C93:D93"/>
    <mergeCell ref="B103:D103"/>
    <mergeCell ref="A104:E104"/>
    <mergeCell ref="B127:D127"/>
    <mergeCell ref="A128:E128"/>
    <mergeCell ref="C129:D129"/>
    <mergeCell ref="B139:D139"/>
    <mergeCell ref="A140:E140"/>
    <mergeCell ref="C141:D141"/>
    <mergeCell ref="B151:D151"/>
    <mergeCell ref="A152:E152"/>
    <mergeCell ref="C153:D153"/>
    <mergeCell ref="B163:D163"/>
    <mergeCell ref="A164:E164"/>
    <mergeCell ref="C165:D165"/>
    <mergeCell ref="B175:D175"/>
    <mergeCell ref="A176:E176"/>
    <mergeCell ref="C177:D177"/>
    <mergeCell ref="B187:D187"/>
    <mergeCell ref="A188:E188"/>
    <mergeCell ref="C189:D189"/>
    <mergeCell ref="B199:D199"/>
    <mergeCell ref="A200:E200"/>
    <mergeCell ref="C201:D201"/>
    <mergeCell ref="B211:D211"/>
    <mergeCell ref="A212:E212"/>
    <mergeCell ref="C213:D213"/>
    <mergeCell ref="B223:D223"/>
    <mergeCell ref="A224:E224"/>
    <mergeCell ref="C225:D225"/>
    <mergeCell ref="B235:D235"/>
    <mergeCell ref="C262:D262"/>
    <mergeCell ref="C263:D263"/>
    <mergeCell ref="C264:D264"/>
    <mergeCell ref="A236:E236"/>
    <mergeCell ref="C237:D237"/>
    <mergeCell ref="B247:D247"/>
    <mergeCell ref="A248:E248"/>
    <mergeCell ref="C249:D249"/>
    <mergeCell ref="B259:D259"/>
    <mergeCell ref="B261:D261"/>
    <mergeCell ref="B12:D12"/>
    <mergeCell ref="E12:AC12"/>
    <mergeCell ref="AD12:AD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B38:D38"/>
    <mergeCell ref="B39:C41"/>
    <mergeCell ref="A42:D42"/>
    <mergeCell ref="E42:I42"/>
    <mergeCell ref="B43:D43"/>
    <mergeCell ref="A44:D44"/>
    <mergeCell ref="C45:D45"/>
    <mergeCell ref="C46:D46"/>
    <mergeCell ref="C47:D47"/>
    <mergeCell ref="C48:D48"/>
    <mergeCell ref="C49:D49"/>
    <mergeCell ref="C50:D50"/>
    <mergeCell ref="C51:D51"/>
    <mergeCell ref="C52:D52"/>
    <mergeCell ref="C105:D105"/>
    <mergeCell ref="B115:D115"/>
    <mergeCell ref="A116:E116"/>
    <mergeCell ref="C117:D117"/>
  </mergeCells>
  <conditionalFormatting sqref="E34:T34 Y34:AC34">
    <cfRule type="expression" dxfId="0" priority="1">
      <formula>E34&lt;&gt;E64</formula>
    </cfRule>
  </conditionalFormatting>
  <conditionalFormatting sqref="E14:AC15">
    <cfRule type="containsBlanks" dxfId="1" priority="2">
      <formula>LEN(TRIM(E14))=0</formula>
    </cfRule>
  </conditionalFormatting>
  <conditionalFormatting sqref="E19:AC20">
    <cfRule type="containsBlanks" dxfId="1" priority="3">
      <formula>LEN(TRIM(E19))=0</formula>
    </cfRule>
  </conditionalFormatting>
  <conditionalFormatting sqref="E22:AC23 E25:AC26 E33:AC33 E35:AC35 E39:AC40">
    <cfRule type="containsBlanks" dxfId="1" priority="4">
      <formula>LEN(TRIM(E22))=0</formula>
    </cfRule>
  </conditionalFormatting>
  <conditionalFormatting sqref="E30:AC30">
    <cfRule type="expression" dxfId="0" priority="5">
      <formula>E30&lt;&gt;E47</formula>
    </cfRule>
  </conditionalFormatting>
  <conditionalFormatting sqref="E30:AC30">
    <cfRule type="expression" dxfId="0" priority="6">
      <formula>E30&lt;&gt;E34</formula>
    </cfRule>
  </conditionalFormatting>
  <conditionalFormatting sqref="E34:AC34">
    <cfRule type="expression" dxfId="2" priority="7">
      <formula>E30&lt;&gt;E34</formula>
    </cfRule>
  </conditionalFormatting>
  <conditionalFormatting sqref="E34:AC34">
    <cfRule type="expression" dxfId="3" priority="8">
      <formula>E30=E34</formula>
    </cfRule>
  </conditionalFormatting>
  <conditionalFormatting sqref="E34:AC34">
    <cfRule type="expression" dxfId="0" priority="9">
      <formula>E34&lt;&gt;E30</formula>
    </cfRule>
  </conditionalFormatting>
  <conditionalFormatting sqref="E45:AC54">
    <cfRule type="containsBlanks" dxfId="1" priority="10">
      <formula>LEN(TRIM(E45))=0</formula>
    </cfRule>
  </conditionalFormatting>
  <conditionalFormatting sqref="E57:AC66">
    <cfRule type="containsBlanks" dxfId="1" priority="11">
      <formula>LEN(TRIM(E57))=0</formula>
    </cfRule>
  </conditionalFormatting>
  <conditionalFormatting sqref="E69:AC78">
    <cfRule type="containsBlanks" dxfId="1" priority="12">
      <formula>LEN(TRIM(E69))=0</formula>
    </cfRule>
  </conditionalFormatting>
  <conditionalFormatting sqref="E81:AC90">
    <cfRule type="containsBlanks" dxfId="1" priority="13">
      <formula>LEN(TRIM(E81))=0</formula>
    </cfRule>
  </conditionalFormatting>
  <conditionalFormatting sqref="E93:AC102">
    <cfRule type="containsBlanks" dxfId="1" priority="14">
      <formula>LEN(TRIM(E93))=0</formula>
    </cfRule>
  </conditionalFormatting>
  <conditionalFormatting sqref="E105:AC114">
    <cfRule type="containsBlanks" dxfId="1" priority="15">
      <formula>LEN(TRIM(E105))=0</formula>
    </cfRule>
  </conditionalFormatting>
  <conditionalFormatting sqref="E117:AC126">
    <cfRule type="containsBlanks" dxfId="1" priority="16">
      <formula>LEN(TRIM(E117))=0</formula>
    </cfRule>
  </conditionalFormatting>
  <conditionalFormatting sqref="E129:AC138">
    <cfRule type="containsBlanks" dxfId="1" priority="17">
      <formula>LEN(TRIM(E129))=0</formula>
    </cfRule>
  </conditionalFormatting>
  <conditionalFormatting sqref="E141:AC150">
    <cfRule type="containsBlanks" dxfId="1" priority="18">
      <formula>LEN(TRIM(E141))=0</formula>
    </cfRule>
  </conditionalFormatting>
  <conditionalFormatting sqref="E153:AC162">
    <cfRule type="containsBlanks" dxfId="1" priority="19">
      <formula>LEN(TRIM(E153))=0</formula>
    </cfRule>
  </conditionalFormatting>
  <conditionalFormatting sqref="E165:AC174">
    <cfRule type="containsBlanks" dxfId="1" priority="20">
      <formula>LEN(TRIM(E165))=0</formula>
    </cfRule>
  </conditionalFormatting>
  <conditionalFormatting sqref="E177:AC186">
    <cfRule type="containsBlanks" dxfId="1" priority="21">
      <formula>LEN(TRIM(E177))=0</formula>
    </cfRule>
  </conditionalFormatting>
  <conditionalFormatting sqref="E189:AC198">
    <cfRule type="containsBlanks" dxfId="1" priority="22">
      <formula>LEN(TRIM(E189))=0</formula>
    </cfRule>
  </conditionalFormatting>
  <conditionalFormatting sqref="E201:AC210">
    <cfRule type="containsBlanks" dxfId="1" priority="23">
      <formula>LEN(TRIM(E201))=0</formula>
    </cfRule>
  </conditionalFormatting>
  <conditionalFormatting sqref="E213:AC222">
    <cfRule type="containsBlanks" dxfId="1" priority="24">
      <formula>LEN(TRIM(E213))=0</formula>
    </cfRule>
  </conditionalFormatting>
  <conditionalFormatting sqref="E225:AC234">
    <cfRule type="containsBlanks" dxfId="1" priority="25">
      <formula>LEN(TRIM(E225))=0</formula>
    </cfRule>
  </conditionalFormatting>
  <conditionalFormatting sqref="E237:AC246">
    <cfRule type="containsBlanks" dxfId="1" priority="26">
      <formula>LEN(TRIM(E237))=0</formula>
    </cfRule>
  </conditionalFormatting>
  <conditionalFormatting sqref="E249:AC258">
    <cfRule type="containsBlanks" dxfId="1" priority="27">
      <formula>LEN(TRIM(E249))=0</formula>
    </cfRule>
  </conditionalFormatting>
  <conditionalFormatting sqref="E262:AC263">
    <cfRule type="containsBlanks" dxfId="1" priority="28">
      <formula>LEN(TRIM(E262))=0</formula>
    </cfRule>
  </conditionalFormatting>
  <conditionalFormatting sqref="U34:X34">
    <cfRule type="expression" dxfId="0" priority="29">
      <formula>U34&lt;&gt;U47</formula>
    </cfRule>
  </conditionalFormatting>
  <printOptions/>
  <pageMargins bottom="0.75" footer="0.0" header="0.0" left="0.7" right="0.7" top="0.75"/>
  <pageSetup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24" width="8.71"/>
    <col customWidth="1" min="25" max="25" width="13.29"/>
    <col customWidth="1" min="26" max="26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198</v>
      </c>
      <c r="D9" s="8" t="s">
        <v>239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75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200</v>
      </c>
      <c r="F13" s="13" t="s">
        <v>201</v>
      </c>
      <c r="G13" s="13" t="s">
        <v>202</v>
      </c>
      <c r="H13" s="13" t="s">
        <v>203</v>
      </c>
      <c r="I13" s="13" t="s">
        <v>204</v>
      </c>
      <c r="J13" s="13" t="s">
        <v>205</v>
      </c>
      <c r="K13" s="13" t="s">
        <v>206</v>
      </c>
      <c r="L13" s="13" t="s">
        <v>207</v>
      </c>
      <c r="M13" s="13" t="s">
        <v>208</v>
      </c>
      <c r="N13" s="13" t="s">
        <v>209</v>
      </c>
      <c r="O13" s="13" t="s">
        <v>210</v>
      </c>
      <c r="P13" s="13" t="s">
        <v>211</v>
      </c>
      <c r="Q13" s="13" t="s">
        <v>212</v>
      </c>
      <c r="R13" s="13" t="s">
        <v>213</v>
      </c>
      <c r="S13" s="13" t="s">
        <v>214</v>
      </c>
      <c r="T13" s="13" t="s">
        <v>215</v>
      </c>
      <c r="U13" s="13" t="s">
        <v>216</v>
      </c>
      <c r="V13" s="13" t="s">
        <v>217</v>
      </c>
      <c r="W13" s="13" t="s">
        <v>219</v>
      </c>
      <c r="X13" s="13" t="s">
        <v>220</v>
      </c>
      <c r="Y13" s="36"/>
    </row>
    <row r="14" ht="12.75" customHeight="1">
      <c r="A14" s="18"/>
      <c r="B14" s="22" t="s">
        <v>11</v>
      </c>
      <c r="C14" s="23"/>
      <c r="D14" s="19" t="s">
        <v>12</v>
      </c>
      <c r="E14" s="19">
        <v>115.0</v>
      </c>
      <c r="F14" s="19">
        <v>120.0</v>
      </c>
      <c r="G14" s="19">
        <v>132.0</v>
      </c>
      <c r="H14" s="19">
        <v>144.0</v>
      </c>
      <c r="I14" s="19">
        <v>136.0</v>
      </c>
      <c r="J14" s="19">
        <v>136.0</v>
      </c>
      <c r="K14" s="19">
        <v>143.0</v>
      </c>
      <c r="L14" s="19">
        <v>95.0</v>
      </c>
      <c r="M14" s="19">
        <v>108.0</v>
      </c>
      <c r="N14" s="19">
        <v>143.0</v>
      </c>
      <c r="O14" s="19">
        <v>135.0</v>
      </c>
      <c r="P14" s="19">
        <v>150.0</v>
      </c>
      <c r="Q14" s="19">
        <v>145.0</v>
      </c>
      <c r="R14" s="19">
        <v>131.0</v>
      </c>
      <c r="S14" s="19">
        <v>143.0</v>
      </c>
      <c r="T14" s="19">
        <v>136.0</v>
      </c>
      <c r="U14" s="19">
        <v>151.0</v>
      </c>
      <c r="V14" s="19">
        <v>134.0</v>
      </c>
      <c r="W14" s="19">
        <v>143.0</v>
      </c>
      <c r="X14" s="19">
        <v>110.0</v>
      </c>
      <c r="Y14" s="13">
        <f t="shared" ref="Y14:Y16" si="1">SUM(E14:X14)</f>
        <v>2650</v>
      </c>
    </row>
    <row r="15" ht="12.75" customHeight="1">
      <c r="A15" s="18"/>
      <c r="B15" s="26"/>
      <c r="C15" s="27"/>
      <c r="D15" s="19" t="s">
        <v>13</v>
      </c>
      <c r="E15" s="19">
        <v>117.0</v>
      </c>
      <c r="F15" s="19">
        <v>129.0</v>
      </c>
      <c r="G15" s="19">
        <v>134.0</v>
      </c>
      <c r="H15" s="19">
        <v>145.0</v>
      </c>
      <c r="I15" s="19">
        <v>146.0</v>
      </c>
      <c r="J15" s="19">
        <v>151.0</v>
      </c>
      <c r="K15" s="19">
        <v>141.0</v>
      </c>
      <c r="L15" s="19">
        <v>106.0</v>
      </c>
      <c r="M15" s="19">
        <v>115.0</v>
      </c>
      <c r="N15" s="19">
        <v>151.0</v>
      </c>
      <c r="O15" s="19">
        <v>150.0</v>
      </c>
      <c r="P15" s="19">
        <v>139.0</v>
      </c>
      <c r="Q15" s="19">
        <v>146.0</v>
      </c>
      <c r="R15" s="19">
        <v>144.0</v>
      </c>
      <c r="S15" s="19">
        <v>152.0</v>
      </c>
      <c r="T15" s="19">
        <v>152.0</v>
      </c>
      <c r="U15" s="19">
        <v>133.0</v>
      </c>
      <c r="V15" s="19">
        <v>137.0</v>
      </c>
      <c r="W15" s="19">
        <v>151.0</v>
      </c>
      <c r="X15" s="19">
        <v>111.0</v>
      </c>
      <c r="Y15" s="13">
        <f t="shared" si="1"/>
        <v>2750</v>
      </c>
    </row>
    <row r="16" ht="12.75" customHeight="1">
      <c r="A16" s="25"/>
      <c r="B16" s="21"/>
      <c r="C16" s="28"/>
      <c r="D16" s="13" t="s">
        <v>14</v>
      </c>
      <c r="E16" s="13">
        <f t="shared" ref="E16:X16" si="2">SUM(E14:E15)</f>
        <v>232</v>
      </c>
      <c r="F16" s="13">
        <f t="shared" si="2"/>
        <v>249</v>
      </c>
      <c r="G16" s="13">
        <f t="shared" si="2"/>
        <v>266</v>
      </c>
      <c r="H16" s="13">
        <f t="shared" si="2"/>
        <v>289</v>
      </c>
      <c r="I16" s="13">
        <f t="shared" si="2"/>
        <v>282</v>
      </c>
      <c r="J16" s="13">
        <f t="shared" si="2"/>
        <v>287</v>
      </c>
      <c r="K16" s="13">
        <f t="shared" si="2"/>
        <v>284</v>
      </c>
      <c r="L16" s="13">
        <f t="shared" si="2"/>
        <v>201</v>
      </c>
      <c r="M16" s="13">
        <f t="shared" si="2"/>
        <v>223</v>
      </c>
      <c r="N16" s="13">
        <f t="shared" si="2"/>
        <v>294</v>
      </c>
      <c r="O16" s="13">
        <f t="shared" si="2"/>
        <v>285</v>
      </c>
      <c r="P16" s="13">
        <f t="shared" si="2"/>
        <v>289</v>
      </c>
      <c r="Q16" s="13">
        <f t="shared" si="2"/>
        <v>291</v>
      </c>
      <c r="R16" s="13">
        <f t="shared" si="2"/>
        <v>275</v>
      </c>
      <c r="S16" s="13">
        <f t="shared" si="2"/>
        <v>295</v>
      </c>
      <c r="T16" s="13">
        <f t="shared" si="2"/>
        <v>288</v>
      </c>
      <c r="U16" s="13">
        <f t="shared" si="2"/>
        <v>284</v>
      </c>
      <c r="V16" s="13">
        <f t="shared" si="2"/>
        <v>271</v>
      </c>
      <c r="W16" s="13">
        <f t="shared" si="2"/>
        <v>294</v>
      </c>
      <c r="X16" s="13">
        <f t="shared" si="2"/>
        <v>221</v>
      </c>
      <c r="Y16" s="13">
        <f t="shared" si="1"/>
        <v>5400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76"/>
      <c r="O17" s="76"/>
      <c r="P17" s="76"/>
      <c r="Q17" s="76"/>
      <c r="R17" s="76"/>
      <c r="S17" s="76"/>
      <c r="T17" s="76"/>
      <c r="U17" s="76"/>
      <c r="V17" s="76"/>
      <c r="W17" s="76"/>
      <c r="X17" s="76"/>
      <c r="Y17" s="77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76"/>
      <c r="O18" s="76"/>
      <c r="P18" s="76"/>
      <c r="Q18" s="76"/>
      <c r="R18" s="76"/>
      <c r="S18" s="76"/>
      <c r="T18" s="76"/>
      <c r="U18" s="76"/>
      <c r="V18" s="76"/>
      <c r="W18" s="76"/>
      <c r="X18" s="76"/>
      <c r="Y18" s="77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19">
        <v>97.0</v>
      </c>
      <c r="F19" s="19">
        <v>92.0</v>
      </c>
      <c r="G19" s="19">
        <v>100.0</v>
      </c>
      <c r="H19" s="19">
        <v>122.0</v>
      </c>
      <c r="I19" s="19">
        <v>119.0</v>
      </c>
      <c r="J19" s="19">
        <v>110.0</v>
      </c>
      <c r="K19" s="19">
        <v>112.0</v>
      </c>
      <c r="L19" s="19">
        <v>86.0</v>
      </c>
      <c r="M19" s="19">
        <v>92.0</v>
      </c>
      <c r="N19" s="19">
        <v>117.0</v>
      </c>
      <c r="O19" s="19">
        <v>119.0</v>
      </c>
      <c r="P19" s="19">
        <v>111.0</v>
      </c>
      <c r="Q19" s="19">
        <v>110.0</v>
      </c>
      <c r="R19" s="19">
        <v>106.0</v>
      </c>
      <c r="S19" s="19">
        <v>115.0</v>
      </c>
      <c r="T19" s="19">
        <v>106.0</v>
      </c>
      <c r="U19" s="19">
        <v>122.0</v>
      </c>
      <c r="V19" s="19">
        <v>108.0</v>
      </c>
      <c r="W19" s="19">
        <v>124.0</v>
      </c>
      <c r="X19" s="19">
        <v>101.0</v>
      </c>
      <c r="Y19" s="13">
        <f t="shared" ref="Y19:Y30" si="3">SUM(E19:X19)</f>
        <v>2169</v>
      </c>
    </row>
    <row r="20" ht="12.75" customHeight="1">
      <c r="A20" s="33"/>
      <c r="B20" s="27"/>
      <c r="C20" s="34"/>
      <c r="D20" s="19" t="s">
        <v>13</v>
      </c>
      <c r="E20" s="19">
        <v>100.0</v>
      </c>
      <c r="F20" s="19">
        <v>110.0</v>
      </c>
      <c r="G20" s="19">
        <v>121.0</v>
      </c>
      <c r="H20" s="19">
        <v>129.0</v>
      </c>
      <c r="I20" s="19">
        <v>132.0</v>
      </c>
      <c r="J20" s="19">
        <v>117.0</v>
      </c>
      <c r="K20" s="19">
        <v>107.0</v>
      </c>
      <c r="L20" s="19">
        <v>92.0</v>
      </c>
      <c r="M20" s="19">
        <v>95.0</v>
      </c>
      <c r="N20" s="19">
        <v>127.0</v>
      </c>
      <c r="O20" s="19">
        <v>118.0</v>
      </c>
      <c r="P20" s="19">
        <v>115.0</v>
      </c>
      <c r="Q20" s="19">
        <v>107.0</v>
      </c>
      <c r="R20" s="19">
        <v>126.0</v>
      </c>
      <c r="S20" s="19">
        <v>124.0</v>
      </c>
      <c r="T20" s="19">
        <v>124.0</v>
      </c>
      <c r="U20" s="19">
        <v>119.0</v>
      </c>
      <c r="V20" s="19">
        <v>107.0</v>
      </c>
      <c r="W20" s="19">
        <v>137.0</v>
      </c>
      <c r="X20" s="19">
        <v>100.0</v>
      </c>
      <c r="Y20" s="13">
        <f t="shared" si="3"/>
        <v>2307</v>
      </c>
    </row>
    <row r="21" ht="12.75" customHeight="1">
      <c r="A21" s="35"/>
      <c r="B21" s="28"/>
      <c r="C21" s="36"/>
      <c r="D21" s="13" t="s">
        <v>14</v>
      </c>
      <c r="E21" s="13">
        <f t="shared" ref="E21:X21" si="4">SUM(E19:E20)</f>
        <v>197</v>
      </c>
      <c r="F21" s="13">
        <f t="shared" si="4"/>
        <v>202</v>
      </c>
      <c r="G21" s="13">
        <f t="shared" si="4"/>
        <v>221</v>
      </c>
      <c r="H21" s="13">
        <f t="shared" si="4"/>
        <v>251</v>
      </c>
      <c r="I21" s="13">
        <f t="shared" si="4"/>
        <v>251</v>
      </c>
      <c r="J21" s="13">
        <f t="shared" si="4"/>
        <v>227</v>
      </c>
      <c r="K21" s="13">
        <f t="shared" si="4"/>
        <v>219</v>
      </c>
      <c r="L21" s="13">
        <f t="shared" si="4"/>
        <v>178</v>
      </c>
      <c r="M21" s="13">
        <f t="shared" si="4"/>
        <v>187</v>
      </c>
      <c r="N21" s="13">
        <f t="shared" si="4"/>
        <v>244</v>
      </c>
      <c r="O21" s="13">
        <f t="shared" si="4"/>
        <v>237</v>
      </c>
      <c r="P21" s="13">
        <f t="shared" si="4"/>
        <v>226</v>
      </c>
      <c r="Q21" s="13">
        <f t="shared" si="4"/>
        <v>217</v>
      </c>
      <c r="R21" s="13">
        <f t="shared" si="4"/>
        <v>232</v>
      </c>
      <c r="S21" s="13">
        <f t="shared" si="4"/>
        <v>239</v>
      </c>
      <c r="T21" s="13">
        <f t="shared" si="4"/>
        <v>230</v>
      </c>
      <c r="U21" s="13">
        <f t="shared" si="4"/>
        <v>241</v>
      </c>
      <c r="V21" s="13">
        <f t="shared" si="4"/>
        <v>215</v>
      </c>
      <c r="W21" s="13">
        <f t="shared" si="4"/>
        <v>261</v>
      </c>
      <c r="X21" s="13">
        <f t="shared" si="4"/>
        <v>201</v>
      </c>
      <c r="Y21" s="13">
        <f t="shared" si="3"/>
        <v>4476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19">
        <v>0.0</v>
      </c>
      <c r="F22" s="19">
        <v>1.0</v>
      </c>
      <c r="G22" s="19">
        <v>1.0</v>
      </c>
      <c r="H22" s="19">
        <v>0.0</v>
      </c>
      <c r="I22" s="19">
        <v>0.0</v>
      </c>
      <c r="J22" s="19">
        <v>0.0</v>
      </c>
      <c r="K22" s="19">
        <v>0.0</v>
      </c>
      <c r="L22" s="19">
        <v>0.0</v>
      </c>
      <c r="M22" s="19">
        <v>0.0</v>
      </c>
      <c r="N22" s="19">
        <v>0.0</v>
      </c>
      <c r="O22" s="19">
        <v>0.0</v>
      </c>
      <c r="P22" s="19">
        <v>0.0</v>
      </c>
      <c r="Q22" s="19">
        <v>0.0</v>
      </c>
      <c r="R22" s="19">
        <v>0.0</v>
      </c>
      <c r="S22" s="19">
        <v>0.0</v>
      </c>
      <c r="T22" s="19">
        <v>0.0</v>
      </c>
      <c r="U22" s="19">
        <v>0.0</v>
      </c>
      <c r="V22" s="19">
        <v>1.0</v>
      </c>
      <c r="W22" s="19">
        <v>0.0</v>
      </c>
      <c r="X22" s="19">
        <v>0.0</v>
      </c>
      <c r="Y22" s="13">
        <f t="shared" si="3"/>
        <v>3</v>
      </c>
    </row>
    <row r="23" ht="12.75" customHeight="1">
      <c r="A23" s="33"/>
      <c r="B23" s="27"/>
      <c r="C23" s="34"/>
      <c r="D23" s="19" t="s">
        <v>13</v>
      </c>
      <c r="E23" s="19">
        <v>0.0</v>
      </c>
      <c r="F23" s="19">
        <v>0.0</v>
      </c>
      <c r="G23" s="19">
        <v>0.0</v>
      </c>
      <c r="H23" s="19">
        <v>0.0</v>
      </c>
      <c r="I23" s="19">
        <v>0.0</v>
      </c>
      <c r="J23" s="19">
        <v>0.0</v>
      </c>
      <c r="K23" s="19">
        <v>0.0</v>
      </c>
      <c r="L23" s="19">
        <v>0.0</v>
      </c>
      <c r="M23" s="19">
        <v>0.0</v>
      </c>
      <c r="N23" s="19">
        <v>0.0</v>
      </c>
      <c r="O23" s="19">
        <v>0.0</v>
      </c>
      <c r="P23" s="19">
        <v>0.0</v>
      </c>
      <c r="Q23" s="19">
        <v>0.0</v>
      </c>
      <c r="R23" s="19">
        <v>0.0</v>
      </c>
      <c r="S23" s="19">
        <v>0.0</v>
      </c>
      <c r="T23" s="19">
        <v>0.0</v>
      </c>
      <c r="U23" s="19">
        <v>0.0</v>
      </c>
      <c r="V23" s="19">
        <v>0.0</v>
      </c>
      <c r="W23" s="19">
        <v>0.0</v>
      </c>
      <c r="X23" s="19">
        <v>0.0</v>
      </c>
      <c r="Y23" s="13">
        <f t="shared" si="3"/>
        <v>0</v>
      </c>
    </row>
    <row r="24" ht="12.75" customHeight="1">
      <c r="A24" s="35"/>
      <c r="B24" s="28"/>
      <c r="C24" s="36"/>
      <c r="D24" s="13" t="s">
        <v>14</v>
      </c>
      <c r="E24" s="13">
        <f t="shared" ref="E24:X24" si="5">SUM(E22:E23)</f>
        <v>0</v>
      </c>
      <c r="F24" s="13">
        <f t="shared" si="5"/>
        <v>1</v>
      </c>
      <c r="G24" s="13">
        <f t="shared" si="5"/>
        <v>1</v>
      </c>
      <c r="H24" s="13">
        <f t="shared" si="5"/>
        <v>0</v>
      </c>
      <c r="I24" s="13">
        <f t="shared" si="5"/>
        <v>0</v>
      </c>
      <c r="J24" s="13">
        <f t="shared" si="5"/>
        <v>0</v>
      </c>
      <c r="K24" s="13">
        <f t="shared" si="5"/>
        <v>0</v>
      </c>
      <c r="L24" s="13">
        <f t="shared" si="5"/>
        <v>0</v>
      </c>
      <c r="M24" s="13">
        <f t="shared" si="5"/>
        <v>0</v>
      </c>
      <c r="N24" s="13">
        <f t="shared" si="5"/>
        <v>0</v>
      </c>
      <c r="O24" s="13">
        <f t="shared" si="5"/>
        <v>0</v>
      </c>
      <c r="P24" s="13">
        <f t="shared" si="5"/>
        <v>0</v>
      </c>
      <c r="Q24" s="13">
        <f t="shared" si="5"/>
        <v>0</v>
      </c>
      <c r="R24" s="13">
        <f t="shared" si="5"/>
        <v>0</v>
      </c>
      <c r="S24" s="13">
        <f t="shared" si="5"/>
        <v>0</v>
      </c>
      <c r="T24" s="13">
        <f t="shared" si="5"/>
        <v>0</v>
      </c>
      <c r="U24" s="13">
        <f t="shared" si="5"/>
        <v>0</v>
      </c>
      <c r="V24" s="13">
        <f t="shared" si="5"/>
        <v>1</v>
      </c>
      <c r="W24" s="13">
        <f t="shared" si="5"/>
        <v>0</v>
      </c>
      <c r="X24" s="13">
        <f t="shared" si="5"/>
        <v>0</v>
      </c>
      <c r="Y24" s="13">
        <f t="shared" si="3"/>
        <v>3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19">
        <v>1.0</v>
      </c>
      <c r="F25" s="19">
        <v>3.0</v>
      </c>
      <c r="G25" s="19">
        <v>0.0</v>
      </c>
      <c r="H25" s="19">
        <v>0.0</v>
      </c>
      <c r="I25" s="19">
        <v>0.0</v>
      </c>
      <c r="J25" s="19">
        <v>0.0</v>
      </c>
      <c r="K25" s="19">
        <v>0.0</v>
      </c>
      <c r="L25" s="19">
        <v>0.0</v>
      </c>
      <c r="M25" s="19">
        <v>0.0</v>
      </c>
      <c r="N25" s="19">
        <v>0.0</v>
      </c>
      <c r="O25" s="19">
        <v>0.0</v>
      </c>
      <c r="P25" s="19">
        <v>0.0</v>
      </c>
      <c r="Q25" s="19">
        <v>11.0</v>
      </c>
      <c r="R25" s="19">
        <v>0.0</v>
      </c>
      <c r="S25" s="19">
        <v>0.0</v>
      </c>
      <c r="T25" s="19">
        <v>0.0</v>
      </c>
      <c r="U25" s="19">
        <v>0.0</v>
      </c>
      <c r="V25" s="19">
        <v>0.0</v>
      </c>
      <c r="W25" s="19">
        <v>0.0</v>
      </c>
      <c r="X25" s="19">
        <v>0.0</v>
      </c>
      <c r="Y25" s="13">
        <f t="shared" si="3"/>
        <v>15</v>
      </c>
    </row>
    <row r="26" ht="12.75" customHeight="1">
      <c r="A26" s="33"/>
      <c r="B26" s="27"/>
      <c r="C26" s="34"/>
      <c r="D26" s="19" t="s">
        <v>13</v>
      </c>
      <c r="E26" s="19">
        <v>0.0</v>
      </c>
      <c r="F26" s="19">
        <v>2.0</v>
      </c>
      <c r="G26" s="19">
        <v>0.0</v>
      </c>
      <c r="H26" s="19">
        <v>0.0</v>
      </c>
      <c r="I26" s="19">
        <v>0.0</v>
      </c>
      <c r="J26" s="19">
        <v>0.0</v>
      </c>
      <c r="K26" s="19">
        <v>0.0</v>
      </c>
      <c r="L26" s="19">
        <v>0.0</v>
      </c>
      <c r="M26" s="19">
        <v>0.0</v>
      </c>
      <c r="N26" s="19">
        <v>0.0</v>
      </c>
      <c r="O26" s="19">
        <v>0.0</v>
      </c>
      <c r="P26" s="19">
        <v>0.0</v>
      </c>
      <c r="Q26" s="19">
        <v>9.0</v>
      </c>
      <c r="R26" s="19">
        <v>0.0</v>
      </c>
      <c r="S26" s="19">
        <v>0.0</v>
      </c>
      <c r="T26" s="19">
        <v>0.0</v>
      </c>
      <c r="U26" s="19">
        <v>1.0</v>
      </c>
      <c r="V26" s="19">
        <v>0.0</v>
      </c>
      <c r="W26" s="19">
        <v>0.0</v>
      </c>
      <c r="X26" s="19">
        <v>0.0</v>
      </c>
      <c r="Y26" s="13">
        <f t="shared" si="3"/>
        <v>12</v>
      </c>
    </row>
    <row r="27" ht="12.75" customHeight="1">
      <c r="A27" s="35"/>
      <c r="B27" s="28"/>
      <c r="C27" s="36"/>
      <c r="D27" s="13" t="s">
        <v>14</v>
      </c>
      <c r="E27" s="13">
        <f t="shared" ref="E27:X27" si="6">SUM(E25:E26)</f>
        <v>1</v>
      </c>
      <c r="F27" s="13">
        <f t="shared" si="6"/>
        <v>5</v>
      </c>
      <c r="G27" s="13">
        <f t="shared" si="6"/>
        <v>0</v>
      </c>
      <c r="H27" s="13">
        <f t="shared" si="6"/>
        <v>0</v>
      </c>
      <c r="I27" s="13">
        <f t="shared" si="6"/>
        <v>0</v>
      </c>
      <c r="J27" s="13">
        <f t="shared" si="6"/>
        <v>0</v>
      </c>
      <c r="K27" s="13">
        <f t="shared" si="6"/>
        <v>0</v>
      </c>
      <c r="L27" s="13">
        <f t="shared" si="6"/>
        <v>0</v>
      </c>
      <c r="M27" s="13">
        <f t="shared" si="6"/>
        <v>0</v>
      </c>
      <c r="N27" s="13">
        <f t="shared" si="6"/>
        <v>0</v>
      </c>
      <c r="O27" s="13">
        <f t="shared" si="6"/>
        <v>0</v>
      </c>
      <c r="P27" s="13">
        <f t="shared" si="6"/>
        <v>0</v>
      </c>
      <c r="Q27" s="13">
        <f t="shared" si="6"/>
        <v>20</v>
      </c>
      <c r="R27" s="13">
        <f t="shared" si="6"/>
        <v>0</v>
      </c>
      <c r="S27" s="13">
        <f t="shared" si="6"/>
        <v>0</v>
      </c>
      <c r="T27" s="13">
        <f t="shared" si="6"/>
        <v>0</v>
      </c>
      <c r="U27" s="13">
        <f t="shared" si="6"/>
        <v>1</v>
      </c>
      <c r="V27" s="13">
        <f t="shared" si="6"/>
        <v>0</v>
      </c>
      <c r="W27" s="13">
        <f t="shared" si="6"/>
        <v>0</v>
      </c>
      <c r="X27" s="13">
        <f t="shared" si="6"/>
        <v>0</v>
      </c>
      <c r="Y27" s="13">
        <f t="shared" si="3"/>
        <v>27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X28" si="7">SUM(E19,E22,E25)</f>
        <v>98</v>
      </c>
      <c r="F28" s="13">
        <f t="shared" si="7"/>
        <v>96</v>
      </c>
      <c r="G28" s="13">
        <f t="shared" si="7"/>
        <v>101</v>
      </c>
      <c r="H28" s="13">
        <f t="shared" si="7"/>
        <v>122</v>
      </c>
      <c r="I28" s="13">
        <f t="shared" si="7"/>
        <v>119</v>
      </c>
      <c r="J28" s="13">
        <f t="shared" si="7"/>
        <v>110</v>
      </c>
      <c r="K28" s="13">
        <f t="shared" si="7"/>
        <v>112</v>
      </c>
      <c r="L28" s="13">
        <f t="shared" si="7"/>
        <v>86</v>
      </c>
      <c r="M28" s="13">
        <f t="shared" si="7"/>
        <v>92</v>
      </c>
      <c r="N28" s="13">
        <f t="shared" si="7"/>
        <v>117</v>
      </c>
      <c r="O28" s="13">
        <f t="shared" si="7"/>
        <v>119</v>
      </c>
      <c r="P28" s="13">
        <f t="shared" si="7"/>
        <v>111</v>
      </c>
      <c r="Q28" s="13">
        <f t="shared" si="7"/>
        <v>121</v>
      </c>
      <c r="R28" s="13">
        <f t="shared" si="7"/>
        <v>106</v>
      </c>
      <c r="S28" s="13">
        <f t="shared" si="7"/>
        <v>115</v>
      </c>
      <c r="T28" s="13">
        <f t="shared" si="7"/>
        <v>106</v>
      </c>
      <c r="U28" s="13">
        <f t="shared" si="7"/>
        <v>122</v>
      </c>
      <c r="V28" s="13">
        <f t="shared" si="7"/>
        <v>109</v>
      </c>
      <c r="W28" s="13">
        <f t="shared" si="7"/>
        <v>124</v>
      </c>
      <c r="X28" s="13">
        <f t="shared" si="7"/>
        <v>101</v>
      </c>
      <c r="Y28" s="13">
        <f t="shared" si="3"/>
        <v>2187</v>
      </c>
    </row>
    <row r="29" ht="12.75" customHeight="1">
      <c r="A29" s="35"/>
      <c r="B29" s="27"/>
      <c r="C29" s="34"/>
      <c r="D29" s="13" t="s">
        <v>13</v>
      </c>
      <c r="E29" s="13">
        <f t="shared" ref="E29:X29" si="8">SUM(E20,E23,E26)</f>
        <v>100</v>
      </c>
      <c r="F29" s="13">
        <f t="shared" si="8"/>
        <v>112</v>
      </c>
      <c r="G29" s="13">
        <f t="shared" si="8"/>
        <v>121</v>
      </c>
      <c r="H29" s="13">
        <f t="shared" si="8"/>
        <v>129</v>
      </c>
      <c r="I29" s="13">
        <f t="shared" si="8"/>
        <v>132</v>
      </c>
      <c r="J29" s="13">
        <f t="shared" si="8"/>
        <v>117</v>
      </c>
      <c r="K29" s="13">
        <f t="shared" si="8"/>
        <v>107</v>
      </c>
      <c r="L29" s="13">
        <f t="shared" si="8"/>
        <v>92</v>
      </c>
      <c r="M29" s="13">
        <f t="shared" si="8"/>
        <v>95</v>
      </c>
      <c r="N29" s="13">
        <f t="shared" si="8"/>
        <v>127</v>
      </c>
      <c r="O29" s="13">
        <f t="shared" si="8"/>
        <v>118</v>
      </c>
      <c r="P29" s="13">
        <f t="shared" si="8"/>
        <v>115</v>
      </c>
      <c r="Q29" s="13">
        <f t="shared" si="8"/>
        <v>116</v>
      </c>
      <c r="R29" s="13">
        <f t="shared" si="8"/>
        <v>126</v>
      </c>
      <c r="S29" s="13">
        <f t="shared" si="8"/>
        <v>124</v>
      </c>
      <c r="T29" s="13">
        <f t="shared" si="8"/>
        <v>124</v>
      </c>
      <c r="U29" s="13">
        <f t="shared" si="8"/>
        <v>120</v>
      </c>
      <c r="V29" s="13">
        <f t="shared" si="8"/>
        <v>107</v>
      </c>
      <c r="W29" s="13">
        <f t="shared" si="8"/>
        <v>137</v>
      </c>
      <c r="X29" s="13">
        <f t="shared" si="8"/>
        <v>100</v>
      </c>
      <c r="Y29" s="13">
        <f t="shared" si="3"/>
        <v>2319</v>
      </c>
    </row>
    <row r="30" ht="12.75" customHeight="1">
      <c r="A30" s="35"/>
      <c r="B30" s="28"/>
      <c r="C30" s="36"/>
      <c r="D30" s="13" t="s">
        <v>14</v>
      </c>
      <c r="E30" s="13">
        <f t="shared" ref="E30:X30" si="9">SUM(E28:E29)</f>
        <v>198</v>
      </c>
      <c r="F30" s="13">
        <f t="shared" si="9"/>
        <v>208</v>
      </c>
      <c r="G30" s="13">
        <f t="shared" si="9"/>
        <v>222</v>
      </c>
      <c r="H30" s="13">
        <f t="shared" si="9"/>
        <v>251</v>
      </c>
      <c r="I30" s="13">
        <f t="shared" si="9"/>
        <v>251</v>
      </c>
      <c r="J30" s="13">
        <f t="shared" si="9"/>
        <v>227</v>
      </c>
      <c r="K30" s="13">
        <f t="shared" si="9"/>
        <v>219</v>
      </c>
      <c r="L30" s="13">
        <f t="shared" si="9"/>
        <v>178</v>
      </c>
      <c r="M30" s="13">
        <f t="shared" si="9"/>
        <v>187</v>
      </c>
      <c r="N30" s="13">
        <f t="shared" si="9"/>
        <v>244</v>
      </c>
      <c r="O30" s="13">
        <f t="shared" si="9"/>
        <v>237</v>
      </c>
      <c r="P30" s="13">
        <f t="shared" si="9"/>
        <v>226</v>
      </c>
      <c r="Q30" s="13">
        <f t="shared" si="9"/>
        <v>237</v>
      </c>
      <c r="R30" s="13">
        <f t="shared" si="9"/>
        <v>232</v>
      </c>
      <c r="S30" s="13">
        <f t="shared" si="9"/>
        <v>239</v>
      </c>
      <c r="T30" s="13">
        <f t="shared" si="9"/>
        <v>230</v>
      </c>
      <c r="U30" s="13">
        <f t="shared" si="9"/>
        <v>242</v>
      </c>
      <c r="V30" s="13">
        <f t="shared" si="9"/>
        <v>216</v>
      </c>
      <c r="W30" s="13">
        <f t="shared" si="9"/>
        <v>261</v>
      </c>
      <c r="X30" s="13">
        <f t="shared" si="9"/>
        <v>201</v>
      </c>
      <c r="Y30" s="13">
        <f t="shared" si="3"/>
        <v>4506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76"/>
      <c r="O31" s="76"/>
      <c r="P31" s="76"/>
      <c r="Q31" s="76"/>
      <c r="R31" s="76"/>
      <c r="S31" s="76"/>
      <c r="T31" s="76"/>
      <c r="U31" s="76"/>
      <c r="V31" s="76"/>
      <c r="W31" s="76"/>
      <c r="X31" s="76"/>
      <c r="Y31" s="77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78"/>
      <c r="O32" s="78"/>
      <c r="P32" s="78"/>
      <c r="Q32" s="78"/>
      <c r="R32" s="78"/>
      <c r="S32" s="78"/>
      <c r="T32" s="78"/>
      <c r="U32" s="78"/>
      <c r="V32" s="78"/>
      <c r="W32" s="78"/>
      <c r="X32" s="78"/>
      <c r="Y32" s="77"/>
    </row>
    <row r="33" ht="12.75" customHeight="1">
      <c r="A33" s="19">
        <v>1.0</v>
      </c>
      <c r="B33" s="20" t="s">
        <v>27</v>
      </c>
      <c r="C33" s="15"/>
      <c r="D33" s="16"/>
      <c r="E33" s="19">
        <v>237.0</v>
      </c>
      <c r="F33" s="19">
        <v>254.0</v>
      </c>
      <c r="G33" s="19">
        <v>272.0</v>
      </c>
      <c r="H33" s="19">
        <v>295.0</v>
      </c>
      <c r="I33" s="19">
        <v>288.0</v>
      </c>
      <c r="J33" s="19">
        <v>293.0</v>
      </c>
      <c r="K33" s="19">
        <v>290.0</v>
      </c>
      <c r="L33" s="19">
        <v>206.0</v>
      </c>
      <c r="M33" s="19">
        <v>228.0</v>
      </c>
      <c r="N33" s="19">
        <v>300.0</v>
      </c>
      <c r="O33" s="19">
        <v>291.0</v>
      </c>
      <c r="P33" s="19">
        <v>295.0</v>
      </c>
      <c r="Q33" s="19">
        <v>297.0</v>
      </c>
      <c r="R33" s="19">
        <v>281.0</v>
      </c>
      <c r="S33" s="19">
        <v>301.0</v>
      </c>
      <c r="T33" s="19">
        <v>294.0</v>
      </c>
      <c r="U33" s="19">
        <v>290.0</v>
      </c>
      <c r="V33" s="19">
        <v>271.0</v>
      </c>
      <c r="W33" s="19">
        <v>300.0</v>
      </c>
      <c r="X33" s="19">
        <v>226.0</v>
      </c>
      <c r="Y33" s="13">
        <f t="shared" ref="Y33:Y36" si="10">SUM(E33:X33)</f>
        <v>5509</v>
      </c>
    </row>
    <row r="34" ht="12.75" customHeight="1">
      <c r="A34" s="19">
        <v>2.0</v>
      </c>
      <c r="B34" s="20" t="s">
        <v>28</v>
      </c>
      <c r="C34" s="15"/>
      <c r="D34" s="16"/>
      <c r="E34" s="13">
        <v>198.0</v>
      </c>
      <c r="F34" s="13">
        <v>208.0</v>
      </c>
      <c r="G34" s="13">
        <v>222.0</v>
      </c>
      <c r="H34" s="13">
        <v>251.0</v>
      </c>
      <c r="I34" s="13">
        <v>251.0</v>
      </c>
      <c r="J34" s="13">
        <v>227.0</v>
      </c>
      <c r="K34" s="13">
        <v>219.0</v>
      </c>
      <c r="L34" s="13">
        <v>178.0</v>
      </c>
      <c r="M34" s="13">
        <v>187.0</v>
      </c>
      <c r="N34" s="13">
        <v>244.0</v>
      </c>
      <c r="O34" s="13">
        <v>237.0</v>
      </c>
      <c r="P34" s="13">
        <v>226.0</v>
      </c>
      <c r="Q34" s="13">
        <v>237.0</v>
      </c>
      <c r="R34" s="13">
        <v>232.0</v>
      </c>
      <c r="S34" s="13">
        <v>239.0</v>
      </c>
      <c r="T34" s="13">
        <v>230.0</v>
      </c>
      <c r="U34" s="13">
        <v>242.0</v>
      </c>
      <c r="V34" s="13">
        <v>216.0</v>
      </c>
      <c r="W34" s="13">
        <v>261.0</v>
      </c>
      <c r="X34" s="13">
        <v>201.0</v>
      </c>
      <c r="Y34" s="13">
        <f t="shared" si="10"/>
        <v>4506</v>
      </c>
    </row>
    <row r="35" ht="12.75" customHeight="1">
      <c r="A35" s="19">
        <v>3.0</v>
      </c>
      <c r="B35" s="20" t="s">
        <v>29</v>
      </c>
      <c r="C35" s="15"/>
      <c r="D35" s="16"/>
      <c r="E35" s="19">
        <v>0.0</v>
      </c>
      <c r="F35" s="19">
        <v>0.0</v>
      </c>
      <c r="G35" s="19">
        <v>0.0</v>
      </c>
      <c r="H35" s="19">
        <v>0.0</v>
      </c>
      <c r="I35" s="19">
        <v>0.0</v>
      </c>
      <c r="J35" s="19">
        <v>0.0</v>
      </c>
      <c r="K35" s="19">
        <v>0.0</v>
      </c>
      <c r="L35" s="19">
        <v>0.0</v>
      </c>
      <c r="M35" s="19">
        <v>0.0</v>
      </c>
      <c r="N35" s="19">
        <v>0.0</v>
      </c>
      <c r="O35" s="19">
        <v>1.0</v>
      </c>
      <c r="P35" s="19">
        <v>0.0</v>
      </c>
      <c r="Q35" s="19">
        <v>2.0</v>
      </c>
      <c r="R35" s="19">
        <v>0.0</v>
      </c>
      <c r="S35" s="19">
        <v>0.0</v>
      </c>
      <c r="T35" s="19">
        <v>0.0</v>
      </c>
      <c r="U35" s="19">
        <v>0.0</v>
      </c>
      <c r="V35" s="19">
        <v>4.0</v>
      </c>
      <c r="W35" s="19">
        <v>0.0</v>
      </c>
      <c r="X35" s="19">
        <v>2.0</v>
      </c>
      <c r="Y35" s="13">
        <f t="shared" si="10"/>
        <v>9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X36" si="11">E33-(E34+E35)</f>
        <v>39</v>
      </c>
      <c r="F36" s="13">
        <f t="shared" si="11"/>
        <v>46</v>
      </c>
      <c r="G36" s="13">
        <f t="shared" si="11"/>
        <v>50</v>
      </c>
      <c r="H36" s="13">
        <f t="shared" si="11"/>
        <v>44</v>
      </c>
      <c r="I36" s="13">
        <f t="shared" si="11"/>
        <v>37</v>
      </c>
      <c r="J36" s="13">
        <f t="shared" si="11"/>
        <v>66</v>
      </c>
      <c r="K36" s="13">
        <f t="shared" si="11"/>
        <v>71</v>
      </c>
      <c r="L36" s="13">
        <f t="shared" si="11"/>
        <v>28</v>
      </c>
      <c r="M36" s="13">
        <f t="shared" si="11"/>
        <v>41</v>
      </c>
      <c r="N36" s="13">
        <f t="shared" si="11"/>
        <v>56</v>
      </c>
      <c r="O36" s="13">
        <f t="shared" si="11"/>
        <v>53</v>
      </c>
      <c r="P36" s="13">
        <f t="shared" si="11"/>
        <v>69</v>
      </c>
      <c r="Q36" s="13">
        <f t="shared" si="11"/>
        <v>58</v>
      </c>
      <c r="R36" s="13">
        <f t="shared" si="11"/>
        <v>49</v>
      </c>
      <c r="S36" s="13">
        <f t="shared" si="11"/>
        <v>62</v>
      </c>
      <c r="T36" s="13">
        <f t="shared" si="11"/>
        <v>64</v>
      </c>
      <c r="U36" s="13">
        <f t="shared" si="11"/>
        <v>48</v>
      </c>
      <c r="V36" s="13">
        <f t="shared" si="11"/>
        <v>51</v>
      </c>
      <c r="W36" s="13">
        <f t="shared" si="11"/>
        <v>39</v>
      </c>
      <c r="X36" s="13">
        <f t="shared" si="11"/>
        <v>23</v>
      </c>
      <c r="Y36" s="13">
        <f t="shared" si="10"/>
        <v>994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19"/>
      <c r="N37" s="76"/>
      <c r="O37" s="79"/>
      <c r="P37" s="79"/>
      <c r="Q37" s="79"/>
      <c r="R37" s="79"/>
      <c r="S37" s="79"/>
      <c r="T37" s="79"/>
      <c r="U37" s="79"/>
      <c r="V37" s="79"/>
      <c r="W37" s="79"/>
      <c r="X37" s="79"/>
      <c r="Y37" s="77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78"/>
      <c r="O38" s="78"/>
      <c r="P38" s="78"/>
      <c r="Q38" s="78"/>
      <c r="R38" s="78"/>
      <c r="S38" s="78"/>
      <c r="T38" s="78"/>
      <c r="U38" s="78"/>
      <c r="V38" s="78"/>
      <c r="W38" s="78"/>
      <c r="X38" s="78"/>
      <c r="Y38" s="77"/>
    </row>
    <row r="39" ht="12.75" customHeight="1">
      <c r="A39" s="30"/>
      <c r="B39" s="43" t="s">
        <v>33</v>
      </c>
      <c r="C39" s="23"/>
      <c r="D39" s="19" t="s">
        <v>12</v>
      </c>
      <c r="E39" s="19">
        <v>0.0</v>
      </c>
      <c r="F39" s="19">
        <v>0.0</v>
      </c>
      <c r="G39" s="19">
        <v>0.0</v>
      </c>
      <c r="H39" s="19">
        <v>0.0</v>
      </c>
      <c r="I39" s="19">
        <v>0.0</v>
      </c>
      <c r="J39" s="19">
        <v>0.0</v>
      </c>
      <c r="K39" s="19">
        <v>0.0</v>
      </c>
      <c r="L39" s="19">
        <v>0.0</v>
      </c>
      <c r="M39" s="19">
        <v>0.0</v>
      </c>
      <c r="N39" s="19">
        <v>0.0</v>
      </c>
      <c r="O39" s="19">
        <v>0.0</v>
      </c>
      <c r="P39" s="19">
        <v>0.0</v>
      </c>
      <c r="Q39" s="19">
        <v>0.0</v>
      </c>
      <c r="R39" s="19">
        <v>0.0</v>
      </c>
      <c r="S39" s="19">
        <v>0.0</v>
      </c>
      <c r="T39" s="19"/>
      <c r="U39" s="19"/>
      <c r="V39" s="19"/>
      <c r="W39" s="19"/>
      <c r="X39" s="19"/>
      <c r="Y39" s="13">
        <f t="shared" ref="Y39:Y41" si="12">SUM(E39:X39)</f>
        <v>0</v>
      </c>
    </row>
    <row r="40" ht="12.75" customHeight="1">
      <c r="A40" s="33"/>
      <c r="C40" s="27"/>
      <c r="D40" s="19" t="s">
        <v>13</v>
      </c>
      <c r="E40" s="19">
        <v>0.0</v>
      </c>
      <c r="F40" s="19">
        <v>0.0</v>
      </c>
      <c r="G40" s="19">
        <v>0.0</v>
      </c>
      <c r="H40" s="19">
        <v>0.0</v>
      </c>
      <c r="I40" s="19">
        <v>0.0</v>
      </c>
      <c r="J40" s="19">
        <v>0.0</v>
      </c>
      <c r="K40" s="19">
        <v>0.0</v>
      </c>
      <c r="L40" s="19">
        <v>0.0</v>
      </c>
      <c r="M40" s="19">
        <v>0.0</v>
      </c>
      <c r="N40" s="19">
        <v>0.0</v>
      </c>
      <c r="O40" s="19">
        <v>0.0</v>
      </c>
      <c r="P40" s="19">
        <v>0.0</v>
      </c>
      <c r="Q40" s="19">
        <v>0.0</v>
      </c>
      <c r="R40" s="19">
        <v>0.0</v>
      </c>
      <c r="S40" s="19">
        <v>0.0</v>
      </c>
      <c r="T40" s="19"/>
      <c r="U40" s="19"/>
      <c r="V40" s="19"/>
      <c r="W40" s="19"/>
      <c r="X40" s="19"/>
      <c r="Y40" s="13">
        <f t="shared" si="12"/>
        <v>0</v>
      </c>
    </row>
    <row r="41" ht="12.75" customHeight="1">
      <c r="A41" s="41"/>
      <c r="B41" s="44"/>
      <c r="C41" s="28"/>
      <c r="D41" s="13" t="s">
        <v>14</v>
      </c>
      <c r="E41" s="13">
        <f t="shared" ref="E41:X41" si="13">SUM(E39:E40)</f>
        <v>0</v>
      </c>
      <c r="F41" s="13">
        <f t="shared" si="13"/>
        <v>0</v>
      </c>
      <c r="G41" s="13">
        <f t="shared" si="13"/>
        <v>0</v>
      </c>
      <c r="H41" s="13">
        <f t="shared" si="13"/>
        <v>0</v>
      </c>
      <c r="I41" s="13">
        <f t="shared" si="13"/>
        <v>0</v>
      </c>
      <c r="J41" s="13">
        <f t="shared" si="13"/>
        <v>0</v>
      </c>
      <c r="K41" s="13">
        <f t="shared" si="13"/>
        <v>0</v>
      </c>
      <c r="L41" s="13">
        <f t="shared" si="13"/>
        <v>0</v>
      </c>
      <c r="M41" s="13">
        <f t="shared" si="13"/>
        <v>0</v>
      </c>
      <c r="N41" s="13">
        <f t="shared" si="13"/>
        <v>0</v>
      </c>
      <c r="O41" s="13">
        <f t="shared" si="13"/>
        <v>0</v>
      </c>
      <c r="P41" s="13">
        <f t="shared" si="13"/>
        <v>0</v>
      </c>
      <c r="Q41" s="13">
        <f t="shared" si="13"/>
        <v>0</v>
      </c>
      <c r="R41" s="13">
        <f t="shared" si="13"/>
        <v>0</v>
      </c>
      <c r="S41" s="13">
        <f t="shared" si="13"/>
        <v>0</v>
      </c>
      <c r="T41" s="13">
        <f t="shared" si="13"/>
        <v>0</v>
      </c>
      <c r="U41" s="13">
        <f t="shared" si="13"/>
        <v>0</v>
      </c>
      <c r="V41" s="13">
        <f t="shared" si="13"/>
        <v>0</v>
      </c>
      <c r="W41" s="13">
        <f t="shared" si="13"/>
        <v>0</v>
      </c>
      <c r="X41" s="13">
        <f t="shared" si="13"/>
        <v>0</v>
      </c>
      <c r="Y41" s="13">
        <f t="shared" si="12"/>
        <v>0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9"/>
      <c r="N42" s="76"/>
      <c r="O42" s="19"/>
      <c r="P42" s="76"/>
      <c r="Q42" s="19"/>
      <c r="R42" s="76"/>
      <c r="S42" s="19"/>
      <c r="T42" s="76"/>
      <c r="U42" s="19"/>
      <c r="V42" s="76"/>
      <c r="W42" s="76"/>
      <c r="X42" s="19"/>
      <c r="Y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78"/>
      <c r="O43" s="13"/>
      <c r="P43" s="78"/>
      <c r="Q43" s="13"/>
      <c r="R43" s="78"/>
      <c r="S43" s="13"/>
      <c r="T43" s="78"/>
      <c r="U43" s="13"/>
      <c r="V43" s="78"/>
      <c r="W43" s="78"/>
      <c r="X43" s="13"/>
      <c r="Y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76"/>
      <c r="O44" s="19"/>
      <c r="P44" s="76"/>
      <c r="Q44" s="19"/>
      <c r="R44" s="76"/>
      <c r="S44" s="19"/>
      <c r="T44" s="76"/>
      <c r="U44" s="19"/>
      <c r="V44" s="76"/>
      <c r="W44" s="76"/>
      <c r="X44" s="19"/>
      <c r="Y44" s="13"/>
    </row>
    <row r="45" ht="12.75" customHeight="1">
      <c r="A45" s="30" t="s">
        <v>37</v>
      </c>
      <c r="B45" s="47" t="s">
        <v>17</v>
      </c>
      <c r="C45" s="48" t="s">
        <v>38</v>
      </c>
      <c r="D45" s="16"/>
      <c r="E45" s="19">
        <v>8.0</v>
      </c>
      <c r="F45" s="19">
        <v>2.0</v>
      </c>
      <c r="G45" s="19">
        <v>11.0</v>
      </c>
      <c r="H45" s="19">
        <v>8.0</v>
      </c>
      <c r="I45" s="19">
        <v>11.0</v>
      </c>
      <c r="J45" s="19">
        <v>19.0</v>
      </c>
      <c r="K45" s="19">
        <v>8.0</v>
      </c>
      <c r="L45" s="19">
        <v>3.0</v>
      </c>
      <c r="M45" s="19">
        <v>14.0</v>
      </c>
      <c r="N45" s="19">
        <v>4.0</v>
      </c>
      <c r="O45" s="19">
        <v>8.0</v>
      </c>
      <c r="P45" s="19">
        <v>3.0</v>
      </c>
      <c r="Q45" s="19">
        <v>4.0</v>
      </c>
      <c r="R45" s="19">
        <v>11.0</v>
      </c>
      <c r="S45" s="19">
        <v>8.0</v>
      </c>
      <c r="T45" s="19">
        <v>1.0</v>
      </c>
      <c r="U45" s="19">
        <v>5.0</v>
      </c>
      <c r="V45" s="19">
        <v>3.0</v>
      </c>
      <c r="W45" s="19">
        <v>2.0</v>
      </c>
      <c r="X45" s="19">
        <v>2.0</v>
      </c>
      <c r="Y45" s="13">
        <f t="shared" ref="Y45:Y54" si="14">SUM(E45:X45)</f>
        <v>135</v>
      </c>
    </row>
    <row r="46" ht="12.75" customHeight="1">
      <c r="A46" s="30" t="s">
        <v>39</v>
      </c>
      <c r="B46" s="49">
        <v>1.0</v>
      </c>
      <c r="C46" s="50" t="s">
        <v>40</v>
      </c>
      <c r="D46" s="16"/>
      <c r="E46" s="19">
        <v>13.0</v>
      </c>
      <c r="F46" s="19">
        <v>8.0</v>
      </c>
      <c r="G46" s="19">
        <v>16.0</v>
      </c>
      <c r="H46" s="19">
        <v>15.0</v>
      </c>
      <c r="I46" s="19">
        <v>8.0</v>
      </c>
      <c r="J46" s="19">
        <v>14.0</v>
      </c>
      <c r="K46" s="19">
        <v>9.0</v>
      </c>
      <c r="L46" s="19">
        <v>4.0</v>
      </c>
      <c r="M46" s="19">
        <v>9.0</v>
      </c>
      <c r="N46" s="19">
        <v>5.0</v>
      </c>
      <c r="O46" s="19">
        <v>15.0</v>
      </c>
      <c r="P46" s="19">
        <v>19.0</v>
      </c>
      <c r="Q46" s="19">
        <v>2.0</v>
      </c>
      <c r="R46" s="19">
        <v>12.0</v>
      </c>
      <c r="S46" s="19">
        <v>11.0</v>
      </c>
      <c r="T46" s="19">
        <v>1.0</v>
      </c>
      <c r="U46" s="19">
        <v>11.0</v>
      </c>
      <c r="V46" s="19">
        <v>0.0</v>
      </c>
      <c r="W46" s="19">
        <v>1.0</v>
      </c>
      <c r="X46" s="19">
        <v>0.0</v>
      </c>
      <c r="Y46" s="13">
        <f t="shared" si="14"/>
        <v>173</v>
      </c>
    </row>
    <row r="47" ht="12.75" customHeight="1">
      <c r="A47" s="18"/>
      <c r="B47" s="55">
        <v>2.0</v>
      </c>
      <c r="C47" s="50" t="s">
        <v>41</v>
      </c>
      <c r="D47" s="16"/>
      <c r="E47" s="19">
        <v>9.0</v>
      </c>
      <c r="F47" s="19">
        <v>10.0</v>
      </c>
      <c r="G47" s="19">
        <v>7.0</v>
      </c>
      <c r="H47" s="19">
        <v>42.0</v>
      </c>
      <c r="I47" s="19">
        <v>9.0</v>
      </c>
      <c r="J47" s="19">
        <v>14.0</v>
      </c>
      <c r="K47" s="19">
        <v>5.0</v>
      </c>
      <c r="L47" s="19">
        <v>2.0</v>
      </c>
      <c r="M47" s="19">
        <v>27.0</v>
      </c>
      <c r="N47" s="19">
        <v>5.0</v>
      </c>
      <c r="O47" s="19">
        <v>8.0</v>
      </c>
      <c r="P47" s="19">
        <v>10.0</v>
      </c>
      <c r="Q47" s="19">
        <v>10.0</v>
      </c>
      <c r="R47" s="19">
        <v>9.0</v>
      </c>
      <c r="S47" s="19">
        <v>27.0</v>
      </c>
      <c r="T47" s="19">
        <v>1.0</v>
      </c>
      <c r="U47" s="19">
        <v>5.0</v>
      </c>
      <c r="V47" s="19">
        <v>1.0</v>
      </c>
      <c r="W47" s="19">
        <v>3.0</v>
      </c>
      <c r="X47" s="19">
        <v>0.0</v>
      </c>
      <c r="Y47" s="13">
        <f t="shared" si="14"/>
        <v>204</v>
      </c>
    </row>
    <row r="48" ht="12.75" customHeight="1">
      <c r="A48" s="18"/>
      <c r="B48" s="55">
        <v>3.0</v>
      </c>
      <c r="C48" s="50" t="s">
        <v>42</v>
      </c>
      <c r="D48" s="16"/>
      <c r="E48" s="19">
        <v>0.0</v>
      </c>
      <c r="F48" s="19">
        <v>0.0</v>
      </c>
      <c r="G48" s="19">
        <v>3.0</v>
      </c>
      <c r="H48" s="19">
        <v>1.0</v>
      </c>
      <c r="I48" s="19">
        <v>0.0</v>
      </c>
      <c r="J48" s="19">
        <v>3.0</v>
      </c>
      <c r="K48" s="19">
        <v>0.0</v>
      </c>
      <c r="L48" s="19">
        <v>2.0</v>
      </c>
      <c r="M48" s="19">
        <v>2.0</v>
      </c>
      <c r="N48" s="19">
        <v>0.0</v>
      </c>
      <c r="O48" s="19">
        <v>0.0</v>
      </c>
      <c r="P48" s="19">
        <v>0.0</v>
      </c>
      <c r="Q48" s="19">
        <v>2.0</v>
      </c>
      <c r="R48" s="19">
        <v>0.0</v>
      </c>
      <c r="S48" s="19">
        <v>0.0</v>
      </c>
      <c r="T48" s="19">
        <v>0.0</v>
      </c>
      <c r="U48" s="19">
        <v>1.0</v>
      </c>
      <c r="V48" s="19">
        <v>0.0</v>
      </c>
      <c r="W48" s="19">
        <v>0.0</v>
      </c>
      <c r="X48" s="19">
        <v>0.0</v>
      </c>
      <c r="Y48" s="13">
        <f t="shared" si="14"/>
        <v>14</v>
      </c>
    </row>
    <row r="49" ht="12.75" customHeight="1">
      <c r="A49" s="18"/>
      <c r="B49" s="55">
        <v>4.0</v>
      </c>
      <c r="C49" s="50" t="s">
        <v>43</v>
      </c>
      <c r="D49" s="16"/>
      <c r="E49" s="19">
        <v>0.0</v>
      </c>
      <c r="F49" s="19">
        <v>1.0</v>
      </c>
      <c r="G49" s="19">
        <v>1.0</v>
      </c>
      <c r="H49" s="19">
        <v>0.0</v>
      </c>
      <c r="I49" s="19">
        <v>0.0</v>
      </c>
      <c r="J49" s="19">
        <v>1.0</v>
      </c>
      <c r="K49" s="19">
        <v>0.0</v>
      </c>
      <c r="L49" s="19">
        <v>0.0</v>
      </c>
      <c r="M49" s="19">
        <v>0.0</v>
      </c>
      <c r="N49" s="19">
        <v>0.0</v>
      </c>
      <c r="O49" s="19">
        <v>0.0</v>
      </c>
      <c r="P49" s="19">
        <v>0.0</v>
      </c>
      <c r="Q49" s="19">
        <v>1.0</v>
      </c>
      <c r="R49" s="19">
        <v>0.0</v>
      </c>
      <c r="S49" s="19">
        <v>0.0</v>
      </c>
      <c r="T49" s="19">
        <v>0.0</v>
      </c>
      <c r="U49" s="19">
        <v>0.0</v>
      </c>
      <c r="V49" s="19">
        <v>1.0</v>
      </c>
      <c r="W49" s="19">
        <v>1.0</v>
      </c>
      <c r="X49" s="19">
        <v>0.0</v>
      </c>
      <c r="Y49" s="13">
        <f t="shared" si="14"/>
        <v>6</v>
      </c>
    </row>
    <row r="50" ht="12.75" customHeight="1">
      <c r="A50" s="18"/>
      <c r="B50" s="55">
        <v>5.0</v>
      </c>
      <c r="C50" s="50" t="s">
        <v>44</v>
      </c>
      <c r="D50" s="16"/>
      <c r="E50" s="19">
        <v>0.0</v>
      </c>
      <c r="F50" s="19">
        <v>0.0</v>
      </c>
      <c r="G50" s="19">
        <v>0.0</v>
      </c>
      <c r="H50" s="19">
        <v>0.0</v>
      </c>
      <c r="I50" s="19">
        <v>0.0</v>
      </c>
      <c r="J50" s="19">
        <v>0.0</v>
      </c>
      <c r="K50" s="19">
        <v>0.0</v>
      </c>
      <c r="L50" s="19">
        <v>0.0</v>
      </c>
      <c r="M50" s="19">
        <v>1.0</v>
      </c>
      <c r="N50" s="19">
        <v>0.0</v>
      </c>
      <c r="O50" s="19">
        <v>1.0</v>
      </c>
      <c r="P50" s="19">
        <v>1.0</v>
      </c>
      <c r="Q50" s="19">
        <v>0.0</v>
      </c>
      <c r="R50" s="19">
        <v>0.0</v>
      </c>
      <c r="S50" s="19">
        <v>1.0</v>
      </c>
      <c r="T50" s="19">
        <v>0.0</v>
      </c>
      <c r="U50" s="19">
        <v>0.0</v>
      </c>
      <c r="V50" s="19">
        <v>0.0</v>
      </c>
      <c r="W50" s="19">
        <v>0.0</v>
      </c>
      <c r="X50" s="19">
        <v>0.0</v>
      </c>
      <c r="Y50" s="13">
        <f t="shared" si="14"/>
        <v>4</v>
      </c>
    </row>
    <row r="51" ht="12.75" customHeight="1">
      <c r="A51" s="18"/>
      <c r="B51" s="55">
        <v>6.0</v>
      </c>
      <c r="C51" s="50" t="s">
        <v>45</v>
      </c>
      <c r="D51" s="16"/>
      <c r="E51" s="19">
        <v>0.0</v>
      </c>
      <c r="F51" s="19">
        <v>0.0</v>
      </c>
      <c r="G51" s="19">
        <v>0.0</v>
      </c>
      <c r="H51" s="19">
        <v>0.0</v>
      </c>
      <c r="I51" s="19">
        <v>0.0</v>
      </c>
      <c r="J51" s="19">
        <v>0.0</v>
      </c>
      <c r="K51" s="19">
        <v>0.0</v>
      </c>
      <c r="L51" s="19">
        <v>0.0</v>
      </c>
      <c r="M51" s="19">
        <v>0.0</v>
      </c>
      <c r="N51" s="19">
        <v>0.0</v>
      </c>
      <c r="O51" s="19">
        <v>0.0</v>
      </c>
      <c r="P51" s="19">
        <v>0.0</v>
      </c>
      <c r="Q51" s="19">
        <v>0.0</v>
      </c>
      <c r="R51" s="19">
        <v>0.0</v>
      </c>
      <c r="S51" s="19">
        <v>0.0</v>
      </c>
      <c r="T51" s="19">
        <v>0.0</v>
      </c>
      <c r="U51" s="19">
        <v>0.0</v>
      </c>
      <c r="V51" s="19">
        <v>0.0</v>
      </c>
      <c r="W51" s="19">
        <v>0.0</v>
      </c>
      <c r="X51" s="19">
        <v>0.0</v>
      </c>
      <c r="Y51" s="13">
        <f t="shared" si="14"/>
        <v>0</v>
      </c>
    </row>
    <row r="52" ht="12.75" customHeight="1">
      <c r="A52" s="18"/>
      <c r="B52" s="55">
        <v>7.0</v>
      </c>
      <c r="C52" s="50" t="s">
        <v>46</v>
      </c>
      <c r="D52" s="16"/>
      <c r="E52" s="19">
        <v>0.0</v>
      </c>
      <c r="F52" s="19">
        <v>0.0</v>
      </c>
      <c r="G52" s="19">
        <v>0.0</v>
      </c>
      <c r="H52" s="19">
        <v>1.0</v>
      </c>
      <c r="I52" s="19">
        <v>0.0</v>
      </c>
      <c r="J52" s="19">
        <v>0.0</v>
      </c>
      <c r="K52" s="19">
        <v>0.0</v>
      </c>
      <c r="L52" s="19">
        <v>0.0</v>
      </c>
      <c r="M52" s="19">
        <v>0.0</v>
      </c>
      <c r="N52" s="19">
        <v>0.0</v>
      </c>
      <c r="O52" s="19">
        <v>0.0</v>
      </c>
      <c r="P52" s="19">
        <v>0.0</v>
      </c>
      <c r="Q52" s="19">
        <v>0.0</v>
      </c>
      <c r="R52" s="19">
        <v>0.0</v>
      </c>
      <c r="S52" s="19">
        <v>0.0</v>
      </c>
      <c r="T52" s="19">
        <v>0.0</v>
      </c>
      <c r="U52" s="19">
        <v>0.0</v>
      </c>
      <c r="V52" s="19">
        <v>0.0</v>
      </c>
      <c r="W52" s="19">
        <v>0.0</v>
      </c>
      <c r="X52" s="19">
        <v>0.0</v>
      </c>
      <c r="Y52" s="13">
        <f t="shared" si="14"/>
        <v>1</v>
      </c>
    </row>
    <row r="53" ht="12.75" customHeight="1">
      <c r="A53" s="18"/>
      <c r="B53" s="56"/>
      <c r="C53" s="57"/>
      <c r="D53" s="57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3">
        <f t="shared" si="14"/>
        <v>0</v>
      </c>
    </row>
    <row r="54" ht="12.75" customHeight="1">
      <c r="A54" s="18"/>
      <c r="B54" s="56"/>
      <c r="C54" s="57"/>
      <c r="D54" s="57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3">
        <f t="shared" si="14"/>
        <v>0</v>
      </c>
    </row>
    <row r="55" ht="12.75" customHeight="1">
      <c r="A55" s="19" t="s">
        <v>15</v>
      </c>
      <c r="B55" s="47" t="s">
        <v>47</v>
      </c>
      <c r="C55" s="15"/>
      <c r="D55" s="16"/>
      <c r="E55" s="13">
        <f t="shared" ref="E55:Y55" si="15">SUM(E45:E54)</f>
        <v>30</v>
      </c>
      <c r="F55" s="13">
        <f t="shared" si="15"/>
        <v>21</v>
      </c>
      <c r="G55" s="13">
        <f t="shared" si="15"/>
        <v>38</v>
      </c>
      <c r="H55" s="13">
        <f t="shared" si="15"/>
        <v>67</v>
      </c>
      <c r="I55" s="13">
        <f t="shared" si="15"/>
        <v>28</v>
      </c>
      <c r="J55" s="13">
        <f t="shared" si="15"/>
        <v>51</v>
      </c>
      <c r="K55" s="13">
        <f t="shared" si="15"/>
        <v>22</v>
      </c>
      <c r="L55" s="13">
        <f t="shared" si="15"/>
        <v>11</v>
      </c>
      <c r="M55" s="13">
        <f t="shared" si="15"/>
        <v>53</v>
      </c>
      <c r="N55" s="13">
        <f t="shared" si="15"/>
        <v>14</v>
      </c>
      <c r="O55" s="13">
        <f t="shared" si="15"/>
        <v>32</v>
      </c>
      <c r="P55" s="13">
        <f t="shared" si="15"/>
        <v>33</v>
      </c>
      <c r="Q55" s="13">
        <f t="shared" si="15"/>
        <v>19</v>
      </c>
      <c r="R55" s="13">
        <f t="shared" si="15"/>
        <v>32</v>
      </c>
      <c r="S55" s="13">
        <f t="shared" si="15"/>
        <v>47</v>
      </c>
      <c r="T55" s="13">
        <f t="shared" si="15"/>
        <v>3</v>
      </c>
      <c r="U55" s="13">
        <f t="shared" si="15"/>
        <v>22</v>
      </c>
      <c r="V55" s="13">
        <f t="shared" si="15"/>
        <v>5</v>
      </c>
      <c r="W55" s="13">
        <f t="shared" si="15"/>
        <v>7</v>
      </c>
      <c r="X55" s="13">
        <f t="shared" si="15"/>
        <v>2</v>
      </c>
      <c r="Y55" s="13">
        <f t="shared" si="15"/>
        <v>537</v>
      </c>
    </row>
    <row r="56" ht="12.75" customHeight="1">
      <c r="A56" s="45"/>
      <c r="B56" s="44"/>
      <c r="C56" s="44"/>
      <c r="D56" s="44"/>
      <c r="E56" s="44"/>
      <c r="Y56" s="13"/>
    </row>
    <row r="57" ht="12.75" customHeight="1">
      <c r="A57" s="30" t="s">
        <v>37</v>
      </c>
      <c r="B57" s="47" t="s">
        <v>19</v>
      </c>
      <c r="C57" s="48" t="s">
        <v>48</v>
      </c>
      <c r="D57" s="16"/>
      <c r="E57" s="19">
        <v>12.0</v>
      </c>
      <c r="F57" s="19">
        <v>11.0</v>
      </c>
      <c r="G57" s="19">
        <v>14.0</v>
      </c>
      <c r="H57" s="19">
        <v>9.0</v>
      </c>
      <c r="I57" s="19">
        <v>14.0</v>
      </c>
      <c r="J57" s="19">
        <v>37.0</v>
      </c>
      <c r="K57" s="19">
        <v>19.0</v>
      </c>
      <c r="L57" s="19">
        <v>19.0</v>
      </c>
      <c r="M57" s="19">
        <v>12.0</v>
      </c>
      <c r="N57" s="19">
        <v>27.0</v>
      </c>
      <c r="O57" s="19">
        <v>17.0</v>
      </c>
      <c r="P57" s="19">
        <v>25.0</v>
      </c>
      <c r="Q57" s="19">
        <v>8.0</v>
      </c>
      <c r="R57" s="19">
        <v>20.0</v>
      </c>
      <c r="S57" s="19">
        <v>21.0</v>
      </c>
      <c r="T57" s="19">
        <v>9.0</v>
      </c>
      <c r="U57" s="19">
        <v>12.0</v>
      </c>
      <c r="V57" s="19">
        <v>19.0</v>
      </c>
      <c r="W57" s="19">
        <v>9.0</v>
      </c>
      <c r="X57" s="19">
        <v>3.0</v>
      </c>
      <c r="Y57" s="13">
        <f t="shared" ref="Y57:Y66" si="16">SUM(E57:X57)</f>
        <v>317</v>
      </c>
    </row>
    <row r="58" ht="12.75" customHeight="1">
      <c r="A58" s="30" t="s">
        <v>39</v>
      </c>
      <c r="B58" s="55">
        <v>1.0</v>
      </c>
      <c r="C58" s="50" t="s">
        <v>49</v>
      </c>
      <c r="D58" s="59"/>
      <c r="E58" s="19">
        <v>132.0</v>
      </c>
      <c r="F58" s="19">
        <v>153.0</v>
      </c>
      <c r="G58" s="19">
        <v>100.0</v>
      </c>
      <c r="H58" s="19">
        <v>107.0</v>
      </c>
      <c r="I58" s="19">
        <v>184.0</v>
      </c>
      <c r="J58" s="19">
        <v>92.0</v>
      </c>
      <c r="K58" s="19">
        <v>129.0</v>
      </c>
      <c r="L58" s="19">
        <v>57.0</v>
      </c>
      <c r="M58" s="19">
        <v>88.0</v>
      </c>
      <c r="N58" s="19">
        <v>160.0</v>
      </c>
      <c r="O58" s="19">
        <v>136.0</v>
      </c>
      <c r="P58" s="19">
        <v>131.0</v>
      </c>
      <c r="Q58" s="19">
        <v>201.0</v>
      </c>
      <c r="R58" s="19">
        <v>116.0</v>
      </c>
      <c r="S58" s="19">
        <v>103.0</v>
      </c>
      <c r="T58" s="19">
        <v>207.0</v>
      </c>
      <c r="U58" s="19">
        <v>178.0</v>
      </c>
      <c r="V58" s="19">
        <v>163.0</v>
      </c>
      <c r="W58" s="19">
        <v>221.0</v>
      </c>
      <c r="X58" s="19">
        <v>193.0</v>
      </c>
      <c r="Y58" s="13">
        <f t="shared" si="16"/>
        <v>2851</v>
      </c>
    </row>
    <row r="59" ht="12.75" customHeight="1">
      <c r="A59" s="18"/>
      <c r="B59" s="55">
        <v>2.0</v>
      </c>
      <c r="C59" s="50" t="s">
        <v>50</v>
      </c>
      <c r="D59" s="59"/>
      <c r="E59" s="19">
        <v>1.0</v>
      </c>
      <c r="F59" s="19">
        <v>2.0</v>
      </c>
      <c r="G59" s="19">
        <v>0.0</v>
      </c>
      <c r="H59" s="19">
        <v>2.0</v>
      </c>
      <c r="I59" s="19">
        <v>2.0</v>
      </c>
      <c r="J59" s="19">
        <v>2.0</v>
      </c>
      <c r="K59" s="19">
        <v>0.0</v>
      </c>
      <c r="L59" s="19">
        <v>0.0</v>
      </c>
      <c r="M59" s="19">
        <v>0.0</v>
      </c>
      <c r="N59" s="19">
        <v>5.0</v>
      </c>
      <c r="O59" s="19">
        <v>1.0</v>
      </c>
      <c r="P59" s="19">
        <v>4.0</v>
      </c>
      <c r="Q59" s="19">
        <v>0.0</v>
      </c>
      <c r="R59" s="19">
        <v>0.0</v>
      </c>
      <c r="S59" s="19">
        <v>2.0</v>
      </c>
      <c r="T59" s="19">
        <v>1.0</v>
      </c>
      <c r="U59" s="19">
        <v>2.0</v>
      </c>
      <c r="V59" s="19">
        <v>2.0</v>
      </c>
      <c r="W59" s="19">
        <v>2.0</v>
      </c>
      <c r="X59" s="19">
        <v>0.0</v>
      </c>
      <c r="Y59" s="13">
        <f t="shared" si="16"/>
        <v>28</v>
      </c>
    </row>
    <row r="60" ht="12.75" customHeight="1">
      <c r="A60" s="18"/>
      <c r="B60" s="55">
        <v>3.0</v>
      </c>
      <c r="C60" s="50" t="s">
        <v>51</v>
      </c>
      <c r="D60" s="59"/>
      <c r="E60" s="19">
        <v>0.0</v>
      </c>
      <c r="F60" s="19">
        <v>0.0</v>
      </c>
      <c r="G60" s="19">
        <v>1.0</v>
      </c>
      <c r="H60" s="19">
        <v>0.0</v>
      </c>
      <c r="I60" s="19">
        <v>1.0</v>
      </c>
      <c r="J60" s="19">
        <v>0.0</v>
      </c>
      <c r="K60" s="19">
        <v>1.0</v>
      </c>
      <c r="L60" s="19">
        <v>1.0</v>
      </c>
      <c r="M60" s="19">
        <v>2.0</v>
      </c>
      <c r="N60" s="19">
        <v>0.0</v>
      </c>
      <c r="O60" s="19">
        <v>0.0</v>
      </c>
      <c r="P60" s="19">
        <v>1.0</v>
      </c>
      <c r="Q60" s="19">
        <v>0.0</v>
      </c>
      <c r="R60" s="19">
        <v>2.0</v>
      </c>
      <c r="S60" s="19">
        <v>1.0</v>
      </c>
      <c r="T60" s="19">
        <v>0.0</v>
      </c>
      <c r="U60" s="19">
        <v>2.0</v>
      </c>
      <c r="V60" s="19">
        <v>1.0</v>
      </c>
      <c r="W60" s="19">
        <v>0.0</v>
      </c>
      <c r="X60" s="19">
        <v>1.0</v>
      </c>
      <c r="Y60" s="13">
        <f t="shared" si="16"/>
        <v>14</v>
      </c>
    </row>
    <row r="61" ht="12.75" customHeight="1">
      <c r="A61" s="18"/>
      <c r="B61" s="55">
        <v>4.0</v>
      </c>
      <c r="C61" s="50" t="s">
        <v>52</v>
      </c>
      <c r="D61" s="59"/>
      <c r="E61" s="19">
        <v>0.0</v>
      </c>
      <c r="F61" s="19">
        <v>0.0</v>
      </c>
      <c r="G61" s="19">
        <v>0.0</v>
      </c>
      <c r="H61" s="19">
        <v>0.0</v>
      </c>
      <c r="I61" s="19">
        <v>1.0</v>
      </c>
      <c r="J61" s="19">
        <v>1.0</v>
      </c>
      <c r="K61" s="19">
        <v>0.0</v>
      </c>
      <c r="L61" s="19">
        <v>0.0</v>
      </c>
      <c r="M61" s="19">
        <v>1.0</v>
      </c>
      <c r="N61" s="19">
        <v>2.0</v>
      </c>
      <c r="O61" s="19">
        <v>1.0</v>
      </c>
      <c r="P61" s="19">
        <v>0.0</v>
      </c>
      <c r="Q61" s="19">
        <v>0.0</v>
      </c>
      <c r="R61" s="19">
        <v>0.0</v>
      </c>
      <c r="S61" s="19">
        <v>0.0</v>
      </c>
      <c r="T61" s="19">
        <v>0.0</v>
      </c>
      <c r="U61" s="19">
        <v>1.0</v>
      </c>
      <c r="V61" s="19">
        <v>1.0</v>
      </c>
      <c r="W61" s="19">
        <v>0.0</v>
      </c>
      <c r="X61" s="19">
        <v>0.0</v>
      </c>
      <c r="Y61" s="13">
        <f t="shared" si="16"/>
        <v>8</v>
      </c>
    </row>
    <row r="62" ht="12.75" customHeight="1">
      <c r="A62" s="18"/>
      <c r="B62" s="55">
        <v>5.0</v>
      </c>
      <c r="C62" s="50" t="s">
        <v>53</v>
      </c>
      <c r="D62" s="59"/>
      <c r="E62" s="19">
        <v>0.0</v>
      </c>
      <c r="F62" s="19">
        <v>1.0</v>
      </c>
      <c r="G62" s="19">
        <v>0.0</v>
      </c>
      <c r="H62" s="19">
        <v>0.0</v>
      </c>
      <c r="I62" s="19">
        <v>0.0</v>
      </c>
      <c r="J62" s="19">
        <v>0.0</v>
      </c>
      <c r="K62" s="19">
        <v>0.0</v>
      </c>
      <c r="L62" s="19">
        <v>0.0</v>
      </c>
      <c r="M62" s="19">
        <v>0.0</v>
      </c>
      <c r="N62" s="19">
        <v>0.0</v>
      </c>
      <c r="O62" s="19">
        <v>0.0</v>
      </c>
      <c r="P62" s="19">
        <v>0.0</v>
      </c>
      <c r="Q62" s="19">
        <v>0.0</v>
      </c>
      <c r="R62" s="19">
        <v>0.0</v>
      </c>
      <c r="S62" s="19">
        <v>0.0</v>
      </c>
      <c r="T62" s="19">
        <v>0.0</v>
      </c>
      <c r="U62" s="19">
        <v>0.0</v>
      </c>
      <c r="V62" s="19">
        <v>0.0</v>
      </c>
      <c r="W62" s="19">
        <v>0.0</v>
      </c>
      <c r="X62" s="19">
        <v>0.0</v>
      </c>
      <c r="Y62" s="13">
        <f t="shared" si="16"/>
        <v>1</v>
      </c>
    </row>
    <row r="63" ht="12.75" customHeight="1">
      <c r="A63" s="18"/>
      <c r="B63" s="55">
        <v>6.0</v>
      </c>
      <c r="C63" s="50" t="s">
        <v>54</v>
      </c>
      <c r="D63" s="60"/>
      <c r="E63" s="19">
        <v>0.0</v>
      </c>
      <c r="F63" s="19">
        <v>0.0</v>
      </c>
      <c r="G63" s="19">
        <v>1.0</v>
      </c>
      <c r="H63" s="19">
        <v>0.0</v>
      </c>
      <c r="I63" s="19">
        <v>0.0</v>
      </c>
      <c r="J63" s="19">
        <v>1.0</v>
      </c>
      <c r="K63" s="19">
        <v>0.0</v>
      </c>
      <c r="L63" s="19">
        <v>0.0</v>
      </c>
      <c r="M63" s="19">
        <v>0.0</v>
      </c>
      <c r="N63" s="19">
        <v>0.0</v>
      </c>
      <c r="O63" s="19">
        <v>0.0</v>
      </c>
      <c r="P63" s="19">
        <v>1.0</v>
      </c>
      <c r="Q63" s="19">
        <v>0.0</v>
      </c>
      <c r="R63" s="19">
        <v>0.0</v>
      </c>
      <c r="S63" s="19">
        <v>0.0</v>
      </c>
      <c r="T63" s="19">
        <v>0.0</v>
      </c>
      <c r="U63" s="19">
        <v>0.0</v>
      </c>
      <c r="V63" s="19">
        <v>0.0</v>
      </c>
      <c r="W63" s="19">
        <v>2.0</v>
      </c>
      <c r="X63" s="19">
        <v>0.0</v>
      </c>
      <c r="Y63" s="13">
        <f t="shared" si="16"/>
        <v>5</v>
      </c>
    </row>
    <row r="64" ht="12.75" customHeight="1">
      <c r="A64" s="18"/>
      <c r="B64" s="55">
        <v>7.0</v>
      </c>
      <c r="C64" s="50" t="s">
        <v>55</v>
      </c>
      <c r="D64" s="59"/>
      <c r="E64" s="19">
        <v>0.0</v>
      </c>
      <c r="F64" s="19">
        <v>0.0</v>
      </c>
      <c r="G64" s="19">
        <v>0.0</v>
      </c>
      <c r="H64" s="19">
        <v>0.0</v>
      </c>
      <c r="I64" s="19">
        <v>0.0</v>
      </c>
      <c r="J64" s="19">
        <v>0.0</v>
      </c>
      <c r="K64" s="19">
        <v>0.0</v>
      </c>
      <c r="L64" s="19">
        <v>0.0</v>
      </c>
      <c r="M64" s="19">
        <v>0.0</v>
      </c>
      <c r="N64" s="19">
        <v>0.0</v>
      </c>
      <c r="O64" s="19">
        <v>0.0</v>
      </c>
      <c r="P64" s="19">
        <v>0.0</v>
      </c>
      <c r="Q64" s="19">
        <v>0.0</v>
      </c>
      <c r="R64" s="19">
        <v>0.0</v>
      </c>
      <c r="S64" s="19">
        <v>0.0</v>
      </c>
      <c r="T64" s="19">
        <v>0.0</v>
      </c>
      <c r="U64" s="19">
        <v>0.0</v>
      </c>
      <c r="V64" s="19">
        <v>0.0</v>
      </c>
      <c r="W64" s="19">
        <v>0.0</v>
      </c>
      <c r="X64" s="19">
        <v>0.0</v>
      </c>
      <c r="Y64" s="13">
        <f t="shared" si="16"/>
        <v>0</v>
      </c>
    </row>
    <row r="65" ht="12.75" customHeight="1">
      <c r="A65" s="18"/>
      <c r="B65" s="56"/>
      <c r="C65" s="57"/>
      <c r="D65" s="61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3">
        <f t="shared" si="16"/>
        <v>0</v>
      </c>
    </row>
    <row r="66" ht="12.75" customHeight="1">
      <c r="A66" s="18"/>
      <c r="B66" s="56"/>
      <c r="C66" s="57"/>
      <c r="D66" s="61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3">
        <f t="shared" si="16"/>
        <v>0</v>
      </c>
    </row>
    <row r="67" ht="12.75" customHeight="1">
      <c r="A67" s="19" t="s">
        <v>15</v>
      </c>
      <c r="B67" s="47" t="s">
        <v>47</v>
      </c>
      <c r="C67" s="15"/>
      <c r="D67" s="16"/>
      <c r="E67" s="13">
        <f t="shared" ref="E67:Y67" si="17">SUM(E57:E66)</f>
        <v>145</v>
      </c>
      <c r="F67" s="13">
        <f t="shared" si="17"/>
        <v>167</v>
      </c>
      <c r="G67" s="13">
        <f t="shared" si="17"/>
        <v>116</v>
      </c>
      <c r="H67" s="13">
        <f t="shared" si="17"/>
        <v>118</v>
      </c>
      <c r="I67" s="13">
        <f t="shared" si="17"/>
        <v>202</v>
      </c>
      <c r="J67" s="13">
        <f t="shared" si="17"/>
        <v>133</v>
      </c>
      <c r="K67" s="13">
        <f t="shared" si="17"/>
        <v>149</v>
      </c>
      <c r="L67" s="13">
        <f t="shared" si="17"/>
        <v>77</v>
      </c>
      <c r="M67" s="13">
        <f t="shared" si="17"/>
        <v>103</v>
      </c>
      <c r="N67" s="13">
        <f t="shared" si="17"/>
        <v>194</v>
      </c>
      <c r="O67" s="13">
        <f t="shared" si="17"/>
        <v>155</v>
      </c>
      <c r="P67" s="13">
        <f t="shared" si="17"/>
        <v>162</v>
      </c>
      <c r="Q67" s="13">
        <f t="shared" si="17"/>
        <v>209</v>
      </c>
      <c r="R67" s="13">
        <f t="shared" si="17"/>
        <v>138</v>
      </c>
      <c r="S67" s="13">
        <f t="shared" si="17"/>
        <v>127</v>
      </c>
      <c r="T67" s="13">
        <f t="shared" si="17"/>
        <v>217</v>
      </c>
      <c r="U67" s="13">
        <f t="shared" si="17"/>
        <v>195</v>
      </c>
      <c r="V67" s="13">
        <f t="shared" si="17"/>
        <v>186</v>
      </c>
      <c r="W67" s="13">
        <f t="shared" si="17"/>
        <v>234</v>
      </c>
      <c r="X67" s="13">
        <f t="shared" si="17"/>
        <v>197</v>
      </c>
      <c r="Y67" s="13">
        <f t="shared" si="17"/>
        <v>3224</v>
      </c>
    </row>
    <row r="68" ht="12.75" customHeight="1">
      <c r="A68" s="45"/>
      <c r="B68" s="44"/>
      <c r="C68" s="44"/>
      <c r="D68" s="44"/>
      <c r="E68" s="44"/>
    </row>
    <row r="69" ht="12.75" customHeight="1">
      <c r="A69" s="30" t="s">
        <v>37</v>
      </c>
      <c r="B69" s="47" t="s">
        <v>21</v>
      </c>
      <c r="C69" s="48" t="s">
        <v>56</v>
      </c>
      <c r="D69" s="16"/>
      <c r="E69" s="19">
        <v>2.0</v>
      </c>
      <c r="F69" s="19">
        <v>3.0</v>
      </c>
      <c r="G69" s="19">
        <v>2.0</v>
      </c>
      <c r="H69" s="19">
        <v>1.0</v>
      </c>
      <c r="I69" s="19">
        <v>2.0</v>
      </c>
      <c r="J69" s="19">
        <v>7.0</v>
      </c>
      <c r="K69" s="19">
        <v>7.0</v>
      </c>
      <c r="L69" s="19">
        <v>1.0</v>
      </c>
      <c r="M69" s="19">
        <v>0.0</v>
      </c>
      <c r="N69" s="19">
        <v>5.0</v>
      </c>
      <c r="O69" s="19">
        <v>1.0</v>
      </c>
      <c r="P69" s="19">
        <v>5.0</v>
      </c>
      <c r="Q69" s="19">
        <v>2.0</v>
      </c>
      <c r="R69" s="19">
        <v>2.0</v>
      </c>
      <c r="S69" s="19">
        <v>3.0</v>
      </c>
      <c r="T69" s="19">
        <v>0.0</v>
      </c>
      <c r="U69" s="19">
        <v>1.0</v>
      </c>
      <c r="V69" s="19">
        <v>0.0</v>
      </c>
      <c r="W69" s="19">
        <v>0.0</v>
      </c>
      <c r="X69" s="19">
        <v>0.0</v>
      </c>
      <c r="Y69" s="13">
        <f t="shared" ref="Y69:Y78" si="18">SUM(E69:X69)</f>
        <v>44</v>
      </c>
    </row>
    <row r="70" ht="12.75" customHeight="1">
      <c r="A70" s="30" t="s">
        <v>39</v>
      </c>
      <c r="B70" s="55">
        <v>1.0</v>
      </c>
      <c r="C70" s="50" t="s">
        <v>57</v>
      </c>
      <c r="D70" s="60"/>
      <c r="E70" s="19">
        <v>1.0</v>
      </c>
      <c r="F70" s="19">
        <v>0.0</v>
      </c>
      <c r="G70" s="19">
        <v>0.0</v>
      </c>
      <c r="H70" s="19">
        <v>0.0</v>
      </c>
      <c r="I70" s="19">
        <v>2.0</v>
      </c>
      <c r="J70" s="19">
        <v>0.0</v>
      </c>
      <c r="K70" s="19">
        <v>0.0</v>
      </c>
      <c r="L70" s="19">
        <v>0.0</v>
      </c>
      <c r="M70" s="19">
        <v>1.0</v>
      </c>
      <c r="N70" s="19">
        <v>2.0</v>
      </c>
      <c r="O70" s="19">
        <v>3.0</v>
      </c>
      <c r="P70" s="19">
        <v>0.0</v>
      </c>
      <c r="Q70" s="19">
        <v>0.0</v>
      </c>
      <c r="R70" s="19">
        <v>1.0</v>
      </c>
      <c r="S70" s="19">
        <v>0.0</v>
      </c>
      <c r="T70" s="19">
        <v>0.0</v>
      </c>
      <c r="U70" s="19">
        <v>1.0</v>
      </c>
      <c r="V70" s="19">
        <v>1.0</v>
      </c>
      <c r="W70" s="19">
        <v>1.0</v>
      </c>
      <c r="X70" s="19">
        <v>0.0</v>
      </c>
      <c r="Y70" s="13">
        <f t="shared" si="18"/>
        <v>13</v>
      </c>
    </row>
    <row r="71" ht="12.75" customHeight="1">
      <c r="A71" s="18"/>
      <c r="B71" s="55">
        <v>2.0</v>
      </c>
      <c r="C71" s="50" t="s">
        <v>58</v>
      </c>
      <c r="D71" s="60"/>
      <c r="E71" s="19">
        <v>0.0</v>
      </c>
      <c r="F71" s="19">
        <v>1.0</v>
      </c>
      <c r="G71" s="19">
        <v>0.0</v>
      </c>
      <c r="H71" s="19">
        <v>0.0</v>
      </c>
      <c r="I71" s="19">
        <v>2.0</v>
      </c>
      <c r="J71" s="19">
        <v>1.0</v>
      </c>
      <c r="K71" s="19">
        <v>0.0</v>
      </c>
      <c r="L71" s="19">
        <v>0.0</v>
      </c>
      <c r="M71" s="19">
        <v>0.0</v>
      </c>
      <c r="N71" s="19">
        <v>0.0</v>
      </c>
      <c r="O71" s="19">
        <v>0.0</v>
      </c>
      <c r="P71" s="19">
        <v>0.0</v>
      </c>
      <c r="Q71" s="19">
        <v>0.0</v>
      </c>
      <c r="R71" s="19">
        <v>0.0</v>
      </c>
      <c r="S71" s="19">
        <v>2.0</v>
      </c>
      <c r="T71" s="19">
        <v>0.0</v>
      </c>
      <c r="U71" s="19">
        <v>0.0</v>
      </c>
      <c r="V71" s="19">
        <v>1.0</v>
      </c>
      <c r="W71" s="19">
        <v>0.0</v>
      </c>
      <c r="X71" s="19">
        <v>0.0</v>
      </c>
      <c r="Y71" s="13">
        <f t="shared" si="18"/>
        <v>7</v>
      </c>
    </row>
    <row r="72" ht="12.75" customHeight="1">
      <c r="A72" s="18"/>
      <c r="B72" s="55">
        <v>3.0</v>
      </c>
      <c r="C72" s="50" t="s">
        <v>59</v>
      </c>
      <c r="D72" s="60"/>
      <c r="E72" s="19">
        <v>0.0</v>
      </c>
      <c r="F72" s="19">
        <v>0.0</v>
      </c>
      <c r="G72" s="19">
        <v>0.0</v>
      </c>
      <c r="H72" s="19">
        <v>1.0</v>
      </c>
      <c r="I72" s="19">
        <v>1.0</v>
      </c>
      <c r="J72" s="19">
        <v>0.0</v>
      </c>
      <c r="K72" s="19">
        <v>0.0</v>
      </c>
      <c r="L72" s="19">
        <v>0.0</v>
      </c>
      <c r="M72" s="19">
        <v>1.0</v>
      </c>
      <c r="N72" s="19">
        <v>0.0</v>
      </c>
      <c r="O72" s="19">
        <v>0.0</v>
      </c>
      <c r="P72" s="19">
        <v>0.0</v>
      </c>
      <c r="Q72" s="19">
        <v>0.0</v>
      </c>
      <c r="R72" s="19">
        <v>0.0</v>
      </c>
      <c r="S72" s="19">
        <v>0.0</v>
      </c>
      <c r="T72" s="19">
        <v>0.0</v>
      </c>
      <c r="U72" s="19">
        <v>0.0</v>
      </c>
      <c r="V72" s="19">
        <v>1.0</v>
      </c>
      <c r="W72" s="19">
        <v>0.0</v>
      </c>
      <c r="X72" s="19">
        <v>0.0</v>
      </c>
      <c r="Y72" s="13">
        <f t="shared" si="18"/>
        <v>4</v>
      </c>
    </row>
    <row r="73" ht="12.75" customHeight="1">
      <c r="A73" s="18"/>
      <c r="B73" s="55">
        <v>4.0</v>
      </c>
      <c r="C73" s="50" t="s">
        <v>60</v>
      </c>
      <c r="D73" s="60"/>
      <c r="E73" s="19">
        <v>0.0</v>
      </c>
      <c r="F73" s="19">
        <v>0.0</v>
      </c>
      <c r="G73" s="19">
        <v>0.0</v>
      </c>
      <c r="H73" s="19">
        <v>0.0</v>
      </c>
      <c r="I73" s="19">
        <v>0.0</v>
      </c>
      <c r="J73" s="19">
        <v>0.0</v>
      </c>
      <c r="K73" s="19">
        <v>0.0</v>
      </c>
      <c r="L73" s="19">
        <v>0.0</v>
      </c>
      <c r="M73" s="19">
        <v>0.0</v>
      </c>
      <c r="N73" s="19">
        <v>0.0</v>
      </c>
      <c r="O73" s="19">
        <v>0.0</v>
      </c>
      <c r="P73" s="19">
        <v>0.0</v>
      </c>
      <c r="Q73" s="19">
        <v>0.0</v>
      </c>
      <c r="R73" s="19">
        <v>0.0</v>
      </c>
      <c r="S73" s="19">
        <v>0.0</v>
      </c>
      <c r="T73" s="19">
        <v>0.0</v>
      </c>
      <c r="U73" s="19">
        <v>1.0</v>
      </c>
      <c r="V73" s="19">
        <v>0.0</v>
      </c>
      <c r="W73" s="19">
        <v>0.0</v>
      </c>
      <c r="X73" s="19">
        <v>0.0</v>
      </c>
      <c r="Y73" s="13">
        <f t="shared" si="18"/>
        <v>1</v>
      </c>
    </row>
    <row r="74" ht="12.75" customHeight="1">
      <c r="A74" s="18"/>
      <c r="B74" s="55">
        <v>5.0</v>
      </c>
      <c r="C74" s="50" t="s">
        <v>61</v>
      </c>
      <c r="D74" s="60"/>
      <c r="E74" s="19">
        <v>2.0</v>
      </c>
      <c r="F74" s="19">
        <v>1.0</v>
      </c>
      <c r="G74" s="19">
        <v>0.0</v>
      </c>
      <c r="H74" s="19">
        <v>1.0</v>
      </c>
      <c r="I74" s="19">
        <v>1.0</v>
      </c>
      <c r="J74" s="19">
        <v>0.0</v>
      </c>
      <c r="K74" s="19">
        <v>0.0</v>
      </c>
      <c r="L74" s="19">
        <v>1.0</v>
      </c>
      <c r="M74" s="19">
        <v>0.0</v>
      </c>
      <c r="N74" s="19">
        <v>0.0</v>
      </c>
      <c r="O74" s="19">
        <v>0.0</v>
      </c>
      <c r="P74" s="19">
        <v>0.0</v>
      </c>
      <c r="Q74" s="19">
        <v>0.0</v>
      </c>
      <c r="R74" s="19">
        <v>0.0</v>
      </c>
      <c r="S74" s="19">
        <v>2.0</v>
      </c>
      <c r="T74" s="19">
        <v>0.0</v>
      </c>
      <c r="U74" s="19">
        <v>0.0</v>
      </c>
      <c r="V74" s="19">
        <v>0.0</v>
      </c>
      <c r="W74" s="19">
        <v>0.0</v>
      </c>
      <c r="X74" s="19">
        <v>0.0</v>
      </c>
      <c r="Y74" s="13">
        <f t="shared" si="18"/>
        <v>8</v>
      </c>
    </row>
    <row r="75" ht="12.75" customHeight="1">
      <c r="A75" s="18"/>
      <c r="B75" s="55">
        <v>6.0</v>
      </c>
      <c r="C75" s="50" t="s">
        <v>62</v>
      </c>
      <c r="D75" s="60"/>
      <c r="E75" s="19">
        <v>0.0</v>
      </c>
      <c r="F75" s="19">
        <v>0.0</v>
      </c>
      <c r="G75" s="19">
        <v>0.0</v>
      </c>
      <c r="H75" s="19">
        <v>0.0</v>
      </c>
      <c r="I75" s="19">
        <v>0.0</v>
      </c>
      <c r="J75" s="19">
        <v>1.0</v>
      </c>
      <c r="K75" s="19">
        <v>0.0</v>
      </c>
      <c r="L75" s="19">
        <v>0.0</v>
      </c>
      <c r="M75" s="19">
        <v>0.0</v>
      </c>
      <c r="N75" s="19">
        <v>0.0</v>
      </c>
      <c r="O75" s="19">
        <v>0.0</v>
      </c>
      <c r="P75" s="19">
        <v>0.0</v>
      </c>
      <c r="Q75" s="19">
        <v>0.0</v>
      </c>
      <c r="R75" s="19">
        <v>1.0</v>
      </c>
      <c r="S75" s="19">
        <v>0.0</v>
      </c>
      <c r="T75" s="19">
        <v>0.0</v>
      </c>
      <c r="U75" s="19">
        <v>0.0</v>
      </c>
      <c r="V75" s="19">
        <v>0.0</v>
      </c>
      <c r="W75" s="19">
        <v>0.0</v>
      </c>
      <c r="X75" s="19">
        <v>0.0</v>
      </c>
      <c r="Y75" s="13">
        <f t="shared" si="18"/>
        <v>2</v>
      </c>
    </row>
    <row r="76" ht="12.75" customHeight="1">
      <c r="A76" s="18"/>
      <c r="B76" s="55">
        <v>7.0</v>
      </c>
      <c r="C76" s="50" t="s">
        <v>63</v>
      </c>
      <c r="D76" s="60"/>
      <c r="E76" s="19">
        <v>1.0</v>
      </c>
      <c r="F76" s="19">
        <v>1.0</v>
      </c>
      <c r="G76" s="19">
        <v>2.0</v>
      </c>
      <c r="H76" s="19">
        <v>0.0</v>
      </c>
      <c r="I76" s="19">
        <v>0.0</v>
      </c>
      <c r="J76" s="19">
        <v>1.0</v>
      </c>
      <c r="K76" s="19">
        <v>4.0</v>
      </c>
      <c r="L76" s="19">
        <v>3.0</v>
      </c>
      <c r="M76" s="19">
        <v>3.0</v>
      </c>
      <c r="N76" s="19">
        <v>1.0</v>
      </c>
      <c r="O76" s="19">
        <v>4.0</v>
      </c>
      <c r="P76" s="19">
        <v>6.0</v>
      </c>
      <c r="Q76" s="19">
        <v>3.0</v>
      </c>
      <c r="R76" s="19">
        <v>18.0</v>
      </c>
      <c r="S76" s="19">
        <v>9.0</v>
      </c>
      <c r="T76" s="19">
        <v>0.0</v>
      </c>
      <c r="U76" s="19">
        <v>13.0</v>
      </c>
      <c r="V76" s="19">
        <v>10.0</v>
      </c>
      <c r="W76" s="19">
        <v>2.0</v>
      </c>
      <c r="X76" s="19">
        <v>0.0</v>
      </c>
      <c r="Y76" s="13">
        <f t="shared" si="18"/>
        <v>81</v>
      </c>
    </row>
    <row r="77" ht="12.75" customHeight="1">
      <c r="A77" s="18"/>
      <c r="B77" s="56"/>
      <c r="C77" s="57"/>
      <c r="D77" s="62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3">
        <f t="shared" si="18"/>
        <v>0</v>
      </c>
    </row>
    <row r="78" ht="12.75" customHeight="1">
      <c r="A78" s="18"/>
      <c r="B78" s="56"/>
      <c r="C78" s="57"/>
      <c r="D78" s="62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3">
        <f t="shared" si="18"/>
        <v>0</v>
      </c>
    </row>
    <row r="79" ht="12.75" customHeight="1">
      <c r="A79" s="19" t="s">
        <v>15</v>
      </c>
      <c r="B79" s="47" t="s">
        <v>47</v>
      </c>
      <c r="C79" s="15"/>
      <c r="D79" s="16"/>
      <c r="E79" s="13">
        <f t="shared" ref="E79:Y79" si="19">SUM(E69:E78)</f>
        <v>6</v>
      </c>
      <c r="F79" s="13">
        <f t="shared" si="19"/>
        <v>6</v>
      </c>
      <c r="G79" s="13">
        <f t="shared" si="19"/>
        <v>4</v>
      </c>
      <c r="H79" s="13">
        <f t="shared" si="19"/>
        <v>3</v>
      </c>
      <c r="I79" s="13">
        <f t="shared" si="19"/>
        <v>8</v>
      </c>
      <c r="J79" s="13">
        <f t="shared" si="19"/>
        <v>10</v>
      </c>
      <c r="K79" s="13">
        <f t="shared" si="19"/>
        <v>11</v>
      </c>
      <c r="L79" s="13">
        <f t="shared" si="19"/>
        <v>5</v>
      </c>
      <c r="M79" s="13">
        <f t="shared" si="19"/>
        <v>5</v>
      </c>
      <c r="N79" s="13">
        <f t="shared" si="19"/>
        <v>8</v>
      </c>
      <c r="O79" s="13">
        <f t="shared" si="19"/>
        <v>8</v>
      </c>
      <c r="P79" s="13">
        <f t="shared" si="19"/>
        <v>11</v>
      </c>
      <c r="Q79" s="13">
        <f t="shared" si="19"/>
        <v>5</v>
      </c>
      <c r="R79" s="13">
        <f t="shared" si="19"/>
        <v>22</v>
      </c>
      <c r="S79" s="13">
        <f t="shared" si="19"/>
        <v>16</v>
      </c>
      <c r="T79" s="13">
        <f t="shared" si="19"/>
        <v>0</v>
      </c>
      <c r="U79" s="13">
        <f t="shared" si="19"/>
        <v>16</v>
      </c>
      <c r="V79" s="13">
        <f t="shared" si="19"/>
        <v>13</v>
      </c>
      <c r="W79" s="13">
        <f t="shared" si="19"/>
        <v>3</v>
      </c>
      <c r="X79" s="13">
        <f t="shared" si="19"/>
        <v>0</v>
      </c>
      <c r="Y79" s="13">
        <f t="shared" si="19"/>
        <v>160</v>
      </c>
    </row>
    <row r="80" ht="12.75" customHeight="1">
      <c r="A80" s="45"/>
      <c r="B80" s="44"/>
      <c r="C80" s="44"/>
      <c r="D80" s="44"/>
      <c r="E80" s="44"/>
    </row>
    <row r="81" ht="12.75" customHeight="1">
      <c r="A81" s="30" t="s">
        <v>37</v>
      </c>
      <c r="B81" s="47" t="s">
        <v>23</v>
      </c>
      <c r="C81" s="48" t="s">
        <v>64</v>
      </c>
      <c r="D81" s="16"/>
      <c r="E81" s="19">
        <v>1.0</v>
      </c>
      <c r="F81" s="19">
        <v>1.0</v>
      </c>
      <c r="G81" s="19">
        <v>0.0</v>
      </c>
      <c r="H81" s="19">
        <v>2.0</v>
      </c>
      <c r="I81" s="19">
        <v>0.0</v>
      </c>
      <c r="J81" s="19">
        <v>5.0</v>
      </c>
      <c r="K81" s="19">
        <v>1.0</v>
      </c>
      <c r="L81" s="19">
        <v>1.0</v>
      </c>
      <c r="M81" s="19">
        <v>0.0</v>
      </c>
      <c r="N81" s="19">
        <v>3.0</v>
      </c>
      <c r="O81" s="19">
        <v>1.0</v>
      </c>
      <c r="P81" s="19">
        <v>2.0</v>
      </c>
      <c r="Q81" s="19">
        <v>0.0</v>
      </c>
      <c r="R81" s="19">
        <v>0.0</v>
      </c>
      <c r="S81" s="19">
        <v>1.0</v>
      </c>
      <c r="T81" s="19">
        <v>1.0</v>
      </c>
      <c r="U81" s="19">
        <v>1.0</v>
      </c>
      <c r="V81" s="19">
        <v>1.0</v>
      </c>
      <c r="W81" s="19">
        <v>1.0</v>
      </c>
      <c r="X81" s="19">
        <v>0.0</v>
      </c>
      <c r="Y81" s="13">
        <f t="shared" ref="Y81:Y90" si="20">SUM(E81:X81)</f>
        <v>22</v>
      </c>
    </row>
    <row r="82" ht="12.75" customHeight="1">
      <c r="A82" s="30" t="s">
        <v>39</v>
      </c>
      <c r="B82" s="55">
        <v>1.0</v>
      </c>
      <c r="C82" s="50" t="s">
        <v>65</v>
      </c>
      <c r="D82" s="60"/>
      <c r="E82" s="19">
        <v>4.0</v>
      </c>
      <c r="F82" s="19">
        <v>0.0</v>
      </c>
      <c r="G82" s="19">
        <v>18.0</v>
      </c>
      <c r="H82" s="19">
        <v>2.0</v>
      </c>
      <c r="I82" s="19">
        <v>2.0</v>
      </c>
      <c r="J82" s="19">
        <v>9.0</v>
      </c>
      <c r="K82" s="19">
        <v>9.0</v>
      </c>
      <c r="L82" s="19">
        <v>1.0</v>
      </c>
      <c r="M82" s="19">
        <v>1.0</v>
      </c>
      <c r="N82" s="19">
        <v>5.0</v>
      </c>
      <c r="O82" s="19">
        <v>7.0</v>
      </c>
      <c r="P82" s="19">
        <v>0.0</v>
      </c>
      <c r="Q82" s="19">
        <v>0.0</v>
      </c>
      <c r="R82" s="19">
        <v>2.0</v>
      </c>
      <c r="S82" s="19">
        <v>25.0</v>
      </c>
      <c r="T82" s="19">
        <v>2.0</v>
      </c>
      <c r="U82" s="19">
        <v>3.0</v>
      </c>
      <c r="V82" s="19">
        <v>3.0</v>
      </c>
      <c r="W82" s="19">
        <v>1.0</v>
      </c>
      <c r="X82" s="19">
        <v>0.0</v>
      </c>
      <c r="Y82" s="13">
        <f t="shared" si="20"/>
        <v>94</v>
      </c>
    </row>
    <row r="83" ht="12.75" customHeight="1">
      <c r="A83" s="18"/>
      <c r="B83" s="55">
        <v>2.0</v>
      </c>
      <c r="C83" s="50" t="s">
        <v>66</v>
      </c>
      <c r="D83" s="60"/>
      <c r="E83" s="19">
        <v>2.0</v>
      </c>
      <c r="F83" s="19">
        <v>1.0</v>
      </c>
      <c r="G83" s="19">
        <v>1.0</v>
      </c>
      <c r="H83" s="19">
        <v>1.0</v>
      </c>
      <c r="I83" s="19">
        <v>2.0</v>
      </c>
      <c r="J83" s="19">
        <v>0.0</v>
      </c>
      <c r="K83" s="19">
        <v>11.0</v>
      </c>
      <c r="L83" s="19">
        <v>2.0</v>
      </c>
      <c r="M83" s="19">
        <v>0.0</v>
      </c>
      <c r="N83" s="19">
        <v>0.0</v>
      </c>
      <c r="O83" s="19">
        <v>3.0</v>
      </c>
      <c r="P83" s="19">
        <v>0.0</v>
      </c>
      <c r="Q83" s="19">
        <v>0.0</v>
      </c>
      <c r="R83" s="19">
        <v>0.0</v>
      </c>
      <c r="S83" s="19">
        <v>3.0</v>
      </c>
      <c r="T83" s="19">
        <v>0.0</v>
      </c>
      <c r="U83" s="19">
        <v>1.0</v>
      </c>
      <c r="V83" s="19">
        <v>0.0</v>
      </c>
      <c r="W83" s="19">
        <v>0.0</v>
      </c>
      <c r="X83" s="19">
        <v>0.0</v>
      </c>
      <c r="Y83" s="13">
        <f t="shared" si="20"/>
        <v>27</v>
      </c>
    </row>
    <row r="84" ht="12.75" customHeight="1">
      <c r="A84" s="18"/>
      <c r="B84" s="55">
        <v>3.0</v>
      </c>
      <c r="C84" s="50" t="s">
        <v>67</v>
      </c>
      <c r="D84" s="60"/>
      <c r="E84" s="19">
        <v>0.0</v>
      </c>
      <c r="F84" s="19">
        <v>0.0</v>
      </c>
      <c r="G84" s="19">
        <v>0.0</v>
      </c>
      <c r="H84" s="19">
        <v>1.0</v>
      </c>
      <c r="I84" s="19">
        <v>0.0</v>
      </c>
      <c r="J84" s="19">
        <v>1.0</v>
      </c>
      <c r="K84" s="19">
        <v>0.0</v>
      </c>
      <c r="L84" s="19">
        <v>0.0</v>
      </c>
      <c r="M84" s="19">
        <v>0.0</v>
      </c>
      <c r="N84" s="19">
        <v>0.0</v>
      </c>
      <c r="O84" s="19">
        <v>0.0</v>
      </c>
      <c r="P84" s="19">
        <v>0.0</v>
      </c>
      <c r="Q84" s="19">
        <v>0.0</v>
      </c>
      <c r="R84" s="19">
        <v>1.0</v>
      </c>
      <c r="S84" s="19">
        <v>0.0</v>
      </c>
      <c r="T84" s="19">
        <v>0.0</v>
      </c>
      <c r="U84" s="19">
        <v>0.0</v>
      </c>
      <c r="V84" s="19">
        <v>0.0</v>
      </c>
      <c r="W84" s="19">
        <v>0.0</v>
      </c>
      <c r="X84" s="19">
        <v>0.0</v>
      </c>
      <c r="Y84" s="13">
        <f t="shared" si="20"/>
        <v>3</v>
      </c>
    </row>
    <row r="85" ht="12.75" customHeight="1">
      <c r="A85" s="18"/>
      <c r="B85" s="55">
        <v>4.0</v>
      </c>
      <c r="C85" s="50" t="s">
        <v>68</v>
      </c>
      <c r="D85" s="60"/>
      <c r="E85" s="19">
        <v>0.0</v>
      </c>
      <c r="F85" s="19">
        <v>0.0</v>
      </c>
      <c r="G85" s="19">
        <v>0.0</v>
      </c>
      <c r="H85" s="19">
        <v>0.0</v>
      </c>
      <c r="I85" s="19">
        <v>0.0</v>
      </c>
      <c r="J85" s="19">
        <v>0.0</v>
      </c>
      <c r="K85" s="19">
        <v>0.0</v>
      </c>
      <c r="L85" s="19">
        <v>0.0</v>
      </c>
      <c r="M85" s="19">
        <v>2.0</v>
      </c>
      <c r="N85" s="19">
        <v>0.0</v>
      </c>
      <c r="O85" s="19">
        <v>0.0</v>
      </c>
      <c r="P85" s="19">
        <v>0.0</v>
      </c>
      <c r="Q85" s="19">
        <v>1.0</v>
      </c>
      <c r="R85" s="19">
        <v>0.0</v>
      </c>
      <c r="S85" s="19">
        <v>0.0</v>
      </c>
      <c r="T85" s="19">
        <v>0.0</v>
      </c>
      <c r="U85" s="19">
        <v>0.0</v>
      </c>
      <c r="V85" s="19">
        <v>0.0</v>
      </c>
      <c r="W85" s="19">
        <v>0.0</v>
      </c>
      <c r="X85" s="19">
        <v>0.0</v>
      </c>
      <c r="Y85" s="13">
        <f t="shared" si="20"/>
        <v>3</v>
      </c>
    </row>
    <row r="86" ht="12.75" customHeight="1">
      <c r="A86" s="18"/>
      <c r="B86" s="55">
        <v>5.0</v>
      </c>
      <c r="C86" s="50" t="s">
        <v>69</v>
      </c>
      <c r="D86" s="60"/>
      <c r="E86" s="19">
        <v>0.0</v>
      </c>
      <c r="F86" s="19">
        <v>0.0</v>
      </c>
      <c r="G86" s="19">
        <v>0.0</v>
      </c>
      <c r="H86" s="19">
        <v>0.0</v>
      </c>
      <c r="I86" s="19">
        <v>0.0</v>
      </c>
      <c r="J86" s="19">
        <v>0.0</v>
      </c>
      <c r="K86" s="19">
        <v>0.0</v>
      </c>
      <c r="L86" s="19">
        <v>0.0</v>
      </c>
      <c r="M86" s="19">
        <v>0.0</v>
      </c>
      <c r="N86" s="19">
        <v>0.0</v>
      </c>
      <c r="O86" s="19">
        <v>1.0</v>
      </c>
      <c r="P86" s="19">
        <v>0.0</v>
      </c>
      <c r="Q86" s="19">
        <v>0.0</v>
      </c>
      <c r="R86" s="19">
        <v>0.0</v>
      </c>
      <c r="S86" s="19">
        <v>0.0</v>
      </c>
      <c r="T86" s="19">
        <v>0.0</v>
      </c>
      <c r="U86" s="19">
        <v>0.0</v>
      </c>
      <c r="V86" s="19">
        <v>0.0</v>
      </c>
      <c r="W86" s="19">
        <v>0.0</v>
      </c>
      <c r="X86" s="19">
        <v>0.0</v>
      </c>
      <c r="Y86" s="13">
        <f t="shared" si="20"/>
        <v>1</v>
      </c>
    </row>
    <row r="87" ht="12.75" customHeight="1">
      <c r="A87" s="18"/>
      <c r="B87" s="55">
        <v>6.0</v>
      </c>
      <c r="C87" s="50" t="s">
        <v>70</v>
      </c>
      <c r="D87" s="60"/>
      <c r="E87" s="19">
        <v>0.0</v>
      </c>
      <c r="F87" s="19">
        <v>0.0</v>
      </c>
      <c r="G87" s="19">
        <v>0.0</v>
      </c>
      <c r="H87" s="19">
        <v>0.0</v>
      </c>
      <c r="I87" s="19">
        <v>0.0</v>
      </c>
      <c r="J87" s="19">
        <v>0.0</v>
      </c>
      <c r="K87" s="19">
        <v>0.0</v>
      </c>
      <c r="L87" s="19">
        <v>0.0</v>
      </c>
      <c r="M87" s="19">
        <v>0.0</v>
      </c>
      <c r="N87" s="19">
        <v>0.0</v>
      </c>
      <c r="O87" s="19">
        <v>0.0</v>
      </c>
      <c r="P87" s="19">
        <v>0.0</v>
      </c>
      <c r="Q87" s="19">
        <v>0.0</v>
      </c>
      <c r="R87" s="19">
        <v>0.0</v>
      </c>
      <c r="S87" s="19">
        <v>0.0</v>
      </c>
      <c r="T87" s="19">
        <v>0.0</v>
      </c>
      <c r="U87" s="19">
        <v>0.0</v>
      </c>
      <c r="V87" s="19">
        <v>0.0</v>
      </c>
      <c r="W87" s="19">
        <v>0.0</v>
      </c>
      <c r="X87" s="19">
        <v>0.0</v>
      </c>
      <c r="Y87" s="13">
        <f t="shared" si="20"/>
        <v>0</v>
      </c>
    </row>
    <row r="88" ht="12.75" customHeight="1">
      <c r="A88" s="18"/>
      <c r="B88" s="55">
        <v>7.0</v>
      </c>
      <c r="C88" s="50" t="s">
        <v>71</v>
      </c>
      <c r="D88" s="60"/>
      <c r="E88" s="19">
        <v>0.0</v>
      </c>
      <c r="F88" s="19">
        <v>0.0</v>
      </c>
      <c r="G88" s="19">
        <v>0.0</v>
      </c>
      <c r="H88" s="19">
        <v>0.0</v>
      </c>
      <c r="I88" s="19">
        <v>0.0</v>
      </c>
      <c r="J88" s="19">
        <v>0.0</v>
      </c>
      <c r="K88" s="19">
        <v>0.0</v>
      </c>
      <c r="L88" s="19">
        <v>0.0</v>
      </c>
      <c r="M88" s="19">
        <v>0.0</v>
      </c>
      <c r="N88" s="19">
        <v>0.0</v>
      </c>
      <c r="O88" s="19">
        <v>0.0</v>
      </c>
      <c r="P88" s="19">
        <v>0.0</v>
      </c>
      <c r="Q88" s="19">
        <v>0.0</v>
      </c>
      <c r="R88" s="19">
        <v>0.0</v>
      </c>
      <c r="S88" s="19">
        <v>1.0</v>
      </c>
      <c r="T88" s="19">
        <v>0.0</v>
      </c>
      <c r="U88" s="19">
        <v>0.0</v>
      </c>
      <c r="V88" s="19">
        <v>0.0</v>
      </c>
      <c r="W88" s="19">
        <v>0.0</v>
      </c>
      <c r="X88" s="19">
        <v>0.0</v>
      </c>
      <c r="Y88" s="13">
        <f t="shared" si="20"/>
        <v>1</v>
      </c>
    </row>
    <row r="89" ht="12.75" customHeight="1">
      <c r="A89" s="18"/>
      <c r="B89" s="56"/>
      <c r="C89" s="57"/>
      <c r="D89" s="62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3">
        <f t="shared" si="20"/>
        <v>0</v>
      </c>
    </row>
    <row r="90" ht="12.75" customHeight="1">
      <c r="A90" s="18"/>
      <c r="B90" s="56"/>
      <c r="C90" s="57"/>
      <c r="D90" s="62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3">
        <f t="shared" si="20"/>
        <v>0</v>
      </c>
    </row>
    <row r="91" ht="12.75" customHeight="1">
      <c r="A91" s="19" t="s">
        <v>15</v>
      </c>
      <c r="B91" s="47" t="s">
        <v>47</v>
      </c>
      <c r="C91" s="15"/>
      <c r="D91" s="16"/>
      <c r="E91" s="13">
        <f t="shared" ref="E91:Y91" si="21">SUM(E81:E90)</f>
        <v>7</v>
      </c>
      <c r="F91" s="13">
        <f t="shared" si="21"/>
        <v>2</v>
      </c>
      <c r="G91" s="13">
        <f t="shared" si="21"/>
        <v>19</v>
      </c>
      <c r="H91" s="13">
        <f t="shared" si="21"/>
        <v>6</v>
      </c>
      <c r="I91" s="13">
        <f t="shared" si="21"/>
        <v>4</v>
      </c>
      <c r="J91" s="13">
        <f t="shared" si="21"/>
        <v>15</v>
      </c>
      <c r="K91" s="13">
        <f t="shared" si="21"/>
        <v>21</v>
      </c>
      <c r="L91" s="13">
        <f t="shared" si="21"/>
        <v>4</v>
      </c>
      <c r="M91" s="13">
        <f t="shared" si="21"/>
        <v>3</v>
      </c>
      <c r="N91" s="13">
        <f t="shared" si="21"/>
        <v>8</v>
      </c>
      <c r="O91" s="13">
        <f t="shared" si="21"/>
        <v>12</v>
      </c>
      <c r="P91" s="13">
        <f t="shared" si="21"/>
        <v>2</v>
      </c>
      <c r="Q91" s="13">
        <f t="shared" si="21"/>
        <v>1</v>
      </c>
      <c r="R91" s="13">
        <f t="shared" si="21"/>
        <v>3</v>
      </c>
      <c r="S91" s="13">
        <f t="shared" si="21"/>
        <v>30</v>
      </c>
      <c r="T91" s="13">
        <f t="shared" si="21"/>
        <v>3</v>
      </c>
      <c r="U91" s="13">
        <f t="shared" si="21"/>
        <v>5</v>
      </c>
      <c r="V91" s="13">
        <f t="shared" si="21"/>
        <v>4</v>
      </c>
      <c r="W91" s="13">
        <f t="shared" si="21"/>
        <v>2</v>
      </c>
      <c r="X91" s="13">
        <f t="shared" si="21"/>
        <v>0</v>
      </c>
      <c r="Y91" s="13">
        <f t="shared" si="21"/>
        <v>151</v>
      </c>
    </row>
    <row r="92" ht="12.75" customHeight="1">
      <c r="A92" s="45"/>
      <c r="B92" s="44"/>
      <c r="C92" s="44"/>
      <c r="D92" s="44"/>
      <c r="E92" s="44"/>
    </row>
    <row r="93" ht="12.75" customHeight="1">
      <c r="A93" s="30" t="s">
        <v>37</v>
      </c>
      <c r="B93" s="47" t="s">
        <v>72</v>
      </c>
      <c r="C93" s="48" t="s">
        <v>73</v>
      </c>
      <c r="D93" s="16"/>
      <c r="E93" s="19">
        <v>0.0</v>
      </c>
      <c r="F93" s="19">
        <v>0.0</v>
      </c>
      <c r="G93" s="19">
        <v>0.0</v>
      </c>
      <c r="H93" s="19">
        <v>0.0</v>
      </c>
      <c r="I93" s="19">
        <v>0.0</v>
      </c>
      <c r="J93" s="19">
        <v>0.0</v>
      </c>
      <c r="K93" s="19">
        <v>1.0</v>
      </c>
      <c r="L93" s="19">
        <v>0.0</v>
      </c>
      <c r="M93" s="19">
        <v>0.0</v>
      </c>
      <c r="N93" s="19">
        <v>0.0</v>
      </c>
      <c r="O93" s="19">
        <v>0.0</v>
      </c>
      <c r="P93" s="19">
        <v>0.0</v>
      </c>
      <c r="Q93" s="19">
        <v>0.0</v>
      </c>
      <c r="R93" s="19">
        <v>1.0</v>
      </c>
      <c r="S93" s="19">
        <v>1.0</v>
      </c>
      <c r="T93" s="19">
        <v>0.0</v>
      </c>
      <c r="U93" s="19">
        <v>0.0</v>
      </c>
      <c r="V93" s="19">
        <v>1.0</v>
      </c>
      <c r="W93" s="19">
        <v>0.0</v>
      </c>
      <c r="X93" s="19">
        <v>0.0</v>
      </c>
      <c r="Y93" s="13">
        <f t="shared" ref="Y93:Y102" si="22">SUM(E93:X93)</f>
        <v>4</v>
      </c>
    </row>
    <row r="94" ht="12.75" customHeight="1">
      <c r="A94" s="30" t="s">
        <v>39</v>
      </c>
      <c r="B94" s="55">
        <v>1.0</v>
      </c>
      <c r="C94" s="50" t="s">
        <v>74</v>
      </c>
      <c r="D94" s="60"/>
      <c r="E94" s="19">
        <v>0.0</v>
      </c>
      <c r="F94" s="19">
        <v>0.0</v>
      </c>
      <c r="G94" s="19">
        <v>1.0</v>
      </c>
      <c r="H94" s="19">
        <v>0.0</v>
      </c>
      <c r="I94" s="19">
        <v>0.0</v>
      </c>
      <c r="J94" s="19">
        <v>0.0</v>
      </c>
      <c r="K94" s="19">
        <v>0.0</v>
      </c>
      <c r="L94" s="19">
        <v>0.0</v>
      </c>
      <c r="M94" s="19">
        <v>0.0</v>
      </c>
      <c r="N94" s="19">
        <v>1.0</v>
      </c>
      <c r="O94" s="19">
        <v>0.0</v>
      </c>
      <c r="P94" s="19">
        <v>0.0</v>
      </c>
      <c r="Q94" s="19">
        <v>0.0</v>
      </c>
      <c r="R94" s="19">
        <v>0.0</v>
      </c>
      <c r="S94" s="19">
        <v>0.0</v>
      </c>
      <c r="T94" s="19">
        <v>0.0</v>
      </c>
      <c r="U94" s="19">
        <v>0.0</v>
      </c>
      <c r="V94" s="19">
        <v>0.0</v>
      </c>
      <c r="W94" s="19">
        <v>0.0</v>
      </c>
      <c r="X94" s="19">
        <v>0.0</v>
      </c>
      <c r="Y94" s="13">
        <f t="shared" si="22"/>
        <v>2</v>
      </c>
    </row>
    <row r="95" ht="12.75" customHeight="1">
      <c r="A95" s="18"/>
      <c r="B95" s="55">
        <v>2.0</v>
      </c>
      <c r="C95" s="50" t="s">
        <v>75</v>
      </c>
      <c r="D95" s="60"/>
      <c r="E95" s="19">
        <v>0.0</v>
      </c>
      <c r="F95" s="19">
        <v>0.0</v>
      </c>
      <c r="G95" s="19">
        <v>0.0</v>
      </c>
      <c r="H95" s="19">
        <v>0.0</v>
      </c>
      <c r="I95" s="19">
        <v>0.0</v>
      </c>
      <c r="J95" s="19">
        <v>0.0</v>
      </c>
      <c r="K95" s="19">
        <v>0.0</v>
      </c>
      <c r="L95" s="19">
        <v>0.0</v>
      </c>
      <c r="M95" s="19">
        <v>0.0</v>
      </c>
      <c r="N95" s="19">
        <v>0.0</v>
      </c>
      <c r="O95" s="19">
        <v>0.0</v>
      </c>
      <c r="P95" s="19">
        <v>0.0</v>
      </c>
      <c r="Q95" s="19">
        <v>0.0</v>
      </c>
      <c r="R95" s="19">
        <v>0.0</v>
      </c>
      <c r="S95" s="19">
        <v>0.0</v>
      </c>
      <c r="T95" s="19">
        <v>0.0</v>
      </c>
      <c r="U95" s="19">
        <v>0.0</v>
      </c>
      <c r="V95" s="19">
        <v>0.0</v>
      </c>
      <c r="W95" s="19">
        <v>0.0</v>
      </c>
      <c r="X95" s="19">
        <v>0.0</v>
      </c>
      <c r="Y95" s="13">
        <f t="shared" si="22"/>
        <v>0</v>
      </c>
    </row>
    <row r="96" ht="12.75" customHeight="1">
      <c r="A96" s="18"/>
      <c r="B96" s="55">
        <v>3.0</v>
      </c>
      <c r="C96" s="50" t="s">
        <v>76</v>
      </c>
      <c r="D96" s="60"/>
      <c r="E96" s="19">
        <v>0.0</v>
      </c>
      <c r="F96" s="19">
        <v>0.0</v>
      </c>
      <c r="G96" s="19">
        <v>0.0</v>
      </c>
      <c r="H96" s="19">
        <v>0.0</v>
      </c>
      <c r="I96" s="19">
        <v>0.0</v>
      </c>
      <c r="J96" s="19">
        <v>0.0</v>
      </c>
      <c r="K96" s="19">
        <v>0.0</v>
      </c>
      <c r="L96" s="19">
        <v>0.0</v>
      </c>
      <c r="M96" s="19">
        <v>0.0</v>
      </c>
      <c r="N96" s="19">
        <v>0.0</v>
      </c>
      <c r="O96" s="19">
        <v>0.0</v>
      </c>
      <c r="P96" s="19">
        <v>0.0</v>
      </c>
      <c r="Q96" s="19">
        <v>0.0</v>
      </c>
      <c r="R96" s="19">
        <v>0.0</v>
      </c>
      <c r="S96" s="19">
        <v>0.0</v>
      </c>
      <c r="T96" s="19">
        <v>0.0</v>
      </c>
      <c r="U96" s="19">
        <v>0.0</v>
      </c>
      <c r="V96" s="19">
        <v>0.0</v>
      </c>
      <c r="W96" s="19">
        <v>0.0</v>
      </c>
      <c r="X96" s="19">
        <v>0.0</v>
      </c>
      <c r="Y96" s="13">
        <f t="shared" si="22"/>
        <v>0</v>
      </c>
    </row>
    <row r="97" ht="12.75" customHeight="1">
      <c r="A97" s="18"/>
      <c r="B97" s="55">
        <v>4.0</v>
      </c>
      <c r="C97" s="50" t="s">
        <v>77</v>
      </c>
      <c r="D97" s="60"/>
      <c r="E97" s="19">
        <v>0.0</v>
      </c>
      <c r="F97" s="19">
        <v>0.0</v>
      </c>
      <c r="G97" s="19">
        <v>0.0</v>
      </c>
      <c r="H97" s="19">
        <v>0.0</v>
      </c>
      <c r="I97" s="19">
        <v>0.0</v>
      </c>
      <c r="J97" s="19">
        <v>0.0</v>
      </c>
      <c r="K97" s="19">
        <v>0.0</v>
      </c>
      <c r="L97" s="19">
        <v>0.0</v>
      </c>
      <c r="M97" s="19">
        <v>0.0</v>
      </c>
      <c r="N97" s="19">
        <v>0.0</v>
      </c>
      <c r="O97" s="19">
        <v>0.0</v>
      </c>
      <c r="P97" s="19">
        <v>0.0</v>
      </c>
      <c r="Q97" s="19">
        <v>0.0</v>
      </c>
      <c r="R97" s="19">
        <v>0.0</v>
      </c>
      <c r="S97" s="19">
        <v>0.0</v>
      </c>
      <c r="T97" s="19">
        <v>2.0</v>
      </c>
      <c r="U97" s="19">
        <v>0.0</v>
      </c>
      <c r="V97" s="19">
        <v>0.0</v>
      </c>
      <c r="W97" s="19">
        <v>0.0</v>
      </c>
      <c r="X97" s="19">
        <v>0.0</v>
      </c>
      <c r="Y97" s="13">
        <f t="shared" si="22"/>
        <v>2</v>
      </c>
    </row>
    <row r="98" ht="12.75" customHeight="1">
      <c r="A98" s="18"/>
      <c r="B98" s="55">
        <v>5.0</v>
      </c>
      <c r="C98" s="50" t="s">
        <v>78</v>
      </c>
      <c r="D98" s="60"/>
      <c r="E98" s="19">
        <v>0.0</v>
      </c>
      <c r="F98" s="19">
        <v>0.0</v>
      </c>
      <c r="G98" s="19">
        <v>0.0</v>
      </c>
      <c r="H98" s="19">
        <v>0.0</v>
      </c>
      <c r="I98" s="19">
        <v>0.0</v>
      </c>
      <c r="J98" s="19">
        <v>0.0</v>
      </c>
      <c r="K98" s="19">
        <v>0.0</v>
      </c>
      <c r="L98" s="19">
        <v>0.0</v>
      </c>
      <c r="M98" s="19">
        <v>0.0</v>
      </c>
      <c r="N98" s="19">
        <v>0.0</v>
      </c>
      <c r="O98" s="19">
        <v>0.0</v>
      </c>
      <c r="P98" s="19">
        <v>0.0</v>
      </c>
      <c r="Q98" s="19">
        <v>0.0</v>
      </c>
      <c r="R98" s="19">
        <v>0.0</v>
      </c>
      <c r="S98" s="19">
        <v>0.0</v>
      </c>
      <c r="T98" s="19">
        <v>0.0</v>
      </c>
      <c r="U98" s="19">
        <v>0.0</v>
      </c>
      <c r="V98" s="19">
        <v>0.0</v>
      </c>
      <c r="W98" s="19">
        <v>0.0</v>
      </c>
      <c r="X98" s="19">
        <v>0.0</v>
      </c>
      <c r="Y98" s="13">
        <f t="shared" si="22"/>
        <v>0</v>
      </c>
    </row>
    <row r="99" ht="12.75" customHeight="1">
      <c r="A99" s="18"/>
      <c r="B99" s="55">
        <v>6.0</v>
      </c>
      <c r="C99" s="50" t="s">
        <v>79</v>
      </c>
      <c r="D99" s="60"/>
      <c r="E99" s="19">
        <v>0.0</v>
      </c>
      <c r="F99" s="19">
        <v>0.0</v>
      </c>
      <c r="G99" s="19">
        <v>0.0</v>
      </c>
      <c r="H99" s="19">
        <v>0.0</v>
      </c>
      <c r="I99" s="19">
        <v>0.0</v>
      </c>
      <c r="J99" s="19">
        <v>0.0</v>
      </c>
      <c r="K99" s="19">
        <v>0.0</v>
      </c>
      <c r="L99" s="19">
        <v>0.0</v>
      </c>
      <c r="M99" s="19">
        <v>0.0</v>
      </c>
      <c r="N99" s="19">
        <v>0.0</v>
      </c>
      <c r="O99" s="19">
        <v>0.0</v>
      </c>
      <c r="P99" s="19">
        <v>0.0</v>
      </c>
      <c r="Q99" s="19">
        <v>0.0</v>
      </c>
      <c r="R99" s="19">
        <v>0.0</v>
      </c>
      <c r="S99" s="19">
        <v>0.0</v>
      </c>
      <c r="T99" s="19">
        <v>0.0</v>
      </c>
      <c r="U99" s="19">
        <v>0.0</v>
      </c>
      <c r="V99" s="19">
        <v>0.0</v>
      </c>
      <c r="W99" s="19">
        <v>0.0</v>
      </c>
      <c r="X99" s="19">
        <v>0.0</v>
      </c>
      <c r="Y99" s="13">
        <f t="shared" si="22"/>
        <v>0</v>
      </c>
    </row>
    <row r="100" ht="12.75" customHeight="1">
      <c r="A100" s="18"/>
      <c r="B100" s="55">
        <v>7.0</v>
      </c>
      <c r="C100" s="50" t="s">
        <v>80</v>
      </c>
      <c r="D100" s="60"/>
      <c r="E100" s="19">
        <v>0.0</v>
      </c>
      <c r="F100" s="19">
        <v>0.0</v>
      </c>
      <c r="G100" s="19">
        <v>0.0</v>
      </c>
      <c r="H100" s="19">
        <v>0.0</v>
      </c>
      <c r="I100" s="19">
        <v>0.0</v>
      </c>
      <c r="J100" s="19">
        <v>0.0</v>
      </c>
      <c r="K100" s="19">
        <v>0.0</v>
      </c>
      <c r="L100" s="19">
        <v>0.0</v>
      </c>
      <c r="M100" s="19">
        <v>0.0</v>
      </c>
      <c r="N100" s="19">
        <v>0.0</v>
      </c>
      <c r="O100" s="19">
        <v>0.0</v>
      </c>
      <c r="P100" s="19">
        <v>0.0</v>
      </c>
      <c r="Q100" s="19">
        <v>0.0</v>
      </c>
      <c r="R100" s="19">
        <v>0.0</v>
      </c>
      <c r="S100" s="19">
        <v>0.0</v>
      </c>
      <c r="T100" s="19">
        <v>0.0</v>
      </c>
      <c r="U100" s="19">
        <v>0.0</v>
      </c>
      <c r="V100" s="19">
        <v>0.0</v>
      </c>
      <c r="W100" s="19">
        <v>0.0</v>
      </c>
      <c r="X100" s="19">
        <v>0.0</v>
      </c>
      <c r="Y100" s="13">
        <f t="shared" si="22"/>
        <v>0</v>
      </c>
    </row>
    <row r="101" ht="12.75" customHeight="1">
      <c r="A101" s="18"/>
      <c r="B101" s="56"/>
      <c r="C101" s="57"/>
      <c r="D101" s="62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3">
        <f t="shared" si="22"/>
        <v>0</v>
      </c>
    </row>
    <row r="102" ht="12.75" customHeight="1">
      <c r="A102" s="18"/>
      <c r="B102" s="56"/>
      <c r="C102" s="57"/>
      <c r="D102" s="62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3">
        <f t="shared" si="22"/>
        <v>0</v>
      </c>
    </row>
    <row r="103" ht="12.75" customHeight="1">
      <c r="A103" s="19" t="s">
        <v>15</v>
      </c>
      <c r="B103" s="47" t="s">
        <v>47</v>
      </c>
      <c r="C103" s="15"/>
      <c r="D103" s="16"/>
      <c r="E103" s="13">
        <f t="shared" ref="E103:Y103" si="23">SUM(E93:E102)</f>
        <v>0</v>
      </c>
      <c r="F103" s="13">
        <f t="shared" si="23"/>
        <v>0</v>
      </c>
      <c r="G103" s="13">
        <f t="shared" si="23"/>
        <v>1</v>
      </c>
      <c r="H103" s="13">
        <f t="shared" si="23"/>
        <v>0</v>
      </c>
      <c r="I103" s="13">
        <f t="shared" si="23"/>
        <v>0</v>
      </c>
      <c r="J103" s="13">
        <f t="shared" si="23"/>
        <v>0</v>
      </c>
      <c r="K103" s="13">
        <f t="shared" si="23"/>
        <v>1</v>
      </c>
      <c r="L103" s="13">
        <f t="shared" si="23"/>
        <v>0</v>
      </c>
      <c r="M103" s="13">
        <f t="shared" si="23"/>
        <v>0</v>
      </c>
      <c r="N103" s="13">
        <f t="shared" si="23"/>
        <v>1</v>
      </c>
      <c r="O103" s="13">
        <f t="shared" si="23"/>
        <v>0</v>
      </c>
      <c r="P103" s="13">
        <f t="shared" si="23"/>
        <v>0</v>
      </c>
      <c r="Q103" s="13">
        <f t="shared" si="23"/>
        <v>0</v>
      </c>
      <c r="R103" s="13">
        <f t="shared" si="23"/>
        <v>1</v>
      </c>
      <c r="S103" s="13">
        <f t="shared" si="23"/>
        <v>1</v>
      </c>
      <c r="T103" s="13">
        <f t="shared" si="23"/>
        <v>2</v>
      </c>
      <c r="U103" s="13">
        <f t="shared" si="23"/>
        <v>0</v>
      </c>
      <c r="V103" s="13">
        <f t="shared" si="23"/>
        <v>1</v>
      </c>
      <c r="W103" s="13">
        <f t="shared" si="23"/>
        <v>0</v>
      </c>
      <c r="X103" s="13">
        <f t="shared" si="23"/>
        <v>0</v>
      </c>
      <c r="Y103" s="13">
        <f t="shared" si="23"/>
        <v>8</v>
      </c>
    </row>
    <row r="104" ht="12.75" customHeight="1">
      <c r="A104" s="45"/>
      <c r="B104" s="44"/>
      <c r="C104" s="44"/>
      <c r="D104" s="44"/>
      <c r="E104" s="44"/>
      <c r="F104" s="84"/>
      <c r="G104" s="84"/>
      <c r="H104" s="84"/>
      <c r="I104" s="84"/>
      <c r="J104" s="84"/>
      <c r="K104" s="84"/>
      <c r="L104" s="84"/>
      <c r="M104" s="84"/>
      <c r="N104" s="84"/>
      <c r="O104" s="84"/>
      <c r="P104" s="84"/>
      <c r="Q104" s="84"/>
      <c r="R104" s="84"/>
      <c r="S104" s="84"/>
      <c r="T104" s="84"/>
      <c r="U104" s="84"/>
      <c r="V104" s="84"/>
      <c r="W104" s="84"/>
      <c r="X104" s="84"/>
      <c r="Y104" s="84"/>
    </row>
    <row r="105" ht="12.75" customHeight="1">
      <c r="A105" s="30" t="s">
        <v>37</v>
      </c>
      <c r="B105" s="47" t="s">
        <v>81</v>
      </c>
      <c r="C105" s="48" t="s">
        <v>82</v>
      </c>
      <c r="D105" s="16"/>
      <c r="E105" s="19">
        <v>0.0</v>
      </c>
      <c r="F105" s="19">
        <v>1.0</v>
      </c>
      <c r="G105" s="19">
        <v>0.0</v>
      </c>
      <c r="H105" s="19">
        <v>0.0</v>
      </c>
      <c r="I105" s="19">
        <v>0.0</v>
      </c>
      <c r="J105" s="19">
        <v>0.0</v>
      </c>
      <c r="K105" s="19">
        <v>0.0</v>
      </c>
      <c r="L105" s="19">
        <v>0.0</v>
      </c>
      <c r="M105" s="19">
        <v>0.0</v>
      </c>
      <c r="N105" s="19">
        <v>0.0</v>
      </c>
      <c r="O105" s="19">
        <v>0.0</v>
      </c>
      <c r="P105" s="19">
        <v>0.0</v>
      </c>
      <c r="Q105" s="19">
        <v>0.0</v>
      </c>
      <c r="R105" s="19">
        <v>0.0</v>
      </c>
      <c r="S105" s="19">
        <v>0.0</v>
      </c>
      <c r="T105" s="19">
        <v>0.0</v>
      </c>
      <c r="U105" s="19">
        <v>0.0</v>
      </c>
      <c r="V105" s="19">
        <v>0.0</v>
      </c>
      <c r="W105" s="19">
        <v>0.0</v>
      </c>
      <c r="X105" s="19">
        <v>0.0</v>
      </c>
      <c r="Y105" s="13">
        <f t="shared" ref="Y105:Y114" si="24">SUM(E105:X105)</f>
        <v>1</v>
      </c>
    </row>
    <row r="106" ht="12.75" customHeight="1">
      <c r="A106" s="30" t="s">
        <v>39</v>
      </c>
      <c r="B106" s="55">
        <v>1.0</v>
      </c>
      <c r="C106" s="50" t="s">
        <v>83</v>
      </c>
      <c r="D106" s="60"/>
      <c r="E106" s="19">
        <v>1.0</v>
      </c>
      <c r="F106" s="19">
        <v>0.0</v>
      </c>
      <c r="G106" s="19">
        <v>0.0</v>
      </c>
      <c r="H106" s="19">
        <v>0.0</v>
      </c>
      <c r="I106" s="19">
        <v>0.0</v>
      </c>
      <c r="J106" s="19">
        <v>0.0</v>
      </c>
      <c r="K106" s="19">
        <v>0.0</v>
      </c>
      <c r="L106" s="19">
        <v>0.0</v>
      </c>
      <c r="M106" s="19">
        <v>0.0</v>
      </c>
      <c r="N106" s="19">
        <v>1.0</v>
      </c>
      <c r="O106" s="19">
        <v>1.0</v>
      </c>
      <c r="P106" s="19">
        <v>0.0</v>
      </c>
      <c r="Q106" s="19">
        <v>0.0</v>
      </c>
      <c r="R106" s="19">
        <v>0.0</v>
      </c>
      <c r="S106" s="19">
        <v>0.0</v>
      </c>
      <c r="T106" s="19">
        <v>0.0</v>
      </c>
      <c r="U106" s="19">
        <v>0.0</v>
      </c>
      <c r="V106" s="19">
        <v>0.0</v>
      </c>
      <c r="W106" s="19">
        <v>0.0</v>
      </c>
      <c r="X106" s="19">
        <v>0.0</v>
      </c>
      <c r="Y106" s="13">
        <f t="shared" si="24"/>
        <v>3</v>
      </c>
    </row>
    <row r="107" ht="12.75" customHeight="1">
      <c r="A107" s="18"/>
      <c r="B107" s="55">
        <v>2.0</v>
      </c>
      <c r="C107" s="50" t="s">
        <v>84</v>
      </c>
      <c r="D107" s="60"/>
      <c r="E107" s="19">
        <v>0.0</v>
      </c>
      <c r="F107" s="19">
        <v>0.0</v>
      </c>
      <c r="G107" s="19">
        <v>0.0</v>
      </c>
      <c r="H107" s="19">
        <v>0.0</v>
      </c>
      <c r="I107" s="19">
        <v>0.0</v>
      </c>
      <c r="J107" s="19">
        <v>0.0</v>
      </c>
      <c r="K107" s="19">
        <v>0.0</v>
      </c>
      <c r="L107" s="19">
        <v>0.0</v>
      </c>
      <c r="M107" s="19">
        <v>0.0</v>
      </c>
      <c r="N107" s="19">
        <v>0.0</v>
      </c>
      <c r="O107" s="19">
        <v>0.0</v>
      </c>
      <c r="P107" s="19">
        <v>0.0</v>
      </c>
      <c r="Q107" s="19">
        <v>0.0</v>
      </c>
      <c r="R107" s="19">
        <v>0.0</v>
      </c>
      <c r="S107" s="19">
        <v>0.0</v>
      </c>
      <c r="T107" s="19">
        <v>1.0</v>
      </c>
      <c r="U107" s="19">
        <v>0.0</v>
      </c>
      <c r="V107" s="19">
        <v>0.0</v>
      </c>
      <c r="W107" s="19">
        <v>0.0</v>
      </c>
      <c r="X107" s="19">
        <v>0.0</v>
      </c>
      <c r="Y107" s="13">
        <f t="shared" si="24"/>
        <v>1</v>
      </c>
    </row>
    <row r="108" ht="12.75" customHeight="1">
      <c r="A108" s="18"/>
      <c r="B108" s="55">
        <v>3.0</v>
      </c>
      <c r="C108" s="50" t="s">
        <v>85</v>
      </c>
      <c r="D108" s="60"/>
      <c r="E108" s="85">
        <v>0.0</v>
      </c>
      <c r="F108" s="19">
        <v>0.0</v>
      </c>
      <c r="G108" s="19">
        <v>0.0</v>
      </c>
      <c r="H108" s="19">
        <v>0.0</v>
      </c>
      <c r="I108" s="19">
        <v>0.0</v>
      </c>
      <c r="J108" s="19">
        <v>0.0</v>
      </c>
      <c r="K108" s="19">
        <v>0.0</v>
      </c>
      <c r="L108" s="19">
        <v>0.0</v>
      </c>
      <c r="M108" s="19">
        <v>0.0</v>
      </c>
      <c r="N108" s="19">
        <v>0.0</v>
      </c>
      <c r="O108" s="19">
        <v>0.0</v>
      </c>
      <c r="P108" s="19">
        <v>0.0</v>
      </c>
      <c r="Q108" s="19">
        <v>0.0</v>
      </c>
      <c r="R108" s="19">
        <v>0.0</v>
      </c>
      <c r="S108" s="19">
        <v>0.0</v>
      </c>
      <c r="T108" s="19">
        <v>0.0</v>
      </c>
      <c r="U108" s="19">
        <v>0.0</v>
      </c>
      <c r="V108" s="19">
        <v>0.0</v>
      </c>
      <c r="W108" s="19">
        <v>0.0</v>
      </c>
      <c r="X108" s="19">
        <v>0.0</v>
      </c>
      <c r="Y108" s="13">
        <f t="shared" si="24"/>
        <v>0</v>
      </c>
    </row>
    <row r="109" ht="12.75" customHeight="1">
      <c r="A109" s="18"/>
      <c r="B109" s="55">
        <v>4.0</v>
      </c>
      <c r="C109" s="50" t="s">
        <v>86</v>
      </c>
      <c r="D109" s="60"/>
      <c r="E109" s="85">
        <v>0.0</v>
      </c>
      <c r="F109" s="19">
        <v>0.0</v>
      </c>
      <c r="G109" s="19">
        <v>0.0</v>
      </c>
      <c r="H109" s="19">
        <v>0.0</v>
      </c>
      <c r="I109" s="19">
        <v>0.0</v>
      </c>
      <c r="J109" s="19">
        <v>0.0</v>
      </c>
      <c r="K109" s="19">
        <v>0.0</v>
      </c>
      <c r="L109" s="19">
        <v>0.0</v>
      </c>
      <c r="M109" s="19">
        <v>0.0</v>
      </c>
      <c r="N109" s="19">
        <v>0.0</v>
      </c>
      <c r="O109" s="19">
        <v>0.0</v>
      </c>
      <c r="P109" s="19">
        <v>0.0</v>
      </c>
      <c r="Q109" s="19">
        <v>0.0</v>
      </c>
      <c r="R109" s="19">
        <v>0.0</v>
      </c>
      <c r="S109" s="19">
        <v>0.0</v>
      </c>
      <c r="T109" s="19">
        <v>0.0</v>
      </c>
      <c r="U109" s="19">
        <v>0.0</v>
      </c>
      <c r="V109" s="19">
        <v>1.0</v>
      </c>
      <c r="W109" s="19">
        <v>0.0</v>
      </c>
      <c r="X109" s="19">
        <v>0.0</v>
      </c>
      <c r="Y109" s="13">
        <f t="shared" si="24"/>
        <v>1</v>
      </c>
    </row>
    <row r="110" ht="12.75" customHeight="1">
      <c r="A110" s="18"/>
      <c r="B110" s="55">
        <v>5.0</v>
      </c>
      <c r="C110" s="50" t="s">
        <v>87</v>
      </c>
      <c r="D110" s="60"/>
      <c r="E110" s="85">
        <v>0.0</v>
      </c>
      <c r="F110" s="19">
        <v>0.0</v>
      </c>
      <c r="G110" s="19">
        <v>0.0</v>
      </c>
      <c r="H110" s="19">
        <v>0.0</v>
      </c>
      <c r="I110" s="19">
        <v>0.0</v>
      </c>
      <c r="J110" s="19">
        <v>0.0</v>
      </c>
      <c r="K110" s="19">
        <v>0.0</v>
      </c>
      <c r="L110" s="19">
        <v>0.0</v>
      </c>
      <c r="M110" s="19">
        <v>0.0</v>
      </c>
      <c r="N110" s="19">
        <v>0.0</v>
      </c>
      <c r="O110" s="19">
        <v>0.0</v>
      </c>
      <c r="P110" s="19">
        <v>0.0</v>
      </c>
      <c r="Q110" s="19">
        <v>0.0</v>
      </c>
      <c r="R110" s="19">
        <v>0.0</v>
      </c>
      <c r="S110" s="19">
        <v>0.0</v>
      </c>
      <c r="T110" s="19">
        <v>0.0</v>
      </c>
      <c r="U110" s="19">
        <v>0.0</v>
      </c>
      <c r="V110" s="19">
        <v>0.0</v>
      </c>
      <c r="W110" s="19">
        <v>0.0</v>
      </c>
      <c r="X110" s="19">
        <v>0.0</v>
      </c>
      <c r="Y110" s="13">
        <f t="shared" si="24"/>
        <v>0</v>
      </c>
    </row>
    <row r="111" ht="12.75" customHeight="1">
      <c r="A111" s="18"/>
      <c r="B111" s="55">
        <v>6.0</v>
      </c>
      <c r="C111" s="50" t="s">
        <v>88</v>
      </c>
      <c r="D111" s="60"/>
      <c r="E111" s="85">
        <v>0.0</v>
      </c>
      <c r="F111" s="19">
        <v>0.0</v>
      </c>
      <c r="G111" s="19">
        <v>0.0</v>
      </c>
      <c r="H111" s="19">
        <v>0.0</v>
      </c>
      <c r="I111" s="19">
        <v>0.0</v>
      </c>
      <c r="J111" s="19">
        <v>0.0</v>
      </c>
      <c r="K111" s="19">
        <v>0.0</v>
      </c>
      <c r="L111" s="19">
        <v>0.0</v>
      </c>
      <c r="M111" s="19">
        <v>0.0</v>
      </c>
      <c r="N111" s="19">
        <v>0.0</v>
      </c>
      <c r="O111" s="19">
        <v>0.0</v>
      </c>
      <c r="P111" s="19">
        <v>0.0</v>
      </c>
      <c r="Q111" s="19">
        <v>1.0</v>
      </c>
      <c r="R111" s="19">
        <v>0.0</v>
      </c>
      <c r="S111" s="19">
        <v>0.0</v>
      </c>
      <c r="T111" s="19">
        <v>0.0</v>
      </c>
      <c r="U111" s="19">
        <v>0.0</v>
      </c>
      <c r="V111" s="19">
        <v>0.0</v>
      </c>
      <c r="W111" s="19">
        <v>0.0</v>
      </c>
      <c r="X111" s="19">
        <v>0.0</v>
      </c>
      <c r="Y111" s="13">
        <f t="shared" si="24"/>
        <v>1</v>
      </c>
    </row>
    <row r="112" ht="12.75" customHeight="1">
      <c r="A112" s="18"/>
      <c r="B112" s="55">
        <v>7.0</v>
      </c>
      <c r="C112" s="50" t="s">
        <v>89</v>
      </c>
      <c r="D112" s="60"/>
      <c r="E112" s="85">
        <v>0.0</v>
      </c>
      <c r="F112" s="19">
        <v>0.0</v>
      </c>
      <c r="G112" s="19">
        <v>0.0</v>
      </c>
      <c r="H112" s="19">
        <v>0.0</v>
      </c>
      <c r="I112" s="19">
        <v>0.0</v>
      </c>
      <c r="J112" s="19">
        <v>0.0</v>
      </c>
      <c r="K112" s="19">
        <v>0.0</v>
      </c>
      <c r="L112" s="19">
        <v>0.0</v>
      </c>
      <c r="M112" s="19">
        <v>0.0</v>
      </c>
      <c r="N112" s="19">
        <v>0.0</v>
      </c>
      <c r="O112" s="19">
        <v>0.0</v>
      </c>
      <c r="P112" s="19">
        <v>0.0</v>
      </c>
      <c r="Q112" s="19">
        <v>0.0</v>
      </c>
      <c r="R112" s="19">
        <v>0.0</v>
      </c>
      <c r="S112" s="19">
        <v>0.0</v>
      </c>
      <c r="T112" s="19">
        <v>0.0</v>
      </c>
      <c r="U112" s="19">
        <v>0.0</v>
      </c>
      <c r="V112" s="19">
        <v>0.0</v>
      </c>
      <c r="W112" s="19">
        <v>0.0</v>
      </c>
      <c r="X112" s="19">
        <v>0.0</v>
      </c>
      <c r="Y112" s="13">
        <f t="shared" si="24"/>
        <v>0</v>
      </c>
    </row>
    <row r="113" ht="12.75" customHeight="1">
      <c r="A113" s="18"/>
      <c r="B113" s="56"/>
      <c r="C113" s="57"/>
      <c r="D113" s="62"/>
      <c r="E113" s="85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3">
        <f t="shared" si="24"/>
        <v>0</v>
      </c>
    </row>
    <row r="114" ht="12.75" customHeight="1">
      <c r="A114" s="18"/>
      <c r="B114" s="56"/>
      <c r="C114" s="57"/>
      <c r="D114" s="62"/>
      <c r="E114" s="85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3">
        <f t="shared" si="24"/>
        <v>0</v>
      </c>
    </row>
    <row r="115" ht="12.75" customHeight="1">
      <c r="A115" s="19" t="s">
        <v>15</v>
      </c>
      <c r="B115" s="47" t="s">
        <v>47</v>
      </c>
      <c r="C115" s="15"/>
      <c r="D115" s="16"/>
      <c r="E115" s="13">
        <f t="shared" ref="E115:Y115" si="25">SUM(E105:E114)</f>
        <v>1</v>
      </c>
      <c r="F115" s="13">
        <f t="shared" si="25"/>
        <v>1</v>
      </c>
      <c r="G115" s="13">
        <f t="shared" si="25"/>
        <v>0</v>
      </c>
      <c r="H115" s="13">
        <f t="shared" si="25"/>
        <v>0</v>
      </c>
      <c r="I115" s="13">
        <f t="shared" si="25"/>
        <v>0</v>
      </c>
      <c r="J115" s="13">
        <f t="shared" si="25"/>
        <v>0</v>
      </c>
      <c r="K115" s="13">
        <f t="shared" si="25"/>
        <v>0</v>
      </c>
      <c r="L115" s="13">
        <f t="shared" si="25"/>
        <v>0</v>
      </c>
      <c r="M115" s="13">
        <f t="shared" si="25"/>
        <v>0</v>
      </c>
      <c r="N115" s="13">
        <f t="shared" si="25"/>
        <v>1</v>
      </c>
      <c r="O115" s="13">
        <f t="shared" si="25"/>
        <v>1</v>
      </c>
      <c r="P115" s="13">
        <f t="shared" si="25"/>
        <v>0</v>
      </c>
      <c r="Q115" s="13">
        <f t="shared" si="25"/>
        <v>1</v>
      </c>
      <c r="R115" s="13">
        <f t="shared" si="25"/>
        <v>0</v>
      </c>
      <c r="S115" s="13">
        <f t="shared" si="25"/>
        <v>0</v>
      </c>
      <c r="T115" s="13">
        <f t="shared" si="25"/>
        <v>1</v>
      </c>
      <c r="U115" s="13">
        <f t="shared" si="25"/>
        <v>0</v>
      </c>
      <c r="V115" s="13">
        <f t="shared" si="25"/>
        <v>1</v>
      </c>
      <c r="W115" s="13">
        <f t="shared" si="25"/>
        <v>0</v>
      </c>
      <c r="X115" s="13">
        <f t="shared" si="25"/>
        <v>0</v>
      </c>
      <c r="Y115" s="13">
        <f t="shared" si="25"/>
        <v>7</v>
      </c>
    </row>
    <row r="116" ht="12.75" customHeight="1">
      <c r="A116" s="24"/>
      <c r="B116" s="15"/>
      <c r="C116" s="15"/>
      <c r="D116" s="15"/>
      <c r="E116" s="16"/>
      <c r="F116" s="84"/>
      <c r="G116" s="84"/>
      <c r="H116" s="84"/>
      <c r="I116" s="84"/>
      <c r="J116" s="84"/>
      <c r="K116" s="84"/>
      <c r="L116" s="84"/>
      <c r="M116" s="84"/>
      <c r="N116" s="84"/>
      <c r="O116" s="84"/>
      <c r="P116" s="84"/>
      <c r="Q116" s="84"/>
      <c r="R116" s="84"/>
      <c r="S116" s="84"/>
      <c r="T116" s="84"/>
      <c r="U116" s="84"/>
      <c r="V116" s="84"/>
      <c r="W116" s="84"/>
      <c r="X116" s="84"/>
      <c r="Y116" s="13"/>
    </row>
    <row r="117" ht="12.75" customHeight="1">
      <c r="A117" s="30" t="s">
        <v>37</v>
      </c>
      <c r="B117" s="47" t="s">
        <v>90</v>
      </c>
      <c r="C117" s="48" t="s">
        <v>91</v>
      </c>
      <c r="D117" s="16"/>
      <c r="E117" s="19">
        <v>0.0</v>
      </c>
      <c r="F117" s="19">
        <v>1.0</v>
      </c>
      <c r="G117" s="19">
        <v>0.0</v>
      </c>
      <c r="H117" s="19">
        <v>0.0</v>
      </c>
      <c r="I117" s="19">
        <v>0.0</v>
      </c>
      <c r="J117" s="19">
        <v>0.0</v>
      </c>
      <c r="K117" s="19">
        <v>1.0</v>
      </c>
      <c r="L117" s="19">
        <v>0.0</v>
      </c>
      <c r="M117" s="19">
        <v>0.0</v>
      </c>
      <c r="N117" s="19">
        <v>0.0</v>
      </c>
      <c r="O117" s="19">
        <v>0.0</v>
      </c>
      <c r="P117" s="19">
        <v>0.0</v>
      </c>
      <c r="Q117" s="19">
        <v>0.0</v>
      </c>
      <c r="R117" s="19">
        <v>0.0</v>
      </c>
      <c r="S117" s="19">
        <v>1.0</v>
      </c>
      <c r="T117" s="19">
        <v>0.0</v>
      </c>
      <c r="U117" s="19">
        <v>0.0</v>
      </c>
      <c r="V117" s="19">
        <v>0.0</v>
      </c>
      <c r="W117" s="19">
        <v>0.0</v>
      </c>
      <c r="X117" s="19">
        <v>0.0</v>
      </c>
      <c r="Y117" s="13">
        <f t="shared" ref="Y117:Y126" si="26">SUM(E117:X117)</f>
        <v>3</v>
      </c>
    </row>
    <row r="118" ht="12.75" customHeight="1">
      <c r="A118" s="30" t="s">
        <v>39</v>
      </c>
      <c r="B118" s="55">
        <v>1.0</v>
      </c>
      <c r="C118" s="50" t="s">
        <v>92</v>
      </c>
      <c r="D118" s="60"/>
      <c r="E118" s="19">
        <v>0.0</v>
      </c>
      <c r="F118" s="19">
        <v>0.0</v>
      </c>
      <c r="G118" s="19">
        <v>0.0</v>
      </c>
      <c r="H118" s="19">
        <v>0.0</v>
      </c>
      <c r="I118" s="19">
        <v>0.0</v>
      </c>
      <c r="J118" s="19">
        <v>0.0</v>
      </c>
      <c r="K118" s="19">
        <v>0.0</v>
      </c>
      <c r="L118" s="19">
        <v>0.0</v>
      </c>
      <c r="M118" s="19">
        <v>0.0</v>
      </c>
      <c r="N118" s="19">
        <v>0.0</v>
      </c>
      <c r="O118" s="19">
        <v>0.0</v>
      </c>
      <c r="P118" s="19">
        <v>0.0</v>
      </c>
      <c r="Q118" s="19">
        <v>0.0</v>
      </c>
      <c r="R118" s="19">
        <v>0.0</v>
      </c>
      <c r="S118" s="19">
        <v>0.0</v>
      </c>
      <c r="T118" s="19">
        <v>0.0</v>
      </c>
      <c r="U118" s="19">
        <v>0.0</v>
      </c>
      <c r="V118" s="19">
        <v>1.0</v>
      </c>
      <c r="W118" s="19">
        <v>0.0</v>
      </c>
      <c r="X118" s="19">
        <v>0.0</v>
      </c>
      <c r="Y118" s="13">
        <f t="shared" si="26"/>
        <v>1</v>
      </c>
    </row>
    <row r="119" ht="12.75" customHeight="1">
      <c r="A119" s="18"/>
      <c r="B119" s="55">
        <v>2.0</v>
      </c>
      <c r="C119" s="50" t="s">
        <v>93</v>
      </c>
      <c r="D119" s="60"/>
      <c r="E119" s="19">
        <v>0.0</v>
      </c>
      <c r="F119" s="19">
        <v>0.0</v>
      </c>
      <c r="G119" s="19">
        <v>0.0</v>
      </c>
      <c r="H119" s="19">
        <v>0.0</v>
      </c>
      <c r="I119" s="19">
        <v>0.0</v>
      </c>
      <c r="J119" s="19">
        <v>0.0</v>
      </c>
      <c r="K119" s="19">
        <v>0.0</v>
      </c>
      <c r="L119" s="19">
        <v>0.0</v>
      </c>
      <c r="M119" s="19">
        <v>0.0</v>
      </c>
      <c r="N119" s="19">
        <v>0.0</v>
      </c>
      <c r="O119" s="19">
        <v>0.0</v>
      </c>
      <c r="P119" s="19">
        <v>0.0</v>
      </c>
      <c r="Q119" s="19">
        <v>0.0</v>
      </c>
      <c r="R119" s="19">
        <v>0.0</v>
      </c>
      <c r="S119" s="19">
        <v>0.0</v>
      </c>
      <c r="T119" s="19">
        <v>0.0</v>
      </c>
      <c r="U119" s="19">
        <v>0.0</v>
      </c>
      <c r="V119" s="19">
        <v>0.0</v>
      </c>
      <c r="W119" s="19">
        <v>0.0</v>
      </c>
      <c r="X119" s="19">
        <v>0.0</v>
      </c>
      <c r="Y119" s="13">
        <f t="shared" si="26"/>
        <v>0</v>
      </c>
    </row>
    <row r="120" ht="12.75" customHeight="1">
      <c r="A120" s="18"/>
      <c r="B120" s="55">
        <v>3.0</v>
      </c>
      <c r="C120" s="50" t="s">
        <v>94</v>
      </c>
      <c r="D120" s="60"/>
      <c r="E120" s="19">
        <v>0.0</v>
      </c>
      <c r="F120" s="19">
        <v>0.0</v>
      </c>
      <c r="G120" s="19">
        <v>0.0</v>
      </c>
      <c r="H120" s="19">
        <v>0.0</v>
      </c>
      <c r="I120" s="19">
        <v>0.0</v>
      </c>
      <c r="J120" s="19">
        <v>0.0</v>
      </c>
      <c r="K120" s="19">
        <v>0.0</v>
      </c>
      <c r="L120" s="19">
        <v>0.0</v>
      </c>
      <c r="M120" s="19">
        <v>0.0</v>
      </c>
      <c r="N120" s="19">
        <v>0.0</v>
      </c>
      <c r="O120" s="19">
        <v>0.0</v>
      </c>
      <c r="P120" s="19">
        <v>0.0</v>
      </c>
      <c r="Q120" s="19">
        <v>0.0</v>
      </c>
      <c r="R120" s="19">
        <v>0.0</v>
      </c>
      <c r="S120" s="19">
        <v>0.0</v>
      </c>
      <c r="T120" s="19">
        <v>0.0</v>
      </c>
      <c r="U120" s="19">
        <v>0.0</v>
      </c>
      <c r="V120" s="19">
        <v>0.0</v>
      </c>
      <c r="W120" s="19">
        <v>0.0</v>
      </c>
      <c r="X120" s="19">
        <v>0.0</v>
      </c>
      <c r="Y120" s="13">
        <f t="shared" si="26"/>
        <v>0</v>
      </c>
    </row>
    <row r="121" ht="12.75" customHeight="1">
      <c r="A121" s="18"/>
      <c r="B121" s="56"/>
      <c r="C121" s="57"/>
      <c r="D121" s="62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3">
        <f t="shared" si="26"/>
        <v>0</v>
      </c>
    </row>
    <row r="122" ht="12.75" customHeight="1">
      <c r="A122" s="18"/>
      <c r="B122" s="56"/>
      <c r="C122" s="57"/>
      <c r="D122" s="62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3">
        <f t="shared" si="26"/>
        <v>0</v>
      </c>
    </row>
    <row r="123" ht="12.75" customHeight="1">
      <c r="A123" s="18"/>
      <c r="B123" s="56"/>
      <c r="C123" s="57"/>
      <c r="D123" s="62"/>
      <c r="E123" s="63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40"/>
      <c r="Y123" s="13">
        <f t="shared" si="26"/>
        <v>0</v>
      </c>
    </row>
    <row r="124" ht="12.75" customHeight="1">
      <c r="A124" s="18"/>
      <c r="B124" s="56"/>
      <c r="C124" s="57"/>
      <c r="D124" s="62"/>
      <c r="E124" s="63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40"/>
      <c r="Y124" s="13">
        <f t="shared" si="26"/>
        <v>0</v>
      </c>
    </row>
    <row r="125" ht="12.75" customHeight="1">
      <c r="A125" s="18"/>
      <c r="B125" s="56"/>
      <c r="C125" s="57"/>
      <c r="D125" s="62"/>
      <c r="E125" s="63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13">
        <f t="shared" si="26"/>
        <v>0</v>
      </c>
    </row>
    <row r="126" ht="12.75" customHeight="1">
      <c r="A126" s="18"/>
      <c r="B126" s="56"/>
      <c r="C126" s="57"/>
      <c r="D126" s="62"/>
      <c r="E126" s="63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40"/>
      <c r="Y126" s="13">
        <f t="shared" si="26"/>
        <v>0</v>
      </c>
    </row>
    <row r="127" ht="12.75" customHeight="1">
      <c r="A127" s="19" t="s">
        <v>15</v>
      </c>
      <c r="B127" s="47" t="s">
        <v>47</v>
      </c>
      <c r="C127" s="15"/>
      <c r="D127" s="16"/>
      <c r="E127" s="13">
        <f t="shared" ref="E127:Y127" si="27">SUM(E117:E126)</f>
        <v>0</v>
      </c>
      <c r="F127" s="13">
        <f t="shared" si="27"/>
        <v>1</v>
      </c>
      <c r="G127" s="13">
        <f t="shared" si="27"/>
        <v>0</v>
      </c>
      <c r="H127" s="13">
        <f t="shared" si="27"/>
        <v>0</v>
      </c>
      <c r="I127" s="13">
        <f t="shared" si="27"/>
        <v>0</v>
      </c>
      <c r="J127" s="13">
        <f t="shared" si="27"/>
        <v>0</v>
      </c>
      <c r="K127" s="13">
        <f t="shared" si="27"/>
        <v>1</v>
      </c>
      <c r="L127" s="13">
        <f t="shared" si="27"/>
        <v>0</v>
      </c>
      <c r="M127" s="13">
        <f t="shared" si="27"/>
        <v>0</v>
      </c>
      <c r="N127" s="13">
        <f t="shared" si="27"/>
        <v>0</v>
      </c>
      <c r="O127" s="13">
        <f t="shared" si="27"/>
        <v>0</v>
      </c>
      <c r="P127" s="13">
        <f t="shared" si="27"/>
        <v>0</v>
      </c>
      <c r="Q127" s="13">
        <f t="shared" si="27"/>
        <v>0</v>
      </c>
      <c r="R127" s="13">
        <f t="shared" si="27"/>
        <v>0</v>
      </c>
      <c r="S127" s="13">
        <f t="shared" si="27"/>
        <v>1</v>
      </c>
      <c r="T127" s="13">
        <f t="shared" si="27"/>
        <v>0</v>
      </c>
      <c r="U127" s="13">
        <f t="shared" si="27"/>
        <v>0</v>
      </c>
      <c r="V127" s="13">
        <f t="shared" si="27"/>
        <v>1</v>
      </c>
      <c r="W127" s="13">
        <f t="shared" si="27"/>
        <v>0</v>
      </c>
      <c r="X127" s="13">
        <f t="shared" si="27"/>
        <v>0</v>
      </c>
      <c r="Y127" s="13">
        <f t="shared" si="27"/>
        <v>4</v>
      </c>
    </row>
    <row r="128" ht="12.75" customHeight="1">
      <c r="A128" s="24"/>
      <c r="B128" s="15"/>
      <c r="C128" s="15"/>
      <c r="D128" s="15"/>
      <c r="E128" s="16"/>
      <c r="F128" s="84"/>
      <c r="G128" s="84"/>
      <c r="H128" s="84"/>
      <c r="I128" s="84"/>
      <c r="J128" s="84"/>
      <c r="K128" s="84"/>
      <c r="L128" s="84"/>
      <c r="M128" s="84"/>
      <c r="N128" s="84"/>
      <c r="O128" s="84"/>
      <c r="P128" s="84"/>
      <c r="Q128" s="84"/>
      <c r="R128" s="84"/>
      <c r="S128" s="84"/>
      <c r="T128" s="84"/>
      <c r="U128" s="84"/>
      <c r="V128" s="84"/>
      <c r="W128" s="84"/>
      <c r="X128" s="84"/>
      <c r="Y128" s="84"/>
    </row>
    <row r="129" ht="12.75" customHeight="1">
      <c r="A129" s="30" t="s">
        <v>37</v>
      </c>
      <c r="B129" s="47" t="s">
        <v>95</v>
      </c>
      <c r="C129" s="48" t="s">
        <v>96</v>
      </c>
      <c r="D129" s="16"/>
      <c r="E129" s="19">
        <v>0.0</v>
      </c>
      <c r="F129" s="19">
        <v>0.0</v>
      </c>
      <c r="G129" s="19">
        <v>0.0</v>
      </c>
      <c r="H129" s="19">
        <v>0.0</v>
      </c>
      <c r="I129" s="19">
        <v>0.0</v>
      </c>
      <c r="J129" s="19">
        <v>0.0</v>
      </c>
      <c r="K129" s="19">
        <v>0.0</v>
      </c>
      <c r="L129" s="19">
        <v>0.0</v>
      </c>
      <c r="M129" s="19">
        <v>0.0</v>
      </c>
      <c r="N129" s="19">
        <v>0.0</v>
      </c>
      <c r="O129" s="19">
        <v>1.0</v>
      </c>
      <c r="P129" s="19">
        <v>0.0</v>
      </c>
      <c r="Q129" s="19">
        <v>0.0</v>
      </c>
      <c r="R129" s="19">
        <v>2.0</v>
      </c>
      <c r="S129" s="19">
        <v>1.0</v>
      </c>
      <c r="T129" s="19">
        <v>0.0</v>
      </c>
      <c r="U129" s="19">
        <v>1.0</v>
      </c>
      <c r="V129" s="19">
        <v>0.0</v>
      </c>
      <c r="W129" s="19">
        <v>0.0</v>
      </c>
      <c r="X129" s="19">
        <v>0.0</v>
      </c>
      <c r="Y129" s="13">
        <f t="shared" ref="Y129:Y138" si="28">SUM(E129:X129)</f>
        <v>5</v>
      </c>
    </row>
    <row r="130" ht="12.75" customHeight="1">
      <c r="A130" s="30" t="s">
        <v>39</v>
      </c>
      <c r="B130" s="55">
        <v>1.0</v>
      </c>
      <c r="C130" s="50" t="s">
        <v>97</v>
      </c>
      <c r="D130" s="59"/>
      <c r="E130" s="19">
        <v>1.0</v>
      </c>
      <c r="F130" s="19">
        <v>0.0</v>
      </c>
      <c r="G130" s="19">
        <v>0.0</v>
      </c>
      <c r="H130" s="19">
        <v>1.0</v>
      </c>
      <c r="I130" s="19">
        <v>0.0</v>
      </c>
      <c r="J130" s="19">
        <v>0.0</v>
      </c>
      <c r="K130" s="19">
        <v>0.0</v>
      </c>
      <c r="L130" s="19">
        <v>1.0</v>
      </c>
      <c r="M130" s="19">
        <v>1.0</v>
      </c>
      <c r="N130" s="19">
        <v>0.0</v>
      </c>
      <c r="O130" s="19">
        <v>0.0</v>
      </c>
      <c r="P130" s="19">
        <v>0.0</v>
      </c>
      <c r="Q130" s="19">
        <v>0.0</v>
      </c>
      <c r="R130" s="19">
        <v>0.0</v>
      </c>
      <c r="S130" s="19">
        <v>2.0</v>
      </c>
      <c r="T130" s="19">
        <v>0.0</v>
      </c>
      <c r="U130" s="19">
        <v>0.0</v>
      </c>
      <c r="V130" s="19">
        <v>0.0</v>
      </c>
      <c r="W130" s="19">
        <v>2.0</v>
      </c>
      <c r="X130" s="19">
        <v>0.0</v>
      </c>
      <c r="Y130" s="13">
        <f t="shared" si="28"/>
        <v>8</v>
      </c>
    </row>
    <row r="131" ht="12.75" customHeight="1">
      <c r="A131" s="18"/>
      <c r="B131" s="55">
        <v>2.0</v>
      </c>
      <c r="C131" s="50" t="s">
        <v>98</v>
      </c>
      <c r="D131" s="59"/>
      <c r="E131" s="19">
        <v>0.0</v>
      </c>
      <c r="F131" s="19">
        <v>0.0</v>
      </c>
      <c r="G131" s="19">
        <v>0.0</v>
      </c>
      <c r="H131" s="19">
        <v>0.0</v>
      </c>
      <c r="I131" s="19">
        <v>0.0</v>
      </c>
      <c r="J131" s="19">
        <v>0.0</v>
      </c>
      <c r="K131" s="19">
        <v>0.0</v>
      </c>
      <c r="L131" s="19">
        <v>0.0</v>
      </c>
      <c r="M131" s="19">
        <v>0.0</v>
      </c>
      <c r="N131" s="19">
        <v>0.0</v>
      </c>
      <c r="O131" s="19">
        <v>0.0</v>
      </c>
      <c r="P131" s="19">
        <v>0.0</v>
      </c>
      <c r="Q131" s="19">
        <v>0.0</v>
      </c>
      <c r="R131" s="19">
        <v>0.0</v>
      </c>
      <c r="S131" s="19">
        <v>0.0</v>
      </c>
      <c r="T131" s="19">
        <v>0.0</v>
      </c>
      <c r="U131" s="19">
        <v>0.0</v>
      </c>
      <c r="V131" s="19">
        <v>0.0</v>
      </c>
      <c r="W131" s="19">
        <v>1.0</v>
      </c>
      <c r="X131" s="19">
        <v>0.0</v>
      </c>
      <c r="Y131" s="13">
        <f t="shared" si="28"/>
        <v>1</v>
      </c>
    </row>
    <row r="132" ht="12.75" customHeight="1">
      <c r="A132" s="18"/>
      <c r="B132" s="55">
        <v>3.0</v>
      </c>
      <c r="C132" s="50" t="s">
        <v>99</v>
      </c>
      <c r="D132" s="59"/>
      <c r="E132" s="19">
        <v>0.0</v>
      </c>
      <c r="F132" s="19">
        <v>0.0</v>
      </c>
      <c r="G132" s="19">
        <v>1.0</v>
      </c>
      <c r="H132" s="19">
        <v>0.0</v>
      </c>
      <c r="I132" s="19">
        <v>0.0</v>
      </c>
      <c r="J132" s="19">
        <v>0.0</v>
      </c>
      <c r="K132" s="19">
        <v>0.0</v>
      </c>
      <c r="L132" s="19">
        <v>0.0</v>
      </c>
      <c r="M132" s="19">
        <v>0.0</v>
      </c>
      <c r="N132" s="19">
        <v>0.0</v>
      </c>
      <c r="O132" s="19">
        <v>0.0</v>
      </c>
      <c r="P132" s="19">
        <v>0.0</v>
      </c>
      <c r="Q132" s="19">
        <v>0.0</v>
      </c>
      <c r="R132" s="19">
        <v>0.0</v>
      </c>
      <c r="S132" s="19">
        <v>0.0</v>
      </c>
      <c r="T132" s="19">
        <v>0.0</v>
      </c>
      <c r="U132" s="19">
        <v>0.0</v>
      </c>
      <c r="V132" s="19">
        <v>0.0</v>
      </c>
      <c r="W132" s="19">
        <v>0.0</v>
      </c>
      <c r="X132" s="19">
        <v>0.0</v>
      </c>
      <c r="Y132" s="13">
        <f t="shared" si="28"/>
        <v>1</v>
      </c>
    </row>
    <row r="133" ht="12.75" customHeight="1">
      <c r="A133" s="18"/>
      <c r="B133" s="55">
        <v>4.0</v>
      </c>
      <c r="C133" s="50" t="s">
        <v>100</v>
      </c>
      <c r="D133" s="59"/>
      <c r="E133" s="19">
        <v>0.0</v>
      </c>
      <c r="F133" s="19">
        <v>0.0</v>
      </c>
      <c r="G133" s="19">
        <v>0.0</v>
      </c>
      <c r="H133" s="19">
        <v>0.0</v>
      </c>
      <c r="I133" s="19">
        <v>0.0</v>
      </c>
      <c r="J133" s="19">
        <v>0.0</v>
      </c>
      <c r="K133" s="19">
        <v>0.0</v>
      </c>
      <c r="L133" s="19">
        <v>0.0</v>
      </c>
      <c r="M133" s="19">
        <v>0.0</v>
      </c>
      <c r="N133" s="19">
        <v>0.0</v>
      </c>
      <c r="O133" s="19">
        <v>0.0</v>
      </c>
      <c r="P133" s="19">
        <v>0.0</v>
      </c>
      <c r="Q133" s="19">
        <v>0.0</v>
      </c>
      <c r="R133" s="19">
        <v>0.0</v>
      </c>
      <c r="S133" s="19">
        <v>0.0</v>
      </c>
      <c r="T133" s="19">
        <v>0.0</v>
      </c>
      <c r="U133" s="19">
        <v>0.0</v>
      </c>
      <c r="V133" s="19">
        <v>0.0</v>
      </c>
      <c r="W133" s="19">
        <v>0.0</v>
      </c>
      <c r="X133" s="19">
        <v>0.0</v>
      </c>
      <c r="Y133" s="13">
        <f t="shared" si="28"/>
        <v>0</v>
      </c>
    </row>
    <row r="134" ht="12.75" customHeight="1">
      <c r="A134" s="18"/>
      <c r="B134" s="55">
        <v>5.0</v>
      </c>
      <c r="C134" s="50" t="s">
        <v>101</v>
      </c>
      <c r="D134" s="59"/>
      <c r="E134" s="19">
        <v>0.0</v>
      </c>
      <c r="F134" s="19">
        <v>0.0</v>
      </c>
      <c r="G134" s="19">
        <v>0.0</v>
      </c>
      <c r="H134" s="19">
        <v>0.0</v>
      </c>
      <c r="I134" s="19">
        <v>0.0</v>
      </c>
      <c r="J134" s="19">
        <v>0.0</v>
      </c>
      <c r="K134" s="19">
        <v>0.0</v>
      </c>
      <c r="L134" s="19">
        <v>0.0</v>
      </c>
      <c r="M134" s="19">
        <v>0.0</v>
      </c>
      <c r="N134" s="19">
        <v>0.0</v>
      </c>
      <c r="O134" s="19">
        <v>0.0</v>
      </c>
      <c r="P134" s="19">
        <v>0.0</v>
      </c>
      <c r="Q134" s="19">
        <v>0.0</v>
      </c>
      <c r="R134" s="19">
        <v>0.0</v>
      </c>
      <c r="S134" s="19">
        <v>0.0</v>
      </c>
      <c r="T134" s="19">
        <v>0.0</v>
      </c>
      <c r="U134" s="19">
        <v>0.0</v>
      </c>
      <c r="V134" s="19">
        <v>0.0</v>
      </c>
      <c r="W134" s="19">
        <v>0.0</v>
      </c>
      <c r="X134" s="19">
        <v>0.0</v>
      </c>
      <c r="Y134" s="13">
        <f t="shared" si="28"/>
        <v>0</v>
      </c>
    </row>
    <row r="135" ht="12.75" customHeight="1">
      <c r="A135" s="18"/>
      <c r="B135" s="55">
        <v>6.0</v>
      </c>
      <c r="C135" s="50" t="s">
        <v>102</v>
      </c>
      <c r="D135" s="60"/>
      <c r="E135" s="19">
        <v>0.0</v>
      </c>
      <c r="F135" s="19">
        <v>0.0</v>
      </c>
      <c r="G135" s="19">
        <v>0.0</v>
      </c>
      <c r="H135" s="19">
        <v>0.0</v>
      </c>
      <c r="I135" s="19">
        <v>0.0</v>
      </c>
      <c r="J135" s="19">
        <v>0.0</v>
      </c>
      <c r="K135" s="19">
        <v>0.0</v>
      </c>
      <c r="L135" s="19">
        <v>0.0</v>
      </c>
      <c r="M135" s="19">
        <v>0.0</v>
      </c>
      <c r="N135" s="19">
        <v>0.0</v>
      </c>
      <c r="O135" s="19">
        <v>0.0</v>
      </c>
      <c r="P135" s="19">
        <v>0.0</v>
      </c>
      <c r="Q135" s="19">
        <v>0.0</v>
      </c>
      <c r="R135" s="19">
        <v>0.0</v>
      </c>
      <c r="S135" s="19">
        <v>0.0</v>
      </c>
      <c r="T135" s="19">
        <v>0.0</v>
      </c>
      <c r="U135" s="19">
        <v>0.0</v>
      </c>
      <c r="V135" s="19">
        <v>0.0</v>
      </c>
      <c r="W135" s="19">
        <v>0.0</v>
      </c>
      <c r="X135" s="19">
        <v>0.0</v>
      </c>
      <c r="Y135" s="13">
        <f t="shared" si="28"/>
        <v>0</v>
      </c>
    </row>
    <row r="136" ht="12.75" customHeight="1">
      <c r="A136" s="18"/>
      <c r="B136" s="55">
        <v>7.0</v>
      </c>
      <c r="C136" s="50" t="s">
        <v>103</v>
      </c>
      <c r="D136" s="59"/>
      <c r="E136" s="19">
        <v>0.0</v>
      </c>
      <c r="F136" s="19">
        <v>0.0</v>
      </c>
      <c r="G136" s="19">
        <v>0.0</v>
      </c>
      <c r="H136" s="19">
        <v>0.0</v>
      </c>
      <c r="I136" s="19">
        <v>0.0</v>
      </c>
      <c r="J136" s="19">
        <v>0.0</v>
      </c>
      <c r="K136" s="19">
        <v>0.0</v>
      </c>
      <c r="L136" s="19">
        <v>0.0</v>
      </c>
      <c r="M136" s="19">
        <v>0.0</v>
      </c>
      <c r="N136" s="19">
        <v>0.0</v>
      </c>
      <c r="O136" s="19">
        <v>0.0</v>
      </c>
      <c r="P136" s="19">
        <v>0.0</v>
      </c>
      <c r="Q136" s="19">
        <v>0.0</v>
      </c>
      <c r="R136" s="19">
        <v>0.0</v>
      </c>
      <c r="S136" s="19">
        <v>0.0</v>
      </c>
      <c r="T136" s="19">
        <v>0.0</v>
      </c>
      <c r="U136" s="19">
        <v>0.0</v>
      </c>
      <c r="V136" s="19">
        <v>0.0</v>
      </c>
      <c r="W136" s="19">
        <v>0.0</v>
      </c>
      <c r="X136" s="19">
        <v>0.0</v>
      </c>
      <c r="Y136" s="13">
        <f t="shared" si="28"/>
        <v>0</v>
      </c>
    </row>
    <row r="137" ht="12.75" customHeight="1">
      <c r="A137" s="18"/>
      <c r="B137" s="56"/>
      <c r="C137" s="57"/>
      <c r="D137" s="61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3">
        <f t="shared" si="28"/>
        <v>0</v>
      </c>
    </row>
    <row r="138" ht="12.75" customHeight="1">
      <c r="A138" s="18"/>
      <c r="B138" s="56"/>
      <c r="C138" s="57"/>
      <c r="D138" s="61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3">
        <f t="shared" si="28"/>
        <v>0</v>
      </c>
    </row>
    <row r="139" ht="12.75" customHeight="1">
      <c r="A139" s="19" t="s">
        <v>15</v>
      </c>
      <c r="B139" s="47" t="s">
        <v>47</v>
      </c>
      <c r="C139" s="15"/>
      <c r="D139" s="16"/>
      <c r="E139" s="13">
        <f t="shared" ref="E139:Y139" si="29">SUM(E129:E138)</f>
        <v>1</v>
      </c>
      <c r="F139" s="13">
        <f t="shared" si="29"/>
        <v>0</v>
      </c>
      <c r="G139" s="13">
        <f t="shared" si="29"/>
        <v>1</v>
      </c>
      <c r="H139" s="13">
        <f t="shared" si="29"/>
        <v>1</v>
      </c>
      <c r="I139" s="13">
        <f t="shared" si="29"/>
        <v>0</v>
      </c>
      <c r="J139" s="13">
        <f t="shared" si="29"/>
        <v>0</v>
      </c>
      <c r="K139" s="13">
        <f t="shared" si="29"/>
        <v>0</v>
      </c>
      <c r="L139" s="13">
        <f t="shared" si="29"/>
        <v>1</v>
      </c>
      <c r="M139" s="13">
        <f t="shared" si="29"/>
        <v>1</v>
      </c>
      <c r="N139" s="13">
        <f t="shared" si="29"/>
        <v>0</v>
      </c>
      <c r="O139" s="13">
        <f t="shared" si="29"/>
        <v>1</v>
      </c>
      <c r="P139" s="13">
        <f t="shared" si="29"/>
        <v>0</v>
      </c>
      <c r="Q139" s="13">
        <f t="shared" si="29"/>
        <v>0</v>
      </c>
      <c r="R139" s="13">
        <f t="shared" si="29"/>
        <v>2</v>
      </c>
      <c r="S139" s="13">
        <f t="shared" si="29"/>
        <v>3</v>
      </c>
      <c r="T139" s="13">
        <f t="shared" si="29"/>
        <v>0</v>
      </c>
      <c r="U139" s="13">
        <f t="shared" si="29"/>
        <v>1</v>
      </c>
      <c r="V139" s="13">
        <f t="shared" si="29"/>
        <v>0</v>
      </c>
      <c r="W139" s="13">
        <f t="shared" si="29"/>
        <v>3</v>
      </c>
      <c r="X139" s="13">
        <f t="shared" si="29"/>
        <v>0</v>
      </c>
      <c r="Y139" s="13">
        <f t="shared" si="29"/>
        <v>15</v>
      </c>
    </row>
    <row r="140" ht="12.75" customHeight="1">
      <c r="A140" s="24"/>
      <c r="B140" s="15"/>
      <c r="C140" s="15"/>
      <c r="D140" s="15"/>
      <c r="E140" s="16"/>
      <c r="F140" s="84"/>
      <c r="G140" s="84"/>
      <c r="H140" s="84"/>
      <c r="I140" s="84"/>
      <c r="J140" s="84"/>
      <c r="K140" s="84"/>
      <c r="L140" s="84"/>
      <c r="M140" s="84"/>
      <c r="N140" s="84"/>
      <c r="O140" s="84"/>
      <c r="P140" s="84"/>
      <c r="Q140" s="84"/>
      <c r="R140" s="84"/>
      <c r="S140" s="84"/>
      <c r="T140" s="84"/>
      <c r="U140" s="84"/>
      <c r="V140" s="84"/>
      <c r="W140" s="84"/>
      <c r="X140" s="84"/>
      <c r="Y140" s="84"/>
    </row>
    <row r="141" ht="12.75" customHeight="1">
      <c r="A141" s="30" t="s">
        <v>37</v>
      </c>
      <c r="B141" s="47" t="s">
        <v>104</v>
      </c>
      <c r="C141" s="48" t="s">
        <v>105</v>
      </c>
      <c r="D141" s="16"/>
      <c r="E141" s="19">
        <v>0.0</v>
      </c>
      <c r="F141" s="19">
        <v>0.0</v>
      </c>
      <c r="G141" s="19">
        <v>0.0</v>
      </c>
      <c r="H141" s="19">
        <v>0.0</v>
      </c>
      <c r="I141" s="19">
        <v>0.0</v>
      </c>
      <c r="J141" s="19">
        <v>0.0</v>
      </c>
      <c r="K141" s="19">
        <v>0.0</v>
      </c>
      <c r="L141" s="19">
        <v>0.0</v>
      </c>
      <c r="M141" s="19">
        <v>0.0</v>
      </c>
      <c r="N141" s="19">
        <v>0.0</v>
      </c>
      <c r="O141" s="19">
        <v>0.0</v>
      </c>
      <c r="P141" s="19">
        <v>0.0</v>
      </c>
      <c r="Q141" s="19">
        <v>0.0</v>
      </c>
      <c r="R141" s="19">
        <v>0.0</v>
      </c>
      <c r="S141" s="19">
        <v>0.0</v>
      </c>
      <c r="T141" s="19">
        <v>0.0</v>
      </c>
      <c r="U141" s="19">
        <v>0.0</v>
      </c>
      <c r="V141" s="19">
        <v>0.0</v>
      </c>
      <c r="W141" s="19">
        <v>0.0</v>
      </c>
      <c r="X141" s="19">
        <v>0.0</v>
      </c>
      <c r="Y141" s="13">
        <f t="shared" ref="Y141:Y150" si="30">SUM(E141:X141)</f>
        <v>0</v>
      </c>
    </row>
    <row r="142" ht="12.75" customHeight="1">
      <c r="A142" s="30" t="s">
        <v>39</v>
      </c>
      <c r="B142" s="55">
        <v>1.0</v>
      </c>
      <c r="C142" s="50" t="s">
        <v>106</v>
      </c>
      <c r="D142" s="60"/>
      <c r="E142" s="19">
        <v>0.0</v>
      </c>
      <c r="F142" s="19">
        <v>0.0</v>
      </c>
      <c r="G142" s="19">
        <v>0.0</v>
      </c>
      <c r="H142" s="19">
        <v>0.0</v>
      </c>
      <c r="I142" s="19">
        <v>0.0</v>
      </c>
      <c r="J142" s="19">
        <v>0.0</v>
      </c>
      <c r="K142" s="19">
        <v>0.0</v>
      </c>
      <c r="L142" s="19">
        <v>0.0</v>
      </c>
      <c r="M142" s="19">
        <v>0.0</v>
      </c>
      <c r="N142" s="19">
        <v>0.0</v>
      </c>
      <c r="O142" s="19">
        <v>0.0</v>
      </c>
      <c r="P142" s="19">
        <v>0.0</v>
      </c>
      <c r="Q142" s="19">
        <v>0.0</v>
      </c>
      <c r="R142" s="19">
        <v>0.0</v>
      </c>
      <c r="S142" s="19">
        <v>1.0</v>
      </c>
      <c r="T142" s="19">
        <v>0.0</v>
      </c>
      <c r="U142" s="19">
        <v>0.0</v>
      </c>
      <c r="V142" s="19">
        <v>0.0</v>
      </c>
      <c r="W142" s="19">
        <v>0.0</v>
      </c>
      <c r="X142" s="19">
        <v>0.0</v>
      </c>
      <c r="Y142" s="13">
        <f t="shared" si="30"/>
        <v>1</v>
      </c>
    </row>
    <row r="143" ht="12.75" customHeight="1">
      <c r="A143" s="18"/>
      <c r="B143" s="55">
        <v>2.0</v>
      </c>
      <c r="C143" s="50" t="s">
        <v>107</v>
      </c>
      <c r="D143" s="60"/>
      <c r="E143" s="19">
        <v>0.0</v>
      </c>
      <c r="F143" s="19">
        <v>0.0</v>
      </c>
      <c r="G143" s="19">
        <v>0.0</v>
      </c>
      <c r="H143" s="19">
        <v>0.0</v>
      </c>
      <c r="I143" s="19">
        <v>0.0</v>
      </c>
      <c r="J143" s="19">
        <v>0.0</v>
      </c>
      <c r="K143" s="19">
        <v>0.0</v>
      </c>
      <c r="L143" s="19">
        <v>0.0</v>
      </c>
      <c r="M143" s="19">
        <v>0.0</v>
      </c>
      <c r="N143" s="19">
        <v>0.0</v>
      </c>
      <c r="O143" s="19">
        <v>0.0</v>
      </c>
      <c r="P143" s="19">
        <v>0.0</v>
      </c>
      <c r="Q143" s="19">
        <v>0.0</v>
      </c>
      <c r="R143" s="19">
        <v>0.0</v>
      </c>
      <c r="S143" s="19">
        <v>0.0</v>
      </c>
      <c r="T143" s="19">
        <v>0.0</v>
      </c>
      <c r="U143" s="19">
        <v>0.0</v>
      </c>
      <c r="V143" s="19">
        <v>0.0</v>
      </c>
      <c r="W143" s="19">
        <v>0.0</v>
      </c>
      <c r="X143" s="19">
        <v>0.0</v>
      </c>
      <c r="Y143" s="13">
        <f t="shared" si="30"/>
        <v>0</v>
      </c>
    </row>
    <row r="144" ht="12.75" customHeight="1">
      <c r="A144" s="18"/>
      <c r="B144" s="55">
        <v>3.0</v>
      </c>
      <c r="C144" s="50" t="s">
        <v>108</v>
      </c>
      <c r="D144" s="60"/>
      <c r="E144" s="19">
        <v>0.0</v>
      </c>
      <c r="F144" s="19">
        <v>0.0</v>
      </c>
      <c r="G144" s="19">
        <v>0.0</v>
      </c>
      <c r="H144" s="19">
        <v>0.0</v>
      </c>
      <c r="I144" s="19">
        <v>0.0</v>
      </c>
      <c r="J144" s="19">
        <v>0.0</v>
      </c>
      <c r="K144" s="19">
        <v>0.0</v>
      </c>
      <c r="L144" s="19">
        <v>0.0</v>
      </c>
      <c r="M144" s="19">
        <v>0.0</v>
      </c>
      <c r="N144" s="19">
        <v>0.0</v>
      </c>
      <c r="O144" s="19">
        <v>0.0</v>
      </c>
      <c r="P144" s="19">
        <v>0.0</v>
      </c>
      <c r="Q144" s="19">
        <v>0.0</v>
      </c>
      <c r="R144" s="19">
        <v>0.0</v>
      </c>
      <c r="S144" s="19">
        <v>0.0</v>
      </c>
      <c r="T144" s="19">
        <v>0.0</v>
      </c>
      <c r="U144" s="19">
        <v>0.0</v>
      </c>
      <c r="V144" s="19">
        <v>0.0</v>
      </c>
      <c r="W144" s="19">
        <v>0.0</v>
      </c>
      <c r="X144" s="19">
        <v>0.0</v>
      </c>
      <c r="Y144" s="13">
        <f t="shared" si="30"/>
        <v>0</v>
      </c>
    </row>
    <row r="145" ht="12.75" customHeight="1">
      <c r="A145" s="18"/>
      <c r="B145" s="55">
        <v>4.0</v>
      </c>
      <c r="C145" s="50" t="s">
        <v>109</v>
      </c>
      <c r="D145" s="60"/>
      <c r="E145" s="19">
        <v>0.0</v>
      </c>
      <c r="F145" s="19">
        <v>0.0</v>
      </c>
      <c r="G145" s="19">
        <v>0.0</v>
      </c>
      <c r="H145" s="19">
        <v>0.0</v>
      </c>
      <c r="I145" s="19">
        <v>0.0</v>
      </c>
      <c r="J145" s="19">
        <v>0.0</v>
      </c>
      <c r="K145" s="19">
        <v>0.0</v>
      </c>
      <c r="L145" s="19">
        <v>0.0</v>
      </c>
      <c r="M145" s="19">
        <v>0.0</v>
      </c>
      <c r="N145" s="19">
        <v>0.0</v>
      </c>
      <c r="O145" s="19">
        <v>0.0</v>
      </c>
      <c r="P145" s="19">
        <v>0.0</v>
      </c>
      <c r="Q145" s="19">
        <v>0.0</v>
      </c>
      <c r="R145" s="19">
        <v>0.0</v>
      </c>
      <c r="S145" s="19">
        <v>0.0</v>
      </c>
      <c r="T145" s="19">
        <v>0.0</v>
      </c>
      <c r="U145" s="19">
        <v>0.0</v>
      </c>
      <c r="V145" s="19">
        <v>0.0</v>
      </c>
      <c r="W145" s="19">
        <v>0.0</v>
      </c>
      <c r="X145" s="19">
        <v>0.0</v>
      </c>
      <c r="Y145" s="13">
        <f t="shared" si="30"/>
        <v>0</v>
      </c>
    </row>
    <row r="146" ht="12.75" customHeight="1">
      <c r="A146" s="18"/>
      <c r="B146" s="55">
        <v>5.0</v>
      </c>
      <c r="C146" s="50" t="s">
        <v>110</v>
      </c>
      <c r="D146" s="60"/>
      <c r="E146" s="19">
        <v>0.0</v>
      </c>
      <c r="F146" s="19">
        <v>0.0</v>
      </c>
      <c r="G146" s="19">
        <v>0.0</v>
      </c>
      <c r="H146" s="19">
        <v>0.0</v>
      </c>
      <c r="I146" s="19">
        <v>0.0</v>
      </c>
      <c r="J146" s="19">
        <v>0.0</v>
      </c>
      <c r="K146" s="19">
        <v>0.0</v>
      </c>
      <c r="L146" s="19">
        <v>0.0</v>
      </c>
      <c r="M146" s="19">
        <v>0.0</v>
      </c>
      <c r="N146" s="19">
        <v>0.0</v>
      </c>
      <c r="O146" s="19">
        <v>0.0</v>
      </c>
      <c r="P146" s="19">
        <v>0.0</v>
      </c>
      <c r="Q146" s="19">
        <v>0.0</v>
      </c>
      <c r="R146" s="19">
        <v>0.0</v>
      </c>
      <c r="S146" s="19">
        <v>0.0</v>
      </c>
      <c r="T146" s="19">
        <v>0.0</v>
      </c>
      <c r="U146" s="19">
        <v>0.0</v>
      </c>
      <c r="V146" s="19">
        <v>0.0</v>
      </c>
      <c r="W146" s="19">
        <v>0.0</v>
      </c>
      <c r="X146" s="19">
        <v>0.0</v>
      </c>
      <c r="Y146" s="13">
        <f t="shared" si="30"/>
        <v>0</v>
      </c>
    </row>
    <row r="147" ht="12.75" customHeight="1">
      <c r="A147" s="18"/>
      <c r="B147" s="55">
        <v>6.0</v>
      </c>
      <c r="C147" s="50" t="s">
        <v>111</v>
      </c>
      <c r="D147" s="60"/>
      <c r="E147" s="19">
        <v>0.0</v>
      </c>
      <c r="F147" s="19">
        <v>0.0</v>
      </c>
      <c r="G147" s="19">
        <v>0.0</v>
      </c>
      <c r="H147" s="19">
        <v>0.0</v>
      </c>
      <c r="I147" s="19">
        <v>0.0</v>
      </c>
      <c r="J147" s="19">
        <v>0.0</v>
      </c>
      <c r="K147" s="19">
        <v>0.0</v>
      </c>
      <c r="L147" s="19">
        <v>0.0</v>
      </c>
      <c r="M147" s="19">
        <v>0.0</v>
      </c>
      <c r="N147" s="19">
        <v>0.0</v>
      </c>
      <c r="O147" s="19">
        <v>0.0</v>
      </c>
      <c r="P147" s="19">
        <v>0.0</v>
      </c>
      <c r="Q147" s="19">
        <v>0.0</v>
      </c>
      <c r="R147" s="19">
        <v>0.0</v>
      </c>
      <c r="S147" s="19">
        <v>0.0</v>
      </c>
      <c r="T147" s="19">
        <v>0.0</v>
      </c>
      <c r="U147" s="19">
        <v>0.0</v>
      </c>
      <c r="V147" s="19">
        <v>0.0</v>
      </c>
      <c r="W147" s="19">
        <v>0.0</v>
      </c>
      <c r="X147" s="19">
        <v>0.0</v>
      </c>
      <c r="Y147" s="13">
        <f t="shared" si="30"/>
        <v>0</v>
      </c>
    </row>
    <row r="148" ht="12.75" customHeight="1">
      <c r="A148" s="18"/>
      <c r="B148" s="55">
        <v>7.0</v>
      </c>
      <c r="C148" s="50" t="s">
        <v>112</v>
      </c>
      <c r="D148" s="60"/>
      <c r="E148" s="19">
        <v>0.0</v>
      </c>
      <c r="F148" s="19">
        <v>0.0</v>
      </c>
      <c r="G148" s="19">
        <v>0.0</v>
      </c>
      <c r="H148" s="19">
        <v>0.0</v>
      </c>
      <c r="I148" s="19">
        <v>0.0</v>
      </c>
      <c r="J148" s="19">
        <v>0.0</v>
      </c>
      <c r="K148" s="19">
        <v>0.0</v>
      </c>
      <c r="L148" s="19">
        <v>0.0</v>
      </c>
      <c r="M148" s="19">
        <v>0.0</v>
      </c>
      <c r="N148" s="19">
        <v>0.0</v>
      </c>
      <c r="O148" s="19">
        <v>0.0</v>
      </c>
      <c r="P148" s="19">
        <v>0.0</v>
      </c>
      <c r="Q148" s="19">
        <v>0.0</v>
      </c>
      <c r="R148" s="19">
        <v>0.0</v>
      </c>
      <c r="S148" s="19">
        <v>0.0</v>
      </c>
      <c r="T148" s="19">
        <v>0.0</v>
      </c>
      <c r="U148" s="19">
        <v>0.0</v>
      </c>
      <c r="V148" s="19">
        <v>0.0</v>
      </c>
      <c r="W148" s="19">
        <v>0.0</v>
      </c>
      <c r="X148" s="19">
        <v>0.0</v>
      </c>
      <c r="Y148" s="13">
        <f t="shared" si="30"/>
        <v>0</v>
      </c>
    </row>
    <row r="149" ht="12.75" customHeight="1">
      <c r="A149" s="18"/>
      <c r="B149" s="56"/>
      <c r="C149" s="57"/>
      <c r="D149" s="62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3">
        <f t="shared" si="30"/>
        <v>0</v>
      </c>
    </row>
    <row r="150" ht="12.75" customHeight="1">
      <c r="A150" s="18"/>
      <c r="B150" s="56"/>
      <c r="C150" s="57"/>
      <c r="D150" s="62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3">
        <f t="shared" si="30"/>
        <v>0</v>
      </c>
    </row>
    <row r="151" ht="12.75" customHeight="1">
      <c r="A151" s="19" t="s">
        <v>15</v>
      </c>
      <c r="B151" s="47" t="s">
        <v>47</v>
      </c>
      <c r="C151" s="15"/>
      <c r="D151" s="16"/>
      <c r="E151" s="13">
        <f t="shared" ref="E151:Y151" si="31">SUM(E141:E150)</f>
        <v>0</v>
      </c>
      <c r="F151" s="13">
        <f t="shared" si="31"/>
        <v>0</v>
      </c>
      <c r="G151" s="13">
        <f t="shared" si="31"/>
        <v>0</v>
      </c>
      <c r="H151" s="13">
        <f t="shared" si="31"/>
        <v>0</v>
      </c>
      <c r="I151" s="13">
        <f t="shared" si="31"/>
        <v>0</v>
      </c>
      <c r="J151" s="13">
        <f t="shared" si="31"/>
        <v>0</v>
      </c>
      <c r="K151" s="13">
        <f t="shared" si="31"/>
        <v>0</v>
      </c>
      <c r="L151" s="13">
        <f t="shared" si="31"/>
        <v>0</v>
      </c>
      <c r="M151" s="13">
        <f t="shared" si="31"/>
        <v>0</v>
      </c>
      <c r="N151" s="13">
        <f t="shared" si="31"/>
        <v>0</v>
      </c>
      <c r="O151" s="13">
        <f t="shared" si="31"/>
        <v>0</v>
      </c>
      <c r="P151" s="13">
        <f t="shared" si="31"/>
        <v>0</v>
      </c>
      <c r="Q151" s="13">
        <f t="shared" si="31"/>
        <v>0</v>
      </c>
      <c r="R151" s="13">
        <f t="shared" si="31"/>
        <v>0</v>
      </c>
      <c r="S151" s="13">
        <f t="shared" si="31"/>
        <v>1</v>
      </c>
      <c r="T151" s="13">
        <f t="shared" si="31"/>
        <v>0</v>
      </c>
      <c r="U151" s="13">
        <f t="shared" si="31"/>
        <v>0</v>
      </c>
      <c r="V151" s="13">
        <f t="shared" si="31"/>
        <v>0</v>
      </c>
      <c r="W151" s="13">
        <f t="shared" si="31"/>
        <v>0</v>
      </c>
      <c r="X151" s="13">
        <f t="shared" si="31"/>
        <v>0</v>
      </c>
      <c r="Y151" s="13">
        <f t="shared" si="31"/>
        <v>1</v>
      </c>
    </row>
    <row r="152" ht="12.75" customHeight="1">
      <c r="A152" s="24"/>
      <c r="B152" s="15"/>
      <c r="C152" s="15"/>
      <c r="D152" s="15"/>
      <c r="E152" s="16"/>
      <c r="F152" s="84"/>
      <c r="G152" s="84"/>
      <c r="H152" s="84"/>
      <c r="I152" s="84"/>
      <c r="J152" s="84"/>
      <c r="K152" s="84"/>
      <c r="L152" s="84"/>
      <c r="M152" s="84"/>
      <c r="N152" s="84"/>
      <c r="O152" s="84"/>
      <c r="P152" s="84"/>
      <c r="Q152" s="84"/>
      <c r="R152" s="84"/>
      <c r="S152" s="84"/>
      <c r="T152" s="84"/>
      <c r="U152" s="84"/>
      <c r="V152" s="84"/>
      <c r="W152" s="84"/>
      <c r="X152" s="84"/>
      <c r="Y152" s="13"/>
    </row>
    <row r="153" ht="12.75" customHeight="1">
      <c r="A153" s="30" t="s">
        <v>37</v>
      </c>
      <c r="B153" s="17" t="s">
        <v>113</v>
      </c>
      <c r="C153" s="65" t="s">
        <v>114</v>
      </c>
      <c r="D153" s="23"/>
      <c r="E153" s="19">
        <v>0.0</v>
      </c>
      <c r="F153" s="19">
        <v>0.0</v>
      </c>
      <c r="G153" s="19">
        <v>0.0</v>
      </c>
      <c r="H153" s="19">
        <v>0.0</v>
      </c>
      <c r="I153" s="19">
        <v>0.0</v>
      </c>
      <c r="J153" s="19">
        <v>2.0</v>
      </c>
      <c r="K153" s="19">
        <v>0.0</v>
      </c>
      <c r="L153" s="19">
        <v>0.0</v>
      </c>
      <c r="M153" s="19">
        <v>0.0</v>
      </c>
      <c r="N153" s="19">
        <v>1.0</v>
      </c>
      <c r="O153" s="19">
        <v>0.0</v>
      </c>
      <c r="P153" s="19">
        <v>0.0</v>
      </c>
      <c r="Q153" s="19">
        <v>0.0</v>
      </c>
      <c r="R153" s="19">
        <v>0.0</v>
      </c>
      <c r="S153" s="19">
        <v>0.0</v>
      </c>
      <c r="T153" s="19">
        <v>0.0</v>
      </c>
      <c r="U153" s="19">
        <v>0.0</v>
      </c>
      <c r="V153" s="19">
        <v>0.0</v>
      </c>
      <c r="W153" s="19">
        <v>0.0</v>
      </c>
      <c r="X153" s="19">
        <v>0.0</v>
      </c>
      <c r="Y153" s="13">
        <f t="shared" ref="Y153:Y163" si="32">SUM(E153:X153)</f>
        <v>3</v>
      </c>
    </row>
    <row r="154" ht="12.75" customHeight="1">
      <c r="A154" s="66" t="s">
        <v>39</v>
      </c>
      <c r="B154" s="55">
        <v>1.0</v>
      </c>
      <c r="C154" s="67" t="s">
        <v>115</v>
      </c>
      <c r="D154" s="60"/>
      <c r="E154" s="86">
        <v>0.0</v>
      </c>
      <c r="F154" s="19">
        <v>0.0</v>
      </c>
      <c r="G154" s="19">
        <v>0.0</v>
      </c>
      <c r="H154" s="19">
        <v>0.0</v>
      </c>
      <c r="I154" s="19">
        <v>0.0</v>
      </c>
      <c r="J154" s="19">
        <v>0.0</v>
      </c>
      <c r="K154" s="19">
        <v>0.0</v>
      </c>
      <c r="L154" s="19">
        <v>0.0</v>
      </c>
      <c r="M154" s="19">
        <v>0.0</v>
      </c>
      <c r="N154" s="19">
        <v>0.0</v>
      </c>
      <c r="O154" s="19">
        <v>0.0</v>
      </c>
      <c r="P154" s="19">
        <v>0.0</v>
      </c>
      <c r="Q154" s="19">
        <v>0.0</v>
      </c>
      <c r="R154" s="19">
        <v>0.0</v>
      </c>
      <c r="S154" s="19">
        <v>0.0</v>
      </c>
      <c r="T154" s="19">
        <v>0.0</v>
      </c>
      <c r="U154" s="19">
        <v>0.0</v>
      </c>
      <c r="V154" s="19">
        <v>0.0</v>
      </c>
      <c r="W154" s="19">
        <v>0.0</v>
      </c>
      <c r="X154" s="19">
        <v>0.0</v>
      </c>
      <c r="Y154" s="13">
        <f t="shared" si="32"/>
        <v>0</v>
      </c>
    </row>
    <row r="155" ht="12.75" customHeight="1">
      <c r="A155" s="18"/>
      <c r="B155" s="55">
        <v>2.0</v>
      </c>
      <c r="C155" s="67" t="s">
        <v>116</v>
      </c>
      <c r="D155" s="60"/>
      <c r="E155" s="86">
        <v>0.0</v>
      </c>
      <c r="F155" s="19">
        <v>0.0</v>
      </c>
      <c r="G155" s="19">
        <v>0.0</v>
      </c>
      <c r="H155" s="19">
        <v>0.0</v>
      </c>
      <c r="I155" s="19">
        <v>0.0</v>
      </c>
      <c r="J155" s="19">
        <v>0.0</v>
      </c>
      <c r="K155" s="19">
        <v>0.0</v>
      </c>
      <c r="L155" s="19">
        <v>0.0</v>
      </c>
      <c r="M155" s="19">
        <v>0.0</v>
      </c>
      <c r="N155" s="19">
        <v>0.0</v>
      </c>
      <c r="O155" s="19">
        <v>0.0</v>
      </c>
      <c r="P155" s="19">
        <v>0.0</v>
      </c>
      <c r="Q155" s="19">
        <v>0.0</v>
      </c>
      <c r="R155" s="19">
        <v>0.0</v>
      </c>
      <c r="S155" s="19">
        <v>0.0</v>
      </c>
      <c r="T155" s="19">
        <v>0.0</v>
      </c>
      <c r="U155" s="19">
        <v>0.0</v>
      </c>
      <c r="V155" s="19">
        <v>0.0</v>
      </c>
      <c r="W155" s="19">
        <v>0.0</v>
      </c>
      <c r="X155" s="19">
        <v>0.0</v>
      </c>
      <c r="Y155" s="13">
        <f t="shared" si="32"/>
        <v>0</v>
      </c>
    </row>
    <row r="156" ht="12.75" customHeight="1">
      <c r="A156" s="18"/>
      <c r="B156" s="55">
        <v>3.0</v>
      </c>
      <c r="C156" s="67" t="s">
        <v>117</v>
      </c>
      <c r="D156" s="60"/>
      <c r="E156" s="86">
        <v>0.0</v>
      </c>
      <c r="F156" s="19">
        <v>0.0</v>
      </c>
      <c r="G156" s="19">
        <v>0.0</v>
      </c>
      <c r="H156" s="19">
        <v>0.0</v>
      </c>
      <c r="I156" s="19">
        <v>0.0</v>
      </c>
      <c r="J156" s="19">
        <v>0.0</v>
      </c>
      <c r="K156" s="19">
        <v>0.0</v>
      </c>
      <c r="L156" s="19">
        <v>0.0</v>
      </c>
      <c r="M156" s="19">
        <v>0.0</v>
      </c>
      <c r="N156" s="19">
        <v>0.0</v>
      </c>
      <c r="O156" s="19">
        <v>0.0</v>
      </c>
      <c r="P156" s="19">
        <v>0.0</v>
      </c>
      <c r="Q156" s="19">
        <v>0.0</v>
      </c>
      <c r="R156" s="19">
        <v>0.0</v>
      </c>
      <c r="S156" s="19">
        <v>0.0</v>
      </c>
      <c r="T156" s="19">
        <v>0.0</v>
      </c>
      <c r="U156" s="19">
        <v>0.0</v>
      </c>
      <c r="V156" s="19">
        <v>0.0</v>
      </c>
      <c r="W156" s="19">
        <v>0.0</v>
      </c>
      <c r="X156" s="19">
        <v>0.0</v>
      </c>
      <c r="Y156" s="13">
        <f t="shared" si="32"/>
        <v>0</v>
      </c>
    </row>
    <row r="157" ht="12.75" customHeight="1">
      <c r="A157" s="18"/>
      <c r="B157" s="55">
        <v>4.0</v>
      </c>
      <c r="C157" s="67" t="s">
        <v>118</v>
      </c>
      <c r="D157" s="60"/>
      <c r="E157" s="86">
        <v>0.0</v>
      </c>
      <c r="F157" s="19">
        <v>0.0</v>
      </c>
      <c r="G157" s="19">
        <v>0.0</v>
      </c>
      <c r="H157" s="19">
        <v>0.0</v>
      </c>
      <c r="I157" s="19">
        <v>0.0</v>
      </c>
      <c r="J157" s="19">
        <v>0.0</v>
      </c>
      <c r="K157" s="19">
        <v>0.0</v>
      </c>
      <c r="L157" s="19">
        <v>0.0</v>
      </c>
      <c r="M157" s="19">
        <v>0.0</v>
      </c>
      <c r="N157" s="19">
        <v>0.0</v>
      </c>
      <c r="O157" s="19">
        <v>0.0</v>
      </c>
      <c r="P157" s="19">
        <v>1.0</v>
      </c>
      <c r="Q157" s="19">
        <v>0.0</v>
      </c>
      <c r="R157" s="19">
        <v>0.0</v>
      </c>
      <c r="S157" s="19">
        <v>0.0</v>
      </c>
      <c r="T157" s="19">
        <v>0.0</v>
      </c>
      <c r="U157" s="19">
        <v>0.0</v>
      </c>
      <c r="V157" s="19">
        <v>0.0</v>
      </c>
      <c r="W157" s="19">
        <v>0.0</v>
      </c>
      <c r="X157" s="19">
        <v>0.0</v>
      </c>
      <c r="Y157" s="13">
        <f t="shared" si="32"/>
        <v>1</v>
      </c>
    </row>
    <row r="158" ht="12.75" customHeight="1">
      <c r="A158" s="18"/>
      <c r="B158" s="56"/>
      <c r="C158" s="57"/>
      <c r="D158" s="62"/>
      <c r="E158" s="86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3">
        <f t="shared" si="32"/>
        <v>0</v>
      </c>
    </row>
    <row r="159" ht="12.75" customHeight="1">
      <c r="A159" s="18"/>
      <c r="B159" s="56"/>
      <c r="C159" s="57"/>
      <c r="D159" s="62"/>
      <c r="E159" s="86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3">
        <f t="shared" si="32"/>
        <v>0</v>
      </c>
    </row>
    <row r="160" ht="12.75" customHeight="1">
      <c r="A160" s="18"/>
      <c r="B160" s="56"/>
      <c r="C160" s="57"/>
      <c r="D160" s="62"/>
      <c r="E160" s="86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3">
        <f t="shared" si="32"/>
        <v>0</v>
      </c>
    </row>
    <row r="161" ht="12.75" customHeight="1">
      <c r="A161" s="18"/>
      <c r="B161" s="56"/>
      <c r="C161" s="68"/>
      <c r="D161" s="62"/>
      <c r="E161" s="86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3">
        <f t="shared" si="32"/>
        <v>0</v>
      </c>
    </row>
    <row r="162" ht="12.75" customHeight="1">
      <c r="A162" s="18"/>
      <c r="B162" s="56"/>
      <c r="C162" s="68"/>
      <c r="D162" s="62"/>
      <c r="E162" s="86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3">
        <f t="shared" si="32"/>
        <v>0</v>
      </c>
    </row>
    <row r="163" ht="12.75" customHeight="1">
      <c r="A163" s="19" t="s">
        <v>15</v>
      </c>
      <c r="B163" s="69" t="s">
        <v>47</v>
      </c>
      <c r="C163" s="44"/>
      <c r="D163" s="28"/>
      <c r="E163" s="13">
        <f t="shared" ref="E163:X163" si="33">SUM(E153:E162)</f>
        <v>0</v>
      </c>
      <c r="F163" s="13">
        <f t="shared" si="33"/>
        <v>0</v>
      </c>
      <c r="G163" s="13">
        <f t="shared" si="33"/>
        <v>0</v>
      </c>
      <c r="H163" s="13">
        <f t="shared" si="33"/>
        <v>0</v>
      </c>
      <c r="I163" s="13">
        <f t="shared" si="33"/>
        <v>0</v>
      </c>
      <c r="J163" s="13">
        <f t="shared" si="33"/>
        <v>2</v>
      </c>
      <c r="K163" s="13">
        <f t="shared" si="33"/>
        <v>0</v>
      </c>
      <c r="L163" s="13">
        <f t="shared" si="33"/>
        <v>0</v>
      </c>
      <c r="M163" s="13">
        <f t="shared" si="33"/>
        <v>0</v>
      </c>
      <c r="N163" s="13">
        <f t="shared" si="33"/>
        <v>1</v>
      </c>
      <c r="O163" s="13">
        <f t="shared" si="33"/>
        <v>0</v>
      </c>
      <c r="P163" s="13">
        <f t="shared" si="33"/>
        <v>1</v>
      </c>
      <c r="Q163" s="13">
        <f t="shared" si="33"/>
        <v>0</v>
      </c>
      <c r="R163" s="13">
        <f t="shared" si="33"/>
        <v>0</v>
      </c>
      <c r="S163" s="13">
        <f t="shared" si="33"/>
        <v>0</v>
      </c>
      <c r="T163" s="13">
        <f t="shared" si="33"/>
        <v>0</v>
      </c>
      <c r="U163" s="13">
        <f t="shared" si="33"/>
        <v>0</v>
      </c>
      <c r="V163" s="13">
        <f t="shared" si="33"/>
        <v>0</v>
      </c>
      <c r="W163" s="13">
        <f t="shared" si="33"/>
        <v>0</v>
      </c>
      <c r="X163" s="13">
        <f t="shared" si="33"/>
        <v>0</v>
      </c>
      <c r="Y163" s="13">
        <f t="shared" si="32"/>
        <v>4</v>
      </c>
    </row>
    <row r="164" ht="12.75" customHeight="1">
      <c r="A164" s="24"/>
      <c r="B164" s="15"/>
      <c r="C164" s="15"/>
      <c r="D164" s="15"/>
      <c r="E164" s="16"/>
      <c r="F164" s="84"/>
      <c r="G164" s="84"/>
      <c r="H164" s="84"/>
      <c r="I164" s="84"/>
      <c r="J164" s="84"/>
      <c r="K164" s="84"/>
      <c r="L164" s="84"/>
      <c r="M164" s="84"/>
      <c r="N164" s="84"/>
      <c r="O164" s="84"/>
      <c r="P164" s="84"/>
      <c r="Q164" s="84"/>
      <c r="R164" s="84"/>
      <c r="S164" s="84"/>
      <c r="T164" s="84"/>
      <c r="U164" s="84"/>
      <c r="V164" s="84"/>
      <c r="W164" s="84"/>
      <c r="X164" s="84"/>
      <c r="Y164" s="84"/>
    </row>
    <row r="165" ht="12.75" customHeight="1">
      <c r="A165" s="30" t="s">
        <v>37</v>
      </c>
      <c r="B165" s="47" t="s">
        <v>119</v>
      </c>
      <c r="C165" s="48" t="s">
        <v>120</v>
      </c>
      <c r="D165" s="16"/>
      <c r="E165" s="19">
        <v>0.0</v>
      </c>
      <c r="F165" s="19">
        <v>0.0</v>
      </c>
      <c r="G165" s="19">
        <v>0.0</v>
      </c>
      <c r="H165" s="19">
        <v>0.0</v>
      </c>
      <c r="I165" s="19">
        <v>0.0</v>
      </c>
      <c r="J165" s="19">
        <v>0.0</v>
      </c>
      <c r="K165" s="19">
        <v>2.0</v>
      </c>
      <c r="L165" s="19">
        <v>0.0</v>
      </c>
      <c r="M165" s="19">
        <v>0.0</v>
      </c>
      <c r="N165" s="19">
        <v>0.0</v>
      </c>
      <c r="O165" s="19">
        <v>0.0</v>
      </c>
      <c r="P165" s="19">
        <v>0.0</v>
      </c>
      <c r="Q165" s="19">
        <v>0.0</v>
      </c>
      <c r="R165" s="19">
        <v>0.0</v>
      </c>
      <c r="S165" s="19">
        <v>1.0</v>
      </c>
      <c r="T165" s="19">
        <v>0.0</v>
      </c>
      <c r="U165" s="19">
        <v>0.0</v>
      </c>
      <c r="V165" s="19">
        <v>1.0</v>
      </c>
      <c r="W165" s="19">
        <v>0.0</v>
      </c>
      <c r="X165" s="19">
        <v>0.0</v>
      </c>
      <c r="Y165" s="13">
        <f t="shared" ref="Y165:Y174" si="34">SUM(E165:X165)</f>
        <v>4</v>
      </c>
    </row>
    <row r="166" ht="12.75" customHeight="1">
      <c r="A166" s="30" t="s">
        <v>39</v>
      </c>
      <c r="B166" s="55">
        <v>1.0</v>
      </c>
      <c r="C166" s="50" t="s">
        <v>121</v>
      </c>
      <c r="D166" s="60"/>
      <c r="E166" s="19">
        <v>0.0</v>
      </c>
      <c r="F166" s="19">
        <v>0.0</v>
      </c>
      <c r="G166" s="19">
        <v>0.0</v>
      </c>
      <c r="H166" s="19">
        <v>0.0</v>
      </c>
      <c r="I166" s="19">
        <v>1.0</v>
      </c>
      <c r="J166" s="19">
        <v>0.0</v>
      </c>
      <c r="K166" s="19">
        <v>0.0</v>
      </c>
      <c r="L166" s="19">
        <v>0.0</v>
      </c>
      <c r="M166" s="19">
        <v>1.0</v>
      </c>
      <c r="N166" s="19">
        <v>0.0</v>
      </c>
      <c r="O166" s="19">
        <v>0.0</v>
      </c>
      <c r="P166" s="19">
        <v>0.0</v>
      </c>
      <c r="Q166" s="19">
        <v>0.0</v>
      </c>
      <c r="R166" s="19">
        <v>0.0</v>
      </c>
      <c r="S166" s="19">
        <v>0.0</v>
      </c>
      <c r="T166" s="19">
        <v>0.0</v>
      </c>
      <c r="U166" s="19">
        <v>0.0</v>
      </c>
      <c r="V166" s="19">
        <v>0.0</v>
      </c>
      <c r="W166" s="19">
        <v>0.0</v>
      </c>
      <c r="X166" s="19">
        <v>0.0</v>
      </c>
      <c r="Y166" s="13">
        <f t="shared" si="34"/>
        <v>2</v>
      </c>
    </row>
    <row r="167" ht="12.75" customHeight="1">
      <c r="A167" s="18"/>
      <c r="B167" s="55">
        <v>2.0</v>
      </c>
      <c r="C167" s="50" t="s">
        <v>122</v>
      </c>
      <c r="D167" s="60"/>
      <c r="E167" s="19">
        <v>0.0</v>
      </c>
      <c r="F167" s="19">
        <v>0.0</v>
      </c>
      <c r="G167" s="19">
        <v>0.0</v>
      </c>
      <c r="H167" s="19">
        <v>0.0</v>
      </c>
      <c r="I167" s="19">
        <v>0.0</v>
      </c>
      <c r="J167" s="19">
        <v>0.0</v>
      </c>
      <c r="K167" s="19">
        <v>0.0</v>
      </c>
      <c r="L167" s="19">
        <v>0.0</v>
      </c>
      <c r="M167" s="19">
        <v>0.0</v>
      </c>
      <c r="N167" s="19">
        <v>0.0</v>
      </c>
      <c r="O167" s="19">
        <v>0.0</v>
      </c>
      <c r="P167" s="19">
        <v>0.0</v>
      </c>
      <c r="Q167" s="19">
        <v>0.0</v>
      </c>
      <c r="R167" s="19">
        <v>0.0</v>
      </c>
      <c r="S167" s="19">
        <v>0.0</v>
      </c>
      <c r="T167" s="19">
        <v>0.0</v>
      </c>
      <c r="U167" s="19">
        <v>0.0</v>
      </c>
      <c r="V167" s="19">
        <v>0.0</v>
      </c>
      <c r="W167" s="19">
        <v>0.0</v>
      </c>
      <c r="X167" s="19">
        <v>0.0</v>
      </c>
      <c r="Y167" s="13">
        <f t="shared" si="34"/>
        <v>0</v>
      </c>
    </row>
    <row r="168" ht="12.75" customHeight="1">
      <c r="A168" s="18"/>
      <c r="B168" s="55">
        <v>3.0</v>
      </c>
      <c r="C168" s="50" t="s">
        <v>123</v>
      </c>
      <c r="D168" s="60"/>
      <c r="E168" s="19">
        <v>0.0</v>
      </c>
      <c r="F168" s="19">
        <v>0.0</v>
      </c>
      <c r="G168" s="19">
        <v>0.0</v>
      </c>
      <c r="H168" s="19">
        <v>0.0</v>
      </c>
      <c r="I168" s="19">
        <v>0.0</v>
      </c>
      <c r="J168" s="19">
        <v>0.0</v>
      </c>
      <c r="K168" s="19">
        <v>0.0</v>
      </c>
      <c r="L168" s="19">
        <v>0.0</v>
      </c>
      <c r="M168" s="19">
        <v>0.0</v>
      </c>
      <c r="N168" s="19">
        <v>0.0</v>
      </c>
      <c r="O168" s="19">
        <v>0.0</v>
      </c>
      <c r="P168" s="19">
        <v>0.0</v>
      </c>
      <c r="Q168" s="19">
        <v>0.0</v>
      </c>
      <c r="R168" s="19">
        <v>0.0</v>
      </c>
      <c r="S168" s="19">
        <v>0.0</v>
      </c>
      <c r="T168" s="19">
        <v>0.0</v>
      </c>
      <c r="U168" s="19">
        <v>0.0</v>
      </c>
      <c r="V168" s="19">
        <v>0.0</v>
      </c>
      <c r="W168" s="19">
        <v>0.0</v>
      </c>
      <c r="X168" s="19">
        <v>0.0</v>
      </c>
      <c r="Y168" s="13">
        <f t="shared" si="34"/>
        <v>0</v>
      </c>
    </row>
    <row r="169" ht="12.75" customHeight="1">
      <c r="A169" s="18"/>
      <c r="B169" s="55">
        <v>4.0</v>
      </c>
      <c r="C169" s="50" t="s">
        <v>124</v>
      </c>
      <c r="D169" s="60"/>
      <c r="E169" s="19">
        <v>0.0</v>
      </c>
      <c r="F169" s="19">
        <v>0.0</v>
      </c>
      <c r="G169" s="19">
        <v>0.0</v>
      </c>
      <c r="H169" s="19">
        <v>0.0</v>
      </c>
      <c r="I169" s="19">
        <v>0.0</v>
      </c>
      <c r="J169" s="19">
        <v>0.0</v>
      </c>
      <c r="K169" s="19">
        <v>0.0</v>
      </c>
      <c r="L169" s="19">
        <v>0.0</v>
      </c>
      <c r="M169" s="19">
        <v>0.0</v>
      </c>
      <c r="N169" s="19">
        <v>0.0</v>
      </c>
      <c r="O169" s="19">
        <v>0.0</v>
      </c>
      <c r="P169" s="19">
        <v>0.0</v>
      </c>
      <c r="Q169" s="19">
        <v>0.0</v>
      </c>
      <c r="R169" s="19">
        <v>0.0</v>
      </c>
      <c r="S169" s="19">
        <v>0.0</v>
      </c>
      <c r="T169" s="19">
        <v>0.0</v>
      </c>
      <c r="U169" s="19">
        <v>0.0</v>
      </c>
      <c r="V169" s="19">
        <v>0.0</v>
      </c>
      <c r="W169" s="19">
        <v>0.0</v>
      </c>
      <c r="X169" s="19">
        <v>0.0</v>
      </c>
      <c r="Y169" s="13">
        <f t="shared" si="34"/>
        <v>0</v>
      </c>
    </row>
    <row r="170" ht="12.75" customHeight="1">
      <c r="A170" s="18"/>
      <c r="B170" s="55">
        <v>5.0</v>
      </c>
      <c r="C170" s="50" t="s">
        <v>125</v>
      </c>
      <c r="D170" s="60"/>
      <c r="E170" s="19">
        <v>0.0</v>
      </c>
      <c r="F170" s="19">
        <v>0.0</v>
      </c>
      <c r="G170" s="19">
        <v>0.0</v>
      </c>
      <c r="H170" s="19">
        <v>0.0</v>
      </c>
      <c r="I170" s="19">
        <v>0.0</v>
      </c>
      <c r="J170" s="19">
        <v>0.0</v>
      </c>
      <c r="K170" s="19">
        <v>0.0</v>
      </c>
      <c r="L170" s="19">
        <v>0.0</v>
      </c>
      <c r="M170" s="19">
        <v>0.0</v>
      </c>
      <c r="N170" s="19">
        <v>0.0</v>
      </c>
      <c r="O170" s="19">
        <v>0.0</v>
      </c>
      <c r="P170" s="19">
        <v>0.0</v>
      </c>
      <c r="Q170" s="19">
        <v>0.0</v>
      </c>
      <c r="R170" s="19">
        <v>0.0</v>
      </c>
      <c r="S170" s="19">
        <v>0.0</v>
      </c>
      <c r="T170" s="19">
        <v>0.0</v>
      </c>
      <c r="U170" s="19">
        <v>0.0</v>
      </c>
      <c r="V170" s="19">
        <v>0.0</v>
      </c>
      <c r="W170" s="19">
        <v>0.0</v>
      </c>
      <c r="X170" s="19">
        <v>0.0</v>
      </c>
      <c r="Y170" s="13">
        <f t="shared" si="34"/>
        <v>0</v>
      </c>
    </row>
    <row r="171" ht="12.75" customHeight="1">
      <c r="A171" s="18"/>
      <c r="B171" s="55">
        <v>6.0</v>
      </c>
      <c r="C171" s="50" t="s">
        <v>126</v>
      </c>
      <c r="D171" s="60"/>
      <c r="E171" s="19">
        <v>0.0</v>
      </c>
      <c r="F171" s="19">
        <v>0.0</v>
      </c>
      <c r="G171" s="19">
        <v>0.0</v>
      </c>
      <c r="H171" s="19">
        <v>0.0</v>
      </c>
      <c r="I171" s="19">
        <v>0.0</v>
      </c>
      <c r="J171" s="19">
        <v>0.0</v>
      </c>
      <c r="K171" s="19">
        <v>0.0</v>
      </c>
      <c r="L171" s="19">
        <v>0.0</v>
      </c>
      <c r="M171" s="19">
        <v>0.0</v>
      </c>
      <c r="N171" s="19">
        <v>0.0</v>
      </c>
      <c r="O171" s="19">
        <v>0.0</v>
      </c>
      <c r="P171" s="19">
        <v>0.0</v>
      </c>
      <c r="Q171" s="19">
        <v>0.0</v>
      </c>
      <c r="R171" s="19">
        <v>0.0</v>
      </c>
      <c r="S171" s="19">
        <v>0.0</v>
      </c>
      <c r="T171" s="19">
        <v>0.0</v>
      </c>
      <c r="U171" s="19">
        <v>0.0</v>
      </c>
      <c r="V171" s="19">
        <v>0.0</v>
      </c>
      <c r="W171" s="19">
        <v>0.0</v>
      </c>
      <c r="X171" s="19">
        <v>0.0</v>
      </c>
      <c r="Y171" s="13">
        <f t="shared" si="34"/>
        <v>0</v>
      </c>
    </row>
    <row r="172" ht="12.75" customHeight="1">
      <c r="A172" s="18"/>
      <c r="B172" s="55">
        <v>7.0</v>
      </c>
      <c r="C172" s="50" t="s">
        <v>127</v>
      </c>
      <c r="D172" s="60"/>
      <c r="E172" s="19">
        <v>0.0</v>
      </c>
      <c r="F172" s="19">
        <v>0.0</v>
      </c>
      <c r="G172" s="19">
        <v>0.0</v>
      </c>
      <c r="H172" s="19">
        <v>0.0</v>
      </c>
      <c r="I172" s="19">
        <v>0.0</v>
      </c>
      <c r="J172" s="19">
        <v>0.0</v>
      </c>
      <c r="K172" s="19">
        <v>0.0</v>
      </c>
      <c r="L172" s="19">
        <v>0.0</v>
      </c>
      <c r="M172" s="19">
        <v>0.0</v>
      </c>
      <c r="N172" s="19">
        <v>0.0</v>
      </c>
      <c r="O172" s="19">
        <v>0.0</v>
      </c>
      <c r="P172" s="19">
        <v>0.0</v>
      </c>
      <c r="Q172" s="19">
        <v>0.0</v>
      </c>
      <c r="R172" s="19">
        <v>0.0</v>
      </c>
      <c r="S172" s="19">
        <v>0.0</v>
      </c>
      <c r="T172" s="19">
        <v>0.0</v>
      </c>
      <c r="U172" s="19">
        <v>0.0</v>
      </c>
      <c r="V172" s="19">
        <v>0.0</v>
      </c>
      <c r="W172" s="19">
        <v>0.0</v>
      </c>
      <c r="X172" s="19">
        <v>0.0</v>
      </c>
      <c r="Y172" s="13">
        <f t="shared" si="34"/>
        <v>0</v>
      </c>
    </row>
    <row r="173" ht="12.75" customHeight="1">
      <c r="A173" s="18"/>
      <c r="B173" s="56"/>
      <c r="C173" s="57"/>
      <c r="D173" s="62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3">
        <f t="shared" si="34"/>
        <v>0</v>
      </c>
    </row>
    <row r="174" ht="12.75" customHeight="1">
      <c r="A174" s="18"/>
      <c r="B174" s="56"/>
      <c r="C174" s="57"/>
      <c r="D174" s="62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3">
        <f t="shared" si="34"/>
        <v>0</v>
      </c>
    </row>
    <row r="175" ht="12.75" customHeight="1">
      <c r="A175" s="19" t="s">
        <v>15</v>
      </c>
      <c r="B175" s="47" t="s">
        <v>47</v>
      </c>
      <c r="C175" s="15"/>
      <c r="D175" s="16"/>
      <c r="E175" s="13">
        <f t="shared" ref="E175:Y175" si="35">SUM(E165:E174)</f>
        <v>0</v>
      </c>
      <c r="F175" s="13">
        <f t="shared" si="35"/>
        <v>0</v>
      </c>
      <c r="G175" s="13">
        <f t="shared" si="35"/>
        <v>0</v>
      </c>
      <c r="H175" s="13">
        <f t="shared" si="35"/>
        <v>0</v>
      </c>
      <c r="I175" s="13">
        <f t="shared" si="35"/>
        <v>1</v>
      </c>
      <c r="J175" s="13">
        <f t="shared" si="35"/>
        <v>0</v>
      </c>
      <c r="K175" s="13">
        <f t="shared" si="35"/>
        <v>2</v>
      </c>
      <c r="L175" s="13">
        <f t="shared" si="35"/>
        <v>0</v>
      </c>
      <c r="M175" s="13">
        <f t="shared" si="35"/>
        <v>1</v>
      </c>
      <c r="N175" s="13">
        <f t="shared" si="35"/>
        <v>0</v>
      </c>
      <c r="O175" s="13">
        <f t="shared" si="35"/>
        <v>0</v>
      </c>
      <c r="P175" s="13">
        <f t="shared" si="35"/>
        <v>0</v>
      </c>
      <c r="Q175" s="13">
        <f t="shared" si="35"/>
        <v>0</v>
      </c>
      <c r="R175" s="13">
        <f t="shared" si="35"/>
        <v>0</v>
      </c>
      <c r="S175" s="13">
        <f t="shared" si="35"/>
        <v>1</v>
      </c>
      <c r="T175" s="13">
        <f t="shared" si="35"/>
        <v>0</v>
      </c>
      <c r="U175" s="13">
        <f t="shared" si="35"/>
        <v>0</v>
      </c>
      <c r="V175" s="13">
        <f t="shared" si="35"/>
        <v>1</v>
      </c>
      <c r="W175" s="13">
        <f t="shared" si="35"/>
        <v>0</v>
      </c>
      <c r="X175" s="13">
        <f t="shared" si="35"/>
        <v>0</v>
      </c>
      <c r="Y175" s="13">
        <f t="shared" si="35"/>
        <v>6</v>
      </c>
    </row>
    <row r="176" ht="12.75" customHeight="1">
      <c r="A176" s="24"/>
      <c r="B176" s="15"/>
      <c r="C176" s="15"/>
      <c r="D176" s="15"/>
      <c r="E176" s="16"/>
      <c r="F176" s="84"/>
      <c r="G176" s="84"/>
      <c r="H176" s="84"/>
      <c r="I176" s="84"/>
      <c r="J176" s="84"/>
      <c r="K176" s="84"/>
      <c r="L176" s="84"/>
      <c r="M176" s="84"/>
      <c r="N176" s="84"/>
      <c r="O176" s="84"/>
      <c r="P176" s="84"/>
      <c r="Q176" s="84"/>
      <c r="R176" s="84"/>
      <c r="S176" s="84"/>
      <c r="T176" s="84"/>
      <c r="U176" s="84"/>
      <c r="V176" s="84"/>
      <c r="W176" s="84"/>
      <c r="X176" s="84"/>
      <c r="Y176" s="84"/>
    </row>
    <row r="177" ht="12.75" customHeight="1">
      <c r="A177" s="30" t="s">
        <v>37</v>
      </c>
      <c r="B177" s="47" t="s">
        <v>128</v>
      </c>
      <c r="C177" s="48" t="s">
        <v>129</v>
      </c>
      <c r="D177" s="16"/>
      <c r="E177" s="19">
        <v>0.0</v>
      </c>
      <c r="F177" s="19">
        <v>0.0</v>
      </c>
      <c r="G177" s="19">
        <v>0.0</v>
      </c>
      <c r="H177" s="19">
        <v>0.0</v>
      </c>
      <c r="I177" s="19">
        <v>1.0</v>
      </c>
      <c r="J177" s="19">
        <v>0.0</v>
      </c>
      <c r="K177" s="19">
        <v>0.0</v>
      </c>
      <c r="L177" s="19">
        <v>0.0</v>
      </c>
      <c r="M177" s="19">
        <v>0.0</v>
      </c>
      <c r="N177" s="19">
        <v>0.0</v>
      </c>
      <c r="O177" s="19">
        <v>1.0</v>
      </c>
      <c r="P177" s="19">
        <v>0.0</v>
      </c>
      <c r="Q177" s="19">
        <v>0.0</v>
      </c>
      <c r="R177" s="19">
        <v>0.0</v>
      </c>
      <c r="S177" s="19">
        <v>1.0</v>
      </c>
      <c r="T177" s="19">
        <v>0.0</v>
      </c>
      <c r="U177" s="19">
        <v>0.0</v>
      </c>
      <c r="V177" s="19">
        <v>0.0</v>
      </c>
      <c r="W177" s="19">
        <v>0.0</v>
      </c>
      <c r="X177" s="19">
        <v>0.0</v>
      </c>
      <c r="Y177" s="13">
        <f t="shared" ref="Y177:Y186" si="36">SUM(E177:X177)</f>
        <v>3</v>
      </c>
    </row>
    <row r="178" ht="12.75" customHeight="1">
      <c r="A178" s="30" t="s">
        <v>39</v>
      </c>
      <c r="B178" s="55">
        <v>1.0</v>
      </c>
      <c r="C178" s="50" t="s">
        <v>130</v>
      </c>
      <c r="D178" s="60"/>
      <c r="E178" s="19">
        <v>0.0</v>
      </c>
      <c r="F178" s="19">
        <v>0.0</v>
      </c>
      <c r="G178" s="19">
        <v>0.0</v>
      </c>
      <c r="H178" s="19">
        <v>0.0</v>
      </c>
      <c r="I178" s="19">
        <v>0.0</v>
      </c>
      <c r="J178" s="19">
        <v>0.0</v>
      </c>
      <c r="K178" s="19">
        <v>0.0</v>
      </c>
      <c r="L178" s="19">
        <v>0.0</v>
      </c>
      <c r="M178" s="19">
        <v>9.0</v>
      </c>
      <c r="N178" s="19">
        <v>3.0</v>
      </c>
      <c r="O178" s="19">
        <v>2.0</v>
      </c>
      <c r="P178" s="19">
        <v>1.0</v>
      </c>
      <c r="Q178" s="19">
        <v>0.0</v>
      </c>
      <c r="R178" s="19">
        <v>0.0</v>
      </c>
      <c r="S178" s="19">
        <v>0.0</v>
      </c>
      <c r="T178" s="19">
        <v>0.0</v>
      </c>
      <c r="U178" s="19">
        <v>0.0</v>
      </c>
      <c r="V178" s="19">
        <v>0.0</v>
      </c>
      <c r="W178" s="19">
        <v>0.0</v>
      </c>
      <c r="X178" s="19">
        <v>1.0</v>
      </c>
      <c r="Y178" s="13">
        <f t="shared" si="36"/>
        <v>16</v>
      </c>
    </row>
    <row r="179" ht="12.75" customHeight="1">
      <c r="A179" s="18"/>
      <c r="B179" s="55">
        <v>2.0</v>
      </c>
      <c r="C179" s="50" t="s">
        <v>131</v>
      </c>
      <c r="D179" s="60"/>
      <c r="E179" s="19">
        <v>0.0</v>
      </c>
      <c r="F179" s="19">
        <v>0.0</v>
      </c>
      <c r="G179" s="19">
        <v>0.0</v>
      </c>
      <c r="H179" s="19">
        <v>0.0</v>
      </c>
      <c r="I179" s="19">
        <v>0.0</v>
      </c>
      <c r="J179" s="19">
        <v>0.0</v>
      </c>
      <c r="K179" s="19">
        <v>0.0</v>
      </c>
      <c r="L179" s="19">
        <v>0.0</v>
      </c>
      <c r="M179" s="19">
        <v>0.0</v>
      </c>
      <c r="N179" s="19">
        <v>0.0</v>
      </c>
      <c r="O179" s="19">
        <v>0.0</v>
      </c>
      <c r="P179" s="19">
        <v>1.0</v>
      </c>
      <c r="Q179" s="19">
        <v>0.0</v>
      </c>
      <c r="R179" s="19">
        <v>0.0</v>
      </c>
      <c r="S179" s="19">
        <v>0.0</v>
      </c>
      <c r="T179" s="19">
        <v>0.0</v>
      </c>
      <c r="U179" s="19">
        <v>0.0</v>
      </c>
      <c r="V179" s="19">
        <v>0.0</v>
      </c>
      <c r="W179" s="19">
        <v>0.0</v>
      </c>
      <c r="X179" s="19">
        <v>0.0</v>
      </c>
      <c r="Y179" s="13">
        <f t="shared" si="36"/>
        <v>1</v>
      </c>
    </row>
    <row r="180" ht="12.75" customHeight="1">
      <c r="A180" s="18"/>
      <c r="B180" s="55">
        <v>3.0</v>
      </c>
      <c r="C180" s="50" t="s">
        <v>132</v>
      </c>
      <c r="D180" s="60"/>
      <c r="E180" s="19">
        <v>0.0</v>
      </c>
      <c r="F180" s="19">
        <v>0.0</v>
      </c>
      <c r="G180" s="19">
        <v>0.0</v>
      </c>
      <c r="H180" s="19">
        <v>0.0</v>
      </c>
      <c r="I180" s="19">
        <v>0.0</v>
      </c>
      <c r="J180" s="19">
        <v>0.0</v>
      </c>
      <c r="K180" s="19">
        <v>0.0</v>
      </c>
      <c r="L180" s="19">
        <v>0.0</v>
      </c>
      <c r="M180" s="19">
        <v>0.0</v>
      </c>
      <c r="N180" s="19">
        <v>0.0</v>
      </c>
      <c r="O180" s="19">
        <v>0.0</v>
      </c>
      <c r="P180" s="19">
        <v>0.0</v>
      </c>
      <c r="Q180" s="19">
        <v>0.0</v>
      </c>
      <c r="R180" s="19">
        <v>0.0</v>
      </c>
      <c r="S180" s="19">
        <v>0.0</v>
      </c>
      <c r="T180" s="19">
        <v>0.0</v>
      </c>
      <c r="U180" s="19">
        <v>0.0</v>
      </c>
      <c r="V180" s="19">
        <v>0.0</v>
      </c>
      <c r="W180" s="19">
        <v>0.0</v>
      </c>
      <c r="X180" s="19">
        <v>0.0</v>
      </c>
      <c r="Y180" s="13">
        <f t="shared" si="36"/>
        <v>0</v>
      </c>
    </row>
    <row r="181" ht="12.75" customHeight="1">
      <c r="A181" s="18"/>
      <c r="B181" s="55">
        <v>4.0</v>
      </c>
      <c r="C181" s="50" t="s">
        <v>133</v>
      </c>
      <c r="D181" s="60"/>
      <c r="E181" s="19">
        <v>0.0</v>
      </c>
      <c r="F181" s="19">
        <v>0.0</v>
      </c>
      <c r="G181" s="19">
        <v>0.0</v>
      </c>
      <c r="H181" s="19">
        <v>0.0</v>
      </c>
      <c r="I181" s="19">
        <v>0.0</v>
      </c>
      <c r="J181" s="19">
        <v>0.0</v>
      </c>
      <c r="K181" s="19">
        <v>0.0</v>
      </c>
      <c r="L181" s="19">
        <v>0.0</v>
      </c>
      <c r="M181" s="19">
        <v>0.0</v>
      </c>
      <c r="N181" s="19">
        <v>0.0</v>
      </c>
      <c r="O181" s="19">
        <v>0.0</v>
      </c>
      <c r="P181" s="19">
        <v>1.0</v>
      </c>
      <c r="Q181" s="19">
        <v>0.0</v>
      </c>
      <c r="R181" s="19">
        <v>0.0</v>
      </c>
      <c r="S181" s="19">
        <v>0.0</v>
      </c>
      <c r="T181" s="19">
        <v>0.0</v>
      </c>
      <c r="U181" s="19">
        <v>0.0</v>
      </c>
      <c r="V181" s="19">
        <v>0.0</v>
      </c>
      <c r="W181" s="19">
        <v>0.0</v>
      </c>
      <c r="X181" s="19">
        <v>0.0</v>
      </c>
      <c r="Y181" s="13">
        <f t="shared" si="36"/>
        <v>1</v>
      </c>
    </row>
    <row r="182" ht="12.75" customHeight="1">
      <c r="A182" s="18"/>
      <c r="B182" s="55">
        <v>5.0</v>
      </c>
      <c r="C182" s="50" t="s">
        <v>134</v>
      </c>
      <c r="D182" s="60"/>
      <c r="E182" s="19">
        <v>0.0</v>
      </c>
      <c r="F182" s="19">
        <v>0.0</v>
      </c>
      <c r="G182" s="19">
        <v>0.0</v>
      </c>
      <c r="H182" s="19">
        <v>0.0</v>
      </c>
      <c r="I182" s="19">
        <v>0.0</v>
      </c>
      <c r="J182" s="19">
        <v>1.0</v>
      </c>
      <c r="K182" s="19">
        <v>0.0</v>
      </c>
      <c r="L182" s="19">
        <v>0.0</v>
      </c>
      <c r="M182" s="19">
        <v>0.0</v>
      </c>
      <c r="N182" s="19">
        <v>0.0</v>
      </c>
      <c r="O182" s="19">
        <v>0.0</v>
      </c>
      <c r="P182" s="19">
        <v>0.0</v>
      </c>
      <c r="Q182" s="19">
        <v>0.0</v>
      </c>
      <c r="R182" s="19">
        <v>0.0</v>
      </c>
      <c r="S182" s="19">
        <v>0.0</v>
      </c>
      <c r="T182" s="19">
        <v>0.0</v>
      </c>
      <c r="U182" s="19">
        <v>0.0</v>
      </c>
      <c r="V182" s="19">
        <v>0.0</v>
      </c>
      <c r="W182" s="19">
        <v>0.0</v>
      </c>
      <c r="X182" s="19">
        <v>0.0</v>
      </c>
      <c r="Y182" s="13">
        <f t="shared" si="36"/>
        <v>1</v>
      </c>
    </row>
    <row r="183" ht="12.75" customHeight="1">
      <c r="A183" s="18"/>
      <c r="B183" s="55">
        <v>6.0</v>
      </c>
      <c r="C183" s="50" t="s">
        <v>135</v>
      </c>
      <c r="D183" s="60"/>
      <c r="E183" s="19">
        <v>0.0</v>
      </c>
      <c r="F183" s="19">
        <v>0.0</v>
      </c>
      <c r="G183" s="19">
        <v>0.0</v>
      </c>
      <c r="H183" s="19">
        <v>0.0</v>
      </c>
      <c r="I183" s="19">
        <v>0.0</v>
      </c>
      <c r="J183" s="19">
        <v>0.0</v>
      </c>
      <c r="K183" s="19">
        <v>0.0</v>
      </c>
      <c r="L183" s="19">
        <v>0.0</v>
      </c>
      <c r="M183" s="19">
        <v>0.0</v>
      </c>
      <c r="N183" s="19">
        <v>0.0</v>
      </c>
      <c r="O183" s="19">
        <v>0.0</v>
      </c>
      <c r="P183" s="19">
        <v>0.0</v>
      </c>
      <c r="Q183" s="19">
        <v>0.0</v>
      </c>
      <c r="R183" s="19">
        <v>0.0</v>
      </c>
      <c r="S183" s="19">
        <v>0.0</v>
      </c>
      <c r="T183" s="19">
        <v>0.0</v>
      </c>
      <c r="U183" s="19">
        <v>0.0</v>
      </c>
      <c r="V183" s="19">
        <v>0.0</v>
      </c>
      <c r="W183" s="19">
        <v>0.0</v>
      </c>
      <c r="X183" s="19">
        <v>0.0</v>
      </c>
      <c r="Y183" s="13">
        <f t="shared" si="36"/>
        <v>0</v>
      </c>
    </row>
    <row r="184" ht="12.75" customHeight="1">
      <c r="A184" s="18"/>
      <c r="B184" s="55">
        <v>7.0</v>
      </c>
      <c r="C184" s="50" t="s">
        <v>136</v>
      </c>
      <c r="D184" s="60"/>
      <c r="E184" s="19">
        <v>0.0</v>
      </c>
      <c r="F184" s="19">
        <v>0.0</v>
      </c>
      <c r="G184" s="19">
        <v>0.0</v>
      </c>
      <c r="H184" s="19">
        <v>0.0</v>
      </c>
      <c r="I184" s="19">
        <v>0.0</v>
      </c>
      <c r="J184" s="19">
        <v>0.0</v>
      </c>
      <c r="K184" s="19">
        <v>0.0</v>
      </c>
      <c r="L184" s="19">
        <v>0.0</v>
      </c>
      <c r="M184" s="19">
        <v>0.0</v>
      </c>
      <c r="N184" s="19">
        <v>0.0</v>
      </c>
      <c r="O184" s="19">
        <v>0.0</v>
      </c>
      <c r="P184" s="19">
        <v>0.0</v>
      </c>
      <c r="Q184" s="19">
        <v>0.0</v>
      </c>
      <c r="R184" s="19">
        <v>0.0</v>
      </c>
      <c r="S184" s="19">
        <v>0.0</v>
      </c>
      <c r="T184" s="19">
        <v>0.0</v>
      </c>
      <c r="U184" s="19">
        <v>0.0</v>
      </c>
      <c r="V184" s="19">
        <v>0.0</v>
      </c>
      <c r="W184" s="19">
        <v>0.0</v>
      </c>
      <c r="X184" s="19">
        <v>0.0</v>
      </c>
      <c r="Y184" s="13">
        <f t="shared" si="36"/>
        <v>0</v>
      </c>
    </row>
    <row r="185" ht="12.75" customHeight="1">
      <c r="A185" s="18"/>
      <c r="B185" s="56"/>
      <c r="C185" s="57"/>
      <c r="D185" s="62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3">
        <f t="shared" si="36"/>
        <v>0</v>
      </c>
    </row>
    <row r="186" ht="12.75" customHeight="1">
      <c r="A186" s="18"/>
      <c r="B186" s="56"/>
      <c r="C186" s="57"/>
      <c r="D186" s="62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3">
        <f t="shared" si="36"/>
        <v>0</v>
      </c>
    </row>
    <row r="187" ht="12.75" customHeight="1">
      <c r="A187" s="19" t="s">
        <v>15</v>
      </c>
      <c r="B187" s="47" t="s">
        <v>47</v>
      </c>
      <c r="C187" s="15"/>
      <c r="D187" s="16"/>
      <c r="E187" s="13">
        <f t="shared" ref="E187:Y187" si="37">SUM(E177:E186)</f>
        <v>0</v>
      </c>
      <c r="F187" s="13">
        <f t="shared" si="37"/>
        <v>0</v>
      </c>
      <c r="G187" s="13">
        <f t="shared" si="37"/>
        <v>0</v>
      </c>
      <c r="H187" s="13">
        <f t="shared" si="37"/>
        <v>0</v>
      </c>
      <c r="I187" s="13">
        <f t="shared" si="37"/>
        <v>1</v>
      </c>
      <c r="J187" s="13">
        <f t="shared" si="37"/>
        <v>1</v>
      </c>
      <c r="K187" s="13">
        <f t="shared" si="37"/>
        <v>0</v>
      </c>
      <c r="L187" s="13">
        <f t="shared" si="37"/>
        <v>0</v>
      </c>
      <c r="M187" s="13">
        <f t="shared" si="37"/>
        <v>9</v>
      </c>
      <c r="N187" s="13">
        <f t="shared" si="37"/>
        <v>3</v>
      </c>
      <c r="O187" s="13">
        <f t="shared" si="37"/>
        <v>3</v>
      </c>
      <c r="P187" s="13">
        <f t="shared" si="37"/>
        <v>3</v>
      </c>
      <c r="Q187" s="13">
        <f t="shared" si="37"/>
        <v>0</v>
      </c>
      <c r="R187" s="13">
        <f t="shared" si="37"/>
        <v>0</v>
      </c>
      <c r="S187" s="13">
        <f t="shared" si="37"/>
        <v>1</v>
      </c>
      <c r="T187" s="13">
        <f t="shared" si="37"/>
        <v>0</v>
      </c>
      <c r="U187" s="13">
        <f t="shared" si="37"/>
        <v>0</v>
      </c>
      <c r="V187" s="13">
        <f t="shared" si="37"/>
        <v>0</v>
      </c>
      <c r="W187" s="13">
        <f t="shared" si="37"/>
        <v>0</v>
      </c>
      <c r="X187" s="13">
        <f t="shared" si="37"/>
        <v>1</v>
      </c>
      <c r="Y187" s="13">
        <f t="shared" si="37"/>
        <v>22</v>
      </c>
    </row>
    <row r="188" ht="12.75" customHeight="1">
      <c r="A188" s="24"/>
      <c r="B188" s="15"/>
      <c r="C188" s="15"/>
      <c r="D188" s="15"/>
      <c r="E188" s="16"/>
      <c r="F188" s="84"/>
      <c r="G188" s="84"/>
      <c r="H188" s="84"/>
      <c r="I188" s="84"/>
      <c r="J188" s="84"/>
      <c r="K188" s="84"/>
      <c r="L188" s="84"/>
      <c r="M188" s="84"/>
      <c r="N188" s="84"/>
      <c r="Y188" s="13"/>
    </row>
    <row r="189" ht="12.75" customHeight="1">
      <c r="A189" s="30" t="s">
        <v>37</v>
      </c>
      <c r="B189" s="47" t="s">
        <v>137</v>
      </c>
      <c r="C189" s="48" t="s">
        <v>138</v>
      </c>
      <c r="D189" s="16"/>
      <c r="E189" s="19">
        <v>0.0</v>
      </c>
      <c r="F189" s="19">
        <v>0.0</v>
      </c>
      <c r="G189" s="19">
        <v>0.0</v>
      </c>
      <c r="H189" s="19">
        <v>0.0</v>
      </c>
      <c r="I189" s="19">
        <v>0.0</v>
      </c>
      <c r="J189" s="19">
        <v>2.0</v>
      </c>
      <c r="K189" s="19">
        <v>0.0</v>
      </c>
      <c r="L189" s="19">
        <v>0.0</v>
      </c>
      <c r="M189" s="19">
        <v>0.0</v>
      </c>
      <c r="N189" s="19">
        <v>0.0</v>
      </c>
      <c r="O189" s="19">
        <v>0.0</v>
      </c>
      <c r="P189" s="19">
        <v>0.0</v>
      </c>
      <c r="Q189" s="19">
        <v>0.0</v>
      </c>
      <c r="R189" s="19">
        <v>0.0</v>
      </c>
      <c r="S189" s="19">
        <v>0.0</v>
      </c>
      <c r="T189" s="19">
        <v>0.0</v>
      </c>
      <c r="U189" s="19">
        <v>0.0</v>
      </c>
      <c r="V189" s="19">
        <v>0.0</v>
      </c>
      <c r="W189" s="19">
        <v>0.0</v>
      </c>
      <c r="X189" s="19">
        <v>0.0</v>
      </c>
      <c r="Y189" s="13">
        <f t="shared" ref="Y189:Y198" si="38">SUM(E189:X189)</f>
        <v>2</v>
      </c>
    </row>
    <row r="190" ht="12.75" customHeight="1">
      <c r="A190" s="30" t="s">
        <v>39</v>
      </c>
      <c r="B190" s="55">
        <v>1.0</v>
      </c>
      <c r="C190" s="50" t="s">
        <v>139</v>
      </c>
      <c r="D190" s="60"/>
      <c r="E190" s="19">
        <v>0.0</v>
      </c>
      <c r="F190" s="19">
        <v>0.0</v>
      </c>
      <c r="G190" s="19">
        <v>0.0</v>
      </c>
      <c r="H190" s="19">
        <v>0.0</v>
      </c>
      <c r="I190" s="19">
        <v>0.0</v>
      </c>
      <c r="J190" s="19">
        <v>0.0</v>
      </c>
      <c r="K190" s="19">
        <v>0.0</v>
      </c>
      <c r="L190" s="19">
        <v>0.0</v>
      </c>
      <c r="M190" s="19">
        <v>0.0</v>
      </c>
      <c r="N190" s="19">
        <v>0.0</v>
      </c>
      <c r="O190" s="19">
        <v>0.0</v>
      </c>
      <c r="P190" s="19">
        <v>0.0</v>
      </c>
      <c r="Q190" s="19">
        <v>0.0</v>
      </c>
      <c r="R190" s="19">
        <v>0.0</v>
      </c>
      <c r="S190" s="19">
        <v>0.0</v>
      </c>
      <c r="T190" s="19">
        <v>0.0</v>
      </c>
      <c r="U190" s="19">
        <v>0.0</v>
      </c>
      <c r="V190" s="19">
        <v>0.0</v>
      </c>
      <c r="W190" s="19">
        <v>0.0</v>
      </c>
      <c r="X190" s="19">
        <v>0.0</v>
      </c>
      <c r="Y190" s="13">
        <f t="shared" si="38"/>
        <v>0</v>
      </c>
    </row>
    <row r="191" ht="12.75" customHeight="1">
      <c r="A191" s="18"/>
      <c r="B191" s="55">
        <v>2.0</v>
      </c>
      <c r="C191" s="50" t="s">
        <v>140</v>
      </c>
      <c r="D191" s="60"/>
      <c r="E191" s="19">
        <v>0.0</v>
      </c>
      <c r="F191" s="19">
        <v>0.0</v>
      </c>
      <c r="G191" s="19">
        <v>0.0</v>
      </c>
      <c r="H191" s="19">
        <v>0.0</v>
      </c>
      <c r="I191" s="19">
        <v>0.0</v>
      </c>
      <c r="J191" s="19">
        <v>1.0</v>
      </c>
      <c r="K191" s="19">
        <v>0.0</v>
      </c>
      <c r="L191" s="19">
        <v>1.0</v>
      </c>
      <c r="M191" s="19">
        <v>0.0</v>
      </c>
      <c r="N191" s="19">
        <v>0.0</v>
      </c>
      <c r="O191" s="19">
        <v>0.0</v>
      </c>
      <c r="P191" s="19">
        <v>0.0</v>
      </c>
      <c r="Q191" s="19">
        <v>0.0</v>
      </c>
      <c r="R191" s="19">
        <v>0.0</v>
      </c>
      <c r="S191" s="19">
        <v>0.0</v>
      </c>
      <c r="T191" s="19">
        <v>0.0</v>
      </c>
      <c r="U191" s="19">
        <v>0.0</v>
      </c>
      <c r="V191" s="19">
        <v>0.0</v>
      </c>
      <c r="W191" s="19">
        <v>0.0</v>
      </c>
      <c r="X191" s="19">
        <v>0.0</v>
      </c>
      <c r="Y191" s="13">
        <f t="shared" si="38"/>
        <v>2</v>
      </c>
    </row>
    <row r="192" ht="12.75" customHeight="1">
      <c r="A192" s="18"/>
      <c r="B192" s="55">
        <v>3.0</v>
      </c>
      <c r="C192" s="50" t="s">
        <v>141</v>
      </c>
      <c r="D192" s="60"/>
      <c r="E192" s="19">
        <v>0.0</v>
      </c>
      <c r="F192" s="19">
        <v>0.0</v>
      </c>
      <c r="G192" s="19">
        <v>0.0</v>
      </c>
      <c r="H192" s="19">
        <v>0.0</v>
      </c>
      <c r="I192" s="19">
        <v>0.0</v>
      </c>
      <c r="J192" s="19">
        <v>0.0</v>
      </c>
      <c r="K192" s="19">
        <v>0.0</v>
      </c>
      <c r="L192" s="19">
        <v>0.0</v>
      </c>
      <c r="M192" s="19">
        <v>0.0</v>
      </c>
      <c r="N192" s="19">
        <v>0.0</v>
      </c>
      <c r="O192" s="19">
        <v>0.0</v>
      </c>
      <c r="P192" s="19">
        <v>0.0</v>
      </c>
      <c r="Q192" s="19">
        <v>0.0</v>
      </c>
      <c r="R192" s="19">
        <v>0.0</v>
      </c>
      <c r="S192" s="19">
        <v>0.0</v>
      </c>
      <c r="T192" s="19">
        <v>0.0</v>
      </c>
      <c r="U192" s="19">
        <v>0.0</v>
      </c>
      <c r="V192" s="19">
        <v>0.0</v>
      </c>
      <c r="W192" s="19">
        <v>0.0</v>
      </c>
      <c r="X192" s="19">
        <v>0.0</v>
      </c>
      <c r="Y192" s="13">
        <f t="shared" si="38"/>
        <v>0</v>
      </c>
    </row>
    <row r="193" ht="12.75" customHeight="1">
      <c r="A193" s="18"/>
      <c r="B193" s="55">
        <v>4.0</v>
      </c>
      <c r="C193" s="50" t="s">
        <v>142</v>
      </c>
      <c r="D193" s="60"/>
      <c r="E193" s="19">
        <v>0.0</v>
      </c>
      <c r="F193" s="19">
        <v>0.0</v>
      </c>
      <c r="G193" s="19">
        <v>0.0</v>
      </c>
      <c r="H193" s="19">
        <v>0.0</v>
      </c>
      <c r="I193" s="19">
        <v>0.0</v>
      </c>
      <c r="J193" s="19">
        <v>0.0</v>
      </c>
      <c r="K193" s="19">
        <v>0.0</v>
      </c>
      <c r="L193" s="19">
        <v>0.0</v>
      </c>
      <c r="M193" s="19">
        <v>0.0</v>
      </c>
      <c r="N193" s="19">
        <v>0.0</v>
      </c>
      <c r="O193" s="19">
        <v>0.0</v>
      </c>
      <c r="P193" s="19">
        <v>0.0</v>
      </c>
      <c r="Q193" s="19">
        <v>0.0</v>
      </c>
      <c r="R193" s="19">
        <v>0.0</v>
      </c>
      <c r="S193" s="19">
        <v>0.0</v>
      </c>
      <c r="T193" s="19">
        <v>0.0</v>
      </c>
      <c r="U193" s="19">
        <v>0.0</v>
      </c>
      <c r="V193" s="19">
        <v>0.0</v>
      </c>
      <c r="W193" s="19">
        <v>0.0</v>
      </c>
      <c r="X193" s="19">
        <v>0.0</v>
      </c>
      <c r="Y193" s="13">
        <f t="shared" si="38"/>
        <v>0</v>
      </c>
    </row>
    <row r="194" ht="12.75" customHeight="1">
      <c r="A194" s="18"/>
      <c r="B194" s="55">
        <v>5.0</v>
      </c>
      <c r="C194" s="50" t="s">
        <v>143</v>
      </c>
      <c r="D194" s="60"/>
      <c r="E194" s="19">
        <v>0.0</v>
      </c>
      <c r="F194" s="19">
        <v>0.0</v>
      </c>
      <c r="G194" s="19">
        <v>0.0</v>
      </c>
      <c r="H194" s="19">
        <v>0.0</v>
      </c>
      <c r="I194" s="19">
        <v>0.0</v>
      </c>
      <c r="J194" s="19">
        <v>0.0</v>
      </c>
      <c r="K194" s="19">
        <v>0.0</v>
      </c>
      <c r="L194" s="19">
        <v>0.0</v>
      </c>
      <c r="M194" s="19">
        <v>0.0</v>
      </c>
      <c r="N194" s="19">
        <v>0.0</v>
      </c>
      <c r="O194" s="19">
        <v>0.0</v>
      </c>
      <c r="P194" s="19">
        <v>0.0</v>
      </c>
      <c r="Q194" s="19">
        <v>0.0</v>
      </c>
      <c r="R194" s="19">
        <v>0.0</v>
      </c>
      <c r="S194" s="19">
        <v>0.0</v>
      </c>
      <c r="T194" s="19">
        <v>0.0</v>
      </c>
      <c r="U194" s="19">
        <v>0.0</v>
      </c>
      <c r="V194" s="19">
        <v>0.0</v>
      </c>
      <c r="W194" s="19">
        <v>0.0</v>
      </c>
      <c r="X194" s="19">
        <v>0.0</v>
      </c>
      <c r="Y194" s="13">
        <f t="shared" si="38"/>
        <v>0</v>
      </c>
    </row>
    <row r="195" ht="12.75" customHeight="1">
      <c r="A195" s="18"/>
      <c r="B195" s="55">
        <v>6.0</v>
      </c>
      <c r="C195" s="50" t="s">
        <v>144</v>
      </c>
      <c r="D195" s="60"/>
      <c r="E195" s="19">
        <v>0.0</v>
      </c>
      <c r="F195" s="19">
        <v>0.0</v>
      </c>
      <c r="G195" s="19">
        <v>0.0</v>
      </c>
      <c r="H195" s="19">
        <v>0.0</v>
      </c>
      <c r="I195" s="19">
        <v>0.0</v>
      </c>
      <c r="J195" s="19">
        <v>0.0</v>
      </c>
      <c r="K195" s="19">
        <v>0.0</v>
      </c>
      <c r="L195" s="19">
        <v>0.0</v>
      </c>
      <c r="M195" s="19">
        <v>0.0</v>
      </c>
      <c r="N195" s="19">
        <v>0.0</v>
      </c>
      <c r="O195" s="19">
        <v>0.0</v>
      </c>
      <c r="P195" s="19">
        <v>0.0</v>
      </c>
      <c r="Q195" s="19">
        <v>0.0</v>
      </c>
      <c r="R195" s="19">
        <v>0.0</v>
      </c>
      <c r="S195" s="19">
        <v>0.0</v>
      </c>
      <c r="T195" s="19">
        <v>0.0</v>
      </c>
      <c r="U195" s="19">
        <v>0.0</v>
      </c>
      <c r="V195" s="19">
        <v>0.0</v>
      </c>
      <c r="W195" s="19">
        <v>0.0</v>
      </c>
      <c r="X195" s="19">
        <v>0.0</v>
      </c>
      <c r="Y195" s="13">
        <f t="shared" si="38"/>
        <v>0</v>
      </c>
    </row>
    <row r="196" ht="12.75" customHeight="1">
      <c r="A196" s="18"/>
      <c r="B196" s="55">
        <v>7.0</v>
      </c>
      <c r="C196" s="50" t="s">
        <v>145</v>
      </c>
      <c r="D196" s="60"/>
      <c r="E196" s="19">
        <v>0.0</v>
      </c>
      <c r="F196" s="19">
        <v>0.0</v>
      </c>
      <c r="G196" s="19">
        <v>0.0</v>
      </c>
      <c r="H196" s="19">
        <v>0.0</v>
      </c>
      <c r="I196" s="19">
        <v>0.0</v>
      </c>
      <c r="J196" s="19">
        <v>0.0</v>
      </c>
      <c r="K196" s="19">
        <v>0.0</v>
      </c>
      <c r="L196" s="19">
        <v>0.0</v>
      </c>
      <c r="M196" s="19">
        <v>0.0</v>
      </c>
      <c r="N196" s="19">
        <v>0.0</v>
      </c>
      <c r="O196" s="19">
        <v>0.0</v>
      </c>
      <c r="P196" s="19">
        <v>0.0</v>
      </c>
      <c r="Q196" s="19">
        <v>0.0</v>
      </c>
      <c r="R196" s="19">
        <v>0.0</v>
      </c>
      <c r="S196" s="19">
        <v>0.0</v>
      </c>
      <c r="T196" s="19">
        <v>0.0</v>
      </c>
      <c r="U196" s="19">
        <v>0.0</v>
      </c>
      <c r="V196" s="19">
        <v>0.0</v>
      </c>
      <c r="W196" s="19">
        <v>0.0</v>
      </c>
      <c r="X196" s="19">
        <v>0.0</v>
      </c>
      <c r="Y196" s="13">
        <f t="shared" si="38"/>
        <v>0</v>
      </c>
    </row>
    <row r="197" ht="12.75" customHeight="1">
      <c r="A197" s="18"/>
      <c r="B197" s="56"/>
      <c r="C197" s="57"/>
      <c r="D197" s="62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3">
        <f t="shared" si="38"/>
        <v>0</v>
      </c>
    </row>
    <row r="198" ht="12.75" customHeight="1">
      <c r="A198" s="18"/>
      <c r="B198" s="56"/>
      <c r="C198" s="57"/>
      <c r="D198" s="62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3">
        <f t="shared" si="38"/>
        <v>0</v>
      </c>
    </row>
    <row r="199" ht="12.75" customHeight="1">
      <c r="A199" s="19" t="s">
        <v>15</v>
      </c>
      <c r="B199" s="47" t="s">
        <v>47</v>
      </c>
      <c r="C199" s="15"/>
      <c r="D199" s="16"/>
      <c r="E199" s="13">
        <f t="shared" ref="E199:Y199" si="39">SUM(E189:E198)</f>
        <v>0</v>
      </c>
      <c r="F199" s="13">
        <f t="shared" si="39"/>
        <v>0</v>
      </c>
      <c r="G199" s="13">
        <f t="shared" si="39"/>
        <v>0</v>
      </c>
      <c r="H199" s="13">
        <f t="shared" si="39"/>
        <v>0</v>
      </c>
      <c r="I199" s="13">
        <f t="shared" si="39"/>
        <v>0</v>
      </c>
      <c r="J199" s="13">
        <f t="shared" si="39"/>
        <v>3</v>
      </c>
      <c r="K199" s="13">
        <f t="shared" si="39"/>
        <v>0</v>
      </c>
      <c r="L199" s="13">
        <f t="shared" si="39"/>
        <v>1</v>
      </c>
      <c r="M199" s="13">
        <f t="shared" si="39"/>
        <v>0</v>
      </c>
      <c r="N199" s="13">
        <f t="shared" si="39"/>
        <v>0</v>
      </c>
      <c r="O199" s="13">
        <f t="shared" si="39"/>
        <v>0</v>
      </c>
      <c r="P199" s="13">
        <f t="shared" si="39"/>
        <v>0</v>
      </c>
      <c r="Q199" s="13">
        <f t="shared" si="39"/>
        <v>0</v>
      </c>
      <c r="R199" s="13">
        <f t="shared" si="39"/>
        <v>0</v>
      </c>
      <c r="S199" s="13">
        <f t="shared" si="39"/>
        <v>0</v>
      </c>
      <c r="T199" s="13">
        <f t="shared" si="39"/>
        <v>0</v>
      </c>
      <c r="U199" s="13">
        <f t="shared" si="39"/>
        <v>0</v>
      </c>
      <c r="V199" s="13">
        <f t="shared" si="39"/>
        <v>0</v>
      </c>
      <c r="W199" s="13">
        <f t="shared" si="39"/>
        <v>0</v>
      </c>
      <c r="X199" s="13">
        <f t="shared" si="39"/>
        <v>0</v>
      </c>
      <c r="Y199" s="13">
        <f t="shared" si="39"/>
        <v>4</v>
      </c>
    </row>
    <row r="200" ht="12.75" customHeight="1">
      <c r="A200" s="24"/>
      <c r="B200" s="15"/>
      <c r="C200" s="15"/>
      <c r="D200" s="15"/>
      <c r="E200" s="16"/>
      <c r="F200" s="84"/>
      <c r="G200" s="84"/>
      <c r="H200" s="84"/>
      <c r="I200" s="84"/>
      <c r="J200" s="84"/>
      <c r="K200" s="84"/>
      <c r="L200" s="84"/>
      <c r="M200" s="84"/>
      <c r="N200" s="84"/>
      <c r="O200" s="84"/>
      <c r="P200" s="84"/>
      <c r="Q200" s="84"/>
      <c r="R200" s="84"/>
      <c r="S200" s="84"/>
      <c r="T200" s="84"/>
      <c r="U200" s="84"/>
      <c r="V200" s="84"/>
      <c r="W200" s="84"/>
      <c r="X200" s="84"/>
      <c r="Y200" s="84"/>
    </row>
    <row r="201" ht="12.75" customHeight="1">
      <c r="A201" s="30" t="s">
        <v>37</v>
      </c>
      <c r="B201" s="47" t="s">
        <v>146</v>
      </c>
      <c r="C201" s="48" t="s">
        <v>147</v>
      </c>
      <c r="D201" s="16"/>
      <c r="E201" s="19">
        <v>0.0</v>
      </c>
      <c r="F201" s="19">
        <v>1.0</v>
      </c>
      <c r="G201" s="19">
        <v>0.0</v>
      </c>
      <c r="H201" s="19">
        <v>0.0</v>
      </c>
      <c r="I201" s="19">
        <v>1.0</v>
      </c>
      <c r="J201" s="19">
        <v>0.0</v>
      </c>
      <c r="K201" s="19">
        <v>0.0</v>
      </c>
      <c r="L201" s="19">
        <v>2.0</v>
      </c>
      <c r="M201" s="19">
        <v>0.0</v>
      </c>
      <c r="N201" s="19">
        <v>1.0</v>
      </c>
      <c r="O201" s="19">
        <v>0.0</v>
      </c>
      <c r="P201" s="19">
        <v>2.0</v>
      </c>
      <c r="Q201" s="19">
        <v>0.0</v>
      </c>
      <c r="R201" s="19">
        <v>1.0</v>
      </c>
      <c r="S201" s="19">
        <v>0.0</v>
      </c>
      <c r="T201" s="19">
        <v>0.0</v>
      </c>
      <c r="U201" s="19">
        <v>0.0</v>
      </c>
      <c r="V201" s="19">
        <v>2.0</v>
      </c>
      <c r="W201" s="19">
        <v>0.0</v>
      </c>
      <c r="X201" s="19">
        <v>0.0</v>
      </c>
      <c r="Y201" s="13">
        <f t="shared" ref="Y201:Y210" si="40">SUM(E201:X201)</f>
        <v>10</v>
      </c>
    </row>
    <row r="202" ht="12.75" customHeight="1">
      <c r="A202" s="30" t="s">
        <v>39</v>
      </c>
      <c r="B202" s="55">
        <v>1.0</v>
      </c>
      <c r="C202" s="50" t="s">
        <v>148</v>
      </c>
      <c r="D202" s="60"/>
      <c r="E202" s="19">
        <v>0.0</v>
      </c>
      <c r="F202" s="19">
        <v>0.0</v>
      </c>
      <c r="G202" s="19">
        <v>0.0</v>
      </c>
      <c r="H202" s="19">
        <v>0.0</v>
      </c>
      <c r="I202" s="19">
        <v>1.0</v>
      </c>
      <c r="J202" s="19">
        <v>0.0</v>
      </c>
      <c r="K202" s="19">
        <v>0.0</v>
      </c>
      <c r="L202" s="19">
        <v>1.0</v>
      </c>
      <c r="M202" s="19">
        <v>4.0</v>
      </c>
      <c r="N202" s="19">
        <v>0.0</v>
      </c>
      <c r="O202" s="19">
        <v>2.0</v>
      </c>
      <c r="P202" s="19">
        <v>1.0</v>
      </c>
      <c r="Q202" s="19">
        <v>0.0</v>
      </c>
      <c r="R202" s="19">
        <v>1.0</v>
      </c>
      <c r="S202" s="19">
        <v>0.0</v>
      </c>
      <c r="T202" s="19">
        <v>0.0</v>
      </c>
      <c r="U202" s="19">
        <v>0.0</v>
      </c>
      <c r="V202" s="19">
        <v>0.0</v>
      </c>
      <c r="W202" s="19">
        <v>0.0</v>
      </c>
      <c r="X202" s="19">
        <v>0.0</v>
      </c>
      <c r="Y202" s="13">
        <f t="shared" si="40"/>
        <v>10</v>
      </c>
    </row>
    <row r="203" ht="12.75" customHeight="1">
      <c r="A203" s="18"/>
      <c r="B203" s="55">
        <v>2.0</v>
      </c>
      <c r="C203" s="50" t="s">
        <v>149</v>
      </c>
      <c r="D203" s="60"/>
      <c r="E203" s="19">
        <v>0.0</v>
      </c>
      <c r="F203" s="19">
        <v>0.0</v>
      </c>
      <c r="G203" s="19">
        <v>0.0</v>
      </c>
      <c r="H203" s="19">
        <v>0.0</v>
      </c>
      <c r="I203" s="19">
        <v>1.0</v>
      </c>
      <c r="J203" s="19">
        <v>0.0</v>
      </c>
      <c r="K203" s="19">
        <v>0.0</v>
      </c>
      <c r="L203" s="19">
        <v>2.0</v>
      </c>
      <c r="M203" s="19">
        <v>1.0</v>
      </c>
      <c r="N203" s="19">
        <v>0.0</v>
      </c>
      <c r="O203" s="19">
        <v>0.0</v>
      </c>
      <c r="P203" s="19">
        <v>0.0</v>
      </c>
      <c r="Q203" s="19">
        <v>1.0</v>
      </c>
      <c r="R203" s="19">
        <v>0.0</v>
      </c>
      <c r="S203" s="19">
        <v>1.0</v>
      </c>
      <c r="T203" s="19">
        <v>0.0</v>
      </c>
      <c r="U203" s="19">
        <v>0.0</v>
      </c>
      <c r="V203" s="19">
        <v>0.0</v>
      </c>
      <c r="W203" s="19">
        <v>0.0</v>
      </c>
      <c r="X203" s="19">
        <v>0.0</v>
      </c>
      <c r="Y203" s="13">
        <f t="shared" si="40"/>
        <v>6</v>
      </c>
    </row>
    <row r="204" ht="12.75" customHeight="1">
      <c r="A204" s="18"/>
      <c r="B204" s="55">
        <v>3.0</v>
      </c>
      <c r="C204" s="50" t="s">
        <v>150</v>
      </c>
      <c r="D204" s="60"/>
      <c r="E204" s="19">
        <v>0.0</v>
      </c>
      <c r="F204" s="19">
        <v>0.0</v>
      </c>
      <c r="G204" s="19">
        <v>0.0</v>
      </c>
      <c r="H204" s="19">
        <v>0.0</v>
      </c>
      <c r="I204" s="19">
        <v>0.0</v>
      </c>
      <c r="J204" s="19">
        <v>0.0</v>
      </c>
      <c r="K204" s="19">
        <v>0.0</v>
      </c>
      <c r="L204" s="19">
        <v>0.0</v>
      </c>
      <c r="M204" s="19">
        <v>1.0</v>
      </c>
      <c r="N204" s="19">
        <v>1.0</v>
      </c>
      <c r="O204" s="19">
        <v>0.0</v>
      </c>
      <c r="P204" s="19">
        <v>1.0</v>
      </c>
      <c r="Q204" s="19">
        <v>0.0</v>
      </c>
      <c r="R204" s="19">
        <v>0.0</v>
      </c>
      <c r="S204" s="19">
        <v>0.0</v>
      </c>
      <c r="T204" s="19">
        <v>0.0</v>
      </c>
      <c r="U204" s="19">
        <v>0.0</v>
      </c>
      <c r="V204" s="19">
        <v>0.0</v>
      </c>
      <c r="W204" s="19">
        <v>0.0</v>
      </c>
      <c r="X204" s="19">
        <v>0.0</v>
      </c>
      <c r="Y204" s="13">
        <f t="shared" si="40"/>
        <v>3</v>
      </c>
    </row>
    <row r="205" ht="12.75" customHeight="1">
      <c r="A205" s="18"/>
      <c r="B205" s="55">
        <v>4.0</v>
      </c>
      <c r="C205" s="50" t="s">
        <v>151</v>
      </c>
      <c r="D205" s="60"/>
      <c r="E205" s="19">
        <v>0.0</v>
      </c>
      <c r="F205" s="19">
        <v>1.0</v>
      </c>
      <c r="G205" s="19">
        <v>0.0</v>
      </c>
      <c r="H205" s="19">
        <v>0.0</v>
      </c>
      <c r="I205" s="19">
        <v>0.0</v>
      </c>
      <c r="J205" s="19">
        <v>0.0</v>
      </c>
      <c r="K205" s="19">
        <v>0.0</v>
      </c>
      <c r="L205" s="19">
        <v>0.0</v>
      </c>
      <c r="M205" s="19">
        <v>0.0</v>
      </c>
      <c r="N205" s="19">
        <v>0.0</v>
      </c>
      <c r="O205" s="19">
        <v>0.0</v>
      </c>
      <c r="P205" s="19">
        <v>0.0</v>
      </c>
      <c r="Q205" s="19">
        <v>0.0</v>
      </c>
      <c r="R205" s="19">
        <v>0.0</v>
      </c>
      <c r="S205" s="19">
        <v>0.0</v>
      </c>
      <c r="T205" s="19">
        <v>0.0</v>
      </c>
      <c r="U205" s="19">
        <v>0.0</v>
      </c>
      <c r="V205" s="19">
        <v>0.0</v>
      </c>
      <c r="W205" s="19">
        <v>0.0</v>
      </c>
      <c r="X205" s="19">
        <v>0.0</v>
      </c>
      <c r="Y205" s="13">
        <f t="shared" si="40"/>
        <v>1</v>
      </c>
    </row>
    <row r="206" ht="12.75" customHeight="1">
      <c r="A206" s="18"/>
      <c r="B206" s="55">
        <v>5.0</v>
      </c>
      <c r="C206" s="50" t="s">
        <v>152</v>
      </c>
      <c r="D206" s="60"/>
      <c r="E206" s="19">
        <v>0.0</v>
      </c>
      <c r="F206" s="19">
        <v>0.0</v>
      </c>
      <c r="G206" s="19">
        <v>0.0</v>
      </c>
      <c r="H206" s="19">
        <v>0.0</v>
      </c>
      <c r="I206" s="19">
        <v>0.0</v>
      </c>
      <c r="J206" s="19">
        <v>0.0</v>
      </c>
      <c r="K206" s="19">
        <v>0.0</v>
      </c>
      <c r="L206" s="19">
        <v>0.0</v>
      </c>
      <c r="M206" s="19">
        <v>0.0</v>
      </c>
      <c r="N206" s="19">
        <v>0.0</v>
      </c>
      <c r="O206" s="19">
        <v>0.0</v>
      </c>
      <c r="P206" s="19">
        <v>0.0</v>
      </c>
      <c r="Q206" s="19">
        <v>0.0</v>
      </c>
      <c r="R206" s="19">
        <v>0.0</v>
      </c>
      <c r="S206" s="19">
        <v>0.0</v>
      </c>
      <c r="T206" s="19">
        <v>0.0</v>
      </c>
      <c r="U206" s="19">
        <v>0.0</v>
      </c>
      <c r="V206" s="19">
        <v>0.0</v>
      </c>
      <c r="W206" s="19">
        <v>0.0</v>
      </c>
      <c r="X206" s="19">
        <v>0.0</v>
      </c>
      <c r="Y206" s="13">
        <f t="shared" si="40"/>
        <v>0</v>
      </c>
    </row>
    <row r="207" ht="12.75" customHeight="1">
      <c r="A207" s="18"/>
      <c r="B207" s="55">
        <v>6.0</v>
      </c>
      <c r="C207" s="50" t="s">
        <v>153</v>
      </c>
      <c r="D207" s="60"/>
      <c r="E207" s="19">
        <v>0.0</v>
      </c>
      <c r="F207" s="19">
        <v>0.0</v>
      </c>
      <c r="G207" s="19">
        <v>0.0</v>
      </c>
      <c r="H207" s="19">
        <v>0.0</v>
      </c>
      <c r="I207" s="19">
        <v>0.0</v>
      </c>
      <c r="J207" s="19">
        <v>0.0</v>
      </c>
      <c r="K207" s="19">
        <v>0.0</v>
      </c>
      <c r="L207" s="19">
        <v>0.0</v>
      </c>
      <c r="M207" s="19">
        <v>0.0</v>
      </c>
      <c r="N207" s="19">
        <v>0.0</v>
      </c>
      <c r="O207" s="19">
        <v>0.0</v>
      </c>
      <c r="P207" s="19">
        <v>0.0</v>
      </c>
      <c r="Q207" s="19">
        <v>0.0</v>
      </c>
      <c r="R207" s="19">
        <v>0.0</v>
      </c>
      <c r="S207" s="19">
        <v>0.0</v>
      </c>
      <c r="T207" s="19">
        <v>0.0</v>
      </c>
      <c r="U207" s="19">
        <v>0.0</v>
      </c>
      <c r="V207" s="19">
        <v>0.0</v>
      </c>
      <c r="W207" s="19">
        <v>0.0</v>
      </c>
      <c r="X207" s="19">
        <v>0.0</v>
      </c>
      <c r="Y207" s="13">
        <f t="shared" si="40"/>
        <v>0</v>
      </c>
    </row>
    <row r="208" ht="12.75" customHeight="1">
      <c r="A208" s="18"/>
      <c r="B208" s="55">
        <v>7.0</v>
      </c>
      <c r="C208" s="50" t="s">
        <v>154</v>
      </c>
      <c r="D208" s="60"/>
      <c r="E208" s="19">
        <v>0.0</v>
      </c>
      <c r="F208" s="19">
        <v>0.0</v>
      </c>
      <c r="G208" s="19">
        <v>0.0</v>
      </c>
      <c r="H208" s="19">
        <v>0.0</v>
      </c>
      <c r="I208" s="19">
        <v>0.0</v>
      </c>
      <c r="J208" s="19">
        <v>0.0</v>
      </c>
      <c r="K208" s="19">
        <v>0.0</v>
      </c>
      <c r="L208" s="19">
        <v>0.0</v>
      </c>
      <c r="M208" s="19">
        <v>0.0</v>
      </c>
      <c r="N208" s="19">
        <v>0.0</v>
      </c>
      <c r="O208" s="19">
        <v>0.0</v>
      </c>
      <c r="P208" s="19">
        <v>0.0</v>
      </c>
      <c r="Q208" s="19">
        <v>0.0</v>
      </c>
      <c r="R208" s="19">
        <v>0.0</v>
      </c>
      <c r="S208" s="19">
        <v>0.0</v>
      </c>
      <c r="T208" s="19">
        <v>0.0</v>
      </c>
      <c r="U208" s="19">
        <v>0.0</v>
      </c>
      <c r="V208" s="19">
        <v>0.0</v>
      </c>
      <c r="W208" s="19">
        <v>0.0</v>
      </c>
      <c r="X208" s="19">
        <v>0.0</v>
      </c>
      <c r="Y208" s="13">
        <f t="shared" si="40"/>
        <v>0</v>
      </c>
    </row>
    <row r="209" ht="12.75" customHeight="1">
      <c r="A209" s="18"/>
      <c r="B209" s="56"/>
      <c r="C209" s="57"/>
      <c r="D209" s="62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3">
        <f t="shared" si="40"/>
        <v>0</v>
      </c>
    </row>
    <row r="210" ht="12.75" customHeight="1">
      <c r="A210" s="18"/>
      <c r="B210" s="56"/>
      <c r="C210" s="57"/>
      <c r="D210" s="62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3">
        <f t="shared" si="40"/>
        <v>0</v>
      </c>
    </row>
    <row r="211" ht="12.75" customHeight="1">
      <c r="A211" s="19" t="s">
        <v>15</v>
      </c>
      <c r="B211" s="47" t="s">
        <v>47</v>
      </c>
      <c r="C211" s="15"/>
      <c r="D211" s="16"/>
      <c r="E211" s="13">
        <f t="shared" ref="E211:Y211" si="41">SUM(E201:E210)</f>
        <v>0</v>
      </c>
      <c r="F211" s="13">
        <f t="shared" si="41"/>
        <v>2</v>
      </c>
      <c r="G211" s="13">
        <f t="shared" si="41"/>
        <v>0</v>
      </c>
      <c r="H211" s="13">
        <f t="shared" si="41"/>
        <v>0</v>
      </c>
      <c r="I211" s="13">
        <f t="shared" si="41"/>
        <v>3</v>
      </c>
      <c r="J211" s="13">
        <f t="shared" si="41"/>
        <v>0</v>
      </c>
      <c r="K211" s="13">
        <f t="shared" si="41"/>
        <v>0</v>
      </c>
      <c r="L211" s="13">
        <f t="shared" si="41"/>
        <v>5</v>
      </c>
      <c r="M211" s="13">
        <f t="shared" si="41"/>
        <v>6</v>
      </c>
      <c r="N211" s="13">
        <f t="shared" si="41"/>
        <v>2</v>
      </c>
      <c r="O211" s="13">
        <f t="shared" si="41"/>
        <v>2</v>
      </c>
      <c r="P211" s="13">
        <f t="shared" si="41"/>
        <v>4</v>
      </c>
      <c r="Q211" s="13">
        <f t="shared" si="41"/>
        <v>1</v>
      </c>
      <c r="R211" s="13">
        <f t="shared" si="41"/>
        <v>2</v>
      </c>
      <c r="S211" s="13">
        <f t="shared" si="41"/>
        <v>1</v>
      </c>
      <c r="T211" s="13">
        <f t="shared" si="41"/>
        <v>0</v>
      </c>
      <c r="U211" s="13">
        <f t="shared" si="41"/>
        <v>0</v>
      </c>
      <c r="V211" s="13">
        <f t="shared" si="41"/>
        <v>2</v>
      </c>
      <c r="W211" s="13">
        <f t="shared" si="41"/>
        <v>0</v>
      </c>
      <c r="X211" s="13">
        <f t="shared" si="41"/>
        <v>0</v>
      </c>
      <c r="Y211" s="13">
        <f t="shared" si="41"/>
        <v>30</v>
      </c>
    </row>
    <row r="212" ht="12.75" customHeight="1">
      <c r="A212" s="24"/>
      <c r="B212" s="15"/>
      <c r="C212" s="15"/>
      <c r="D212" s="15"/>
      <c r="E212" s="16"/>
      <c r="F212" s="84"/>
      <c r="G212" s="84"/>
      <c r="H212" s="84"/>
      <c r="I212" s="84"/>
      <c r="J212" s="84"/>
      <c r="K212" s="84"/>
      <c r="L212" s="84"/>
      <c r="M212" s="84"/>
      <c r="N212" s="84"/>
      <c r="O212" s="84"/>
      <c r="P212" s="84"/>
      <c r="Q212" s="84"/>
      <c r="R212" s="84"/>
      <c r="S212" s="84"/>
      <c r="T212" s="84"/>
      <c r="U212" s="84"/>
      <c r="V212" s="84"/>
      <c r="W212" s="84"/>
      <c r="X212" s="84"/>
      <c r="Y212" s="84"/>
    </row>
    <row r="213" ht="12.75" customHeight="1">
      <c r="A213" s="30" t="s">
        <v>37</v>
      </c>
      <c r="B213" s="47" t="s">
        <v>155</v>
      </c>
      <c r="C213" s="48" t="s">
        <v>156</v>
      </c>
      <c r="D213" s="16"/>
      <c r="E213" s="19">
        <v>0.0</v>
      </c>
      <c r="F213" s="19">
        <v>0.0</v>
      </c>
      <c r="G213" s="19">
        <v>0.0</v>
      </c>
      <c r="H213" s="19">
        <v>0.0</v>
      </c>
      <c r="I213" s="19">
        <v>0.0</v>
      </c>
      <c r="J213" s="19">
        <v>0.0</v>
      </c>
      <c r="K213" s="19">
        <v>0.0</v>
      </c>
      <c r="L213" s="19">
        <v>0.0</v>
      </c>
      <c r="M213" s="19">
        <v>1.0</v>
      </c>
      <c r="N213" s="19">
        <v>0.0</v>
      </c>
      <c r="O213" s="19">
        <v>1.0</v>
      </c>
      <c r="P213" s="19">
        <v>0.0</v>
      </c>
      <c r="Q213" s="19">
        <v>0.0</v>
      </c>
      <c r="R213" s="19">
        <v>0.0</v>
      </c>
      <c r="S213" s="19">
        <v>1.0</v>
      </c>
      <c r="T213" s="19">
        <v>0.0</v>
      </c>
      <c r="U213" s="19">
        <v>0.0</v>
      </c>
      <c r="V213" s="19">
        <v>0.0</v>
      </c>
      <c r="W213" s="19">
        <v>0.0</v>
      </c>
      <c r="X213" s="19">
        <v>0.0</v>
      </c>
      <c r="Y213" s="13">
        <f t="shared" ref="Y213:Y222" si="42">SUM(E213:X213)</f>
        <v>3</v>
      </c>
    </row>
    <row r="214" ht="12.75" customHeight="1">
      <c r="A214" s="30" t="s">
        <v>39</v>
      </c>
      <c r="B214" s="55">
        <v>1.0</v>
      </c>
      <c r="C214" s="50" t="s">
        <v>157</v>
      </c>
      <c r="D214" s="59"/>
      <c r="E214" s="19">
        <v>0.0</v>
      </c>
      <c r="F214" s="19">
        <v>0.0</v>
      </c>
      <c r="G214" s="19">
        <v>0.0</v>
      </c>
      <c r="H214" s="19">
        <v>0.0</v>
      </c>
      <c r="I214" s="19">
        <v>0.0</v>
      </c>
      <c r="J214" s="19">
        <v>0.0</v>
      </c>
      <c r="K214" s="19">
        <v>0.0</v>
      </c>
      <c r="L214" s="19">
        <v>0.0</v>
      </c>
      <c r="M214" s="19">
        <v>1.0</v>
      </c>
      <c r="N214" s="19">
        <v>2.0</v>
      </c>
      <c r="O214" s="19">
        <v>1.0</v>
      </c>
      <c r="P214" s="19">
        <v>2.0</v>
      </c>
      <c r="Q214" s="19">
        <v>0.0</v>
      </c>
      <c r="R214" s="19">
        <v>0.0</v>
      </c>
      <c r="S214" s="19">
        <v>0.0</v>
      </c>
      <c r="T214" s="19">
        <v>1.0</v>
      </c>
      <c r="U214" s="19">
        <v>0.0</v>
      </c>
      <c r="V214" s="19">
        <v>0.0</v>
      </c>
      <c r="W214" s="19">
        <v>0.0</v>
      </c>
      <c r="X214" s="19">
        <v>0.0</v>
      </c>
      <c r="Y214" s="13">
        <f t="shared" si="42"/>
        <v>7</v>
      </c>
    </row>
    <row r="215" ht="12.75" customHeight="1">
      <c r="A215" s="18"/>
      <c r="B215" s="55">
        <v>2.0</v>
      </c>
      <c r="C215" s="50" t="s">
        <v>158</v>
      </c>
      <c r="D215" s="59"/>
      <c r="E215" s="19">
        <v>1.0</v>
      </c>
      <c r="F215" s="19">
        <v>1.0</v>
      </c>
      <c r="G215" s="19">
        <v>0.0</v>
      </c>
      <c r="H215" s="19">
        <v>0.0</v>
      </c>
      <c r="I215" s="19">
        <v>0.0</v>
      </c>
      <c r="J215" s="19">
        <v>2.0</v>
      </c>
      <c r="K215" s="19">
        <v>1.0</v>
      </c>
      <c r="L215" s="19">
        <v>3.0</v>
      </c>
      <c r="M215" s="19">
        <v>0.0</v>
      </c>
      <c r="N215" s="19">
        <v>3.0</v>
      </c>
      <c r="O215" s="19">
        <v>2.0</v>
      </c>
      <c r="P215" s="19">
        <v>0.0</v>
      </c>
      <c r="Q215" s="19">
        <v>1.0</v>
      </c>
      <c r="R215" s="19">
        <v>1.0</v>
      </c>
      <c r="S215" s="19">
        <v>0.0</v>
      </c>
      <c r="T215" s="19">
        <v>0.0</v>
      </c>
      <c r="U215" s="19">
        <v>0.0</v>
      </c>
      <c r="V215" s="19">
        <v>0.0</v>
      </c>
      <c r="W215" s="19">
        <v>0.0</v>
      </c>
      <c r="X215" s="19">
        <v>0.0</v>
      </c>
      <c r="Y215" s="13">
        <f t="shared" si="42"/>
        <v>15</v>
      </c>
    </row>
    <row r="216" ht="12.75" customHeight="1">
      <c r="A216" s="18"/>
      <c r="B216" s="55">
        <v>3.0</v>
      </c>
      <c r="C216" s="70" t="s">
        <v>159</v>
      </c>
      <c r="E216" s="19">
        <v>0.0</v>
      </c>
      <c r="F216" s="19">
        <v>0.0</v>
      </c>
      <c r="G216" s="19">
        <v>0.0</v>
      </c>
      <c r="H216" s="19">
        <v>0.0</v>
      </c>
      <c r="I216" s="19">
        <v>0.0</v>
      </c>
      <c r="J216" s="19">
        <v>1.0</v>
      </c>
      <c r="K216" s="19">
        <v>0.0</v>
      </c>
      <c r="L216" s="19">
        <v>0.0</v>
      </c>
      <c r="M216" s="19">
        <v>0.0</v>
      </c>
      <c r="N216" s="19">
        <v>0.0</v>
      </c>
      <c r="O216" s="19">
        <v>0.0</v>
      </c>
      <c r="P216" s="19">
        <v>0.0</v>
      </c>
      <c r="Q216" s="19">
        <v>0.0</v>
      </c>
      <c r="R216" s="19">
        <v>0.0</v>
      </c>
      <c r="S216" s="19">
        <v>0.0</v>
      </c>
      <c r="T216" s="19">
        <v>0.0</v>
      </c>
      <c r="U216" s="19">
        <v>0.0</v>
      </c>
      <c r="V216" s="19">
        <v>0.0</v>
      </c>
      <c r="W216" s="19">
        <v>0.0</v>
      </c>
      <c r="X216" s="19">
        <v>0.0</v>
      </c>
      <c r="Y216" s="13">
        <f t="shared" si="42"/>
        <v>1</v>
      </c>
    </row>
    <row r="217" ht="12.75" customHeight="1">
      <c r="A217" s="18"/>
      <c r="B217" s="55">
        <v>4.0</v>
      </c>
      <c r="C217" s="50" t="s">
        <v>160</v>
      </c>
      <c r="D217" s="59"/>
      <c r="E217" s="19">
        <v>0.0</v>
      </c>
      <c r="F217" s="19">
        <v>0.0</v>
      </c>
      <c r="G217" s="19">
        <v>0.0</v>
      </c>
      <c r="H217" s="19">
        <v>0.0</v>
      </c>
      <c r="I217" s="19">
        <v>0.0</v>
      </c>
      <c r="J217" s="19">
        <v>0.0</v>
      </c>
      <c r="K217" s="19">
        <v>0.0</v>
      </c>
      <c r="L217" s="19">
        <v>0.0</v>
      </c>
      <c r="M217" s="19">
        <v>0.0</v>
      </c>
      <c r="N217" s="19">
        <v>0.0</v>
      </c>
      <c r="O217" s="19">
        <v>0.0</v>
      </c>
      <c r="P217" s="19">
        <v>0.0</v>
      </c>
      <c r="Q217" s="19">
        <v>0.0</v>
      </c>
      <c r="R217" s="19">
        <v>0.0</v>
      </c>
      <c r="S217" s="19">
        <v>0.0</v>
      </c>
      <c r="T217" s="19">
        <v>0.0</v>
      </c>
      <c r="U217" s="19">
        <v>0.0</v>
      </c>
      <c r="V217" s="19">
        <v>0.0</v>
      </c>
      <c r="W217" s="19">
        <v>0.0</v>
      </c>
      <c r="X217" s="19">
        <v>0.0</v>
      </c>
      <c r="Y217" s="13">
        <f t="shared" si="42"/>
        <v>0</v>
      </c>
    </row>
    <row r="218" ht="12.75" customHeight="1">
      <c r="A218" s="18"/>
      <c r="B218" s="55">
        <v>5.0</v>
      </c>
      <c r="C218" s="50" t="s">
        <v>161</v>
      </c>
      <c r="D218" s="59"/>
      <c r="E218" s="19">
        <v>0.0</v>
      </c>
      <c r="F218" s="19">
        <v>0.0</v>
      </c>
      <c r="G218" s="19">
        <v>0.0</v>
      </c>
      <c r="H218" s="19">
        <v>0.0</v>
      </c>
      <c r="I218" s="19">
        <v>0.0</v>
      </c>
      <c r="J218" s="19">
        <v>0.0</v>
      </c>
      <c r="K218" s="19">
        <v>0.0</v>
      </c>
      <c r="L218" s="19">
        <v>0.0</v>
      </c>
      <c r="M218" s="19">
        <v>0.0</v>
      </c>
      <c r="N218" s="19">
        <v>0.0</v>
      </c>
      <c r="O218" s="19">
        <v>0.0</v>
      </c>
      <c r="P218" s="19">
        <v>0.0</v>
      </c>
      <c r="Q218" s="19">
        <v>0.0</v>
      </c>
      <c r="R218" s="19">
        <v>0.0</v>
      </c>
      <c r="S218" s="19">
        <v>0.0</v>
      </c>
      <c r="T218" s="19">
        <v>0.0</v>
      </c>
      <c r="U218" s="19">
        <v>0.0</v>
      </c>
      <c r="V218" s="19">
        <v>0.0</v>
      </c>
      <c r="W218" s="19">
        <v>0.0</v>
      </c>
      <c r="X218" s="19">
        <v>0.0</v>
      </c>
      <c r="Y218" s="13">
        <f t="shared" si="42"/>
        <v>0</v>
      </c>
    </row>
    <row r="219" ht="12.75" customHeight="1">
      <c r="A219" s="18"/>
      <c r="B219" s="55">
        <v>6.0</v>
      </c>
      <c r="C219" s="50" t="s">
        <v>162</v>
      </c>
      <c r="D219" s="59"/>
      <c r="E219" s="19">
        <v>0.0</v>
      </c>
      <c r="F219" s="19">
        <v>0.0</v>
      </c>
      <c r="G219" s="19">
        <v>1.0</v>
      </c>
      <c r="H219" s="19">
        <v>0.0</v>
      </c>
      <c r="I219" s="19">
        <v>0.0</v>
      </c>
      <c r="J219" s="19">
        <v>0.0</v>
      </c>
      <c r="K219" s="19">
        <v>0.0</v>
      </c>
      <c r="L219" s="19">
        <v>0.0</v>
      </c>
      <c r="M219" s="19">
        <v>0.0</v>
      </c>
      <c r="N219" s="19">
        <v>0.0</v>
      </c>
      <c r="O219" s="19">
        <v>0.0</v>
      </c>
      <c r="P219" s="19">
        <v>0.0</v>
      </c>
      <c r="Q219" s="19">
        <v>0.0</v>
      </c>
      <c r="R219" s="19">
        <v>0.0</v>
      </c>
      <c r="S219" s="19">
        <v>0.0</v>
      </c>
      <c r="T219" s="19">
        <v>0.0</v>
      </c>
      <c r="U219" s="19">
        <v>0.0</v>
      </c>
      <c r="V219" s="19">
        <v>0.0</v>
      </c>
      <c r="W219" s="19">
        <v>0.0</v>
      </c>
      <c r="X219" s="19">
        <v>0.0</v>
      </c>
      <c r="Y219" s="13">
        <f t="shared" si="42"/>
        <v>1</v>
      </c>
    </row>
    <row r="220" ht="12.75" customHeight="1">
      <c r="A220" s="18"/>
      <c r="B220" s="55">
        <v>7.0</v>
      </c>
      <c r="C220" s="50" t="s">
        <v>163</v>
      </c>
      <c r="D220" s="59"/>
      <c r="E220" s="19">
        <v>0.0</v>
      </c>
      <c r="F220" s="19">
        <v>0.0</v>
      </c>
      <c r="G220" s="19">
        <v>0.0</v>
      </c>
      <c r="H220" s="19">
        <v>0.0</v>
      </c>
      <c r="I220" s="19">
        <v>0.0</v>
      </c>
      <c r="J220" s="19">
        <v>0.0</v>
      </c>
      <c r="K220" s="19">
        <v>0.0</v>
      </c>
      <c r="L220" s="19">
        <v>0.0</v>
      </c>
      <c r="M220" s="19">
        <v>0.0</v>
      </c>
      <c r="N220" s="19">
        <v>0.0</v>
      </c>
      <c r="O220" s="19">
        <v>0.0</v>
      </c>
      <c r="P220" s="19">
        <v>0.0</v>
      </c>
      <c r="Q220" s="19">
        <v>0.0</v>
      </c>
      <c r="R220" s="19">
        <v>0.0</v>
      </c>
      <c r="S220" s="19">
        <v>0.0</v>
      </c>
      <c r="T220" s="19">
        <v>0.0</v>
      </c>
      <c r="U220" s="19">
        <v>0.0</v>
      </c>
      <c r="V220" s="19">
        <v>0.0</v>
      </c>
      <c r="W220" s="19">
        <v>0.0</v>
      </c>
      <c r="X220" s="19">
        <v>0.0</v>
      </c>
      <c r="Y220" s="13">
        <f t="shared" si="42"/>
        <v>0</v>
      </c>
    </row>
    <row r="221" ht="12.75" customHeight="1">
      <c r="A221" s="18"/>
      <c r="B221" s="56"/>
      <c r="C221" s="57"/>
      <c r="D221" s="61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3">
        <f t="shared" si="42"/>
        <v>0</v>
      </c>
    </row>
    <row r="222" ht="12.75" customHeight="1">
      <c r="A222" s="18"/>
      <c r="B222" s="56"/>
      <c r="C222" s="57"/>
      <c r="D222" s="61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3">
        <f t="shared" si="42"/>
        <v>0</v>
      </c>
    </row>
    <row r="223" ht="12.75" customHeight="1">
      <c r="A223" s="19" t="s">
        <v>15</v>
      </c>
      <c r="B223" s="47" t="s">
        <v>47</v>
      </c>
      <c r="C223" s="15"/>
      <c r="D223" s="16"/>
      <c r="E223" s="13">
        <f t="shared" ref="E223:Y223" si="43">SUM(E213:E222)</f>
        <v>1</v>
      </c>
      <c r="F223" s="13">
        <f t="shared" si="43"/>
        <v>1</v>
      </c>
      <c r="G223" s="13">
        <f t="shared" si="43"/>
        <v>1</v>
      </c>
      <c r="H223" s="13">
        <f t="shared" si="43"/>
        <v>0</v>
      </c>
      <c r="I223" s="13">
        <f t="shared" si="43"/>
        <v>0</v>
      </c>
      <c r="J223" s="13">
        <f t="shared" si="43"/>
        <v>3</v>
      </c>
      <c r="K223" s="13">
        <f t="shared" si="43"/>
        <v>1</v>
      </c>
      <c r="L223" s="13">
        <f t="shared" si="43"/>
        <v>3</v>
      </c>
      <c r="M223" s="13">
        <f t="shared" si="43"/>
        <v>2</v>
      </c>
      <c r="N223" s="13">
        <f t="shared" si="43"/>
        <v>5</v>
      </c>
      <c r="O223" s="13">
        <f t="shared" si="43"/>
        <v>4</v>
      </c>
      <c r="P223" s="13">
        <f t="shared" si="43"/>
        <v>2</v>
      </c>
      <c r="Q223" s="13">
        <f t="shared" si="43"/>
        <v>1</v>
      </c>
      <c r="R223" s="13">
        <f t="shared" si="43"/>
        <v>1</v>
      </c>
      <c r="S223" s="13">
        <f t="shared" si="43"/>
        <v>1</v>
      </c>
      <c r="T223" s="13">
        <f t="shared" si="43"/>
        <v>1</v>
      </c>
      <c r="U223" s="13">
        <f t="shared" si="43"/>
        <v>0</v>
      </c>
      <c r="V223" s="13">
        <f t="shared" si="43"/>
        <v>0</v>
      </c>
      <c r="W223" s="13">
        <f t="shared" si="43"/>
        <v>0</v>
      </c>
      <c r="X223" s="13">
        <f t="shared" si="43"/>
        <v>0</v>
      </c>
      <c r="Y223" s="13">
        <f t="shared" si="43"/>
        <v>27</v>
      </c>
    </row>
    <row r="224" ht="12.75" customHeight="1">
      <c r="A224" s="24"/>
      <c r="B224" s="15"/>
      <c r="C224" s="15"/>
      <c r="D224" s="15"/>
      <c r="E224" s="16"/>
      <c r="F224" s="84"/>
      <c r="G224" s="84"/>
      <c r="H224" s="84"/>
      <c r="I224" s="84"/>
      <c r="J224" s="84"/>
      <c r="K224" s="84"/>
      <c r="L224" s="84"/>
      <c r="M224" s="84"/>
      <c r="N224" s="84"/>
      <c r="O224" s="84"/>
      <c r="P224" s="84"/>
      <c r="Q224" s="84"/>
      <c r="R224" s="84"/>
      <c r="S224" s="84"/>
      <c r="T224" s="84"/>
      <c r="U224" s="84"/>
      <c r="V224" s="84"/>
      <c r="W224" s="84"/>
      <c r="X224" s="84"/>
      <c r="Y224" s="84"/>
    </row>
    <row r="225" ht="12.75" customHeight="1">
      <c r="A225" s="30" t="s">
        <v>37</v>
      </c>
      <c r="B225" s="47" t="s">
        <v>164</v>
      </c>
      <c r="C225" s="48" t="s">
        <v>165</v>
      </c>
      <c r="D225" s="16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3">
        <f t="shared" ref="Y225:Y234" si="44">SUM(E225:X225)</f>
        <v>0</v>
      </c>
    </row>
    <row r="226" ht="12.75" customHeight="1">
      <c r="A226" s="30" t="s">
        <v>39</v>
      </c>
      <c r="B226" s="55">
        <v>1.0</v>
      </c>
      <c r="C226" s="50" t="s">
        <v>166</v>
      </c>
      <c r="D226" s="60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3">
        <f t="shared" si="44"/>
        <v>0</v>
      </c>
    </row>
    <row r="227" ht="12.75" customHeight="1">
      <c r="A227" s="18"/>
      <c r="B227" s="55">
        <v>2.0</v>
      </c>
      <c r="C227" s="50" t="s">
        <v>167</v>
      </c>
      <c r="D227" s="60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3">
        <f t="shared" si="44"/>
        <v>0</v>
      </c>
    </row>
    <row r="228" ht="12.75" customHeight="1">
      <c r="A228" s="18"/>
      <c r="B228" s="55">
        <v>3.0</v>
      </c>
      <c r="C228" s="50" t="s">
        <v>168</v>
      </c>
      <c r="D228" s="60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3">
        <f t="shared" si="44"/>
        <v>0</v>
      </c>
    </row>
    <row r="229" ht="12.75" customHeight="1">
      <c r="A229" s="18"/>
      <c r="B229" s="55">
        <v>4.0</v>
      </c>
      <c r="C229" s="50" t="s">
        <v>169</v>
      </c>
      <c r="D229" s="60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3">
        <f t="shared" si="44"/>
        <v>0</v>
      </c>
    </row>
    <row r="230" ht="12.75" customHeight="1">
      <c r="A230" s="18"/>
      <c r="B230" s="55">
        <v>5.0</v>
      </c>
      <c r="C230" s="50" t="s">
        <v>170</v>
      </c>
      <c r="D230" s="60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3">
        <f t="shared" si="44"/>
        <v>0</v>
      </c>
    </row>
    <row r="231" ht="12.75" customHeight="1">
      <c r="A231" s="18"/>
      <c r="B231" s="55">
        <v>6.0</v>
      </c>
      <c r="C231" s="50" t="s">
        <v>171</v>
      </c>
      <c r="D231" s="60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3">
        <f t="shared" si="44"/>
        <v>0</v>
      </c>
    </row>
    <row r="232" ht="12.75" customHeight="1">
      <c r="A232" s="18"/>
      <c r="B232" s="55">
        <v>7.0</v>
      </c>
      <c r="C232" s="50" t="s">
        <v>172</v>
      </c>
      <c r="D232" s="60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3">
        <f t="shared" si="44"/>
        <v>0</v>
      </c>
    </row>
    <row r="233" ht="12.75" customHeight="1">
      <c r="A233" s="18"/>
      <c r="B233" s="56"/>
      <c r="C233" s="57"/>
      <c r="D233" s="62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3">
        <f t="shared" si="44"/>
        <v>0</v>
      </c>
    </row>
    <row r="234" ht="12.75" customHeight="1">
      <c r="A234" s="18"/>
      <c r="B234" s="56"/>
      <c r="C234" s="57"/>
      <c r="D234" s="62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3">
        <f t="shared" si="44"/>
        <v>0</v>
      </c>
    </row>
    <row r="235" ht="12.75" customHeight="1">
      <c r="A235" s="19" t="s">
        <v>15</v>
      </c>
      <c r="B235" s="47" t="s">
        <v>47</v>
      </c>
      <c r="C235" s="15"/>
      <c r="D235" s="16"/>
      <c r="E235" s="13">
        <f t="shared" ref="E235:Y235" si="45">SUM(E225:E234)</f>
        <v>0</v>
      </c>
      <c r="F235" s="13">
        <f t="shared" si="45"/>
        <v>0</v>
      </c>
      <c r="G235" s="13">
        <f t="shared" si="45"/>
        <v>0</v>
      </c>
      <c r="H235" s="13">
        <f t="shared" si="45"/>
        <v>0</v>
      </c>
      <c r="I235" s="13">
        <f t="shared" si="45"/>
        <v>0</v>
      </c>
      <c r="J235" s="13">
        <f t="shared" si="45"/>
        <v>0</v>
      </c>
      <c r="K235" s="13">
        <f t="shared" si="45"/>
        <v>0</v>
      </c>
      <c r="L235" s="13">
        <f t="shared" si="45"/>
        <v>0</v>
      </c>
      <c r="M235" s="13">
        <f t="shared" si="45"/>
        <v>0</v>
      </c>
      <c r="N235" s="13">
        <f t="shared" si="45"/>
        <v>0</v>
      </c>
      <c r="O235" s="13">
        <f t="shared" si="45"/>
        <v>0</v>
      </c>
      <c r="P235" s="13">
        <f t="shared" si="45"/>
        <v>0</v>
      </c>
      <c r="Q235" s="13">
        <f t="shared" si="45"/>
        <v>0</v>
      </c>
      <c r="R235" s="13">
        <f t="shared" si="45"/>
        <v>0</v>
      </c>
      <c r="S235" s="13">
        <f t="shared" si="45"/>
        <v>0</v>
      </c>
      <c r="T235" s="13">
        <f t="shared" si="45"/>
        <v>0</v>
      </c>
      <c r="U235" s="13">
        <f t="shared" si="45"/>
        <v>0</v>
      </c>
      <c r="V235" s="13">
        <f t="shared" si="45"/>
        <v>0</v>
      </c>
      <c r="W235" s="13">
        <f t="shared" si="45"/>
        <v>0</v>
      </c>
      <c r="X235" s="13">
        <f t="shared" si="45"/>
        <v>0</v>
      </c>
      <c r="Y235" s="13">
        <f t="shared" si="45"/>
        <v>0</v>
      </c>
    </row>
    <row r="236" ht="12.75" customHeight="1">
      <c r="A236" s="24"/>
      <c r="B236" s="15"/>
      <c r="C236" s="15"/>
      <c r="D236" s="15"/>
      <c r="E236" s="16"/>
      <c r="F236" s="84"/>
      <c r="G236" s="84"/>
      <c r="H236" s="84"/>
      <c r="I236" s="84"/>
      <c r="J236" s="84"/>
      <c r="K236" s="84"/>
      <c r="L236" s="84"/>
      <c r="M236" s="84"/>
      <c r="N236" s="84"/>
      <c r="O236" s="84"/>
      <c r="P236" s="84"/>
      <c r="Q236" s="84"/>
      <c r="R236" s="84"/>
      <c r="S236" s="84"/>
      <c r="T236" s="84"/>
      <c r="U236" s="84"/>
      <c r="V236" s="84"/>
      <c r="W236" s="84"/>
      <c r="X236" s="84"/>
      <c r="Y236" s="84"/>
    </row>
    <row r="237" ht="12.75" customHeight="1">
      <c r="A237" s="30" t="s">
        <v>37</v>
      </c>
      <c r="B237" s="47" t="s">
        <v>173</v>
      </c>
      <c r="C237" s="48" t="s">
        <v>174</v>
      </c>
      <c r="D237" s="16"/>
      <c r="E237" s="19">
        <v>0.0</v>
      </c>
      <c r="F237" s="19">
        <v>0.0</v>
      </c>
      <c r="G237" s="19">
        <v>3.0</v>
      </c>
      <c r="H237" s="19">
        <v>5.0</v>
      </c>
      <c r="I237" s="19">
        <v>0.0</v>
      </c>
      <c r="J237" s="19">
        <v>1.0</v>
      </c>
      <c r="K237" s="19">
        <v>0.0</v>
      </c>
      <c r="L237" s="19">
        <v>4.0</v>
      </c>
      <c r="M237" s="19">
        <v>0.0</v>
      </c>
      <c r="N237" s="19">
        <v>0.0</v>
      </c>
      <c r="O237" s="19">
        <v>0.0</v>
      </c>
      <c r="P237" s="19">
        <v>0.0</v>
      </c>
      <c r="Q237" s="19">
        <v>0.0</v>
      </c>
      <c r="R237" s="19">
        <v>2.0</v>
      </c>
      <c r="S237" s="19">
        <v>0.0</v>
      </c>
      <c r="T237" s="19">
        <v>0.0</v>
      </c>
      <c r="U237" s="19">
        <v>0.0</v>
      </c>
      <c r="V237" s="19">
        <v>0.0</v>
      </c>
      <c r="W237" s="19">
        <v>1.0</v>
      </c>
      <c r="X237" s="19">
        <v>0.0</v>
      </c>
      <c r="Y237" s="13">
        <f t="shared" ref="Y237:Y246" si="46">SUM(E237:X237)</f>
        <v>16</v>
      </c>
    </row>
    <row r="238" ht="12.75" customHeight="1">
      <c r="A238" s="30" t="s">
        <v>39</v>
      </c>
      <c r="B238" s="55">
        <v>1.0</v>
      </c>
      <c r="C238" s="50" t="s">
        <v>175</v>
      </c>
      <c r="D238" s="60"/>
      <c r="E238" s="19">
        <v>0.0</v>
      </c>
      <c r="F238" s="19">
        <v>0.0</v>
      </c>
      <c r="G238" s="19">
        <v>0.0</v>
      </c>
      <c r="H238" s="19">
        <v>1.0</v>
      </c>
      <c r="I238" s="19">
        <v>0.0</v>
      </c>
      <c r="J238" s="19">
        <v>0.0</v>
      </c>
      <c r="K238" s="19">
        <v>0.0</v>
      </c>
      <c r="L238" s="19">
        <v>1.0</v>
      </c>
      <c r="M238" s="19">
        <v>1.0</v>
      </c>
      <c r="N238" s="19">
        <v>0.0</v>
      </c>
      <c r="O238" s="19">
        <v>0.0</v>
      </c>
      <c r="P238" s="19">
        <v>0.0</v>
      </c>
      <c r="Q238" s="19">
        <v>0.0</v>
      </c>
      <c r="R238" s="19">
        <v>0.0</v>
      </c>
      <c r="S238" s="19">
        <v>0.0</v>
      </c>
      <c r="T238" s="19">
        <v>0.0</v>
      </c>
      <c r="U238" s="19">
        <v>0.0</v>
      </c>
      <c r="V238" s="19">
        <v>0.0</v>
      </c>
      <c r="W238" s="19">
        <v>0.0</v>
      </c>
      <c r="X238" s="19">
        <v>0.0</v>
      </c>
      <c r="Y238" s="13">
        <f t="shared" si="46"/>
        <v>3</v>
      </c>
    </row>
    <row r="239" ht="12.75" customHeight="1">
      <c r="A239" s="18"/>
      <c r="B239" s="55">
        <v>2.0</v>
      </c>
      <c r="C239" s="50" t="s">
        <v>176</v>
      </c>
      <c r="D239" s="60"/>
      <c r="E239" s="19">
        <v>3.0</v>
      </c>
      <c r="F239" s="19">
        <v>4.0</v>
      </c>
      <c r="G239" s="19">
        <v>31.0</v>
      </c>
      <c r="H239" s="19">
        <v>36.0</v>
      </c>
      <c r="I239" s="19">
        <v>2.0</v>
      </c>
      <c r="J239" s="19">
        <v>0.0</v>
      </c>
      <c r="K239" s="19">
        <v>0.0</v>
      </c>
      <c r="L239" s="19">
        <v>65.0</v>
      </c>
      <c r="M239" s="19">
        <v>0.0</v>
      </c>
      <c r="N239" s="19">
        <v>0.0</v>
      </c>
      <c r="O239" s="19">
        <v>1.0</v>
      </c>
      <c r="P239" s="19">
        <v>0.0</v>
      </c>
      <c r="Q239" s="19">
        <v>0.0</v>
      </c>
      <c r="R239" s="19">
        <v>16.0</v>
      </c>
      <c r="S239" s="19">
        <v>2.0</v>
      </c>
      <c r="T239" s="19">
        <v>0.0</v>
      </c>
      <c r="U239" s="19">
        <v>0.0</v>
      </c>
      <c r="V239" s="19">
        <v>0.0</v>
      </c>
      <c r="W239" s="19">
        <v>3.0</v>
      </c>
      <c r="X239" s="19">
        <v>0.0</v>
      </c>
      <c r="Y239" s="13">
        <f t="shared" si="46"/>
        <v>163</v>
      </c>
    </row>
    <row r="240" ht="12.75" customHeight="1">
      <c r="A240" s="18"/>
      <c r="B240" s="55">
        <v>3.0</v>
      </c>
      <c r="C240" s="50" t="s">
        <v>177</v>
      </c>
      <c r="D240" s="60"/>
      <c r="E240" s="19">
        <v>0.0</v>
      </c>
      <c r="F240" s="19">
        <v>1.0</v>
      </c>
      <c r="G240" s="19">
        <v>1.0</v>
      </c>
      <c r="H240" s="19">
        <v>2.0</v>
      </c>
      <c r="I240" s="19">
        <v>0.0</v>
      </c>
      <c r="J240" s="19">
        <v>1.0</v>
      </c>
      <c r="K240" s="19">
        <v>0.0</v>
      </c>
      <c r="L240" s="19">
        <v>0.0</v>
      </c>
      <c r="M240" s="19">
        <v>0.0</v>
      </c>
      <c r="N240" s="19">
        <v>0.0</v>
      </c>
      <c r="O240" s="19">
        <v>1.0</v>
      </c>
      <c r="P240" s="19">
        <v>0.0</v>
      </c>
      <c r="Q240" s="19">
        <v>0.0</v>
      </c>
      <c r="R240" s="19">
        <v>2.0</v>
      </c>
      <c r="S240" s="19">
        <v>0.0</v>
      </c>
      <c r="T240" s="19">
        <v>0.0</v>
      </c>
      <c r="U240" s="19">
        <v>0.0</v>
      </c>
      <c r="V240" s="19">
        <v>0.0</v>
      </c>
      <c r="W240" s="19">
        <v>0.0</v>
      </c>
      <c r="X240" s="19">
        <v>0.0</v>
      </c>
      <c r="Y240" s="13">
        <f t="shared" si="46"/>
        <v>8</v>
      </c>
    </row>
    <row r="241" ht="12.75" customHeight="1">
      <c r="A241" s="18"/>
      <c r="B241" s="55">
        <v>4.0</v>
      </c>
      <c r="C241" s="50" t="s">
        <v>178</v>
      </c>
      <c r="D241" s="60"/>
      <c r="E241" s="19">
        <v>0.0</v>
      </c>
      <c r="F241" s="19">
        <v>0.0</v>
      </c>
      <c r="G241" s="19">
        <v>1.0</v>
      </c>
      <c r="H241" s="19">
        <v>0.0</v>
      </c>
      <c r="I241" s="19">
        <v>0.0</v>
      </c>
      <c r="J241" s="19">
        <v>0.0</v>
      </c>
      <c r="K241" s="19">
        <v>0.0</v>
      </c>
      <c r="L241" s="19">
        <v>0.0</v>
      </c>
      <c r="M241" s="19">
        <v>1.0</v>
      </c>
      <c r="N241" s="19">
        <v>0.0</v>
      </c>
      <c r="O241" s="19">
        <v>0.0</v>
      </c>
      <c r="P241" s="19">
        <v>0.0</v>
      </c>
      <c r="Q241" s="19">
        <v>0.0</v>
      </c>
      <c r="R241" s="19">
        <v>0.0</v>
      </c>
      <c r="S241" s="19">
        <v>0.0</v>
      </c>
      <c r="T241" s="19">
        <v>0.0</v>
      </c>
      <c r="U241" s="19">
        <v>0.0</v>
      </c>
      <c r="V241" s="19">
        <v>0.0</v>
      </c>
      <c r="W241" s="19">
        <v>0.0</v>
      </c>
      <c r="X241" s="19">
        <v>0.0</v>
      </c>
      <c r="Y241" s="13">
        <f t="shared" si="46"/>
        <v>2</v>
      </c>
    </row>
    <row r="242" ht="12.75" customHeight="1">
      <c r="A242" s="18"/>
      <c r="B242" s="55">
        <v>5.0</v>
      </c>
      <c r="C242" s="50" t="s">
        <v>179</v>
      </c>
      <c r="D242" s="60"/>
      <c r="E242" s="19">
        <v>0.0</v>
      </c>
      <c r="F242" s="19">
        <v>0.0</v>
      </c>
      <c r="G242" s="19">
        <v>0.0</v>
      </c>
      <c r="H242" s="19">
        <v>0.0</v>
      </c>
      <c r="I242" s="19">
        <v>0.0</v>
      </c>
      <c r="J242" s="19">
        <v>0.0</v>
      </c>
      <c r="K242" s="19">
        <v>0.0</v>
      </c>
      <c r="L242" s="19">
        <v>0.0</v>
      </c>
      <c r="M242" s="19">
        <v>0.0</v>
      </c>
      <c r="N242" s="19">
        <v>0.0</v>
      </c>
      <c r="O242" s="19">
        <v>0.0</v>
      </c>
      <c r="P242" s="19">
        <v>0.0</v>
      </c>
      <c r="Q242" s="19">
        <v>0.0</v>
      </c>
      <c r="R242" s="19">
        <v>0.0</v>
      </c>
      <c r="S242" s="19">
        <v>0.0</v>
      </c>
      <c r="T242" s="19">
        <v>0.0</v>
      </c>
      <c r="U242" s="19">
        <v>0.0</v>
      </c>
      <c r="V242" s="19">
        <v>0.0</v>
      </c>
      <c r="W242" s="19">
        <v>0.0</v>
      </c>
      <c r="X242" s="19">
        <v>0.0</v>
      </c>
      <c r="Y242" s="13">
        <f t="shared" si="46"/>
        <v>0</v>
      </c>
    </row>
    <row r="243" ht="12.75" customHeight="1">
      <c r="A243" s="18"/>
      <c r="B243" s="55">
        <v>6.0</v>
      </c>
      <c r="C243" s="50" t="s">
        <v>180</v>
      </c>
      <c r="D243" s="60"/>
      <c r="E243" s="19">
        <v>0.0</v>
      </c>
      <c r="F243" s="19">
        <v>0.0</v>
      </c>
      <c r="G243" s="19">
        <v>0.0</v>
      </c>
      <c r="H243" s="19">
        <v>0.0</v>
      </c>
      <c r="I243" s="19">
        <v>0.0</v>
      </c>
      <c r="J243" s="19">
        <v>0.0</v>
      </c>
      <c r="K243" s="19">
        <v>0.0</v>
      </c>
      <c r="L243" s="19">
        <v>0.0</v>
      </c>
      <c r="M243" s="19">
        <v>0.0</v>
      </c>
      <c r="N243" s="19">
        <v>0.0</v>
      </c>
      <c r="O243" s="19">
        <v>0.0</v>
      </c>
      <c r="P243" s="19">
        <v>0.0</v>
      </c>
      <c r="Q243" s="19">
        <v>0.0</v>
      </c>
      <c r="R243" s="19">
        <v>0.0</v>
      </c>
      <c r="S243" s="19">
        <v>0.0</v>
      </c>
      <c r="T243" s="19">
        <v>0.0</v>
      </c>
      <c r="U243" s="19">
        <v>0.0</v>
      </c>
      <c r="V243" s="19">
        <v>0.0</v>
      </c>
      <c r="W243" s="19">
        <v>0.0</v>
      </c>
      <c r="X243" s="19">
        <v>0.0</v>
      </c>
      <c r="Y243" s="13">
        <f t="shared" si="46"/>
        <v>0</v>
      </c>
    </row>
    <row r="244" ht="12.75" customHeight="1">
      <c r="A244" s="18"/>
      <c r="B244" s="55">
        <v>7.0</v>
      </c>
      <c r="C244" s="50" t="s">
        <v>181</v>
      </c>
      <c r="D244" s="60"/>
      <c r="E244" s="19">
        <v>0.0</v>
      </c>
      <c r="F244" s="19">
        <v>0.0</v>
      </c>
      <c r="G244" s="19">
        <v>0.0</v>
      </c>
      <c r="H244" s="19">
        <v>0.0</v>
      </c>
      <c r="I244" s="19">
        <v>0.0</v>
      </c>
      <c r="J244" s="19">
        <v>0.0</v>
      </c>
      <c r="K244" s="19">
        <v>0.0</v>
      </c>
      <c r="L244" s="19">
        <v>0.0</v>
      </c>
      <c r="M244" s="19">
        <v>0.0</v>
      </c>
      <c r="N244" s="19">
        <v>0.0</v>
      </c>
      <c r="O244" s="19">
        <v>0.0</v>
      </c>
      <c r="P244" s="19">
        <v>0.0</v>
      </c>
      <c r="Q244" s="19">
        <v>0.0</v>
      </c>
      <c r="R244" s="19">
        <v>0.0</v>
      </c>
      <c r="S244" s="19">
        <v>0.0</v>
      </c>
      <c r="T244" s="19">
        <v>0.0</v>
      </c>
      <c r="U244" s="19">
        <v>0.0</v>
      </c>
      <c r="V244" s="19">
        <v>0.0</v>
      </c>
      <c r="W244" s="19">
        <v>0.0</v>
      </c>
      <c r="X244" s="19">
        <v>0.0</v>
      </c>
      <c r="Y244" s="13">
        <f t="shared" si="46"/>
        <v>0</v>
      </c>
    </row>
    <row r="245" ht="12.75" customHeight="1">
      <c r="A245" s="18"/>
      <c r="B245" s="56"/>
      <c r="C245" s="57"/>
      <c r="D245" s="62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3">
        <f t="shared" si="46"/>
        <v>0</v>
      </c>
    </row>
    <row r="246" ht="12.75" customHeight="1">
      <c r="A246" s="18"/>
      <c r="B246" s="56"/>
      <c r="C246" s="57"/>
      <c r="D246" s="62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3">
        <f t="shared" si="46"/>
        <v>0</v>
      </c>
    </row>
    <row r="247" ht="12.75" customHeight="1">
      <c r="A247" s="19" t="s">
        <v>15</v>
      </c>
      <c r="B247" s="47" t="s">
        <v>47</v>
      </c>
      <c r="C247" s="15"/>
      <c r="D247" s="16"/>
      <c r="E247" s="13">
        <f t="shared" ref="E247:Y247" si="47">SUM(E237:E246)</f>
        <v>3</v>
      </c>
      <c r="F247" s="13">
        <f t="shared" si="47"/>
        <v>5</v>
      </c>
      <c r="G247" s="13">
        <f t="shared" si="47"/>
        <v>36</v>
      </c>
      <c r="H247" s="13">
        <f t="shared" si="47"/>
        <v>44</v>
      </c>
      <c r="I247" s="13">
        <f t="shared" si="47"/>
        <v>2</v>
      </c>
      <c r="J247" s="13">
        <f t="shared" si="47"/>
        <v>2</v>
      </c>
      <c r="K247" s="13">
        <f t="shared" si="47"/>
        <v>0</v>
      </c>
      <c r="L247" s="13">
        <f t="shared" si="47"/>
        <v>70</v>
      </c>
      <c r="M247" s="13">
        <f t="shared" si="47"/>
        <v>2</v>
      </c>
      <c r="N247" s="13">
        <f t="shared" si="47"/>
        <v>0</v>
      </c>
      <c r="O247" s="13">
        <f t="shared" si="47"/>
        <v>2</v>
      </c>
      <c r="P247" s="13">
        <f t="shared" si="47"/>
        <v>0</v>
      </c>
      <c r="Q247" s="13">
        <f t="shared" si="47"/>
        <v>0</v>
      </c>
      <c r="R247" s="13">
        <f t="shared" si="47"/>
        <v>20</v>
      </c>
      <c r="S247" s="13">
        <f t="shared" si="47"/>
        <v>2</v>
      </c>
      <c r="T247" s="13">
        <f t="shared" si="47"/>
        <v>0</v>
      </c>
      <c r="U247" s="13">
        <f t="shared" si="47"/>
        <v>0</v>
      </c>
      <c r="V247" s="13">
        <f t="shared" si="47"/>
        <v>0</v>
      </c>
      <c r="W247" s="13">
        <f t="shared" si="47"/>
        <v>4</v>
      </c>
      <c r="X247" s="13">
        <f t="shared" si="47"/>
        <v>0</v>
      </c>
      <c r="Y247" s="13">
        <f t="shared" si="47"/>
        <v>192</v>
      </c>
    </row>
    <row r="248" ht="12.75" customHeight="1">
      <c r="A248" s="24"/>
      <c r="B248" s="15"/>
      <c r="C248" s="15"/>
      <c r="D248" s="15"/>
      <c r="E248" s="16"/>
    </row>
    <row r="249" ht="12.75" customHeight="1">
      <c r="A249" s="30" t="s">
        <v>37</v>
      </c>
      <c r="B249" s="47" t="s">
        <v>182</v>
      </c>
      <c r="C249" s="48" t="s">
        <v>183</v>
      </c>
      <c r="D249" s="16"/>
      <c r="E249" s="19">
        <v>0.0</v>
      </c>
      <c r="F249" s="19">
        <v>0.0</v>
      </c>
      <c r="G249" s="19">
        <v>0.0</v>
      </c>
      <c r="H249" s="19">
        <v>0.0</v>
      </c>
      <c r="I249" s="19">
        <v>0.0</v>
      </c>
      <c r="J249" s="19">
        <v>1.0</v>
      </c>
      <c r="K249" s="19">
        <v>0.0</v>
      </c>
      <c r="L249" s="19">
        <v>0.0</v>
      </c>
      <c r="M249" s="19">
        <v>0.0</v>
      </c>
      <c r="N249" s="19">
        <v>0.0</v>
      </c>
      <c r="O249" s="19">
        <v>1.0</v>
      </c>
      <c r="P249" s="19">
        <v>0.0</v>
      </c>
      <c r="Q249" s="19">
        <v>0.0</v>
      </c>
      <c r="R249" s="19">
        <v>0.0</v>
      </c>
      <c r="S249" s="19">
        <v>0.0</v>
      </c>
      <c r="T249" s="19">
        <v>0.0</v>
      </c>
      <c r="U249" s="19">
        <v>0.0</v>
      </c>
      <c r="V249" s="19">
        <v>0.0</v>
      </c>
      <c r="W249" s="19">
        <v>0.0</v>
      </c>
      <c r="X249" s="19">
        <v>0.0</v>
      </c>
      <c r="Y249" s="13">
        <f t="shared" ref="Y249:Y258" si="48">SUM(E249:X249)</f>
        <v>2</v>
      </c>
    </row>
    <row r="250" ht="12.75" customHeight="1">
      <c r="A250" s="30" t="s">
        <v>39</v>
      </c>
      <c r="B250" s="55">
        <v>1.0</v>
      </c>
      <c r="C250" s="67" t="s">
        <v>184</v>
      </c>
      <c r="D250" s="60"/>
      <c r="E250" s="19">
        <v>0.0</v>
      </c>
      <c r="F250" s="19">
        <v>0.0</v>
      </c>
      <c r="G250" s="19">
        <v>0.0</v>
      </c>
      <c r="H250" s="19">
        <v>0.0</v>
      </c>
      <c r="I250" s="19">
        <v>0.0</v>
      </c>
      <c r="J250" s="19">
        <v>0.0</v>
      </c>
      <c r="K250" s="19">
        <v>0.0</v>
      </c>
      <c r="L250" s="19">
        <v>0.0</v>
      </c>
      <c r="M250" s="19">
        <v>0.0</v>
      </c>
      <c r="N250" s="19">
        <v>0.0</v>
      </c>
      <c r="O250" s="19">
        <v>0.0</v>
      </c>
      <c r="P250" s="19">
        <v>0.0</v>
      </c>
      <c r="Q250" s="19">
        <v>0.0</v>
      </c>
      <c r="R250" s="19">
        <v>1.0</v>
      </c>
      <c r="S250" s="19">
        <v>0.0</v>
      </c>
      <c r="T250" s="19">
        <v>0.0</v>
      </c>
      <c r="U250" s="19">
        <v>0.0</v>
      </c>
      <c r="V250" s="19">
        <v>0.0</v>
      </c>
      <c r="W250" s="19">
        <v>0.0</v>
      </c>
      <c r="X250" s="19">
        <v>0.0</v>
      </c>
      <c r="Y250" s="13">
        <f t="shared" si="48"/>
        <v>1</v>
      </c>
    </row>
    <row r="251" ht="12.75" customHeight="1">
      <c r="A251" s="18"/>
      <c r="B251" s="55">
        <v>2.0</v>
      </c>
      <c r="C251" s="67" t="s">
        <v>185</v>
      </c>
      <c r="D251" s="60"/>
      <c r="E251" s="19">
        <v>0.0</v>
      </c>
      <c r="F251" s="19">
        <v>0.0</v>
      </c>
      <c r="G251" s="19">
        <v>0.0</v>
      </c>
      <c r="H251" s="19">
        <v>0.0</v>
      </c>
      <c r="I251" s="19">
        <v>0.0</v>
      </c>
      <c r="J251" s="19">
        <v>0.0</v>
      </c>
      <c r="K251" s="19">
        <v>0.0</v>
      </c>
      <c r="L251" s="19">
        <v>0.0</v>
      </c>
      <c r="M251" s="19">
        <v>0.0</v>
      </c>
      <c r="N251" s="19">
        <v>0.0</v>
      </c>
      <c r="O251" s="19">
        <v>0.0</v>
      </c>
      <c r="P251" s="19">
        <v>0.0</v>
      </c>
      <c r="Q251" s="19">
        <v>0.0</v>
      </c>
      <c r="R251" s="19">
        <v>0.0</v>
      </c>
      <c r="S251" s="19">
        <v>0.0</v>
      </c>
      <c r="T251" s="19">
        <v>0.0</v>
      </c>
      <c r="U251" s="19">
        <v>0.0</v>
      </c>
      <c r="V251" s="19">
        <v>0.0</v>
      </c>
      <c r="W251" s="19">
        <v>0.0</v>
      </c>
      <c r="X251" s="19">
        <v>0.0</v>
      </c>
      <c r="Y251" s="13">
        <f t="shared" si="48"/>
        <v>0</v>
      </c>
    </row>
    <row r="252" ht="12.75" customHeight="1">
      <c r="A252" s="18"/>
      <c r="B252" s="55">
        <v>3.0</v>
      </c>
      <c r="C252" s="67" t="s">
        <v>186</v>
      </c>
      <c r="D252" s="60"/>
      <c r="E252" s="19">
        <v>0.0</v>
      </c>
      <c r="F252" s="19">
        <v>0.0</v>
      </c>
      <c r="G252" s="19">
        <v>0.0</v>
      </c>
      <c r="H252" s="19">
        <v>0.0</v>
      </c>
      <c r="I252" s="19">
        <v>0.0</v>
      </c>
      <c r="J252" s="19">
        <v>0.0</v>
      </c>
      <c r="K252" s="19">
        <v>0.0</v>
      </c>
      <c r="L252" s="19">
        <v>0.0</v>
      </c>
      <c r="M252" s="19">
        <v>0.0</v>
      </c>
      <c r="N252" s="19">
        <v>0.0</v>
      </c>
      <c r="O252" s="19">
        <v>0.0</v>
      </c>
      <c r="P252" s="19">
        <v>0.0</v>
      </c>
      <c r="Q252" s="19">
        <v>0.0</v>
      </c>
      <c r="R252" s="19">
        <v>1.0</v>
      </c>
      <c r="S252" s="19">
        <v>0.0</v>
      </c>
      <c r="T252" s="19">
        <v>0.0</v>
      </c>
      <c r="U252" s="19">
        <v>0.0</v>
      </c>
      <c r="V252" s="19">
        <v>0.0</v>
      </c>
      <c r="W252" s="19">
        <v>0.0</v>
      </c>
      <c r="X252" s="19">
        <v>0.0</v>
      </c>
      <c r="Y252" s="13">
        <f t="shared" si="48"/>
        <v>1</v>
      </c>
    </row>
    <row r="253" ht="12.75" customHeight="1">
      <c r="A253" s="18"/>
      <c r="B253" s="55">
        <v>4.0</v>
      </c>
      <c r="C253" s="67" t="s">
        <v>187</v>
      </c>
      <c r="D253" s="60"/>
      <c r="E253" s="19">
        <v>0.0</v>
      </c>
      <c r="F253" s="19">
        <v>0.0</v>
      </c>
      <c r="G253" s="19">
        <v>0.0</v>
      </c>
      <c r="H253" s="19">
        <v>0.0</v>
      </c>
      <c r="I253" s="19">
        <v>0.0</v>
      </c>
      <c r="J253" s="19">
        <v>0.0</v>
      </c>
      <c r="K253" s="19">
        <v>0.0</v>
      </c>
      <c r="L253" s="19">
        <v>0.0</v>
      </c>
      <c r="M253" s="19">
        <v>0.0</v>
      </c>
      <c r="N253" s="19">
        <v>0.0</v>
      </c>
      <c r="O253" s="19">
        <v>0.0</v>
      </c>
      <c r="P253" s="19">
        <v>0.0</v>
      </c>
      <c r="Q253" s="19">
        <v>0.0</v>
      </c>
      <c r="R253" s="19">
        <v>0.0</v>
      </c>
      <c r="S253" s="19">
        <v>0.0</v>
      </c>
      <c r="T253" s="19">
        <v>0.0</v>
      </c>
      <c r="U253" s="19">
        <v>0.0</v>
      </c>
      <c r="V253" s="19">
        <v>0.0</v>
      </c>
      <c r="W253" s="19">
        <v>0.0</v>
      </c>
      <c r="X253" s="19">
        <v>0.0</v>
      </c>
      <c r="Y253" s="13">
        <f t="shared" si="48"/>
        <v>0</v>
      </c>
    </row>
    <row r="254" ht="12.75" customHeight="1">
      <c r="A254" s="18"/>
      <c r="B254" s="55">
        <v>5.0</v>
      </c>
      <c r="C254" s="67" t="s">
        <v>188</v>
      </c>
      <c r="D254" s="60"/>
      <c r="E254" s="19">
        <v>0.0</v>
      </c>
      <c r="F254" s="19">
        <v>0.0</v>
      </c>
      <c r="G254" s="19">
        <v>0.0</v>
      </c>
      <c r="H254" s="19">
        <v>0.0</v>
      </c>
      <c r="I254" s="19">
        <v>0.0</v>
      </c>
      <c r="J254" s="19">
        <v>0.0</v>
      </c>
      <c r="K254" s="19">
        <v>0.0</v>
      </c>
      <c r="L254" s="19">
        <v>0.0</v>
      </c>
      <c r="M254" s="19">
        <v>0.0</v>
      </c>
      <c r="N254" s="19">
        <v>0.0</v>
      </c>
      <c r="O254" s="19">
        <v>0.0</v>
      </c>
      <c r="P254" s="19">
        <v>0.0</v>
      </c>
      <c r="Q254" s="19">
        <v>0.0</v>
      </c>
      <c r="R254" s="19">
        <v>0.0</v>
      </c>
      <c r="S254" s="19">
        <v>0.0</v>
      </c>
      <c r="T254" s="19">
        <v>0.0</v>
      </c>
      <c r="U254" s="19">
        <v>0.0</v>
      </c>
      <c r="V254" s="19">
        <v>0.0</v>
      </c>
      <c r="W254" s="19">
        <v>0.0</v>
      </c>
      <c r="X254" s="19">
        <v>0.0</v>
      </c>
      <c r="Y254" s="13">
        <f t="shared" si="48"/>
        <v>0</v>
      </c>
    </row>
    <row r="255" ht="12.75" customHeight="1">
      <c r="A255" s="18"/>
      <c r="B255" s="55">
        <v>6.0</v>
      </c>
      <c r="C255" s="67" t="s">
        <v>189</v>
      </c>
      <c r="D255" s="60"/>
      <c r="E255" s="19">
        <v>0.0</v>
      </c>
      <c r="F255" s="19">
        <v>0.0</v>
      </c>
      <c r="G255" s="19">
        <v>0.0</v>
      </c>
      <c r="H255" s="19">
        <v>0.0</v>
      </c>
      <c r="I255" s="19">
        <v>0.0</v>
      </c>
      <c r="J255" s="19">
        <v>0.0</v>
      </c>
      <c r="K255" s="19">
        <v>0.0</v>
      </c>
      <c r="L255" s="19">
        <v>0.0</v>
      </c>
      <c r="M255" s="19">
        <v>0.0</v>
      </c>
      <c r="N255" s="19">
        <v>0.0</v>
      </c>
      <c r="O255" s="19">
        <v>0.0</v>
      </c>
      <c r="P255" s="19">
        <v>0.0</v>
      </c>
      <c r="Q255" s="19">
        <v>0.0</v>
      </c>
      <c r="R255" s="19">
        <v>0.0</v>
      </c>
      <c r="S255" s="19">
        <v>0.0</v>
      </c>
      <c r="T255" s="19">
        <v>0.0</v>
      </c>
      <c r="U255" s="19">
        <v>0.0</v>
      </c>
      <c r="V255" s="19">
        <v>0.0</v>
      </c>
      <c r="W255" s="19">
        <v>0.0</v>
      </c>
      <c r="X255" s="19">
        <v>0.0</v>
      </c>
      <c r="Y255" s="13">
        <f t="shared" si="48"/>
        <v>0</v>
      </c>
    </row>
    <row r="256" ht="12.75" customHeight="1">
      <c r="A256" s="18"/>
      <c r="B256" s="56"/>
      <c r="C256" s="68"/>
      <c r="D256" s="62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3">
        <f t="shared" si="48"/>
        <v>0</v>
      </c>
    </row>
    <row r="257" ht="12.75" customHeight="1">
      <c r="A257" s="18"/>
      <c r="B257" s="56"/>
      <c r="C257" s="68"/>
      <c r="D257" s="62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3">
        <f t="shared" si="48"/>
        <v>0</v>
      </c>
    </row>
    <row r="258" ht="12.75" customHeight="1">
      <c r="A258" s="18"/>
      <c r="B258" s="56"/>
      <c r="C258" s="68"/>
      <c r="D258" s="62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3">
        <f t="shared" si="48"/>
        <v>0</v>
      </c>
    </row>
    <row r="259" ht="12.75" customHeight="1">
      <c r="A259" s="19" t="s">
        <v>15</v>
      </c>
      <c r="B259" s="47" t="s">
        <v>47</v>
      </c>
      <c r="C259" s="15"/>
      <c r="D259" s="16"/>
      <c r="E259" s="13">
        <f t="shared" ref="E259:Y259" si="49">SUM(E249:E258)</f>
        <v>0</v>
      </c>
      <c r="F259" s="13">
        <f t="shared" si="49"/>
        <v>0</v>
      </c>
      <c r="G259" s="13">
        <f t="shared" si="49"/>
        <v>0</v>
      </c>
      <c r="H259" s="13">
        <f t="shared" si="49"/>
        <v>0</v>
      </c>
      <c r="I259" s="13">
        <f t="shared" si="49"/>
        <v>0</v>
      </c>
      <c r="J259" s="13">
        <f t="shared" si="49"/>
        <v>1</v>
      </c>
      <c r="K259" s="13">
        <f t="shared" si="49"/>
        <v>0</v>
      </c>
      <c r="L259" s="13">
        <f t="shared" si="49"/>
        <v>0</v>
      </c>
      <c r="M259" s="13">
        <f t="shared" si="49"/>
        <v>0</v>
      </c>
      <c r="N259" s="13">
        <f t="shared" si="49"/>
        <v>0</v>
      </c>
      <c r="O259" s="13">
        <f t="shared" si="49"/>
        <v>1</v>
      </c>
      <c r="P259" s="13">
        <f t="shared" si="49"/>
        <v>0</v>
      </c>
      <c r="Q259" s="13">
        <f t="shared" si="49"/>
        <v>0</v>
      </c>
      <c r="R259" s="13">
        <f t="shared" si="49"/>
        <v>2</v>
      </c>
      <c r="S259" s="13">
        <f t="shared" si="49"/>
        <v>0</v>
      </c>
      <c r="T259" s="13">
        <f t="shared" si="49"/>
        <v>0</v>
      </c>
      <c r="U259" s="13">
        <f t="shared" si="49"/>
        <v>0</v>
      </c>
      <c r="V259" s="13">
        <f t="shared" si="49"/>
        <v>0</v>
      </c>
      <c r="W259" s="13">
        <f t="shared" si="49"/>
        <v>0</v>
      </c>
      <c r="X259" s="13">
        <f t="shared" si="49"/>
        <v>0</v>
      </c>
      <c r="Y259" s="13">
        <f t="shared" si="49"/>
        <v>4</v>
      </c>
    </row>
    <row r="260" ht="12.75" customHeight="1"/>
    <row r="261" ht="12.75" customHeight="1">
      <c r="A261" s="42" t="s">
        <v>190</v>
      </c>
      <c r="B261" s="14" t="s">
        <v>191</v>
      </c>
      <c r="C261" s="15"/>
      <c r="D261" s="16"/>
      <c r="E261" s="13"/>
      <c r="F261" s="13"/>
      <c r="G261" s="13"/>
      <c r="H261" s="13"/>
      <c r="I261" s="13"/>
      <c r="J261" s="13"/>
      <c r="K261" s="13"/>
      <c r="L261" s="13"/>
      <c r="M261" s="13"/>
      <c r="N261" s="78"/>
      <c r="O261" s="78"/>
      <c r="P261" s="78"/>
      <c r="Q261" s="78"/>
      <c r="R261" s="78"/>
      <c r="S261" s="78"/>
      <c r="T261" s="78"/>
      <c r="U261" s="78"/>
      <c r="V261" s="78"/>
      <c r="W261" s="78"/>
      <c r="X261" s="78"/>
      <c r="Y261" s="13"/>
    </row>
    <row r="262" ht="12.75" customHeight="1">
      <c r="A262" s="42"/>
      <c r="B262" s="71" t="s">
        <v>192</v>
      </c>
      <c r="C262" s="72" t="s">
        <v>193</v>
      </c>
      <c r="D262" s="16"/>
      <c r="E262" s="19">
        <f t="shared" ref="E262:X262" si="50">E55+E67+E79+E91+E103+E115+E127+E139+E151+E163+E175+E187+E199+E211+E223+E235+E247+E259</f>
        <v>194</v>
      </c>
      <c r="F262" s="19">
        <f t="shared" si="50"/>
        <v>206</v>
      </c>
      <c r="G262" s="19">
        <f t="shared" si="50"/>
        <v>216</v>
      </c>
      <c r="H262" s="19">
        <f t="shared" si="50"/>
        <v>239</v>
      </c>
      <c r="I262" s="19">
        <f t="shared" si="50"/>
        <v>249</v>
      </c>
      <c r="J262" s="19">
        <f t="shared" si="50"/>
        <v>221</v>
      </c>
      <c r="K262" s="19">
        <f t="shared" si="50"/>
        <v>208</v>
      </c>
      <c r="L262" s="19">
        <f t="shared" si="50"/>
        <v>177</v>
      </c>
      <c r="M262" s="19">
        <f t="shared" si="50"/>
        <v>185</v>
      </c>
      <c r="N262" s="19">
        <f t="shared" si="50"/>
        <v>237</v>
      </c>
      <c r="O262" s="19">
        <f t="shared" si="50"/>
        <v>221</v>
      </c>
      <c r="P262" s="19">
        <f t="shared" si="50"/>
        <v>218</v>
      </c>
      <c r="Q262" s="19">
        <f t="shared" si="50"/>
        <v>237</v>
      </c>
      <c r="R262" s="19">
        <f t="shared" si="50"/>
        <v>223</v>
      </c>
      <c r="S262" s="19">
        <f t="shared" si="50"/>
        <v>232</v>
      </c>
      <c r="T262" s="19">
        <f t="shared" si="50"/>
        <v>227</v>
      </c>
      <c r="U262" s="19">
        <f t="shared" si="50"/>
        <v>239</v>
      </c>
      <c r="V262" s="19">
        <f t="shared" si="50"/>
        <v>214</v>
      </c>
      <c r="W262" s="19">
        <f t="shared" si="50"/>
        <v>253</v>
      </c>
      <c r="X262" s="19">
        <f t="shared" si="50"/>
        <v>200</v>
      </c>
      <c r="Y262" s="13">
        <f t="shared" ref="Y262:Y264" si="51">SUM(E262:X262)</f>
        <v>4396</v>
      </c>
    </row>
    <row r="263" ht="12.75" customHeight="1">
      <c r="A263" s="35"/>
      <c r="B263" s="71" t="s">
        <v>194</v>
      </c>
      <c r="C263" s="72" t="s">
        <v>195</v>
      </c>
      <c r="D263" s="16"/>
      <c r="E263" s="19">
        <v>4.0</v>
      </c>
      <c r="F263" s="19">
        <v>3.0</v>
      </c>
      <c r="G263" s="19">
        <v>6.0</v>
      </c>
      <c r="H263" s="19">
        <v>11.0</v>
      </c>
      <c r="I263" s="19">
        <v>2.0</v>
      </c>
      <c r="J263" s="19">
        <v>6.0</v>
      </c>
      <c r="K263" s="19">
        <v>11.0</v>
      </c>
      <c r="L263" s="19">
        <v>1.0</v>
      </c>
      <c r="M263" s="19">
        <v>2.0</v>
      </c>
      <c r="N263" s="19">
        <v>7.0</v>
      </c>
      <c r="O263" s="19">
        <v>15.0</v>
      </c>
      <c r="P263" s="19">
        <v>9.0</v>
      </c>
      <c r="Q263" s="19">
        <v>1.0</v>
      </c>
      <c r="R263" s="19">
        <v>9.0</v>
      </c>
      <c r="S263" s="19">
        <v>7.0</v>
      </c>
      <c r="T263" s="19">
        <v>3.0</v>
      </c>
      <c r="U263" s="19">
        <v>2.0</v>
      </c>
      <c r="V263" s="19">
        <v>3.0</v>
      </c>
      <c r="W263" s="19">
        <v>8.0</v>
      </c>
      <c r="X263" s="19">
        <v>0.0</v>
      </c>
      <c r="Y263" s="13">
        <f t="shared" si="51"/>
        <v>110</v>
      </c>
    </row>
    <row r="264" ht="12.75" customHeight="1">
      <c r="A264" s="41"/>
      <c r="B264" s="71" t="s">
        <v>196</v>
      </c>
      <c r="C264" s="72" t="s">
        <v>197</v>
      </c>
      <c r="D264" s="16"/>
      <c r="E264" s="13">
        <f t="shared" ref="E264:X264" si="52">SUM(E262:E263)</f>
        <v>198</v>
      </c>
      <c r="F264" s="13">
        <f t="shared" si="52"/>
        <v>209</v>
      </c>
      <c r="G264" s="13">
        <f t="shared" si="52"/>
        <v>222</v>
      </c>
      <c r="H264" s="13">
        <f t="shared" si="52"/>
        <v>250</v>
      </c>
      <c r="I264" s="13">
        <f t="shared" si="52"/>
        <v>251</v>
      </c>
      <c r="J264" s="13">
        <f t="shared" si="52"/>
        <v>227</v>
      </c>
      <c r="K264" s="13">
        <f t="shared" si="52"/>
        <v>219</v>
      </c>
      <c r="L264" s="13">
        <f t="shared" si="52"/>
        <v>178</v>
      </c>
      <c r="M264" s="13">
        <f t="shared" si="52"/>
        <v>187</v>
      </c>
      <c r="N264" s="13">
        <f t="shared" si="52"/>
        <v>244</v>
      </c>
      <c r="O264" s="13">
        <f t="shared" si="52"/>
        <v>236</v>
      </c>
      <c r="P264" s="13">
        <f t="shared" si="52"/>
        <v>227</v>
      </c>
      <c r="Q264" s="13">
        <f t="shared" si="52"/>
        <v>238</v>
      </c>
      <c r="R264" s="13">
        <f t="shared" si="52"/>
        <v>232</v>
      </c>
      <c r="S264" s="13">
        <f t="shared" si="52"/>
        <v>239</v>
      </c>
      <c r="T264" s="13">
        <f t="shared" si="52"/>
        <v>230</v>
      </c>
      <c r="U264" s="13">
        <f t="shared" si="52"/>
        <v>241</v>
      </c>
      <c r="V264" s="13">
        <f t="shared" si="52"/>
        <v>217</v>
      </c>
      <c r="W264" s="13">
        <f t="shared" si="52"/>
        <v>261</v>
      </c>
      <c r="X264" s="13">
        <f t="shared" si="52"/>
        <v>200</v>
      </c>
      <c r="Y264" s="13">
        <f t="shared" si="51"/>
        <v>4506</v>
      </c>
    </row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93">
    <mergeCell ref="B55:D55"/>
    <mergeCell ref="A56:E56"/>
    <mergeCell ref="C57:D57"/>
    <mergeCell ref="B67:D67"/>
    <mergeCell ref="A68:E68"/>
    <mergeCell ref="C69:D69"/>
    <mergeCell ref="B79:D79"/>
    <mergeCell ref="A80:E80"/>
    <mergeCell ref="C81:D81"/>
    <mergeCell ref="B91:D91"/>
    <mergeCell ref="A92:E92"/>
    <mergeCell ref="C93:D93"/>
    <mergeCell ref="B103:D103"/>
    <mergeCell ref="A104:E104"/>
    <mergeCell ref="B127:D127"/>
    <mergeCell ref="A128:E128"/>
    <mergeCell ref="C129:D129"/>
    <mergeCell ref="B139:D139"/>
    <mergeCell ref="A140:E140"/>
    <mergeCell ref="C141:D141"/>
    <mergeCell ref="B151:D151"/>
    <mergeCell ref="A152:E152"/>
    <mergeCell ref="C153:D153"/>
    <mergeCell ref="B163:D163"/>
    <mergeCell ref="A164:E164"/>
    <mergeCell ref="C165:D165"/>
    <mergeCell ref="B175:D175"/>
    <mergeCell ref="A176:E176"/>
    <mergeCell ref="C177:D177"/>
    <mergeCell ref="B187:D187"/>
    <mergeCell ref="A188:E188"/>
    <mergeCell ref="C189:D189"/>
    <mergeCell ref="B199:D199"/>
    <mergeCell ref="A200:E200"/>
    <mergeCell ref="C201:D201"/>
    <mergeCell ref="B211:D211"/>
    <mergeCell ref="A212:E212"/>
    <mergeCell ref="C213:D213"/>
    <mergeCell ref="B223:D223"/>
    <mergeCell ref="A224:E224"/>
    <mergeCell ref="C225:D225"/>
    <mergeCell ref="B235:D235"/>
    <mergeCell ref="C262:D262"/>
    <mergeCell ref="C263:D263"/>
    <mergeCell ref="C264:D264"/>
    <mergeCell ref="A236:E236"/>
    <mergeCell ref="C237:D237"/>
    <mergeCell ref="B247:D247"/>
    <mergeCell ref="A248:E248"/>
    <mergeCell ref="C249:D249"/>
    <mergeCell ref="B259:D259"/>
    <mergeCell ref="B261:D261"/>
    <mergeCell ref="B12:D12"/>
    <mergeCell ref="E12:X12"/>
    <mergeCell ref="Y12:Y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B38:D38"/>
    <mergeCell ref="B39:C41"/>
    <mergeCell ref="A42:D42"/>
    <mergeCell ref="E42:I42"/>
    <mergeCell ref="B43:D43"/>
    <mergeCell ref="A44:D44"/>
    <mergeCell ref="C45:D45"/>
    <mergeCell ref="C46:D46"/>
    <mergeCell ref="C47:D47"/>
    <mergeCell ref="C48:D48"/>
    <mergeCell ref="C49:D49"/>
    <mergeCell ref="C50:D50"/>
    <mergeCell ref="C51:D51"/>
    <mergeCell ref="C52:D52"/>
    <mergeCell ref="C105:D105"/>
    <mergeCell ref="B115:D115"/>
    <mergeCell ref="A116:E116"/>
    <mergeCell ref="C117:D117"/>
  </mergeCells>
  <conditionalFormatting sqref="E14:X15">
    <cfRule type="containsBlanks" dxfId="1" priority="1">
      <formula>LEN(TRIM(E14))=0</formula>
    </cfRule>
  </conditionalFormatting>
  <conditionalFormatting sqref="E19:X20">
    <cfRule type="containsBlanks" dxfId="1" priority="2">
      <formula>LEN(TRIM(E19))=0</formula>
    </cfRule>
  </conditionalFormatting>
  <conditionalFormatting sqref="E22:X23 E25:X26 E33:X33 E35:X35 E39:X40">
    <cfRule type="containsBlanks" dxfId="1" priority="3">
      <formula>LEN(TRIM(E22))=0</formula>
    </cfRule>
  </conditionalFormatting>
  <conditionalFormatting sqref="E30:X30">
    <cfRule type="expression" dxfId="0" priority="4">
      <formula>E30&lt;&gt;E47</formula>
    </cfRule>
  </conditionalFormatting>
  <conditionalFormatting sqref="E30:X30">
    <cfRule type="expression" dxfId="0" priority="5">
      <formula>E30&lt;&gt;E34</formula>
    </cfRule>
  </conditionalFormatting>
  <conditionalFormatting sqref="E34:X34">
    <cfRule type="expression" dxfId="2" priority="6">
      <formula>E30&lt;&gt;E34</formula>
    </cfRule>
  </conditionalFormatting>
  <conditionalFormatting sqref="E34:X34">
    <cfRule type="expression" dxfId="3" priority="7">
      <formula>E30=E34</formula>
    </cfRule>
  </conditionalFormatting>
  <conditionalFormatting sqref="E34:X34">
    <cfRule type="expression" dxfId="0" priority="8">
      <formula>E34&lt;&gt;E30</formula>
    </cfRule>
  </conditionalFormatting>
  <conditionalFormatting sqref="E34:X34">
    <cfRule type="expression" dxfId="0" priority="9">
      <formula>E34&lt;&gt;E64</formula>
    </cfRule>
  </conditionalFormatting>
  <conditionalFormatting sqref="E45:X54">
    <cfRule type="containsBlanks" dxfId="1" priority="10">
      <formula>LEN(TRIM(E45))=0</formula>
    </cfRule>
  </conditionalFormatting>
  <conditionalFormatting sqref="E57:X66">
    <cfRule type="containsBlanks" dxfId="1" priority="11">
      <formula>LEN(TRIM(E57))=0</formula>
    </cfRule>
  </conditionalFormatting>
  <conditionalFormatting sqref="E69:X78">
    <cfRule type="containsBlanks" dxfId="1" priority="12">
      <formula>LEN(TRIM(E69))=0</formula>
    </cfRule>
  </conditionalFormatting>
  <conditionalFormatting sqref="E81:X90">
    <cfRule type="containsBlanks" dxfId="1" priority="13">
      <formula>LEN(TRIM(E81))=0</formula>
    </cfRule>
  </conditionalFormatting>
  <conditionalFormatting sqref="E93:X102">
    <cfRule type="containsBlanks" dxfId="1" priority="14">
      <formula>LEN(TRIM(E93))=0</formula>
    </cfRule>
  </conditionalFormatting>
  <conditionalFormatting sqref="E105:X114">
    <cfRule type="containsBlanks" dxfId="1" priority="15">
      <formula>LEN(TRIM(E105))=0</formula>
    </cfRule>
  </conditionalFormatting>
  <conditionalFormatting sqref="E117:X126">
    <cfRule type="containsBlanks" dxfId="1" priority="16">
      <formula>LEN(TRIM(E117))=0</formula>
    </cfRule>
  </conditionalFormatting>
  <conditionalFormatting sqref="E129:X138">
    <cfRule type="containsBlanks" dxfId="1" priority="17">
      <formula>LEN(TRIM(E129))=0</formula>
    </cfRule>
  </conditionalFormatting>
  <conditionalFormatting sqref="E141:X150">
    <cfRule type="containsBlanks" dxfId="1" priority="18">
      <formula>LEN(TRIM(E141))=0</formula>
    </cfRule>
  </conditionalFormatting>
  <conditionalFormatting sqref="E153:X162">
    <cfRule type="containsBlanks" dxfId="1" priority="19">
      <formula>LEN(TRIM(E153))=0</formula>
    </cfRule>
  </conditionalFormatting>
  <conditionalFormatting sqref="E165:X174">
    <cfRule type="containsBlanks" dxfId="1" priority="20">
      <formula>LEN(TRIM(E165))=0</formula>
    </cfRule>
  </conditionalFormatting>
  <conditionalFormatting sqref="E177:X186">
    <cfRule type="containsBlanks" dxfId="1" priority="21">
      <formula>LEN(TRIM(E177))=0</formula>
    </cfRule>
  </conditionalFormatting>
  <conditionalFormatting sqref="E189:X198">
    <cfRule type="containsBlanks" dxfId="1" priority="22">
      <formula>LEN(TRIM(E189))=0</formula>
    </cfRule>
  </conditionalFormatting>
  <conditionalFormatting sqref="E201:X210">
    <cfRule type="containsBlanks" dxfId="1" priority="23">
      <formula>LEN(TRIM(E201))=0</formula>
    </cfRule>
  </conditionalFormatting>
  <conditionalFormatting sqref="E213:X222">
    <cfRule type="containsBlanks" dxfId="1" priority="24">
      <formula>LEN(TRIM(E213))=0</formula>
    </cfRule>
  </conditionalFormatting>
  <conditionalFormatting sqref="E225:X234">
    <cfRule type="containsBlanks" dxfId="1" priority="25">
      <formula>LEN(TRIM(E225))=0</formula>
    </cfRule>
  </conditionalFormatting>
  <conditionalFormatting sqref="E237:X246">
    <cfRule type="containsBlanks" dxfId="1" priority="26">
      <formula>LEN(TRIM(E237))=0</formula>
    </cfRule>
  </conditionalFormatting>
  <conditionalFormatting sqref="E249:X258">
    <cfRule type="containsBlanks" dxfId="1" priority="27">
      <formula>LEN(TRIM(E249))=0</formula>
    </cfRule>
  </conditionalFormatting>
  <conditionalFormatting sqref="E262:X263">
    <cfRule type="containsBlanks" dxfId="1" priority="28">
      <formula>LEN(TRIM(E262))=0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20" width="8.71"/>
    <col customWidth="1" min="21" max="21" width="13.29"/>
    <col customWidth="1" min="22" max="26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198</v>
      </c>
      <c r="D9" s="8" t="s">
        <v>240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75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200</v>
      </c>
      <c r="F13" s="13" t="s">
        <v>201</v>
      </c>
      <c r="G13" s="13" t="s">
        <v>202</v>
      </c>
      <c r="H13" s="13" t="s">
        <v>203</v>
      </c>
      <c r="I13" s="13" t="s">
        <v>204</v>
      </c>
      <c r="J13" s="13" t="s">
        <v>205</v>
      </c>
      <c r="K13" s="13" t="s">
        <v>206</v>
      </c>
      <c r="L13" s="13" t="s">
        <v>207</v>
      </c>
      <c r="M13" s="13" t="s">
        <v>208</v>
      </c>
      <c r="N13" s="13" t="s">
        <v>209</v>
      </c>
      <c r="O13" s="13" t="s">
        <v>210</v>
      </c>
      <c r="P13" s="13" t="s">
        <v>211</v>
      </c>
      <c r="Q13" s="13" t="s">
        <v>212</v>
      </c>
      <c r="R13" s="13" t="s">
        <v>213</v>
      </c>
      <c r="S13" s="13" t="s">
        <v>214</v>
      </c>
      <c r="T13" s="13" t="s">
        <v>215</v>
      </c>
      <c r="U13" s="36"/>
    </row>
    <row r="14" ht="12.75" customHeight="1">
      <c r="A14" s="18"/>
      <c r="B14" s="22" t="s">
        <v>11</v>
      </c>
      <c r="C14" s="23"/>
      <c r="D14" s="19" t="s">
        <v>12</v>
      </c>
      <c r="E14" s="19">
        <v>99.0</v>
      </c>
      <c r="F14" s="19">
        <v>128.0</v>
      </c>
      <c r="G14" s="19">
        <v>131.0</v>
      </c>
      <c r="H14" s="19">
        <v>141.0</v>
      </c>
      <c r="I14" s="19">
        <v>140.0</v>
      </c>
      <c r="J14" s="19">
        <v>136.0</v>
      </c>
      <c r="K14" s="19">
        <v>148.0</v>
      </c>
      <c r="L14" s="19">
        <v>132.0</v>
      </c>
      <c r="M14" s="19">
        <v>136.0</v>
      </c>
      <c r="N14" s="19">
        <v>142.0</v>
      </c>
      <c r="O14" s="19">
        <v>130.0</v>
      </c>
      <c r="P14" s="19">
        <v>139.0</v>
      </c>
      <c r="Q14" s="19">
        <v>123.0</v>
      </c>
      <c r="R14" s="19">
        <v>142.0</v>
      </c>
      <c r="S14" s="19">
        <v>144.0</v>
      </c>
      <c r="T14" s="19">
        <v>138.0</v>
      </c>
      <c r="U14" s="13">
        <f t="shared" ref="U14:U16" si="1">SUM(E14:T14)</f>
        <v>2149</v>
      </c>
    </row>
    <row r="15" ht="12.75" customHeight="1">
      <c r="A15" s="18"/>
      <c r="B15" s="26"/>
      <c r="C15" s="27"/>
      <c r="D15" s="19" t="s">
        <v>13</v>
      </c>
      <c r="E15" s="19">
        <v>114.0</v>
      </c>
      <c r="F15" s="19">
        <v>141.0</v>
      </c>
      <c r="G15" s="19">
        <v>138.0</v>
      </c>
      <c r="H15" s="19">
        <v>135.0</v>
      </c>
      <c r="I15" s="19">
        <v>144.0</v>
      </c>
      <c r="J15" s="19">
        <v>137.0</v>
      </c>
      <c r="K15" s="19">
        <v>135.0</v>
      </c>
      <c r="L15" s="19">
        <v>150.0</v>
      </c>
      <c r="M15" s="19">
        <v>148.0</v>
      </c>
      <c r="N15" s="19">
        <v>138.0</v>
      </c>
      <c r="O15" s="19">
        <v>147.0</v>
      </c>
      <c r="P15" s="19">
        <v>144.0</v>
      </c>
      <c r="Q15" s="19">
        <v>148.0</v>
      </c>
      <c r="R15" s="19">
        <v>146.0</v>
      </c>
      <c r="S15" s="19">
        <v>147.0</v>
      </c>
      <c r="T15" s="19">
        <v>146.0</v>
      </c>
      <c r="U15" s="13">
        <f t="shared" si="1"/>
        <v>2258</v>
      </c>
    </row>
    <row r="16" ht="12.75" customHeight="1">
      <c r="A16" s="25"/>
      <c r="B16" s="21"/>
      <c r="C16" s="28"/>
      <c r="D16" s="13" t="s">
        <v>14</v>
      </c>
      <c r="E16" s="13">
        <f t="shared" ref="E16:T16" si="2">SUM(E14:E15)</f>
        <v>213</v>
      </c>
      <c r="F16" s="13">
        <f t="shared" si="2"/>
        <v>269</v>
      </c>
      <c r="G16" s="13">
        <f t="shared" si="2"/>
        <v>269</v>
      </c>
      <c r="H16" s="13">
        <f t="shared" si="2"/>
        <v>276</v>
      </c>
      <c r="I16" s="13">
        <f t="shared" si="2"/>
        <v>284</v>
      </c>
      <c r="J16" s="13">
        <f t="shared" si="2"/>
        <v>273</v>
      </c>
      <c r="K16" s="13">
        <f t="shared" si="2"/>
        <v>283</v>
      </c>
      <c r="L16" s="13">
        <f t="shared" si="2"/>
        <v>282</v>
      </c>
      <c r="M16" s="13">
        <f t="shared" si="2"/>
        <v>284</v>
      </c>
      <c r="N16" s="13">
        <f t="shared" si="2"/>
        <v>280</v>
      </c>
      <c r="O16" s="13">
        <f t="shared" si="2"/>
        <v>277</v>
      </c>
      <c r="P16" s="13">
        <f t="shared" si="2"/>
        <v>283</v>
      </c>
      <c r="Q16" s="13">
        <f t="shared" si="2"/>
        <v>271</v>
      </c>
      <c r="R16" s="13">
        <f t="shared" si="2"/>
        <v>288</v>
      </c>
      <c r="S16" s="13">
        <f t="shared" si="2"/>
        <v>291</v>
      </c>
      <c r="T16" s="13">
        <f t="shared" si="2"/>
        <v>284</v>
      </c>
      <c r="U16" s="13">
        <f t="shared" si="1"/>
        <v>4407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77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77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19">
        <v>75.0</v>
      </c>
      <c r="F19" s="19">
        <v>109.0</v>
      </c>
      <c r="G19" s="19">
        <v>98.0</v>
      </c>
      <c r="H19" s="19">
        <v>107.0</v>
      </c>
      <c r="I19" s="19">
        <v>104.0</v>
      </c>
      <c r="J19" s="19">
        <v>94.0</v>
      </c>
      <c r="K19" s="19">
        <v>108.0</v>
      </c>
      <c r="L19" s="19">
        <v>98.0</v>
      </c>
      <c r="M19" s="19">
        <v>109.0</v>
      </c>
      <c r="N19" s="19">
        <v>104.0</v>
      </c>
      <c r="O19" s="19">
        <v>107.0</v>
      </c>
      <c r="P19" s="19">
        <v>111.0</v>
      </c>
      <c r="Q19" s="19">
        <v>106.0</v>
      </c>
      <c r="R19" s="19">
        <v>106.0</v>
      </c>
      <c r="S19" s="19">
        <v>105.0</v>
      </c>
      <c r="T19" s="19">
        <v>103.0</v>
      </c>
      <c r="U19" s="13">
        <f t="shared" ref="U19:U30" si="3">SUM(E19:T19)</f>
        <v>1644</v>
      </c>
    </row>
    <row r="20" ht="12.75" customHeight="1">
      <c r="A20" s="33"/>
      <c r="B20" s="27"/>
      <c r="C20" s="34"/>
      <c r="D20" s="19" t="s">
        <v>13</v>
      </c>
      <c r="E20" s="19">
        <v>92.0</v>
      </c>
      <c r="F20" s="19">
        <v>113.0</v>
      </c>
      <c r="G20" s="19">
        <v>107.0</v>
      </c>
      <c r="H20" s="19">
        <v>110.0</v>
      </c>
      <c r="I20" s="19">
        <v>125.0</v>
      </c>
      <c r="J20" s="19">
        <v>98.0</v>
      </c>
      <c r="K20" s="19">
        <v>110.0</v>
      </c>
      <c r="L20" s="19">
        <v>113.0</v>
      </c>
      <c r="M20" s="19">
        <v>123.0</v>
      </c>
      <c r="N20" s="19">
        <v>107.0</v>
      </c>
      <c r="O20" s="19">
        <v>114.0</v>
      </c>
      <c r="P20" s="19">
        <v>110.0</v>
      </c>
      <c r="Q20" s="19">
        <v>126.0</v>
      </c>
      <c r="R20" s="19">
        <v>115.0</v>
      </c>
      <c r="S20" s="19">
        <v>119.0</v>
      </c>
      <c r="T20" s="19">
        <v>112.0</v>
      </c>
      <c r="U20" s="13">
        <f t="shared" si="3"/>
        <v>1794</v>
      </c>
    </row>
    <row r="21" ht="12.75" customHeight="1">
      <c r="A21" s="35"/>
      <c r="B21" s="28"/>
      <c r="C21" s="36"/>
      <c r="D21" s="13" t="s">
        <v>14</v>
      </c>
      <c r="E21" s="13">
        <f t="shared" ref="E21:T21" si="4">SUM(E19:E20)</f>
        <v>167</v>
      </c>
      <c r="F21" s="13">
        <f t="shared" si="4"/>
        <v>222</v>
      </c>
      <c r="G21" s="13">
        <f t="shared" si="4"/>
        <v>205</v>
      </c>
      <c r="H21" s="13">
        <f t="shared" si="4"/>
        <v>217</v>
      </c>
      <c r="I21" s="13">
        <f t="shared" si="4"/>
        <v>229</v>
      </c>
      <c r="J21" s="13">
        <f t="shared" si="4"/>
        <v>192</v>
      </c>
      <c r="K21" s="13">
        <f t="shared" si="4"/>
        <v>218</v>
      </c>
      <c r="L21" s="13">
        <f t="shared" si="4"/>
        <v>211</v>
      </c>
      <c r="M21" s="13">
        <f t="shared" si="4"/>
        <v>232</v>
      </c>
      <c r="N21" s="13">
        <f t="shared" si="4"/>
        <v>211</v>
      </c>
      <c r="O21" s="13">
        <f t="shared" si="4"/>
        <v>221</v>
      </c>
      <c r="P21" s="13">
        <f t="shared" si="4"/>
        <v>221</v>
      </c>
      <c r="Q21" s="13">
        <f t="shared" si="4"/>
        <v>232</v>
      </c>
      <c r="R21" s="13">
        <f t="shared" si="4"/>
        <v>221</v>
      </c>
      <c r="S21" s="13">
        <f t="shared" si="4"/>
        <v>224</v>
      </c>
      <c r="T21" s="13">
        <f t="shared" si="4"/>
        <v>215</v>
      </c>
      <c r="U21" s="13">
        <f t="shared" si="3"/>
        <v>3438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19">
        <v>0.0</v>
      </c>
      <c r="F22" s="19">
        <v>0.0</v>
      </c>
      <c r="G22" s="19">
        <v>0.0</v>
      </c>
      <c r="H22" s="19">
        <v>0.0</v>
      </c>
      <c r="I22" s="19">
        <v>0.0</v>
      </c>
      <c r="J22" s="19">
        <v>0.0</v>
      </c>
      <c r="K22" s="19">
        <v>2.0</v>
      </c>
      <c r="L22" s="19">
        <v>0.0</v>
      </c>
      <c r="M22" s="19">
        <v>0.0</v>
      </c>
      <c r="N22" s="19">
        <v>1.0</v>
      </c>
      <c r="O22" s="19">
        <v>1.0</v>
      </c>
      <c r="P22" s="19">
        <v>0.0</v>
      </c>
      <c r="Q22" s="19">
        <v>0.0</v>
      </c>
      <c r="R22" s="19">
        <v>1.0</v>
      </c>
      <c r="S22" s="19">
        <v>1.0</v>
      </c>
      <c r="T22" s="19">
        <v>0.0</v>
      </c>
      <c r="U22" s="13">
        <f t="shared" si="3"/>
        <v>6</v>
      </c>
    </row>
    <row r="23" ht="12.75" customHeight="1">
      <c r="A23" s="33"/>
      <c r="B23" s="27"/>
      <c r="C23" s="34"/>
      <c r="D23" s="19" t="s">
        <v>13</v>
      </c>
      <c r="E23" s="19">
        <v>0.0</v>
      </c>
      <c r="F23" s="19">
        <v>0.0</v>
      </c>
      <c r="G23" s="19">
        <v>0.0</v>
      </c>
      <c r="H23" s="19">
        <v>0.0</v>
      </c>
      <c r="I23" s="19">
        <v>0.0</v>
      </c>
      <c r="J23" s="19">
        <v>0.0</v>
      </c>
      <c r="K23" s="19">
        <v>0.0</v>
      </c>
      <c r="L23" s="19">
        <v>0.0</v>
      </c>
      <c r="M23" s="19">
        <v>1.0</v>
      </c>
      <c r="N23" s="19">
        <v>0.0</v>
      </c>
      <c r="O23" s="19">
        <v>0.0</v>
      </c>
      <c r="P23" s="19">
        <v>0.0</v>
      </c>
      <c r="Q23" s="19">
        <v>0.0</v>
      </c>
      <c r="R23" s="19">
        <v>1.0</v>
      </c>
      <c r="S23" s="19">
        <v>2.0</v>
      </c>
      <c r="T23" s="19">
        <v>0.0</v>
      </c>
      <c r="U23" s="13">
        <f t="shared" si="3"/>
        <v>4</v>
      </c>
    </row>
    <row r="24" ht="12.75" customHeight="1">
      <c r="A24" s="35"/>
      <c r="B24" s="28"/>
      <c r="C24" s="36"/>
      <c r="D24" s="13" t="s">
        <v>14</v>
      </c>
      <c r="E24" s="13">
        <f t="shared" ref="E24:T24" si="5">SUM(E22:E23)</f>
        <v>0</v>
      </c>
      <c r="F24" s="13">
        <f t="shared" si="5"/>
        <v>0</v>
      </c>
      <c r="G24" s="13">
        <f t="shared" si="5"/>
        <v>0</v>
      </c>
      <c r="H24" s="13">
        <f t="shared" si="5"/>
        <v>0</v>
      </c>
      <c r="I24" s="13">
        <f t="shared" si="5"/>
        <v>0</v>
      </c>
      <c r="J24" s="13">
        <f t="shared" si="5"/>
        <v>0</v>
      </c>
      <c r="K24" s="13">
        <f t="shared" si="5"/>
        <v>2</v>
      </c>
      <c r="L24" s="13">
        <f t="shared" si="5"/>
        <v>0</v>
      </c>
      <c r="M24" s="13">
        <f t="shared" si="5"/>
        <v>1</v>
      </c>
      <c r="N24" s="13">
        <f t="shared" si="5"/>
        <v>1</v>
      </c>
      <c r="O24" s="13">
        <f t="shared" si="5"/>
        <v>1</v>
      </c>
      <c r="P24" s="13">
        <f t="shared" si="5"/>
        <v>0</v>
      </c>
      <c r="Q24" s="13">
        <f t="shared" si="5"/>
        <v>0</v>
      </c>
      <c r="R24" s="13">
        <f t="shared" si="5"/>
        <v>2</v>
      </c>
      <c r="S24" s="13">
        <f t="shared" si="5"/>
        <v>3</v>
      </c>
      <c r="T24" s="13">
        <f t="shared" si="5"/>
        <v>0</v>
      </c>
      <c r="U24" s="13">
        <f t="shared" si="3"/>
        <v>10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19">
        <v>4.0</v>
      </c>
      <c r="F25" s="19">
        <v>0.0</v>
      </c>
      <c r="G25" s="19">
        <v>0.0</v>
      </c>
      <c r="H25" s="19">
        <v>0.0</v>
      </c>
      <c r="I25" s="19">
        <v>0.0</v>
      </c>
      <c r="J25" s="19">
        <v>0.0</v>
      </c>
      <c r="K25" s="19">
        <v>0.0</v>
      </c>
      <c r="L25" s="19">
        <v>0.0</v>
      </c>
      <c r="M25" s="19">
        <v>1.0</v>
      </c>
      <c r="N25" s="19">
        <v>0.0</v>
      </c>
      <c r="O25" s="19">
        <v>5.0</v>
      </c>
      <c r="P25" s="19">
        <v>1.0</v>
      </c>
      <c r="Q25" s="19">
        <v>0.0</v>
      </c>
      <c r="R25" s="19">
        <v>0.0</v>
      </c>
      <c r="S25" s="19">
        <v>0.0</v>
      </c>
      <c r="T25" s="19">
        <v>0.0</v>
      </c>
      <c r="U25" s="13">
        <f t="shared" si="3"/>
        <v>11</v>
      </c>
    </row>
    <row r="26" ht="12.75" customHeight="1">
      <c r="A26" s="33"/>
      <c r="B26" s="27"/>
      <c r="C26" s="34"/>
      <c r="D26" s="19" t="s">
        <v>13</v>
      </c>
      <c r="E26" s="19">
        <v>3.0</v>
      </c>
      <c r="F26" s="19">
        <v>0.0</v>
      </c>
      <c r="G26" s="19">
        <v>0.0</v>
      </c>
      <c r="H26" s="19">
        <v>0.0</v>
      </c>
      <c r="I26" s="19">
        <v>0.0</v>
      </c>
      <c r="J26" s="19">
        <v>0.0</v>
      </c>
      <c r="K26" s="19">
        <v>0.0</v>
      </c>
      <c r="L26" s="19">
        <v>0.0</v>
      </c>
      <c r="M26" s="19">
        <v>3.0</v>
      </c>
      <c r="N26" s="19">
        <v>0.0</v>
      </c>
      <c r="O26" s="19">
        <v>8.0</v>
      </c>
      <c r="P26" s="19">
        <v>0.0</v>
      </c>
      <c r="Q26" s="19">
        <v>0.0</v>
      </c>
      <c r="R26" s="19">
        <v>0.0</v>
      </c>
      <c r="S26" s="19">
        <v>0.0</v>
      </c>
      <c r="T26" s="19">
        <v>0.0</v>
      </c>
      <c r="U26" s="13">
        <f t="shared" si="3"/>
        <v>14</v>
      </c>
    </row>
    <row r="27" ht="12.75" customHeight="1">
      <c r="A27" s="35"/>
      <c r="B27" s="28"/>
      <c r="C27" s="36"/>
      <c r="D27" s="13" t="s">
        <v>14</v>
      </c>
      <c r="E27" s="13">
        <f t="shared" ref="E27:T27" si="6">SUM(E25:E26)</f>
        <v>7</v>
      </c>
      <c r="F27" s="13">
        <f t="shared" si="6"/>
        <v>0</v>
      </c>
      <c r="G27" s="13">
        <f t="shared" si="6"/>
        <v>0</v>
      </c>
      <c r="H27" s="13">
        <f t="shared" si="6"/>
        <v>0</v>
      </c>
      <c r="I27" s="13">
        <f t="shared" si="6"/>
        <v>0</v>
      </c>
      <c r="J27" s="13">
        <f t="shared" si="6"/>
        <v>0</v>
      </c>
      <c r="K27" s="13">
        <f t="shared" si="6"/>
        <v>0</v>
      </c>
      <c r="L27" s="13">
        <f t="shared" si="6"/>
        <v>0</v>
      </c>
      <c r="M27" s="13">
        <f t="shared" si="6"/>
        <v>4</v>
      </c>
      <c r="N27" s="13">
        <f t="shared" si="6"/>
        <v>0</v>
      </c>
      <c r="O27" s="13">
        <f t="shared" si="6"/>
        <v>13</v>
      </c>
      <c r="P27" s="13">
        <f t="shared" si="6"/>
        <v>1</v>
      </c>
      <c r="Q27" s="13">
        <f t="shared" si="6"/>
        <v>0</v>
      </c>
      <c r="R27" s="13">
        <f t="shared" si="6"/>
        <v>0</v>
      </c>
      <c r="S27" s="13">
        <f t="shared" si="6"/>
        <v>0</v>
      </c>
      <c r="T27" s="13">
        <f t="shared" si="6"/>
        <v>0</v>
      </c>
      <c r="U27" s="13">
        <f t="shared" si="3"/>
        <v>25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T28" si="7">SUM(E19,E22,E25)</f>
        <v>79</v>
      </c>
      <c r="F28" s="13">
        <f t="shared" si="7"/>
        <v>109</v>
      </c>
      <c r="G28" s="13">
        <f t="shared" si="7"/>
        <v>98</v>
      </c>
      <c r="H28" s="13">
        <f t="shared" si="7"/>
        <v>107</v>
      </c>
      <c r="I28" s="13">
        <f t="shared" si="7"/>
        <v>104</v>
      </c>
      <c r="J28" s="13">
        <f t="shared" si="7"/>
        <v>94</v>
      </c>
      <c r="K28" s="13">
        <f t="shared" si="7"/>
        <v>110</v>
      </c>
      <c r="L28" s="13">
        <f t="shared" si="7"/>
        <v>98</v>
      </c>
      <c r="M28" s="13">
        <f t="shared" si="7"/>
        <v>110</v>
      </c>
      <c r="N28" s="13">
        <f t="shared" si="7"/>
        <v>105</v>
      </c>
      <c r="O28" s="13">
        <f t="shared" si="7"/>
        <v>113</v>
      </c>
      <c r="P28" s="13">
        <f t="shared" si="7"/>
        <v>112</v>
      </c>
      <c r="Q28" s="13">
        <f t="shared" si="7"/>
        <v>106</v>
      </c>
      <c r="R28" s="13">
        <f t="shared" si="7"/>
        <v>107</v>
      </c>
      <c r="S28" s="13">
        <f t="shared" si="7"/>
        <v>106</v>
      </c>
      <c r="T28" s="13">
        <f t="shared" si="7"/>
        <v>103</v>
      </c>
      <c r="U28" s="13">
        <f t="shared" si="3"/>
        <v>1661</v>
      </c>
    </row>
    <row r="29" ht="12.75" customHeight="1">
      <c r="A29" s="35"/>
      <c r="B29" s="27"/>
      <c r="C29" s="34"/>
      <c r="D29" s="13" t="s">
        <v>13</v>
      </c>
      <c r="E29" s="13">
        <f t="shared" ref="E29:T29" si="8">SUM(E20,E23,E26)</f>
        <v>95</v>
      </c>
      <c r="F29" s="13">
        <f t="shared" si="8"/>
        <v>113</v>
      </c>
      <c r="G29" s="13">
        <f t="shared" si="8"/>
        <v>107</v>
      </c>
      <c r="H29" s="13">
        <f t="shared" si="8"/>
        <v>110</v>
      </c>
      <c r="I29" s="13">
        <f t="shared" si="8"/>
        <v>125</v>
      </c>
      <c r="J29" s="13">
        <f t="shared" si="8"/>
        <v>98</v>
      </c>
      <c r="K29" s="13">
        <f t="shared" si="8"/>
        <v>110</v>
      </c>
      <c r="L29" s="13">
        <f t="shared" si="8"/>
        <v>113</v>
      </c>
      <c r="M29" s="13">
        <f t="shared" si="8"/>
        <v>127</v>
      </c>
      <c r="N29" s="13">
        <f t="shared" si="8"/>
        <v>107</v>
      </c>
      <c r="O29" s="13">
        <f t="shared" si="8"/>
        <v>122</v>
      </c>
      <c r="P29" s="13">
        <f t="shared" si="8"/>
        <v>110</v>
      </c>
      <c r="Q29" s="13">
        <f t="shared" si="8"/>
        <v>126</v>
      </c>
      <c r="R29" s="13">
        <f t="shared" si="8"/>
        <v>116</v>
      </c>
      <c r="S29" s="13">
        <f t="shared" si="8"/>
        <v>121</v>
      </c>
      <c r="T29" s="13">
        <f t="shared" si="8"/>
        <v>112</v>
      </c>
      <c r="U29" s="13">
        <f t="shared" si="3"/>
        <v>1812</v>
      </c>
    </row>
    <row r="30" ht="12.75" customHeight="1">
      <c r="A30" s="35"/>
      <c r="B30" s="28"/>
      <c r="C30" s="36"/>
      <c r="D30" s="13" t="s">
        <v>14</v>
      </c>
      <c r="E30" s="13">
        <f t="shared" ref="E30:T30" si="9">SUM(E28:E29)</f>
        <v>174</v>
      </c>
      <c r="F30" s="13">
        <f t="shared" si="9"/>
        <v>222</v>
      </c>
      <c r="G30" s="13">
        <f t="shared" si="9"/>
        <v>205</v>
      </c>
      <c r="H30" s="13">
        <f t="shared" si="9"/>
        <v>217</v>
      </c>
      <c r="I30" s="13">
        <f t="shared" si="9"/>
        <v>229</v>
      </c>
      <c r="J30" s="13">
        <f t="shared" si="9"/>
        <v>192</v>
      </c>
      <c r="K30" s="13">
        <f t="shared" si="9"/>
        <v>220</v>
      </c>
      <c r="L30" s="13">
        <f t="shared" si="9"/>
        <v>211</v>
      </c>
      <c r="M30" s="13">
        <f t="shared" si="9"/>
        <v>237</v>
      </c>
      <c r="N30" s="13">
        <f t="shared" si="9"/>
        <v>212</v>
      </c>
      <c r="O30" s="13">
        <f t="shared" si="9"/>
        <v>235</v>
      </c>
      <c r="P30" s="13">
        <f t="shared" si="9"/>
        <v>222</v>
      </c>
      <c r="Q30" s="13">
        <f t="shared" si="9"/>
        <v>232</v>
      </c>
      <c r="R30" s="13">
        <f t="shared" si="9"/>
        <v>223</v>
      </c>
      <c r="S30" s="13">
        <f t="shared" si="9"/>
        <v>227</v>
      </c>
      <c r="T30" s="13">
        <f t="shared" si="9"/>
        <v>215</v>
      </c>
      <c r="U30" s="13">
        <f t="shared" si="3"/>
        <v>3473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77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77"/>
    </row>
    <row r="33" ht="12.75" customHeight="1">
      <c r="A33" s="19">
        <v>1.0</v>
      </c>
      <c r="B33" s="20" t="s">
        <v>27</v>
      </c>
      <c r="C33" s="15"/>
      <c r="D33" s="16"/>
      <c r="E33" s="19">
        <v>218.0</v>
      </c>
      <c r="F33" s="19">
        <v>275.0</v>
      </c>
      <c r="G33" s="19">
        <v>275.0</v>
      </c>
      <c r="H33" s="19">
        <v>282.0</v>
      </c>
      <c r="I33" s="19">
        <v>290.0</v>
      </c>
      <c r="J33" s="19">
        <v>279.0</v>
      </c>
      <c r="K33" s="19">
        <v>289.0</v>
      </c>
      <c r="L33" s="19">
        <v>288.0</v>
      </c>
      <c r="M33" s="19">
        <v>290.0</v>
      </c>
      <c r="N33" s="19">
        <v>286.0</v>
      </c>
      <c r="O33" s="19">
        <v>283.0</v>
      </c>
      <c r="P33" s="19">
        <v>289.0</v>
      </c>
      <c r="Q33" s="19">
        <v>278.0</v>
      </c>
      <c r="R33" s="19">
        <v>294.0</v>
      </c>
      <c r="S33" s="19">
        <v>297.0</v>
      </c>
      <c r="T33" s="19">
        <v>290.0</v>
      </c>
      <c r="U33" s="13">
        <f t="shared" ref="U33:U36" si="10">SUM(E33:T33)</f>
        <v>4503</v>
      </c>
    </row>
    <row r="34" ht="12.75" customHeight="1">
      <c r="A34" s="19">
        <v>2.0</v>
      </c>
      <c r="B34" s="20" t="s">
        <v>28</v>
      </c>
      <c r="C34" s="15"/>
      <c r="D34" s="16"/>
      <c r="E34" s="13">
        <v>174.0</v>
      </c>
      <c r="F34" s="13">
        <v>222.0</v>
      </c>
      <c r="G34" s="13">
        <v>205.0</v>
      </c>
      <c r="H34" s="13">
        <v>217.0</v>
      </c>
      <c r="I34" s="13">
        <v>229.0</v>
      </c>
      <c r="J34" s="13">
        <v>192.0</v>
      </c>
      <c r="K34" s="13">
        <v>220.0</v>
      </c>
      <c r="L34" s="13">
        <v>211.0</v>
      </c>
      <c r="M34" s="13">
        <v>237.0</v>
      </c>
      <c r="N34" s="13">
        <v>212.0</v>
      </c>
      <c r="O34" s="13">
        <v>235.0</v>
      </c>
      <c r="P34" s="13">
        <v>222.0</v>
      </c>
      <c r="Q34" s="13">
        <v>232.0</v>
      </c>
      <c r="R34" s="13">
        <v>223.0</v>
      </c>
      <c r="S34" s="13">
        <v>227.0</v>
      </c>
      <c r="T34" s="13">
        <v>215.0</v>
      </c>
      <c r="U34" s="13">
        <f t="shared" si="10"/>
        <v>3473</v>
      </c>
    </row>
    <row r="35" ht="12.75" customHeight="1">
      <c r="A35" s="19">
        <v>3.0</v>
      </c>
      <c r="B35" s="20" t="s">
        <v>29</v>
      </c>
      <c r="C35" s="15"/>
      <c r="D35" s="16"/>
      <c r="E35" s="19">
        <v>0.0</v>
      </c>
      <c r="F35" s="19">
        <v>5.0</v>
      </c>
      <c r="G35" s="19">
        <v>0.0</v>
      </c>
      <c r="H35" s="19">
        <v>0.0</v>
      </c>
      <c r="I35" s="19">
        <v>0.0</v>
      </c>
      <c r="J35" s="19">
        <v>0.0</v>
      </c>
      <c r="K35" s="19">
        <v>0.0</v>
      </c>
      <c r="L35" s="19">
        <v>3.0</v>
      </c>
      <c r="M35" s="19">
        <v>0.0</v>
      </c>
      <c r="N35" s="19">
        <v>1.0</v>
      </c>
      <c r="O35" s="19">
        <v>1.0</v>
      </c>
      <c r="P35" s="19">
        <v>2.0</v>
      </c>
      <c r="Q35" s="19">
        <v>0.0</v>
      </c>
      <c r="R35" s="19">
        <v>0.0</v>
      </c>
      <c r="S35" s="19">
        <v>0.0</v>
      </c>
      <c r="T35" s="19">
        <v>0.0</v>
      </c>
      <c r="U35" s="13">
        <f t="shared" si="10"/>
        <v>12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T36" si="11">E33-(E34+E35)</f>
        <v>44</v>
      </c>
      <c r="F36" s="13">
        <f t="shared" si="11"/>
        <v>48</v>
      </c>
      <c r="G36" s="13">
        <f t="shared" si="11"/>
        <v>70</v>
      </c>
      <c r="H36" s="13">
        <f t="shared" si="11"/>
        <v>65</v>
      </c>
      <c r="I36" s="13">
        <f t="shared" si="11"/>
        <v>61</v>
      </c>
      <c r="J36" s="13">
        <f t="shared" si="11"/>
        <v>87</v>
      </c>
      <c r="K36" s="13">
        <f t="shared" si="11"/>
        <v>69</v>
      </c>
      <c r="L36" s="13">
        <f t="shared" si="11"/>
        <v>74</v>
      </c>
      <c r="M36" s="13">
        <f t="shared" si="11"/>
        <v>53</v>
      </c>
      <c r="N36" s="13">
        <f t="shared" si="11"/>
        <v>73</v>
      </c>
      <c r="O36" s="13">
        <f t="shared" si="11"/>
        <v>47</v>
      </c>
      <c r="P36" s="13">
        <f t="shared" si="11"/>
        <v>65</v>
      </c>
      <c r="Q36" s="13">
        <f t="shared" si="11"/>
        <v>46</v>
      </c>
      <c r="R36" s="13">
        <f t="shared" si="11"/>
        <v>71</v>
      </c>
      <c r="S36" s="13">
        <f t="shared" si="11"/>
        <v>70</v>
      </c>
      <c r="T36" s="13">
        <f t="shared" si="11"/>
        <v>75</v>
      </c>
      <c r="U36" s="13">
        <f t="shared" si="10"/>
        <v>1018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5"/>
      <c r="J37" s="15"/>
      <c r="K37" s="15"/>
      <c r="L37" s="15"/>
      <c r="M37" s="15"/>
      <c r="N37" s="15"/>
      <c r="O37" s="16"/>
      <c r="P37" s="19"/>
      <c r="Q37" s="19"/>
      <c r="R37" s="19"/>
      <c r="S37" s="19"/>
      <c r="T37" s="19"/>
      <c r="U37" s="77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77"/>
    </row>
    <row r="39" ht="12.75" customHeight="1">
      <c r="A39" s="30"/>
      <c r="B39" s="43" t="s">
        <v>33</v>
      </c>
      <c r="C39" s="23"/>
      <c r="D39" s="19" t="s">
        <v>12</v>
      </c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3">
        <f t="shared" ref="U39:U41" si="12">SUM(E39:T39)</f>
        <v>0</v>
      </c>
    </row>
    <row r="40" ht="12.75" customHeight="1">
      <c r="A40" s="33"/>
      <c r="C40" s="27"/>
      <c r="D40" s="19" t="s">
        <v>13</v>
      </c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3">
        <f t="shared" si="12"/>
        <v>0</v>
      </c>
    </row>
    <row r="41" ht="12.75" customHeight="1">
      <c r="A41" s="41"/>
      <c r="B41" s="44"/>
      <c r="C41" s="28"/>
      <c r="D41" s="13" t="s">
        <v>14</v>
      </c>
      <c r="E41" s="13">
        <f t="shared" ref="E41:T41" si="13">SUM(E39:E40)</f>
        <v>0</v>
      </c>
      <c r="F41" s="13">
        <f t="shared" si="13"/>
        <v>0</v>
      </c>
      <c r="G41" s="13">
        <f t="shared" si="13"/>
        <v>0</v>
      </c>
      <c r="H41" s="13">
        <f t="shared" si="13"/>
        <v>0</v>
      </c>
      <c r="I41" s="13">
        <f t="shared" si="13"/>
        <v>0</v>
      </c>
      <c r="J41" s="13">
        <f t="shared" si="13"/>
        <v>0</v>
      </c>
      <c r="K41" s="13">
        <f t="shared" si="13"/>
        <v>0</v>
      </c>
      <c r="L41" s="13">
        <f t="shared" si="13"/>
        <v>0</v>
      </c>
      <c r="M41" s="13">
        <f t="shared" si="13"/>
        <v>0</v>
      </c>
      <c r="N41" s="13">
        <f t="shared" si="13"/>
        <v>0</v>
      </c>
      <c r="O41" s="13">
        <f t="shared" si="13"/>
        <v>0</v>
      </c>
      <c r="P41" s="13">
        <f t="shared" si="13"/>
        <v>0</v>
      </c>
      <c r="Q41" s="13">
        <f t="shared" si="13"/>
        <v>0</v>
      </c>
      <c r="R41" s="13">
        <f t="shared" si="13"/>
        <v>0</v>
      </c>
      <c r="S41" s="13">
        <f t="shared" si="13"/>
        <v>0</v>
      </c>
      <c r="T41" s="13">
        <f t="shared" si="13"/>
        <v>0</v>
      </c>
      <c r="U41" s="13">
        <f t="shared" si="12"/>
        <v>0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5"/>
      <c r="J42" s="15"/>
      <c r="K42" s="15"/>
      <c r="L42" s="15"/>
      <c r="M42" s="15"/>
      <c r="N42" s="15"/>
      <c r="O42" s="16"/>
      <c r="P42" s="19"/>
      <c r="Q42" s="19"/>
      <c r="R42" s="19"/>
      <c r="S42" s="19"/>
      <c r="T42" s="19"/>
      <c r="U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3"/>
    </row>
    <row r="45" ht="12.75" customHeight="1">
      <c r="A45" s="30" t="s">
        <v>37</v>
      </c>
      <c r="B45" s="47" t="s">
        <v>17</v>
      </c>
      <c r="C45" s="48" t="s">
        <v>38</v>
      </c>
      <c r="D45" s="16"/>
      <c r="E45" s="19">
        <v>8.0</v>
      </c>
      <c r="F45" s="19">
        <v>5.0</v>
      </c>
      <c r="G45" s="19">
        <v>5.0</v>
      </c>
      <c r="H45" s="19">
        <v>8.0</v>
      </c>
      <c r="I45" s="19">
        <v>10.0</v>
      </c>
      <c r="J45" s="19">
        <v>6.0</v>
      </c>
      <c r="K45" s="19">
        <v>9.0</v>
      </c>
      <c r="L45" s="19">
        <v>7.0</v>
      </c>
      <c r="M45" s="19">
        <v>6.0</v>
      </c>
      <c r="N45" s="19">
        <v>8.0</v>
      </c>
      <c r="O45" s="19">
        <v>9.0</v>
      </c>
      <c r="P45" s="19">
        <v>4.0</v>
      </c>
      <c r="Q45" s="19">
        <v>7.0</v>
      </c>
      <c r="R45" s="19">
        <v>14.0</v>
      </c>
      <c r="S45" s="19">
        <v>12.0</v>
      </c>
      <c r="T45" s="19">
        <v>11.0</v>
      </c>
      <c r="U45" s="13">
        <f t="shared" ref="U45:U54" si="14">SUM(E45:T45)</f>
        <v>129</v>
      </c>
    </row>
    <row r="46" ht="12.75" customHeight="1">
      <c r="A46" s="30" t="s">
        <v>39</v>
      </c>
      <c r="B46" s="49">
        <v>1.0</v>
      </c>
      <c r="C46" s="50" t="s">
        <v>40</v>
      </c>
      <c r="D46" s="16"/>
      <c r="E46" s="19">
        <v>18.0</v>
      </c>
      <c r="F46" s="19">
        <v>6.0</v>
      </c>
      <c r="G46" s="19">
        <v>1.0</v>
      </c>
      <c r="H46" s="19">
        <v>11.0</v>
      </c>
      <c r="I46" s="19">
        <v>14.0</v>
      </c>
      <c r="J46" s="19">
        <v>6.0</v>
      </c>
      <c r="K46" s="19">
        <v>10.0</v>
      </c>
      <c r="L46" s="19">
        <v>10.0</v>
      </c>
      <c r="M46" s="19">
        <v>12.0</v>
      </c>
      <c r="N46" s="19">
        <v>5.0</v>
      </c>
      <c r="O46" s="19">
        <v>10.0</v>
      </c>
      <c r="P46" s="19">
        <v>7.0</v>
      </c>
      <c r="Q46" s="19">
        <v>29.0</v>
      </c>
      <c r="R46" s="19">
        <v>26.0</v>
      </c>
      <c r="S46" s="19">
        <v>39.0</v>
      </c>
      <c r="T46" s="19">
        <v>24.0</v>
      </c>
      <c r="U46" s="13">
        <f t="shared" si="14"/>
        <v>228</v>
      </c>
    </row>
    <row r="47" ht="12.75" customHeight="1">
      <c r="A47" s="18"/>
      <c r="B47" s="55">
        <v>2.0</v>
      </c>
      <c r="C47" s="50" t="s">
        <v>41</v>
      </c>
      <c r="D47" s="16"/>
      <c r="E47" s="19">
        <v>11.0</v>
      </c>
      <c r="F47" s="19">
        <v>9.0</v>
      </c>
      <c r="G47" s="19">
        <v>20.0</v>
      </c>
      <c r="H47" s="19">
        <v>13.0</v>
      </c>
      <c r="I47" s="19">
        <v>18.0</v>
      </c>
      <c r="J47" s="19">
        <v>10.0</v>
      </c>
      <c r="K47" s="19">
        <v>30.0</v>
      </c>
      <c r="L47" s="19">
        <v>23.0</v>
      </c>
      <c r="M47" s="19">
        <v>7.0</v>
      </c>
      <c r="N47" s="19">
        <v>10.0</v>
      </c>
      <c r="O47" s="19">
        <v>3.0</v>
      </c>
      <c r="P47" s="19">
        <v>13.0</v>
      </c>
      <c r="Q47" s="19">
        <v>9.0</v>
      </c>
      <c r="R47" s="19">
        <v>18.0</v>
      </c>
      <c r="S47" s="19">
        <v>14.0</v>
      </c>
      <c r="T47" s="19">
        <v>25.0</v>
      </c>
      <c r="U47" s="13">
        <f t="shared" si="14"/>
        <v>233</v>
      </c>
    </row>
    <row r="48" ht="12.75" customHeight="1">
      <c r="A48" s="18"/>
      <c r="B48" s="55">
        <v>3.0</v>
      </c>
      <c r="C48" s="50" t="s">
        <v>42</v>
      </c>
      <c r="D48" s="16"/>
      <c r="E48" s="19">
        <v>0.0</v>
      </c>
      <c r="F48" s="19">
        <v>0.0</v>
      </c>
      <c r="G48" s="19">
        <v>1.0</v>
      </c>
      <c r="H48" s="19">
        <v>1.0</v>
      </c>
      <c r="I48" s="19">
        <v>5.0</v>
      </c>
      <c r="J48" s="19">
        <v>3.0</v>
      </c>
      <c r="K48" s="19">
        <v>1.0</v>
      </c>
      <c r="L48" s="19">
        <v>0.0</v>
      </c>
      <c r="M48" s="19">
        <v>2.0</v>
      </c>
      <c r="N48" s="19">
        <v>5.0</v>
      </c>
      <c r="O48" s="19">
        <v>1.0</v>
      </c>
      <c r="P48" s="19">
        <v>2.0</v>
      </c>
      <c r="Q48" s="19">
        <v>7.0</v>
      </c>
      <c r="R48" s="19">
        <v>9.0</v>
      </c>
      <c r="S48" s="19">
        <v>2.0</v>
      </c>
      <c r="T48" s="19">
        <v>5.0</v>
      </c>
      <c r="U48" s="13">
        <f t="shared" si="14"/>
        <v>44</v>
      </c>
    </row>
    <row r="49" ht="12.75" customHeight="1">
      <c r="A49" s="18"/>
      <c r="B49" s="55">
        <v>4.0</v>
      </c>
      <c r="C49" s="50" t="s">
        <v>43</v>
      </c>
      <c r="D49" s="16"/>
      <c r="E49" s="19">
        <v>0.0</v>
      </c>
      <c r="F49" s="19">
        <v>0.0</v>
      </c>
      <c r="G49" s="19">
        <v>1.0</v>
      </c>
      <c r="H49" s="19">
        <v>1.0</v>
      </c>
      <c r="I49" s="19">
        <v>1.0</v>
      </c>
      <c r="J49" s="19">
        <v>2.0</v>
      </c>
      <c r="K49" s="19">
        <v>1.0</v>
      </c>
      <c r="L49" s="19">
        <v>0.0</v>
      </c>
      <c r="M49" s="19">
        <v>3.0</v>
      </c>
      <c r="N49" s="19">
        <v>3.0</v>
      </c>
      <c r="O49" s="19">
        <v>0.0</v>
      </c>
      <c r="P49" s="19">
        <v>0.0</v>
      </c>
      <c r="Q49" s="19">
        <v>0.0</v>
      </c>
      <c r="R49" s="19">
        <v>3.0</v>
      </c>
      <c r="S49" s="19">
        <v>3.0</v>
      </c>
      <c r="T49" s="19">
        <v>0.0</v>
      </c>
      <c r="U49" s="13">
        <f t="shared" si="14"/>
        <v>18</v>
      </c>
    </row>
    <row r="50" ht="12.75" customHeight="1">
      <c r="A50" s="18"/>
      <c r="B50" s="55">
        <v>5.0</v>
      </c>
      <c r="C50" s="50" t="s">
        <v>44</v>
      </c>
      <c r="D50" s="16"/>
      <c r="E50" s="19">
        <v>0.0</v>
      </c>
      <c r="F50" s="19">
        <v>0.0</v>
      </c>
      <c r="G50" s="19">
        <v>0.0</v>
      </c>
      <c r="H50" s="19">
        <v>0.0</v>
      </c>
      <c r="I50" s="19">
        <v>1.0</v>
      </c>
      <c r="J50" s="19">
        <v>0.0</v>
      </c>
      <c r="K50" s="19">
        <v>0.0</v>
      </c>
      <c r="L50" s="19">
        <v>0.0</v>
      </c>
      <c r="M50" s="19">
        <v>1.0</v>
      </c>
      <c r="N50" s="19">
        <v>0.0</v>
      </c>
      <c r="O50" s="19">
        <v>0.0</v>
      </c>
      <c r="P50" s="19">
        <v>0.0</v>
      </c>
      <c r="Q50" s="19">
        <v>0.0</v>
      </c>
      <c r="R50" s="19">
        <v>2.0</v>
      </c>
      <c r="S50" s="19">
        <v>0.0</v>
      </c>
      <c r="T50" s="19">
        <v>0.0</v>
      </c>
      <c r="U50" s="13">
        <f t="shared" si="14"/>
        <v>4</v>
      </c>
    </row>
    <row r="51" ht="12.75" customHeight="1">
      <c r="A51" s="18"/>
      <c r="B51" s="55">
        <v>6.0</v>
      </c>
      <c r="C51" s="50" t="s">
        <v>45</v>
      </c>
      <c r="D51" s="16"/>
      <c r="E51" s="19">
        <v>0.0</v>
      </c>
      <c r="F51" s="19">
        <v>0.0</v>
      </c>
      <c r="G51" s="19">
        <v>0.0</v>
      </c>
      <c r="H51" s="19">
        <v>1.0</v>
      </c>
      <c r="I51" s="19">
        <v>0.0</v>
      </c>
      <c r="J51" s="19">
        <v>0.0</v>
      </c>
      <c r="K51" s="19">
        <v>0.0</v>
      </c>
      <c r="L51" s="19">
        <v>0.0</v>
      </c>
      <c r="M51" s="19">
        <v>1.0</v>
      </c>
      <c r="N51" s="19">
        <v>0.0</v>
      </c>
      <c r="O51" s="19">
        <v>0.0</v>
      </c>
      <c r="P51" s="19">
        <v>2.0</v>
      </c>
      <c r="Q51" s="19">
        <v>3.0</v>
      </c>
      <c r="R51" s="19">
        <v>2.0</v>
      </c>
      <c r="S51" s="19">
        <v>0.0</v>
      </c>
      <c r="T51" s="19">
        <v>1.0</v>
      </c>
      <c r="U51" s="13">
        <f t="shared" si="14"/>
        <v>10</v>
      </c>
    </row>
    <row r="52" ht="12.75" customHeight="1">
      <c r="A52" s="18"/>
      <c r="B52" s="55">
        <v>7.0</v>
      </c>
      <c r="C52" s="50" t="s">
        <v>46</v>
      </c>
      <c r="D52" s="16"/>
      <c r="E52" s="19">
        <v>0.0</v>
      </c>
      <c r="F52" s="19">
        <v>3.0</v>
      </c>
      <c r="G52" s="19">
        <v>0.0</v>
      </c>
      <c r="H52" s="19">
        <v>0.0</v>
      </c>
      <c r="I52" s="19">
        <v>0.0</v>
      </c>
      <c r="J52" s="19">
        <v>0.0</v>
      </c>
      <c r="K52" s="19">
        <v>0.0</v>
      </c>
      <c r="L52" s="19">
        <v>0.0</v>
      </c>
      <c r="M52" s="19">
        <v>0.0</v>
      </c>
      <c r="N52" s="19">
        <v>0.0</v>
      </c>
      <c r="O52" s="19">
        <v>0.0</v>
      </c>
      <c r="P52" s="19">
        <v>1.0</v>
      </c>
      <c r="Q52" s="19">
        <v>0.0</v>
      </c>
      <c r="R52" s="19">
        <v>1.0</v>
      </c>
      <c r="S52" s="19">
        <v>0.0</v>
      </c>
      <c r="T52" s="19">
        <v>0.0</v>
      </c>
      <c r="U52" s="13">
        <f t="shared" si="14"/>
        <v>5</v>
      </c>
    </row>
    <row r="53" ht="12.75" customHeight="1">
      <c r="A53" s="18"/>
      <c r="B53" s="56"/>
      <c r="C53" s="57"/>
      <c r="D53" s="57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3">
        <f t="shared" si="14"/>
        <v>0</v>
      </c>
    </row>
    <row r="54" ht="12.75" customHeight="1">
      <c r="A54" s="18"/>
      <c r="B54" s="56"/>
      <c r="C54" s="57"/>
      <c r="D54" s="57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3">
        <f t="shared" si="14"/>
        <v>0</v>
      </c>
    </row>
    <row r="55" ht="12.75" customHeight="1">
      <c r="A55" s="19" t="s">
        <v>15</v>
      </c>
      <c r="B55" s="47" t="s">
        <v>47</v>
      </c>
      <c r="C55" s="15"/>
      <c r="D55" s="16"/>
      <c r="E55" s="13">
        <f t="shared" ref="E55:U55" si="15">SUM(E45:E54)</f>
        <v>37</v>
      </c>
      <c r="F55" s="13">
        <f t="shared" si="15"/>
        <v>23</v>
      </c>
      <c r="G55" s="13">
        <f t="shared" si="15"/>
        <v>28</v>
      </c>
      <c r="H55" s="13">
        <f t="shared" si="15"/>
        <v>35</v>
      </c>
      <c r="I55" s="13">
        <f t="shared" si="15"/>
        <v>49</v>
      </c>
      <c r="J55" s="13">
        <f t="shared" si="15"/>
        <v>27</v>
      </c>
      <c r="K55" s="13">
        <f t="shared" si="15"/>
        <v>51</v>
      </c>
      <c r="L55" s="13">
        <f t="shared" si="15"/>
        <v>40</v>
      </c>
      <c r="M55" s="13">
        <f t="shared" si="15"/>
        <v>32</v>
      </c>
      <c r="N55" s="13">
        <f t="shared" si="15"/>
        <v>31</v>
      </c>
      <c r="O55" s="13">
        <f t="shared" si="15"/>
        <v>23</v>
      </c>
      <c r="P55" s="13">
        <f t="shared" si="15"/>
        <v>29</v>
      </c>
      <c r="Q55" s="13">
        <f t="shared" si="15"/>
        <v>55</v>
      </c>
      <c r="R55" s="13">
        <f t="shared" si="15"/>
        <v>75</v>
      </c>
      <c r="S55" s="13">
        <f t="shared" si="15"/>
        <v>70</v>
      </c>
      <c r="T55" s="13">
        <f t="shared" si="15"/>
        <v>66</v>
      </c>
      <c r="U55" s="13">
        <f t="shared" si="15"/>
        <v>671</v>
      </c>
    </row>
    <row r="56" ht="12.75" customHeight="1">
      <c r="A56" s="45"/>
      <c r="B56" s="44"/>
      <c r="C56" s="44"/>
      <c r="D56" s="44"/>
      <c r="E56" s="44"/>
      <c r="U56" s="13"/>
    </row>
    <row r="57" ht="12.75" customHeight="1">
      <c r="A57" s="30" t="s">
        <v>37</v>
      </c>
      <c r="B57" s="47" t="s">
        <v>19</v>
      </c>
      <c r="C57" s="48" t="s">
        <v>48</v>
      </c>
      <c r="D57" s="16"/>
      <c r="E57" s="19">
        <v>6.0</v>
      </c>
      <c r="F57" s="19">
        <v>10.0</v>
      </c>
      <c r="G57" s="19">
        <v>29.0</v>
      </c>
      <c r="H57" s="19">
        <v>4.0</v>
      </c>
      <c r="I57" s="19">
        <v>11.0</v>
      </c>
      <c r="J57" s="19">
        <v>7.0</v>
      </c>
      <c r="K57" s="19">
        <v>16.0</v>
      </c>
      <c r="L57" s="19">
        <v>22.0</v>
      </c>
      <c r="M57" s="19">
        <v>17.0</v>
      </c>
      <c r="N57" s="19">
        <v>18.0</v>
      </c>
      <c r="O57" s="19">
        <v>11.0</v>
      </c>
      <c r="P57" s="19">
        <v>11.0</v>
      </c>
      <c r="Q57" s="19">
        <v>4.0</v>
      </c>
      <c r="R57" s="19">
        <v>10.0</v>
      </c>
      <c r="S57" s="19">
        <v>8.0</v>
      </c>
      <c r="T57" s="19">
        <v>15.0</v>
      </c>
      <c r="U57" s="13">
        <f t="shared" ref="U57:U66" si="16">SUM(E57:T57)</f>
        <v>199</v>
      </c>
    </row>
    <row r="58" ht="12.75" customHeight="1">
      <c r="A58" s="30" t="s">
        <v>39</v>
      </c>
      <c r="B58" s="55">
        <v>1.0</v>
      </c>
      <c r="C58" s="50" t="s">
        <v>49</v>
      </c>
      <c r="D58" s="59"/>
      <c r="E58" s="19">
        <v>20.0</v>
      </c>
      <c r="F58" s="19">
        <v>75.0</v>
      </c>
      <c r="G58" s="19">
        <v>98.0</v>
      </c>
      <c r="H58" s="19">
        <v>74.0</v>
      </c>
      <c r="I58" s="19">
        <v>58.0</v>
      </c>
      <c r="J58" s="19">
        <v>49.0</v>
      </c>
      <c r="K58" s="19">
        <v>54.0</v>
      </c>
      <c r="L58" s="19">
        <v>53.0</v>
      </c>
      <c r="M58" s="19">
        <v>65.0</v>
      </c>
      <c r="N58" s="19">
        <v>40.0</v>
      </c>
      <c r="O58" s="19">
        <v>48.0</v>
      </c>
      <c r="P58" s="19">
        <v>51.0</v>
      </c>
      <c r="Q58" s="19">
        <v>44.0</v>
      </c>
      <c r="R58" s="19">
        <v>20.0</v>
      </c>
      <c r="S58" s="19">
        <v>47.0</v>
      </c>
      <c r="T58" s="19">
        <v>54.0</v>
      </c>
      <c r="U58" s="13">
        <f t="shared" si="16"/>
        <v>850</v>
      </c>
    </row>
    <row r="59" ht="12.75" customHeight="1">
      <c r="A59" s="18"/>
      <c r="B59" s="55">
        <v>2.0</v>
      </c>
      <c r="C59" s="50" t="s">
        <v>50</v>
      </c>
      <c r="D59" s="59"/>
      <c r="E59" s="19">
        <v>3.0</v>
      </c>
      <c r="F59" s="19">
        <v>4.0</v>
      </c>
      <c r="G59" s="19">
        <v>0.0</v>
      </c>
      <c r="H59" s="19">
        <v>0.0</v>
      </c>
      <c r="I59" s="19">
        <v>1.0</v>
      </c>
      <c r="J59" s="19">
        <v>3.0</v>
      </c>
      <c r="K59" s="19">
        <v>4.0</v>
      </c>
      <c r="L59" s="19">
        <v>3.0</v>
      </c>
      <c r="M59" s="19">
        <v>2.0</v>
      </c>
      <c r="N59" s="19">
        <v>2.0</v>
      </c>
      <c r="O59" s="19">
        <v>3.0</v>
      </c>
      <c r="P59" s="19">
        <v>2.0</v>
      </c>
      <c r="Q59" s="19">
        <v>0.0</v>
      </c>
      <c r="R59" s="19">
        <v>4.0</v>
      </c>
      <c r="S59" s="19">
        <v>5.0</v>
      </c>
      <c r="T59" s="19">
        <v>2.0</v>
      </c>
      <c r="U59" s="13">
        <f t="shared" si="16"/>
        <v>38</v>
      </c>
    </row>
    <row r="60" ht="12.75" customHeight="1">
      <c r="A60" s="18"/>
      <c r="B60" s="55">
        <v>3.0</v>
      </c>
      <c r="C60" s="50" t="s">
        <v>51</v>
      </c>
      <c r="D60" s="59"/>
      <c r="E60" s="19">
        <v>0.0</v>
      </c>
      <c r="F60" s="19">
        <v>0.0</v>
      </c>
      <c r="G60" s="19">
        <v>1.0</v>
      </c>
      <c r="H60" s="19">
        <v>2.0</v>
      </c>
      <c r="I60" s="19">
        <v>0.0</v>
      </c>
      <c r="J60" s="19">
        <v>3.0</v>
      </c>
      <c r="K60" s="19">
        <v>0.0</v>
      </c>
      <c r="L60" s="19">
        <v>2.0</v>
      </c>
      <c r="M60" s="19">
        <v>0.0</v>
      </c>
      <c r="N60" s="19">
        <v>1.0</v>
      </c>
      <c r="O60" s="19">
        <v>0.0</v>
      </c>
      <c r="P60" s="19">
        <v>0.0</v>
      </c>
      <c r="Q60" s="19">
        <v>1.0</v>
      </c>
      <c r="R60" s="19">
        <v>1.0</v>
      </c>
      <c r="S60" s="19">
        <v>0.0</v>
      </c>
      <c r="T60" s="19">
        <v>0.0</v>
      </c>
      <c r="U60" s="13">
        <f t="shared" si="16"/>
        <v>11</v>
      </c>
    </row>
    <row r="61" ht="12.75" customHeight="1">
      <c r="A61" s="18"/>
      <c r="B61" s="55">
        <v>4.0</v>
      </c>
      <c r="C61" s="50" t="s">
        <v>52</v>
      </c>
      <c r="D61" s="59"/>
      <c r="E61" s="19">
        <v>0.0</v>
      </c>
      <c r="F61" s="19">
        <v>3.0</v>
      </c>
      <c r="G61" s="19">
        <v>0.0</v>
      </c>
      <c r="H61" s="19">
        <v>1.0</v>
      </c>
      <c r="I61" s="19">
        <v>0.0</v>
      </c>
      <c r="J61" s="19">
        <v>0.0</v>
      </c>
      <c r="K61" s="19">
        <v>2.0</v>
      </c>
      <c r="L61" s="19">
        <v>0.0</v>
      </c>
      <c r="M61" s="19">
        <v>1.0</v>
      </c>
      <c r="N61" s="19">
        <v>0.0</v>
      </c>
      <c r="O61" s="19">
        <v>0.0</v>
      </c>
      <c r="P61" s="19">
        <v>0.0</v>
      </c>
      <c r="Q61" s="19">
        <v>0.0</v>
      </c>
      <c r="R61" s="19">
        <v>0.0</v>
      </c>
      <c r="S61" s="19">
        <v>0.0</v>
      </c>
      <c r="T61" s="19">
        <v>0.0</v>
      </c>
      <c r="U61" s="13">
        <f t="shared" si="16"/>
        <v>7</v>
      </c>
    </row>
    <row r="62" ht="12.75" customHeight="1">
      <c r="A62" s="18"/>
      <c r="B62" s="55">
        <v>5.0</v>
      </c>
      <c r="C62" s="50" t="s">
        <v>53</v>
      </c>
      <c r="D62" s="59"/>
      <c r="E62" s="19">
        <v>0.0</v>
      </c>
      <c r="F62" s="19">
        <v>0.0</v>
      </c>
      <c r="G62" s="19">
        <v>0.0</v>
      </c>
      <c r="H62" s="19">
        <v>1.0</v>
      </c>
      <c r="I62" s="19">
        <v>1.0</v>
      </c>
      <c r="J62" s="19">
        <v>1.0</v>
      </c>
      <c r="K62" s="19">
        <v>0.0</v>
      </c>
      <c r="L62" s="19">
        <v>1.0</v>
      </c>
      <c r="M62" s="19">
        <v>0.0</v>
      </c>
      <c r="N62" s="19">
        <v>0.0</v>
      </c>
      <c r="O62" s="19">
        <v>2.0</v>
      </c>
      <c r="P62" s="19">
        <v>0.0</v>
      </c>
      <c r="Q62" s="19">
        <v>0.0</v>
      </c>
      <c r="R62" s="19">
        <v>2.0</v>
      </c>
      <c r="S62" s="19">
        <v>0.0</v>
      </c>
      <c r="T62" s="19">
        <v>0.0</v>
      </c>
      <c r="U62" s="13">
        <f t="shared" si="16"/>
        <v>8</v>
      </c>
    </row>
    <row r="63" ht="12.75" customHeight="1">
      <c r="A63" s="18"/>
      <c r="B63" s="55">
        <v>6.0</v>
      </c>
      <c r="C63" s="50" t="s">
        <v>54</v>
      </c>
      <c r="D63" s="60"/>
      <c r="E63" s="19">
        <v>0.0</v>
      </c>
      <c r="F63" s="19">
        <v>1.0</v>
      </c>
      <c r="G63" s="19">
        <v>0.0</v>
      </c>
      <c r="H63" s="19">
        <v>2.0</v>
      </c>
      <c r="I63" s="19">
        <v>2.0</v>
      </c>
      <c r="J63" s="19">
        <v>0.0</v>
      </c>
      <c r="K63" s="19">
        <v>0.0</v>
      </c>
      <c r="L63" s="19">
        <v>0.0</v>
      </c>
      <c r="M63" s="19">
        <v>0.0</v>
      </c>
      <c r="N63" s="19">
        <v>0.0</v>
      </c>
      <c r="O63" s="19">
        <v>0.0</v>
      </c>
      <c r="P63" s="19">
        <v>0.0</v>
      </c>
      <c r="Q63" s="19">
        <v>0.0</v>
      </c>
      <c r="R63" s="19">
        <v>1.0</v>
      </c>
      <c r="S63" s="19">
        <v>0.0</v>
      </c>
      <c r="T63" s="19">
        <v>0.0</v>
      </c>
      <c r="U63" s="13">
        <f t="shared" si="16"/>
        <v>6</v>
      </c>
    </row>
    <row r="64" ht="12.75" customHeight="1">
      <c r="A64" s="18"/>
      <c r="B64" s="55">
        <v>7.0</v>
      </c>
      <c r="C64" s="50" t="s">
        <v>55</v>
      </c>
      <c r="D64" s="59"/>
      <c r="E64" s="19">
        <v>1.0</v>
      </c>
      <c r="F64" s="19">
        <v>0.0</v>
      </c>
      <c r="G64" s="19">
        <v>0.0</v>
      </c>
      <c r="H64" s="19">
        <v>0.0</v>
      </c>
      <c r="I64" s="19">
        <v>0.0</v>
      </c>
      <c r="J64" s="19">
        <v>0.0</v>
      </c>
      <c r="K64" s="19">
        <v>0.0</v>
      </c>
      <c r="L64" s="19">
        <v>1.0</v>
      </c>
      <c r="M64" s="19">
        <v>0.0</v>
      </c>
      <c r="N64" s="19">
        <v>0.0</v>
      </c>
      <c r="O64" s="19">
        <v>0.0</v>
      </c>
      <c r="P64" s="19">
        <v>0.0</v>
      </c>
      <c r="Q64" s="19">
        <v>0.0</v>
      </c>
      <c r="R64" s="19">
        <v>0.0</v>
      </c>
      <c r="S64" s="19">
        <v>0.0</v>
      </c>
      <c r="T64" s="19">
        <v>0.0</v>
      </c>
      <c r="U64" s="13">
        <f t="shared" si="16"/>
        <v>2</v>
      </c>
    </row>
    <row r="65" ht="12.75" customHeight="1">
      <c r="A65" s="18"/>
      <c r="B65" s="56"/>
      <c r="C65" s="57"/>
      <c r="D65" s="61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3">
        <f t="shared" si="16"/>
        <v>0</v>
      </c>
    </row>
    <row r="66" ht="12.75" customHeight="1">
      <c r="A66" s="18"/>
      <c r="B66" s="56"/>
      <c r="C66" s="57"/>
      <c r="D66" s="61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3">
        <f t="shared" si="16"/>
        <v>0</v>
      </c>
    </row>
    <row r="67" ht="12.75" customHeight="1">
      <c r="A67" s="19" t="s">
        <v>15</v>
      </c>
      <c r="B67" s="47" t="s">
        <v>47</v>
      </c>
      <c r="C67" s="15"/>
      <c r="D67" s="16"/>
      <c r="E67" s="13">
        <f t="shared" ref="E67:U67" si="17">SUM(E57:E66)</f>
        <v>30</v>
      </c>
      <c r="F67" s="13">
        <f t="shared" si="17"/>
        <v>93</v>
      </c>
      <c r="G67" s="13">
        <f t="shared" si="17"/>
        <v>128</v>
      </c>
      <c r="H67" s="13">
        <f t="shared" si="17"/>
        <v>84</v>
      </c>
      <c r="I67" s="13">
        <f t="shared" si="17"/>
        <v>73</v>
      </c>
      <c r="J67" s="13">
        <f t="shared" si="17"/>
        <v>63</v>
      </c>
      <c r="K67" s="13">
        <f t="shared" si="17"/>
        <v>76</v>
      </c>
      <c r="L67" s="13">
        <f t="shared" si="17"/>
        <v>82</v>
      </c>
      <c r="M67" s="13">
        <f t="shared" si="17"/>
        <v>85</v>
      </c>
      <c r="N67" s="13">
        <f t="shared" si="17"/>
        <v>61</v>
      </c>
      <c r="O67" s="13">
        <f t="shared" si="17"/>
        <v>64</v>
      </c>
      <c r="P67" s="13">
        <f t="shared" si="17"/>
        <v>64</v>
      </c>
      <c r="Q67" s="13">
        <f t="shared" si="17"/>
        <v>49</v>
      </c>
      <c r="R67" s="13">
        <f t="shared" si="17"/>
        <v>38</v>
      </c>
      <c r="S67" s="13">
        <f t="shared" si="17"/>
        <v>60</v>
      </c>
      <c r="T67" s="13">
        <f t="shared" si="17"/>
        <v>71</v>
      </c>
      <c r="U67" s="13">
        <f t="shared" si="17"/>
        <v>1121</v>
      </c>
    </row>
    <row r="68" ht="12.75" customHeight="1">
      <c r="A68" s="45"/>
      <c r="B68" s="44"/>
      <c r="C68" s="44"/>
      <c r="D68" s="44"/>
      <c r="E68" s="44"/>
    </row>
    <row r="69" ht="12.75" customHeight="1">
      <c r="A69" s="30" t="s">
        <v>37</v>
      </c>
      <c r="B69" s="47" t="s">
        <v>21</v>
      </c>
      <c r="C69" s="48" t="s">
        <v>56</v>
      </c>
      <c r="D69" s="16"/>
      <c r="E69" s="19">
        <v>8.0</v>
      </c>
      <c r="F69" s="19">
        <v>7.0</v>
      </c>
      <c r="G69" s="19">
        <v>7.0</v>
      </c>
      <c r="H69" s="19">
        <v>3.0</v>
      </c>
      <c r="I69" s="19">
        <v>2.0</v>
      </c>
      <c r="J69" s="19">
        <v>4.0</v>
      </c>
      <c r="K69" s="19">
        <v>8.0</v>
      </c>
      <c r="L69" s="19">
        <v>6.0</v>
      </c>
      <c r="M69" s="19">
        <v>8.0</v>
      </c>
      <c r="N69" s="19">
        <v>8.0</v>
      </c>
      <c r="O69" s="19">
        <v>8.0</v>
      </c>
      <c r="P69" s="19">
        <v>4.0</v>
      </c>
      <c r="Q69" s="19">
        <v>4.0</v>
      </c>
      <c r="R69" s="19">
        <v>7.0</v>
      </c>
      <c r="S69" s="19">
        <v>9.0</v>
      </c>
      <c r="T69" s="19">
        <v>3.0</v>
      </c>
      <c r="U69" s="13">
        <f t="shared" ref="U69:U78" si="18">SUM(E69:T69)</f>
        <v>96</v>
      </c>
    </row>
    <row r="70" ht="12.75" customHeight="1">
      <c r="A70" s="30" t="s">
        <v>39</v>
      </c>
      <c r="B70" s="55">
        <v>1.0</v>
      </c>
      <c r="C70" s="50" t="s">
        <v>57</v>
      </c>
      <c r="D70" s="60"/>
      <c r="E70" s="19">
        <v>0.0</v>
      </c>
      <c r="F70" s="19">
        <v>5.0</v>
      </c>
      <c r="G70" s="19">
        <v>0.0</v>
      </c>
      <c r="H70" s="19">
        <v>6.0</v>
      </c>
      <c r="I70" s="19">
        <v>4.0</v>
      </c>
      <c r="J70" s="19">
        <v>3.0</v>
      </c>
      <c r="K70" s="19">
        <v>0.0</v>
      </c>
      <c r="L70" s="19">
        <v>16.0</v>
      </c>
      <c r="M70" s="19">
        <v>18.0</v>
      </c>
      <c r="N70" s="19">
        <v>13.0</v>
      </c>
      <c r="O70" s="19">
        <v>2.0</v>
      </c>
      <c r="P70" s="19">
        <v>2.0</v>
      </c>
      <c r="Q70" s="19">
        <v>2.0</v>
      </c>
      <c r="R70" s="19">
        <v>2.0</v>
      </c>
      <c r="S70" s="19">
        <v>2.0</v>
      </c>
      <c r="T70" s="19">
        <v>0.0</v>
      </c>
      <c r="U70" s="13">
        <f t="shared" si="18"/>
        <v>75</v>
      </c>
    </row>
    <row r="71" ht="12.75" customHeight="1">
      <c r="A71" s="18"/>
      <c r="B71" s="55">
        <v>2.0</v>
      </c>
      <c r="C71" s="50" t="s">
        <v>58</v>
      </c>
      <c r="D71" s="60"/>
      <c r="E71" s="19">
        <v>0.0</v>
      </c>
      <c r="F71" s="19">
        <v>7.0</v>
      </c>
      <c r="G71" s="19">
        <v>3.0</v>
      </c>
      <c r="H71" s="19">
        <v>4.0</v>
      </c>
      <c r="I71" s="19">
        <v>3.0</v>
      </c>
      <c r="J71" s="19">
        <v>1.0</v>
      </c>
      <c r="K71" s="19">
        <v>1.0</v>
      </c>
      <c r="L71" s="19">
        <v>4.0</v>
      </c>
      <c r="M71" s="19">
        <v>1.0</v>
      </c>
      <c r="N71" s="19">
        <v>4.0</v>
      </c>
      <c r="O71" s="19">
        <v>0.0</v>
      </c>
      <c r="P71" s="19">
        <v>0.0</v>
      </c>
      <c r="Q71" s="19">
        <v>1.0</v>
      </c>
      <c r="R71" s="19">
        <v>6.0</v>
      </c>
      <c r="S71" s="19">
        <v>4.0</v>
      </c>
      <c r="T71" s="19">
        <v>3.0</v>
      </c>
      <c r="U71" s="13">
        <f t="shared" si="18"/>
        <v>42</v>
      </c>
    </row>
    <row r="72" ht="12.75" customHeight="1">
      <c r="A72" s="18"/>
      <c r="B72" s="55">
        <v>3.0</v>
      </c>
      <c r="C72" s="50" t="s">
        <v>59</v>
      </c>
      <c r="D72" s="60"/>
      <c r="E72" s="19">
        <v>0.0</v>
      </c>
      <c r="F72" s="19">
        <v>1.0</v>
      </c>
      <c r="G72" s="19">
        <v>0.0</v>
      </c>
      <c r="H72" s="19">
        <v>1.0</v>
      </c>
      <c r="I72" s="19">
        <v>0.0</v>
      </c>
      <c r="J72" s="19">
        <v>0.0</v>
      </c>
      <c r="K72" s="19">
        <v>1.0</v>
      </c>
      <c r="L72" s="19">
        <v>0.0</v>
      </c>
      <c r="M72" s="19">
        <v>3.0</v>
      </c>
      <c r="N72" s="19">
        <v>3.0</v>
      </c>
      <c r="O72" s="19">
        <v>4.0</v>
      </c>
      <c r="P72" s="19">
        <v>1.0</v>
      </c>
      <c r="Q72" s="19">
        <v>0.0</v>
      </c>
      <c r="R72" s="19">
        <v>1.0</v>
      </c>
      <c r="S72" s="19">
        <v>0.0</v>
      </c>
      <c r="T72" s="19">
        <v>3.0</v>
      </c>
      <c r="U72" s="13">
        <f t="shared" si="18"/>
        <v>18</v>
      </c>
    </row>
    <row r="73" ht="12.75" customHeight="1">
      <c r="A73" s="18"/>
      <c r="B73" s="55">
        <v>4.0</v>
      </c>
      <c r="C73" s="50" t="s">
        <v>60</v>
      </c>
      <c r="D73" s="60"/>
      <c r="E73" s="19">
        <v>0.0</v>
      </c>
      <c r="F73" s="19">
        <v>2.0</v>
      </c>
      <c r="G73" s="19">
        <v>0.0</v>
      </c>
      <c r="H73" s="19">
        <v>0.0</v>
      </c>
      <c r="I73" s="19">
        <v>1.0</v>
      </c>
      <c r="J73" s="19">
        <v>2.0</v>
      </c>
      <c r="K73" s="19">
        <v>1.0</v>
      </c>
      <c r="L73" s="19">
        <v>1.0</v>
      </c>
      <c r="M73" s="19">
        <v>0.0</v>
      </c>
      <c r="N73" s="19">
        <v>0.0</v>
      </c>
      <c r="O73" s="19">
        <v>0.0</v>
      </c>
      <c r="P73" s="19">
        <v>1.0</v>
      </c>
      <c r="Q73" s="19">
        <v>0.0</v>
      </c>
      <c r="R73" s="19">
        <v>0.0</v>
      </c>
      <c r="S73" s="19">
        <v>0.0</v>
      </c>
      <c r="T73" s="19">
        <v>1.0</v>
      </c>
      <c r="U73" s="13">
        <f t="shared" si="18"/>
        <v>9</v>
      </c>
    </row>
    <row r="74" ht="12.75" customHeight="1">
      <c r="A74" s="18"/>
      <c r="B74" s="55">
        <v>5.0</v>
      </c>
      <c r="C74" s="50" t="s">
        <v>61</v>
      </c>
      <c r="D74" s="60"/>
      <c r="E74" s="19">
        <v>0.0</v>
      </c>
      <c r="F74" s="19">
        <v>2.0</v>
      </c>
      <c r="G74" s="19">
        <v>1.0</v>
      </c>
      <c r="H74" s="19">
        <v>0.0</v>
      </c>
      <c r="I74" s="19">
        <v>1.0</v>
      </c>
      <c r="J74" s="19">
        <v>0.0</v>
      </c>
      <c r="K74" s="19">
        <v>2.0</v>
      </c>
      <c r="L74" s="19">
        <v>0.0</v>
      </c>
      <c r="M74" s="19">
        <v>0.0</v>
      </c>
      <c r="N74" s="19">
        <v>0.0</v>
      </c>
      <c r="O74" s="19">
        <v>1.0</v>
      </c>
      <c r="P74" s="19">
        <v>1.0</v>
      </c>
      <c r="Q74" s="19">
        <v>0.0</v>
      </c>
      <c r="R74" s="19">
        <v>0.0</v>
      </c>
      <c r="S74" s="19">
        <v>1.0</v>
      </c>
      <c r="T74" s="19">
        <v>0.0</v>
      </c>
      <c r="U74" s="13">
        <f t="shared" si="18"/>
        <v>9</v>
      </c>
    </row>
    <row r="75" ht="12.75" customHeight="1">
      <c r="A75" s="18"/>
      <c r="B75" s="55">
        <v>6.0</v>
      </c>
      <c r="C75" s="50" t="s">
        <v>62</v>
      </c>
      <c r="D75" s="60"/>
      <c r="E75" s="19">
        <v>0.0</v>
      </c>
      <c r="F75" s="19">
        <v>4.0</v>
      </c>
      <c r="G75" s="19">
        <v>0.0</v>
      </c>
      <c r="H75" s="19">
        <v>0.0</v>
      </c>
      <c r="I75" s="19">
        <v>2.0</v>
      </c>
      <c r="J75" s="19">
        <v>2.0</v>
      </c>
      <c r="K75" s="19">
        <v>0.0</v>
      </c>
      <c r="L75" s="19">
        <v>1.0</v>
      </c>
      <c r="M75" s="19">
        <v>0.0</v>
      </c>
      <c r="N75" s="19">
        <v>0.0</v>
      </c>
      <c r="O75" s="19">
        <v>2.0</v>
      </c>
      <c r="P75" s="19">
        <v>2.0</v>
      </c>
      <c r="Q75" s="19">
        <v>2.0</v>
      </c>
      <c r="R75" s="19">
        <v>3.0</v>
      </c>
      <c r="S75" s="19">
        <v>2.0</v>
      </c>
      <c r="T75" s="19">
        <v>0.0</v>
      </c>
      <c r="U75" s="13">
        <f t="shared" si="18"/>
        <v>20</v>
      </c>
    </row>
    <row r="76" ht="12.75" customHeight="1">
      <c r="A76" s="18"/>
      <c r="B76" s="55">
        <v>7.0</v>
      </c>
      <c r="C76" s="50" t="s">
        <v>63</v>
      </c>
      <c r="D76" s="60"/>
      <c r="E76" s="19">
        <v>4.0</v>
      </c>
      <c r="F76" s="19">
        <v>1.0</v>
      </c>
      <c r="G76" s="19">
        <v>1.0</v>
      </c>
      <c r="H76" s="19">
        <v>8.0</v>
      </c>
      <c r="I76" s="19">
        <v>1.0</v>
      </c>
      <c r="J76" s="19">
        <v>7.0</v>
      </c>
      <c r="K76" s="19">
        <v>21.0</v>
      </c>
      <c r="L76" s="19">
        <v>8.0</v>
      </c>
      <c r="M76" s="19">
        <v>11.0</v>
      </c>
      <c r="N76" s="19">
        <v>4.0</v>
      </c>
      <c r="O76" s="19">
        <v>0.0</v>
      </c>
      <c r="P76" s="19">
        <v>2.0</v>
      </c>
      <c r="Q76" s="19">
        <v>6.0</v>
      </c>
      <c r="R76" s="19">
        <v>1.0</v>
      </c>
      <c r="S76" s="19">
        <v>10.0</v>
      </c>
      <c r="T76" s="19">
        <v>3.0</v>
      </c>
      <c r="U76" s="13">
        <f t="shared" si="18"/>
        <v>88</v>
      </c>
    </row>
    <row r="77" ht="12.75" customHeight="1">
      <c r="A77" s="18"/>
      <c r="B77" s="56"/>
      <c r="C77" s="57"/>
      <c r="D77" s="62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3">
        <f t="shared" si="18"/>
        <v>0</v>
      </c>
    </row>
    <row r="78" ht="12.75" customHeight="1">
      <c r="A78" s="18"/>
      <c r="B78" s="56"/>
      <c r="C78" s="57"/>
      <c r="D78" s="62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3">
        <f t="shared" si="18"/>
        <v>0</v>
      </c>
    </row>
    <row r="79" ht="12.75" customHeight="1">
      <c r="A79" s="19" t="s">
        <v>15</v>
      </c>
      <c r="B79" s="47" t="s">
        <v>47</v>
      </c>
      <c r="C79" s="15"/>
      <c r="D79" s="16"/>
      <c r="E79" s="13">
        <f t="shared" ref="E79:U79" si="19">SUM(E69:E78)</f>
        <v>12</v>
      </c>
      <c r="F79" s="13">
        <f t="shared" si="19"/>
        <v>29</v>
      </c>
      <c r="G79" s="13">
        <f t="shared" si="19"/>
        <v>12</v>
      </c>
      <c r="H79" s="13">
        <f t="shared" si="19"/>
        <v>22</v>
      </c>
      <c r="I79" s="13">
        <f t="shared" si="19"/>
        <v>14</v>
      </c>
      <c r="J79" s="13">
        <f t="shared" si="19"/>
        <v>19</v>
      </c>
      <c r="K79" s="13">
        <f t="shared" si="19"/>
        <v>34</v>
      </c>
      <c r="L79" s="13">
        <f t="shared" si="19"/>
        <v>36</v>
      </c>
      <c r="M79" s="13">
        <f t="shared" si="19"/>
        <v>41</v>
      </c>
      <c r="N79" s="13">
        <f t="shared" si="19"/>
        <v>32</v>
      </c>
      <c r="O79" s="13">
        <f t="shared" si="19"/>
        <v>17</v>
      </c>
      <c r="P79" s="13">
        <f t="shared" si="19"/>
        <v>13</v>
      </c>
      <c r="Q79" s="13">
        <f t="shared" si="19"/>
        <v>15</v>
      </c>
      <c r="R79" s="13">
        <f t="shared" si="19"/>
        <v>20</v>
      </c>
      <c r="S79" s="13">
        <f t="shared" si="19"/>
        <v>28</v>
      </c>
      <c r="T79" s="13">
        <f t="shared" si="19"/>
        <v>13</v>
      </c>
      <c r="U79" s="13">
        <f t="shared" si="19"/>
        <v>357</v>
      </c>
    </row>
    <row r="80" ht="12.75" customHeight="1">
      <c r="A80" s="45"/>
      <c r="B80" s="44"/>
      <c r="C80" s="44"/>
      <c r="D80" s="44"/>
      <c r="E80" s="44"/>
    </row>
    <row r="81" ht="12.75" customHeight="1">
      <c r="A81" s="30" t="s">
        <v>37</v>
      </c>
      <c r="B81" s="47" t="s">
        <v>23</v>
      </c>
      <c r="C81" s="48" t="s">
        <v>64</v>
      </c>
      <c r="D81" s="16"/>
      <c r="E81" s="19">
        <v>0.0</v>
      </c>
      <c r="F81" s="19">
        <v>0.0</v>
      </c>
      <c r="G81" s="19">
        <v>0.0</v>
      </c>
      <c r="H81" s="19">
        <v>0.0</v>
      </c>
      <c r="I81" s="19">
        <v>2.0</v>
      </c>
      <c r="J81" s="19">
        <v>1.0</v>
      </c>
      <c r="K81" s="19">
        <v>3.0</v>
      </c>
      <c r="L81" s="19">
        <v>2.0</v>
      </c>
      <c r="M81" s="19">
        <v>1.0</v>
      </c>
      <c r="N81" s="19">
        <v>6.0</v>
      </c>
      <c r="O81" s="19">
        <v>4.0</v>
      </c>
      <c r="P81" s="19">
        <v>3.0</v>
      </c>
      <c r="Q81" s="19">
        <v>0.0</v>
      </c>
      <c r="R81" s="19">
        <v>2.0</v>
      </c>
      <c r="S81" s="19">
        <v>0.0</v>
      </c>
      <c r="T81" s="19">
        <v>2.0</v>
      </c>
      <c r="U81" s="13">
        <f t="shared" ref="U81:U90" si="20">SUM(E81:T81)</f>
        <v>26</v>
      </c>
    </row>
    <row r="82" ht="12.75" customHeight="1">
      <c r="A82" s="30" t="s">
        <v>39</v>
      </c>
      <c r="B82" s="55">
        <v>1.0</v>
      </c>
      <c r="C82" s="50" t="s">
        <v>65</v>
      </c>
      <c r="D82" s="60"/>
      <c r="E82" s="19">
        <v>1.0</v>
      </c>
      <c r="F82" s="19">
        <v>4.0</v>
      </c>
      <c r="G82" s="19">
        <v>1.0</v>
      </c>
      <c r="H82" s="19">
        <v>3.0</v>
      </c>
      <c r="I82" s="19">
        <v>3.0</v>
      </c>
      <c r="J82" s="19">
        <v>3.0</v>
      </c>
      <c r="K82" s="19">
        <v>1.0</v>
      </c>
      <c r="L82" s="19">
        <v>0.0</v>
      </c>
      <c r="M82" s="19">
        <v>0.0</v>
      </c>
      <c r="N82" s="19">
        <v>22.0</v>
      </c>
      <c r="O82" s="19">
        <v>34.0</v>
      </c>
      <c r="P82" s="19">
        <v>25.0</v>
      </c>
      <c r="Q82" s="19">
        <v>5.0</v>
      </c>
      <c r="R82" s="19">
        <v>9.0</v>
      </c>
      <c r="S82" s="19">
        <v>3.0</v>
      </c>
      <c r="T82" s="19">
        <v>1.0</v>
      </c>
      <c r="U82" s="13">
        <f t="shared" si="20"/>
        <v>115</v>
      </c>
    </row>
    <row r="83" ht="12.75" customHeight="1">
      <c r="A83" s="18"/>
      <c r="B83" s="55">
        <v>2.0</v>
      </c>
      <c r="C83" s="50" t="s">
        <v>66</v>
      </c>
      <c r="D83" s="60"/>
      <c r="E83" s="19">
        <v>8.0</v>
      </c>
      <c r="F83" s="19">
        <v>6.0</v>
      </c>
      <c r="G83" s="19">
        <v>0.0</v>
      </c>
      <c r="H83" s="19">
        <v>1.0</v>
      </c>
      <c r="I83" s="19">
        <v>0.0</v>
      </c>
      <c r="J83" s="19">
        <v>1.0</v>
      </c>
      <c r="K83" s="19">
        <v>0.0</v>
      </c>
      <c r="L83" s="19">
        <v>1.0</v>
      </c>
      <c r="M83" s="19">
        <v>2.0</v>
      </c>
      <c r="N83" s="19">
        <v>1.0</v>
      </c>
      <c r="O83" s="19">
        <v>2.0</v>
      </c>
      <c r="P83" s="19">
        <v>0.0</v>
      </c>
      <c r="Q83" s="19">
        <v>1.0</v>
      </c>
      <c r="R83" s="19">
        <v>2.0</v>
      </c>
      <c r="S83" s="19">
        <v>0.0</v>
      </c>
      <c r="T83" s="19">
        <v>0.0</v>
      </c>
      <c r="U83" s="13">
        <f t="shared" si="20"/>
        <v>25</v>
      </c>
    </row>
    <row r="84" ht="12.75" customHeight="1">
      <c r="A84" s="18"/>
      <c r="B84" s="55">
        <v>3.0</v>
      </c>
      <c r="C84" s="50" t="s">
        <v>67</v>
      </c>
      <c r="D84" s="60"/>
      <c r="E84" s="19">
        <v>0.0</v>
      </c>
      <c r="F84" s="19">
        <v>0.0</v>
      </c>
      <c r="G84" s="19">
        <v>0.0</v>
      </c>
      <c r="H84" s="19">
        <v>0.0</v>
      </c>
      <c r="I84" s="19">
        <v>0.0</v>
      </c>
      <c r="J84" s="19">
        <v>0.0</v>
      </c>
      <c r="K84" s="19">
        <v>0.0</v>
      </c>
      <c r="L84" s="19">
        <v>0.0</v>
      </c>
      <c r="M84" s="19">
        <v>0.0</v>
      </c>
      <c r="N84" s="19">
        <v>1.0</v>
      </c>
      <c r="O84" s="19">
        <v>2.0</v>
      </c>
      <c r="P84" s="19">
        <v>0.0</v>
      </c>
      <c r="Q84" s="19">
        <v>0.0</v>
      </c>
      <c r="R84" s="19">
        <v>0.0</v>
      </c>
      <c r="S84" s="19">
        <v>0.0</v>
      </c>
      <c r="T84" s="19">
        <v>0.0</v>
      </c>
      <c r="U84" s="13">
        <f t="shared" si="20"/>
        <v>3</v>
      </c>
    </row>
    <row r="85" ht="12.75" customHeight="1">
      <c r="A85" s="18"/>
      <c r="B85" s="55">
        <v>4.0</v>
      </c>
      <c r="C85" s="50" t="s">
        <v>68</v>
      </c>
      <c r="D85" s="60"/>
      <c r="E85" s="19">
        <v>0.0</v>
      </c>
      <c r="F85" s="19">
        <v>1.0</v>
      </c>
      <c r="G85" s="19">
        <v>0.0</v>
      </c>
      <c r="H85" s="19">
        <v>0.0</v>
      </c>
      <c r="I85" s="19">
        <v>0.0</v>
      </c>
      <c r="J85" s="19">
        <v>1.0</v>
      </c>
      <c r="K85" s="19">
        <v>0.0</v>
      </c>
      <c r="L85" s="19">
        <v>0.0</v>
      </c>
      <c r="M85" s="19">
        <v>0.0</v>
      </c>
      <c r="N85" s="19">
        <v>1.0</v>
      </c>
      <c r="O85" s="19">
        <v>2.0</v>
      </c>
      <c r="P85" s="19">
        <v>0.0</v>
      </c>
      <c r="Q85" s="19">
        <v>0.0</v>
      </c>
      <c r="R85" s="19">
        <v>0.0</v>
      </c>
      <c r="S85" s="19">
        <v>1.0</v>
      </c>
      <c r="T85" s="19">
        <v>0.0</v>
      </c>
      <c r="U85" s="13">
        <f t="shared" si="20"/>
        <v>6</v>
      </c>
    </row>
    <row r="86" ht="12.75" customHeight="1">
      <c r="A86" s="18"/>
      <c r="B86" s="55">
        <v>5.0</v>
      </c>
      <c r="C86" s="50" t="s">
        <v>69</v>
      </c>
      <c r="D86" s="60"/>
      <c r="E86" s="19">
        <v>0.0</v>
      </c>
      <c r="F86" s="19">
        <v>0.0</v>
      </c>
      <c r="G86" s="19">
        <v>0.0</v>
      </c>
      <c r="H86" s="19">
        <v>0.0</v>
      </c>
      <c r="I86" s="19">
        <v>1.0</v>
      </c>
      <c r="J86" s="19">
        <v>0.0</v>
      </c>
      <c r="K86" s="19">
        <v>0.0</v>
      </c>
      <c r="L86" s="19">
        <v>1.0</v>
      </c>
      <c r="M86" s="19">
        <v>0.0</v>
      </c>
      <c r="N86" s="19">
        <v>0.0</v>
      </c>
      <c r="O86" s="19">
        <v>0.0</v>
      </c>
      <c r="P86" s="19">
        <v>0.0</v>
      </c>
      <c r="Q86" s="19">
        <v>0.0</v>
      </c>
      <c r="R86" s="19">
        <v>1.0</v>
      </c>
      <c r="S86" s="19">
        <v>0.0</v>
      </c>
      <c r="T86" s="19">
        <v>0.0</v>
      </c>
      <c r="U86" s="13">
        <f t="shared" si="20"/>
        <v>3</v>
      </c>
    </row>
    <row r="87" ht="12.75" customHeight="1">
      <c r="A87" s="18"/>
      <c r="B87" s="55">
        <v>6.0</v>
      </c>
      <c r="C87" s="50" t="s">
        <v>70</v>
      </c>
      <c r="D87" s="60"/>
      <c r="E87" s="19">
        <v>0.0</v>
      </c>
      <c r="F87" s="19">
        <v>0.0</v>
      </c>
      <c r="G87" s="19">
        <v>0.0</v>
      </c>
      <c r="H87" s="19">
        <v>0.0</v>
      </c>
      <c r="I87" s="19">
        <v>0.0</v>
      </c>
      <c r="J87" s="19">
        <v>0.0</v>
      </c>
      <c r="K87" s="19">
        <v>0.0</v>
      </c>
      <c r="L87" s="19">
        <v>0.0</v>
      </c>
      <c r="M87" s="19">
        <v>0.0</v>
      </c>
      <c r="N87" s="19">
        <v>0.0</v>
      </c>
      <c r="O87" s="19">
        <v>1.0</v>
      </c>
      <c r="P87" s="19">
        <v>0.0</v>
      </c>
      <c r="Q87" s="19">
        <v>0.0</v>
      </c>
      <c r="R87" s="19">
        <v>0.0</v>
      </c>
      <c r="S87" s="19">
        <v>0.0</v>
      </c>
      <c r="T87" s="19">
        <v>0.0</v>
      </c>
      <c r="U87" s="13">
        <f t="shared" si="20"/>
        <v>1</v>
      </c>
    </row>
    <row r="88" ht="12.75" customHeight="1">
      <c r="A88" s="18"/>
      <c r="B88" s="55">
        <v>7.0</v>
      </c>
      <c r="C88" s="50" t="s">
        <v>71</v>
      </c>
      <c r="D88" s="60"/>
      <c r="E88" s="19">
        <v>0.0</v>
      </c>
      <c r="F88" s="19">
        <v>0.0</v>
      </c>
      <c r="G88" s="19">
        <v>0.0</v>
      </c>
      <c r="H88" s="19">
        <v>0.0</v>
      </c>
      <c r="I88" s="19">
        <v>0.0</v>
      </c>
      <c r="J88" s="19">
        <v>0.0</v>
      </c>
      <c r="K88" s="19">
        <v>0.0</v>
      </c>
      <c r="L88" s="19">
        <v>0.0</v>
      </c>
      <c r="M88" s="19">
        <v>0.0</v>
      </c>
      <c r="N88" s="19">
        <v>0.0</v>
      </c>
      <c r="O88" s="19">
        <v>0.0</v>
      </c>
      <c r="P88" s="19">
        <v>1.0</v>
      </c>
      <c r="Q88" s="19">
        <v>0.0</v>
      </c>
      <c r="R88" s="19">
        <v>0.0</v>
      </c>
      <c r="S88" s="19">
        <v>0.0</v>
      </c>
      <c r="T88" s="19">
        <v>0.0</v>
      </c>
      <c r="U88" s="13">
        <f t="shared" si="20"/>
        <v>1</v>
      </c>
    </row>
    <row r="89" ht="12.75" customHeight="1">
      <c r="A89" s="18"/>
      <c r="B89" s="56"/>
      <c r="C89" s="57"/>
      <c r="D89" s="62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3">
        <f t="shared" si="20"/>
        <v>0</v>
      </c>
    </row>
    <row r="90" ht="12.75" customHeight="1">
      <c r="A90" s="18"/>
      <c r="B90" s="56"/>
      <c r="C90" s="57"/>
      <c r="D90" s="62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3">
        <f t="shared" si="20"/>
        <v>0</v>
      </c>
    </row>
    <row r="91" ht="12.75" customHeight="1">
      <c r="A91" s="19" t="s">
        <v>15</v>
      </c>
      <c r="B91" s="47" t="s">
        <v>47</v>
      </c>
      <c r="C91" s="15"/>
      <c r="D91" s="16"/>
      <c r="E91" s="13">
        <f t="shared" ref="E91:U91" si="21">SUM(E81:E90)</f>
        <v>9</v>
      </c>
      <c r="F91" s="13">
        <f t="shared" si="21"/>
        <v>11</v>
      </c>
      <c r="G91" s="13">
        <f t="shared" si="21"/>
        <v>1</v>
      </c>
      <c r="H91" s="13">
        <f t="shared" si="21"/>
        <v>4</v>
      </c>
      <c r="I91" s="13">
        <f t="shared" si="21"/>
        <v>6</v>
      </c>
      <c r="J91" s="13">
        <f t="shared" si="21"/>
        <v>6</v>
      </c>
      <c r="K91" s="13">
        <f t="shared" si="21"/>
        <v>4</v>
      </c>
      <c r="L91" s="13">
        <f t="shared" si="21"/>
        <v>4</v>
      </c>
      <c r="M91" s="13">
        <f t="shared" si="21"/>
        <v>3</v>
      </c>
      <c r="N91" s="13">
        <f t="shared" si="21"/>
        <v>31</v>
      </c>
      <c r="O91" s="13">
        <f t="shared" si="21"/>
        <v>45</v>
      </c>
      <c r="P91" s="13">
        <f t="shared" si="21"/>
        <v>29</v>
      </c>
      <c r="Q91" s="13">
        <f t="shared" si="21"/>
        <v>6</v>
      </c>
      <c r="R91" s="13">
        <f t="shared" si="21"/>
        <v>14</v>
      </c>
      <c r="S91" s="13">
        <f t="shared" si="21"/>
        <v>4</v>
      </c>
      <c r="T91" s="13">
        <f t="shared" si="21"/>
        <v>3</v>
      </c>
      <c r="U91" s="13">
        <f t="shared" si="21"/>
        <v>180</v>
      </c>
    </row>
    <row r="92" ht="12.75" customHeight="1">
      <c r="A92" s="45"/>
      <c r="B92" s="44"/>
      <c r="C92" s="44"/>
      <c r="D92" s="44"/>
      <c r="E92" s="44"/>
    </row>
    <row r="93" ht="12.75" customHeight="1">
      <c r="A93" s="30" t="s">
        <v>37</v>
      </c>
      <c r="B93" s="47" t="s">
        <v>72</v>
      </c>
      <c r="C93" s="48" t="s">
        <v>73</v>
      </c>
      <c r="D93" s="16"/>
      <c r="E93" s="19">
        <v>0.0</v>
      </c>
      <c r="F93" s="19">
        <v>1.0</v>
      </c>
      <c r="G93" s="19">
        <v>1.0</v>
      </c>
      <c r="H93" s="19">
        <v>0.0</v>
      </c>
      <c r="I93" s="19">
        <v>2.0</v>
      </c>
      <c r="J93" s="19">
        <v>1.0</v>
      </c>
      <c r="K93" s="19">
        <v>2.0</v>
      </c>
      <c r="L93" s="19">
        <v>3.0</v>
      </c>
      <c r="M93" s="19">
        <v>2.0</v>
      </c>
      <c r="N93" s="19">
        <v>2.0</v>
      </c>
      <c r="O93" s="19">
        <v>3.0</v>
      </c>
      <c r="P93" s="19">
        <v>6.0</v>
      </c>
      <c r="Q93" s="19">
        <v>1.0</v>
      </c>
      <c r="R93" s="19">
        <v>1.0</v>
      </c>
      <c r="S93" s="19">
        <v>2.0</v>
      </c>
      <c r="T93" s="19">
        <v>0.0</v>
      </c>
      <c r="U93" s="13">
        <f t="shared" ref="U93:U102" si="22">SUM(E93:T93)</f>
        <v>27</v>
      </c>
    </row>
    <row r="94" ht="12.75" customHeight="1">
      <c r="A94" s="30" t="s">
        <v>39</v>
      </c>
      <c r="B94" s="55">
        <v>1.0</v>
      </c>
      <c r="C94" s="50" t="s">
        <v>74</v>
      </c>
      <c r="D94" s="60"/>
      <c r="E94" s="19">
        <v>1.0</v>
      </c>
      <c r="F94" s="19">
        <v>23.0</v>
      </c>
      <c r="G94" s="19">
        <v>12.0</v>
      </c>
      <c r="H94" s="19">
        <v>21.0</v>
      </c>
      <c r="I94" s="19">
        <v>14.0</v>
      </c>
      <c r="J94" s="19">
        <v>4.0</v>
      </c>
      <c r="K94" s="19">
        <v>4.0</v>
      </c>
      <c r="L94" s="19">
        <v>0.0</v>
      </c>
      <c r="M94" s="19">
        <v>0.0</v>
      </c>
      <c r="N94" s="19">
        <v>0.0</v>
      </c>
      <c r="O94" s="19">
        <v>1.0</v>
      </c>
      <c r="P94" s="19">
        <v>1.0</v>
      </c>
      <c r="Q94" s="19">
        <v>0.0</v>
      </c>
      <c r="R94" s="19">
        <v>1.0</v>
      </c>
      <c r="S94" s="19">
        <v>0.0</v>
      </c>
      <c r="T94" s="19">
        <v>0.0</v>
      </c>
      <c r="U94" s="13">
        <f t="shared" si="22"/>
        <v>82</v>
      </c>
    </row>
    <row r="95" ht="12.75" customHeight="1">
      <c r="A95" s="18"/>
      <c r="B95" s="55">
        <v>2.0</v>
      </c>
      <c r="C95" s="50" t="s">
        <v>75</v>
      </c>
      <c r="D95" s="60"/>
      <c r="E95" s="19">
        <v>0.0</v>
      </c>
      <c r="F95" s="19">
        <v>0.0</v>
      </c>
      <c r="G95" s="19">
        <v>0.0</v>
      </c>
      <c r="H95" s="19">
        <v>1.0</v>
      </c>
      <c r="I95" s="19">
        <v>0.0</v>
      </c>
      <c r="J95" s="19">
        <v>0.0</v>
      </c>
      <c r="K95" s="19">
        <v>0.0</v>
      </c>
      <c r="L95" s="19">
        <v>1.0</v>
      </c>
      <c r="M95" s="19">
        <v>0.0</v>
      </c>
      <c r="N95" s="19">
        <v>0.0</v>
      </c>
      <c r="O95" s="19">
        <v>1.0</v>
      </c>
      <c r="P95" s="19">
        <v>1.0</v>
      </c>
      <c r="Q95" s="19">
        <v>0.0</v>
      </c>
      <c r="R95" s="19">
        <v>1.0</v>
      </c>
      <c r="S95" s="19">
        <v>0.0</v>
      </c>
      <c r="T95" s="19">
        <v>0.0</v>
      </c>
      <c r="U95" s="13">
        <f t="shared" si="22"/>
        <v>5</v>
      </c>
    </row>
    <row r="96" ht="12.75" customHeight="1">
      <c r="A96" s="18"/>
      <c r="B96" s="55">
        <v>3.0</v>
      </c>
      <c r="C96" s="50" t="s">
        <v>76</v>
      </c>
      <c r="D96" s="60"/>
      <c r="E96" s="19">
        <v>0.0</v>
      </c>
      <c r="F96" s="19">
        <v>1.0</v>
      </c>
      <c r="G96" s="19">
        <v>0.0</v>
      </c>
      <c r="H96" s="19">
        <v>0.0</v>
      </c>
      <c r="I96" s="19">
        <v>0.0</v>
      </c>
      <c r="J96" s="19">
        <v>0.0</v>
      </c>
      <c r="K96" s="19">
        <v>0.0</v>
      </c>
      <c r="L96" s="19">
        <v>0.0</v>
      </c>
      <c r="M96" s="19">
        <v>0.0</v>
      </c>
      <c r="N96" s="19">
        <v>0.0</v>
      </c>
      <c r="O96" s="19">
        <v>0.0</v>
      </c>
      <c r="P96" s="19">
        <v>1.0</v>
      </c>
      <c r="Q96" s="19">
        <v>0.0</v>
      </c>
      <c r="R96" s="19">
        <v>0.0</v>
      </c>
      <c r="S96" s="19">
        <v>0.0</v>
      </c>
      <c r="T96" s="19">
        <v>0.0</v>
      </c>
      <c r="U96" s="13">
        <f t="shared" si="22"/>
        <v>2</v>
      </c>
    </row>
    <row r="97" ht="12.75" customHeight="1">
      <c r="A97" s="18"/>
      <c r="B97" s="55">
        <v>4.0</v>
      </c>
      <c r="C97" s="50" t="s">
        <v>77</v>
      </c>
      <c r="D97" s="60"/>
      <c r="E97" s="19">
        <v>0.0</v>
      </c>
      <c r="F97" s="19">
        <v>0.0</v>
      </c>
      <c r="G97" s="19">
        <v>0.0</v>
      </c>
      <c r="H97" s="19">
        <v>0.0</v>
      </c>
      <c r="I97" s="19">
        <v>1.0</v>
      </c>
      <c r="J97" s="19">
        <v>0.0</v>
      </c>
      <c r="K97" s="19">
        <v>0.0</v>
      </c>
      <c r="L97" s="19">
        <v>1.0</v>
      </c>
      <c r="M97" s="19">
        <v>0.0</v>
      </c>
      <c r="N97" s="19">
        <v>0.0</v>
      </c>
      <c r="O97" s="19">
        <v>2.0</v>
      </c>
      <c r="P97" s="19">
        <v>3.0</v>
      </c>
      <c r="Q97" s="19">
        <v>0.0</v>
      </c>
      <c r="R97" s="19">
        <v>0.0</v>
      </c>
      <c r="S97" s="19">
        <v>0.0</v>
      </c>
      <c r="T97" s="19">
        <v>0.0</v>
      </c>
      <c r="U97" s="13">
        <f t="shared" si="22"/>
        <v>7</v>
      </c>
    </row>
    <row r="98" ht="12.75" customHeight="1">
      <c r="A98" s="18"/>
      <c r="B98" s="55">
        <v>5.0</v>
      </c>
      <c r="C98" s="50" t="s">
        <v>78</v>
      </c>
      <c r="D98" s="60"/>
      <c r="E98" s="19">
        <v>0.0</v>
      </c>
      <c r="F98" s="19">
        <v>0.0</v>
      </c>
      <c r="G98" s="19">
        <v>0.0</v>
      </c>
      <c r="H98" s="19">
        <v>0.0</v>
      </c>
      <c r="I98" s="19">
        <v>0.0</v>
      </c>
      <c r="J98" s="19">
        <v>1.0</v>
      </c>
      <c r="K98" s="19">
        <v>2.0</v>
      </c>
      <c r="L98" s="19">
        <v>1.0</v>
      </c>
      <c r="M98" s="19">
        <v>0.0</v>
      </c>
      <c r="N98" s="19">
        <v>2.0</v>
      </c>
      <c r="O98" s="19">
        <v>1.0</v>
      </c>
      <c r="P98" s="19">
        <v>2.0</v>
      </c>
      <c r="Q98" s="19">
        <v>0.0</v>
      </c>
      <c r="R98" s="19">
        <v>0.0</v>
      </c>
      <c r="S98" s="19">
        <v>2.0</v>
      </c>
      <c r="T98" s="19">
        <v>0.0</v>
      </c>
      <c r="U98" s="13">
        <f t="shared" si="22"/>
        <v>11</v>
      </c>
    </row>
    <row r="99" ht="12.75" customHeight="1">
      <c r="A99" s="18"/>
      <c r="B99" s="55">
        <v>6.0</v>
      </c>
      <c r="C99" s="50" t="s">
        <v>79</v>
      </c>
      <c r="D99" s="60"/>
      <c r="E99" s="19">
        <v>1.0</v>
      </c>
      <c r="F99" s="19">
        <v>2.0</v>
      </c>
      <c r="G99" s="19">
        <v>0.0</v>
      </c>
      <c r="H99" s="19">
        <v>0.0</v>
      </c>
      <c r="I99" s="19">
        <v>2.0</v>
      </c>
      <c r="J99" s="19">
        <v>0.0</v>
      </c>
      <c r="K99" s="19">
        <v>1.0</v>
      </c>
      <c r="L99" s="19">
        <v>1.0</v>
      </c>
      <c r="M99" s="19">
        <v>1.0</v>
      </c>
      <c r="N99" s="19">
        <v>1.0</v>
      </c>
      <c r="O99" s="19">
        <v>4.0</v>
      </c>
      <c r="P99" s="19">
        <v>6.0</v>
      </c>
      <c r="Q99" s="19">
        <v>1.0</v>
      </c>
      <c r="R99" s="19">
        <v>6.0</v>
      </c>
      <c r="S99" s="19">
        <v>2.0</v>
      </c>
      <c r="T99" s="19">
        <v>2.0</v>
      </c>
      <c r="U99" s="13">
        <f t="shared" si="22"/>
        <v>30</v>
      </c>
    </row>
    <row r="100" ht="12.75" customHeight="1">
      <c r="A100" s="18"/>
      <c r="B100" s="55">
        <v>7.0</v>
      </c>
      <c r="C100" s="50" t="s">
        <v>80</v>
      </c>
      <c r="D100" s="60"/>
      <c r="E100" s="19">
        <v>0.0</v>
      </c>
      <c r="F100" s="19">
        <v>0.0</v>
      </c>
      <c r="G100" s="19">
        <v>0.0</v>
      </c>
      <c r="H100" s="19">
        <v>0.0</v>
      </c>
      <c r="I100" s="19">
        <v>1.0</v>
      </c>
      <c r="J100" s="19">
        <v>0.0</v>
      </c>
      <c r="K100" s="19">
        <v>2.0</v>
      </c>
      <c r="L100" s="19">
        <v>0.0</v>
      </c>
      <c r="M100" s="19">
        <v>1.0</v>
      </c>
      <c r="N100" s="19">
        <v>0.0</v>
      </c>
      <c r="O100" s="19">
        <v>2.0</v>
      </c>
      <c r="P100" s="19">
        <v>0.0</v>
      </c>
      <c r="Q100" s="19">
        <v>2.0</v>
      </c>
      <c r="R100" s="19">
        <v>1.0</v>
      </c>
      <c r="S100" s="19">
        <v>0.0</v>
      </c>
      <c r="T100" s="19">
        <v>0.0</v>
      </c>
      <c r="U100" s="13">
        <f t="shared" si="22"/>
        <v>9</v>
      </c>
    </row>
    <row r="101" ht="12.75" customHeight="1">
      <c r="A101" s="18"/>
      <c r="B101" s="56"/>
      <c r="C101" s="57"/>
      <c r="D101" s="62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3">
        <f t="shared" si="22"/>
        <v>0</v>
      </c>
    </row>
    <row r="102" ht="12.75" customHeight="1">
      <c r="A102" s="18"/>
      <c r="B102" s="56"/>
      <c r="C102" s="57"/>
      <c r="D102" s="62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3">
        <f t="shared" si="22"/>
        <v>0</v>
      </c>
    </row>
    <row r="103" ht="12.75" customHeight="1">
      <c r="A103" s="19" t="s">
        <v>15</v>
      </c>
      <c r="B103" s="47" t="s">
        <v>47</v>
      </c>
      <c r="C103" s="15"/>
      <c r="D103" s="16"/>
      <c r="E103" s="13">
        <f t="shared" ref="E103:U103" si="23">SUM(E93:E102)</f>
        <v>2</v>
      </c>
      <c r="F103" s="13">
        <f t="shared" si="23"/>
        <v>27</v>
      </c>
      <c r="G103" s="13">
        <f t="shared" si="23"/>
        <v>13</v>
      </c>
      <c r="H103" s="13">
        <f t="shared" si="23"/>
        <v>22</v>
      </c>
      <c r="I103" s="13">
        <f t="shared" si="23"/>
        <v>20</v>
      </c>
      <c r="J103" s="13">
        <f t="shared" si="23"/>
        <v>6</v>
      </c>
      <c r="K103" s="13">
        <f t="shared" si="23"/>
        <v>11</v>
      </c>
      <c r="L103" s="13">
        <f t="shared" si="23"/>
        <v>7</v>
      </c>
      <c r="M103" s="13">
        <f t="shared" si="23"/>
        <v>4</v>
      </c>
      <c r="N103" s="13">
        <f t="shared" si="23"/>
        <v>5</v>
      </c>
      <c r="O103" s="13">
        <f t="shared" si="23"/>
        <v>14</v>
      </c>
      <c r="P103" s="13">
        <f t="shared" si="23"/>
        <v>20</v>
      </c>
      <c r="Q103" s="13">
        <f t="shared" si="23"/>
        <v>4</v>
      </c>
      <c r="R103" s="13">
        <f t="shared" si="23"/>
        <v>10</v>
      </c>
      <c r="S103" s="13">
        <f t="shared" si="23"/>
        <v>6</v>
      </c>
      <c r="T103" s="13">
        <f t="shared" si="23"/>
        <v>2</v>
      </c>
      <c r="U103" s="13">
        <f t="shared" si="23"/>
        <v>173</v>
      </c>
    </row>
    <row r="104" ht="12.75" customHeight="1">
      <c r="A104" s="45"/>
      <c r="B104" s="44"/>
      <c r="C104" s="44"/>
      <c r="D104" s="44"/>
      <c r="E104" s="44"/>
      <c r="F104" s="84"/>
      <c r="G104" s="84"/>
      <c r="H104" s="84"/>
      <c r="I104" s="84"/>
      <c r="J104" s="84"/>
      <c r="K104" s="84"/>
      <c r="L104" s="84"/>
      <c r="M104" s="84"/>
      <c r="N104" s="84"/>
      <c r="O104" s="84"/>
      <c r="P104" s="84"/>
      <c r="Q104" s="84"/>
      <c r="R104" s="84"/>
      <c r="S104" s="84"/>
      <c r="T104" s="84"/>
      <c r="U104" s="84"/>
    </row>
    <row r="105" ht="12.75" customHeight="1">
      <c r="A105" s="30" t="s">
        <v>37</v>
      </c>
      <c r="B105" s="47" t="s">
        <v>81</v>
      </c>
      <c r="C105" s="48" t="s">
        <v>82</v>
      </c>
      <c r="D105" s="16"/>
      <c r="E105" s="19">
        <v>1.0</v>
      </c>
      <c r="F105" s="19">
        <v>1.0</v>
      </c>
      <c r="G105" s="19">
        <v>0.0</v>
      </c>
      <c r="H105" s="19">
        <v>0.0</v>
      </c>
      <c r="I105" s="19">
        <v>5.0</v>
      </c>
      <c r="J105" s="19">
        <v>1.0</v>
      </c>
      <c r="K105" s="19">
        <v>2.0</v>
      </c>
      <c r="L105" s="19">
        <v>1.0</v>
      </c>
      <c r="M105" s="19">
        <v>1.0</v>
      </c>
      <c r="N105" s="19">
        <v>0.0</v>
      </c>
      <c r="O105" s="19">
        <v>2.0</v>
      </c>
      <c r="P105" s="19">
        <v>3.0</v>
      </c>
      <c r="Q105" s="19">
        <v>4.0</v>
      </c>
      <c r="R105" s="19">
        <v>2.0</v>
      </c>
      <c r="S105" s="19">
        <v>2.0</v>
      </c>
      <c r="T105" s="19">
        <v>1.0</v>
      </c>
      <c r="U105" s="13">
        <f t="shared" ref="U105:U114" si="24">SUM(E105:T105)</f>
        <v>26</v>
      </c>
    </row>
    <row r="106" ht="12.75" customHeight="1">
      <c r="A106" s="30" t="s">
        <v>39</v>
      </c>
      <c r="B106" s="55">
        <v>1.0</v>
      </c>
      <c r="C106" s="50" t="s">
        <v>83</v>
      </c>
      <c r="D106" s="60"/>
      <c r="E106" s="19">
        <v>0.0</v>
      </c>
      <c r="F106" s="19">
        <v>0.0</v>
      </c>
      <c r="G106" s="19">
        <v>0.0</v>
      </c>
      <c r="H106" s="19">
        <v>0.0</v>
      </c>
      <c r="I106" s="19">
        <v>0.0</v>
      </c>
      <c r="J106" s="19">
        <v>0.0</v>
      </c>
      <c r="K106" s="19">
        <v>0.0</v>
      </c>
      <c r="L106" s="19">
        <v>0.0</v>
      </c>
      <c r="M106" s="19">
        <v>0.0</v>
      </c>
      <c r="N106" s="19">
        <v>1.0</v>
      </c>
      <c r="O106" s="19">
        <v>0.0</v>
      </c>
      <c r="P106" s="19">
        <v>1.0</v>
      </c>
      <c r="Q106" s="19">
        <v>0.0</v>
      </c>
      <c r="R106" s="19">
        <v>1.0</v>
      </c>
      <c r="S106" s="19">
        <v>1.0</v>
      </c>
      <c r="T106" s="19">
        <v>0.0</v>
      </c>
      <c r="U106" s="13">
        <f t="shared" si="24"/>
        <v>4</v>
      </c>
    </row>
    <row r="107" ht="12.75" customHeight="1">
      <c r="A107" s="18"/>
      <c r="B107" s="55">
        <v>2.0</v>
      </c>
      <c r="C107" s="50" t="s">
        <v>84</v>
      </c>
      <c r="D107" s="60"/>
      <c r="E107" s="19">
        <v>0.0</v>
      </c>
      <c r="F107" s="19">
        <v>0.0</v>
      </c>
      <c r="G107" s="19">
        <v>0.0</v>
      </c>
      <c r="H107" s="19">
        <v>0.0</v>
      </c>
      <c r="I107" s="19">
        <v>0.0</v>
      </c>
      <c r="J107" s="19">
        <v>0.0</v>
      </c>
      <c r="K107" s="19">
        <v>0.0</v>
      </c>
      <c r="L107" s="19">
        <v>0.0</v>
      </c>
      <c r="M107" s="19">
        <v>0.0</v>
      </c>
      <c r="N107" s="19">
        <v>0.0</v>
      </c>
      <c r="O107" s="19">
        <v>0.0</v>
      </c>
      <c r="P107" s="19">
        <v>0.0</v>
      </c>
      <c r="Q107" s="19">
        <v>0.0</v>
      </c>
      <c r="R107" s="19">
        <v>2.0</v>
      </c>
      <c r="S107" s="19">
        <v>0.0</v>
      </c>
      <c r="T107" s="19">
        <v>0.0</v>
      </c>
      <c r="U107" s="13">
        <f t="shared" si="24"/>
        <v>2</v>
      </c>
    </row>
    <row r="108" ht="12.75" customHeight="1">
      <c r="A108" s="18"/>
      <c r="B108" s="55">
        <v>3.0</v>
      </c>
      <c r="C108" s="50" t="s">
        <v>85</v>
      </c>
      <c r="D108" s="60"/>
      <c r="E108" s="85">
        <v>0.0</v>
      </c>
      <c r="F108" s="19">
        <v>0.0</v>
      </c>
      <c r="G108" s="19">
        <v>0.0</v>
      </c>
      <c r="H108" s="19">
        <v>0.0</v>
      </c>
      <c r="I108" s="19">
        <v>1.0</v>
      </c>
      <c r="J108" s="19">
        <v>0.0</v>
      </c>
      <c r="K108" s="19">
        <v>0.0</v>
      </c>
      <c r="L108" s="19">
        <v>0.0</v>
      </c>
      <c r="M108" s="19">
        <v>0.0</v>
      </c>
      <c r="N108" s="19">
        <v>0.0</v>
      </c>
      <c r="O108" s="19">
        <v>0.0</v>
      </c>
      <c r="P108" s="19">
        <v>0.0</v>
      </c>
      <c r="Q108" s="19">
        <v>0.0</v>
      </c>
      <c r="R108" s="19">
        <v>0.0</v>
      </c>
      <c r="S108" s="19">
        <v>0.0</v>
      </c>
      <c r="T108" s="19">
        <v>0.0</v>
      </c>
      <c r="U108" s="13">
        <f t="shared" si="24"/>
        <v>1</v>
      </c>
    </row>
    <row r="109" ht="12.75" customHeight="1">
      <c r="A109" s="18"/>
      <c r="B109" s="55">
        <v>4.0</v>
      </c>
      <c r="C109" s="50" t="s">
        <v>86</v>
      </c>
      <c r="D109" s="60"/>
      <c r="E109" s="85">
        <v>0.0</v>
      </c>
      <c r="F109" s="19">
        <v>0.0</v>
      </c>
      <c r="G109" s="19">
        <v>0.0</v>
      </c>
      <c r="H109" s="19">
        <v>0.0</v>
      </c>
      <c r="I109" s="19">
        <v>0.0</v>
      </c>
      <c r="J109" s="19">
        <v>0.0</v>
      </c>
      <c r="K109" s="19">
        <v>0.0</v>
      </c>
      <c r="L109" s="19">
        <v>0.0</v>
      </c>
      <c r="M109" s="19">
        <v>0.0</v>
      </c>
      <c r="N109" s="19">
        <v>0.0</v>
      </c>
      <c r="O109" s="19">
        <v>0.0</v>
      </c>
      <c r="P109" s="19">
        <v>0.0</v>
      </c>
      <c r="Q109" s="19">
        <v>0.0</v>
      </c>
      <c r="R109" s="19">
        <v>0.0</v>
      </c>
      <c r="S109" s="19">
        <v>0.0</v>
      </c>
      <c r="T109" s="19">
        <v>0.0</v>
      </c>
      <c r="U109" s="13">
        <f t="shared" si="24"/>
        <v>0</v>
      </c>
    </row>
    <row r="110" ht="12.75" customHeight="1">
      <c r="A110" s="18"/>
      <c r="B110" s="55">
        <v>5.0</v>
      </c>
      <c r="C110" s="50" t="s">
        <v>87</v>
      </c>
      <c r="D110" s="60"/>
      <c r="E110" s="85">
        <v>0.0</v>
      </c>
      <c r="F110" s="19">
        <v>0.0</v>
      </c>
      <c r="G110" s="19">
        <v>0.0</v>
      </c>
      <c r="H110" s="19">
        <v>0.0</v>
      </c>
      <c r="I110" s="19">
        <v>0.0</v>
      </c>
      <c r="J110" s="19">
        <v>0.0</v>
      </c>
      <c r="K110" s="19">
        <v>0.0</v>
      </c>
      <c r="L110" s="19">
        <v>0.0</v>
      </c>
      <c r="M110" s="19">
        <v>0.0</v>
      </c>
      <c r="N110" s="19">
        <v>0.0</v>
      </c>
      <c r="O110" s="19">
        <v>0.0</v>
      </c>
      <c r="P110" s="19">
        <v>0.0</v>
      </c>
      <c r="Q110" s="19">
        <v>0.0</v>
      </c>
      <c r="R110" s="19">
        <v>0.0</v>
      </c>
      <c r="S110" s="19">
        <v>0.0</v>
      </c>
      <c r="T110" s="19">
        <v>0.0</v>
      </c>
      <c r="U110" s="13">
        <f t="shared" si="24"/>
        <v>0</v>
      </c>
    </row>
    <row r="111" ht="12.75" customHeight="1">
      <c r="A111" s="18"/>
      <c r="B111" s="55">
        <v>6.0</v>
      </c>
      <c r="C111" s="50" t="s">
        <v>88</v>
      </c>
      <c r="D111" s="60"/>
      <c r="E111" s="85">
        <v>0.0</v>
      </c>
      <c r="F111" s="19">
        <v>0.0</v>
      </c>
      <c r="G111" s="19">
        <v>0.0</v>
      </c>
      <c r="H111" s="19">
        <v>0.0</v>
      </c>
      <c r="I111" s="19">
        <v>0.0</v>
      </c>
      <c r="J111" s="19">
        <v>0.0</v>
      </c>
      <c r="K111" s="19">
        <v>0.0</v>
      </c>
      <c r="L111" s="19">
        <v>0.0</v>
      </c>
      <c r="M111" s="19">
        <v>0.0</v>
      </c>
      <c r="N111" s="19">
        <v>0.0</v>
      </c>
      <c r="O111" s="19">
        <v>0.0</v>
      </c>
      <c r="P111" s="19">
        <v>0.0</v>
      </c>
      <c r="Q111" s="19">
        <v>1.0</v>
      </c>
      <c r="R111" s="19">
        <v>0.0</v>
      </c>
      <c r="S111" s="19">
        <v>0.0</v>
      </c>
      <c r="T111" s="19">
        <v>0.0</v>
      </c>
      <c r="U111" s="13">
        <f t="shared" si="24"/>
        <v>1</v>
      </c>
    </row>
    <row r="112" ht="12.75" customHeight="1">
      <c r="A112" s="18"/>
      <c r="B112" s="55">
        <v>7.0</v>
      </c>
      <c r="C112" s="50" t="s">
        <v>89</v>
      </c>
      <c r="D112" s="60"/>
      <c r="E112" s="85">
        <v>0.0</v>
      </c>
      <c r="F112" s="19">
        <v>0.0</v>
      </c>
      <c r="G112" s="19">
        <v>0.0</v>
      </c>
      <c r="H112" s="19">
        <v>0.0</v>
      </c>
      <c r="I112" s="19">
        <v>0.0</v>
      </c>
      <c r="J112" s="19">
        <v>0.0</v>
      </c>
      <c r="K112" s="19">
        <v>1.0</v>
      </c>
      <c r="L112" s="19">
        <v>0.0</v>
      </c>
      <c r="M112" s="19">
        <v>0.0</v>
      </c>
      <c r="N112" s="19">
        <v>0.0</v>
      </c>
      <c r="O112" s="19">
        <v>0.0</v>
      </c>
      <c r="P112" s="19">
        <v>0.0</v>
      </c>
      <c r="Q112" s="19">
        <v>0.0</v>
      </c>
      <c r="R112" s="19">
        <v>0.0</v>
      </c>
      <c r="S112" s="19">
        <v>0.0</v>
      </c>
      <c r="T112" s="19">
        <v>0.0</v>
      </c>
      <c r="U112" s="13">
        <f t="shared" si="24"/>
        <v>1</v>
      </c>
    </row>
    <row r="113" ht="12.75" customHeight="1">
      <c r="A113" s="18"/>
      <c r="B113" s="56"/>
      <c r="C113" s="57"/>
      <c r="D113" s="62"/>
      <c r="E113" s="85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3">
        <f t="shared" si="24"/>
        <v>0</v>
      </c>
    </row>
    <row r="114" ht="12.75" customHeight="1">
      <c r="A114" s="18"/>
      <c r="B114" s="56"/>
      <c r="C114" s="57"/>
      <c r="D114" s="62"/>
      <c r="E114" s="85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3">
        <f t="shared" si="24"/>
        <v>0</v>
      </c>
    </row>
    <row r="115" ht="12.75" customHeight="1">
      <c r="A115" s="19" t="s">
        <v>15</v>
      </c>
      <c r="B115" s="47" t="s">
        <v>47</v>
      </c>
      <c r="C115" s="15"/>
      <c r="D115" s="16"/>
      <c r="E115" s="13">
        <f t="shared" ref="E115:U115" si="25">SUM(E105:E114)</f>
        <v>1</v>
      </c>
      <c r="F115" s="13">
        <f t="shared" si="25"/>
        <v>1</v>
      </c>
      <c r="G115" s="13">
        <f t="shared" si="25"/>
        <v>0</v>
      </c>
      <c r="H115" s="13">
        <f t="shared" si="25"/>
        <v>0</v>
      </c>
      <c r="I115" s="13">
        <f t="shared" si="25"/>
        <v>6</v>
      </c>
      <c r="J115" s="13">
        <f t="shared" si="25"/>
        <v>1</v>
      </c>
      <c r="K115" s="13">
        <f t="shared" si="25"/>
        <v>3</v>
      </c>
      <c r="L115" s="13">
        <f t="shared" si="25"/>
        <v>1</v>
      </c>
      <c r="M115" s="13">
        <f t="shared" si="25"/>
        <v>1</v>
      </c>
      <c r="N115" s="13">
        <f t="shared" si="25"/>
        <v>1</v>
      </c>
      <c r="O115" s="13">
        <f t="shared" si="25"/>
        <v>2</v>
      </c>
      <c r="P115" s="13">
        <f t="shared" si="25"/>
        <v>4</v>
      </c>
      <c r="Q115" s="13">
        <f t="shared" si="25"/>
        <v>5</v>
      </c>
      <c r="R115" s="13">
        <f t="shared" si="25"/>
        <v>5</v>
      </c>
      <c r="S115" s="13">
        <f t="shared" si="25"/>
        <v>3</v>
      </c>
      <c r="T115" s="13">
        <f t="shared" si="25"/>
        <v>1</v>
      </c>
      <c r="U115" s="13">
        <f t="shared" si="25"/>
        <v>35</v>
      </c>
    </row>
    <row r="116" ht="12.75" customHeight="1">
      <c r="A116" s="24"/>
      <c r="B116" s="15"/>
      <c r="C116" s="15"/>
      <c r="D116" s="15"/>
      <c r="E116" s="16"/>
      <c r="F116" s="84"/>
      <c r="G116" s="84"/>
      <c r="H116" s="84"/>
      <c r="I116" s="84"/>
      <c r="J116" s="84"/>
      <c r="K116" s="84"/>
      <c r="L116" s="84"/>
      <c r="M116" s="84"/>
      <c r="N116" s="84"/>
      <c r="O116" s="84"/>
      <c r="P116" s="84"/>
      <c r="Q116" s="84"/>
      <c r="R116" s="84"/>
      <c r="S116" s="84"/>
      <c r="T116" s="84"/>
      <c r="U116" s="13"/>
    </row>
    <row r="117" ht="12.75" customHeight="1">
      <c r="A117" s="30" t="s">
        <v>37</v>
      </c>
      <c r="B117" s="47" t="s">
        <v>90</v>
      </c>
      <c r="C117" s="48" t="s">
        <v>91</v>
      </c>
      <c r="D117" s="16"/>
      <c r="E117" s="19">
        <v>1.0</v>
      </c>
      <c r="F117" s="19">
        <v>0.0</v>
      </c>
      <c r="G117" s="19">
        <v>0.0</v>
      </c>
      <c r="H117" s="19">
        <v>0.0</v>
      </c>
      <c r="I117" s="19">
        <v>0.0</v>
      </c>
      <c r="J117" s="19">
        <v>1.0</v>
      </c>
      <c r="K117" s="19">
        <v>0.0</v>
      </c>
      <c r="L117" s="19">
        <v>2.0</v>
      </c>
      <c r="M117" s="19">
        <v>1.0</v>
      </c>
      <c r="N117" s="19">
        <v>0.0</v>
      </c>
      <c r="O117" s="19">
        <v>0.0</v>
      </c>
      <c r="P117" s="19">
        <v>1.0</v>
      </c>
      <c r="Q117" s="19">
        <v>0.0</v>
      </c>
      <c r="R117" s="19">
        <v>2.0</v>
      </c>
      <c r="S117" s="19">
        <v>1.0</v>
      </c>
      <c r="T117" s="19">
        <v>1.0</v>
      </c>
      <c r="U117" s="13">
        <f t="shared" ref="U117:U126" si="26">SUM(E117:T117)</f>
        <v>10</v>
      </c>
    </row>
    <row r="118" ht="12.75" customHeight="1">
      <c r="A118" s="30" t="s">
        <v>39</v>
      </c>
      <c r="B118" s="55">
        <v>1.0</v>
      </c>
      <c r="C118" s="50" t="s">
        <v>92</v>
      </c>
      <c r="D118" s="60"/>
      <c r="E118" s="19">
        <v>0.0</v>
      </c>
      <c r="F118" s="19">
        <v>0.0</v>
      </c>
      <c r="G118" s="19">
        <v>0.0</v>
      </c>
      <c r="H118" s="19">
        <v>1.0</v>
      </c>
      <c r="I118" s="19">
        <v>0.0</v>
      </c>
      <c r="J118" s="19">
        <v>0.0</v>
      </c>
      <c r="K118" s="19">
        <v>0.0</v>
      </c>
      <c r="L118" s="19">
        <v>0.0</v>
      </c>
      <c r="M118" s="19">
        <v>0.0</v>
      </c>
      <c r="N118" s="19">
        <v>2.0</v>
      </c>
      <c r="O118" s="19">
        <v>0.0</v>
      </c>
      <c r="P118" s="19">
        <v>0.0</v>
      </c>
      <c r="Q118" s="19">
        <v>0.0</v>
      </c>
      <c r="R118" s="19">
        <v>0.0</v>
      </c>
      <c r="S118" s="19">
        <v>0.0</v>
      </c>
      <c r="T118" s="19">
        <v>0.0</v>
      </c>
      <c r="U118" s="13">
        <f t="shared" si="26"/>
        <v>3</v>
      </c>
    </row>
    <row r="119" ht="12.75" customHeight="1">
      <c r="A119" s="18"/>
      <c r="B119" s="55">
        <v>2.0</v>
      </c>
      <c r="C119" s="50" t="s">
        <v>93</v>
      </c>
      <c r="D119" s="60"/>
      <c r="E119" s="19">
        <v>0.0</v>
      </c>
      <c r="F119" s="19">
        <v>0.0</v>
      </c>
      <c r="G119" s="19">
        <v>0.0</v>
      </c>
      <c r="H119" s="19">
        <v>0.0</v>
      </c>
      <c r="I119" s="19">
        <v>0.0</v>
      </c>
      <c r="J119" s="19">
        <v>0.0</v>
      </c>
      <c r="K119" s="19">
        <v>0.0</v>
      </c>
      <c r="L119" s="19">
        <v>0.0</v>
      </c>
      <c r="M119" s="19">
        <v>0.0</v>
      </c>
      <c r="N119" s="19">
        <v>1.0</v>
      </c>
      <c r="O119" s="19">
        <v>0.0</v>
      </c>
      <c r="P119" s="19">
        <v>0.0</v>
      </c>
      <c r="Q119" s="19">
        <v>0.0</v>
      </c>
      <c r="R119" s="19">
        <v>1.0</v>
      </c>
      <c r="S119" s="19">
        <v>0.0</v>
      </c>
      <c r="T119" s="19">
        <v>0.0</v>
      </c>
      <c r="U119" s="13">
        <f t="shared" si="26"/>
        <v>2</v>
      </c>
    </row>
    <row r="120" ht="12.75" customHeight="1">
      <c r="A120" s="18"/>
      <c r="B120" s="55">
        <v>3.0</v>
      </c>
      <c r="C120" s="50" t="s">
        <v>94</v>
      </c>
      <c r="D120" s="60"/>
      <c r="E120" s="19">
        <v>0.0</v>
      </c>
      <c r="F120" s="19">
        <v>0.0</v>
      </c>
      <c r="G120" s="19">
        <v>0.0</v>
      </c>
      <c r="H120" s="19">
        <v>1.0</v>
      </c>
      <c r="I120" s="19">
        <v>0.0</v>
      </c>
      <c r="J120" s="19">
        <v>0.0</v>
      </c>
      <c r="K120" s="19">
        <v>1.0</v>
      </c>
      <c r="L120" s="19">
        <v>0.0</v>
      </c>
      <c r="M120" s="19">
        <v>0.0</v>
      </c>
      <c r="N120" s="19">
        <v>0.0</v>
      </c>
      <c r="O120" s="19">
        <v>0.0</v>
      </c>
      <c r="P120" s="19">
        <v>0.0</v>
      </c>
      <c r="Q120" s="19">
        <v>0.0</v>
      </c>
      <c r="R120" s="19">
        <v>0.0</v>
      </c>
      <c r="S120" s="19">
        <v>0.0</v>
      </c>
      <c r="T120" s="19">
        <v>0.0</v>
      </c>
      <c r="U120" s="13">
        <f t="shared" si="26"/>
        <v>2</v>
      </c>
    </row>
    <row r="121" ht="12.75" customHeight="1">
      <c r="A121" s="18"/>
      <c r="B121" s="56"/>
      <c r="C121" s="57"/>
      <c r="D121" s="62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3">
        <f t="shared" si="26"/>
        <v>0</v>
      </c>
    </row>
    <row r="122" ht="12.75" customHeight="1">
      <c r="A122" s="18"/>
      <c r="B122" s="56"/>
      <c r="C122" s="57"/>
      <c r="D122" s="62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3">
        <f t="shared" si="26"/>
        <v>0</v>
      </c>
    </row>
    <row r="123" ht="12.75" customHeight="1">
      <c r="A123" s="18"/>
      <c r="B123" s="56"/>
      <c r="C123" s="57"/>
      <c r="D123" s="62"/>
      <c r="E123" s="63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13">
        <f t="shared" si="26"/>
        <v>0</v>
      </c>
    </row>
    <row r="124" ht="12.75" customHeight="1">
      <c r="A124" s="18"/>
      <c r="B124" s="56"/>
      <c r="C124" s="57"/>
      <c r="D124" s="62"/>
      <c r="E124" s="63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13">
        <f t="shared" si="26"/>
        <v>0</v>
      </c>
    </row>
    <row r="125" ht="12.75" customHeight="1">
      <c r="A125" s="18"/>
      <c r="B125" s="56"/>
      <c r="C125" s="57"/>
      <c r="D125" s="62"/>
      <c r="E125" s="63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13">
        <f t="shared" si="26"/>
        <v>0</v>
      </c>
    </row>
    <row r="126" ht="12.75" customHeight="1">
      <c r="A126" s="18"/>
      <c r="B126" s="56"/>
      <c r="C126" s="57"/>
      <c r="D126" s="62"/>
      <c r="E126" s="63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13">
        <f t="shared" si="26"/>
        <v>0</v>
      </c>
    </row>
    <row r="127" ht="12.75" customHeight="1">
      <c r="A127" s="19" t="s">
        <v>15</v>
      </c>
      <c r="B127" s="47" t="s">
        <v>47</v>
      </c>
      <c r="C127" s="15"/>
      <c r="D127" s="16"/>
      <c r="E127" s="13">
        <f t="shared" ref="E127:U127" si="27">SUM(E117:E126)</f>
        <v>1</v>
      </c>
      <c r="F127" s="13">
        <f t="shared" si="27"/>
        <v>0</v>
      </c>
      <c r="G127" s="13">
        <f t="shared" si="27"/>
        <v>0</v>
      </c>
      <c r="H127" s="13">
        <f t="shared" si="27"/>
        <v>2</v>
      </c>
      <c r="I127" s="13">
        <f t="shared" si="27"/>
        <v>0</v>
      </c>
      <c r="J127" s="13">
        <f t="shared" si="27"/>
        <v>1</v>
      </c>
      <c r="K127" s="13">
        <f t="shared" si="27"/>
        <v>1</v>
      </c>
      <c r="L127" s="13">
        <f t="shared" si="27"/>
        <v>2</v>
      </c>
      <c r="M127" s="13">
        <f t="shared" si="27"/>
        <v>1</v>
      </c>
      <c r="N127" s="13">
        <f t="shared" si="27"/>
        <v>3</v>
      </c>
      <c r="O127" s="13">
        <f t="shared" si="27"/>
        <v>0</v>
      </c>
      <c r="P127" s="13">
        <f t="shared" si="27"/>
        <v>1</v>
      </c>
      <c r="Q127" s="13">
        <f t="shared" si="27"/>
        <v>0</v>
      </c>
      <c r="R127" s="13">
        <f t="shared" si="27"/>
        <v>3</v>
      </c>
      <c r="S127" s="13">
        <f t="shared" si="27"/>
        <v>1</v>
      </c>
      <c r="T127" s="13">
        <f t="shared" si="27"/>
        <v>1</v>
      </c>
      <c r="U127" s="13">
        <f t="shared" si="27"/>
        <v>17</v>
      </c>
    </row>
    <row r="128" ht="12.75" customHeight="1">
      <c r="A128" s="24"/>
      <c r="B128" s="15"/>
      <c r="C128" s="15"/>
      <c r="D128" s="15"/>
      <c r="E128" s="16"/>
      <c r="F128" s="84"/>
      <c r="G128" s="84"/>
      <c r="H128" s="84"/>
      <c r="I128" s="84"/>
      <c r="J128" s="84"/>
      <c r="K128" s="84"/>
      <c r="L128" s="84"/>
      <c r="M128" s="84"/>
      <c r="N128" s="84"/>
      <c r="O128" s="84"/>
      <c r="P128" s="84"/>
      <c r="Q128" s="84"/>
      <c r="R128" s="84"/>
      <c r="S128" s="84"/>
      <c r="T128" s="84"/>
      <c r="U128" s="84"/>
    </row>
    <row r="129" ht="12.75" customHeight="1">
      <c r="A129" s="30" t="s">
        <v>37</v>
      </c>
      <c r="B129" s="47" t="s">
        <v>95</v>
      </c>
      <c r="C129" s="48" t="s">
        <v>96</v>
      </c>
      <c r="D129" s="16"/>
      <c r="E129" s="19">
        <v>0.0</v>
      </c>
      <c r="F129" s="19">
        <v>0.0</v>
      </c>
      <c r="G129" s="19">
        <v>1.0</v>
      </c>
      <c r="H129" s="19">
        <v>0.0</v>
      </c>
      <c r="I129" s="19">
        <v>1.0</v>
      </c>
      <c r="J129" s="19">
        <v>1.0</v>
      </c>
      <c r="K129" s="19">
        <v>0.0</v>
      </c>
      <c r="L129" s="19">
        <v>0.0</v>
      </c>
      <c r="M129" s="19">
        <v>0.0</v>
      </c>
      <c r="N129" s="19">
        <v>2.0</v>
      </c>
      <c r="O129" s="19">
        <v>1.0</v>
      </c>
      <c r="P129" s="19">
        <v>0.0</v>
      </c>
      <c r="Q129" s="19">
        <v>1.0</v>
      </c>
      <c r="R129" s="19">
        <v>0.0</v>
      </c>
      <c r="S129" s="19">
        <v>0.0</v>
      </c>
      <c r="T129" s="19">
        <v>0.0</v>
      </c>
      <c r="U129" s="13">
        <f t="shared" ref="U129:U138" si="28">SUM(E129:T129)</f>
        <v>7</v>
      </c>
    </row>
    <row r="130" ht="12.75" customHeight="1">
      <c r="A130" s="30" t="s">
        <v>39</v>
      </c>
      <c r="B130" s="55">
        <v>1.0</v>
      </c>
      <c r="C130" s="50" t="s">
        <v>97</v>
      </c>
      <c r="D130" s="59"/>
      <c r="E130" s="19">
        <v>0.0</v>
      </c>
      <c r="F130" s="19">
        <v>0.0</v>
      </c>
      <c r="G130" s="19">
        <v>0.0</v>
      </c>
      <c r="H130" s="19">
        <v>0.0</v>
      </c>
      <c r="I130" s="19">
        <v>0.0</v>
      </c>
      <c r="J130" s="19">
        <v>0.0</v>
      </c>
      <c r="K130" s="19">
        <v>0.0</v>
      </c>
      <c r="L130" s="19">
        <v>0.0</v>
      </c>
      <c r="M130" s="19">
        <v>0.0</v>
      </c>
      <c r="N130" s="19">
        <v>1.0</v>
      </c>
      <c r="O130" s="19">
        <v>0.0</v>
      </c>
      <c r="P130" s="19">
        <v>0.0</v>
      </c>
      <c r="Q130" s="19">
        <v>0.0</v>
      </c>
      <c r="R130" s="19">
        <v>2.0</v>
      </c>
      <c r="S130" s="19">
        <v>0.0</v>
      </c>
      <c r="T130" s="19">
        <v>0.0</v>
      </c>
      <c r="U130" s="13">
        <f t="shared" si="28"/>
        <v>3</v>
      </c>
    </row>
    <row r="131" ht="12.75" customHeight="1">
      <c r="A131" s="18"/>
      <c r="B131" s="55">
        <v>2.0</v>
      </c>
      <c r="C131" s="50" t="s">
        <v>98</v>
      </c>
      <c r="D131" s="59"/>
      <c r="E131" s="19">
        <v>0.0</v>
      </c>
      <c r="F131" s="19">
        <v>1.0</v>
      </c>
      <c r="G131" s="19">
        <v>0.0</v>
      </c>
      <c r="H131" s="19">
        <v>0.0</v>
      </c>
      <c r="I131" s="19">
        <v>2.0</v>
      </c>
      <c r="J131" s="19">
        <v>0.0</v>
      </c>
      <c r="K131" s="19">
        <v>1.0</v>
      </c>
      <c r="L131" s="19">
        <v>2.0</v>
      </c>
      <c r="M131" s="19">
        <v>1.0</v>
      </c>
      <c r="N131" s="19">
        <v>3.0</v>
      </c>
      <c r="O131" s="19">
        <v>0.0</v>
      </c>
      <c r="P131" s="19">
        <v>3.0</v>
      </c>
      <c r="Q131" s="19">
        <v>1.0</v>
      </c>
      <c r="R131" s="19">
        <v>2.0</v>
      </c>
      <c r="S131" s="19">
        <v>0.0</v>
      </c>
      <c r="T131" s="19">
        <v>0.0</v>
      </c>
      <c r="U131" s="13">
        <f t="shared" si="28"/>
        <v>16</v>
      </c>
    </row>
    <row r="132" ht="12.75" customHeight="1">
      <c r="A132" s="18"/>
      <c r="B132" s="55">
        <v>3.0</v>
      </c>
      <c r="C132" s="50" t="s">
        <v>99</v>
      </c>
      <c r="D132" s="59"/>
      <c r="E132" s="19">
        <v>0.0</v>
      </c>
      <c r="F132" s="19">
        <v>1.0</v>
      </c>
      <c r="G132" s="19">
        <v>0.0</v>
      </c>
      <c r="H132" s="19">
        <v>0.0</v>
      </c>
      <c r="I132" s="19">
        <v>0.0</v>
      </c>
      <c r="J132" s="19">
        <v>1.0</v>
      </c>
      <c r="K132" s="19">
        <v>0.0</v>
      </c>
      <c r="L132" s="19">
        <v>1.0</v>
      </c>
      <c r="M132" s="19">
        <v>0.0</v>
      </c>
      <c r="N132" s="19">
        <v>0.0</v>
      </c>
      <c r="O132" s="19">
        <v>0.0</v>
      </c>
      <c r="P132" s="19">
        <v>0.0</v>
      </c>
      <c r="Q132" s="19">
        <v>0.0</v>
      </c>
      <c r="R132" s="19">
        <v>0.0</v>
      </c>
      <c r="S132" s="19">
        <v>0.0</v>
      </c>
      <c r="T132" s="19">
        <v>1.0</v>
      </c>
      <c r="U132" s="13">
        <f t="shared" si="28"/>
        <v>4</v>
      </c>
    </row>
    <row r="133" ht="12.75" customHeight="1">
      <c r="A133" s="18"/>
      <c r="B133" s="55">
        <v>4.0</v>
      </c>
      <c r="C133" s="50" t="s">
        <v>100</v>
      </c>
      <c r="D133" s="59"/>
      <c r="E133" s="19">
        <v>0.0</v>
      </c>
      <c r="F133" s="19">
        <v>0.0</v>
      </c>
      <c r="G133" s="19">
        <v>0.0</v>
      </c>
      <c r="H133" s="19">
        <v>0.0</v>
      </c>
      <c r="I133" s="19">
        <v>0.0</v>
      </c>
      <c r="J133" s="19">
        <v>0.0</v>
      </c>
      <c r="K133" s="19">
        <v>0.0</v>
      </c>
      <c r="L133" s="19">
        <v>0.0</v>
      </c>
      <c r="M133" s="19">
        <v>0.0</v>
      </c>
      <c r="N133" s="19">
        <v>0.0</v>
      </c>
      <c r="O133" s="19">
        <v>0.0</v>
      </c>
      <c r="P133" s="19">
        <v>0.0</v>
      </c>
      <c r="Q133" s="19">
        <v>0.0</v>
      </c>
      <c r="R133" s="19">
        <v>0.0</v>
      </c>
      <c r="S133" s="19">
        <v>0.0</v>
      </c>
      <c r="T133" s="19">
        <v>0.0</v>
      </c>
      <c r="U133" s="13">
        <f t="shared" si="28"/>
        <v>0</v>
      </c>
    </row>
    <row r="134" ht="12.75" customHeight="1">
      <c r="A134" s="18"/>
      <c r="B134" s="55">
        <v>5.0</v>
      </c>
      <c r="C134" s="50" t="s">
        <v>101</v>
      </c>
      <c r="D134" s="59"/>
      <c r="E134" s="19">
        <v>0.0</v>
      </c>
      <c r="F134" s="19">
        <v>0.0</v>
      </c>
      <c r="G134" s="19">
        <v>0.0</v>
      </c>
      <c r="H134" s="19">
        <v>0.0</v>
      </c>
      <c r="I134" s="19">
        <v>0.0</v>
      </c>
      <c r="J134" s="19">
        <v>0.0</v>
      </c>
      <c r="K134" s="19">
        <v>0.0</v>
      </c>
      <c r="L134" s="19">
        <v>1.0</v>
      </c>
      <c r="M134" s="19">
        <v>0.0</v>
      </c>
      <c r="N134" s="19">
        <v>0.0</v>
      </c>
      <c r="O134" s="19">
        <v>0.0</v>
      </c>
      <c r="P134" s="19">
        <v>0.0</v>
      </c>
      <c r="Q134" s="19">
        <v>0.0</v>
      </c>
      <c r="R134" s="19">
        <v>0.0</v>
      </c>
      <c r="S134" s="19">
        <v>0.0</v>
      </c>
      <c r="T134" s="19">
        <v>0.0</v>
      </c>
      <c r="U134" s="13">
        <f t="shared" si="28"/>
        <v>1</v>
      </c>
    </row>
    <row r="135" ht="12.75" customHeight="1">
      <c r="A135" s="18"/>
      <c r="B135" s="55">
        <v>6.0</v>
      </c>
      <c r="C135" s="50" t="s">
        <v>102</v>
      </c>
      <c r="D135" s="60"/>
      <c r="E135" s="19">
        <v>0.0</v>
      </c>
      <c r="F135" s="19">
        <v>1.0</v>
      </c>
      <c r="G135" s="19">
        <v>0.0</v>
      </c>
      <c r="H135" s="19">
        <v>0.0</v>
      </c>
      <c r="I135" s="19">
        <v>0.0</v>
      </c>
      <c r="J135" s="19">
        <v>0.0</v>
      </c>
      <c r="K135" s="19">
        <v>0.0</v>
      </c>
      <c r="L135" s="19">
        <v>0.0</v>
      </c>
      <c r="M135" s="19">
        <v>0.0</v>
      </c>
      <c r="N135" s="19">
        <v>0.0</v>
      </c>
      <c r="O135" s="19">
        <v>0.0</v>
      </c>
      <c r="P135" s="19">
        <v>0.0</v>
      </c>
      <c r="Q135" s="19">
        <v>0.0</v>
      </c>
      <c r="R135" s="19">
        <v>0.0</v>
      </c>
      <c r="S135" s="19">
        <v>0.0</v>
      </c>
      <c r="T135" s="19">
        <v>0.0</v>
      </c>
      <c r="U135" s="13">
        <f t="shared" si="28"/>
        <v>1</v>
      </c>
    </row>
    <row r="136" ht="12.75" customHeight="1">
      <c r="A136" s="18"/>
      <c r="B136" s="55">
        <v>7.0</v>
      </c>
      <c r="C136" s="50" t="s">
        <v>103</v>
      </c>
      <c r="D136" s="59"/>
      <c r="E136" s="19">
        <v>0.0</v>
      </c>
      <c r="F136" s="19">
        <v>0.0</v>
      </c>
      <c r="G136" s="19">
        <v>0.0</v>
      </c>
      <c r="H136" s="19">
        <v>0.0</v>
      </c>
      <c r="I136" s="19">
        <v>0.0</v>
      </c>
      <c r="J136" s="19">
        <v>0.0</v>
      </c>
      <c r="K136" s="19">
        <v>0.0</v>
      </c>
      <c r="L136" s="19">
        <v>0.0</v>
      </c>
      <c r="M136" s="19">
        <v>0.0</v>
      </c>
      <c r="N136" s="19">
        <v>0.0</v>
      </c>
      <c r="O136" s="19">
        <v>0.0</v>
      </c>
      <c r="P136" s="19">
        <v>0.0</v>
      </c>
      <c r="Q136" s="19">
        <v>0.0</v>
      </c>
      <c r="R136" s="19">
        <v>0.0</v>
      </c>
      <c r="S136" s="19">
        <v>0.0</v>
      </c>
      <c r="T136" s="19">
        <v>0.0</v>
      </c>
      <c r="U136" s="13">
        <f t="shared" si="28"/>
        <v>0</v>
      </c>
    </row>
    <row r="137" ht="12.75" customHeight="1">
      <c r="A137" s="18"/>
      <c r="B137" s="56"/>
      <c r="C137" s="57"/>
      <c r="D137" s="61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3">
        <f t="shared" si="28"/>
        <v>0</v>
      </c>
    </row>
    <row r="138" ht="12.75" customHeight="1">
      <c r="A138" s="18"/>
      <c r="B138" s="56"/>
      <c r="C138" s="57"/>
      <c r="D138" s="61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3">
        <f t="shared" si="28"/>
        <v>0</v>
      </c>
    </row>
    <row r="139" ht="12.75" customHeight="1">
      <c r="A139" s="19" t="s">
        <v>15</v>
      </c>
      <c r="B139" s="47" t="s">
        <v>47</v>
      </c>
      <c r="C139" s="15"/>
      <c r="D139" s="16"/>
      <c r="E139" s="13">
        <f t="shared" ref="E139:U139" si="29">SUM(E129:E138)</f>
        <v>0</v>
      </c>
      <c r="F139" s="13">
        <f t="shared" si="29"/>
        <v>3</v>
      </c>
      <c r="G139" s="13">
        <f t="shared" si="29"/>
        <v>1</v>
      </c>
      <c r="H139" s="13">
        <f t="shared" si="29"/>
        <v>0</v>
      </c>
      <c r="I139" s="13">
        <f t="shared" si="29"/>
        <v>3</v>
      </c>
      <c r="J139" s="13">
        <f t="shared" si="29"/>
        <v>2</v>
      </c>
      <c r="K139" s="13">
        <f t="shared" si="29"/>
        <v>1</v>
      </c>
      <c r="L139" s="13">
        <f t="shared" si="29"/>
        <v>4</v>
      </c>
      <c r="M139" s="13">
        <f t="shared" si="29"/>
        <v>1</v>
      </c>
      <c r="N139" s="13">
        <f t="shared" si="29"/>
        <v>6</v>
      </c>
      <c r="O139" s="13">
        <f t="shared" si="29"/>
        <v>1</v>
      </c>
      <c r="P139" s="13">
        <f t="shared" si="29"/>
        <v>3</v>
      </c>
      <c r="Q139" s="13">
        <f t="shared" si="29"/>
        <v>2</v>
      </c>
      <c r="R139" s="13">
        <f t="shared" si="29"/>
        <v>4</v>
      </c>
      <c r="S139" s="13">
        <f t="shared" si="29"/>
        <v>0</v>
      </c>
      <c r="T139" s="13">
        <f t="shared" si="29"/>
        <v>1</v>
      </c>
      <c r="U139" s="13">
        <f t="shared" si="29"/>
        <v>32</v>
      </c>
    </row>
    <row r="140" ht="12.75" customHeight="1">
      <c r="A140" s="24"/>
      <c r="B140" s="15"/>
      <c r="C140" s="15"/>
      <c r="D140" s="15"/>
      <c r="E140" s="16"/>
      <c r="F140" s="84"/>
      <c r="G140" s="84"/>
      <c r="H140" s="84"/>
      <c r="I140" s="84"/>
      <c r="J140" s="84"/>
      <c r="K140" s="84"/>
      <c r="L140" s="84"/>
      <c r="M140" s="84"/>
      <c r="N140" s="84"/>
      <c r="O140" s="84"/>
      <c r="P140" s="84"/>
      <c r="Q140" s="84"/>
      <c r="R140" s="84"/>
      <c r="S140" s="84"/>
      <c r="T140" s="84"/>
      <c r="U140" s="84"/>
    </row>
    <row r="141" ht="12.75" customHeight="1">
      <c r="A141" s="30" t="s">
        <v>37</v>
      </c>
      <c r="B141" s="47" t="s">
        <v>104</v>
      </c>
      <c r="C141" s="48" t="s">
        <v>105</v>
      </c>
      <c r="D141" s="16"/>
      <c r="E141" s="19">
        <v>0.0</v>
      </c>
      <c r="F141" s="19">
        <v>0.0</v>
      </c>
      <c r="G141" s="19">
        <v>0.0</v>
      </c>
      <c r="H141" s="19">
        <v>0.0</v>
      </c>
      <c r="I141" s="19">
        <v>1.0</v>
      </c>
      <c r="J141" s="19">
        <v>0.0</v>
      </c>
      <c r="K141" s="19">
        <v>0.0</v>
      </c>
      <c r="L141" s="19">
        <v>1.0</v>
      </c>
      <c r="M141" s="19">
        <v>0.0</v>
      </c>
      <c r="N141" s="19">
        <v>0.0</v>
      </c>
      <c r="O141" s="19">
        <v>1.0</v>
      </c>
      <c r="P141" s="19">
        <v>0.0</v>
      </c>
      <c r="Q141" s="19">
        <v>0.0</v>
      </c>
      <c r="R141" s="19">
        <v>0.0</v>
      </c>
      <c r="S141" s="19">
        <v>0.0</v>
      </c>
      <c r="T141" s="19">
        <v>0.0</v>
      </c>
      <c r="U141" s="13">
        <f t="shared" ref="U141:U150" si="30">SUM(E141:T141)</f>
        <v>3</v>
      </c>
    </row>
    <row r="142" ht="12.75" customHeight="1">
      <c r="A142" s="30" t="s">
        <v>39</v>
      </c>
      <c r="B142" s="55">
        <v>1.0</v>
      </c>
      <c r="C142" s="50" t="s">
        <v>106</v>
      </c>
      <c r="D142" s="60"/>
      <c r="E142" s="19">
        <v>0.0</v>
      </c>
      <c r="F142" s="19">
        <v>0.0</v>
      </c>
      <c r="G142" s="19">
        <v>0.0</v>
      </c>
      <c r="H142" s="19">
        <v>0.0</v>
      </c>
      <c r="I142" s="19">
        <v>0.0</v>
      </c>
      <c r="J142" s="19">
        <v>0.0</v>
      </c>
      <c r="K142" s="19">
        <v>0.0</v>
      </c>
      <c r="L142" s="19">
        <v>0.0</v>
      </c>
      <c r="M142" s="19">
        <v>0.0</v>
      </c>
      <c r="N142" s="19">
        <v>0.0</v>
      </c>
      <c r="O142" s="19">
        <v>0.0</v>
      </c>
      <c r="P142" s="19">
        <v>0.0</v>
      </c>
      <c r="Q142" s="19">
        <v>0.0</v>
      </c>
      <c r="R142" s="19">
        <v>0.0</v>
      </c>
      <c r="S142" s="19">
        <v>0.0</v>
      </c>
      <c r="T142" s="19">
        <v>0.0</v>
      </c>
      <c r="U142" s="13">
        <f t="shared" si="30"/>
        <v>0</v>
      </c>
    </row>
    <row r="143" ht="12.75" customHeight="1">
      <c r="A143" s="18"/>
      <c r="B143" s="55">
        <v>2.0</v>
      </c>
      <c r="C143" s="50" t="s">
        <v>107</v>
      </c>
      <c r="D143" s="60"/>
      <c r="E143" s="19">
        <v>0.0</v>
      </c>
      <c r="F143" s="19">
        <v>0.0</v>
      </c>
      <c r="G143" s="19">
        <v>0.0</v>
      </c>
      <c r="H143" s="19">
        <v>0.0</v>
      </c>
      <c r="I143" s="19">
        <v>0.0</v>
      </c>
      <c r="J143" s="19">
        <v>0.0</v>
      </c>
      <c r="K143" s="19">
        <v>0.0</v>
      </c>
      <c r="L143" s="19">
        <v>0.0</v>
      </c>
      <c r="M143" s="19">
        <v>0.0</v>
      </c>
      <c r="N143" s="19">
        <v>0.0</v>
      </c>
      <c r="O143" s="19">
        <v>0.0</v>
      </c>
      <c r="P143" s="19">
        <v>0.0</v>
      </c>
      <c r="Q143" s="19">
        <v>0.0</v>
      </c>
      <c r="R143" s="19">
        <v>0.0</v>
      </c>
      <c r="S143" s="19">
        <v>0.0</v>
      </c>
      <c r="T143" s="19">
        <v>0.0</v>
      </c>
      <c r="U143" s="13">
        <f t="shared" si="30"/>
        <v>0</v>
      </c>
    </row>
    <row r="144" ht="12.75" customHeight="1">
      <c r="A144" s="18"/>
      <c r="B144" s="55">
        <v>3.0</v>
      </c>
      <c r="C144" s="50" t="s">
        <v>108</v>
      </c>
      <c r="D144" s="60"/>
      <c r="E144" s="19">
        <v>0.0</v>
      </c>
      <c r="F144" s="19">
        <v>0.0</v>
      </c>
      <c r="G144" s="19">
        <v>0.0</v>
      </c>
      <c r="H144" s="19">
        <v>0.0</v>
      </c>
      <c r="I144" s="19">
        <v>0.0</v>
      </c>
      <c r="J144" s="19">
        <v>0.0</v>
      </c>
      <c r="K144" s="19">
        <v>0.0</v>
      </c>
      <c r="L144" s="19">
        <v>0.0</v>
      </c>
      <c r="M144" s="19">
        <v>0.0</v>
      </c>
      <c r="N144" s="19">
        <v>0.0</v>
      </c>
      <c r="O144" s="19">
        <v>0.0</v>
      </c>
      <c r="P144" s="19">
        <v>0.0</v>
      </c>
      <c r="Q144" s="19">
        <v>0.0</v>
      </c>
      <c r="R144" s="19">
        <v>0.0</v>
      </c>
      <c r="S144" s="19">
        <v>0.0</v>
      </c>
      <c r="T144" s="19">
        <v>0.0</v>
      </c>
      <c r="U144" s="13">
        <f t="shared" si="30"/>
        <v>0</v>
      </c>
    </row>
    <row r="145" ht="12.75" customHeight="1">
      <c r="A145" s="18"/>
      <c r="B145" s="55">
        <v>4.0</v>
      </c>
      <c r="C145" s="50" t="s">
        <v>109</v>
      </c>
      <c r="D145" s="60"/>
      <c r="E145" s="19">
        <v>0.0</v>
      </c>
      <c r="F145" s="19">
        <v>0.0</v>
      </c>
      <c r="G145" s="19">
        <v>0.0</v>
      </c>
      <c r="H145" s="19">
        <v>0.0</v>
      </c>
      <c r="I145" s="19">
        <v>0.0</v>
      </c>
      <c r="J145" s="19">
        <v>0.0</v>
      </c>
      <c r="K145" s="19">
        <v>0.0</v>
      </c>
      <c r="L145" s="19">
        <v>0.0</v>
      </c>
      <c r="M145" s="19">
        <v>0.0</v>
      </c>
      <c r="N145" s="19">
        <v>0.0</v>
      </c>
      <c r="O145" s="19">
        <v>0.0</v>
      </c>
      <c r="P145" s="19">
        <v>0.0</v>
      </c>
      <c r="Q145" s="19">
        <v>0.0</v>
      </c>
      <c r="R145" s="19">
        <v>0.0</v>
      </c>
      <c r="S145" s="19">
        <v>0.0</v>
      </c>
      <c r="T145" s="19">
        <v>0.0</v>
      </c>
      <c r="U145" s="13">
        <f t="shared" si="30"/>
        <v>0</v>
      </c>
    </row>
    <row r="146" ht="12.75" customHeight="1">
      <c r="A146" s="18"/>
      <c r="B146" s="55">
        <v>5.0</v>
      </c>
      <c r="C146" s="50" t="s">
        <v>110</v>
      </c>
      <c r="D146" s="60"/>
      <c r="E146" s="19">
        <v>0.0</v>
      </c>
      <c r="F146" s="19">
        <v>0.0</v>
      </c>
      <c r="G146" s="19">
        <v>0.0</v>
      </c>
      <c r="H146" s="19">
        <v>0.0</v>
      </c>
      <c r="I146" s="19">
        <v>0.0</v>
      </c>
      <c r="J146" s="19">
        <v>0.0</v>
      </c>
      <c r="K146" s="19">
        <v>0.0</v>
      </c>
      <c r="L146" s="19">
        <v>0.0</v>
      </c>
      <c r="M146" s="19">
        <v>0.0</v>
      </c>
      <c r="N146" s="19">
        <v>0.0</v>
      </c>
      <c r="O146" s="19">
        <v>0.0</v>
      </c>
      <c r="P146" s="19">
        <v>0.0</v>
      </c>
      <c r="Q146" s="19">
        <v>0.0</v>
      </c>
      <c r="R146" s="19">
        <v>0.0</v>
      </c>
      <c r="S146" s="19">
        <v>0.0</v>
      </c>
      <c r="T146" s="19">
        <v>0.0</v>
      </c>
      <c r="U146" s="13">
        <f t="shared" si="30"/>
        <v>0</v>
      </c>
    </row>
    <row r="147" ht="12.75" customHeight="1">
      <c r="A147" s="18"/>
      <c r="B147" s="55">
        <v>6.0</v>
      </c>
      <c r="C147" s="50" t="s">
        <v>111</v>
      </c>
      <c r="D147" s="60"/>
      <c r="E147" s="19">
        <v>0.0</v>
      </c>
      <c r="F147" s="19">
        <v>0.0</v>
      </c>
      <c r="G147" s="19">
        <v>0.0</v>
      </c>
      <c r="H147" s="19">
        <v>0.0</v>
      </c>
      <c r="I147" s="19">
        <v>0.0</v>
      </c>
      <c r="J147" s="19">
        <v>0.0</v>
      </c>
      <c r="K147" s="19">
        <v>0.0</v>
      </c>
      <c r="L147" s="19">
        <v>0.0</v>
      </c>
      <c r="M147" s="19">
        <v>0.0</v>
      </c>
      <c r="N147" s="19">
        <v>0.0</v>
      </c>
      <c r="O147" s="19">
        <v>0.0</v>
      </c>
      <c r="P147" s="19">
        <v>0.0</v>
      </c>
      <c r="Q147" s="19">
        <v>0.0</v>
      </c>
      <c r="R147" s="19">
        <v>0.0</v>
      </c>
      <c r="S147" s="19">
        <v>0.0</v>
      </c>
      <c r="T147" s="19">
        <v>0.0</v>
      </c>
      <c r="U147" s="13">
        <f t="shared" si="30"/>
        <v>0</v>
      </c>
    </row>
    <row r="148" ht="12.75" customHeight="1">
      <c r="A148" s="18"/>
      <c r="B148" s="55">
        <v>7.0</v>
      </c>
      <c r="C148" s="50" t="s">
        <v>112</v>
      </c>
      <c r="D148" s="60"/>
      <c r="E148" s="19">
        <v>0.0</v>
      </c>
      <c r="F148" s="19">
        <v>0.0</v>
      </c>
      <c r="G148" s="19">
        <v>0.0</v>
      </c>
      <c r="H148" s="19">
        <v>0.0</v>
      </c>
      <c r="I148" s="19">
        <v>0.0</v>
      </c>
      <c r="J148" s="19">
        <v>0.0</v>
      </c>
      <c r="K148" s="19">
        <v>0.0</v>
      </c>
      <c r="L148" s="19">
        <v>0.0</v>
      </c>
      <c r="M148" s="19">
        <v>0.0</v>
      </c>
      <c r="N148" s="19">
        <v>0.0</v>
      </c>
      <c r="O148" s="19">
        <v>0.0</v>
      </c>
      <c r="P148" s="19">
        <v>0.0</v>
      </c>
      <c r="Q148" s="19">
        <v>0.0</v>
      </c>
      <c r="R148" s="19">
        <v>0.0</v>
      </c>
      <c r="S148" s="19">
        <v>0.0</v>
      </c>
      <c r="T148" s="19">
        <v>0.0</v>
      </c>
      <c r="U148" s="13">
        <f t="shared" si="30"/>
        <v>0</v>
      </c>
    </row>
    <row r="149" ht="12.75" customHeight="1">
      <c r="A149" s="18"/>
      <c r="B149" s="56"/>
      <c r="C149" s="57"/>
      <c r="D149" s="62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3">
        <f t="shared" si="30"/>
        <v>0</v>
      </c>
    </row>
    <row r="150" ht="12.75" customHeight="1">
      <c r="A150" s="18"/>
      <c r="B150" s="56"/>
      <c r="C150" s="57"/>
      <c r="D150" s="62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3">
        <f t="shared" si="30"/>
        <v>0</v>
      </c>
    </row>
    <row r="151" ht="12.75" customHeight="1">
      <c r="A151" s="19" t="s">
        <v>15</v>
      </c>
      <c r="B151" s="47" t="s">
        <v>47</v>
      </c>
      <c r="C151" s="15"/>
      <c r="D151" s="16"/>
      <c r="E151" s="13">
        <f t="shared" ref="E151:U151" si="31">SUM(E141:E150)</f>
        <v>0</v>
      </c>
      <c r="F151" s="13">
        <f t="shared" si="31"/>
        <v>0</v>
      </c>
      <c r="G151" s="13">
        <f t="shared" si="31"/>
        <v>0</v>
      </c>
      <c r="H151" s="13">
        <f t="shared" si="31"/>
        <v>0</v>
      </c>
      <c r="I151" s="13">
        <f t="shared" si="31"/>
        <v>1</v>
      </c>
      <c r="J151" s="13">
        <f t="shared" si="31"/>
        <v>0</v>
      </c>
      <c r="K151" s="13">
        <f t="shared" si="31"/>
        <v>0</v>
      </c>
      <c r="L151" s="13">
        <f t="shared" si="31"/>
        <v>1</v>
      </c>
      <c r="M151" s="13">
        <f t="shared" si="31"/>
        <v>0</v>
      </c>
      <c r="N151" s="13">
        <f t="shared" si="31"/>
        <v>0</v>
      </c>
      <c r="O151" s="13">
        <f t="shared" si="31"/>
        <v>1</v>
      </c>
      <c r="P151" s="13">
        <f t="shared" si="31"/>
        <v>0</v>
      </c>
      <c r="Q151" s="13">
        <f t="shared" si="31"/>
        <v>0</v>
      </c>
      <c r="R151" s="13">
        <f t="shared" si="31"/>
        <v>0</v>
      </c>
      <c r="S151" s="13">
        <f t="shared" si="31"/>
        <v>0</v>
      </c>
      <c r="T151" s="13">
        <f t="shared" si="31"/>
        <v>0</v>
      </c>
      <c r="U151" s="13">
        <f t="shared" si="31"/>
        <v>3</v>
      </c>
    </row>
    <row r="152" ht="12.75" customHeight="1">
      <c r="A152" s="24"/>
      <c r="B152" s="15"/>
      <c r="C152" s="15"/>
      <c r="D152" s="15"/>
      <c r="E152" s="16"/>
      <c r="F152" s="84"/>
      <c r="G152" s="84"/>
      <c r="H152" s="84"/>
      <c r="I152" s="84"/>
      <c r="J152" s="84"/>
      <c r="K152" s="84"/>
      <c r="L152" s="84"/>
      <c r="M152" s="84"/>
      <c r="N152" s="84"/>
      <c r="O152" s="84"/>
      <c r="P152" s="84"/>
      <c r="Q152" s="84"/>
      <c r="R152" s="84"/>
      <c r="S152" s="84"/>
      <c r="T152" s="84"/>
      <c r="U152" s="13"/>
    </row>
    <row r="153" ht="12.75" customHeight="1">
      <c r="A153" s="30" t="s">
        <v>37</v>
      </c>
      <c r="B153" s="17" t="s">
        <v>113</v>
      </c>
      <c r="C153" s="65" t="s">
        <v>114</v>
      </c>
      <c r="D153" s="23"/>
      <c r="E153" s="19">
        <v>0.0</v>
      </c>
      <c r="F153" s="19">
        <v>0.0</v>
      </c>
      <c r="G153" s="19">
        <v>0.0</v>
      </c>
      <c r="H153" s="19">
        <v>0.0</v>
      </c>
      <c r="I153" s="19">
        <v>0.0</v>
      </c>
      <c r="J153" s="19">
        <v>0.0</v>
      </c>
      <c r="K153" s="19">
        <v>0.0</v>
      </c>
      <c r="L153" s="19">
        <v>1.0</v>
      </c>
      <c r="M153" s="19">
        <v>1.0</v>
      </c>
      <c r="N153" s="19">
        <v>0.0</v>
      </c>
      <c r="O153" s="19">
        <v>0.0</v>
      </c>
      <c r="P153" s="19">
        <v>0.0</v>
      </c>
      <c r="Q153" s="19">
        <v>0.0</v>
      </c>
      <c r="R153" s="19">
        <v>0.0</v>
      </c>
      <c r="S153" s="19">
        <v>0.0</v>
      </c>
      <c r="T153" s="19">
        <v>1.0</v>
      </c>
      <c r="U153" s="13">
        <f t="shared" ref="U153:U163" si="32">SUM(E153:T153)</f>
        <v>3</v>
      </c>
    </row>
    <row r="154" ht="12.75" customHeight="1">
      <c r="A154" s="66" t="s">
        <v>39</v>
      </c>
      <c r="B154" s="55">
        <v>1.0</v>
      </c>
      <c r="C154" s="67" t="s">
        <v>115</v>
      </c>
      <c r="D154" s="60"/>
      <c r="E154" s="86">
        <v>0.0</v>
      </c>
      <c r="F154" s="19">
        <v>1.0</v>
      </c>
      <c r="G154" s="19">
        <v>0.0</v>
      </c>
      <c r="H154" s="19">
        <v>0.0</v>
      </c>
      <c r="I154" s="19">
        <v>0.0</v>
      </c>
      <c r="J154" s="19">
        <v>2.0</v>
      </c>
      <c r="K154" s="19">
        <v>0.0</v>
      </c>
      <c r="L154" s="19">
        <v>0.0</v>
      </c>
      <c r="M154" s="19">
        <v>0.0</v>
      </c>
      <c r="N154" s="19">
        <v>0.0</v>
      </c>
      <c r="O154" s="19">
        <v>0.0</v>
      </c>
      <c r="P154" s="19">
        <v>0.0</v>
      </c>
      <c r="Q154" s="19">
        <v>0.0</v>
      </c>
      <c r="R154" s="19">
        <v>0.0</v>
      </c>
      <c r="S154" s="19">
        <v>0.0</v>
      </c>
      <c r="T154" s="19">
        <v>0.0</v>
      </c>
      <c r="U154" s="13">
        <f t="shared" si="32"/>
        <v>3</v>
      </c>
    </row>
    <row r="155" ht="12.75" customHeight="1">
      <c r="A155" s="18"/>
      <c r="B155" s="55">
        <v>2.0</v>
      </c>
      <c r="C155" s="67" t="s">
        <v>116</v>
      </c>
      <c r="D155" s="60"/>
      <c r="E155" s="86">
        <v>0.0</v>
      </c>
      <c r="F155" s="19">
        <v>0.0</v>
      </c>
      <c r="G155" s="19">
        <v>0.0</v>
      </c>
      <c r="H155" s="19">
        <v>0.0</v>
      </c>
      <c r="I155" s="19">
        <v>0.0</v>
      </c>
      <c r="J155" s="19">
        <v>1.0</v>
      </c>
      <c r="K155" s="19">
        <v>1.0</v>
      </c>
      <c r="L155" s="19">
        <v>0.0</v>
      </c>
      <c r="M155" s="19">
        <v>0.0</v>
      </c>
      <c r="N155" s="19">
        <v>0.0</v>
      </c>
      <c r="O155" s="19">
        <v>0.0</v>
      </c>
      <c r="P155" s="19">
        <v>0.0</v>
      </c>
      <c r="Q155" s="19">
        <v>1.0</v>
      </c>
      <c r="R155" s="19">
        <v>0.0</v>
      </c>
      <c r="S155" s="19">
        <v>0.0</v>
      </c>
      <c r="T155" s="19">
        <v>0.0</v>
      </c>
      <c r="U155" s="13">
        <f t="shared" si="32"/>
        <v>3</v>
      </c>
    </row>
    <row r="156" ht="12.75" customHeight="1">
      <c r="A156" s="18"/>
      <c r="B156" s="55">
        <v>3.0</v>
      </c>
      <c r="C156" s="67" t="s">
        <v>117</v>
      </c>
      <c r="D156" s="60"/>
      <c r="E156" s="86">
        <v>0.0</v>
      </c>
      <c r="F156" s="19">
        <v>0.0</v>
      </c>
      <c r="G156" s="19">
        <v>0.0</v>
      </c>
      <c r="H156" s="19">
        <v>0.0</v>
      </c>
      <c r="I156" s="19">
        <v>0.0</v>
      </c>
      <c r="J156" s="19">
        <v>0.0</v>
      </c>
      <c r="K156" s="19">
        <v>0.0</v>
      </c>
      <c r="L156" s="19">
        <v>0.0</v>
      </c>
      <c r="M156" s="19">
        <v>0.0</v>
      </c>
      <c r="N156" s="19">
        <v>0.0</v>
      </c>
      <c r="O156" s="19">
        <v>0.0</v>
      </c>
      <c r="P156" s="19">
        <v>0.0</v>
      </c>
      <c r="Q156" s="19">
        <v>0.0</v>
      </c>
      <c r="R156" s="19">
        <v>0.0</v>
      </c>
      <c r="S156" s="19">
        <v>0.0</v>
      </c>
      <c r="T156" s="19">
        <v>0.0</v>
      </c>
      <c r="U156" s="13">
        <f t="shared" si="32"/>
        <v>0</v>
      </c>
    </row>
    <row r="157" ht="12.75" customHeight="1">
      <c r="A157" s="18"/>
      <c r="B157" s="55">
        <v>4.0</v>
      </c>
      <c r="C157" s="67" t="s">
        <v>118</v>
      </c>
      <c r="D157" s="60"/>
      <c r="E157" s="86">
        <v>0.0</v>
      </c>
      <c r="F157" s="19">
        <v>0.0</v>
      </c>
      <c r="G157" s="19">
        <v>0.0</v>
      </c>
      <c r="H157" s="19">
        <v>1.0</v>
      </c>
      <c r="I157" s="19">
        <v>0.0</v>
      </c>
      <c r="J157" s="19">
        <v>0.0</v>
      </c>
      <c r="K157" s="19">
        <v>1.0</v>
      </c>
      <c r="L157" s="19">
        <v>0.0</v>
      </c>
      <c r="M157" s="19">
        <v>0.0</v>
      </c>
      <c r="N157" s="19">
        <v>0.0</v>
      </c>
      <c r="O157" s="19">
        <v>0.0</v>
      </c>
      <c r="P157" s="19">
        <v>0.0</v>
      </c>
      <c r="Q157" s="19">
        <v>0.0</v>
      </c>
      <c r="R157" s="19">
        <v>0.0</v>
      </c>
      <c r="S157" s="19">
        <v>0.0</v>
      </c>
      <c r="T157" s="19">
        <v>0.0</v>
      </c>
      <c r="U157" s="13">
        <f t="shared" si="32"/>
        <v>2</v>
      </c>
    </row>
    <row r="158" ht="12.75" customHeight="1">
      <c r="A158" s="18"/>
      <c r="B158" s="56"/>
      <c r="C158" s="57"/>
      <c r="D158" s="62"/>
      <c r="E158" s="86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3">
        <f t="shared" si="32"/>
        <v>0</v>
      </c>
    </row>
    <row r="159" ht="12.75" customHeight="1">
      <c r="A159" s="18"/>
      <c r="B159" s="56"/>
      <c r="C159" s="57"/>
      <c r="D159" s="62"/>
      <c r="E159" s="86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3">
        <f t="shared" si="32"/>
        <v>0</v>
      </c>
    </row>
    <row r="160" ht="12.75" customHeight="1">
      <c r="A160" s="18"/>
      <c r="B160" s="56"/>
      <c r="C160" s="57"/>
      <c r="D160" s="62"/>
      <c r="E160" s="86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3">
        <f t="shared" si="32"/>
        <v>0</v>
      </c>
    </row>
    <row r="161" ht="12.75" customHeight="1">
      <c r="A161" s="18"/>
      <c r="B161" s="56"/>
      <c r="C161" s="68"/>
      <c r="D161" s="62"/>
      <c r="E161" s="86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3">
        <f t="shared" si="32"/>
        <v>0</v>
      </c>
    </row>
    <row r="162" ht="12.75" customHeight="1">
      <c r="A162" s="18"/>
      <c r="B162" s="56"/>
      <c r="C162" s="68"/>
      <c r="D162" s="62"/>
      <c r="E162" s="86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3">
        <f t="shared" si="32"/>
        <v>0</v>
      </c>
    </row>
    <row r="163" ht="12.75" customHeight="1">
      <c r="A163" s="19" t="s">
        <v>15</v>
      </c>
      <c r="B163" s="69" t="s">
        <v>47</v>
      </c>
      <c r="C163" s="44"/>
      <c r="D163" s="28"/>
      <c r="E163" s="13">
        <f t="shared" ref="E163:T163" si="33">SUM(E153:E162)</f>
        <v>0</v>
      </c>
      <c r="F163" s="13">
        <f t="shared" si="33"/>
        <v>1</v>
      </c>
      <c r="G163" s="13">
        <f t="shared" si="33"/>
        <v>0</v>
      </c>
      <c r="H163" s="13">
        <f t="shared" si="33"/>
        <v>1</v>
      </c>
      <c r="I163" s="13">
        <f t="shared" si="33"/>
        <v>0</v>
      </c>
      <c r="J163" s="13">
        <f t="shared" si="33"/>
        <v>3</v>
      </c>
      <c r="K163" s="13">
        <f t="shared" si="33"/>
        <v>2</v>
      </c>
      <c r="L163" s="13">
        <f t="shared" si="33"/>
        <v>1</v>
      </c>
      <c r="M163" s="13">
        <f t="shared" si="33"/>
        <v>1</v>
      </c>
      <c r="N163" s="13">
        <f t="shared" si="33"/>
        <v>0</v>
      </c>
      <c r="O163" s="13">
        <f t="shared" si="33"/>
        <v>0</v>
      </c>
      <c r="P163" s="13">
        <f t="shared" si="33"/>
        <v>0</v>
      </c>
      <c r="Q163" s="13">
        <f t="shared" si="33"/>
        <v>1</v>
      </c>
      <c r="R163" s="13">
        <f t="shared" si="33"/>
        <v>0</v>
      </c>
      <c r="S163" s="13">
        <f t="shared" si="33"/>
        <v>0</v>
      </c>
      <c r="T163" s="13">
        <f t="shared" si="33"/>
        <v>1</v>
      </c>
      <c r="U163" s="13">
        <f t="shared" si="32"/>
        <v>11</v>
      </c>
    </row>
    <row r="164" ht="12.75" customHeight="1">
      <c r="A164" s="24"/>
      <c r="B164" s="15"/>
      <c r="C164" s="15"/>
      <c r="D164" s="15"/>
      <c r="E164" s="16"/>
      <c r="F164" s="84"/>
      <c r="G164" s="84"/>
      <c r="H164" s="84"/>
      <c r="I164" s="84"/>
      <c r="J164" s="84"/>
      <c r="K164" s="84"/>
      <c r="L164" s="84"/>
      <c r="M164" s="84"/>
      <c r="N164" s="84"/>
      <c r="O164" s="84"/>
      <c r="P164" s="84"/>
      <c r="Q164" s="84"/>
      <c r="R164" s="84"/>
      <c r="S164" s="84"/>
      <c r="T164" s="84"/>
      <c r="U164" s="84"/>
    </row>
    <row r="165" ht="12.75" customHeight="1">
      <c r="A165" s="30" t="s">
        <v>37</v>
      </c>
      <c r="B165" s="47" t="s">
        <v>119</v>
      </c>
      <c r="C165" s="48" t="s">
        <v>120</v>
      </c>
      <c r="D165" s="16"/>
      <c r="E165" s="19">
        <v>0.0</v>
      </c>
      <c r="F165" s="19">
        <v>1.0</v>
      </c>
      <c r="G165" s="19">
        <v>0.0</v>
      </c>
      <c r="H165" s="19">
        <v>0.0</v>
      </c>
      <c r="I165" s="19">
        <v>0.0</v>
      </c>
      <c r="J165" s="19">
        <v>0.0</v>
      </c>
      <c r="K165" s="19">
        <v>0.0</v>
      </c>
      <c r="L165" s="19">
        <v>0.0</v>
      </c>
      <c r="M165" s="19">
        <v>0.0</v>
      </c>
      <c r="N165" s="19">
        <v>2.0</v>
      </c>
      <c r="O165" s="19">
        <v>0.0</v>
      </c>
      <c r="P165" s="19">
        <v>0.0</v>
      </c>
      <c r="Q165" s="19">
        <v>1.0</v>
      </c>
      <c r="R165" s="19">
        <v>0.0</v>
      </c>
      <c r="S165" s="19">
        <v>0.0</v>
      </c>
      <c r="T165" s="19">
        <v>0.0</v>
      </c>
      <c r="U165" s="13">
        <f t="shared" ref="U165:U174" si="34">SUM(E165:T165)</f>
        <v>4</v>
      </c>
    </row>
    <row r="166" ht="12.75" customHeight="1">
      <c r="A166" s="30" t="s">
        <v>39</v>
      </c>
      <c r="B166" s="55">
        <v>1.0</v>
      </c>
      <c r="C166" s="50" t="s">
        <v>121</v>
      </c>
      <c r="D166" s="60"/>
      <c r="E166" s="19">
        <v>0.0</v>
      </c>
      <c r="F166" s="19">
        <v>0.0</v>
      </c>
      <c r="G166" s="19">
        <v>0.0</v>
      </c>
      <c r="H166" s="19">
        <v>1.0</v>
      </c>
      <c r="I166" s="19">
        <v>1.0</v>
      </c>
      <c r="J166" s="19">
        <v>0.0</v>
      </c>
      <c r="K166" s="19">
        <v>1.0</v>
      </c>
      <c r="L166" s="19">
        <v>0.0</v>
      </c>
      <c r="M166" s="19">
        <v>0.0</v>
      </c>
      <c r="N166" s="19">
        <v>0.0</v>
      </c>
      <c r="O166" s="19">
        <v>1.0</v>
      </c>
      <c r="P166" s="19">
        <v>1.0</v>
      </c>
      <c r="Q166" s="19">
        <v>1.0</v>
      </c>
      <c r="R166" s="19">
        <v>0.0</v>
      </c>
      <c r="S166" s="19">
        <v>0.0</v>
      </c>
      <c r="T166" s="19">
        <v>2.0</v>
      </c>
      <c r="U166" s="13">
        <f t="shared" si="34"/>
        <v>8</v>
      </c>
    </row>
    <row r="167" ht="12.75" customHeight="1">
      <c r="A167" s="18"/>
      <c r="B167" s="55">
        <v>2.0</v>
      </c>
      <c r="C167" s="50" t="s">
        <v>122</v>
      </c>
      <c r="D167" s="60"/>
      <c r="E167" s="19">
        <v>0.0</v>
      </c>
      <c r="F167" s="19">
        <v>0.0</v>
      </c>
      <c r="G167" s="19">
        <v>0.0</v>
      </c>
      <c r="H167" s="19">
        <v>0.0</v>
      </c>
      <c r="I167" s="19">
        <v>0.0</v>
      </c>
      <c r="J167" s="19">
        <v>0.0</v>
      </c>
      <c r="K167" s="19">
        <v>0.0</v>
      </c>
      <c r="L167" s="19">
        <v>0.0</v>
      </c>
      <c r="M167" s="19">
        <v>0.0</v>
      </c>
      <c r="N167" s="19">
        <v>0.0</v>
      </c>
      <c r="O167" s="19">
        <v>0.0</v>
      </c>
      <c r="P167" s="19">
        <v>0.0</v>
      </c>
      <c r="Q167" s="19">
        <v>0.0</v>
      </c>
      <c r="R167" s="19">
        <v>0.0</v>
      </c>
      <c r="S167" s="19">
        <v>0.0</v>
      </c>
      <c r="T167" s="19">
        <v>0.0</v>
      </c>
      <c r="U167" s="13">
        <f t="shared" si="34"/>
        <v>0</v>
      </c>
    </row>
    <row r="168" ht="12.75" customHeight="1">
      <c r="A168" s="18"/>
      <c r="B168" s="55">
        <v>3.0</v>
      </c>
      <c r="C168" s="50" t="s">
        <v>123</v>
      </c>
      <c r="D168" s="60"/>
      <c r="E168" s="19">
        <v>0.0</v>
      </c>
      <c r="F168" s="19">
        <v>0.0</v>
      </c>
      <c r="G168" s="19">
        <v>0.0</v>
      </c>
      <c r="H168" s="19">
        <v>0.0</v>
      </c>
      <c r="I168" s="19">
        <v>1.0</v>
      </c>
      <c r="J168" s="19">
        <v>0.0</v>
      </c>
      <c r="K168" s="19">
        <v>0.0</v>
      </c>
      <c r="L168" s="19">
        <v>0.0</v>
      </c>
      <c r="M168" s="19">
        <v>0.0</v>
      </c>
      <c r="N168" s="19">
        <v>0.0</v>
      </c>
      <c r="O168" s="19">
        <v>0.0</v>
      </c>
      <c r="P168" s="19">
        <v>0.0</v>
      </c>
      <c r="Q168" s="19">
        <v>0.0</v>
      </c>
      <c r="R168" s="19">
        <v>0.0</v>
      </c>
      <c r="S168" s="19">
        <v>0.0</v>
      </c>
      <c r="T168" s="19">
        <v>0.0</v>
      </c>
      <c r="U168" s="13">
        <f t="shared" si="34"/>
        <v>1</v>
      </c>
    </row>
    <row r="169" ht="12.75" customHeight="1">
      <c r="A169" s="18"/>
      <c r="B169" s="55">
        <v>4.0</v>
      </c>
      <c r="C169" s="50" t="s">
        <v>124</v>
      </c>
      <c r="D169" s="60"/>
      <c r="E169" s="19">
        <v>0.0</v>
      </c>
      <c r="F169" s="19">
        <v>0.0</v>
      </c>
      <c r="G169" s="19">
        <v>0.0</v>
      </c>
      <c r="H169" s="19">
        <v>0.0</v>
      </c>
      <c r="I169" s="19">
        <v>0.0</v>
      </c>
      <c r="J169" s="19">
        <v>0.0</v>
      </c>
      <c r="K169" s="19">
        <v>0.0</v>
      </c>
      <c r="L169" s="19">
        <v>0.0</v>
      </c>
      <c r="M169" s="19">
        <v>0.0</v>
      </c>
      <c r="N169" s="19">
        <v>0.0</v>
      </c>
      <c r="O169" s="19">
        <v>0.0</v>
      </c>
      <c r="P169" s="19">
        <v>0.0</v>
      </c>
      <c r="Q169" s="19">
        <v>0.0</v>
      </c>
      <c r="R169" s="19">
        <v>0.0</v>
      </c>
      <c r="S169" s="19">
        <v>0.0</v>
      </c>
      <c r="T169" s="19">
        <v>0.0</v>
      </c>
      <c r="U169" s="13">
        <f t="shared" si="34"/>
        <v>0</v>
      </c>
    </row>
    <row r="170" ht="12.75" customHeight="1">
      <c r="A170" s="18"/>
      <c r="B170" s="55">
        <v>5.0</v>
      </c>
      <c r="C170" s="50" t="s">
        <v>125</v>
      </c>
      <c r="D170" s="60"/>
      <c r="E170" s="19">
        <v>0.0</v>
      </c>
      <c r="F170" s="19">
        <v>0.0</v>
      </c>
      <c r="G170" s="19">
        <v>0.0</v>
      </c>
      <c r="H170" s="19">
        <v>0.0</v>
      </c>
      <c r="I170" s="19">
        <v>0.0</v>
      </c>
      <c r="J170" s="19">
        <v>0.0</v>
      </c>
      <c r="K170" s="19">
        <v>0.0</v>
      </c>
      <c r="L170" s="19">
        <v>0.0</v>
      </c>
      <c r="M170" s="19">
        <v>0.0</v>
      </c>
      <c r="N170" s="19">
        <v>0.0</v>
      </c>
      <c r="O170" s="19">
        <v>0.0</v>
      </c>
      <c r="P170" s="19">
        <v>0.0</v>
      </c>
      <c r="Q170" s="19">
        <v>0.0</v>
      </c>
      <c r="R170" s="19">
        <v>0.0</v>
      </c>
      <c r="S170" s="19">
        <v>0.0</v>
      </c>
      <c r="T170" s="19">
        <v>0.0</v>
      </c>
      <c r="U170" s="13">
        <f t="shared" si="34"/>
        <v>0</v>
      </c>
    </row>
    <row r="171" ht="12.75" customHeight="1">
      <c r="A171" s="18"/>
      <c r="B171" s="55">
        <v>6.0</v>
      </c>
      <c r="C171" s="50" t="s">
        <v>126</v>
      </c>
      <c r="D171" s="60"/>
      <c r="E171" s="19">
        <v>0.0</v>
      </c>
      <c r="F171" s="19">
        <v>0.0</v>
      </c>
      <c r="G171" s="19">
        <v>0.0</v>
      </c>
      <c r="H171" s="19">
        <v>0.0</v>
      </c>
      <c r="I171" s="19">
        <v>0.0</v>
      </c>
      <c r="J171" s="19">
        <v>0.0</v>
      </c>
      <c r="K171" s="19">
        <v>0.0</v>
      </c>
      <c r="L171" s="19">
        <v>0.0</v>
      </c>
      <c r="M171" s="19">
        <v>0.0</v>
      </c>
      <c r="N171" s="19">
        <v>0.0</v>
      </c>
      <c r="O171" s="19">
        <v>0.0</v>
      </c>
      <c r="P171" s="19">
        <v>0.0</v>
      </c>
      <c r="Q171" s="19">
        <v>0.0</v>
      </c>
      <c r="R171" s="19">
        <v>0.0</v>
      </c>
      <c r="S171" s="19">
        <v>0.0</v>
      </c>
      <c r="T171" s="19">
        <v>0.0</v>
      </c>
      <c r="U171" s="13">
        <f t="shared" si="34"/>
        <v>0</v>
      </c>
    </row>
    <row r="172" ht="12.75" customHeight="1">
      <c r="A172" s="18"/>
      <c r="B172" s="55">
        <v>7.0</v>
      </c>
      <c r="C172" s="50" t="s">
        <v>127</v>
      </c>
      <c r="D172" s="60"/>
      <c r="E172" s="19">
        <v>0.0</v>
      </c>
      <c r="F172" s="19">
        <v>0.0</v>
      </c>
      <c r="G172" s="19">
        <v>0.0</v>
      </c>
      <c r="H172" s="19">
        <v>0.0</v>
      </c>
      <c r="I172" s="19">
        <v>0.0</v>
      </c>
      <c r="J172" s="19">
        <v>0.0</v>
      </c>
      <c r="K172" s="19">
        <v>0.0</v>
      </c>
      <c r="L172" s="19">
        <v>0.0</v>
      </c>
      <c r="M172" s="19">
        <v>0.0</v>
      </c>
      <c r="N172" s="19">
        <v>0.0</v>
      </c>
      <c r="O172" s="19">
        <v>0.0</v>
      </c>
      <c r="P172" s="19">
        <v>0.0</v>
      </c>
      <c r="Q172" s="19">
        <v>0.0</v>
      </c>
      <c r="R172" s="19">
        <v>0.0</v>
      </c>
      <c r="S172" s="19">
        <v>0.0</v>
      </c>
      <c r="T172" s="19">
        <v>0.0</v>
      </c>
      <c r="U172" s="13">
        <f t="shared" si="34"/>
        <v>0</v>
      </c>
    </row>
    <row r="173" ht="12.75" customHeight="1">
      <c r="A173" s="18"/>
      <c r="B173" s="56"/>
      <c r="C173" s="57"/>
      <c r="D173" s="62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3">
        <f t="shared" si="34"/>
        <v>0</v>
      </c>
    </row>
    <row r="174" ht="12.75" customHeight="1">
      <c r="A174" s="18"/>
      <c r="B174" s="56"/>
      <c r="C174" s="57"/>
      <c r="D174" s="62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3">
        <f t="shared" si="34"/>
        <v>0</v>
      </c>
    </row>
    <row r="175" ht="12.75" customHeight="1">
      <c r="A175" s="19" t="s">
        <v>15</v>
      </c>
      <c r="B175" s="47" t="s">
        <v>47</v>
      </c>
      <c r="C175" s="15"/>
      <c r="D175" s="16"/>
      <c r="E175" s="13">
        <f t="shared" ref="E175:U175" si="35">SUM(E165:E174)</f>
        <v>0</v>
      </c>
      <c r="F175" s="13">
        <f t="shared" si="35"/>
        <v>1</v>
      </c>
      <c r="G175" s="13">
        <f t="shared" si="35"/>
        <v>0</v>
      </c>
      <c r="H175" s="13">
        <f t="shared" si="35"/>
        <v>1</v>
      </c>
      <c r="I175" s="13">
        <f t="shared" si="35"/>
        <v>2</v>
      </c>
      <c r="J175" s="13">
        <f t="shared" si="35"/>
        <v>0</v>
      </c>
      <c r="K175" s="13">
        <f t="shared" si="35"/>
        <v>1</v>
      </c>
      <c r="L175" s="13">
        <f t="shared" si="35"/>
        <v>0</v>
      </c>
      <c r="M175" s="13">
        <f t="shared" si="35"/>
        <v>0</v>
      </c>
      <c r="N175" s="13">
        <f t="shared" si="35"/>
        <v>2</v>
      </c>
      <c r="O175" s="13">
        <f t="shared" si="35"/>
        <v>1</v>
      </c>
      <c r="P175" s="13">
        <f t="shared" si="35"/>
        <v>1</v>
      </c>
      <c r="Q175" s="13">
        <f t="shared" si="35"/>
        <v>2</v>
      </c>
      <c r="R175" s="13">
        <f t="shared" si="35"/>
        <v>0</v>
      </c>
      <c r="S175" s="13">
        <f t="shared" si="35"/>
        <v>0</v>
      </c>
      <c r="T175" s="13">
        <f t="shared" si="35"/>
        <v>2</v>
      </c>
      <c r="U175" s="13">
        <f t="shared" si="35"/>
        <v>13</v>
      </c>
    </row>
    <row r="176" ht="12.75" customHeight="1">
      <c r="A176" s="24"/>
      <c r="B176" s="15"/>
      <c r="C176" s="15"/>
      <c r="D176" s="15"/>
      <c r="E176" s="16"/>
      <c r="F176" s="84"/>
      <c r="G176" s="84"/>
      <c r="H176" s="84"/>
      <c r="I176" s="84"/>
      <c r="J176" s="84"/>
      <c r="K176" s="84"/>
      <c r="L176" s="84"/>
      <c r="M176" s="84"/>
      <c r="N176" s="84"/>
      <c r="O176" s="84"/>
      <c r="P176" s="84"/>
      <c r="Q176" s="84"/>
      <c r="R176" s="84"/>
      <c r="S176" s="84"/>
      <c r="T176" s="84"/>
      <c r="U176" s="84"/>
    </row>
    <row r="177" ht="12.75" customHeight="1">
      <c r="A177" s="30" t="s">
        <v>37</v>
      </c>
      <c r="B177" s="47" t="s">
        <v>128</v>
      </c>
      <c r="C177" s="48" t="s">
        <v>129</v>
      </c>
      <c r="D177" s="16"/>
      <c r="E177" s="19">
        <v>0.0</v>
      </c>
      <c r="F177" s="19">
        <v>0.0</v>
      </c>
      <c r="G177" s="19">
        <v>0.0</v>
      </c>
      <c r="H177" s="19">
        <v>1.0</v>
      </c>
      <c r="I177" s="19">
        <v>0.0</v>
      </c>
      <c r="J177" s="19">
        <v>0.0</v>
      </c>
      <c r="K177" s="19">
        <v>2.0</v>
      </c>
      <c r="L177" s="19">
        <v>2.0</v>
      </c>
      <c r="M177" s="19">
        <v>1.0</v>
      </c>
      <c r="N177" s="19">
        <v>1.0</v>
      </c>
      <c r="O177" s="19">
        <v>1.0</v>
      </c>
      <c r="P177" s="19">
        <v>1.0</v>
      </c>
      <c r="Q177" s="19">
        <v>2.0</v>
      </c>
      <c r="R177" s="19">
        <v>0.0</v>
      </c>
      <c r="S177" s="19">
        <v>1.0</v>
      </c>
      <c r="T177" s="19">
        <v>0.0</v>
      </c>
      <c r="U177" s="13">
        <f t="shared" ref="U177:U186" si="36">SUM(E177:T177)</f>
        <v>12</v>
      </c>
    </row>
    <row r="178" ht="12.75" customHeight="1">
      <c r="A178" s="30" t="s">
        <v>39</v>
      </c>
      <c r="B178" s="55">
        <v>1.0</v>
      </c>
      <c r="C178" s="50" t="s">
        <v>130</v>
      </c>
      <c r="D178" s="60"/>
      <c r="E178" s="19">
        <v>0.0</v>
      </c>
      <c r="F178" s="19">
        <v>0.0</v>
      </c>
      <c r="G178" s="19">
        <v>0.0</v>
      </c>
      <c r="H178" s="19">
        <v>0.0</v>
      </c>
      <c r="I178" s="19">
        <v>2.0</v>
      </c>
      <c r="J178" s="19">
        <v>0.0</v>
      </c>
      <c r="K178" s="19">
        <v>1.0</v>
      </c>
      <c r="L178" s="19">
        <v>6.0</v>
      </c>
      <c r="M178" s="19">
        <v>6.0</v>
      </c>
      <c r="N178" s="19">
        <v>1.0</v>
      </c>
      <c r="O178" s="19">
        <v>0.0</v>
      </c>
      <c r="P178" s="19">
        <v>2.0</v>
      </c>
      <c r="Q178" s="19">
        <v>8.0</v>
      </c>
      <c r="R178" s="19">
        <v>1.0</v>
      </c>
      <c r="S178" s="19">
        <v>0.0</v>
      </c>
      <c r="T178" s="19">
        <v>0.0</v>
      </c>
      <c r="U178" s="13">
        <f t="shared" si="36"/>
        <v>27</v>
      </c>
    </row>
    <row r="179" ht="12.75" customHeight="1">
      <c r="A179" s="18"/>
      <c r="B179" s="55">
        <v>2.0</v>
      </c>
      <c r="C179" s="50" t="s">
        <v>131</v>
      </c>
      <c r="D179" s="60"/>
      <c r="E179" s="19">
        <v>0.0</v>
      </c>
      <c r="F179" s="19">
        <v>0.0</v>
      </c>
      <c r="G179" s="19">
        <v>0.0</v>
      </c>
      <c r="H179" s="19">
        <v>0.0</v>
      </c>
      <c r="I179" s="19">
        <v>0.0</v>
      </c>
      <c r="J179" s="19">
        <v>0.0</v>
      </c>
      <c r="K179" s="19">
        <v>0.0</v>
      </c>
      <c r="L179" s="19">
        <v>0.0</v>
      </c>
      <c r="M179" s="19">
        <v>1.0</v>
      </c>
      <c r="N179" s="19">
        <v>0.0</v>
      </c>
      <c r="O179" s="19">
        <v>0.0</v>
      </c>
      <c r="P179" s="19">
        <v>1.0</v>
      </c>
      <c r="Q179" s="19">
        <v>1.0</v>
      </c>
      <c r="R179" s="19">
        <v>2.0</v>
      </c>
      <c r="S179" s="19">
        <v>0.0</v>
      </c>
      <c r="T179" s="19">
        <v>0.0</v>
      </c>
      <c r="U179" s="13">
        <f t="shared" si="36"/>
        <v>5</v>
      </c>
    </row>
    <row r="180" ht="12.75" customHeight="1">
      <c r="A180" s="18"/>
      <c r="B180" s="55">
        <v>3.0</v>
      </c>
      <c r="C180" s="50" t="s">
        <v>132</v>
      </c>
      <c r="D180" s="60"/>
      <c r="E180" s="19">
        <v>0.0</v>
      </c>
      <c r="F180" s="19">
        <v>0.0</v>
      </c>
      <c r="G180" s="19">
        <v>0.0</v>
      </c>
      <c r="H180" s="19">
        <v>0.0</v>
      </c>
      <c r="I180" s="19">
        <v>0.0</v>
      </c>
      <c r="J180" s="19">
        <v>0.0</v>
      </c>
      <c r="K180" s="19">
        <v>0.0</v>
      </c>
      <c r="L180" s="19">
        <v>0.0</v>
      </c>
      <c r="M180" s="19">
        <v>0.0</v>
      </c>
      <c r="N180" s="19">
        <v>0.0</v>
      </c>
      <c r="O180" s="19">
        <v>0.0</v>
      </c>
      <c r="P180" s="19">
        <v>0.0</v>
      </c>
      <c r="Q180" s="19">
        <v>0.0</v>
      </c>
      <c r="R180" s="19">
        <v>0.0</v>
      </c>
      <c r="S180" s="19">
        <v>0.0</v>
      </c>
      <c r="T180" s="19">
        <v>0.0</v>
      </c>
      <c r="U180" s="13">
        <f t="shared" si="36"/>
        <v>0</v>
      </c>
    </row>
    <row r="181" ht="12.75" customHeight="1">
      <c r="A181" s="18"/>
      <c r="B181" s="55">
        <v>4.0</v>
      </c>
      <c r="C181" s="50" t="s">
        <v>133</v>
      </c>
      <c r="D181" s="60"/>
      <c r="E181" s="19">
        <v>0.0</v>
      </c>
      <c r="F181" s="19">
        <v>0.0</v>
      </c>
      <c r="G181" s="19">
        <v>0.0</v>
      </c>
      <c r="H181" s="19">
        <v>0.0</v>
      </c>
      <c r="I181" s="19">
        <v>0.0</v>
      </c>
      <c r="J181" s="19">
        <v>0.0</v>
      </c>
      <c r="K181" s="19">
        <v>0.0</v>
      </c>
      <c r="L181" s="19">
        <v>0.0</v>
      </c>
      <c r="M181" s="19">
        <v>0.0</v>
      </c>
      <c r="N181" s="19">
        <v>1.0</v>
      </c>
      <c r="O181" s="19">
        <v>0.0</v>
      </c>
      <c r="P181" s="19">
        <v>0.0</v>
      </c>
      <c r="Q181" s="19">
        <v>0.0</v>
      </c>
      <c r="R181" s="19">
        <v>0.0</v>
      </c>
      <c r="S181" s="19">
        <v>0.0</v>
      </c>
      <c r="T181" s="19">
        <v>0.0</v>
      </c>
      <c r="U181" s="13">
        <f t="shared" si="36"/>
        <v>1</v>
      </c>
    </row>
    <row r="182" ht="12.75" customHeight="1">
      <c r="A182" s="18"/>
      <c r="B182" s="55">
        <v>5.0</v>
      </c>
      <c r="C182" s="50" t="s">
        <v>134</v>
      </c>
      <c r="D182" s="60"/>
      <c r="E182" s="19">
        <v>0.0</v>
      </c>
      <c r="F182" s="19">
        <v>0.0</v>
      </c>
      <c r="G182" s="19">
        <v>0.0</v>
      </c>
      <c r="H182" s="19">
        <v>1.0</v>
      </c>
      <c r="I182" s="19">
        <v>0.0</v>
      </c>
      <c r="J182" s="19">
        <v>0.0</v>
      </c>
      <c r="K182" s="19">
        <v>0.0</v>
      </c>
      <c r="L182" s="19">
        <v>0.0</v>
      </c>
      <c r="M182" s="19">
        <v>0.0</v>
      </c>
      <c r="N182" s="19">
        <v>1.0</v>
      </c>
      <c r="O182" s="19">
        <v>0.0</v>
      </c>
      <c r="P182" s="19">
        <v>0.0</v>
      </c>
      <c r="Q182" s="19">
        <v>0.0</v>
      </c>
      <c r="R182" s="19">
        <v>0.0</v>
      </c>
      <c r="S182" s="19">
        <v>0.0</v>
      </c>
      <c r="T182" s="19">
        <v>0.0</v>
      </c>
      <c r="U182" s="13">
        <f t="shared" si="36"/>
        <v>2</v>
      </c>
    </row>
    <row r="183" ht="12.75" customHeight="1">
      <c r="A183" s="18"/>
      <c r="B183" s="55">
        <v>6.0</v>
      </c>
      <c r="C183" s="50" t="s">
        <v>135</v>
      </c>
      <c r="D183" s="60"/>
      <c r="E183" s="19">
        <v>0.0</v>
      </c>
      <c r="F183" s="19">
        <v>0.0</v>
      </c>
      <c r="G183" s="19">
        <v>0.0</v>
      </c>
      <c r="H183" s="19">
        <v>0.0</v>
      </c>
      <c r="I183" s="19">
        <v>0.0</v>
      </c>
      <c r="J183" s="19">
        <v>1.0</v>
      </c>
      <c r="K183" s="19">
        <v>0.0</v>
      </c>
      <c r="L183" s="19">
        <v>1.0</v>
      </c>
      <c r="M183" s="19">
        <v>0.0</v>
      </c>
      <c r="N183" s="19">
        <v>0.0</v>
      </c>
      <c r="O183" s="19">
        <v>0.0</v>
      </c>
      <c r="P183" s="19">
        <v>0.0</v>
      </c>
      <c r="Q183" s="19">
        <v>0.0</v>
      </c>
      <c r="R183" s="19">
        <v>0.0</v>
      </c>
      <c r="S183" s="19">
        <v>0.0</v>
      </c>
      <c r="T183" s="19">
        <v>0.0</v>
      </c>
      <c r="U183" s="13">
        <f t="shared" si="36"/>
        <v>2</v>
      </c>
    </row>
    <row r="184" ht="12.75" customHeight="1">
      <c r="A184" s="18"/>
      <c r="B184" s="55">
        <v>7.0</v>
      </c>
      <c r="C184" s="50" t="s">
        <v>136</v>
      </c>
      <c r="D184" s="60"/>
      <c r="E184" s="19">
        <v>0.0</v>
      </c>
      <c r="F184" s="19">
        <v>0.0</v>
      </c>
      <c r="G184" s="19">
        <v>0.0</v>
      </c>
      <c r="H184" s="19">
        <v>0.0</v>
      </c>
      <c r="I184" s="19">
        <v>0.0</v>
      </c>
      <c r="J184" s="19">
        <v>0.0</v>
      </c>
      <c r="K184" s="19">
        <v>0.0</v>
      </c>
      <c r="L184" s="19">
        <v>0.0</v>
      </c>
      <c r="M184" s="19">
        <v>0.0</v>
      </c>
      <c r="N184" s="19">
        <v>0.0</v>
      </c>
      <c r="O184" s="19">
        <v>0.0</v>
      </c>
      <c r="P184" s="19">
        <v>0.0</v>
      </c>
      <c r="Q184" s="19">
        <v>1.0</v>
      </c>
      <c r="R184" s="19">
        <v>0.0</v>
      </c>
      <c r="S184" s="19">
        <v>0.0</v>
      </c>
      <c r="T184" s="19">
        <v>0.0</v>
      </c>
      <c r="U184" s="13">
        <f t="shared" si="36"/>
        <v>1</v>
      </c>
    </row>
    <row r="185" ht="12.75" customHeight="1">
      <c r="A185" s="18"/>
      <c r="B185" s="56"/>
      <c r="C185" s="57"/>
      <c r="D185" s="62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3">
        <f t="shared" si="36"/>
        <v>0</v>
      </c>
    </row>
    <row r="186" ht="12.75" customHeight="1">
      <c r="A186" s="18"/>
      <c r="B186" s="56"/>
      <c r="C186" s="57"/>
      <c r="D186" s="62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3">
        <f t="shared" si="36"/>
        <v>0</v>
      </c>
    </row>
    <row r="187" ht="12.75" customHeight="1">
      <c r="A187" s="19" t="s">
        <v>15</v>
      </c>
      <c r="B187" s="47" t="s">
        <v>47</v>
      </c>
      <c r="C187" s="15"/>
      <c r="D187" s="16"/>
      <c r="E187" s="13">
        <f t="shared" ref="E187:U187" si="37">SUM(E177:E186)</f>
        <v>0</v>
      </c>
      <c r="F187" s="13">
        <f t="shared" si="37"/>
        <v>0</v>
      </c>
      <c r="G187" s="13">
        <f t="shared" si="37"/>
        <v>0</v>
      </c>
      <c r="H187" s="13">
        <f t="shared" si="37"/>
        <v>2</v>
      </c>
      <c r="I187" s="13">
        <f t="shared" si="37"/>
        <v>2</v>
      </c>
      <c r="J187" s="13">
        <f t="shared" si="37"/>
        <v>1</v>
      </c>
      <c r="K187" s="13">
        <f t="shared" si="37"/>
        <v>3</v>
      </c>
      <c r="L187" s="13">
        <f t="shared" si="37"/>
        <v>9</v>
      </c>
      <c r="M187" s="13">
        <f t="shared" si="37"/>
        <v>8</v>
      </c>
      <c r="N187" s="13">
        <f t="shared" si="37"/>
        <v>4</v>
      </c>
      <c r="O187" s="13">
        <f t="shared" si="37"/>
        <v>1</v>
      </c>
      <c r="P187" s="13">
        <f t="shared" si="37"/>
        <v>4</v>
      </c>
      <c r="Q187" s="13">
        <f t="shared" si="37"/>
        <v>12</v>
      </c>
      <c r="R187" s="13">
        <f t="shared" si="37"/>
        <v>3</v>
      </c>
      <c r="S187" s="13">
        <f t="shared" si="37"/>
        <v>1</v>
      </c>
      <c r="T187" s="13">
        <f t="shared" si="37"/>
        <v>0</v>
      </c>
      <c r="U187" s="13">
        <f t="shared" si="37"/>
        <v>50</v>
      </c>
    </row>
    <row r="188" ht="12.75" customHeight="1">
      <c r="A188" s="24"/>
      <c r="B188" s="15"/>
      <c r="C188" s="15"/>
      <c r="D188" s="15"/>
      <c r="E188" s="16"/>
      <c r="F188" s="84"/>
      <c r="G188" s="84"/>
      <c r="H188" s="84"/>
      <c r="I188" s="84"/>
      <c r="J188" s="84"/>
      <c r="K188" s="84"/>
      <c r="L188" s="84"/>
      <c r="M188" s="84"/>
      <c r="N188" s="84"/>
      <c r="O188" s="84"/>
      <c r="P188" s="84"/>
      <c r="Q188" s="84"/>
      <c r="R188" s="84"/>
      <c r="S188" s="84"/>
      <c r="T188" s="84"/>
      <c r="U188" s="13"/>
    </row>
    <row r="189" ht="12.75" customHeight="1">
      <c r="A189" s="30" t="s">
        <v>37</v>
      </c>
      <c r="B189" s="47" t="s">
        <v>137</v>
      </c>
      <c r="C189" s="48" t="s">
        <v>138</v>
      </c>
      <c r="D189" s="16"/>
      <c r="E189" s="19">
        <v>0.0</v>
      </c>
      <c r="F189" s="19">
        <v>0.0</v>
      </c>
      <c r="G189" s="19">
        <v>0.0</v>
      </c>
      <c r="H189" s="19">
        <v>0.0</v>
      </c>
      <c r="I189" s="19">
        <v>0.0</v>
      </c>
      <c r="J189" s="19">
        <v>0.0</v>
      </c>
      <c r="K189" s="19">
        <v>0.0</v>
      </c>
      <c r="L189" s="19">
        <v>0.0</v>
      </c>
      <c r="M189" s="19">
        <v>0.0</v>
      </c>
      <c r="N189" s="19">
        <v>0.0</v>
      </c>
      <c r="O189" s="19">
        <v>1.0</v>
      </c>
      <c r="P189" s="19">
        <v>1.0</v>
      </c>
      <c r="Q189" s="19">
        <v>1.0</v>
      </c>
      <c r="R189" s="19">
        <v>0.0</v>
      </c>
      <c r="S189" s="19">
        <v>0.0</v>
      </c>
      <c r="T189" s="19">
        <v>0.0</v>
      </c>
      <c r="U189" s="13">
        <f t="shared" ref="U189:U198" si="38">SUM(E189:T189)</f>
        <v>3</v>
      </c>
    </row>
    <row r="190" ht="12.75" customHeight="1">
      <c r="A190" s="30" t="s">
        <v>39</v>
      </c>
      <c r="B190" s="55">
        <v>1.0</v>
      </c>
      <c r="C190" s="50" t="s">
        <v>139</v>
      </c>
      <c r="D190" s="60"/>
      <c r="E190" s="19">
        <v>0.0</v>
      </c>
      <c r="F190" s="19">
        <v>0.0</v>
      </c>
      <c r="G190" s="19">
        <v>0.0</v>
      </c>
      <c r="H190" s="19">
        <v>0.0</v>
      </c>
      <c r="I190" s="19">
        <v>0.0</v>
      </c>
      <c r="J190" s="19">
        <v>0.0</v>
      </c>
      <c r="K190" s="19">
        <v>0.0</v>
      </c>
      <c r="L190" s="19">
        <v>0.0</v>
      </c>
      <c r="M190" s="19">
        <v>0.0</v>
      </c>
      <c r="N190" s="19">
        <v>0.0</v>
      </c>
      <c r="O190" s="19">
        <v>0.0</v>
      </c>
      <c r="P190" s="19">
        <v>0.0</v>
      </c>
      <c r="Q190" s="19">
        <v>0.0</v>
      </c>
      <c r="R190" s="19">
        <v>0.0</v>
      </c>
      <c r="S190" s="19">
        <v>0.0</v>
      </c>
      <c r="T190" s="19">
        <v>0.0</v>
      </c>
      <c r="U190" s="13">
        <f t="shared" si="38"/>
        <v>0</v>
      </c>
    </row>
    <row r="191" ht="12.75" customHeight="1">
      <c r="A191" s="18"/>
      <c r="B191" s="55">
        <v>2.0</v>
      </c>
      <c r="C191" s="50" t="s">
        <v>140</v>
      </c>
      <c r="D191" s="60"/>
      <c r="E191" s="19">
        <v>1.0</v>
      </c>
      <c r="F191" s="19">
        <v>0.0</v>
      </c>
      <c r="G191" s="19">
        <v>0.0</v>
      </c>
      <c r="H191" s="19">
        <v>0.0</v>
      </c>
      <c r="I191" s="19">
        <v>0.0</v>
      </c>
      <c r="J191" s="19">
        <v>0.0</v>
      </c>
      <c r="K191" s="19">
        <v>1.0</v>
      </c>
      <c r="L191" s="19">
        <v>0.0</v>
      </c>
      <c r="M191" s="19">
        <v>0.0</v>
      </c>
      <c r="N191" s="19">
        <v>1.0</v>
      </c>
      <c r="O191" s="19">
        <v>1.0</v>
      </c>
      <c r="P191" s="19">
        <v>0.0</v>
      </c>
      <c r="Q191" s="19">
        <v>0.0</v>
      </c>
      <c r="R191" s="19">
        <v>0.0</v>
      </c>
      <c r="S191" s="19">
        <v>0.0</v>
      </c>
      <c r="T191" s="19">
        <v>0.0</v>
      </c>
      <c r="U191" s="13">
        <f t="shared" si="38"/>
        <v>4</v>
      </c>
    </row>
    <row r="192" ht="12.75" customHeight="1">
      <c r="A192" s="18"/>
      <c r="B192" s="55">
        <v>3.0</v>
      </c>
      <c r="C192" s="50" t="s">
        <v>141</v>
      </c>
      <c r="D192" s="60"/>
      <c r="E192" s="19">
        <v>0.0</v>
      </c>
      <c r="F192" s="19">
        <v>0.0</v>
      </c>
      <c r="G192" s="19">
        <v>0.0</v>
      </c>
      <c r="H192" s="19">
        <v>0.0</v>
      </c>
      <c r="I192" s="19">
        <v>0.0</v>
      </c>
      <c r="J192" s="19">
        <v>0.0</v>
      </c>
      <c r="K192" s="19">
        <v>0.0</v>
      </c>
      <c r="L192" s="19">
        <v>0.0</v>
      </c>
      <c r="M192" s="19">
        <v>0.0</v>
      </c>
      <c r="N192" s="19">
        <v>0.0</v>
      </c>
      <c r="O192" s="19">
        <v>0.0</v>
      </c>
      <c r="P192" s="19">
        <v>0.0</v>
      </c>
      <c r="Q192" s="19">
        <v>0.0</v>
      </c>
      <c r="R192" s="19">
        <v>1.0</v>
      </c>
      <c r="S192" s="19">
        <v>0.0</v>
      </c>
      <c r="T192" s="19">
        <v>1.0</v>
      </c>
      <c r="U192" s="13">
        <f t="shared" si="38"/>
        <v>2</v>
      </c>
    </row>
    <row r="193" ht="12.75" customHeight="1">
      <c r="A193" s="18"/>
      <c r="B193" s="55">
        <v>4.0</v>
      </c>
      <c r="C193" s="50" t="s">
        <v>142</v>
      </c>
      <c r="D193" s="60"/>
      <c r="E193" s="19">
        <v>0.0</v>
      </c>
      <c r="F193" s="19">
        <v>0.0</v>
      </c>
      <c r="G193" s="19">
        <v>0.0</v>
      </c>
      <c r="H193" s="19">
        <v>0.0</v>
      </c>
      <c r="I193" s="19">
        <v>0.0</v>
      </c>
      <c r="J193" s="19">
        <v>0.0</v>
      </c>
      <c r="K193" s="19">
        <v>0.0</v>
      </c>
      <c r="L193" s="19">
        <v>0.0</v>
      </c>
      <c r="M193" s="19">
        <v>0.0</v>
      </c>
      <c r="N193" s="19">
        <v>0.0</v>
      </c>
      <c r="O193" s="19">
        <v>0.0</v>
      </c>
      <c r="P193" s="19">
        <v>0.0</v>
      </c>
      <c r="Q193" s="19">
        <v>0.0</v>
      </c>
      <c r="R193" s="19">
        <v>0.0</v>
      </c>
      <c r="S193" s="19">
        <v>0.0</v>
      </c>
      <c r="T193" s="19">
        <v>1.0</v>
      </c>
      <c r="U193" s="13">
        <f t="shared" si="38"/>
        <v>1</v>
      </c>
    </row>
    <row r="194" ht="12.75" customHeight="1">
      <c r="A194" s="18"/>
      <c r="B194" s="55">
        <v>5.0</v>
      </c>
      <c r="C194" s="50" t="s">
        <v>143</v>
      </c>
      <c r="D194" s="60"/>
      <c r="E194" s="19">
        <v>0.0</v>
      </c>
      <c r="F194" s="19">
        <v>0.0</v>
      </c>
      <c r="G194" s="19">
        <v>0.0</v>
      </c>
      <c r="H194" s="19">
        <v>0.0</v>
      </c>
      <c r="I194" s="19">
        <v>0.0</v>
      </c>
      <c r="J194" s="19">
        <v>0.0</v>
      </c>
      <c r="K194" s="19">
        <v>1.0</v>
      </c>
      <c r="L194" s="19">
        <v>0.0</v>
      </c>
      <c r="M194" s="19">
        <v>0.0</v>
      </c>
      <c r="N194" s="19">
        <v>0.0</v>
      </c>
      <c r="O194" s="19">
        <v>0.0</v>
      </c>
      <c r="P194" s="19">
        <v>0.0</v>
      </c>
      <c r="Q194" s="19">
        <v>0.0</v>
      </c>
      <c r="R194" s="19">
        <v>1.0</v>
      </c>
      <c r="S194" s="19">
        <v>0.0</v>
      </c>
      <c r="T194" s="19">
        <v>0.0</v>
      </c>
      <c r="U194" s="13">
        <f t="shared" si="38"/>
        <v>2</v>
      </c>
    </row>
    <row r="195" ht="12.75" customHeight="1">
      <c r="A195" s="18"/>
      <c r="B195" s="55">
        <v>6.0</v>
      </c>
      <c r="C195" s="50" t="s">
        <v>144</v>
      </c>
      <c r="D195" s="60"/>
      <c r="E195" s="19">
        <v>0.0</v>
      </c>
      <c r="F195" s="19">
        <v>0.0</v>
      </c>
      <c r="G195" s="19">
        <v>0.0</v>
      </c>
      <c r="H195" s="19">
        <v>0.0</v>
      </c>
      <c r="I195" s="19">
        <v>0.0</v>
      </c>
      <c r="J195" s="19">
        <v>0.0</v>
      </c>
      <c r="K195" s="19">
        <v>1.0</v>
      </c>
      <c r="L195" s="19">
        <v>0.0</v>
      </c>
      <c r="M195" s="19">
        <v>0.0</v>
      </c>
      <c r="N195" s="19">
        <v>0.0</v>
      </c>
      <c r="O195" s="19">
        <v>0.0</v>
      </c>
      <c r="P195" s="19">
        <v>1.0</v>
      </c>
      <c r="Q195" s="19">
        <v>0.0</v>
      </c>
      <c r="R195" s="19">
        <v>0.0</v>
      </c>
      <c r="S195" s="19">
        <v>0.0</v>
      </c>
      <c r="T195" s="19">
        <v>0.0</v>
      </c>
      <c r="U195" s="13">
        <f t="shared" si="38"/>
        <v>2</v>
      </c>
    </row>
    <row r="196" ht="12.75" customHeight="1">
      <c r="A196" s="18"/>
      <c r="B196" s="55">
        <v>7.0</v>
      </c>
      <c r="C196" s="50" t="s">
        <v>145</v>
      </c>
      <c r="D196" s="60"/>
      <c r="E196" s="19">
        <v>0.0</v>
      </c>
      <c r="F196" s="19">
        <v>0.0</v>
      </c>
      <c r="G196" s="19">
        <v>0.0</v>
      </c>
      <c r="H196" s="19">
        <v>0.0</v>
      </c>
      <c r="I196" s="19">
        <v>0.0</v>
      </c>
      <c r="J196" s="19">
        <v>0.0</v>
      </c>
      <c r="K196" s="19">
        <v>0.0</v>
      </c>
      <c r="L196" s="19">
        <v>0.0</v>
      </c>
      <c r="M196" s="19">
        <v>0.0</v>
      </c>
      <c r="N196" s="19">
        <v>0.0</v>
      </c>
      <c r="O196" s="19">
        <v>0.0</v>
      </c>
      <c r="P196" s="19">
        <v>0.0</v>
      </c>
      <c r="Q196" s="19">
        <v>0.0</v>
      </c>
      <c r="R196" s="19">
        <v>0.0</v>
      </c>
      <c r="S196" s="19">
        <v>0.0</v>
      </c>
      <c r="T196" s="19">
        <v>0.0</v>
      </c>
      <c r="U196" s="13">
        <f t="shared" si="38"/>
        <v>0</v>
      </c>
    </row>
    <row r="197" ht="12.75" customHeight="1">
      <c r="A197" s="18"/>
      <c r="B197" s="56"/>
      <c r="C197" s="57"/>
      <c r="D197" s="62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3">
        <f t="shared" si="38"/>
        <v>0</v>
      </c>
    </row>
    <row r="198" ht="12.75" customHeight="1">
      <c r="A198" s="18"/>
      <c r="B198" s="56"/>
      <c r="C198" s="57"/>
      <c r="D198" s="62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3">
        <f t="shared" si="38"/>
        <v>0</v>
      </c>
    </row>
    <row r="199" ht="12.75" customHeight="1">
      <c r="A199" s="19" t="s">
        <v>15</v>
      </c>
      <c r="B199" s="47" t="s">
        <v>47</v>
      </c>
      <c r="C199" s="15"/>
      <c r="D199" s="16"/>
      <c r="E199" s="13">
        <f t="shared" ref="E199:U199" si="39">SUM(E189:E198)</f>
        <v>1</v>
      </c>
      <c r="F199" s="13">
        <f t="shared" si="39"/>
        <v>0</v>
      </c>
      <c r="G199" s="13">
        <f t="shared" si="39"/>
        <v>0</v>
      </c>
      <c r="H199" s="13">
        <f t="shared" si="39"/>
        <v>0</v>
      </c>
      <c r="I199" s="13">
        <f t="shared" si="39"/>
        <v>0</v>
      </c>
      <c r="J199" s="13">
        <f t="shared" si="39"/>
        <v>0</v>
      </c>
      <c r="K199" s="13">
        <f t="shared" si="39"/>
        <v>3</v>
      </c>
      <c r="L199" s="13">
        <f t="shared" si="39"/>
        <v>0</v>
      </c>
      <c r="M199" s="13">
        <f t="shared" si="39"/>
        <v>0</v>
      </c>
      <c r="N199" s="13">
        <f t="shared" si="39"/>
        <v>1</v>
      </c>
      <c r="O199" s="13">
        <f t="shared" si="39"/>
        <v>2</v>
      </c>
      <c r="P199" s="13">
        <f t="shared" si="39"/>
        <v>2</v>
      </c>
      <c r="Q199" s="13">
        <f t="shared" si="39"/>
        <v>1</v>
      </c>
      <c r="R199" s="13">
        <f t="shared" si="39"/>
        <v>2</v>
      </c>
      <c r="S199" s="13">
        <f t="shared" si="39"/>
        <v>0</v>
      </c>
      <c r="T199" s="13">
        <f t="shared" si="39"/>
        <v>2</v>
      </c>
      <c r="U199" s="13">
        <f t="shared" si="39"/>
        <v>14</v>
      </c>
    </row>
    <row r="200" ht="12.75" customHeight="1">
      <c r="A200" s="24"/>
      <c r="B200" s="15"/>
      <c r="C200" s="15"/>
      <c r="D200" s="15"/>
      <c r="E200" s="16"/>
      <c r="F200" s="84"/>
      <c r="G200" s="84"/>
      <c r="H200" s="84"/>
      <c r="I200" s="84"/>
      <c r="J200" s="84"/>
      <c r="K200" s="84"/>
      <c r="L200" s="84"/>
      <c r="M200" s="84"/>
      <c r="N200" s="84"/>
      <c r="O200" s="84"/>
      <c r="P200" s="84"/>
      <c r="Q200" s="84"/>
      <c r="R200" s="84"/>
      <c r="S200" s="84"/>
      <c r="T200" s="84"/>
      <c r="U200" s="84"/>
    </row>
    <row r="201" ht="12.75" customHeight="1">
      <c r="A201" s="30" t="s">
        <v>37</v>
      </c>
      <c r="B201" s="47" t="s">
        <v>146</v>
      </c>
      <c r="C201" s="48" t="s">
        <v>147</v>
      </c>
      <c r="D201" s="16"/>
      <c r="E201" s="19">
        <v>0.0</v>
      </c>
      <c r="F201" s="19">
        <v>0.0</v>
      </c>
      <c r="G201" s="19">
        <v>0.0</v>
      </c>
      <c r="H201" s="19">
        <v>0.0</v>
      </c>
      <c r="I201" s="19">
        <v>1.0</v>
      </c>
      <c r="J201" s="19">
        <v>1.0</v>
      </c>
      <c r="K201" s="19">
        <v>1.0</v>
      </c>
      <c r="L201" s="19">
        <v>1.0</v>
      </c>
      <c r="M201" s="19">
        <v>0.0</v>
      </c>
      <c r="N201" s="19">
        <v>0.0</v>
      </c>
      <c r="O201" s="19">
        <v>2.0</v>
      </c>
      <c r="P201" s="19">
        <v>0.0</v>
      </c>
      <c r="Q201" s="19">
        <v>0.0</v>
      </c>
      <c r="R201" s="19">
        <v>3.0</v>
      </c>
      <c r="S201" s="19">
        <v>0.0</v>
      </c>
      <c r="T201" s="19">
        <v>2.0</v>
      </c>
      <c r="U201" s="13">
        <f t="shared" ref="U201:U210" si="40">SUM(E201:T201)</f>
        <v>11</v>
      </c>
    </row>
    <row r="202" ht="12.75" customHeight="1">
      <c r="A202" s="30" t="s">
        <v>39</v>
      </c>
      <c r="B202" s="55">
        <v>1.0</v>
      </c>
      <c r="C202" s="50" t="s">
        <v>148</v>
      </c>
      <c r="D202" s="60"/>
      <c r="E202" s="19">
        <v>0.0</v>
      </c>
      <c r="F202" s="19">
        <v>0.0</v>
      </c>
      <c r="G202" s="19">
        <v>0.0</v>
      </c>
      <c r="H202" s="19">
        <v>1.0</v>
      </c>
      <c r="I202" s="19">
        <v>6.0</v>
      </c>
      <c r="J202" s="19">
        <v>6.0</v>
      </c>
      <c r="K202" s="19">
        <v>1.0</v>
      </c>
      <c r="L202" s="19">
        <v>1.0</v>
      </c>
      <c r="M202" s="19">
        <v>2.0</v>
      </c>
      <c r="N202" s="19">
        <v>0.0</v>
      </c>
      <c r="O202" s="19">
        <v>1.0</v>
      </c>
      <c r="P202" s="19">
        <v>0.0</v>
      </c>
      <c r="Q202" s="19">
        <v>0.0</v>
      </c>
      <c r="R202" s="19">
        <v>0.0</v>
      </c>
      <c r="S202" s="19">
        <v>6.0</v>
      </c>
      <c r="T202" s="19">
        <v>7.0</v>
      </c>
      <c r="U202" s="13">
        <f t="shared" si="40"/>
        <v>31</v>
      </c>
    </row>
    <row r="203" ht="12.75" customHeight="1">
      <c r="A203" s="18"/>
      <c r="B203" s="55">
        <v>2.0</v>
      </c>
      <c r="C203" s="50" t="s">
        <v>149</v>
      </c>
      <c r="D203" s="60"/>
      <c r="E203" s="19">
        <v>0.0</v>
      </c>
      <c r="F203" s="19">
        <v>0.0</v>
      </c>
      <c r="G203" s="19">
        <v>0.0</v>
      </c>
      <c r="H203" s="19">
        <v>2.0</v>
      </c>
      <c r="I203" s="19">
        <v>2.0</v>
      </c>
      <c r="J203" s="19">
        <v>0.0</v>
      </c>
      <c r="K203" s="19">
        <v>2.0</v>
      </c>
      <c r="L203" s="19">
        <v>0.0</v>
      </c>
      <c r="M203" s="19">
        <v>0.0</v>
      </c>
      <c r="N203" s="19">
        <v>1.0</v>
      </c>
      <c r="O203" s="19">
        <v>0.0</v>
      </c>
      <c r="P203" s="19">
        <v>4.0</v>
      </c>
      <c r="Q203" s="19">
        <v>0.0</v>
      </c>
      <c r="R203" s="19">
        <v>0.0</v>
      </c>
      <c r="S203" s="19">
        <v>0.0</v>
      </c>
      <c r="T203" s="19">
        <v>0.0</v>
      </c>
      <c r="U203" s="13">
        <f t="shared" si="40"/>
        <v>11</v>
      </c>
    </row>
    <row r="204" ht="12.75" customHeight="1">
      <c r="A204" s="18"/>
      <c r="B204" s="55">
        <v>3.0</v>
      </c>
      <c r="C204" s="50" t="s">
        <v>150</v>
      </c>
      <c r="D204" s="60"/>
      <c r="E204" s="19">
        <v>0.0</v>
      </c>
      <c r="F204" s="19">
        <v>0.0</v>
      </c>
      <c r="G204" s="19">
        <v>0.0</v>
      </c>
      <c r="H204" s="19">
        <v>0.0</v>
      </c>
      <c r="I204" s="19">
        <v>1.0</v>
      </c>
      <c r="J204" s="19">
        <v>0.0</v>
      </c>
      <c r="K204" s="19">
        <v>0.0</v>
      </c>
      <c r="L204" s="19">
        <v>0.0</v>
      </c>
      <c r="M204" s="19">
        <v>0.0</v>
      </c>
      <c r="N204" s="19">
        <v>0.0</v>
      </c>
      <c r="O204" s="19">
        <v>0.0</v>
      </c>
      <c r="P204" s="19">
        <v>0.0</v>
      </c>
      <c r="Q204" s="19">
        <v>0.0</v>
      </c>
      <c r="R204" s="19">
        <v>0.0</v>
      </c>
      <c r="S204" s="19">
        <v>0.0</v>
      </c>
      <c r="T204" s="19">
        <v>0.0</v>
      </c>
      <c r="U204" s="13">
        <f t="shared" si="40"/>
        <v>1</v>
      </c>
    </row>
    <row r="205" ht="12.75" customHeight="1">
      <c r="A205" s="18"/>
      <c r="B205" s="55">
        <v>4.0</v>
      </c>
      <c r="C205" s="50" t="s">
        <v>151</v>
      </c>
      <c r="D205" s="60"/>
      <c r="E205" s="19">
        <v>0.0</v>
      </c>
      <c r="F205" s="19">
        <v>0.0</v>
      </c>
      <c r="G205" s="19">
        <v>0.0</v>
      </c>
      <c r="H205" s="19">
        <v>0.0</v>
      </c>
      <c r="I205" s="19">
        <v>2.0</v>
      </c>
      <c r="J205" s="19">
        <v>0.0</v>
      </c>
      <c r="K205" s="19">
        <v>3.0</v>
      </c>
      <c r="L205" s="19">
        <v>6.0</v>
      </c>
      <c r="M205" s="19">
        <v>0.0</v>
      </c>
      <c r="N205" s="19">
        <v>0.0</v>
      </c>
      <c r="O205" s="19">
        <v>0.0</v>
      </c>
      <c r="P205" s="19">
        <v>0.0</v>
      </c>
      <c r="Q205" s="19">
        <v>0.0</v>
      </c>
      <c r="R205" s="19">
        <v>0.0</v>
      </c>
      <c r="S205" s="19">
        <v>1.0</v>
      </c>
      <c r="T205" s="19">
        <v>0.0</v>
      </c>
      <c r="U205" s="13">
        <f t="shared" si="40"/>
        <v>12</v>
      </c>
    </row>
    <row r="206" ht="12.75" customHeight="1">
      <c r="A206" s="18"/>
      <c r="B206" s="55">
        <v>5.0</v>
      </c>
      <c r="C206" s="50" t="s">
        <v>152</v>
      </c>
      <c r="D206" s="60"/>
      <c r="E206" s="19">
        <v>0.0</v>
      </c>
      <c r="F206" s="19">
        <v>0.0</v>
      </c>
      <c r="G206" s="19">
        <v>0.0</v>
      </c>
      <c r="H206" s="19">
        <v>0.0</v>
      </c>
      <c r="I206" s="19">
        <v>0.0</v>
      </c>
      <c r="J206" s="19">
        <v>1.0</v>
      </c>
      <c r="K206" s="19">
        <v>0.0</v>
      </c>
      <c r="L206" s="19">
        <v>0.0</v>
      </c>
      <c r="M206" s="19">
        <v>1.0</v>
      </c>
      <c r="N206" s="19">
        <v>0.0</v>
      </c>
      <c r="O206" s="19">
        <v>0.0</v>
      </c>
      <c r="P206" s="19">
        <v>0.0</v>
      </c>
      <c r="Q206" s="19">
        <v>0.0</v>
      </c>
      <c r="R206" s="19">
        <v>0.0</v>
      </c>
      <c r="S206" s="19">
        <v>1.0</v>
      </c>
      <c r="T206" s="19">
        <v>0.0</v>
      </c>
      <c r="U206" s="13">
        <f t="shared" si="40"/>
        <v>3</v>
      </c>
    </row>
    <row r="207" ht="12.75" customHeight="1">
      <c r="A207" s="18"/>
      <c r="B207" s="55">
        <v>6.0</v>
      </c>
      <c r="C207" s="50" t="s">
        <v>153</v>
      </c>
      <c r="D207" s="60"/>
      <c r="E207" s="19">
        <v>0.0</v>
      </c>
      <c r="F207" s="19">
        <v>0.0</v>
      </c>
      <c r="G207" s="19">
        <v>0.0</v>
      </c>
      <c r="H207" s="19">
        <v>0.0</v>
      </c>
      <c r="I207" s="19">
        <v>0.0</v>
      </c>
      <c r="J207" s="19">
        <v>2.0</v>
      </c>
      <c r="K207" s="19">
        <v>0.0</v>
      </c>
      <c r="L207" s="19">
        <v>0.0</v>
      </c>
      <c r="M207" s="19">
        <v>0.0</v>
      </c>
      <c r="N207" s="19">
        <v>0.0</v>
      </c>
      <c r="O207" s="19">
        <v>0.0</v>
      </c>
      <c r="P207" s="19">
        <v>0.0</v>
      </c>
      <c r="Q207" s="19">
        <v>0.0</v>
      </c>
      <c r="R207" s="19">
        <v>0.0</v>
      </c>
      <c r="S207" s="19">
        <v>0.0</v>
      </c>
      <c r="T207" s="19">
        <v>0.0</v>
      </c>
      <c r="U207" s="13">
        <f t="shared" si="40"/>
        <v>2</v>
      </c>
    </row>
    <row r="208" ht="12.75" customHeight="1">
      <c r="A208" s="18"/>
      <c r="B208" s="55">
        <v>7.0</v>
      </c>
      <c r="C208" s="50" t="s">
        <v>154</v>
      </c>
      <c r="D208" s="60"/>
      <c r="E208" s="19">
        <v>0.0</v>
      </c>
      <c r="F208" s="19">
        <v>0.0</v>
      </c>
      <c r="G208" s="19">
        <v>0.0</v>
      </c>
      <c r="H208" s="19">
        <v>0.0</v>
      </c>
      <c r="I208" s="19">
        <v>0.0</v>
      </c>
      <c r="J208" s="19">
        <v>0.0</v>
      </c>
      <c r="K208" s="19">
        <v>0.0</v>
      </c>
      <c r="L208" s="19">
        <v>1.0</v>
      </c>
      <c r="M208" s="19">
        <v>0.0</v>
      </c>
      <c r="N208" s="19">
        <v>0.0</v>
      </c>
      <c r="O208" s="19">
        <v>0.0</v>
      </c>
      <c r="P208" s="19">
        <v>0.0</v>
      </c>
      <c r="Q208" s="19">
        <v>0.0</v>
      </c>
      <c r="R208" s="19">
        <v>0.0</v>
      </c>
      <c r="S208" s="19">
        <v>0.0</v>
      </c>
      <c r="T208" s="19">
        <v>0.0</v>
      </c>
      <c r="U208" s="13">
        <f t="shared" si="40"/>
        <v>1</v>
      </c>
    </row>
    <row r="209" ht="12.75" customHeight="1">
      <c r="A209" s="18"/>
      <c r="B209" s="56"/>
      <c r="C209" s="57"/>
      <c r="D209" s="62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3">
        <f t="shared" si="40"/>
        <v>0</v>
      </c>
    </row>
    <row r="210" ht="12.75" customHeight="1">
      <c r="A210" s="18"/>
      <c r="B210" s="56"/>
      <c r="C210" s="57"/>
      <c r="D210" s="62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3">
        <f t="shared" si="40"/>
        <v>0</v>
      </c>
    </row>
    <row r="211" ht="12.75" customHeight="1">
      <c r="A211" s="19" t="s">
        <v>15</v>
      </c>
      <c r="B211" s="47" t="s">
        <v>47</v>
      </c>
      <c r="C211" s="15"/>
      <c r="D211" s="16"/>
      <c r="E211" s="13">
        <f t="shared" ref="E211:U211" si="41">SUM(E201:E210)</f>
        <v>0</v>
      </c>
      <c r="F211" s="13">
        <f t="shared" si="41"/>
        <v>0</v>
      </c>
      <c r="G211" s="13">
        <f t="shared" si="41"/>
        <v>0</v>
      </c>
      <c r="H211" s="13">
        <f t="shared" si="41"/>
        <v>3</v>
      </c>
      <c r="I211" s="13">
        <f t="shared" si="41"/>
        <v>12</v>
      </c>
      <c r="J211" s="13">
        <f t="shared" si="41"/>
        <v>10</v>
      </c>
      <c r="K211" s="13">
        <f t="shared" si="41"/>
        <v>7</v>
      </c>
      <c r="L211" s="13">
        <f t="shared" si="41"/>
        <v>9</v>
      </c>
      <c r="M211" s="13">
        <f t="shared" si="41"/>
        <v>3</v>
      </c>
      <c r="N211" s="13">
        <f t="shared" si="41"/>
        <v>1</v>
      </c>
      <c r="O211" s="13">
        <f t="shared" si="41"/>
        <v>3</v>
      </c>
      <c r="P211" s="13">
        <f t="shared" si="41"/>
        <v>4</v>
      </c>
      <c r="Q211" s="13">
        <f t="shared" si="41"/>
        <v>0</v>
      </c>
      <c r="R211" s="13">
        <f t="shared" si="41"/>
        <v>3</v>
      </c>
      <c r="S211" s="13">
        <f t="shared" si="41"/>
        <v>8</v>
      </c>
      <c r="T211" s="13">
        <f t="shared" si="41"/>
        <v>9</v>
      </c>
      <c r="U211" s="13">
        <f t="shared" si="41"/>
        <v>72</v>
      </c>
    </row>
    <row r="212" ht="12.75" customHeight="1">
      <c r="A212" s="24"/>
      <c r="B212" s="15"/>
      <c r="C212" s="15"/>
      <c r="D212" s="15"/>
      <c r="E212" s="16"/>
      <c r="F212" s="84"/>
      <c r="G212" s="84"/>
      <c r="H212" s="84"/>
      <c r="I212" s="84"/>
      <c r="J212" s="84"/>
      <c r="K212" s="84"/>
      <c r="L212" s="84"/>
      <c r="M212" s="84"/>
      <c r="N212" s="84"/>
      <c r="O212" s="84"/>
      <c r="P212" s="84"/>
      <c r="Q212" s="84"/>
      <c r="R212" s="84"/>
      <c r="S212" s="84"/>
      <c r="T212" s="84"/>
      <c r="U212" s="84"/>
    </row>
    <row r="213" ht="12.75" customHeight="1">
      <c r="A213" s="30" t="s">
        <v>37</v>
      </c>
      <c r="B213" s="47" t="s">
        <v>155</v>
      </c>
      <c r="C213" s="48" t="s">
        <v>156</v>
      </c>
      <c r="D213" s="16"/>
      <c r="E213" s="19">
        <v>0.0</v>
      </c>
      <c r="F213" s="19">
        <v>2.0</v>
      </c>
      <c r="G213" s="19">
        <v>0.0</v>
      </c>
      <c r="H213" s="19">
        <v>3.0</v>
      </c>
      <c r="I213" s="19">
        <v>1.0</v>
      </c>
      <c r="J213" s="19">
        <v>1.0</v>
      </c>
      <c r="K213" s="19">
        <v>2.0</v>
      </c>
      <c r="L213" s="19">
        <v>0.0</v>
      </c>
      <c r="M213" s="19">
        <v>1.0</v>
      </c>
      <c r="N213" s="19">
        <v>2.0</v>
      </c>
      <c r="O213" s="19">
        <v>1.0</v>
      </c>
      <c r="P213" s="19">
        <v>0.0</v>
      </c>
      <c r="Q213" s="19">
        <v>2.0</v>
      </c>
      <c r="R213" s="19">
        <v>2.0</v>
      </c>
      <c r="S213" s="19">
        <v>1.0</v>
      </c>
      <c r="T213" s="19">
        <v>1.0</v>
      </c>
      <c r="U213" s="13">
        <f t="shared" ref="U213:U222" si="42">SUM(E213:T213)</f>
        <v>19</v>
      </c>
    </row>
    <row r="214" ht="12.75" customHeight="1">
      <c r="A214" s="30" t="s">
        <v>39</v>
      </c>
      <c r="B214" s="55">
        <v>1.0</v>
      </c>
      <c r="C214" s="50" t="s">
        <v>157</v>
      </c>
      <c r="D214" s="59"/>
      <c r="E214" s="19">
        <v>0.0</v>
      </c>
      <c r="F214" s="19">
        <v>0.0</v>
      </c>
      <c r="G214" s="19">
        <v>2.0</v>
      </c>
      <c r="H214" s="19">
        <v>11.0</v>
      </c>
      <c r="I214" s="19">
        <v>6.0</v>
      </c>
      <c r="J214" s="19">
        <v>1.0</v>
      </c>
      <c r="K214" s="19">
        <v>5.0</v>
      </c>
      <c r="L214" s="19">
        <v>1.0</v>
      </c>
      <c r="M214" s="19">
        <v>0.0</v>
      </c>
      <c r="N214" s="19">
        <v>3.0</v>
      </c>
      <c r="O214" s="19">
        <v>1.0</v>
      </c>
      <c r="P214" s="19">
        <v>1.0</v>
      </c>
      <c r="Q214" s="19">
        <v>2.0</v>
      </c>
      <c r="R214" s="19">
        <v>2.0</v>
      </c>
      <c r="S214" s="19">
        <v>3.0</v>
      </c>
      <c r="T214" s="19">
        <v>1.0</v>
      </c>
      <c r="U214" s="13">
        <f t="shared" si="42"/>
        <v>39</v>
      </c>
    </row>
    <row r="215" ht="12.75" customHeight="1">
      <c r="A215" s="18"/>
      <c r="B215" s="55">
        <v>2.0</v>
      </c>
      <c r="C215" s="50" t="s">
        <v>158</v>
      </c>
      <c r="D215" s="59"/>
      <c r="E215" s="19">
        <v>0.0</v>
      </c>
      <c r="F215" s="19">
        <v>18.0</v>
      </c>
      <c r="G215" s="19">
        <v>0.0</v>
      </c>
      <c r="H215" s="19">
        <v>1.0</v>
      </c>
      <c r="I215" s="19">
        <v>2.0</v>
      </c>
      <c r="J215" s="19">
        <v>0.0</v>
      </c>
      <c r="K215" s="19">
        <v>0.0</v>
      </c>
      <c r="L215" s="19">
        <v>0.0</v>
      </c>
      <c r="M215" s="19">
        <v>1.0</v>
      </c>
      <c r="N215" s="19">
        <v>0.0</v>
      </c>
      <c r="O215" s="19">
        <v>0.0</v>
      </c>
      <c r="P215" s="19">
        <v>1.0</v>
      </c>
      <c r="Q215" s="19">
        <v>0.0</v>
      </c>
      <c r="R215" s="19">
        <v>0.0</v>
      </c>
      <c r="S215" s="19">
        <v>1.0</v>
      </c>
      <c r="T215" s="19">
        <v>0.0</v>
      </c>
      <c r="U215" s="13">
        <f t="shared" si="42"/>
        <v>24</v>
      </c>
    </row>
    <row r="216" ht="12.75" customHeight="1">
      <c r="A216" s="18"/>
      <c r="B216" s="55">
        <v>3.0</v>
      </c>
      <c r="C216" s="70" t="s">
        <v>159</v>
      </c>
      <c r="E216" s="19">
        <v>0.0</v>
      </c>
      <c r="F216" s="19">
        <v>0.0</v>
      </c>
      <c r="G216" s="19">
        <v>0.0</v>
      </c>
      <c r="H216" s="19">
        <v>0.0</v>
      </c>
      <c r="I216" s="19">
        <v>0.0</v>
      </c>
      <c r="J216" s="19">
        <v>0.0</v>
      </c>
      <c r="K216" s="19">
        <v>0.0</v>
      </c>
      <c r="L216" s="19">
        <v>0.0</v>
      </c>
      <c r="M216" s="19">
        <v>0.0</v>
      </c>
      <c r="N216" s="19">
        <v>0.0</v>
      </c>
      <c r="O216" s="19">
        <v>0.0</v>
      </c>
      <c r="P216" s="19">
        <v>1.0</v>
      </c>
      <c r="Q216" s="19">
        <v>0.0</v>
      </c>
      <c r="R216" s="19">
        <v>0.0</v>
      </c>
      <c r="S216" s="19">
        <v>0.0</v>
      </c>
      <c r="T216" s="19">
        <v>0.0</v>
      </c>
      <c r="U216" s="13">
        <f t="shared" si="42"/>
        <v>1</v>
      </c>
    </row>
    <row r="217" ht="12.75" customHeight="1">
      <c r="A217" s="18"/>
      <c r="B217" s="55">
        <v>4.0</v>
      </c>
      <c r="C217" s="50" t="s">
        <v>160</v>
      </c>
      <c r="D217" s="59"/>
      <c r="E217" s="19">
        <v>0.0</v>
      </c>
      <c r="F217" s="19">
        <v>0.0</v>
      </c>
      <c r="G217" s="19">
        <v>0.0</v>
      </c>
      <c r="H217" s="19">
        <v>0.0</v>
      </c>
      <c r="I217" s="19">
        <v>0.0</v>
      </c>
      <c r="J217" s="19">
        <v>0.0</v>
      </c>
      <c r="K217" s="19">
        <v>1.0</v>
      </c>
      <c r="L217" s="19">
        <v>0.0</v>
      </c>
      <c r="M217" s="19">
        <v>0.0</v>
      </c>
      <c r="N217" s="19">
        <v>0.0</v>
      </c>
      <c r="O217" s="19">
        <v>0.0</v>
      </c>
      <c r="P217" s="19">
        <v>0.0</v>
      </c>
      <c r="Q217" s="19">
        <v>0.0</v>
      </c>
      <c r="R217" s="19">
        <v>0.0</v>
      </c>
      <c r="S217" s="19">
        <v>0.0</v>
      </c>
      <c r="T217" s="19">
        <v>0.0</v>
      </c>
      <c r="U217" s="13">
        <f t="shared" si="42"/>
        <v>1</v>
      </c>
    </row>
    <row r="218" ht="12.75" customHeight="1">
      <c r="A218" s="18"/>
      <c r="B218" s="55">
        <v>5.0</v>
      </c>
      <c r="C218" s="50" t="s">
        <v>161</v>
      </c>
      <c r="D218" s="59"/>
      <c r="E218" s="19">
        <v>0.0</v>
      </c>
      <c r="F218" s="19">
        <v>0.0</v>
      </c>
      <c r="G218" s="19">
        <v>0.0</v>
      </c>
      <c r="H218" s="19">
        <v>0.0</v>
      </c>
      <c r="I218" s="19">
        <v>0.0</v>
      </c>
      <c r="J218" s="19">
        <v>0.0</v>
      </c>
      <c r="K218" s="19">
        <v>0.0</v>
      </c>
      <c r="L218" s="19">
        <v>1.0</v>
      </c>
      <c r="M218" s="19">
        <v>0.0</v>
      </c>
      <c r="N218" s="19">
        <v>0.0</v>
      </c>
      <c r="O218" s="19">
        <v>0.0</v>
      </c>
      <c r="P218" s="19">
        <v>0.0</v>
      </c>
      <c r="Q218" s="19">
        <v>0.0</v>
      </c>
      <c r="R218" s="19">
        <v>0.0</v>
      </c>
      <c r="S218" s="19">
        <v>0.0</v>
      </c>
      <c r="T218" s="19">
        <v>0.0</v>
      </c>
      <c r="U218" s="13">
        <f t="shared" si="42"/>
        <v>1</v>
      </c>
    </row>
    <row r="219" ht="12.75" customHeight="1">
      <c r="A219" s="18"/>
      <c r="B219" s="55">
        <v>6.0</v>
      </c>
      <c r="C219" s="50" t="s">
        <v>162</v>
      </c>
      <c r="D219" s="59"/>
      <c r="E219" s="19">
        <v>0.0</v>
      </c>
      <c r="F219" s="19">
        <v>0.0</v>
      </c>
      <c r="G219" s="19">
        <v>0.0</v>
      </c>
      <c r="H219" s="19">
        <v>0.0</v>
      </c>
      <c r="I219" s="19">
        <v>0.0</v>
      </c>
      <c r="J219" s="19">
        <v>0.0</v>
      </c>
      <c r="K219" s="19">
        <v>0.0</v>
      </c>
      <c r="L219" s="19">
        <v>0.0</v>
      </c>
      <c r="M219" s="19">
        <v>0.0</v>
      </c>
      <c r="N219" s="19">
        <v>0.0</v>
      </c>
      <c r="O219" s="19">
        <v>0.0</v>
      </c>
      <c r="P219" s="19">
        <v>0.0</v>
      </c>
      <c r="Q219" s="19">
        <v>0.0</v>
      </c>
      <c r="R219" s="19">
        <v>1.0</v>
      </c>
      <c r="S219" s="19">
        <v>0.0</v>
      </c>
      <c r="T219" s="19">
        <v>0.0</v>
      </c>
      <c r="U219" s="13">
        <f t="shared" si="42"/>
        <v>1</v>
      </c>
    </row>
    <row r="220" ht="12.75" customHeight="1">
      <c r="A220" s="18"/>
      <c r="B220" s="55">
        <v>7.0</v>
      </c>
      <c r="C220" s="50" t="s">
        <v>163</v>
      </c>
      <c r="D220" s="59"/>
      <c r="E220" s="19">
        <v>0.0</v>
      </c>
      <c r="F220" s="19">
        <v>0.0</v>
      </c>
      <c r="G220" s="19">
        <v>0.0</v>
      </c>
      <c r="H220" s="19">
        <v>0.0</v>
      </c>
      <c r="I220" s="19">
        <v>0.0</v>
      </c>
      <c r="J220" s="19">
        <v>0.0</v>
      </c>
      <c r="K220" s="19">
        <v>0.0</v>
      </c>
      <c r="L220" s="19">
        <v>0.0</v>
      </c>
      <c r="M220" s="19">
        <v>0.0</v>
      </c>
      <c r="N220" s="19">
        <v>1.0</v>
      </c>
      <c r="O220" s="19">
        <v>0.0</v>
      </c>
      <c r="P220" s="19">
        <v>0.0</v>
      </c>
      <c r="Q220" s="19">
        <v>0.0</v>
      </c>
      <c r="R220" s="19">
        <v>0.0</v>
      </c>
      <c r="S220" s="19">
        <v>0.0</v>
      </c>
      <c r="T220" s="19">
        <v>0.0</v>
      </c>
      <c r="U220" s="13">
        <f t="shared" si="42"/>
        <v>1</v>
      </c>
    </row>
    <row r="221" ht="12.75" customHeight="1">
      <c r="A221" s="18"/>
      <c r="B221" s="56"/>
      <c r="C221" s="57"/>
      <c r="D221" s="61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3">
        <f t="shared" si="42"/>
        <v>0</v>
      </c>
    </row>
    <row r="222" ht="12.75" customHeight="1">
      <c r="A222" s="18"/>
      <c r="B222" s="56"/>
      <c r="C222" s="57"/>
      <c r="D222" s="61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3">
        <f t="shared" si="42"/>
        <v>0</v>
      </c>
    </row>
    <row r="223" ht="12.75" customHeight="1">
      <c r="A223" s="19" t="s">
        <v>15</v>
      </c>
      <c r="B223" s="47" t="s">
        <v>47</v>
      </c>
      <c r="C223" s="15"/>
      <c r="D223" s="16"/>
      <c r="E223" s="13">
        <f t="shared" ref="E223:U223" si="43">SUM(E213:E222)</f>
        <v>0</v>
      </c>
      <c r="F223" s="13">
        <f t="shared" si="43"/>
        <v>20</v>
      </c>
      <c r="G223" s="13">
        <f t="shared" si="43"/>
        <v>2</v>
      </c>
      <c r="H223" s="13">
        <f t="shared" si="43"/>
        <v>15</v>
      </c>
      <c r="I223" s="13">
        <f t="shared" si="43"/>
        <v>9</v>
      </c>
      <c r="J223" s="13">
        <f t="shared" si="43"/>
        <v>2</v>
      </c>
      <c r="K223" s="13">
        <f t="shared" si="43"/>
        <v>8</v>
      </c>
      <c r="L223" s="13">
        <f t="shared" si="43"/>
        <v>2</v>
      </c>
      <c r="M223" s="13">
        <f t="shared" si="43"/>
        <v>2</v>
      </c>
      <c r="N223" s="13">
        <f t="shared" si="43"/>
        <v>6</v>
      </c>
      <c r="O223" s="13">
        <f t="shared" si="43"/>
        <v>2</v>
      </c>
      <c r="P223" s="13">
        <f t="shared" si="43"/>
        <v>3</v>
      </c>
      <c r="Q223" s="13">
        <f t="shared" si="43"/>
        <v>4</v>
      </c>
      <c r="R223" s="13">
        <f t="shared" si="43"/>
        <v>5</v>
      </c>
      <c r="S223" s="13">
        <f t="shared" si="43"/>
        <v>5</v>
      </c>
      <c r="T223" s="13">
        <f t="shared" si="43"/>
        <v>2</v>
      </c>
      <c r="U223" s="13">
        <f t="shared" si="43"/>
        <v>87</v>
      </c>
    </row>
    <row r="224" ht="12.75" customHeight="1">
      <c r="A224" s="24"/>
      <c r="B224" s="15"/>
      <c r="C224" s="15"/>
      <c r="D224" s="15"/>
      <c r="E224" s="16"/>
      <c r="F224" s="84"/>
      <c r="G224" s="84"/>
      <c r="H224" s="84"/>
      <c r="I224" s="84"/>
      <c r="J224" s="84"/>
      <c r="K224" s="84"/>
      <c r="L224" s="84"/>
      <c r="M224" s="84"/>
      <c r="N224" s="84"/>
      <c r="O224" s="84"/>
      <c r="P224" s="84"/>
      <c r="Q224" s="84"/>
      <c r="R224" s="84"/>
      <c r="S224" s="84"/>
      <c r="T224" s="84"/>
      <c r="U224" s="84"/>
    </row>
    <row r="225" ht="12.75" customHeight="1">
      <c r="A225" s="30" t="s">
        <v>37</v>
      </c>
      <c r="B225" s="47" t="s">
        <v>164</v>
      </c>
      <c r="C225" s="48" t="s">
        <v>165</v>
      </c>
      <c r="D225" s="16"/>
      <c r="E225" s="19">
        <v>0.0</v>
      </c>
      <c r="F225" s="19">
        <v>0.0</v>
      </c>
      <c r="G225" s="19">
        <v>0.0</v>
      </c>
      <c r="H225" s="19">
        <v>1.0</v>
      </c>
      <c r="I225" s="19">
        <v>0.0</v>
      </c>
      <c r="J225" s="19">
        <v>0.0</v>
      </c>
      <c r="K225" s="19">
        <v>0.0</v>
      </c>
      <c r="L225" s="19">
        <v>0.0</v>
      </c>
      <c r="M225" s="19">
        <v>0.0</v>
      </c>
      <c r="N225" s="19">
        <v>0.0</v>
      </c>
      <c r="O225" s="19">
        <v>0.0</v>
      </c>
      <c r="P225" s="19">
        <v>2.0</v>
      </c>
      <c r="Q225" s="19">
        <v>0.0</v>
      </c>
      <c r="R225" s="19">
        <v>2.0</v>
      </c>
      <c r="S225" s="19">
        <v>0.0</v>
      </c>
      <c r="T225" s="19">
        <v>0.0</v>
      </c>
      <c r="U225" s="13">
        <f t="shared" ref="U225:U234" si="44">SUM(E225:T225)</f>
        <v>5</v>
      </c>
    </row>
    <row r="226" ht="12.75" customHeight="1">
      <c r="A226" s="30" t="s">
        <v>39</v>
      </c>
      <c r="B226" s="55">
        <v>1.0</v>
      </c>
      <c r="C226" s="50" t="s">
        <v>166</v>
      </c>
      <c r="D226" s="60"/>
      <c r="E226" s="19">
        <v>0.0</v>
      </c>
      <c r="F226" s="19">
        <v>0.0</v>
      </c>
      <c r="G226" s="19">
        <v>0.0</v>
      </c>
      <c r="H226" s="19">
        <v>0.0</v>
      </c>
      <c r="I226" s="19">
        <v>0.0</v>
      </c>
      <c r="J226" s="19">
        <v>0.0</v>
      </c>
      <c r="K226" s="19">
        <v>1.0</v>
      </c>
      <c r="L226" s="19">
        <v>0.0</v>
      </c>
      <c r="M226" s="19">
        <v>0.0</v>
      </c>
      <c r="N226" s="19">
        <v>0.0</v>
      </c>
      <c r="O226" s="19">
        <v>0.0</v>
      </c>
      <c r="P226" s="19">
        <v>0.0</v>
      </c>
      <c r="Q226" s="19">
        <v>0.0</v>
      </c>
      <c r="R226" s="19">
        <v>0.0</v>
      </c>
      <c r="S226" s="19">
        <v>0.0</v>
      </c>
      <c r="T226" s="19">
        <v>0.0</v>
      </c>
      <c r="U226" s="13">
        <f t="shared" si="44"/>
        <v>1</v>
      </c>
    </row>
    <row r="227" ht="12.75" customHeight="1">
      <c r="A227" s="18"/>
      <c r="B227" s="55">
        <v>2.0</v>
      </c>
      <c r="C227" s="50" t="s">
        <v>167</v>
      </c>
      <c r="D227" s="60"/>
      <c r="E227" s="19">
        <v>0.0</v>
      </c>
      <c r="F227" s="19">
        <v>0.0</v>
      </c>
      <c r="G227" s="19">
        <v>0.0</v>
      </c>
      <c r="H227" s="19">
        <v>0.0</v>
      </c>
      <c r="I227" s="19">
        <v>0.0</v>
      </c>
      <c r="J227" s="19">
        <v>0.0</v>
      </c>
      <c r="K227" s="19">
        <v>0.0</v>
      </c>
      <c r="L227" s="19">
        <v>0.0</v>
      </c>
      <c r="M227" s="19">
        <v>0.0</v>
      </c>
      <c r="N227" s="19">
        <v>0.0</v>
      </c>
      <c r="O227" s="19">
        <v>0.0</v>
      </c>
      <c r="P227" s="19">
        <v>0.0</v>
      </c>
      <c r="Q227" s="19">
        <v>0.0</v>
      </c>
      <c r="R227" s="19">
        <v>0.0</v>
      </c>
      <c r="S227" s="19">
        <v>0.0</v>
      </c>
      <c r="T227" s="19">
        <v>0.0</v>
      </c>
      <c r="U227" s="13">
        <f t="shared" si="44"/>
        <v>0</v>
      </c>
    </row>
    <row r="228" ht="12.75" customHeight="1">
      <c r="A228" s="18"/>
      <c r="B228" s="55">
        <v>3.0</v>
      </c>
      <c r="C228" s="50" t="s">
        <v>168</v>
      </c>
      <c r="D228" s="60"/>
      <c r="E228" s="19">
        <v>0.0</v>
      </c>
      <c r="F228" s="19">
        <v>0.0</v>
      </c>
      <c r="G228" s="19">
        <v>0.0</v>
      </c>
      <c r="H228" s="19">
        <v>0.0</v>
      </c>
      <c r="I228" s="19">
        <v>0.0</v>
      </c>
      <c r="J228" s="19">
        <v>0.0</v>
      </c>
      <c r="K228" s="19">
        <v>0.0</v>
      </c>
      <c r="L228" s="19">
        <v>0.0</v>
      </c>
      <c r="M228" s="19">
        <v>0.0</v>
      </c>
      <c r="N228" s="19">
        <v>0.0</v>
      </c>
      <c r="O228" s="19">
        <v>0.0</v>
      </c>
      <c r="P228" s="19">
        <v>0.0</v>
      </c>
      <c r="Q228" s="19">
        <v>0.0</v>
      </c>
      <c r="R228" s="19">
        <v>0.0</v>
      </c>
      <c r="S228" s="19">
        <v>0.0</v>
      </c>
      <c r="T228" s="19">
        <v>0.0</v>
      </c>
      <c r="U228" s="13">
        <f t="shared" si="44"/>
        <v>0</v>
      </c>
    </row>
    <row r="229" ht="12.75" customHeight="1">
      <c r="A229" s="18"/>
      <c r="B229" s="55">
        <v>4.0</v>
      </c>
      <c r="C229" s="50" t="s">
        <v>169</v>
      </c>
      <c r="D229" s="60"/>
      <c r="E229" s="19">
        <v>0.0</v>
      </c>
      <c r="F229" s="19">
        <v>0.0</v>
      </c>
      <c r="G229" s="19">
        <v>0.0</v>
      </c>
      <c r="H229" s="19">
        <v>0.0</v>
      </c>
      <c r="I229" s="19">
        <v>0.0</v>
      </c>
      <c r="J229" s="19">
        <v>0.0</v>
      </c>
      <c r="K229" s="19">
        <v>0.0</v>
      </c>
      <c r="L229" s="19">
        <v>0.0</v>
      </c>
      <c r="M229" s="19">
        <v>0.0</v>
      </c>
      <c r="N229" s="19">
        <v>0.0</v>
      </c>
      <c r="O229" s="19">
        <v>0.0</v>
      </c>
      <c r="P229" s="19">
        <v>0.0</v>
      </c>
      <c r="Q229" s="19">
        <v>0.0</v>
      </c>
      <c r="R229" s="19">
        <v>0.0</v>
      </c>
      <c r="S229" s="19">
        <v>0.0</v>
      </c>
      <c r="T229" s="19">
        <v>0.0</v>
      </c>
      <c r="U229" s="13">
        <f t="shared" si="44"/>
        <v>0</v>
      </c>
    </row>
    <row r="230" ht="12.75" customHeight="1">
      <c r="A230" s="18"/>
      <c r="B230" s="55">
        <v>5.0</v>
      </c>
      <c r="C230" s="50" t="s">
        <v>170</v>
      </c>
      <c r="D230" s="60"/>
      <c r="E230" s="19">
        <v>0.0</v>
      </c>
      <c r="F230" s="19">
        <v>0.0</v>
      </c>
      <c r="G230" s="19">
        <v>0.0</v>
      </c>
      <c r="H230" s="19">
        <v>0.0</v>
      </c>
      <c r="I230" s="19">
        <v>0.0</v>
      </c>
      <c r="J230" s="19">
        <v>0.0</v>
      </c>
      <c r="K230" s="19">
        <v>0.0</v>
      </c>
      <c r="L230" s="19">
        <v>0.0</v>
      </c>
      <c r="M230" s="19">
        <v>0.0</v>
      </c>
      <c r="N230" s="19">
        <v>0.0</v>
      </c>
      <c r="O230" s="19">
        <v>0.0</v>
      </c>
      <c r="P230" s="19">
        <v>0.0</v>
      </c>
      <c r="Q230" s="19">
        <v>0.0</v>
      </c>
      <c r="R230" s="19">
        <v>0.0</v>
      </c>
      <c r="S230" s="19">
        <v>1.0</v>
      </c>
      <c r="T230" s="19">
        <v>0.0</v>
      </c>
      <c r="U230" s="13">
        <f t="shared" si="44"/>
        <v>1</v>
      </c>
    </row>
    <row r="231" ht="12.75" customHeight="1">
      <c r="A231" s="18"/>
      <c r="B231" s="55">
        <v>6.0</v>
      </c>
      <c r="C231" s="50" t="s">
        <v>171</v>
      </c>
      <c r="D231" s="60"/>
      <c r="E231" s="19">
        <v>0.0</v>
      </c>
      <c r="F231" s="19">
        <v>0.0</v>
      </c>
      <c r="G231" s="19">
        <v>0.0</v>
      </c>
      <c r="H231" s="19">
        <v>0.0</v>
      </c>
      <c r="I231" s="19">
        <v>0.0</v>
      </c>
      <c r="J231" s="19">
        <v>0.0</v>
      </c>
      <c r="K231" s="19">
        <v>0.0</v>
      </c>
      <c r="L231" s="19">
        <v>0.0</v>
      </c>
      <c r="M231" s="19">
        <v>0.0</v>
      </c>
      <c r="N231" s="19">
        <v>0.0</v>
      </c>
      <c r="O231" s="19">
        <v>0.0</v>
      </c>
      <c r="P231" s="19">
        <v>0.0</v>
      </c>
      <c r="Q231" s="19">
        <v>0.0</v>
      </c>
      <c r="R231" s="19">
        <v>0.0</v>
      </c>
      <c r="S231" s="19">
        <v>0.0</v>
      </c>
      <c r="T231" s="19">
        <v>0.0</v>
      </c>
      <c r="U231" s="13">
        <f t="shared" si="44"/>
        <v>0</v>
      </c>
    </row>
    <row r="232" ht="12.75" customHeight="1">
      <c r="A232" s="18"/>
      <c r="B232" s="55">
        <v>7.0</v>
      </c>
      <c r="C232" s="50" t="s">
        <v>172</v>
      </c>
      <c r="D232" s="60"/>
      <c r="E232" s="19">
        <v>0.0</v>
      </c>
      <c r="F232" s="19">
        <v>2.0</v>
      </c>
      <c r="G232" s="19">
        <v>0.0</v>
      </c>
      <c r="H232" s="19">
        <v>1.0</v>
      </c>
      <c r="I232" s="19">
        <v>0.0</v>
      </c>
      <c r="J232" s="19">
        <v>0.0</v>
      </c>
      <c r="K232" s="19">
        <v>0.0</v>
      </c>
      <c r="L232" s="19">
        <v>0.0</v>
      </c>
      <c r="M232" s="19">
        <v>0.0</v>
      </c>
      <c r="N232" s="19">
        <v>3.0</v>
      </c>
      <c r="O232" s="19">
        <v>2.0</v>
      </c>
      <c r="P232" s="19">
        <v>0.0</v>
      </c>
      <c r="Q232" s="19">
        <v>1.0</v>
      </c>
      <c r="R232" s="19">
        <v>0.0</v>
      </c>
      <c r="S232" s="19">
        <v>0.0</v>
      </c>
      <c r="T232" s="19">
        <v>0.0</v>
      </c>
      <c r="U232" s="13">
        <f t="shared" si="44"/>
        <v>9</v>
      </c>
    </row>
    <row r="233" ht="12.75" customHeight="1">
      <c r="A233" s="18"/>
      <c r="B233" s="56"/>
      <c r="C233" s="57"/>
      <c r="D233" s="62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3">
        <f t="shared" si="44"/>
        <v>0</v>
      </c>
    </row>
    <row r="234" ht="12.75" customHeight="1">
      <c r="A234" s="18"/>
      <c r="B234" s="56"/>
      <c r="C234" s="57"/>
      <c r="D234" s="62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3">
        <f t="shared" si="44"/>
        <v>0</v>
      </c>
    </row>
    <row r="235" ht="12.75" customHeight="1">
      <c r="A235" s="19" t="s">
        <v>15</v>
      </c>
      <c r="B235" s="47" t="s">
        <v>47</v>
      </c>
      <c r="C235" s="15"/>
      <c r="D235" s="16"/>
      <c r="E235" s="13">
        <f t="shared" ref="E235:U235" si="45">SUM(E225:E234)</f>
        <v>0</v>
      </c>
      <c r="F235" s="13">
        <f t="shared" si="45"/>
        <v>2</v>
      </c>
      <c r="G235" s="13">
        <f t="shared" si="45"/>
        <v>0</v>
      </c>
      <c r="H235" s="13">
        <f t="shared" si="45"/>
        <v>2</v>
      </c>
      <c r="I235" s="13">
        <f t="shared" si="45"/>
        <v>0</v>
      </c>
      <c r="J235" s="13">
        <f t="shared" si="45"/>
        <v>0</v>
      </c>
      <c r="K235" s="13">
        <f t="shared" si="45"/>
        <v>1</v>
      </c>
      <c r="L235" s="13">
        <f t="shared" si="45"/>
        <v>0</v>
      </c>
      <c r="M235" s="13">
        <f t="shared" si="45"/>
        <v>0</v>
      </c>
      <c r="N235" s="13">
        <f t="shared" si="45"/>
        <v>3</v>
      </c>
      <c r="O235" s="13">
        <f t="shared" si="45"/>
        <v>2</v>
      </c>
      <c r="P235" s="13">
        <f t="shared" si="45"/>
        <v>2</v>
      </c>
      <c r="Q235" s="13">
        <f t="shared" si="45"/>
        <v>1</v>
      </c>
      <c r="R235" s="13">
        <f t="shared" si="45"/>
        <v>2</v>
      </c>
      <c r="S235" s="13">
        <f t="shared" si="45"/>
        <v>1</v>
      </c>
      <c r="T235" s="13">
        <f t="shared" si="45"/>
        <v>0</v>
      </c>
      <c r="U235" s="13">
        <f t="shared" si="45"/>
        <v>16</v>
      </c>
    </row>
    <row r="236" ht="12.75" customHeight="1">
      <c r="A236" s="24"/>
      <c r="B236" s="15"/>
      <c r="C236" s="15"/>
      <c r="D236" s="15"/>
      <c r="E236" s="16"/>
      <c r="F236" s="84"/>
      <c r="G236" s="84"/>
      <c r="H236" s="84"/>
      <c r="I236" s="84"/>
      <c r="J236" s="84"/>
      <c r="K236" s="84"/>
      <c r="L236" s="84"/>
      <c r="M236" s="84"/>
      <c r="N236" s="84"/>
      <c r="O236" s="84"/>
      <c r="P236" s="84"/>
      <c r="Q236" s="84"/>
      <c r="R236" s="84"/>
      <c r="S236" s="84"/>
      <c r="T236" s="84"/>
      <c r="U236" s="84"/>
    </row>
    <row r="237" ht="12.75" customHeight="1">
      <c r="A237" s="30" t="s">
        <v>37</v>
      </c>
      <c r="B237" s="47" t="s">
        <v>173</v>
      </c>
      <c r="C237" s="48" t="s">
        <v>174</v>
      </c>
      <c r="D237" s="16"/>
      <c r="E237" s="19">
        <v>2.0</v>
      </c>
      <c r="F237" s="19">
        <v>0.0</v>
      </c>
      <c r="G237" s="19">
        <v>0.0</v>
      </c>
      <c r="H237" s="19">
        <v>1.0</v>
      </c>
      <c r="I237" s="19">
        <v>1.0</v>
      </c>
      <c r="J237" s="19">
        <v>2.0</v>
      </c>
      <c r="K237" s="19">
        <v>1.0</v>
      </c>
      <c r="L237" s="19">
        <v>1.0</v>
      </c>
      <c r="M237" s="19">
        <v>2.0</v>
      </c>
      <c r="N237" s="19">
        <v>4.0</v>
      </c>
      <c r="O237" s="19">
        <v>2.0</v>
      </c>
      <c r="P237" s="19">
        <v>3.0</v>
      </c>
      <c r="Q237" s="19">
        <v>2.0</v>
      </c>
      <c r="R237" s="19">
        <v>2.0</v>
      </c>
      <c r="S237" s="19">
        <v>5.0</v>
      </c>
      <c r="T237" s="19">
        <v>0.0</v>
      </c>
      <c r="U237" s="13">
        <f t="shared" ref="U237:U246" si="46">SUM(E237:T237)</f>
        <v>28</v>
      </c>
    </row>
    <row r="238" ht="12.75" customHeight="1">
      <c r="A238" s="30" t="s">
        <v>39</v>
      </c>
      <c r="B238" s="55">
        <v>1.0</v>
      </c>
      <c r="C238" s="50" t="s">
        <v>175</v>
      </c>
      <c r="D238" s="60"/>
      <c r="E238" s="19">
        <v>0.0</v>
      </c>
      <c r="F238" s="19">
        <v>0.0</v>
      </c>
      <c r="G238" s="19">
        <v>0.0</v>
      </c>
      <c r="H238" s="19">
        <v>1.0</v>
      </c>
      <c r="I238" s="19">
        <v>3.0</v>
      </c>
      <c r="J238" s="19">
        <v>1.0</v>
      </c>
      <c r="K238" s="19">
        <v>1.0</v>
      </c>
      <c r="L238" s="19">
        <v>0.0</v>
      </c>
      <c r="M238" s="19">
        <v>2.0</v>
      </c>
      <c r="N238" s="19">
        <v>1.0</v>
      </c>
      <c r="O238" s="19">
        <v>3.0</v>
      </c>
      <c r="P238" s="19">
        <v>2.0</v>
      </c>
      <c r="Q238" s="19">
        <v>1.0</v>
      </c>
      <c r="R238" s="19">
        <v>0.0</v>
      </c>
      <c r="S238" s="19">
        <v>1.0</v>
      </c>
      <c r="T238" s="19">
        <v>0.0</v>
      </c>
      <c r="U238" s="13">
        <f t="shared" si="46"/>
        <v>16</v>
      </c>
    </row>
    <row r="239" ht="12.75" customHeight="1">
      <c r="A239" s="18"/>
      <c r="B239" s="55">
        <v>2.0</v>
      </c>
      <c r="C239" s="50" t="s">
        <v>176</v>
      </c>
      <c r="D239" s="60"/>
      <c r="E239" s="19">
        <v>72.0</v>
      </c>
      <c r="F239" s="19">
        <v>0.0</v>
      </c>
      <c r="G239" s="19">
        <v>0.0</v>
      </c>
      <c r="H239" s="19">
        <v>2.0</v>
      </c>
      <c r="I239" s="19">
        <v>0.0</v>
      </c>
      <c r="J239" s="19">
        <v>26.0</v>
      </c>
      <c r="K239" s="19">
        <v>0.0</v>
      </c>
      <c r="L239" s="19">
        <v>1.0</v>
      </c>
      <c r="M239" s="19">
        <v>42.0</v>
      </c>
      <c r="N239" s="19">
        <v>9.0</v>
      </c>
      <c r="O239" s="19">
        <v>34.0</v>
      </c>
      <c r="P239" s="19">
        <v>20.0</v>
      </c>
      <c r="Q239" s="19">
        <v>50.0</v>
      </c>
      <c r="R239" s="19">
        <v>27.0</v>
      </c>
      <c r="S239" s="19">
        <v>18.0</v>
      </c>
      <c r="T239" s="19">
        <v>30.0</v>
      </c>
      <c r="U239" s="13">
        <f t="shared" si="46"/>
        <v>331</v>
      </c>
    </row>
    <row r="240" ht="12.75" customHeight="1">
      <c r="A240" s="18"/>
      <c r="B240" s="55">
        <v>3.0</v>
      </c>
      <c r="C240" s="50" t="s">
        <v>177</v>
      </c>
      <c r="D240" s="60"/>
      <c r="E240" s="19">
        <v>0.0</v>
      </c>
      <c r="F240" s="19">
        <v>0.0</v>
      </c>
      <c r="G240" s="19">
        <v>0.0</v>
      </c>
      <c r="H240" s="19">
        <v>0.0</v>
      </c>
      <c r="I240" s="19">
        <v>1.0</v>
      </c>
      <c r="J240" s="19">
        <v>0.0</v>
      </c>
      <c r="K240" s="19">
        <v>0.0</v>
      </c>
      <c r="L240" s="19">
        <v>0.0</v>
      </c>
      <c r="M240" s="19">
        <v>0.0</v>
      </c>
      <c r="N240" s="19">
        <v>0.0</v>
      </c>
      <c r="O240" s="19">
        <v>0.0</v>
      </c>
      <c r="P240" s="19">
        <v>0.0</v>
      </c>
      <c r="Q240" s="19">
        <v>2.0</v>
      </c>
      <c r="R240" s="19">
        <v>0.0</v>
      </c>
      <c r="S240" s="19">
        <v>0.0</v>
      </c>
      <c r="T240" s="19">
        <v>1.0</v>
      </c>
      <c r="U240" s="13">
        <f t="shared" si="46"/>
        <v>4</v>
      </c>
    </row>
    <row r="241" ht="12.75" customHeight="1">
      <c r="A241" s="18"/>
      <c r="B241" s="55">
        <v>4.0</v>
      </c>
      <c r="C241" s="50" t="s">
        <v>178</v>
      </c>
      <c r="D241" s="60"/>
      <c r="E241" s="19">
        <v>0.0</v>
      </c>
      <c r="F241" s="19">
        <v>0.0</v>
      </c>
      <c r="G241" s="19">
        <v>0.0</v>
      </c>
      <c r="H241" s="19">
        <v>0.0</v>
      </c>
      <c r="I241" s="19">
        <v>1.0</v>
      </c>
      <c r="J241" s="19">
        <v>0.0</v>
      </c>
      <c r="K241" s="19">
        <v>0.0</v>
      </c>
      <c r="L241" s="19">
        <v>0.0</v>
      </c>
      <c r="M241" s="19">
        <v>0.0</v>
      </c>
      <c r="N241" s="19">
        <v>0.0</v>
      </c>
      <c r="O241" s="19">
        <v>1.0</v>
      </c>
      <c r="P241" s="19">
        <v>0.0</v>
      </c>
      <c r="Q241" s="19">
        <v>0.0</v>
      </c>
      <c r="R241" s="19">
        <v>0.0</v>
      </c>
      <c r="S241" s="19">
        <v>0.0</v>
      </c>
      <c r="T241" s="19">
        <v>0.0</v>
      </c>
      <c r="U241" s="13">
        <f t="shared" si="46"/>
        <v>2</v>
      </c>
    </row>
    <row r="242" ht="12.75" customHeight="1">
      <c r="A242" s="18"/>
      <c r="B242" s="55">
        <v>5.0</v>
      </c>
      <c r="C242" s="50" t="s">
        <v>179</v>
      </c>
      <c r="D242" s="60"/>
      <c r="E242" s="19">
        <v>0.0</v>
      </c>
      <c r="F242" s="19">
        <v>0.0</v>
      </c>
      <c r="G242" s="19">
        <v>0.0</v>
      </c>
      <c r="H242" s="19">
        <v>0.0</v>
      </c>
      <c r="I242" s="19">
        <v>0.0</v>
      </c>
      <c r="J242" s="19">
        <v>0.0</v>
      </c>
      <c r="K242" s="19">
        <v>0.0</v>
      </c>
      <c r="L242" s="19">
        <v>0.0</v>
      </c>
      <c r="M242" s="19">
        <v>0.0</v>
      </c>
      <c r="N242" s="19">
        <v>0.0</v>
      </c>
      <c r="O242" s="19">
        <v>0.0</v>
      </c>
      <c r="P242" s="19">
        <v>0.0</v>
      </c>
      <c r="Q242" s="19">
        <v>0.0</v>
      </c>
      <c r="R242" s="19">
        <v>0.0</v>
      </c>
      <c r="S242" s="19">
        <v>0.0</v>
      </c>
      <c r="T242" s="19">
        <v>0.0</v>
      </c>
      <c r="U242" s="13">
        <f t="shared" si="46"/>
        <v>0</v>
      </c>
    </row>
    <row r="243" ht="12.75" customHeight="1">
      <c r="A243" s="18"/>
      <c r="B243" s="55">
        <v>6.0</v>
      </c>
      <c r="C243" s="50" t="s">
        <v>180</v>
      </c>
      <c r="D243" s="60"/>
      <c r="E243" s="19">
        <v>0.0</v>
      </c>
      <c r="F243" s="19">
        <v>0.0</v>
      </c>
      <c r="G243" s="19">
        <v>0.0</v>
      </c>
      <c r="H243" s="19">
        <v>0.0</v>
      </c>
      <c r="I243" s="19">
        <v>0.0</v>
      </c>
      <c r="J243" s="19">
        <v>0.0</v>
      </c>
      <c r="K243" s="19">
        <v>0.0</v>
      </c>
      <c r="L243" s="19">
        <v>0.0</v>
      </c>
      <c r="M243" s="19">
        <v>0.0</v>
      </c>
      <c r="N243" s="19">
        <v>0.0</v>
      </c>
      <c r="O243" s="19">
        <v>0.0</v>
      </c>
      <c r="P243" s="19">
        <v>0.0</v>
      </c>
      <c r="Q243" s="19">
        <v>1.0</v>
      </c>
      <c r="R243" s="19">
        <v>1.0</v>
      </c>
      <c r="S243" s="19">
        <v>0.0</v>
      </c>
      <c r="T243" s="19">
        <v>0.0</v>
      </c>
      <c r="U243" s="13">
        <f t="shared" si="46"/>
        <v>2</v>
      </c>
    </row>
    <row r="244" ht="12.75" customHeight="1">
      <c r="A244" s="18"/>
      <c r="B244" s="55">
        <v>7.0</v>
      </c>
      <c r="C244" s="50" t="s">
        <v>181</v>
      </c>
      <c r="D244" s="60"/>
      <c r="E244" s="19">
        <v>0.0</v>
      </c>
      <c r="F244" s="19">
        <v>0.0</v>
      </c>
      <c r="G244" s="19">
        <v>0.0</v>
      </c>
      <c r="H244" s="19">
        <v>1.0</v>
      </c>
      <c r="I244" s="19">
        <v>0.0</v>
      </c>
      <c r="J244" s="19">
        <v>0.0</v>
      </c>
      <c r="K244" s="19">
        <v>0.0</v>
      </c>
      <c r="L244" s="19">
        <v>0.0</v>
      </c>
      <c r="M244" s="19">
        <v>0.0</v>
      </c>
      <c r="N244" s="19">
        <v>0.0</v>
      </c>
      <c r="O244" s="19">
        <v>0.0</v>
      </c>
      <c r="P244" s="19">
        <v>2.0</v>
      </c>
      <c r="Q244" s="19">
        <v>0.0</v>
      </c>
      <c r="R244" s="19">
        <v>0.0</v>
      </c>
      <c r="S244" s="19">
        <v>0.0</v>
      </c>
      <c r="T244" s="19">
        <v>0.0</v>
      </c>
      <c r="U244" s="13">
        <f t="shared" si="46"/>
        <v>3</v>
      </c>
    </row>
    <row r="245" ht="12.75" customHeight="1">
      <c r="A245" s="18"/>
      <c r="B245" s="56"/>
      <c r="C245" s="57"/>
      <c r="D245" s="62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3">
        <f t="shared" si="46"/>
        <v>0</v>
      </c>
    </row>
    <row r="246" ht="12.75" customHeight="1">
      <c r="A246" s="18"/>
      <c r="B246" s="56"/>
      <c r="C246" s="57"/>
      <c r="D246" s="62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3">
        <f t="shared" si="46"/>
        <v>0</v>
      </c>
    </row>
    <row r="247" ht="12.75" customHeight="1">
      <c r="A247" s="19" t="s">
        <v>15</v>
      </c>
      <c r="B247" s="47" t="s">
        <v>47</v>
      </c>
      <c r="C247" s="15"/>
      <c r="D247" s="16"/>
      <c r="E247" s="13">
        <f t="shared" ref="E247:U247" si="47">SUM(E237:E246)</f>
        <v>74</v>
      </c>
      <c r="F247" s="13">
        <f t="shared" si="47"/>
        <v>0</v>
      </c>
      <c r="G247" s="13">
        <f t="shared" si="47"/>
        <v>0</v>
      </c>
      <c r="H247" s="13">
        <f t="shared" si="47"/>
        <v>5</v>
      </c>
      <c r="I247" s="13">
        <f t="shared" si="47"/>
        <v>6</v>
      </c>
      <c r="J247" s="13">
        <f t="shared" si="47"/>
        <v>29</v>
      </c>
      <c r="K247" s="13">
        <f t="shared" si="47"/>
        <v>2</v>
      </c>
      <c r="L247" s="13">
        <f t="shared" si="47"/>
        <v>2</v>
      </c>
      <c r="M247" s="13">
        <f t="shared" si="47"/>
        <v>46</v>
      </c>
      <c r="N247" s="13">
        <f t="shared" si="47"/>
        <v>14</v>
      </c>
      <c r="O247" s="13">
        <f t="shared" si="47"/>
        <v>40</v>
      </c>
      <c r="P247" s="13">
        <f t="shared" si="47"/>
        <v>27</v>
      </c>
      <c r="Q247" s="13">
        <f t="shared" si="47"/>
        <v>56</v>
      </c>
      <c r="R247" s="13">
        <f t="shared" si="47"/>
        <v>30</v>
      </c>
      <c r="S247" s="13">
        <f t="shared" si="47"/>
        <v>24</v>
      </c>
      <c r="T247" s="13">
        <f t="shared" si="47"/>
        <v>31</v>
      </c>
      <c r="U247" s="13">
        <f t="shared" si="47"/>
        <v>386</v>
      </c>
    </row>
    <row r="248" ht="12.75" customHeight="1">
      <c r="A248" s="24"/>
      <c r="B248" s="15"/>
      <c r="C248" s="15"/>
      <c r="D248" s="15"/>
      <c r="E248" s="16"/>
    </row>
    <row r="249" ht="12.75" customHeight="1">
      <c r="A249" s="30" t="s">
        <v>37</v>
      </c>
      <c r="B249" s="47" t="s">
        <v>182</v>
      </c>
      <c r="C249" s="48" t="s">
        <v>183</v>
      </c>
      <c r="D249" s="16"/>
      <c r="E249" s="19">
        <v>0.0</v>
      </c>
      <c r="F249" s="19">
        <v>1.0</v>
      </c>
      <c r="G249" s="19">
        <v>0.0</v>
      </c>
      <c r="H249" s="19">
        <v>0.0</v>
      </c>
      <c r="I249" s="19">
        <v>0.0</v>
      </c>
      <c r="J249" s="19">
        <v>0.0</v>
      </c>
      <c r="K249" s="19">
        <v>0.0</v>
      </c>
      <c r="L249" s="19">
        <v>0.0</v>
      </c>
      <c r="M249" s="19">
        <v>0.0</v>
      </c>
      <c r="N249" s="19">
        <v>0.0</v>
      </c>
      <c r="O249" s="19">
        <v>0.0</v>
      </c>
      <c r="P249" s="19">
        <v>0.0</v>
      </c>
      <c r="Q249" s="19">
        <v>0.0</v>
      </c>
      <c r="R249" s="19">
        <v>1.0</v>
      </c>
      <c r="S249" s="19">
        <v>0.0</v>
      </c>
      <c r="T249" s="19">
        <v>0.0</v>
      </c>
      <c r="U249" s="13">
        <f t="shared" ref="U249:U258" si="48">SUM(E249:T249)</f>
        <v>2</v>
      </c>
    </row>
    <row r="250" ht="12.75" customHeight="1">
      <c r="A250" s="30" t="s">
        <v>39</v>
      </c>
      <c r="B250" s="55">
        <v>1.0</v>
      </c>
      <c r="C250" s="67" t="s">
        <v>184</v>
      </c>
      <c r="D250" s="60"/>
      <c r="E250" s="19">
        <v>1.0</v>
      </c>
      <c r="F250" s="19">
        <v>0.0</v>
      </c>
      <c r="G250" s="19">
        <v>0.0</v>
      </c>
      <c r="H250" s="19">
        <v>0.0</v>
      </c>
      <c r="I250" s="19">
        <v>0.0</v>
      </c>
      <c r="J250" s="19">
        <v>0.0</v>
      </c>
      <c r="K250" s="19">
        <v>0.0</v>
      </c>
      <c r="L250" s="19">
        <v>0.0</v>
      </c>
      <c r="M250" s="19">
        <v>0.0</v>
      </c>
      <c r="N250" s="19">
        <v>0.0</v>
      </c>
      <c r="O250" s="19">
        <v>0.0</v>
      </c>
      <c r="P250" s="19">
        <v>0.0</v>
      </c>
      <c r="Q250" s="19">
        <v>0.0</v>
      </c>
      <c r="R250" s="19">
        <v>0.0</v>
      </c>
      <c r="S250" s="19">
        <v>0.0</v>
      </c>
      <c r="T250" s="19">
        <v>0.0</v>
      </c>
      <c r="U250" s="13">
        <f t="shared" si="48"/>
        <v>1</v>
      </c>
    </row>
    <row r="251" ht="12.75" customHeight="1">
      <c r="A251" s="18"/>
      <c r="B251" s="55">
        <v>2.0</v>
      </c>
      <c r="C251" s="67" t="s">
        <v>185</v>
      </c>
      <c r="D251" s="60"/>
      <c r="E251" s="19">
        <v>0.0</v>
      </c>
      <c r="F251" s="19">
        <v>0.0</v>
      </c>
      <c r="G251" s="19">
        <v>0.0</v>
      </c>
      <c r="H251" s="19">
        <v>0.0</v>
      </c>
      <c r="I251" s="19">
        <v>0.0</v>
      </c>
      <c r="J251" s="19">
        <v>0.0</v>
      </c>
      <c r="K251" s="19">
        <v>0.0</v>
      </c>
      <c r="L251" s="19">
        <v>0.0</v>
      </c>
      <c r="M251" s="19">
        <v>0.0</v>
      </c>
      <c r="N251" s="19">
        <v>0.0</v>
      </c>
      <c r="O251" s="19">
        <v>0.0</v>
      </c>
      <c r="P251" s="19">
        <v>0.0</v>
      </c>
      <c r="Q251" s="19">
        <v>0.0</v>
      </c>
      <c r="R251" s="19">
        <v>0.0</v>
      </c>
      <c r="S251" s="19">
        <v>0.0</v>
      </c>
      <c r="T251" s="19">
        <v>0.0</v>
      </c>
      <c r="U251" s="13">
        <f t="shared" si="48"/>
        <v>0</v>
      </c>
    </row>
    <row r="252" ht="12.75" customHeight="1">
      <c r="A252" s="18"/>
      <c r="B252" s="55">
        <v>3.0</v>
      </c>
      <c r="C252" s="67" t="s">
        <v>186</v>
      </c>
      <c r="D252" s="60"/>
      <c r="E252" s="19">
        <v>0.0</v>
      </c>
      <c r="F252" s="19">
        <v>0.0</v>
      </c>
      <c r="G252" s="19">
        <v>1.0</v>
      </c>
      <c r="H252" s="19">
        <v>0.0</v>
      </c>
      <c r="I252" s="19">
        <v>0.0</v>
      </c>
      <c r="J252" s="19">
        <v>0.0</v>
      </c>
      <c r="K252" s="19">
        <v>0.0</v>
      </c>
      <c r="L252" s="19">
        <v>0.0</v>
      </c>
      <c r="M252" s="19">
        <v>0.0</v>
      </c>
      <c r="N252" s="19">
        <v>0.0</v>
      </c>
      <c r="O252" s="19">
        <v>0.0</v>
      </c>
      <c r="P252" s="19">
        <v>0.0</v>
      </c>
      <c r="Q252" s="19">
        <v>0.0</v>
      </c>
      <c r="R252" s="19">
        <v>0.0</v>
      </c>
      <c r="S252" s="19">
        <v>0.0</v>
      </c>
      <c r="T252" s="19">
        <v>0.0</v>
      </c>
      <c r="U252" s="13">
        <f t="shared" si="48"/>
        <v>1</v>
      </c>
    </row>
    <row r="253" ht="12.75" customHeight="1">
      <c r="A253" s="18"/>
      <c r="B253" s="55">
        <v>4.0</v>
      </c>
      <c r="C253" s="67" t="s">
        <v>187</v>
      </c>
      <c r="D253" s="60"/>
      <c r="E253" s="19">
        <v>0.0</v>
      </c>
      <c r="F253" s="19">
        <v>0.0</v>
      </c>
      <c r="G253" s="19">
        <v>0.0</v>
      </c>
      <c r="H253" s="19">
        <v>0.0</v>
      </c>
      <c r="I253" s="19">
        <v>0.0</v>
      </c>
      <c r="J253" s="19">
        <v>0.0</v>
      </c>
      <c r="K253" s="19">
        <v>0.0</v>
      </c>
      <c r="L253" s="19">
        <v>0.0</v>
      </c>
      <c r="M253" s="19">
        <v>0.0</v>
      </c>
      <c r="N253" s="19">
        <v>0.0</v>
      </c>
      <c r="O253" s="19">
        <v>0.0</v>
      </c>
      <c r="P253" s="19">
        <v>0.0</v>
      </c>
      <c r="Q253" s="19">
        <v>0.0</v>
      </c>
      <c r="R253" s="19">
        <v>0.0</v>
      </c>
      <c r="S253" s="19">
        <v>0.0</v>
      </c>
      <c r="T253" s="19">
        <v>0.0</v>
      </c>
      <c r="U253" s="13">
        <f t="shared" si="48"/>
        <v>0</v>
      </c>
    </row>
    <row r="254" ht="12.75" customHeight="1">
      <c r="A254" s="18"/>
      <c r="B254" s="55">
        <v>5.0</v>
      </c>
      <c r="C254" s="67" t="s">
        <v>188</v>
      </c>
      <c r="D254" s="60"/>
      <c r="E254" s="19">
        <v>1.0</v>
      </c>
      <c r="F254" s="19">
        <v>0.0</v>
      </c>
      <c r="G254" s="19">
        <v>0.0</v>
      </c>
      <c r="H254" s="19">
        <v>0.0</v>
      </c>
      <c r="I254" s="19">
        <v>1.0</v>
      </c>
      <c r="J254" s="19">
        <v>0.0</v>
      </c>
      <c r="K254" s="19">
        <v>0.0</v>
      </c>
      <c r="L254" s="19">
        <v>0.0</v>
      </c>
      <c r="M254" s="19">
        <v>0.0</v>
      </c>
      <c r="N254" s="19">
        <v>0.0</v>
      </c>
      <c r="O254" s="19">
        <v>0.0</v>
      </c>
      <c r="P254" s="19">
        <v>0.0</v>
      </c>
      <c r="Q254" s="19">
        <v>0.0</v>
      </c>
      <c r="R254" s="19">
        <v>0.0</v>
      </c>
      <c r="S254" s="19">
        <v>0.0</v>
      </c>
      <c r="T254" s="19">
        <v>0.0</v>
      </c>
      <c r="U254" s="13">
        <f t="shared" si="48"/>
        <v>2</v>
      </c>
    </row>
    <row r="255" ht="12.75" customHeight="1">
      <c r="A255" s="18"/>
      <c r="B255" s="55">
        <v>6.0</v>
      </c>
      <c r="C255" s="67" t="s">
        <v>189</v>
      </c>
      <c r="D255" s="60"/>
      <c r="E255" s="19">
        <v>0.0</v>
      </c>
      <c r="F255" s="19">
        <v>0.0</v>
      </c>
      <c r="G255" s="19">
        <v>0.0</v>
      </c>
      <c r="H255" s="19">
        <v>0.0</v>
      </c>
      <c r="I255" s="19">
        <v>0.0</v>
      </c>
      <c r="J255" s="19">
        <v>0.0</v>
      </c>
      <c r="K255" s="19">
        <v>0.0</v>
      </c>
      <c r="L255" s="19">
        <v>0.0</v>
      </c>
      <c r="M255" s="19">
        <v>0.0</v>
      </c>
      <c r="N255" s="19">
        <v>0.0</v>
      </c>
      <c r="O255" s="19">
        <v>0.0</v>
      </c>
      <c r="P255" s="19">
        <v>0.0</v>
      </c>
      <c r="Q255" s="19">
        <v>0.0</v>
      </c>
      <c r="R255" s="19">
        <v>0.0</v>
      </c>
      <c r="S255" s="19">
        <v>0.0</v>
      </c>
      <c r="T255" s="19">
        <v>0.0</v>
      </c>
      <c r="U255" s="13">
        <f t="shared" si="48"/>
        <v>0</v>
      </c>
    </row>
    <row r="256" ht="12.75" customHeight="1">
      <c r="A256" s="18"/>
      <c r="B256" s="56"/>
      <c r="C256" s="68"/>
      <c r="D256" s="62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3">
        <f t="shared" si="48"/>
        <v>0</v>
      </c>
    </row>
    <row r="257" ht="12.75" customHeight="1">
      <c r="A257" s="18"/>
      <c r="B257" s="56"/>
      <c r="C257" s="68"/>
      <c r="D257" s="62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3">
        <f t="shared" si="48"/>
        <v>0</v>
      </c>
    </row>
    <row r="258" ht="12.75" customHeight="1">
      <c r="A258" s="18"/>
      <c r="B258" s="56"/>
      <c r="C258" s="68"/>
      <c r="D258" s="62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3">
        <f t="shared" si="48"/>
        <v>0</v>
      </c>
    </row>
    <row r="259" ht="12.75" customHeight="1">
      <c r="A259" s="19" t="s">
        <v>15</v>
      </c>
      <c r="B259" s="47" t="s">
        <v>47</v>
      </c>
      <c r="C259" s="15"/>
      <c r="D259" s="16"/>
      <c r="E259" s="13">
        <f t="shared" ref="E259:U259" si="49">SUM(E249:E258)</f>
        <v>2</v>
      </c>
      <c r="F259" s="13">
        <f t="shared" si="49"/>
        <v>1</v>
      </c>
      <c r="G259" s="13">
        <f t="shared" si="49"/>
        <v>1</v>
      </c>
      <c r="H259" s="13">
        <f t="shared" si="49"/>
        <v>0</v>
      </c>
      <c r="I259" s="13">
        <f t="shared" si="49"/>
        <v>1</v>
      </c>
      <c r="J259" s="13">
        <f t="shared" si="49"/>
        <v>0</v>
      </c>
      <c r="K259" s="13">
        <f t="shared" si="49"/>
        <v>0</v>
      </c>
      <c r="L259" s="13">
        <f t="shared" si="49"/>
        <v>0</v>
      </c>
      <c r="M259" s="13">
        <f t="shared" si="49"/>
        <v>0</v>
      </c>
      <c r="N259" s="13">
        <f t="shared" si="49"/>
        <v>0</v>
      </c>
      <c r="O259" s="13">
        <f t="shared" si="49"/>
        <v>0</v>
      </c>
      <c r="P259" s="13">
        <f t="shared" si="49"/>
        <v>0</v>
      </c>
      <c r="Q259" s="13">
        <f t="shared" si="49"/>
        <v>0</v>
      </c>
      <c r="R259" s="13">
        <f t="shared" si="49"/>
        <v>1</v>
      </c>
      <c r="S259" s="13">
        <f t="shared" si="49"/>
        <v>0</v>
      </c>
      <c r="T259" s="13">
        <f t="shared" si="49"/>
        <v>0</v>
      </c>
      <c r="U259" s="13">
        <f t="shared" si="49"/>
        <v>6</v>
      </c>
    </row>
    <row r="260" ht="12.75" customHeight="1"/>
    <row r="261" ht="12.75" customHeight="1">
      <c r="A261" s="42" t="s">
        <v>190</v>
      </c>
      <c r="B261" s="14" t="s">
        <v>191</v>
      </c>
      <c r="C261" s="15"/>
      <c r="D261" s="16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</row>
    <row r="262" ht="12.75" customHeight="1">
      <c r="A262" s="42"/>
      <c r="B262" s="71" t="s">
        <v>192</v>
      </c>
      <c r="C262" s="72" t="s">
        <v>193</v>
      </c>
      <c r="D262" s="16"/>
      <c r="E262" s="19">
        <f t="shared" ref="E262:T262" si="50">E55+E67+E79+E91+E103+E115+E127+E139+E151+E163+E175+E187+E199+E211+E223+E235+E247+E259</f>
        <v>169</v>
      </c>
      <c r="F262" s="19">
        <f t="shared" si="50"/>
        <v>212</v>
      </c>
      <c r="G262" s="19">
        <f t="shared" si="50"/>
        <v>186</v>
      </c>
      <c r="H262" s="19">
        <f t="shared" si="50"/>
        <v>198</v>
      </c>
      <c r="I262" s="19">
        <f t="shared" si="50"/>
        <v>204</v>
      </c>
      <c r="J262" s="19">
        <f t="shared" si="50"/>
        <v>170</v>
      </c>
      <c r="K262" s="19">
        <f t="shared" si="50"/>
        <v>208</v>
      </c>
      <c r="L262" s="19">
        <f t="shared" si="50"/>
        <v>200</v>
      </c>
      <c r="M262" s="19">
        <f t="shared" si="50"/>
        <v>228</v>
      </c>
      <c r="N262" s="19">
        <f t="shared" si="50"/>
        <v>201</v>
      </c>
      <c r="O262" s="19">
        <f t="shared" si="50"/>
        <v>218</v>
      </c>
      <c r="P262" s="19">
        <f t="shared" si="50"/>
        <v>206</v>
      </c>
      <c r="Q262" s="19">
        <f t="shared" si="50"/>
        <v>213</v>
      </c>
      <c r="R262" s="19">
        <f t="shared" si="50"/>
        <v>215</v>
      </c>
      <c r="S262" s="19">
        <f t="shared" si="50"/>
        <v>211</v>
      </c>
      <c r="T262" s="19">
        <f t="shared" si="50"/>
        <v>205</v>
      </c>
      <c r="U262" s="13">
        <f t="shared" ref="U262:U264" si="51">SUM(E262:T262)</f>
        <v>3244</v>
      </c>
    </row>
    <row r="263" ht="12.75" customHeight="1">
      <c r="A263" s="35"/>
      <c r="B263" s="71" t="s">
        <v>194</v>
      </c>
      <c r="C263" s="72" t="s">
        <v>195</v>
      </c>
      <c r="D263" s="16"/>
      <c r="E263" s="19">
        <v>5.0</v>
      </c>
      <c r="F263" s="19">
        <v>10.0</v>
      </c>
      <c r="G263" s="19">
        <v>19.0</v>
      </c>
      <c r="H263" s="19">
        <v>19.0</v>
      </c>
      <c r="I263" s="19">
        <v>25.0</v>
      </c>
      <c r="J263" s="19">
        <v>22.0</v>
      </c>
      <c r="K263" s="19">
        <v>12.0</v>
      </c>
      <c r="L263" s="19">
        <v>11.0</v>
      </c>
      <c r="M263" s="19">
        <v>9.0</v>
      </c>
      <c r="N263" s="19">
        <v>11.0</v>
      </c>
      <c r="O263" s="19">
        <v>17.0</v>
      </c>
      <c r="P263" s="19">
        <v>15.0</v>
      </c>
      <c r="Q263" s="19">
        <v>20.0</v>
      </c>
      <c r="R263" s="19">
        <v>8.0</v>
      </c>
      <c r="S263" s="19">
        <v>16.0</v>
      </c>
      <c r="T263" s="19">
        <v>10.0</v>
      </c>
      <c r="U263" s="13">
        <f t="shared" si="51"/>
        <v>229</v>
      </c>
    </row>
    <row r="264" ht="12.75" customHeight="1">
      <c r="A264" s="41"/>
      <c r="B264" s="71" t="s">
        <v>196</v>
      </c>
      <c r="C264" s="72" t="s">
        <v>197</v>
      </c>
      <c r="D264" s="16"/>
      <c r="E264" s="13">
        <f t="shared" ref="E264:T264" si="52">SUM(E262:E263)</f>
        <v>174</v>
      </c>
      <c r="F264" s="13">
        <f t="shared" si="52"/>
        <v>222</v>
      </c>
      <c r="G264" s="13">
        <f t="shared" si="52"/>
        <v>205</v>
      </c>
      <c r="H264" s="13">
        <f t="shared" si="52"/>
        <v>217</v>
      </c>
      <c r="I264" s="13">
        <f t="shared" si="52"/>
        <v>229</v>
      </c>
      <c r="J264" s="13">
        <f t="shared" si="52"/>
        <v>192</v>
      </c>
      <c r="K264" s="13">
        <f t="shared" si="52"/>
        <v>220</v>
      </c>
      <c r="L264" s="13">
        <f t="shared" si="52"/>
        <v>211</v>
      </c>
      <c r="M264" s="13">
        <f t="shared" si="52"/>
        <v>237</v>
      </c>
      <c r="N264" s="13">
        <f t="shared" si="52"/>
        <v>212</v>
      </c>
      <c r="O264" s="13">
        <f t="shared" si="52"/>
        <v>235</v>
      </c>
      <c r="P264" s="13">
        <f t="shared" si="52"/>
        <v>221</v>
      </c>
      <c r="Q264" s="13">
        <f t="shared" si="52"/>
        <v>233</v>
      </c>
      <c r="R264" s="13">
        <f t="shared" si="52"/>
        <v>223</v>
      </c>
      <c r="S264" s="13">
        <f t="shared" si="52"/>
        <v>227</v>
      </c>
      <c r="T264" s="13">
        <f t="shared" si="52"/>
        <v>215</v>
      </c>
      <c r="U264" s="13">
        <f t="shared" si="51"/>
        <v>3473</v>
      </c>
    </row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93">
    <mergeCell ref="B55:D55"/>
    <mergeCell ref="A56:E56"/>
    <mergeCell ref="C57:D57"/>
    <mergeCell ref="B67:D67"/>
    <mergeCell ref="A68:E68"/>
    <mergeCell ref="C69:D69"/>
    <mergeCell ref="B79:D79"/>
    <mergeCell ref="A80:E80"/>
    <mergeCell ref="C81:D81"/>
    <mergeCell ref="B91:D91"/>
    <mergeCell ref="A92:E92"/>
    <mergeCell ref="C93:D93"/>
    <mergeCell ref="B103:D103"/>
    <mergeCell ref="A104:E104"/>
    <mergeCell ref="B127:D127"/>
    <mergeCell ref="A128:E128"/>
    <mergeCell ref="C129:D129"/>
    <mergeCell ref="B139:D139"/>
    <mergeCell ref="A140:E140"/>
    <mergeCell ref="C141:D141"/>
    <mergeCell ref="B151:D151"/>
    <mergeCell ref="A152:E152"/>
    <mergeCell ref="C153:D153"/>
    <mergeCell ref="B163:D163"/>
    <mergeCell ref="A164:E164"/>
    <mergeCell ref="C165:D165"/>
    <mergeCell ref="B175:D175"/>
    <mergeCell ref="A176:E176"/>
    <mergeCell ref="C177:D177"/>
    <mergeCell ref="B187:D187"/>
    <mergeCell ref="A188:E188"/>
    <mergeCell ref="C189:D189"/>
    <mergeCell ref="B199:D199"/>
    <mergeCell ref="A200:E200"/>
    <mergeCell ref="C201:D201"/>
    <mergeCell ref="B211:D211"/>
    <mergeCell ref="A212:E212"/>
    <mergeCell ref="C213:D213"/>
    <mergeCell ref="B223:D223"/>
    <mergeCell ref="A224:E224"/>
    <mergeCell ref="C225:D225"/>
    <mergeCell ref="B235:D235"/>
    <mergeCell ref="C262:D262"/>
    <mergeCell ref="C263:D263"/>
    <mergeCell ref="C264:D264"/>
    <mergeCell ref="A236:E236"/>
    <mergeCell ref="C237:D237"/>
    <mergeCell ref="B247:D247"/>
    <mergeCell ref="A248:E248"/>
    <mergeCell ref="C249:D249"/>
    <mergeCell ref="B259:D259"/>
    <mergeCell ref="B261:D261"/>
    <mergeCell ref="B12:D12"/>
    <mergeCell ref="E12:T12"/>
    <mergeCell ref="U12:U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O37"/>
    <mergeCell ref="C28:C30"/>
    <mergeCell ref="A31:D31"/>
    <mergeCell ref="B32:D32"/>
    <mergeCell ref="B33:D33"/>
    <mergeCell ref="B34:D34"/>
    <mergeCell ref="B35:D35"/>
    <mergeCell ref="B36:D36"/>
    <mergeCell ref="B38:D38"/>
    <mergeCell ref="B39:C41"/>
    <mergeCell ref="A42:D42"/>
    <mergeCell ref="E42:O42"/>
    <mergeCell ref="B43:D43"/>
    <mergeCell ref="A44:D44"/>
    <mergeCell ref="C45:D45"/>
    <mergeCell ref="C46:D46"/>
    <mergeCell ref="C47:D47"/>
    <mergeCell ref="C48:D48"/>
    <mergeCell ref="C49:D49"/>
    <mergeCell ref="C50:D50"/>
    <mergeCell ref="C51:D51"/>
    <mergeCell ref="C52:D52"/>
    <mergeCell ref="C105:D105"/>
    <mergeCell ref="B115:D115"/>
    <mergeCell ref="A116:E116"/>
    <mergeCell ref="C117:D117"/>
  </mergeCells>
  <conditionalFormatting sqref="E14:T15">
    <cfRule type="containsBlanks" dxfId="1" priority="1">
      <formula>LEN(TRIM(E14))=0</formula>
    </cfRule>
  </conditionalFormatting>
  <conditionalFormatting sqref="E19:T20">
    <cfRule type="containsBlanks" dxfId="1" priority="2">
      <formula>LEN(TRIM(E19))=0</formula>
    </cfRule>
  </conditionalFormatting>
  <conditionalFormatting sqref="E22:T23 E25:T26 E33:T33 E35:T35 E39:T40">
    <cfRule type="containsBlanks" dxfId="1" priority="3">
      <formula>LEN(TRIM(E22))=0</formula>
    </cfRule>
  </conditionalFormatting>
  <conditionalFormatting sqref="E30:T30">
    <cfRule type="expression" dxfId="0" priority="4">
      <formula>E30&lt;&gt;E47</formula>
    </cfRule>
  </conditionalFormatting>
  <conditionalFormatting sqref="E30:T30">
    <cfRule type="expression" dxfId="0" priority="5">
      <formula>E30&lt;&gt;E34</formula>
    </cfRule>
  </conditionalFormatting>
  <conditionalFormatting sqref="E34:T34">
    <cfRule type="expression" dxfId="2" priority="6">
      <formula>E30&lt;&gt;E34</formula>
    </cfRule>
  </conditionalFormatting>
  <conditionalFormatting sqref="E34:T34">
    <cfRule type="expression" dxfId="3" priority="7">
      <formula>E30=E34</formula>
    </cfRule>
  </conditionalFormatting>
  <conditionalFormatting sqref="E34:T34">
    <cfRule type="expression" dxfId="0" priority="8">
      <formula>E34&lt;&gt;E30</formula>
    </cfRule>
  </conditionalFormatting>
  <conditionalFormatting sqref="E34:T34">
    <cfRule type="expression" dxfId="0" priority="9">
      <formula>E34&lt;&gt;E64</formula>
    </cfRule>
  </conditionalFormatting>
  <conditionalFormatting sqref="E45:T54">
    <cfRule type="containsBlanks" dxfId="1" priority="10">
      <formula>LEN(TRIM(E45))=0</formula>
    </cfRule>
  </conditionalFormatting>
  <conditionalFormatting sqref="E57:T66">
    <cfRule type="containsBlanks" dxfId="1" priority="11">
      <formula>LEN(TRIM(E57))=0</formula>
    </cfRule>
  </conditionalFormatting>
  <conditionalFormatting sqref="E69:T78">
    <cfRule type="containsBlanks" dxfId="1" priority="12">
      <formula>LEN(TRIM(E69))=0</formula>
    </cfRule>
  </conditionalFormatting>
  <conditionalFormatting sqref="E81:T90">
    <cfRule type="containsBlanks" dxfId="1" priority="13">
      <formula>LEN(TRIM(E81))=0</formula>
    </cfRule>
  </conditionalFormatting>
  <conditionalFormatting sqref="E93:T102">
    <cfRule type="containsBlanks" dxfId="1" priority="14">
      <formula>LEN(TRIM(E93))=0</formula>
    </cfRule>
  </conditionalFormatting>
  <conditionalFormatting sqref="E105:T114">
    <cfRule type="containsBlanks" dxfId="1" priority="15">
      <formula>LEN(TRIM(E105))=0</formula>
    </cfRule>
  </conditionalFormatting>
  <conditionalFormatting sqref="E117:T126">
    <cfRule type="containsBlanks" dxfId="1" priority="16">
      <formula>LEN(TRIM(E117))=0</formula>
    </cfRule>
  </conditionalFormatting>
  <conditionalFormatting sqref="E129:T138">
    <cfRule type="containsBlanks" dxfId="1" priority="17">
      <formula>LEN(TRIM(E129))=0</formula>
    </cfRule>
  </conditionalFormatting>
  <conditionalFormatting sqref="E141:T150">
    <cfRule type="containsBlanks" dxfId="1" priority="18">
      <formula>LEN(TRIM(E141))=0</formula>
    </cfRule>
  </conditionalFormatting>
  <conditionalFormatting sqref="E153:T162">
    <cfRule type="containsBlanks" dxfId="1" priority="19">
      <formula>LEN(TRIM(E153))=0</formula>
    </cfRule>
  </conditionalFormatting>
  <conditionalFormatting sqref="E165:T174">
    <cfRule type="containsBlanks" dxfId="1" priority="20">
      <formula>LEN(TRIM(E165))=0</formula>
    </cfRule>
  </conditionalFormatting>
  <conditionalFormatting sqref="E177:T186">
    <cfRule type="containsBlanks" dxfId="1" priority="21">
      <formula>LEN(TRIM(E177))=0</formula>
    </cfRule>
  </conditionalFormatting>
  <conditionalFormatting sqref="E189:T198">
    <cfRule type="containsBlanks" dxfId="1" priority="22">
      <formula>LEN(TRIM(E189))=0</formula>
    </cfRule>
  </conditionalFormatting>
  <conditionalFormatting sqref="E201:T210">
    <cfRule type="containsBlanks" dxfId="1" priority="23">
      <formula>LEN(TRIM(E201))=0</formula>
    </cfRule>
  </conditionalFormatting>
  <conditionalFormatting sqref="E213:T222">
    <cfRule type="containsBlanks" dxfId="1" priority="24">
      <formula>LEN(TRIM(E213))=0</formula>
    </cfRule>
  </conditionalFormatting>
  <conditionalFormatting sqref="E225:T234">
    <cfRule type="containsBlanks" dxfId="1" priority="25">
      <formula>LEN(TRIM(E225))=0</formula>
    </cfRule>
  </conditionalFormatting>
  <conditionalFormatting sqref="E237:T246">
    <cfRule type="containsBlanks" dxfId="1" priority="26">
      <formula>LEN(TRIM(E237))=0</formula>
    </cfRule>
  </conditionalFormatting>
  <conditionalFormatting sqref="E249:T258">
    <cfRule type="containsBlanks" dxfId="1" priority="27">
      <formula>LEN(TRIM(E249))=0</formula>
    </cfRule>
  </conditionalFormatting>
  <conditionalFormatting sqref="E262:T263">
    <cfRule type="containsBlanks" dxfId="1" priority="28">
      <formula>LEN(TRIM(E262))=0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15" width="8.71"/>
    <col customWidth="1" min="16" max="16" width="13.29"/>
    <col customWidth="1" min="17" max="26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198</v>
      </c>
      <c r="D9" s="8" t="s">
        <v>241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75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200</v>
      </c>
      <c r="F13" s="13" t="s">
        <v>201</v>
      </c>
      <c r="G13" s="13" t="s">
        <v>202</v>
      </c>
      <c r="H13" s="13" t="s">
        <v>203</v>
      </c>
      <c r="I13" s="13" t="s">
        <v>204</v>
      </c>
      <c r="J13" s="13" t="s">
        <v>205</v>
      </c>
      <c r="K13" s="13" t="s">
        <v>206</v>
      </c>
      <c r="L13" s="13" t="s">
        <v>207</v>
      </c>
      <c r="M13" s="13" t="s">
        <v>208</v>
      </c>
      <c r="N13" s="13" t="s">
        <v>209</v>
      </c>
      <c r="O13" s="13" t="s">
        <v>210</v>
      </c>
      <c r="P13" s="36"/>
    </row>
    <row r="14" ht="12.75" customHeight="1">
      <c r="A14" s="18"/>
      <c r="B14" s="22" t="s">
        <v>11</v>
      </c>
      <c r="C14" s="23"/>
      <c r="D14" s="19" t="s">
        <v>12</v>
      </c>
      <c r="E14" s="19">
        <v>149.0</v>
      </c>
      <c r="F14" s="19">
        <v>133.0</v>
      </c>
      <c r="G14" s="19">
        <v>133.0</v>
      </c>
      <c r="H14" s="19">
        <v>110.0</v>
      </c>
      <c r="I14" s="19">
        <v>129.0</v>
      </c>
      <c r="J14" s="19">
        <v>135.0</v>
      </c>
      <c r="K14" s="19">
        <v>117.0</v>
      </c>
      <c r="L14" s="19">
        <v>145.0</v>
      </c>
      <c r="M14" s="19">
        <v>132.0</v>
      </c>
      <c r="N14" s="19">
        <v>146.0</v>
      </c>
      <c r="O14" s="19">
        <v>124.0</v>
      </c>
      <c r="P14" s="13">
        <f t="shared" ref="P14:P16" si="1">SUM(E14:O14)</f>
        <v>1453</v>
      </c>
    </row>
    <row r="15" ht="12.75" customHeight="1">
      <c r="A15" s="18"/>
      <c r="B15" s="26"/>
      <c r="C15" s="27"/>
      <c r="D15" s="19" t="s">
        <v>13</v>
      </c>
      <c r="E15" s="19">
        <v>139.0</v>
      </c>
      <c r="F15" s="19">
        <v>136.0</v>
      </c>
      <c r="G15" s="19">
        <v>139.0</v>
      </c>
      <c r="H15" s="19">
        <v>105.0</v>
      </c>
      <c r="I15" s="19">
        <v>128.0</v>
      </c>
      <c r="J15" s="19">
        <v>146.0</v>
      </c>
      <c r="K15" s="19">
        <v>110.0</v>
      </c>
      <c r="L15" s="19">
        <v>137.0</v>
      </c>
      <c r="M15" s="19">
        <v>149.0</v>
      </c>
      <c r="N15" s="19">
        <v>141.0</v>
      </c>
      <c r="O15" s="19">
        <v>112.0</v>
      </c>
      <c r="P15" s="13">
        <f t="shared" si="1"/>
        <v>1442</v>
      </c>
    </row>
    <row r="16" ht="12.75" customHeight="1">
      <c r="A16" s="25"/>
      <c r="B16" s="21"/>
      <c r="C16" s="28"/>
      <c r="D16" s="13" t="s">
        <v>14</v>
      </c>
      <c r="E16" s="13">
        <f t="shared" ref="E16:O16" si="2">SUM(E14:E15)</f>
        <v>288</v>
      </c>
      <c r="F16" s="13">
        <f t="shared" si="2"/>
        <v>269</v>
      </c>
      <c r="G16" s="13">
        <f t="shared" si="2"/>
        <v>272</v>
      </c>
      <c r="H16" s="13">
        <f t="shared" si="2"/>
        <v>215</v>
      </c>
      <c r="I16" s="13">
        <f t="shared" si="2"/>
        <v>257</v>
      </c>
      <c r="J16" s="13">
        <f t="shared" si="2"/>
        <v>281</v>
      </c>
      <c r="K16" s="13">
        <f t="shared" si="2"/>
        <v>227</v>
      </c>
      <c r="L16" s="13">
        <f t="shared" si="2"/>
        <v>282</v>
      </c>
      <c r="M16" s="13">
        <f t="shared" si="2"/>
        <v>281</v>
      </c>
      <c r="N16" s="13">
        <f t="shared" si="2"/>
        <v>287</v>
      </c>
      <c r="O16" s="13">
        <f t="shared" si="2"/>
        <v>236</v>
      </c>
      <c r="P16" s="13">
        <f t="shared" si="1"/>
        <v>2895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76"/>
      <c r="O17" s="76"/>
      <c r="P17" s="77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76"/>
      <c r="O18" s="76"/>
      <c r="P18" s="77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19">
        <v>111.0</v>
      </c>
      <c r="F19" s="19">
        <v>87.0</v>
      </c>
      <c r="G19" s="19">
        <v>107.0</v>
      </c>
      <c r="H19" s="19">
        <v>82.0</v>
      </c>
      <c r="I19" s="19">
        <v>102.0</v>
      </c>
      <c r="J19" s="19">
        <v>95.0</v>
      </c>
      <c r="K19" s="19">
        <v>76.0</v>
      </c>
      <c r="L19" s="19">
        <v>88.0</v>
      </c>
      <c r="M19" s="19">
        <v>97.0</v>
      </c>
      <c r="N19" s="19">
        <v>108.0</v>
      </c>
      <c r="O19" s="19">
        <v>95.0</v>
      </c>
      <c r="P19" s="13">
        <f t="shared" ref="P19:P30" si="3">SUM(E19:O19)</f>
        <v>1048</v>
      </c>
    </row>
    <row r="20" ht="12.75" customHeight="1">
      <c r="A20" s="33"/>
      <c r="B20" s="27"/>
      <c r="C20" s="34"/>
      <c r="D20" s="19" t="s">
        <v>13</v>
      </c>
      <c r="E20" s="19">
        <v>124.0</v>
      </c>
      <c r="F20" s="19">
        <v>110.0</v>
      </c>
      <c r="G20" s="19">
        <v>121.0</v>
      </c>
      <c r="H20" s="19">
        <v>84.0</v>
      </c>
      <c r="I20" s="19">
        <v>94.0</v>
      </c>
      <c r="J20" s="19">
        <v>112.0</v>
      </c>
      <c r="K20" s="19">
        <v>88.0</v>
      </c>
      <c r="L20" s="19">
        <v>89.0</v>
      </c>
      <c r="M20" s="19">
        <v>111.0</v>
      </c>
      <c r="N20" s="19">
        <v>116.0</v>
      </c>
      <c r="O20" s="19">
        <v>90.0</v>
      </c>
      <c r="P20" s="13">
        <f t="shared" si="3"/>
        <v>1139</v>
      </c>
    </row>
    <row r="21" ht="12.75" customHeight="1">
      <c r="A21" s="35"/>
      <c r="B21" s="28"/>
      <c r="C21" s="36"/>
      <c r="D21" s="13" t="s">
        <v>14</v>
      </c>
      <c r="E21" s="13">
        <f t="shared" ref="E21:O21" si="4">SUM(E19:E20)</f>
        <v>235</v>
      </c>
      <c r="F21" s="13">
        <f t="shared" si="4"/>
        <v>197</v>
      </c>
      <c r="G21" s="13">
        <f t="shared" si="4"/>
        <v>228</v>
      </c>
      <c r="H21" s="13">
        <f t="shared" si="4"/>
        <v>166</v>
      </c>
      <c r="I21" s="13">
        <f t="shared" si="4"/>
        <v>196</v>
      </c>
      <c r="J21" s="13">
        <f t="shared" si="4"/>
        <v>207</v>
      </c>
      <c r="K21" s="13">
        <f t="shared" si="4"/>
        <v>164</v>
      </c>
      <c r="L21" s="13">
        <f t="shared" si="4"/>
        <v>177</v>
      </c>
      <c r="M21" s="13">
        <f t="shared" si="4"/>
        <v>208</v>
      </c>
      <c r="N21" s="13">
        <f t="shared" si="4"/>
        <v>224</v>
      </c>
      <c r="O21" s="13">
        <f t="shared" si="4"/>
        <v>185</v>
      </c>
      <c r="P21" s="13">
        <f t="shared" si="3"/>
        <v>2187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3">
        <f t="shared" si="3"/>
        <v>0</v>
      </c>
    </row>
    <row r="23" ht="12.75" customHeight="1">
      <c r="A23" s="33"/>
      <c r="B23" s="27"/>
      <c r="C23" s="34"/>
      <c r="D23" s="19" t="s">
        <v>13</v>
      </c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>
        <v>1.0</v>
      </c>
      <c r="P23" s="13">
        <f t="shared" si="3"/>
        <v>1</v>
      </c>
    </row>
    <row r="24" ht="12.75" customHeight="1">
      <c r="A24" s="35"/>
      <c r="B24" s="28"/>
      <c r="C24" s="36"/>
      <c r="D24" s="13" t="s">
        <v>14</v>
      </c>
      <c r="E24" s="13">
        <f t="shared" ref="E24:O24" si="5">SUM(E22:E23)</f>
        <v>0</v>
      </c>
      <c r="F24" s="13">
        <f t="shared" si="5"/>
        <v>0</v>
      </c>
      <c r="G24" s="13">
        <f t="shared" si="5"/>
        <v>0</v>
      </c>
      <c r="H24" s="13">
        <f t="shared" si="5"/>
        <v>0</v>
      </c>
      <c r="I24" s="13">
        <f t="shared" si="5"/>
        <v>0</v>
      </c>
      <c r="J24" s="13">
        <f t="shared" si="5"/>
        <v>0</v>
      </c>
      <c r="K24" s="13">
        <f t="shared" si="5"/>
        <v>0</v>
      </c>
      <c r="L24" s="13">
        <f t="shared" si="5"/>
        <v>0</v>
      </c>
      <c r="M24" s="13">
        <f t="shared" si="5"/>
        <v>0</v>
      </c>
      <c r="N24" s="13">
        <f t="shared" si="5"/>
        <v>0</v>
      </c>
      <c r="O24" s="13">
        <f t="shared" si="5"/>
        <v>1</v>
      </c>
      <c r="P24" s="13">
        <f t="shared" si="3"/>
        <v>1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19"/>
      <c r="F25" s="19"/>
      <c r="G25" s="19"/>
      <c r="H25" s="19"/>
      <c r="I25" s="19"/>
      <c r="J25" s="19"/>
      <c r="K25" s="19">
        <v>2.0</v>
      </c>
      <c r="L25" s="19">
        <v>2.0</v>
      </c>
      <c r="M25" s="19"/>
      <c r="N25" s="19"/>
      <c r="O25" s="19">
        <v>3.0</v>
      </c>
      <c r="P25" s="13">
        <f t="shared" si="3"/>
        <v>7</v>
      </c>
    </row>
    <row r="26" ht="12.75" customHeight="1">
      <c r="A26" s="33"/>
      <c r="B26" s="27"/>
      <c r="C26" s="34"/>
      <c r="D26" s="19" t="s">
        <v>13</v>
      </c>
      <c r="E26" s="19"/>
      <c r="F26" s="19"/>
      <c r="G26" s="19"/>
      <c r="H26" s="19"/>
      <c r="I26" s="19"/>
      <c r="J26" s="19"/>
      <c r="K26" s="19">
        <v>1.0</v>
      </c>
      <c r="L26" s="19">
        <v>2.0</v>
      </c>
      <c r="M26" s="19"/>
      <c r="N26" s="19"/>
      <c r="O26" s="19"/>
      <c r="P26" s="13">
        <f t="shared" si="3"/>
        <v>3</v>
      </c>
    </row>
    <row r="27" ht="12.75" customHeight="1">
      <c r="A27" s="35"/>
      <c r="B27" s="28"/>
      <c r="C27" s="36"/>
      <c r="D27" s="13" t="s">
        <v>14</v>
      </c>
      <c r="E27" s="13">
        <f t="shared" ref="E27:O27" si="6">SUM(E25:E26)</f>
        <v>0</v>
      </c>
      <c r="F27" s="13">
        <f t="shared" si="6"/>
        <v>0</v>
      </c>
      <c r="G27" s="13">
        <f t="shared" si="6"/>
        <v>0</v>
      </c>
      <c r="H27" s="13">
        <f t="shared" si="6"/>
        <v>0</v>
      </c>
      <c r="I27" s="13">
        <f t="shared" si="6"/>
        <v>0</v>
      </c>
      <c r="J27" s="13">
        <f t="shared" si="6"/>
        <v>0</v>
      </c>
      <c r="K27" s="13">
        <f t="shared" si="6"/>
        <v>3</v>
      </c>
      <c r="L27" s="13">
        <f t="shared" si="6"/>
        <v>4</v>
      </c>
      <c r="M27" s="13">
        <f t="shared" si="6"/>
        <v>0</v>
      </c>
      <c r="N27" s="13">
        <f t="shared" si="6"/>
        <v>0</v>
      </c>
      <c r="O27" s="13">
        <f t="shared" si="6"/>
        <v>3</v>
      </c>
      <c r="P27" s="13">
        <f t="shared" si="3"/>
        <v>10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O28" si="7">SUM(E19,E22,E25)</f>
        <v>111</v>
      </c>
      <c r="F28" s="13">
        <f t="shared" si="7"/>
        <v>87</v>
      </c>
      <c r="G28" s="13">
        <f t="shared" si="7"/>
        <v>107</v>
      </c>
      <c r="H28" s="13">
        <f t="shared" si="7"/>
        <v>82</v>
      </c>
      <c r="I28" s="13">
        <f t="shared" si="7"/>
        <v>102</v>
      </c>
      <c r="J28" s="13">
        <f t="shared" si="7"/>
        <v>95</v>
      </c>
      <c r="K28" s="13">
        <f t="shared" si="7"/>
        <v>78</v>
      </c>
      <c r="L28" s="13">
        <f t="shared" si="7"/>
        <v>90</v>
      </c>
      <c r="M28" s="13">
        <f t="shared" si="7"/>
        <v>97</v>
      </c>
      <c r="N28" s="13">
        <f t="shared" si="7"/>
        <v>108</v>
      </c>
      <c r="O28" s="13">
        <f t="shared" si="7"/>
        <v>98</v>
      </c>
      <c r="P28" s="13">
        <f t="shared" si="3"/>
        <v>1055</v>
      </c>
    </row>
    <row r="29" ht="12.75" customHeight="1">
      <c r="A29" s="35"/>
      <c r="B29" s="27"/>
      <c r="C29" s="34"/>
      <c r="D29" s="13" t="s">
        <v>13</v>
      </c>
      <c r="E29" s="13">
        <f t="shared" ref="E29:O29" si="8">SUM(E20,E23,E26)</f>
        <v>124</v>
      </c>
      <c r="F29" s="13">
        <f t="shared" si="8"/>
        <v>110</v>
      </c>
      <c r="G29" s="13">
        <f t="shared" si="8"/>
        <v>121</v>
      </c>
      <c r="H29" s="13">
        <f t="shared" si="8"/>
        <v>84</v>
      </c>
      <c r="I29" s="13">
        <f t="shared" si="8"/>
        <v>94</v>
      </c>
      <c r="J29" s="13">
        <f t="shared" si="8"/>
        <v>112</v>
      </c>
      <c r="K29" s="13">
        <f t="shared" si="8"/>
        <v>89</v>
      </c>
      <c r="L29" s="13">
        <f t="shared" si="8"/>
        <v>91</v>
      </c>
      <c r="M29" s="13">
        <f t="shared" si="8"/>
        <v>111</v>
      </c>
      <c r="N29" s="13">
        <f t="shared" si="8"/>
        <v>116</v>
      </c>
      <c r="O29" s="13">
        <f t="shared" si="8"/>
        <v>91</v>
      </c>
      <c r="P29" s="13">
        <f t="shared" si="3"/>
        <v>1143</v>
      </c>
    </row>
    <row r="30" ht="12.75" customHeight="1">
      <c r="A30" s="35"/>
      <c r="B30" s="28"/>
      <c r="C30" s="36"/>
      <c r="D30" s="13" t="s">
        <v>14</v>
      </c>
      <c r="E30" s="13">
        <f t="shared" ref="E30:O30" si="9">SUM(E28:E29)</f>
        <v>235</v>
      </c>
      <c r="F30" s="13">
        <f t="shared" si="9"/>
        <v>197</v>
      </c>
      <c r="G30" s="13">
        <f t="shared" si="9"/>
        <v>228</v>
      </c>
      <c r="H30" s="13">
        <f t="shared" si="9"/>
        <v>166</v>
      </c>
      <c r="I30" s="13">
        <f t="shared" si="9"/>
        <v>196</v>
      </c>
      <c r="J30" s="13">
        <f t="shared" si="9"/>
        <v>207</v>
      </c>
      <c r="K30" s="13">
        <f t="shared" si="9"/>
        <v>167</v>
      </c>
      <c r="L30" s="13">
        <f t="shared" si="9"/>
        <v>181</v>
      </c>
      <c r="M30" s="13">
        <f t="shared" si="9"/>
        <v>208</v>
      </c>
      <c r="N30" s="13">
        <f t="shared" si="9"/>
        <v>224</v>
      </c>
      <c r="O30" s="13">
        <f t="shared" si="9"/>
        <v>189</v>
      </c>
      <c r="P30" s="13">
        <f t="shared" si="3"/>
        <v>2198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76"/>
      <c r="O31" s="76"/>
      <c r="P31" s="77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78"/>
      <c r="O32" s="78"/>
      <c r="P32" s="77"/>
    </row>
    <row r="33" ht="12.75" customHeight="1">
      <c r="A33" s="19">
        <v>1.0</v>
      </c>
      <c r="B33" s="20" t="s">
        <v>27</v>
      </c>
      <c r="C33" s="15"/>
      <c r="D33" s="16"/>
      <c r="E33" s="19">
        <v>294.0</v>
      </c>
      <c r="F33" s="19">
        <v>275.0</v>
      </c>
      <c r="G33" s="19">
        <v>278.0</v>
      </c>
      <c r="H33" s="19">
        <v>230.0</v>
      </c>
      <c r="I33" s="19">
        <v>263.0</v>
      </c>
      <c r="J33" s="19">
        <v>287.0</v>
      </c>
      <c r="K33" s="19">
        <v>232.0</v>
      </c>
      <c r="L33" s="19">
        <v>287.0</v>
      </c>
      <c r="M33" s="19">
        <v>287.0</v>
      </c>
      <c r="N33" s="19">
        <v>294.0</v>
      </c>
      <c r="O33" s="19">
        <v>241.0</v>
      </c>
      <c r="P33" s="13">
        <f t="shared" ref="P33:P36" si="10">SUM(E33:O33)</f>
        <v>2968</v>
      </c>
    </row>
    <row r="34" ht="12.75" customHeight="1">
      <c r="A34" s="19">
        <v>2.0</v>
      </c>
      <c r="B34" s="20" t="s">
        <v>28</v>
      </c>
      <c r="C34" s="15"/>
      <c r="D34" s="16"/>
      <c r="E34" s="13">
        <v>235.0</v>
      </c>
      <c r="F34" s="13">
        <v>197.0</v>
      </c>
      <c r="G34" s="13">
        <v>228.0</v>
      </c>
      <c r="H34" s="13">
        <v>166.0</v>
      </c>
      <c r="I34" s="13">
        <v>196.0</v>
      </c>
      <c r="J34" s="13">
        <v>207.0</v>
      </c>
      <c r="K34" s="13">
        <v>167.0</v>
      </c>
      <c r="L34" s="13">
        <v>181.0</v>
      </c>
      <c r="M34" s="13">
        <v>208.0</v>
      </c>
      <c r="N34" s="13">
        <v>224.0</v>
      </c>
      <c r="O34" s="13">
        <v>189.0</v>
      </c>
      <c r="P34" s="13">
        <f t="shared" si="10"/>
        <v>2198</v>
      </c>
    </row>
    <row r="35" ht="12.75" customHeight="1">
      <c r="A35" s="19">
        <v>3.0</v>
      </c>
      <c r="B35" s="20" t="s">
        <v>29</v>
      </c>
      <c r="C35" s="15"/>
      <c r="D35" s="16"/>
      <c r="E35" s="19">
        <v>0.0</v>
      </c>
      <c r="F35" s="19">
        <v>0.0</v>
      </c>
      <c r="G35" s="19">
        <v>0.0</v>
      </c>
      <c r="H35" s="19">
        <v>0.0</v>
      </c>
      <c r="I35" s="19">
        <v>0.0</v>
      </c>
      <c r="J35" s="19">
        <v>0.0</v>
      </c>
      <c r="K35" s="19">
        <v>1.0</v>
      </c>
      <c r="L35" s="19">
        <v>0.0</v>
      </c>
      <c r="M35" s="19">
        <v>1.0</v>
      </c>
      <c r="N35" s="19">
        <v>0.0</v>
      </c>
      <c r="O35" s="19">
        <v>0.0</v>
      </c>
      <c r="P35" s="13">
        <f t="shared" si="10"/>
        <v>2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O36" si="11">E33-(E34+E35)</f>
        <v>59</v>
      </c>
      <c r="F36" s="13">
        <f t="shared" si="11"/>
        <v>78</v>
      </c>
      <c r="G36" s="13">
        <f t="shared" si="11"/>
        <v>50</v>
      </c>
      <c r="H36" s="13">
        <f t="shared" si="11"/>
        <v>64</v>
      </c>
      <c r="I36" s="13">
        <f t="shared" si="11"/>
        <v>67</v>
      </c>
      <c r="J36" s="13">
        <f t="shared" si="11"/>
        <v>80</v>
      </c>
      <c r="K36" s="13">
        <f t="shared" si="11"/>
        <v>64</v>
      </c>
      <c r="L36" s="13">
        <f t="shared" si="11"/>
        <v>106</v>
      </c>
      <c r="M36" s="13">
        <f t="shared" si="11"/>
        <v>78</v>
      </c>
      <c r="N36" s="13">
        <f t="shared" si="11"/>
        <v>70</v>
      </c>
      <c r="O36" s="13">
        <f t="shared" si="11"/>
        <v>52</v>
      </c>
      <c r="P36" s="13">
        <f t="shared" si="10"/>
        <v>768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19"/>
      <c r="N37" s="76"/>
      <c r="O37" s="79"/>
      <c r="P37" s="77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78"/>
      <c r="O38" s="78"/>
      <c r="P38" s="77"/>
    </row>
    <row r="39" ht="12.75" customHeight="1">
      <c r="A39" s="30"/>
      <c r="B39" s="43" t="s">
        <v>33</v>
      </c>
      <c r="C39" s="23"/>
      <c r="D39" s="19" t="s">
        <v>12</v>
      </c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3">
        <f t="shared" ref="P39:P41" si="12">SUM(E39:O39)</f>
        <v>0</v>
      </c>
    </row>
    <row r="40" ht="12.75" customHeight="1">
      <c r="A40" s="33"/>
      <c r="C40" s="27"/>
      <c r="D40" s="19" t="s">
        <v>13</v>
      </c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3">
        <f t="shared" si="12"/>
        <v>0</v>
      </c>
    </row>
    <row r="41" ht="12.75" customHeight="1">
      <c r="A41" s="41"/>
      <c r="B41" s="44"/>
      <c r="C41" s="28"/>
      <c r="D41" s="13" t="s">
        <v>14</v>
      </c>
      <c r="E41" s="13">
        <f t="shared" ref="E41:O41" si="13">SUM(E39:E40)</f>
        <v>0</v>
      </c>
      <c r="F41" s="13">
        <f t="shared" si="13"/>
        <v>0</v>
      </c>
      <c r="G41" s="13">
        <f t="shared" si="13"/>
        <v>0</v>
      </c>
      <c r="H41" s="13">
        <f t="shared" si="13"/>
        <v>0</v>
      </c>
      <c r="I41" s="13">
        <f t="shared" si="13"/>
        <v>0</v>
      </c>
      <c r="J41" s="13">
        <f t="shared" si="13"/>
        <v>0</v>
      </c>
      <c r="K41" s="13">
        <f t="shared" si="13"/>
        <v>0</v>
      </c>
      <c r="L41" s="13">
        <f t="shared" si="13"/>
        <v>0</v>
      </c>
      <c r="M41" s="13">
        <f t="shared" si="13"/>
        <v>0</v>
      </c>
      <c r="N41" s="13">
        <f t="shared" si="13"/>
        <v>0</v>
      </c>
      <c r="O41" s="13">
        <f t="shared" si="13"/>
        <v>0</v>
      </c>
      <c r="P41" s="13">
        <f t="shared" si="12"/>
        <v>0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9"/>
      <c r="N42" s="76"/>
      <c r="O42" s="19"/>
      <c r="P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78"/>
      <c r="O43" s="13"/>
      <c r="P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76"/>
      <c r="O44" s="19"/>
      <c r="P44" s="13"/>
    </row>
    <row r="45" ht="12.75" customHeight="1">
      <c r="A45" s="30" t="s">
        <v>37</v>
      </c>
      <c r="B45" s="47" t="s">
        <v>17</v>
      </c>
      <c r="C45" s="48" t="s">
        <v>38</v>
      </c>
      <c r="D45" s="16"/>
      <c r="E45" s="19">
        <v>5.0</v>
      </c>
      <c r="F45" s="19">
        <v>6.0</v>
      </c>
      <c r="G45" s="19">
        <v>2.0</v>
      </c>
      <c r="H45" s="19">
        <v>1.0</v>
      </c>
      <c r="I45" s="19">
        <v>5.0</v>
      </c>
      <c r="J45" s="19">
        <v>6.0</v>
      </c>
      <c r="K45" s="19">
        <v>5.0</v>
      </c>
      <c r="L45" s="19">
        <v>11.0</v>
      </c>
      <c r="M45" s="19">
        <v>12.0</v>
      </c>
      <c r="N45" s="19">
        <v>10.0</v>
      </c>
      <c r="O45" s="19">
        <v>3.0</v>
      </c>
      <c r="P45" s="13">
        <f t="shared" ref="P45:P54" si="14">SUM(E45:O45)</f>
        <v>66</v>
      </c>
    </row>
    <row r="46" ht="12.75" customHeight="1">
      <c r="A46" s="30" t="s">
        <v>39</v>
      </c>
      <c r="B46" s="49">
        <v>1.0</v>
      </c>
      <c r="C46" s="50" t="s">
        <v>40</v>
      </c>
      <c r="D46" s="16"/>
      <c r="E46" s="19">
        <v>3.0</v>
      </c>
      <c r="F46" s="19">
        <v>5.0</v>
      </c>
      <c r="G46" s="19">
        <v>6.0</v>
      </c>
      <c r="H46" s="19">
        <v>6.0</v>
      </c>
      <c r="I46" s="19">
        <v>11.0</v>
      </c>
      <c r="J46" s="19">
        <v>11.0</v>
      </c>
      <c r="K46" s="19">
        <v>2.0</v>
      </c>
      <c r="L46" s="19">
        <v>7.0</v>
      </c>
      <c r="M46" s="19">
        <v>7.0</v>
      </c>
      <c r="N46" s="19">
        <v>8.0</v>
      </c>
      <c r="O46" s="19">
        <v>6.0</v>
      </c>
      <c r="P46" s="13">
        <f t="shared" si="14"/>
        <v>72</v>
      </c>
    </row>
    <row r="47" ht="12.75" customHeight="1">
      <c r="A47" s="18"/>
      <c r="B47" s="55">
        <v>2.0</v>
      </c>
      <c r="C47" s="50" t="s">
        <v>41</v>
      </c>
      <c r="D47" s="16"/>
      <c r="E47" s="19">
        <v>6.0</v>
      </c>
      <c r="F47" s="19">
        <v>1.0</v>
      </c>
      <c r="G47" s="19">
        <v>4.0</v>
      </c>
      <c r="H47" s="19">
        <v>1.0</v>
      </c>
      <c r="I47" s="19">
        <v>20.0</v>
      </c>
      <c r="J47" s="19">
        <v>0.0</v>
      </c>
      <c r="K47" s="19">
        <v>3.0</v>
      </c>
      <c r="L47" s="19">
        <v>20.0</v>
      </c>
      <c r="M47" s="19">
        <v>13.0</v>
      </c>
      <c r="N47" s="19">
        <v>14.0</v>
      </c>
      <c r="O47" s="19">
        <v>0.0</v>
      </c>
      <c r="P47" s="13">
        <f t="shared" si="14"/>
        <v>82</v>
      </c>
    </row>
    <row r="48" ht="12.75" customHeight="1">
      <c r="A48" s="18"/>
      <c r="B48" s="55">
        <v>3.0</v>
      </c>
      <c r="C48" s="50" t="s">
        <v>42</v>
      </c>
      <c r="D48" s="16"/>
      <c r="E48" s="19">
        <v>8.0</v>
      </c>
      <c r="F48" s="19">
        <v>2.0</v>
      </c>
      <c r="G48" s="19">
        <v>3.0</v>
      </c>
      <c r="H48" s="19">
        <v>0.0</v>
      </c>
      <c r="I48" s="19">
        <v>0.0</v>
      </c>
      <c r="J48" s="19">
        <v>0.0</v>
      </c>
      <c r="K48" s="19">
        <v>0.0</v>
      </c>
      <c r="L48" s="19">
        <v>0.0</v>
      </c>
      <c r="M48" s="19">
        <v>1.0</v>
      </c>
      <c r="N48" s="19">
        <v>0.0</v>
      </c>
      <c r="O48" s="19">
        <v>0.0</v>
      </c>
      <c r="P48" s="13">
        <f t="shared" si="14"/>
        <v>14</v>
      </c>
    </row>
    <row r="49" ht="12.75" customHeight="1">
      <c r="A49" s="18"/>
      <c r="B49" s="55">
        <v>4.0</v>
      </c>
      <c r="C49" s="50" t="s">
        <v>43</v>
      </c>
      <c r="D49" s="16"/>
      <c r="E49" s="19">
        <v>0.0</v>
      </c>
      <c r="F49" s="19">
        <v>0.0</v>
      </c>
      <c r="G49" s="19">
        <v>0.0</v>
      </c>
      <c r="H49" s="19">
        <v>0.0</v>
      </c>
      <c r="I49" s="19">
        <v>0.0</v>
      </c>
      <c r="J49" s="19">
        <v>1.0</v>
      </c>
      <c r="K49" s="19">
        <v>1.0</v>
      </c>
      <c r="L49" s="19">
        <v>2.0</v>
      </c>
      <c r="M49" s="19">
        <v>0.0</v>
      </c>
      <c r="N49" s="19">
        <v>1.0</v>
      </c>
      <c r="O49" s="19">
        <v>0.0</v>
      </c>
      <c r="P49" s="13">
        <f t="shared" si="14"/>
        <v>5</v>
      </c>
    </row>
    <row r="50" ht="12.75" customHeight="1">
      <c r="A50" s="18"/>
      <c r="B50" s="55">
        <v>5.0</v>
      </c>
      <c r="C50" s="50" t="s">
        <v>44</v>
      </c>
      <c r="D50" s="16"/>
      <c r="E50" s="19">
        <v>1.0</v>
      </c>
      <c r="F50" s="19">
        <v>0.0</v>
      </c>
      <c r="G50" s="19">
        <v>1.0</v>
      </c>
      <c r="H50" s="19">
        <v>0.0</v>
      </c>
      <c r="I50" s="19">
        <v>0.0</v>
      </c>
      <c r="J50" s="19">
        <v>0.0</v>
      </c>
      <c r="K50" s="19">
        <v>0.0</v>
      </c>
      <c r="L50" s="19">
        <v>0.0</v>
      </c>
      <c r="M50" s="19">
        <v>1.0</v>
      </c>
      <c r="N50" s="19">
        <v>0.0</v>
      </c>
      <c r="O50" s="19">
        <v>0.0</v>
      </c>
      <c r="P50" s="13">
        <f t="shared" si="14"/>
        <v>3</v>
      </c>
    </row>
    <row r="51" ht="12.75" customHeight="1">
      <c r="A51" s="18"/>
      <c r="B51" s="55">
        <v>6.0</v>
      </c>
      <c r="C51" s="50" t="s">
        <v>45</v>
      </c>
      <c r="D51" s="16"/>
      <c r="E51" s="19">
        <v>0.0</v>
      </c>
      <c r="F51" s="19">
        <v>0.0</v>
      </c>
      <c r="G51" s="19">
        <v>0.0</v>
      </c>
      <c r="H51" s="19">
        <v>0.0</v>
      </c>
      <c r="I51" s="19">
        <v>0.0</v>
      </c>
      <c r="J51" s="19">
        <v>0.0</v>
      </c>
      <c r="K51" s="19">
        <v>0.0</v>
      </c>
      <c r="L51" s="19">
        <v>0.0</v>
      </c>
      <c r="M51" s="19">
        <v>0.0</v>
      </c>
      <c r="N51" s="19">
        <v>1.0</v>
      </c>
      <c r="O51" s="19">
        <v>0.0</v>
      </c>
      <c r="P51" s="13">
        <f t="shared" si="14"/>
        <v>1</v>
      </c>
    </row>
    <row r="52" ht="12.75" customHeight="1">
      <c r="A52" s="18"/>
      <c r="B52" s="55">
        <v>7.0</v>
      </c>
      <c r="C52" s="50" t="s">
        <v>46</v>
      </c>
      <c r="D52" s="16"/>
      <c r="E52" s="19">
        <v>0.0</v>
      </c>
      <c r="F52" s="19">
        <v>1.0</v>
      </c>
      <c r="G52" s="19">
        <v>0.0</v>
      </c>
      <c r="H52" s="19">
        <v>0.0</v>
      </c>
      <c r="I52" s="19">
        <v>0.0</v>
      </c>
      <c r="J52" s="19">
        <v>0.0</v>
      </c>
      <c r="K52" s="19">
        <v>0.0</v>
      </c>
      <c r="L52" s="19">
        <v>0.0</v>
      </c>
      <c r="M52" s="19">
        <v>0.0</v>
      </c>
      <c r="N52" s="19">
        <v>0.0</v>
      </c>
      <c r="O52" s="19">
        <v>0.0</v>
      </c>
      <c r="P52" s="13">
        <f t="shared" si="14"/>
        <v>1</v>
      </c>
    </row>
    <row r="53" ht="12.75" customHeight="1">
      <c r="A53" s="18"/>
      <c r="B53" s="56"/>
      <c r="C53" s="57"/>
      <c r="D53" s="57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3">
        <f t="shared" si="14"/>
        <v>0</v>
      </c>
    </row>
    <row r="54" ht="12.75" customHeight="1">
      <c r="A54" s="18"/>
      <c r="B54" s="56"/>
      <c r="C54" s="57"/>
      <c r="D54" s="57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3">
        <f t="shared" si="14"/>
        <v>0</v>
      </c>
    </row>
    <row r="55" ht="12.75" customHeight="1">
      <c r="A55" s="19" t="s">
        <v>15</v>
      </c>
      <c r="B55" s="47" t="s">
        <v>47</v>
      </c>
      <c r="C55" s="15"/>
      <c r="D55" s="16"/>
      <c r="E55" s="13">
        <f t="shared" ref="E55:P55" si="15">SUM(E45:E54)</f>
        <v>23</v>
      </c>
      <c r="F55" s="13">
        <f t="shared" si="15"/>
        <v>15</v>
      </c>
      <c r="G55" s="13">
        <f t="shared" si="15"/>
        <v>16</v>
      </c>
      <c r="H55" s="13">
        <f t="shared" si="15"/>
        <v>8</v>
      </c>
      <c r="I55" s="13">
        <f t="shared" si="15"/>
        <v>36</v>
      </c>
      <c r="J55" s="13">
        <f t="shared" si="15"/>
        <v>18</v>
      </c>
      <c r="K55" s="13">
        <f t="shared" si="15"/>
        <v>11</v>
      </c>
      <c r="L55" s="13">
        <f t="shared" si="15"/>
        <v>40</v>
      </c>
      <c r="M55" s="13">
        <f t="shared" si="15"/>
        <v>34</v>
      </c>
      <c r="N55" s="13">
        <f t="shared" si="15"/>
        <v>34</v>
      </c>
      <c r="O55" s="13">
        <f t="shared" si="15"/>
        <v>9</v>
      </c>
      <c r="P55" s="13">
        <f t="shared" si="15"/>
        <v>244</v>
      </c>
    </row>
    <row r="56" ht="12.75" customHeight="1">
      <c r="A56" s="45"/>
      <c r="B56" s="44"/>
      <c r="C56" s="44"/>
      <c r="D56" s="44"/>
      <c r="E56" s="44"/>
      <c r="P56" s="13"/>
    </row>
    <row r="57" ht="12.75" customHeight="1">
      <c r="A57" s="30" t="s">
        <v>37</v>
      </c>
      <c r="B57" s="47" t="s">
        <v>19</v>
      </c>
      <c r="C57" s="48" t="s">
        <v>48</v>
      </c>
      <c r="D57" s="16"/>
      <c r="E57" s="19">
        <v>5.0</v>
      </c>
      <c r="F57" s="19">
        <v>6.0</v>
      </c>
      <c r="G57" s="19">
        <v>3.0</v>
      </c>
      <c r="H57" s="19">
        <v>3.0</v>
      </c>
      <c r="I57" s="19">
        <v>8.0</v>
      </c>
      <c r="J57" s="19">
        <v>8.0</v>
      </c>
      <c r="K57" s="19">
        <v>12.0</v>
      </c>
      <c r="L57" s="19">
        <v>17.0</v>
      </c>
      <c r="M57" s="19">
        <v>17.0</v>
      </c>
      <c r="N57" s="19">
        <v>21.0</v>
      </c>
      <c r="O57" s="19">
        <v>17.0</v>
      </c>
      <c r="P57" s="13">
        <f t="shared" ref="P57:P66" si="16">SUM(E57:O57)</f>
        <v>117</v>
      </c>
    </row>
    <row r="58" ht="12.75" customHeight="1">
      <c r="A58" s="30" t="s">
        <v>39</v>
      </c>
      <c r="B58" s="55">
        <v>1.0</v>
      </c>
      <c r="C58" s="50" t="s">
        <v>49</v>
      </c>
      <c r="D58" s="59"/>
      <c r="E58" s="19">
        <v>12.0</v>
      </c>
      <c r="F58" s="19">
        <v>19.0</v>
      </c>
      <c r="G58" s="19">
        <v>11.0</v>
      </c>
      <c r="H58" s="19">
        <v>27.0</v>
      </c>
      <c r="I58" s="19">
        <v>58.0</v>
      </c>
      <c r="J58" s="19">
        <v>33.0</v>
      </c>
      <c r="K58" s="19">
        <v>7.0</v>
      </c>
      <c r="L58" s="19">
        <v>13.0</v>
      </c>
      <c r="M58" s="19">
        <v>18.0</v>
      </c>
      <c r="N58" s="19">
        <v>19.0</v>
      </c>
      <c r="O58" s="19">
        <v>45.0</v>
      </c>
      <c r="P58" s="13">
        <f t="shared" si="16"/>
        <v>262</v>
      </c>
    </row>
    <row r="59" ht="12.75" customHeight="1">
      <c r="A59" s="18"/>
      <c r="B59" s="55">
        <v>2.0</v>
      </c>
      <c r="C59" s="50" t="s">
        <v>50</v>
      </c>
      <c r="D59" s="59"/>
      <c r="E59" s="19">
        <v>6.0</v>
      </c>
      <c r="F59" s="19">
        <v>52.0</v>
      </c>
      <c r="G59" s="19">
        <v>2.0</v>
      </c>
      <c r="H59" s="19">
        <v>1.0</v>
      </c>
      <c r="I59" s="19">
        <v>30.0</v>
      </c>
      <c r="J59" s="19">
        <v>3.0</v>
      </c>
      <c r="K59" s="19">
        <v>28.0</v>
      </c>
      <c r="L59" s="19">
        <v>20.0</v>
      </c>
      <c r="M59" s="19">
        <v>47.0</v>
      </c>
      <c r="N59" s="19">
        <v>35.0</v>
      </c>
      <c r="O59" s="19">
        <v>57.0</v>
      </c>
      <c r="P59" s="13">
        <f t="shared" si="16"/>
        <v>281</v>
      </c>
    </row>
    <row r="60" ht="12.75" customHeight="1">
      <c r="A60" s="18"/>
      <c r="B60" s="55">
        <v>3.0</v>
      </c>
      <c r="C60" s="50" t="s">
        <v>51</v>
      </c>
      <c r="D60" s="59"/>
      <c r="E60" s="19">
        <v>1.0</v>
      </c>
      <c r="F60" s="19">
        <v>0.0</v>
      </c>
      <c r="G60" s="19">
        <v>0.0</v>
      </c>
      <c r="H60" s="19">
        <v>1.0</v>
      </c>
      <c r="I60" s="19">
        <v>0.0</v>
      </c>
      <c r="J60" s="19">
        <v>0.0</v>
      </c>
      <c r="K60" s="19">
        <v>1.0</v>
      </c>
      <c r="L60" s="19">
        <v>0.0</v>
      </c>
      <c r="M60" s="19">
        <v>0.0</v>
      </c>
      <c r="N60" s="19">
        <v>0.0</v>
      </c>
      <c r="O60" s="19">
        <v>0.0</v>
      </c>
      <c r="P60" s="13">
        <f t="shared" si="16"/>
        <v>3</v>
      </c>
    </row>
    <row r="61" ht="12.75" customHeight="1">
      <c r="A61" s="18"/>
      <c r="B61" s="55">
        <v>4.0</v>
      </c>
      <c r="C61" s="50" t="s">
        <v>52</v>
      </c>
      <c r="D61" s="59"/>
      <c r="E61" s="19">
        <v>0.0</v>
      </c>
      <c r="F61" s="19">
        <v>1.0</v>
      </c>
      <c r="G61" s="19">
        <v>0.0</v>
      </c>
      <c r="H61" s="19">
        <v>0.0</v>
      </c>
      <c r="I61" s="19">
        <v>0.0</v>
      </c>
      <c r="J61" s="19">
        <v>0.0</v>
      </c>
      <c r="K61" s="19">
        <v>0.0</v>
      </c>
      <c r="L61" s="19">
        <v>1.0</v>
      </c>
      <c r="M61" s="19">
        <v>0.0</v>
      </c>
      <c r="N61" s="19">
        <v>0.0</v>
      </c>
      <c r="O61" s="19">
        <v>0.0</v>
      </c>
      <c r="P61" s="13">
        <f t="shared" si="16"/>
        <v>2</v>
      </c>
    </row>
    <row r="62" ht="12.75" customHeight="1">
      <c r="A62" s="18"/>
      <c r="B62" s="55">
        <v>5.0</v>
      </c>
      <c r="C62" s="50" t="s">
        <v>53</v>
      </c>
      <c r="D62" s="59"/>
      <c r="E62" s="19">
        <v>1.0</v>
      </c>
      <c r="F62" s="19">
        <v>0.0</v>
      </c>
      <c r="G62" s="19">
        <v>0.0</v>
      </c>
      <c r="H62" s="19">
        <v>0.0</v>
      </c>
      <c r="I62" s="19">
        <v>0.0</v>
      </c>
      <c r="J62" s="19">
        <v>0.0</v>
      </c>
      <c r="K62" s="19">
        <v>0.0</v>
      </c>
      <c r="L62" s="19">
        <v>0.0</v>
      </c>
      <c r="M62" s="19">
        <v>0.0</v>
      </c>
      <c r="N62" s="19">
        <v>0.0</v>
      </c>
      <c r="O62" s="19">
        <v>0.0</v>
      </c>
      <c r="P62" s="13">
        <f t="shared" si="16"/>
        <v>1</v>
      </c>
    </row>
    <row r="63" ht="12.75" customHeight="1">
      <c r="A63" s="18"/>
      <c r="B63" s="55">
        <v>6.0</v>
      </c>
      <c r="C63" s="50" t="s">
        <v>54</v>
      </c>
      <c r="D63" s="60"/>
      <c r="E63" s="19">
        <v>0.0</v>
      </c>
      <c r="F63" s="19">
        <v>0.0</v>
      </c>
      <c r="G63" s="19">
        <v>1.0</v>
      </c>
      <c r="H63" s="19">
        <v>0.0</v>
      </c>
      <c r="I63" s="19">
        <v>0.0</v>
      </c>
      <c r="J63" s="19">
        <v>0.0</v>
      </c>
      <c r="K63" s="19">
        <v>1.0</v>
      </c>
      <c r="L63" s="19">
        <v>1.0</v>
      </c>
      <c r="M63" s="19">
        <v>0.0</v>
      </c>
      <c r="N63" s="19">
        <v>0.0</v>
      </c>
      <c r="O63" s="19">
        <v>0.0</v>
      </c>
      <c r="P63" s="13">
        <f t="shared" si="16"/>
        <v>3</v>
      </c>
    </row>
    <row r="64" ht="12.75" customHeight="1">
      <c r="A64" s="18"/>
      <c r="B64" s="55">
        <v>7.0</v>
      </c>
      <c r="C64" s="50" t="s">
        <v>55</v>
      </c>
      <c r="D64" s="59"/>
      <c r="E64" s="19">
        <v>0.0</v>
      </c>
      <c r="F64" s="19">
        <v>0.0</v>
      </c>
      <c r="G64" s="19">
        <v>0.0</v>
      </c>
      <c r="H64" s="19">
        <v>0.0</v>
      </c>
      <c r="I64" s="19">
        <v>0.0</v>
      </c>
      <c r="J64" s="19">
        <v>0.0</v>
      </c>
      <c r="K64" s="19">
        <v>0.0</v>
      </c>
      <c r="L64" s="19">
        <v>0.0</v>
      </c>
      <c r="M64" s="19">
        <v>0.0</v>
      </c>
      <c r="N64" s="19">
        <v>0.0</v>
      </c>
      <c r="O64" s="19">
        <v>0.0</v>
      </c>
      <c r="P64" s="13">
        <f t="shared" si="16"/>
        <v>0</v>
      </c>
    </row>
    <row r="65" ht="12.75" customHeight="1">
      <c r="A65" s="18"/>
      <c r="B65" s="56"/>
      <c r="C65" s="57"/>
      <c r="D65" s="61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3">
        <f t="shared" si="16"/>
        <v>0</v>
      </c>
    </row>
    <row r="66" ht="12.75" customHeight="1">
      <c r="A66" s="18"/>
      <c r="B66" s="56"/>
      <c r="C66" s="57"/>
      <c r="D66" s="61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3">
        <f t="shared" si="16"/>
        <v>0</v>
      </c>
    </row>
    <row r="67" ht="12.75" customHeight="1">
      <c r="A67" s="19" t="s">
        <v>15</v>
      </c>
      <c r="B67" s="47" t="s">
        <v>47</v>
      </c>
      <c r="C67" s="15"/>
      <c r="D67" s="16"/>
      <c r="E67" s="13">
        <f t="shared" ref="E67:P67" si="17">SUM(E57:E66)</f>
        <v>25</v>
      </c>
      <c r="F67" s="13">
        <f t="shared" si="17"/>
        <v>78</v>
      </c>
      <c r="G67" s="13">
        <f t="shared" si="17"/>
        <v>17</v>
      </c>
      <c r="H67" s="13">
        <f t="shared" si="17"/>
        <v>32</v>
      </c>
      <c r="I67" s="13">
        <f t="shared" si="17"/>
        <v>96</v>
      </c>
      <c r="J67" s="13">
        <f t="shared" si="17"/>
        <v>44</v>
      </c>
      <c r="K67" s="13">
        <f t="shared" si="17"/>
        <v>49</v>
      </c>
      <c r="L67" s="13">
        <f t="shared" si="17"/>
        <v>52</v>
      </c>
      <c r="M67" s="13">
        <f t="shared" si="17"/>
        <v>82</v>
      </c>
      <c r="N67" s="13">
        <f t="shared" si="17"/>
        <v>75</v>
      </c>
      <c r="O67" s="13">
        <f t="shared" si="17"/>
        <v>119</v>
      </c>
      <c r="P67" s="13">
        <f t="shared" si="17"/>
        <v>669</v>
      </c>
    </row>
    <row r="68" ht="12.75" customHeight="1">
      <c r="A68" s="45"/>
      <c r="B68" s="44"/>
      <c r="C68" s="44"/>
      <c r="D68" s="44"/>
      <c r="E68" s="44"/>
    </row>
    <row r="69" ht="12.75" customHeight="1">
      <c r="A69" s="30" t="s">
        <v>37</v>
      </c>
      <c r="B69" s="47" t="s">
        <v>21</v>
      </c>
      <c r="C69" s="48" t="s">
        <v>56</v>
      </c>
      <c r="D69" s="16"/>
      <c r="E69" s="19">
        <v>2.0</v>
      </c>
      <c r="F69" s="19">
        <v>1.0</v>
      </c>
      <c r="G69" s="19">
        <v>0.0</v>
      </c>
      <c r="H69" s="19">
        <v>0.0</v>
      </c>
      <c r="I69" s="19">
        <v>0.0</v>
      </c>
      <c r="J69" s="19">
        <v>1.0</v>
      </c>
      <c r="K69" s="19">
        <v>5.0</v>
      </c>
      <c r="L69" s="19">
        <v>2.0</v>
      </c>
      <c r="M69" s="19">
        <v>5.0</v>
      </c>
      <c r="N69" s="19">
        <v>6.0</v>
      </c>
      <c r="O69" s="19">
        <v>6.0</v>
      </c>
      <c r="P69" s="13">
        <f t="shared" ref="P69:P78" si="18">SUM(E69:O69)</f>
        <v>28</v>
      </c>
    </row>
    <row r="70" ht="12.75" customHeight="1">
      <c r="A70" s="30" t="s">
        <v>39</v>
      </c>
      <c r="B70" s="55">
        <v>1.0</v>
      </c>
      <c r="C70" s="50" t="s">
        <v>57</v>
      </c>
      <c r="D70" s="60"/>
      <c r="E70" s="19">
        <v>2.0</v>
      </c>
      <c r="F70" s="19">
        <v>1.0</v>
      </c>
      <c r="G70" s="19">
        <v>0.0</v>
      </c>
      <c r="H70" s="19">
        <v>0.0</v>
      </c>
      <c r="I70" s="19">
        <v>0.0</v>
      </c>
      <c r="J70" s="19">
        <v>0.0</v>
      </c>
      <c r="K70" s="19">
        <v>2.0</v>
      </c>
      <c r="L70" s="19">
        <v>3.0</v>
      </c>
      <c r="M70" s="19">
        <v>4.0</v>
      </c>
      <c r="N70" s="19">
        <v>4.0</v>
      </c>
      <c r="O70" s="19">
        <v>4.0</v>
      </c>
      <c r="P70" s="13">
        <f t="shared" si="18"/>
        <v>20</v>
      </c>
    </row>
    <row r="71" ht="12.75" customHeight="1">
      <c r="A71" s="18"/>
      <c r="B71" s="55">
        <v>2.0</v>
      </c>
      <c r="C71" s="50" t="s">
        <v>58</v>
      </c>
      <c r="D71" s="60"/>
      <c r="E71" s="19">
        <v>2.0</v>
      </c>
      <c r="F71" s="19">
        <v>0.0</v>
      </c>
      <c r="G71" s="19">
        <v>1.0</v>
      </c>
      <c r="H71" s="19">
        <v>1.0</v>
      </c>
      <c r="I71" s="19">
        <v>3.0</v>
      </c>
      <c r="J71" s="19">
        <v>0.0</v>
      </c>
      <c r="K71" s="19">
        <v>0.0</v>
      </c>
      <c r="L71" s="19">
        <v>2.0</v>
      </c>
      <c r="M71" s="19">
        <v>0.0</v>
      </c>
      <c r="N71" s="19">
        <v>0.0</v>
      </c>
      <c r="O71" s="19">
        <v>2.0</v>
      </c>
      <c r="P71" s="13">
        <f t="shared" si="18"/>
        <v>11</v>
      </c>
    </row>
    <row r="72" ht="12.75" customHeight="1">
      <c r="A72" s="18"/>
      <c r="B72" s="55">
        <v>3.0</v>
      </c>
      <c r="C72" s="50" t="s">
        <v>59</v>
      </c>
      <c r="D72" s="60"/>
      <c r="E72" s="19">
        <v>19.0</v>
      </c>
      <c r="F72" s="19">
        <v>1.0</v>
      </c>
      <c r="G72" s="19">
        <v>14.0</v>
      </c>
      <c r="H72" s="19">
        <v>5.0</v>
      </c>
      <c r="I72" s="19">
        <v>1.0</v>
      </c>
      <c r="J72" s="19">
        <v>0.0</v>
      </c>
      <c r="K72" s="19">
        <v>1.0</v>
      </c>
      <c r="L72" s="19">
        <v>7.0</v>
      </c>
      <c r="M72" s="19">
        <v>1.0</v>
      </c>
      <c r="N72" s="19">
        <v>0.0</v>
      </c>
      <c r="O72" s="19">
        <v>1.0</v>
      </c>
      <c r="P72" s="13">
        <f t="shared" si="18"/>
        <v>50</v>
      </c>
    </row>
    <row r="73" ht="12.75" customHeight="1">
      <c r="A73" s="18"/>
      <c r="B73" s="55">
        <v>4.0</v>
      </c>
      <c r="C73" s="50" t="s">
        <v>60</v>
      </c>
      <c r="D73" s="60"/>
      <c r="E73" s="19">
        <v>0.0</v>
      </c>
      <c r="F73" s="19">
        <v>0.0</v>
      </c>
      <c r="G73" s="19">
        <v>0.0</v>
      </c>
      <c r="H73" s="19">
        <v>0.0</v>
      </c>
      <c r="I73" s="19">
        <v>1.0</v>
      </c>
      <c r="J73" s="19">
        <v>0.0</v>
      </c>
      <c r="K73" s="19">
        <v>0.0</v>
      </c>
      <c r="L73" s="19">
        <v>0.0</v>
      </c>
      <c r="M73" s="19">
        <v>0.0</v>
      </c>
      <c r="N73" s="19">
        <v>1.0</v>
      </c>
      <c r="O73" s="19">
        <v>0.0</v>
      </c>
      <c r="P73" s="13">
        <f t="shared" si="18"/>
        <v>2</v>
      </c>
    </row>
    <row r="74" ht="12.75" customHeight="1">
      <c r="A74" s="18"/>
      <c r="B74" s="55">
        <v>5.0</v>
      </c>
      <c r="C74" s="50" t="s">
        <v>61</v>
      </c>
      <c r="D74" s="60"/>
      <c r="E74" s="19">
        <v>0.0</v>
      </c>
      <c r="F74" s="19">
        <v>1.0</v>
      </c>
      <c r="G74" s="19">
        <v>0.0</v>
      </c>
      <c r="H74" s="19">
        <v>0.0</v>
      </c>
      <c r="I74" s="19">
        <v>1.0</v>
      </c>
      <c r="J74" s="19">
        <v>0.0</v>
      </c>
      <c r="K74" s="19">
        <v>0.0</v>
      </c>
      <c r="L74" s="19">
        <v>0.0</v>
      </c>
      <c r="M74" s="19">
        <v>0.0</v>
      </c>
      <c r="N74" s="19">
        <v>1.0</v>
      </c>
      <c r="O74" s="19">
        <v>0.0</v>
      </c>
      <c r="P74" s="13">
        <f t="shared" si="18"/>
        <v>3</v>
      </c>
    </row>
    <row r="75" ht="12.75" customHeight="1">
      <c r="A75" s="18"/>
      <c r="B75" s="55">
        <v>6.0</v>
      </c>
      <c r="C75" s="50" t="s">
        <v>62</v>
      </c>
      <c r="D75" s="60"/>
      <c r="E75" s="19">
        <v>0.0</v>
      </c>
      <c r="F75" s="19">
        <v>1.0</v>
      </c>
      <c r="G75" s="19">
        <v>0.0</v>
      </c>
      <c r="H75" s="19">
        <v>1.0</v>
      </c>
      <c r="I75" s="19">
        <v>0.0</v>
      </c>
      <c r="J75" s="19">
        <v>0.0</v>
      </c>
      <c r="K75" s="19">
        <v>2.0</v>
      </c>
      <c r="L75" s="19">
        <v>0.0</v>
      </c>
      <c r="M75" s="19">
        <v>0.0</v>
      </c>
      <c r="N75" s="19">
        <v>0.0</v>
      </c>
      <c r="O75" s="19">
        <v>0.0</v>
      </c>
      <c r="P75" s="13">
        <f t="shared" si="18"/>
        <v>4</v>
      </c>
    </row>
    <row r="76" ht="12.75" customHeight="1">
      <c r="A76" s="18"/>
      <c r="B76" s="55">
        <v>7.0</v>
      </c>
      <c r="C76" s="50" t="s">
        <v>63</v>
      </c>
      <c r="D76" s="60"/>
      <c r="E76" s="19">
        <v>0.0</v>
      </c>
      <c r="F76" s="19">
        <v>1.0</v>
      </c>
      <c r="G76" s="19">
        <v>0.0</v>
      </c>
      <c r="H76" s="19">
        <v>0.0</v>
      </c>
      <c r="I76" s="19">
        <v>0.0</v>
      </c>
      <c r="J76" s="19">
        <v>0.0</v>
      </c>
      <c r="K76" s="19">
        <v>0.0</v>
      </c>
      <c r="L76" s="19">
        <v>0.0</v>
      </c>
      <c r="M76" s="19">
        <v>3.0</v>
      </c>
      <c r="N76" s="19">
        <v>0.0</v>
      </c>
      <c r="O76" s="19">
        <v>0.0</v>
      </c>
      <c r="P76" s="13">
        <f t="shared" si="18"/>
        <v>4</v>
      </c>
    </row>
    <row r="77" ht="12.75" customHeight="1">
      <c r="A77" s="18"/>
      <c r="B77" s="56"/>
      <c r="C77" s="57"/>
      <c r="D77" s="62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3">
        <f t="shared" si="18"/>
        <v>0</v>
      </c>
    </row>
    <row r="78" ht="12.75" customHeight="1">
      <c r="A78" s="18"/>
      <c r="B78" s="56"/>
      <c r="C78" s="57"/>
      <c r="D78" s="62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3">
        <f t="shared" si="18"/>
        <v>0</v>
      </c>
    </row>
    <row r="79" ht="12.75" customHeight="1">
      <c r="A79" s="19" t="s">
        <v>15</v>
      </c>
      <c r="B79" s="47" t="s">
        <v>47</v>
      </c>
      <c r="C79" s="15"/>
      <c r="D79" s="16"/>
      <c r="E79" s="13">
        <f t="shared" ref="E79:P79" si="19">SUM(E69:E78)</f>
        <v>25</v>
      </c>
      <c r="F79" s="13">
        <f t="shared" si="19"/>
        <v>6</v>
      </c>
      <c r="G79" s="13">
        <f t="shared" si="19"/>
        <v>15</v>
      </c>
      <c r="H79" s="13">
        <f t="shared" si="19"/>
        <v>7</v>
      </c>
      <c r="I79" s="13">
        <f t="shared" si="19"/>
        <v>6</v>
      </c>
      <c r="J79" s="13">
        <f t="shared" si="19"/>
        <v>1</v>
      </c>
      <c r="K79" s="13">
        <f t="shared" si="19"/>
        <v>10</v>
      </c>
      <c r="L79" s="13">
        <f t="shared" si="19"/>
        <v>14</v>
      </c>
      <c r="M79" s="13">
        <f t="shared" si="19"/>
        <v>13</v>
      </c>
      <c r="N79" s="13">
        <f t="shared" si="19"/>
        <v>12</v>
      </c>
      <c r="O79" s="13">
        <f t="shared" si="19"/>
        <v>13</v>
      </c>
      <c r="P79" s="13">
        <f t="shared" si="19"/>
        <v>122</v>
      </c>
    </row>
    <row r="80" ht="12.75" customHeight="1">
      <c r="A80" s="45"/>
      <c r="B80" s="44"/>
      <c r="C80" s="44"/>
      <c r="D80" s="44"/>
      <c r="E80" s="44"/>
    </row>
    <row r="81" ht="12.75" customHeight="1">
      <c r="A81" s="30" t="s">
        <v>37</v>
      </c>
      <c r="B81" s="47" t="s">
        <v>23</v>
      </c>
      <c r="C81" s="48" t="s">
        <v>64</v>
      </c>
      <c r="D81" s="16"/>
      <c r="E81" s="19">
        <v>0.0</v>
      </c>
      <c r="F81" s="19">
        <v>3.0</v>
      </c>
      <c r="G81" s="19">
        <v>0.0</v>
      </c>
      <c r="H81" s="19">
        <v>1.0</v>
      </c>
      <c r="I81" s="19">
        <v>0.0</v>
      </c>
      <c r="J81" s="19">
        <v>1.0</v>
      </c>
      <c r="K81" s="19">
        <v>2.0</v>
      </c>
      <c r="L81" s="19">
        <v>1.0</v>
      </c>
      <c r="M81" s="19">
        <v>1.0</v>
      </c>
      <c r="N81" s="19">
        <v>2.0</v>
      </c>
      <c r="O81" s="19">
        <v>0.0</v>
      </c>
      <c r="P81" s="13">
        <f t="shared" ref="P81:P90" si="20">SUM(E81:O81)</f>
        <v>11</v>
      </c>
    </row>
    <row r="82" ht="12.75" customHeight="1">
      <c r="A82" s="30" t="s">
        <v>39</v>
      </c>
      <c r="B82" s="55">
        <v>1.0</v>
      </c>
      <c r="C82" s="50" t="s">
        <v>65</v>
      </c>
      <c r="D82" s="60"/>
      <c r="E82" s="19">
        <v>2.0</v>
      </c>
      <c r="F82" s="19">
        <v>16.0</v>
      </c>
      <c r="G82" s="19">
        <v>21.0</v>
      </c>
      <c r="H82" s="19">
        <v>9.0</v>
      </c>
      <c r="I82" s="19">
        <v>6.0</v>
      </c>
      <c r="J82" s="19">
        <v>19.0</v>
      </c>
      <c r="K82" s="19">
        <v>1.0</v>
      </c>
      <c r="L82" s="19">
        <v>0.0</v>
      </c>
      <c r="M82" s="19">
        <v>0.0</v>
      </c>
      <c r="N82" s="19">
        <v>1.0</v>
      </c>
      <c r="O82" s="19">
        <v>2.0</v>
      </c>
      <c r="P82" s="13">
        <f t="shared" si="20"/>
        <v>77</v>
      </c>
    </row>
    <row r="83" ht="12.75" customHeight="1">
      <c r="A83" s="18"/>
      <c r="B83" s="55">
        <v>2.0</v>
      </c>
      <c r="C83" s="50" t="s">
        <v>66</v>
      </c>
      <c r="D83" s="60"/>
      <c r="E83" s="19">
        <v>0.0</v>
      </c>
      <c r="F83" s="19">
        <v>1.0</v>
      </c>
      <c r="G83" s="19">
        <v>1.0</v>
      </c>
      <c r="H83" s="19">
        <v>1.0</v>
      </c>
      <c r="I83" s="19">
        <v>0.0</v>
      </c>
      <c r="J83" s="19">
        <v>1.0</v>
      </c>
      <c r="K83" s="19">
        <v>3.0</v>
      </c>
      <c r="L83" s="19">
        <v>0.0</v>
      </c>
      <c r="M83" s="19">
        <v>0.0</v>
      </c>
      <c r="N83" s="19">
        <v>0.0</v>
      </c>
      <c r="O83" s="19">
        <v>1.0</v>
      </c>
      <c r="P83" s="13">
        <f t="shared" si="20"/>
        <v>8</v>
      </c>
    </row>
    <row r="84" ht="12.75" customHeight="1">
      <c r="A84" s="18"/>
      <c r="B84" s="55">
        <v>3.0</v>
      </c>
      <c r="C84" s="50" t="s">
        <v>67</v>
      </c>
      <c r="D84" s="60"/>
      <c r="E84" s="19">
        <v>0.0</v>
      </c>
      <c r="F84" s="19">
        <v>0.0</v>
      </c>
      <c r="G84" s="19">
        <v>0.0</v>
      </c>
      <c r="H84" s="19">
        <v>0.0</v>
      </c>
      <c r="I84" s="19">
        <v>0.0</v>
      </c>
      <c r="J84" s="19">
        <v>0.0</v>
      </c>
      <c r="K84" s="19">
        <v>0.0</v>
      </c>
      <c r="L84" s="19">
        <v>0.0</v>
      </c>
      <c r="M84" s="19">
        <v>0.0</v>
      </c>
      <c r="N84" s="19">
        <v>2.0</v>
      </c>
      <c r="O84" s="19">
        <v>0.0</v>
      </c>
      <c r="P84" s="13">
        <f t="shared" si="20"/>
        <v>2</v>
      </c>
    </row>
    <row r="85" ht="12.75" customHeight="1">
      <c r="A85" s="18"/>
      <c r="B85" s="55">
        <v>4.0</v>
      </c>
      <c r="C85" s="50" t="s">
        <v>68</v>
      </c>
      <c r="D85" s="60"/>
      <c r="E85" s="19">
        <v>0.0</v>
      </c>
      <c r="F85" s="19">
        <v>0.0</v>
      </c>
      <c r="G85" s="19">
        <v>0.0</v>
      </c>
      <c r="H85" s="19">
        <v>0.0</v>
      </c>
      <c r="I85" s="19">
        <v>1.0</v>
      </c>
      <c r="J85" s="19">
        <v>0.0</v>
      </c>
      <c r="K85" s="19">
        <v>0.0</v>
      </c>
      <c r="L85" s="19">
        <v>0.0</v>
      </c>
      <c r="M85" s="19">
        <v>1.0</v>
      </c>
      <c r="N85" s="19">
        <v>0.0</v>
      </c>
      <c r="O85" s="19">
        <v>0.0</v>
      </c>
      <c r="P85" s="13">
        <f t="shared" si="20"/>
        <v>2</v>
      </c>
    </row>
    <row r="86" ht="12.75" customHeight="1">
      <c r="A86" s="18"/>
      <c r="B86" s="55">
        <v>5.0</v>
      </c>
      <c r="C86" s="50" t="s">
        <v>69</v>
      </c>
      <c r="D86" s="60"/>
      <c r="E86" s="19">
        <v>0.0</v>
      </c>
      <c r="F86" s="19">
        <v>0.0</v>
      </c>
      <c r="G86" s="19">
        <v>0.0</v>
      </c>
      <c r="H86" s="19">
        <v>0.0</v>
      </c>
      <c r="I86" s="19">
        <v>0.0</v>
      </c>
      <c r="J86" s="19">
        <v>0.0</v>
      </c>
      <c r="K86" s="19">
        <v>0.0</v>
      </c>
      <c r="L86" s="19">
        <v>0.0</v>
      </c>
      <c r="M86" s="19">
        <v>0.0</v>
      </c>
      <c r="N86" s="19">
        <v>0.0</v>
      </c>
      <c r="O86" s="19">
        <v>0.0</v>
      </c>
      <c r="P86" s="13">
        <f t="shared" si="20"/>
        <v>0</v>
      </c>
    </row>
    <row r="87" ht="12.75" customHeight="1">
      <c r="A87" s="18"/>
      <c r="B87" s="55">
        <v>6.0</v>
      </c>
      <c r="C87" s="50" t="s">
        <v>70</v>
      </c>
      <c r="D87" s="60"/>
      <c r="E87" s="19">
        <v>0.0</v>
      </c>
      <c r="F87" s="19">
        <v>0.0</v>
      </c>
      <c r="G87" s="19">
        <v>0.0</v>
      </c>
      <c r="H87" s="19">
        <v>0.0</v>
      </c>
      <c r="I87" s="19">
        <v>0.0</v>
      </c>
      <c r="J87" s="19">
        <v>0.0</v>
      </c>
      <c r="K87" s="19">
        <v>0.0</v>
      </c>
      <c r="L87" s="19">
        <v>0.0</v>
      </c>
      <c r="M87" s="19">
        <v>0.0</v>
      </c>
      <c r="N87" s="19">
        <v>0.0</v>
      </c>
      <c r="O87" s="19">
        <v>0.0</v>
      </c>
      <c r="P87" s="13">
        <f t="shared" si="20"/>
        <v>0</v>
      </c>
    </row>
    <row r="88" ht="12.75" customHeight="1">
      <c r="A88" s="18"/>
      <c r="B88" s="55">
        <v>7.0</v>
      </c>
      <c r="C88" s="50" t="s">
        <v>71</v>
      </c>
      <c r="D88" s="60"/>
      <c r="E88" s="19">
        <v>0.0</v>
      </c>
      <c r="F88" s="19">
        <v>0.0</v>
      </c>
      <c r="G88" s="19">
        <v>0.0</v>
      </c>
      <c r="H88" s="19">
        <v>0.0</v>
      </c>
      <c r="I88" s="19">
        <v>0.0</v>
      </c>
      <c r="J88" s="19">
        <v>0.0</v>
      </c>
      <c r="K88" s="19">
        <v>0.0</v>
      </c>
      <c r="L88" s="19">
        <v>0.0</v>
      </c>
      <c r="M88" s="19">
        <v>0.0</v>
      </c>
      <c r="N88" s="19">
        <v>0.0</v>
      </c>
      <c r="O88" s="19">
        <v>0.0</v>
      </c>
      <c r="P88" s="13">
        <f t="shared" si="20"/>
        <v>0</v>
      </c>
    </row>
    <row r="89" ht="12.75" customHeight="1">
      <c r="A89" s="18"/>
      <c r="B89" s="56"/>
      <c r="C89" s="57"/>
      <c r="D89" s="62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3">
        <f t="shared" si="20"/>
        <v>0</v>
      </c>
    </row>
    <row r="90" ht="12.75" customHeight="1">
      <c r="A90" s="18"/>
      <c r="B90" s="56"/>
      <c r="C90" s="57"/>
      <c r="D90" s="62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3">
        <f t="shared" si="20"/>
        <v>0</v>
      </c>
    </row>
    <row r="91" ht="12.75" customHeight="1">
      <c r="A91" s="19" t="s">
        <v>15</v>
      </c>
      <c r="B91" s="47" t="s">
        <v>47</v>
      </c>
      <c r="C91" s="15"/>
      <c r="D91" s="16"/>
      <c r="E91" s="13">
        <f t="shared" ref="E91:P91" si="21">SUM(E81:E90)</f>
        <v>2</v>
      </c>
      <c r="F91" s="13">
        <f t="shared" si="21"/>
        <v>20</v>
      </c>
      <c r="G91" s="13">
        <f t="shared" si="21"/>
        <v>22</v>
      </c>
      <c r="H91" s="13">
        <f t="shared" si="21"/>
        <v>11</v>
      </c>
      <c r="I91" s="13">
        <f t="shared" si="21"/>
        <v>7</v>
      </c>
      <c r="J91" s="13">
        <f t="shared" si="21"/>
        <v>21</v>
      </c>
      <c r="K91" s="13">
        <f t="shared" si="21"/>
        <v>6</v>
      </c>
      <c r="L91" s="13">
        <f t="shared" si="21"/>
        <v>1</v>
      </c>
      <c r="M91" s="13">
        <f t="shared" si="21"/>
        <v>2</v>
      </c>
      <c r="N91" s="13">
        <f t="shared" si="21"/>
        <v>5</v>
      </c>
      <c r="O91" s="13">
        <f t="shared" si="21"/>
        <v>3</v>
      </c>
      <c r="P91" s="13">
        <f t="shared" si="21"/>
        <v>100</v>
      </c>
    </row>
    <row r="92" ht="12.75" customHeight="1">
      <c r="A92" s="45"/>
      <c r="B92" s="44"/>
      <c r="C92" s="44"/>
      <c r="D92" s="44"/>
      <c r="E92" s="44"/>
    </row>
    <row r="93" ht="12.75" customHeight="1">
      <c r="A93" s="30" t="s">
        <v>37</v>
      </c>
      <c r="B93" s="47" t="s">
        <v>72</v>
      </c>
      <c r="C93" s="48" t="s">
        <v>73</v>
      </c>
      <c r="D93" s="16"/>
      <c r="E93" s="19">
        <v>0.0</v>
      </c>
      <c r="F93" s="19">
        <v>2.0</v>
      </c>
      <c r="G93" s="19">
        <v>0.0</v>
      </c>
      <c r="H93" s="19">
        <v>0.0</v>
      </c>
      <c r="I93" s="19">
        <v>0.0</v>
      </c>
      <c r="J93" s="19">
        <v>0.0</v>
      </c>
      <c r="K93" s="19">
        <v>0.0</v>
      </c>
      <c r="L93" s="19">
        <v>0.0</v>
      </c>
      <c r="M93" s="19">
        <v>0.0</v>
      </c>
      <c r="N93" s="19">
        <v>0.0</v>
      </c>
      <c r="O93" s="19">
        <v>0.0</v>
      </c>
      <c r="P93" s="13">
        <f t="shared" ref="P93:P102" si="22">SUM(E93:O93)</f>
        <v>2</v>
      </c>
    </row>
    <row r="94" ht="12.75" customHeight="1">
      <c r="A94" s="30" t="s">
        <v>39</v>
      </c>
      <c r="B94" s="55">
        <v>1.0</v>
      </c>
      <c r="C94" s="50" t="s">
        <v>74</v>
      </c>
      <c r="D94" s="60"/>
      <c r="E94" s="19">
        <v>0.0</v>
      </c>
      <c r="F94" s="19">
        <v>0.0</v>
      </c>
      <c r="G94" s="19">
        <v>0.0</v>
      </c>
      <c r="H94" s="19">
        <v>0.0</v>
      </c>
      <c r="I94" s="19">
        <v>0.0</v>
      </c>
      <c r="J94" s="19">
        <v>0.0</v>
      </c>
      <c r="K94" s="19">
        <v>0.0</v>
      </c>
      <c r="L94" s="19">
        <v>0.0</v>
      </c>
      <c r="M94" s="19">
        <v>0.0</v>
      </c>
      <c r="N94" s="19">
        <v>1.0</v>
      </c>
      <c r="O94" s="19">
        <v>0.0</v>
      </c>
      <c r="P94" s="13">
        <f t="shared" si="22"/>
        <v>1</v>
      </c>
    </row>
    <row r="95" ht="12.75" customHeight="1">
      <c r="A95" s="18"/>
      <c r="B95" s="55">
        <v>2.0</v>
      </c>
      <c r="C95" s="50" t="s">
        <v>75</v>
      </c>
      <c r="D95" s="60"/>
      <c r="E95" s="19">
        <v>0.0</v>
      </c>
      <c r="F95" s="19">
        <v>1.0</v>
      </c>
      <c r="G95" s="19">
        <v>0.0</v>
      </c>
      <c r="H95" s="19">
        <v>0.0</v>
      </c>
      <c r="I95" s="19">
        <v>0.0</v>
      </c>
      <c r="J95" s="19">
        <v>0.0</v>
      </c>
      <c r="K95" s="19">
        <v>0.0</v>
      </c>
      <c r="L95" s="19">
        <v>0.0</v>
      </c>
      <c r="M95" s="19">
        <v>0.0</v>
      </c>
      <c r="N95" s="19">
        <v>0.0</v>
      </c>
      <c r="O95" s="19">
        <v>0.0</v>
      </c>
      <c r="P95" s="13">
        <f t="shared" si="22"/>
        <v>1</v>
      </c>
    </row>
    <row r="96" ht="12.75" customHeight="1">
      <c r="A96" s="18"/>
      <c r="B96" s="55">
        <v>3.0</v>
      </c>
      <c r="C96" s="50" t="s">
        <v>76</v>
      </c>
      <c r="D96" s="60"/>
      <c r="E96" s="19">
        <v>0.0</v>
      </c>
      <c r="F96" s="19">
        <v>0.0</v>
      </c>
      <c r="G96" s="19">
        <v>0.0</v>
      </c>
      <c r="H96" s="19">
        <v>0.0</v>
      </c>
      <c r="I96" s="19">
        <v>0.0</v>
      </c>
      <c r="J96" s="19">
        <v>0.0</v>
      </c>
      <c r="K96" s="19">
        <v>0.0</v>
      </c>
      <c r="L96" s="19">
        <v>0.0</v>
      </c>
      <c r="M96" s="19">
        <v>0.0</v>
      </c>
      <c r="N96" s="19">
        <v>0.0</v>
      </c>
      <c r="O96" s="19">
        <v>0.0</v>
      </c>
      <c r="P96" s="13">
        <f t="shared" si="22"/>
        <v>0</v>
      </c>
    </row>
    <row r="97" ht="12.75" customHeight="1">
      <c r="A97" s="18"/>
      <c r="B97" s="55">
        <v>4.0</v>
      </c>
      <c r="C97" s="50" t="s">
        <v>77</v>
      </c>
      <c r="D97" s="60"/>
      <c r="E97" s="19">
        <v>0.0</v>
      </c>
      <c r="F97" s="19">
        <v>0.0</v>
      </c>
      <c r="G97" s="19">
        <v>0.0</v>
      </c>
      <c r="H97" s="19">
        <v>0.0</v>
      </c>
      <c r="I97" s="19">
        <v>0.0</v>
      </c>
      <c r="J97" s="19">
        <v>0.0</v>
      </c>
      <c r="K97" s="19">
        <v>0.0</v>
      </c>
      <c r="L97" s="19">
        <v>0.0</v>
      </c>
      <c r="M97" s="19">
        <v>0.0</v>
      </c>
      <c r="N97" s="19">
        <v>0.0</v>
      </c>
      <c r="O97" s="19">
        <v>0.0</v>
      </c>
      <c r="P97" s="13">
        <f t="shared" si="22"/>
        <v>0</v>
      </c>
    </row>
    <row r="98" ht="12.75" customHeight="1">
      <c r="A98" s="18"/>
      <c r="B98" s="55">
        <v>5.0</v>
      </c>
      <c r="C98" s="50" t="s">
        <v>78</v>
      </c>
      <c r="D98" s="60"/>
      <c r="E98" s="19">
        <v>0.0</v>
      </c>
      <c r="F98" s="19">
        <v>0.0</v>
      </c>
      <c r="G98" s="19">
        <v>0.0</v>
      </c>
      <c r="H98" s="19">
        <v>1.0</v>
      </c>
      <c r="I98" s="19">
        <v>0.0</v>
      </c>
      <c r="J98" s="19">
        <v>0.0</v>
      </c>
      <c r="K98" s="19">
        <v>0.0</v>
      </c>
      <c r="L98" s="19">
        <v>0.0</v>
      </c>
      <c r="M98" s="19">
        <v>0.0</v>
      </c>
      <c r="N98" s="19">
        <v>0.0</v>
      </c>
      <c r="O98" s="19">
        <v>0.0</v>
      </c>
      <c r="P98" s="13">
        <f t="shared" si="22"/>
        <v>1</v>
      </c>
    </row>
    <row r="99" ht="12.75" customHeight="1">
      <c r="A99" s="18"/>
      <c r="B99" s="55">
        <v>6.0</v>
      </c>
      <c r="C99" s="50" t="s">
        <v>79</v>
      </c>
      <c r="D99" s="60"/>
      <c r="E99" s="19">
        <v>0.0</v>
      </c>
      <c r="F99" s="19">
        <v>0.0</v>
      </c>
      <c r="G99" s="19">
        <v>0.0</v>
      </c>
      <c r="H99" s="19">
        <v>0.0</v>
      </c>
      <c r="I99" s="19">
        <v>0.0</v>
      </c>
      <c r="J99" s="19">
        <v>0.0</v>
      </c>
      <c r="K99" s="19">
        <v>0.0</v>
      </c>
      <c r="L99" s="19">
        <v>0.0</v>
      </c>
      <c r="M99" s="19">
        <v>0.0</v>
      </c>
      <c r="N99" s="19">
        <v>0.0</v>
      </c>
      <c r="O99" s="19">
        <v>0.0</v>
      </c>
      <c r="P99" s="13">
        <f t="shared" si="22"/>
        <v>0</v>
      </c>
    </row>
    <row r="100" ht="12.75" customHeight="1">
      <c r="A100" s="18"/>
      <c r="B100" s="55">
        <v>7.0</v>
      </c>
      <c r="C100" s="50" t="s">
        <v>80</v>
      </c>
      <c r="D100" s="60"/>
      <c r="E100" s="19">
        <v>0.0</v>
      </c>
      <c r="F100" s="19">
        <v>0.0</v>
      </c>
      <c r="G100" s="19">
        <v>0.0</v>
      </c>
      <c r="H100" s="19">
        <v>1.0</v>
      </c>
      <c r="I100" s="19">
        <v>0.0</v>
      </c>
      <c r="J100" s="19">
        <v>0.0</v>
      </c>
      <c r="K100" s="19">
        <v>0.0</v>
      </c>
      <c r="L100" s="19">
        <v>0.0</v>
      </c>
      <c r="M100" s="19">
        <v>0.0</v>
      </c>
      <c r="N100" s="19">
        <v>0.0</v>
      </c>
      <c r="O100" s="19">
        <v>0.0</v>
      </c>
      <c r="P100" s="13">
        <f t="shared" si="22"/>
        <v>1</v>
      </c>
    </row>
    <row r="101" ht="12.75" customHeight="1">
      <c r="A101" s="18"/>
      <c r="B101" s="56"/>
      <c r="C101" s="57"/>
      <c r="D101" s="62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3">
        <f t="shared" si="22"/>
        <v>0</v>
      </c>
    </row>
    <row r="102" ht="12.75" customHeight="1">
      <c r="A102" s="18"/>
      <c r="B102" s="56"/>
      <c r="C102" s="57"/>
      <c r="D102" s="62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3">
        <f t="shared" si="22"/>
        <v>0</v>
      </c>
    </row>
    <row r="103" ht="12.75" customHeight="1">
      <c r="A103" s="19" t="s">
        <v>15</v>
      </c>
      <c r="B103" s="47" t="s">
        <v>47</v>
      </c>
      <c r="C103" s="15"/>
      <c r="D103" s="16"/>
      <c r="E103" s="13">
        <f t="shared" ref="E103:P103" si="23">SUM(E93:E102)</f>
        <v>0</v>
      </c>
      <c r="F103" s="13">
        <f t="shared" si="23"/>
        <v>3</v>
      </c>
      <c r="G103" s="13">
        <f t="shared" si="23"/>
        <v>0</v>
      </c>
      <c r="H103" s="13">
        <f t="shared" si="23"/>
        <v>2</v>
      </c>
      <c r="I103" s="13">
        <f t="shared" si="23"/>
        <v>0</v>
      </c>
      <c r="J103" s="13">
        <f t="shared" si="23"/>
        <v>0</v>
      </c>
      <c r="K103" s="13">
        <f t="shared" si="23"/>
        <v>0</v>
      </c>
      <c r="L103" s="13">
        <f t="shared" si="23"/>
        <v>0</v>
      </c>
      <c r="M103" s="13">
        <f t="shared" si="23"/>
        <v>0</v>
      </c>
      <c r="N103" s="13">
        <f t="shared" si="23"/>
        <v>1</v>
      </c>
      <c r="O103" s="13">
        <f t="shared" si="23"/>
        <v>0</v>
      </c>
      <c r="P103" s="13">
        <f t="shared" si="23"/>
        <v>6</v>
      </c>
    </row>
    <row r="104" ht="12.75" customHeight="1">
      <c r="A104" s="45"/>
      <c r="B104" s="44"/>
      <c r="C104" s="44"/>
      <c r="D104" s="44"/>
      <c r="E104" s="44"/>
      <c r="F104" s="84"/>
      <c r="G104" s="84"/>
      <c r="H104" s="84"/>
      <c r="I104" s="84"/>
      <c r="J104" s="84"/>
      <c r="K104" s="84"/>
      <c r="L104" s="84"/>
      <c r="M104" s="84"/>
      <c r="N104" s="84"/>
      <c r="O104" s="84"/>
      <c r="P104" s="84"/>
    </row>
    <row r="105" ht="12.75" customHeight="1">
      <c r="A105" s="30" t="s">
        <v>37</v>
      </c>
      <c r="B105" s="47" t="s">
        <v>81</v>
      </c>
      <c r="C105" s="48" t="s">
        <v>82</v>
      </c>
      <c r="D105" s="16"/>
      <c r="E105" s="19">
        <v>0.0</v>
      </c>
      <c r="F105" s="19">
        <v>0.0</v>
      </c>
      <c r="G105" s="19">
        <v>0.0</v>
      </c>
      <c r="H105" s="19">
        <v>0.0</v>
      </c>
      <c r="I105" s="19">
        <v>1.0</v>
      </c>
      <c r="J105" s="19">
        <v>0.0</v>
      </c>
      <c r="K105" s="19">
        <v>0.0</v>
      </c>
      <c r="L105" s="19">
        <v>2.0</v>
      </c>
      <c r="M105" s="19">
        <v>0.0</v>
      </c>
      <c r="N105" s="19">
        <v>0.0</v>
      </c>
      <c r="O105" s="19">
        <v>0.0</v>
      </c>
      <c r="P105" s="13">
        <f t="shared" ref="P105:P114" si="24">SUM(E105:O105)</f>
        <v>3</v>
      </c>
    </row>
    <row r="106" ht="12.75" customHeight="1">
      <c r="A106" s="30" t="s">
        <v>39</v>
      </c>
      <c r="B106" s="55">
        <v>1.0</v>
      </c>
      <c r="C106" s="50" t="s">
        <v>83</v>
      </c>
      <c r="D106" s="60"/>
      <c r="E106" s="19">
        <v>0.0</v>
      </c>
      <c r="F106" s="19">
        <v>0.0</v>
      </c>
      <c r="G106" s="19">
        <v>0.0</v>
      </c>
      <c r="H106" s="19">
        <v>0.0</v>
      </c>
      <c r="I106" s="19">
        <v>0.0</v>
      </c>
      <c r="J106" s="19">
        <v>0.0</v>
      </c>
      <c r="K106" s="19">
        <v>0.0</v>
      </c>
      <c r="L106" s="19">
        <v>0.0</v>
      </c>
      <c r="M106" s="19">
        <v>0.0</v>
      </c>
      <c r="N106" s="19">
        <v>0.0</v>
      </c>
      <c r="O106" s="19">
        <v>0.0</v>
      </c>
      <c r="P106" s="13">
        <f t="shared" si="24"/>
        <v>0</v>
      </c>
    </row>
    <row r="107" ht="12.75" customHeight="1">
      <c r="A107" s="18"/>
      <c r="B107" s="55">
        <v>2.0</v>
      </c>
      <c r="C107" s="50" t="s">
        <v>84</v>
      </c>
      <c r="D107" s="60"/>
      <c r="E107" s="19">
        <v>0.0</v>
      </c>
      <c r="F107" s="19">
        <v>0.0</v>
      </c>
      <c r="G107" s="19">
        <v>0.0</v>
      </c>
      <c r="H107" s="19">
        <v>0.0</v>
      </c>
      <c r="I107" s="19">
        <v>0.0</v>
      </c>
      <c r="J107" s="19">
        <v>0.0</v>
      </c>
      <c r="K107" s="19">
        <v>0.0</v>
      </c>
      <c r="L107" s="19">
        <v>0.0</v>
      </c>
      <c r="M107" s="19">
        <v>0.0</v>
      </c>
      <c r="N107" s="19">
        <v>0.0</v>
      </c>
      <c r="O107" s="19">
        <v>0.0</v>
      </c>
      <c r="P107" s="13">
        <f t="shared" si="24"/>
        <v>0</v>
      </c>
    </row>
    <row r="108" ht="12.75" customHeight="1">
      <c r="A108" s="18"/>
      <c r="B108" s="55">
        <v>3.0</v>
      </c>
      <c r="C108" s="50" t="s">
        <v>85</v>
      </c>
      <c r="D108" s="60"/>
      <c r="E108" s="85">
        <v>0.0</v>
      </c>
      <c r="F108" s="19">
        <v>0.0</v>
      </c>
      <c r="G108" s="19">
        <v>0.0</v>
      </c>
      <c r="H108" s="19">
        <v>0.0</v>
      </c>
      <c r="I108" s="19">
        <v>0.0</v>
      </c>
      <c r="J108" s="19">
        <v>0.0</v>
      </c>
      <c r="K108" s="19">
        <v>0.0</v>
      </c>
      <c r="L108" s="19">
        <v>0.0</v>
      </c>
      <c r="M108" s="19">
        <v>0.0</v>
      </c>
      <c r="N108" s="19">
        <v>0.0</v>
      </c>
      <c r="O108" s="19">
        <v>0.0</v>
      </c>
      <c r="P108" s="13">
        <f t="shared" si="24"/>
        <v>0</v>
      </c>
    </row>
    <row r="109" ht="12.75" customHeight="1">
      <c r="A109" s="18"/>
      <c r="B109" s="55">
        <v>4.0</v>
      </c>
      <c r="C109" s="50" t="s">
        <v>86</v>
      </c>
      <c r="D109" s="60"/>
      <c r="E109" s="85">
        <v>0.0</v>
      </c>
      <c r="F109" s="19">
        <v>0.0</v>
      </c>
      <c r="G109" s="19">
        <v>0.0</v>
      </c>
      <c r="H109" s="19">
        <v>0.0</v>
      </c>
      <c r="I109" s="19">
        <v>0.0</v>
      </c>
      <c r="J109" s="19">
        <v>0.0</v>
      </c>
      <c r="K109" s="19">
        <v>0.0</v>
      </c>
      <c r="L109" s="19">
        <v>0.0</v>
      </c>
      <c r="M109" s="19">
        <v>0.0</v>
      </c>
      <c r="N109" s="19">
        <v>1.0</v>
      </c>
      <c r="O109" s="19">
        <v>0.0</v>
      </c>
      <c r="P109" s="13">
        <f t="shared" si="24"/>
        <v>1</v>
      </c>
    </row>
    <row r="110" ht="12.75" customHeight="1">
      <c r="A110" s="18"/>
      <c r="B110" s="55">
        <v>5.0</v>
      </c>
      <c r="C110" s="50" t="s">
        <v>87</v>
      </c>
      <c r="D110" s="60"/>
      <c r="E110" s="85">
        <v>0.0</v>
      </c>
      <c r="F110" s="19">
        <v>0.0</v>
      </c>
      <c r="G110" s="19">
        <v>0.0</v>
      </c>
      <c r="H110" s="19">
        <v>0.0</v>
      </c>
      <c r="I110" s="19">
        <v>0.0</v>
      </c>
      <c r="J110" s="19">
        <v>0.0</v>
      </c>
      <c r="K110" s="19">
        <v>0.0</v>
      </c>
      <c r="L110" s="19">
        <v>0.0</v>
      </c>
      <c r="M110" s="19">
        <v>0.0</v>
      </c>
      <c r="N110" s="19">
        <v>0.0</v>
      </c>
      <c r="O110" s="19">
        <v>0.0</v>
      </c>
      <c r="P110" s="13">
        <f t="shared" si="24"/>
        <v>0</v>
      </c>
    </row>
    <row r="111" ht="12.75" customHeight="1">
      <c r="A111" s="18"/>
      <c r="B111" s="55">
        <v>6.0</v>
      </c>
      <c r="C111" s="50" t="s">
        <v>88</v>
      </c>
      <c r="D111" s="60"/>
      <c r="E111" s="85">
        <v>0.0</v>
      </c>
      <c r="F111" s="19">
        <v>0.0</v>
      </c>
      <c r="G111" s="19">
        <v>0.0</v>
      </c>
      <c r="H111" s="19">
        <v>0.0</v>
      </c>
      <c r="I111" s="19">
        <v>0.0</v>
      </c>
      <c r="J111" s="19">
        <v>0.0</v>
      </c>
      <c r="K111" s="19">
        <v>0.0</v>
      </c>
      <c r="L111" s="19">
        <v>0.0</v>
      </c>
      <c r="M111" s="19">
        <v>0.0</v>
      </c>
      <c r="N111" s="19">
        <v>0.0</v>
      </c>
      <c r="O111" s="19">
        <v>0.0</v>
      </c>
      <c r="P111" s="13">
        <f t="shared" si="24"/>
        <v>0</v>
      </c>
    </row>
    <row r="112" ht="12.75" customHeight="1">
      <c r="A112" s="18"/>
      <c r="B112" s="55">
        <v>7.0</v>
      </c>
      <c r="C112" s="50" t="s">
        <v>89</v>
      </c>
      <c r="D112" s="60"/>
      <c r="E112" s="85">
        <v>0.0</v>
      </c>
      <c r="F112" s="19">
        <v>0.0</v>
      </c>
      <c r="G112" s="19">
        <v>0.0</v>
      </c>
      <c r="H112" s="19">
        <v>0.0</v>
      </c>
      <c r="I112" s="19">
        <v>0.0</v>
      </c>
      <c r="J112" s="19">
        <v>0.0</v>
      </c>
      <c r="K112" s="19">
        <v>0.0</v>
      </c>
      <c r="L112" s="19">
        <v>0.0</v>
      </c>
      <c r="M112" s="19">
        <v>0.0</v>
      </c>
      <c r="N112" s="19">
        <v>0.0</v>
      </c>
      <c r="O112" s="19">
        <v>0.0</v>
      </c>
      <c r="P112" s="13">
        <f t="shared" si="24"/>
        <v>0</v>
      </c>
    </row>
    <row r="113" ht="12.75" customHeight="1">
      <c r="A113" s="18"/>
      <c r="B113" s="56"/>
      <c r="C113" s="57"/>
      <c r="D113" s="62"/>
      <c r="E113" s="85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3">
        <f t="shared" si="24"/>
        <v>0</v>
      </c>
    </row>
    <row r="114" ht="12.75" customHeight="1">
      <c r="A114" s="18"/>
      <c r="B114" s="56"/>
      <c r="C114" s="57"/>
      <c r="D114" s="62"/>
      <c r="E114" s="85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3">
        <f t="shared" si="24"/>
        <v>0</v>
      </c>
    </row>
    <row r="115" ht="12.75" customHeight="1">
      <c r="A115" s="19" t="s">
        <v>15</v>
      </c>
      <c r="B115" s="47" t="s">
        <v>47</v>
      </c>
      <c r="C115" s="15"/>
      <c r="D115" s="16"/>
      <c r="E115" s="13">
        <f t="shared" ref="E115:P115" si="25">SUM(E105:E114)</f>
        <v>0</v>
      </c>
      <c r="F115" s="13">
        <f t="shared" si="25"/>
        <v>0</v>
      </c>
      <c r="G115" s="13">
        <f t="shared" si="25"/>
        <v>0</v>
      </c>
      <c r="H115" s="13">
        <f t="shared" si="25"/>
        <v>0</v>
      </c>
      <c r="I115" s="13">
        <f t="shared" si="25"/>
        <v>1</v>
      </c>
      <c r="J115" s="13">
        <f t="shared" si="25"/>
        <v>0</v>
      </c>
      <c r="K115" s="13">
        <f t="shared" si="25"/>
        <v>0</v>
      </c>
      <c r="L115" s="13">
        <f t="shared" si="25"/>
        <v>2</v>
      </c>
      <c r="M115" s="13">
        <f t="shared" si="25"/>
        <v>0</v>
      </c>
      <c r="N115" s="13">
        <f t="shared" si="25"/>
        <v>1</v>
      </c>
      <c r="O115" s="13">
        <f t="shared" si="25"/>
        <v>0</v>
      </c>
      <c r="P115" s="13">
        <f t="shared" si="25"/>
        <v>4</v>
      </c>
    </row>
    <row r="116" ht="12.75" customHeight="1">
      <c r="A116" s="24"/>
      <c r="B116" s="15"/>
      <c r="C116" s="15"/>
      <c r="D116" s="15"/>
      <c r="E116" s="16"/>
      <c r="F116" s="84"/>
      <c r="G116" s="84"/>
      <c r="H116" s="84"/>
      <c r="I116" s="84"/>
      <c r="J116" s="84"/>
      <c r="K116" s="84"/>
      <c r="L116" s="84"/>
      <c r="M116" s="84"/>
      <c r="N116" s="84"/>
      <c r="O116" s="84"/>
      <c r="P116" s="13"/>
    </row>
    <row r="117" ht="12.75" customHeight="1">
      <c r="A117" s="30" t="s">
        <v>37</v>
      </c>
      <c r="B117" s="47" t="s">
        <v>90</v>
      </c>
      <c r="C117" s="48" t="s">
        <v>91</v>
      </c>
      <c r="D117" s="16"/>
      <c r="E117" s="19">
        <v>1.0</v>
      </c>
      <c r="F117" s="19">
        <v>0.0</v>
      </c>
      <c r="G117" s="19">
        <v>0.0</v>
      </c>
      <c r="H117" s="19">
        <v>0.0</v>
      </c>
      <c r="I117" s="19">
        <v>0.0</v>
      </c>
      <c r="J117" s="19">
        <v>0.0</v>
      </c>
      <c r="K117" s="19">
        <v>0.0</v>
      </c>
      <c r="L117" s="19">
        <v>0.0</v>
      </c>
      <c r="M117" s="19">
        <v>0.0</v>
      </c>
      <c r="N117" s="19">
        <v>0.0</v>
      </c>
      <c r="O117" s="19">
        <v>0.0</v>
      </c>
      <c r="P117" s="13">
        <f t="shared" ref="P117:P126" si="26">SUM(E117:O117)</f>
        <v>1</v>
      </c>
    </row>
    <row r="118" ht="12.75" customHeight="1">
      <c r="A118" s="30" t="s">
        <v>39</v>
      </c>
      <c r="B118" s="55">
        <v>1.0</v>
      </c>
      <c r="C118" s="50" t="s">
        <v>92</v>
      </c>
      <c r="D118" s="60"/>
      <c r="E118" s="19">
        <v>0.0</v>
      </c>
      <c r="F118" s="19">
        <v>0.0</v>
      </c>
      <c r="G118" s="19">
        <v>0.0</v>
      </c>
      <c r="H118" s="19">
        <v>0.0</v>
      </c>
      <c r="I118" s="19">
        <v>0.0</v>
      </c>
      <c r="J118" s="19">
        <v>0.0</v>
      </c>
      <c r="K118" s="19">
        <v>0.0</v>
      </c>
      <c r="L118" s="19">
        <v>0.0</v>
      </c>
      <c r="M118" s="19">
        <v>0.0</v>
      </c>
      <c r="N118" s="19">
        <v>0.0</v>
      </c>
      <c r="O118" s="19">
        <v>0.0</v>
      </c>
      <c r="P118" s="13">
        <f t="shared" si="26"/>
        <v>0</v>
      </c>
    </row>
    <row r="119" ht="12.75" customHeight="1">
      <c r="A119" s="18"/>
      <c r="B119" s="55">
        <v>2.0</v>
      </c>
      <c r="C119" s="50" t="s">
        <v>93</v>
      </c>
      <c r="D119" s="60"/>
      <c r="E119" s="19">
        <v>0.0</v>
      </c>
      <c r="F119" s="19">
        <v>0.0</v>
      </c>
      <c r="G119" s="19">
        <v>0.0</v>
      </c>
      <c r="H119" s="19">
        <v>0.0</v>
      </c>
      <c r="I119" s="19">
        <v>0.0</v>
      </c>
      <c r="J119" s="19">
        <v>0.0</v>
      </c>
      <c r="K119" s="19">
        <v>0.0</v>
      </c>
      <c r="L119" s="19">
        <v>0.0</v>
      </c>
      <c r="M119" s="19">
        <v>0.0</v>
      </c>
      <c r="N119" s="19">
        <v>0.0</v>
      </c>
      <c r="O119" s="19">
        <v>0.0</v>
      </c>
      <c r="P119" s="13">
        <f t="shared" si="26"/>
        <v>0</v>
      </c>
    </row>
    <row r="120" ht="12.75" customHeight="1">
      <c r="A120" s="18"/>
      <c r="B120" s="55">
        <v>3.0</v>
      </c>
      <c r="C120" s="50" t="s">
        <v>94</v>
      </c>
      <c r="D120" s="60"/>
      <c r="E120" s="19">
        <v>0.0</v>
      </c>
      <c r="F120" s="19">
        <v>0.0</v>
      </c>
      <c r="G120" s="19">
        <v>0.0</v>
      </c>
      <c r="H120" s="19">
        <v>0.0</v>
      </c>
      <c r="I120" s="19">
        <v>0.0</v>
      </c>
      <c r="J120" s="19">
        <v>0.0</v>
      </c>
      <c r="K120" s="19">
        <v>0.0</v>
      </c>
      <c r="L120" s="19">
        <v>0.0</v>
      </c>
      <c r="M120" s="19">
        <v>0.0</v>
      </c>
      <c r="N120" s="19">
        <v>0.0</v>
      </c>
      <c r="O120" s="19">
        <v>0.0</v>
      </c>
      <c r="P120" s="13">
        <f t="shared" si="26"/>
        <v>0</v>
      </c>
    </row>
    <row r="121" ht="12.75" customHeight="1">
      <c r="A121" s="18"/>
      <c r="B121" s="56"/>
      <c r="C121" s="57"/>
      <c r="D121" s="62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3">
        <f t="shared" si="26"/>
        <v>0</v>
      </c>
    </row>
    <row r="122" ht="12.75" customHeight="1">
      <c r="A122" s="18"/>
      <c r="B122" s="56"/>
      <c r="C122" s="57"/>
      <c r="D122" s="62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3">
        <f t="shared" si="26"/>
        <v>0</v>
      </c>
    </row>
    <row r="123" ht="12.75" customHeight="1">
      <c r="A123" s="18"/>
      <c r="B123" s="56"/>
      <c r="C123" s="57"/>
      <c r="D123" s="62"/>
      <c r="E123" s="63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13">
        <f t="shared" si="26"/>
        <v>0</v>
      </c>
    </row>
    <row r="124" ht="12.75" customHeight="1">
      <c r="A124" s="18"/>
      <c r="B124" s="56"/>
      <c r="C124" s="57"/>
      <c r="D124" s="62"/>
      <c r="E124" s="63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13">
        <f t="shared" si="26"/>
        <v>0</v>
      </c>
    </row>
    <row r="125" ht="12.75" customHeight="1">
      <c r="A125" s="18"/>
      <c r="B125" s="56"/>
      <c r="C125" s="57"/>
      <c r="D125" s="62"/>
      <c r="E125" s="63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13">
        <f t="shared" si="26"/>
        <v>0</v>
      </c>
    </row>
    <row r="126" ht="12.75" customHeight="1">
      <c r="A126" s="18"/>
      <c r="B126" s="56"/>
      <c r="C126" s="57"/>
      <c r="D126" s="62"/>
      <c r="E126" s="63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13">
        <f t="shared" si="26"/>
        <v>0</v>
      </c>
    </row>
    <row r="127" ht="12.75" customHeight="1">
      <c r="A127" s="19" t="s">
        <v>15</v>
      </c>
      <c r="B127" s="47" t="s">
        <v>47</v>
      </c>
      <c r="C127" s="15"/>
      <c r="D127" s="16"/>
      <c r="E127" s="13">
        <f t="shared" ref="E127:P127" si="27">SUM(E117:E126)</f>
        <v>1</v>
      </c>
      <c r="F127" s="13">
        <f t="shared" si="27"/>
        <v>0</v>
      </c>
      <c r="G127" s="13">
        <f t="shared" si="27"/>
        <v>0</v>
      </c>
      <c r="H127" s="13">
        <f t="shared" si="27"/>
        <v>0</v>
      </c>
      <c r="I127" s="13">
        <f t="shared" si="27"/>
        <v>0</v>
      </c>
      <c r="J127" s="13">
        <f t="shared" si="27"/>
        <v>0</v>
      </c>
      <c r="K127" s="13">
        <f t="shared" si="27"/>
        <v>0</v>
      </c>
      <c r="L127" s="13">
        <f t="shared" si="27"/>
        <v>0</v>
      </c>
      <c r="M127" s="13">
        <f t="shared" si="27"/>
        <v>0</v>
      </c>
      <c r="N127" s="13">
        <f t="shared" si="27"/>
        <v>0</v>
      </c>
      <c r="O127" s="13">
        <f t="shared" si="27"/>
        <v>0</v>
      </c>
      <c r="P127" s="13">
        <f t="shared" si="27"/>
        <v>1</v>
      </c>
    </row>
    <row r="128" ht="12.75" customHeight="1">
      <c r="A128" s="24"/>
      <c r="B128" s="15"/>
      <c r="C128" s="15"/>
      <c r="D128" s="15"/>
      <c r="E128" s="16"/>
      <c r="F128" s="84"/>
      <c r="G128" s="84"/>
      <c r="H128" s="84"/>
      <c r="I128" s="84"/>
      <c r="J128" s="84"/>
      <c r="K128" s="84"/>
      <c r="L128" s="84"/>
      <c r="M128" s="84"/>
      <c r="N128" s="84"/>
      <c r="O128" s="84"/>
      <c r="P128" s="84"/>
    </row>
    <row r="129" ht="12.75" customHeight="1">
      <c r="A129" s="30" t="s">
        <v>37</v>
      </c>
      <c r="B129" s="47" t="s">
        <v>95</v>
      </c>
      <c r="C129" s="48" t="s">
        <v>96</v>
      </c>
      <c r="D129" s="16"/>
      <c r="E129" s="19">
        <v>1.0</v>
      </c>
      <c r="F129" s="19">
        <v>0.0</v>
      </c>
      <c r="G129" s="19">
        <v>0.0</v>
      </c>
      <c r="H129" s="19">
        <v>0.0</v>
      </c>
      <c r="I129" s="19">
        <v>0.0</v>
      </c>
      <c r="J129" s="19">
        <v>0.0</v>
      </c>
      <c r="K129" s="19">
        <v>0.0</v>
      </c>
      <c r="L129" s="19">
        <v>0.0</v>
      </c>
      <c r="M129" s="19">
        <v>0.0</v>
      </c>
      <c r="N129" s="19">
        <v>0.0</v>
      </c>
      <c r="O129" s="19">
        <v>0.0</v>
      </c>
      <c r="P129" s="13">
        <f t="shared" ref="P129:P138" si="28">SUM(E129:O129)</f>
        <v>1</v>
      </c>
    </row>
    <row r="130" ht="12.75" customHeight="1">
      <c r="A130" s="30" t="s">
        <v>39</v>
      </c>
      <c r="B130" s="55">
        <v>1.0</v>
      </c>
      <c r="C130" s="50" t="s">
        <v>97</v>
      </c>
      <c r="D130" s="59"/>
      <c r="E130" s="19">
        <v>0.0</v>
      </c>
      <c r="F130" s="19">
        <v>0.0</v>
      </c>
      <c r="G130" s="19">
        <v>0.0</v>
      </c>
      <c r="H130" s="19">
        <v>0.0</v>
      </c>
      <c r="I130" s="19">
        <v>0.0</v>
      </c>
      <c r="J130" s="19">
        <v>1.0</v>
      </c>
      <c r="K130" s="19">
        <v>0.0</v>
      </c>
      <c r="L130" s="19">
        <v>0.0</v>
      </c>
      <c r="M130" s="19">
        <v>0.0</v>
      </c>
      <c r="N130" s="19">
        <v>0.0</v>
      </c>
      <c r="O130" s="19">
        <v>0.0</v>
      </c>
      <c r="P130" s="13">
        <f t="shared" si="28"/>
        <v>1</v>
      </c>
    </row>
    <row r="131" ht="12.75" customHeight="1">
      <c r="A131" s="18"/>
      <c r="B131" s="55">
        <v>2.0</v>
      </c>
      <c r="C131" s="50" t="s">
        <v>98</v>
      </c>
      <c r="D131" s="59"/>
      <c r="E131" s="19">
        <v>0.0</v>
      </c>
      <c r="F131" s="19">
        <v>0.0</v>
      </c>
      <c r="G131" s="19">
        <v>0.0</v>
      </c>
      <c r="H131" s="19">
        <v>1.0</v>
      </c>
      <c r="I131" s="19">
        <v>0.0</v>
      </c>
      <c r="J131" s="19">
        <v>0.0</v>
      </c>
      <c r="K131" s="19">
        <v>0.0</v>
      </c>
      <c r="L131" s="19">
        <v>0.0</v>
      </c>
      <c r="M131" s="19">
        <v>0.0</v>
      </c>
      <c r="N131" s="19">
        <v>1.0</v>
      </c>
      <c r="O131" s="19">
        <v>0.0</v>
      </c>
      <c r="P131" s="13">
        <f t="shared" si="28"/>
        <v>2</v>
      </c>
    </row>
    <row r="132" ht="12.75" customHeight="1">
      <c r="A132" s="18"/>
      <c r="B132" s="55">
        <v>3.0</v>
      </c>
      <c r="C132" s="50" t="s">
        <v>99</v>
      </c>
      <c r="D132" s="59"/>
      <c r="E132" s="19">
        <v>0.0</v>
      </c>
      <c r="F132" s="19">
        <v>0.0</v>
      </c>
      <c r="G132" s="19">
        <v>0.0</v>
      </c>
      <c r="H132" s="19">
        <v>0.0</v>
      </c>
      <c r="I132" s="19">
        <v>0.0</v>
      </c>
      <c r="J132" s="19">
        <v>0.0</v>
      </c>
      <c r="K132" s="19">
        <v>0.0</v>
      </c>
      <c r="L132" s="19">
        <v>0.0</v>
      </c>
      <c r="M132" s="19">
        <v>1.0</v>
      </c>
      <c r="N132" s="19">
        <v>0.0</v>
      </c>
      <c r="O132" s="19">
        <v>0.0</v>
      </c>
      <c r="P132" s="13">
        <f t="shared" si="28"/>
        <v>1</v>
      </c>
    </row>
    <row r="133" ht="12.75" customHeight="1">
      <c r="A133" s="18"/>
      <c r="B133" s="55">
        <v>4.0</v>
      </c>
      <c r="C133" s="50" t="s">
        <v>100</v>
      </c>
      <c r="D133" s="59"/>
      <c r="E133" s="19">
        <v>0.0</v>
      </c>
      <c r="F133" s="19">
        <v>0.0</v>
      </c>
      <c r="G133" s="19">
        <v>0.0</v>
      </c>
      <c r="H133" s="19">
        <v>0.0</v>
      </c>
      <c r="I133" s="19">
        <v>0.0</v>
      </c>
      <c r="J133" s="19">
        <v>0.0</v>
      </c>
      <c r="K133" s="19">
        <v>0.0</v>
      </c>
      <c r="L133" s="19">
        <v>0.0</v>
      </c>
      <c r="M133" s="19">
        <v>0.0</v>
      </c>
      <c r="N133" s="19">
        <v>0.0</v>
      </c>
      <c r="O133" s="19">
        <v>0.0</v>
      </c>
      <c r="P133" s="13">
        <f t="shared" si="28"/>
        <v>0</v>
      </c>
    </row>
    <row r="134" ht="12.75" customHeight="1">
      <c r="A134" s="18"/>
      <c r="B134" s="55">
        <v>5.0</v>
      </c>
      <c r="C134" s="50" t="s">
        <v>101</v>
      </c>
      <c r="D134" s="59"/>
      <c r="E134" s="19">
        <v>0.0</v>
      </c>
      <c r="F134" s="19">
        <v>0.0</v>
      </c>
      <c r="G134" s="19">
        <v>0.0</v>
      </c>
      <c r="H134" s="19">
        <v>0.0</v>
      </c>
      <c r="I134" s="19">
        <v>0.0</v>
      </c>
      <c r="J134" s="19">
        <v>0.0</v>
      </c>
      <c r="K134" s="19">
        <v>0.0</v>
      </c>
      <c r="L134" s="19">
        <v>0.0</v>
      </c>
      <c r="M134" s="19">
        <v>0.0</v>
      </c>
      <c r="N134" s="19">
        <v>0.0</v>
      </c>
      <c r="O134" s="19">
        <v>0.0</v>
      </c>
      <c r="P134" s="13">
        <f t="shared" si="28"/>
        <v>0</v>
      </c>
    </row>
    <row r="135" ht="12.75" customHeight="1">
      <c r="A135" s="18"/>
      <c r="B135" s="55">
        <v>6.0</v>
      </c>
      <c r="C135" s="50" t="s">
        <v>102</v>
      </c>
      <c r="D135" s="60"/>
      <c r="E135" s="19">
        <v>0.0</v>
      </c>
      <c r="F135" s="19">
        <v>0.0</v>
      </c>
      <c r="G135" s="19">
        <v>0.0</v>
      </c>
      <c r="H135" s="19">
        <v>0.0</v>
      </c>
      <c r="I135" s="19">
        <v>0.0</v>
      </c>
      <c r="J135" s="19">
        <v>0.0</v>
      </c>
      <c r="K135" s="19">
        <v>0.0</v>
      </c>
      <c r="L135" s="19">
        <v>0.0</v>
      </c>
      <c r="M135" s="19">
        <v>0.0</v>
      </c>
      <c r="N135" s="19">
        <v>0.0</v>
      </c>
      <c r="O135" s="19">
        <v>0.0</v>
      </c>
      <c r="P135" s="13">
        <f t="shared" si="28"/>
        <v>0</v>
      </c>
    </row>
    <row r="136" ht="12.75" customHeight="1">
      <c r="A136" s="18"/>
      <c r="B136" s="55">
        <v>7.0</v>
      </c>
      <c r="C136" s="50" t="s">
        <v>103</v>
      </c>
      <c r="D136" s="59"/>
      <c r="E136" s="19">
        <v>0.0</v>
      </c>
      <c r="F136" s="19">
        <v>0.0</v>
      </c>
      <c r="G136" s="19">
        <v>0.0</v>
      </c>
      <c r="H136" s="19">
        <v>0.0</v>
      </c>
      <c r="I136" s="19">
        <v>0.0</v>
      </c>
      <c r="J136" s="19">
        <v>0.0</v>
      </c>
      <c r="K136" s="19">
        <v>0.0</v>
      </c>
      <c r="L136" s="19">
        <v>0.0</v>
      </c>
      <c r="M136" s="19">
        <v>0.0</v>
      </c>
      <c r="N136" s="19">
        <v>0.0</v>
      </c>
      <c r="O136" s="19">
        <v>0.0</v>
      </c>
      <c r="P136" s="13">
        <f t="shared" si="28"/>
        <v>0</v>
      </c>
    </row>
    <row r="137" ht="12.75" customHeight="1">
      <c r="A137" s="18"/>
      <c r="B137" s="56"/>
      <c r="C137" s="57"/>
      <c r="D137" s="61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3">
        <f t="shared" si="28"/>
        <v>0</v>
      </c>
    </row>
    <row r="138" ht="12.75" customHeight="1">
      <c r="A138" s="18"/>
      <c r="B138" s="56"/>
      <c r="C138" s="57"/>
      <c r="D138" s="61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3">
        <f t="shared" si="28"/>
        <v>0</v>
      </c>
    </row>
    <row r="139" ht="12.75" customHeight="1">
      <c r="A139" s="19" t="s">
        <v>15</v>
      </c>
      <c r="B139" s="47" t="s">
        <v>47</v>
      </c>
      <c r="C139" s="15"/>
      <c r="D139" s="16"/>
      <c r="E139" s="13">
        <f t="shared" ref="E139:P139" si="29">SUM(E129:E138)</f>
        <v>1</v>
      </c>
      <c r="F139" s="13">
        <f t="shared" si="29"/>
        <v>0</v>
      </c>
      <c r="G139" s="13">
        <f t="shared" si="29"/>
        <v>0</v>
      </c>
      <c r="H139" s="13">
        <f t="shared" si="29"/>
        <v>1</v>
      </c>
      <c r="I139" s="13">
        <f t="shared" si="29"/>
        <v>0</v>
      </c>
      <c r="J139" s="13">
        <f t="shared" si="29"/>
        <v>1</v>
      </c>
      <c r="K139" s="13">
        <f t="shared" si="29"/>
        <v>0</v>
      </c>
      <c r="L139" s="13">
        <f t="shared" si="29"/>
        <v>0</v>
      </c>
      <c r="M139" s="13">
        <f t="shared" si="29"/>
        <v>1</v>
      </c>
      <c r="N139" s="13">
        <f t="shared" si="29"/>
        <v>1</v>
      </c>
      <c r="O139" s="13">
        <f t="shared" si="29"/>
        <v>0</v>
      </c>
      <c r="P139" s="13">
        <f t="shared" si="29"/>
        <v>5</v>
      </c>
    </row>
    <row r="140" ht="12.75" customHeight="1">
      <c r="A140" s="24"/>
      <c r="B140" s="15"/>
      <c r="C140" s="15"/>
      <c r="D140" s="15"/>
      <c r="E140" s="16"/>
      <c r="F140" s="84"/>
      <c r="G140" s="84"/>
      <c r="H140" s="84"/>
      <c r="I140" s="84"/>
      <c r="J140" s="84"/>
      <c r="K140" s="84"/>
      <c r="L140" s="84"/>
      <c r="M140" s="84"/>
      <c r="N140" s="84"/>
      <c r="O140" s="84"/>
      <c r="P140" s="84"/>
    </row>
    <row r="141" ht="12.75" customHeight="1">
      <c r="A141" s="30" t="s">
        <v>37</v>
      </c>
      <c r="B141" s="47" t="s">
        <v>104</v>
      </c>
      <c r="C141" s="48" t="s">
        <v>105</v>
      </c>
      <c r="D141" s="16"/>
      <c r="E141" s="19">
        <v>0.0</v>
      </c>
      <c r="F141" s="19">
        <v>0.0</v>
      </c>
      <c r="G141" s="19">
        <v>0.0</v>
      </c>
      <c r="H141" s="19">
        <v>0.0</v>
      </c>
      <c r="I141" s="19">
        <v>0.0</v>
      </c>
      <c r="J141" s="19">
        <v>0.0</v>
      </c>
      <c r="K141" s="19">
        <v>0.0</v>
      </c>
      <c r="L141" s="19">
        <v>0.0</v>
      </c>
      <c r="M141" s="19">
        <v>0.0</v>
      </c>
      <c r="N141" s="19">
        <v>0.0</v>
      </c>
      <c r="O141" s="19">
        <v>0.0</v>
      </c>
      <c r="P141" s="13">
        <f t="shared" ref="P141:P150" si="30">SUM(E141:O141)</f>
        <v>0</v>
      </c>
    </row>
    <row r="142" ht="12.75" customHeight="1">
      <c r="A142" s="30" t="s">
        <v>39</v>
      </c>
      <c r="B142" s="55">
        <v>1.0</v>
      </c>
      <c r="C142" s="50" t="s">
        <v>106</v>
      </c>
      <c r="D142" s="60"/>
      <c r="E142" s="19">
        <v>0.0</v>
      </c>
      <c r="F142" s="19">
        <v>0.0</v>
      </c>
      <c r="G142" s="19">
        <v>0.0</v>
      </c>
      <c r="H142" s="19">
        <v>0.0</v>
      </c>
      <c r="I142" s="19">
        <v>0.0</v>
      </c>
      <c r="J142" s="19">
        <v>0.0</v>
      </c>
      <c r="K142" s="19">
        <v>0.0</v>
      </c>
      <c r="L142" s="19">
        <v>0.0</v>
      </c>
      <c r="M142" s="19">
        <v>0.0</v>
      </c>
      <c r="N142" s="19">
        <v>0.0</v>
      </c>
      <c r="O142" s="19">
        <v>0.0</v>
      </c>
      <c r="P142" s="13">
        <f t="shared" si="30"/>
        <v>0</v>
      </c>
    </row>
    <row r="143" ht="12.75" customHeight="1">
      <c r="A143" s="18"/>
      <c r="B143" s="55">
        <v>2.0</v>
      </c>
      <c r="C143" s="50" t="s">
        <v>107</v>
      </c>
      <c r="D143" s="60"/>
      <c r="E143" s="19">
        <v>0.0</v>
      </c>
      <c r="F143" s="19">
        <v>0.0</v>
      </c>
      <c r="G143" s="19">
        <v>0.0</v>
      </c>
      <c r="H143" s="19">
        <v>0.0</v>
      </c>
      <c r="I143" s="19">
        <v>0.0</v>
      </c>
      <c r="J143" s="19">
        <v>0.0</v>
      </c>
      <c r="K143" s="19">
        <v>0.0</v>
      </c>
      <c r="L143" s="19">
        <v>0.0</v>
      </c>
      <c r="M143" s="19">
        <v>0.0</v>
      </c>
      <c r="N143" s="19">
        <v>0.0</v>
      </c>
      <c r="O143" s="19">
        <v>0.0</v>
      </c>
      <c r="P143" s="13">
        <f t="shared" si="30"/>
        <v>0</v>
      </c>
    </row>
    <row r="144" ht="12.75" customHeight="1">
      <c r="A144" s="18"/>
      <c r="B144" s="55">
        <v>3.0</v>
      </c>
      <c r="C144" s="50" t="s">
        <v>108</v>
      </c>
      <c r="D144" s="60"/>
      <c r="E144" s="19">
        <v>0.0</v>
      </c>
      <c r="F144" s="19">
        <v>0.0</v>
      </c>
      <c r="G144" s="19">
        <v>0.0</v>
      </c>
      <c r="H144" s="19">
        <v>0.0</v>
      </c>
      <c r="I144" s="19">
        <v>0.0</v>
      </c>
      <c r="J144" s="19">
        <v>0.0</v>
      </c>
      <c r="K144" s="19">
        <v>1.0</v>
      </c>
      <c r="L144" s="19">
        <v>0.0</v>
      </c>
      <c r="M144" s="19">
        <v>0.0</v>
      </c>
      <c r="N144" s="19">
        <v>0.0</v>
      </c>
      <c r="O144" s="19">
        <v>0.0</v>
      </c>
      <c r="P144" s="13">
        <f t="shared" si="30"/>
        <v>1</v>
      </c>
    </row>
    <row r="145" ht="12.75" customHeight="1">
      <c r="A145" s="18"/>
      <c r="B145" s="55">
        <v>4.0</v>
      </c>
      <c r="C145" s="50" t="s">
        <v>109</v>
      </c>
      <c r="D145" s="60"/>
      <c r="E145" s="19">
        <v>0.0</v>
      </c>
      <c r="F145" s="19">
        <v>0.0</v>
      </c>
      <c r="G145" s="19">
        <v>0.0</v>
      </c>
      <c r="H145" s="19">
        <v>0.0</v>
      </c>
      <c r="I145" s="19">
        <v>0.0</v>
      </c>
      <c r="J145" s="19">
        <v>0.0</v>
      </c>
      <c r="K145" s="19">
        <v>0.0</v>
      </c>
      <c r="L145" s="19">
        <v>0.0</v>
      </c>
      <c r="M145" s="19">
        <v>0.0</v>
      </c>
      <c r="N145" s="19">
        <v>0.0</v>
      </c>
      <c r="O145" s="19">
        <v>0.0</v>
      </c>
      <c r="P145" s="13">
        <f t="shared" si="30"/>
        <v>0</v>
      </c>
    </row>
    <row r="146" ht="12.75" customHeight="1">
      <c r="A146" s="18"/>
      <c r="B146" s="55">
        <v>5.0</v>
      </c>
      <c r="C146" s="50" t="s">
        <v>110</v>
      </c>
      <c r="D146" s="60"/>
      <c r="E146" s="19">
        <v>0.0</v>
      </c>
      <c r="F146" s="19">
        <v>0.0</v>
      </c>
      <c r="G146" s="19">
        <v>0.0</v>
      </c>
      <c r="H146" s="19">
        <v>0.0</v>
      </c>
      <c r="I146" s="19">
        <v>0.0</v>
      </c>
      <c r="J146" s="19">
        <v>0.0</v>
      </c>
      <c r="K146" s="19">
        <v>0.0</v>
      </c>
      <c r="L146" s="19">
        <v>0.0</v>
      </c>
      <c r="M146" s="19">
        <v>0.0</v>
      </c>
      <c r="N146" s="19">
        <v>0.0</v>
      </c>
      <c r="O146" s="19">
        <v>0.0</v>
      </c>
      <c r="P146" s="13">
        <f t="shared" si="30"/>
        <v>0</v>
      </c>
    </row>
    <row r="147" ht="12.75" customHeight="1">
      <c r="A147" s="18"/>
      <c r="B147" s="55">
        <v>6.0</v>
      </c>
      <c r="C147" s="50" t="s">
        <v>111</v>
      </c>
      <c r="D147" s="60"/>
      <c r="E147" s="19">
        <v>0.0</v>
      </c>
      <c r="F147" s="19">
        <v>0.0</v>
      </c>
      <c r="G147" s="19">
        <v>0.0</v>
      </c>
      <c r="H147" s="19">
        <v>0.0</v>
      </c>
      <c r="I147" s="19">
        <v>0.0</v>
      </c>
      <c r="J147" s="19">
        <v>0.0</v>
      </c>
      <c r="K147" s="19">
        <v>0.0</v>
      </c>
      <c r="L147" s="19">
        <v>0.0</v>
      </c>
      <c r="M147" s="19">
        <v>0.0</v>
      </c>
      <c r="N147" s="19">
        <v>0.0</v>
      </c>
      <c r="O147" s="19">
        <v>0.0</v>
      </c>
      <c r="P147" s="13">
        <f t="shared" si="30"/>
        <v>0</v>
      </c>
    </row>
    <row r="148" ht="12.75" customHeight="1">
      <c r="A148" s="18"/>
      <c r="B148" s="55">
        <v>7.0</v>
      </c>
      <c r="C148" s="50" t="s">
        <v>112</v>
      </c>
      <c r="D148" s="60"/>
      <c r="E148" s="19">
        <v>0.0</v>
      </c>
      <c r="F148" s="19">
        <v>0.0</v>
      </c>
      <c r="G148" s="19">
        <v>0.0</v>
      </c>
      <c r="H148" s="19">
        <v>0.0</v>
      </c>
      <c r="I148" s="19">
        <v>0.0</v>
      </c>
      <c r="J148" s="19">
        <v>0.0</v>
      </c>
      <c r="K148" s="19">
        <v>0.0</v>
      </c>
      <c r="L148" s="19">
        <v>0.0</v>
      </c>
      <c r="M148" s="19">
        <v>0.0</v>
      </c>
      <c r="N148" s="19">
        <v>0.0</v>
      </c>
      <c r="O148" s="19">
        <v>0.0</v>
      </c>
      <c r="P148" s="13">
        <f t="shared" si="30"/>
        <v>0</v>
      </c>
    </row>
    <row r="149" ht="12.75" customHeight="1">
      <c r="A149" s="18"/>
      <c r="B149" s="56"/>
      <c r="C149" s="57"/>
      <c r="D149" s="62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3">
        <f t="shared" si="30"/>
        <v>0</v>
      </c>
    </row>
    <row r="150" ht="12.75" customHeight="1">
      <c r="A150" s="18"/>
      <c r="B150" s="56"/>
      <c r="C150" s="57"/>
      <c r="D150" s="62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3">
        <f t="shared" si="30"/>
        <v>0</v>
      </c>
    </row>
    <row r="151" ht="12.75" customHeight="1">
      <c r="A151" s="19" t="s">
        <v>15</v>
      </c>
      <c r="B151" s="47" t="s">
        <v>47</v>
      </c>
      <c r="C151" s="15"/>
      <c r="D151" s="16"/>
      <c r="E151" s="13">
        <f t="shared" ref="E151:P151" si="31">SUM(E141:E150)</f>
        <v>0</v>
      </c>
      <c r="F151" s="13">
        <f t="shared" si="31"/>
        <v>0</v>
      </c>
      <c r="G151" s="13">
        <f t="shared" si="31"/>
        <v>0</v>
      </c>
      <c r="H151" s="13">
        <f t="shared" si="31"/>
        <v>0</v>
      </c>
      <c r="I151" s="13">
        <f t="shared" si="31"/>
        <v>0</v>
      </c>
      <c r="J151" s="13">
        <f t="shared" si="31"/>
        <v>0</v>
      </c>
      <c r="K151" s="13">
        <f t="shared" si="31"/>
        <v>1</v>
      </c>
      <c r="L151" s="13">
        <f t="shared" si="31"/>
        <v>0</v>
      </c>
      <c r="M151" s="13">
        <f t="shared" si="31"/>
        <v>0</v>
      </c>
      <c r="N151" s="13">
        <f t="shared" si="31"/>
        <v>0</v>
      </c>
      <c r="O151" s="13">
        <f t="shared" si="31"/>
        <v>0</v>
      </c>
      <c r="P151" s="13">
        <f t="shared" si="31"/>
        <v>1</v>
      </c>
    </row>
    <row r="152" ht="12.75" customHeight="1">
      <c r="A152" s="24"/>
      <c r="B152" s="15"/>
      <c r="C152" s="15"/>
      <c r="D152" s="15"/>
      <c r="E152" s="16"/>
      <c r="F152" s="84"/>
      <c r="G152" s="84"/>
      <c r="H152" s="84"/>
      <c r="I152" s="84"/>
      <c r="J152" s="84"/>
      <c r="K152" s="84"/>
      <c r="L152" s="84"/>
      <c r="M152" s="84"/>
      <c r="N152" s="84"/>
      <c r="O152" s="84"/>
      <c r="P152" s="13"/>
    </row>
    <row r="153" ht="12.75" customHeight="1">
      <c r="A153" s="30" t="s">
        <v>37</v>
      </c>
      <c r="B153" s="17" t="s">
        <v>113</v>
      </c>
      <c r="C153" s="65" t="s">
        <v>114</v>
      </c>
      <c r="D153" s="23"/>
      <c r="E153" s="19">
        <v>0.0</v>
      </c>
      <c r="F153" s="19">
        <v>0.0</v>
      </c>
      <c r="G153" s="19">
        <v>0.0</v>
      </c>
      <c r="H153" s="19">
        <v>0.0</v>
      </c>
      <c r="I153" s="19">
        <v>0.0</v>
      </c>
      <c r="J153" s="19">
        <v>0.0</v>
      </c>
      <c r="K153" s="19">
        <v>0.0</v>
      </c>
      <c r="L153" s="19">
        <v>0.0</v>
      </c>
      <c r="M153" s="19">
        <v>1.0</v>
      </c>
      <c r="N153" s="19">
        <v>0.0</v>
      </c>
      <c r="O153" s="19">
        <v>1.0</v>
      </c>
      <c r="P153" s="13">
        <f t="shared" ref="P153:P163" si="32">SUM(E153:O153)</f>
        <v>2</v>
      </c>
    </row>
    <row r="154" ht="12.75" customHeight="1">
      <c r="A154" s="66" t="s">
        <v>39</v>
      </c>
      <c r="B154" s="55">
        <v>1.0</v>
      </c>
      <c r="C154" s="67" t="s">
        <v>115</v>
      </c>
      <c r="D154" s="60"/>
      <c r="E154" s="86">
        <v>0.0</v>
      </c>
      <c r="F154" s="19">
        <v>0.0</v>
      </c>
      <c r="G154" s="19">
        <v>0.0</v>
      </c>
      <c r="H154" s="19">
        <v>0.0</v>
      </c>
      <c r="I154" s="19">
        <v>1.0</v>
      </c>
      <c r="J154" s="19">
        <v>0.0</v>
      </c>
      <c r="K154" s="19">
        <v>0.0</v>
      </c>
      <c r="L154" s="19">
        <v>0.0</v>
      </c>
      <c r="M154" s="19">
        <v>0.0</v>
      </c>
      <c r="N154" s="19">
        <v>1.0</v>
      </c>
      <c r="O154" s="19">
        <v>0.0</v>
      </c>
      <c r="P154" s="13">
        <f t="shared" si="32"/>
        <v>2</v>
      </c>
    </row>
    <row r="155" ht="12.75" customHeight="1">
      <c r="A155" s="18"/>
      <c r="B155" s="55">
        <v>2.0</v>
      </c>
      <c r="C155" s="67" t="s">
        <v>116</v>
      </c>
      <c r="D155" s="60"/>
      <c r="E155" s="86">
        <v>0.0</v>
      </c>
      <c r="F155" s="19">
        <v>0.0</v>
      </c>
      <c r="G155" s="19">
        <v>0.0</v>
      </c>
      <c r="H155" s="19">
        <v>0.0</v>
      </c>
      <c r="I155" s="19">
        <v>0.0</v>
      </c>
      <c r="J155" s="19">
        <v>0.0</v>
      </c>
      <c r="K155" s="19">
        <v>0.0</v>
      </c>
      <c r="L155" s="19">
        <v>0.0</v>
      </c>
      <c r="M155" s="19">
        <v>0.0</v>
      </c>
      <c r="N155" s="19">
        <v>0.0</v>
      </c>
      <c r="O155" s="19">
        <v>0.0</v>
      </c>
      <c r="P155" s="13">
        <f t="shared" si="32"/>
        <v>0</v>
      </c>
    </row>
    <row r="156" ht="12.75" customHeight="1">
      <c r="A156" s="18"/>
      <c r="B156" s="55">
        <v>3.0</v>
      </c>
      <c r="C156" s="67" t="s">
        <v>117</v>
      </c>
      <c r="D156" s="60"/>
      <c r="E156" s="86">
        <v>0.0</v>
      </c>
      <c r="F156" s="19">
        <v>0.0</v>
      </c>
      <c r="G156" s="19">
        <v>0.0</v>
      </c>
      <c r="H156" s="19">
        <v>0.0</v>
      </c>
      <c r="I156" s="19">
        <v>0.0</v>
      </c>
      <c r="J156" s="19">
        <v>0.0</v>
      </c>
      <c r="K156" s="19">
        <v>0.0</v>
      </c>
      <c r="L156" s="19">
        <v>0.0</v>
      </c>
      <c r="M156" s="19">
        <v>0.0</v>
      </c>
      <c r="N156" s="19">
        <v>0.0</v>
      </c>
      <c r="O156" s="19">
        <v>0.0</v>
      </c>
      <c r="P156" s="13">
        <f t="shared" si="32"/>
        <v>0</v>
      </c>
    </row>
    <row r="157" ht="12.75" customHeight="1">
      <c r="A157" s="18"/>
      <c r="B157" s="55">
        <v>4.0</v>
      </c>
      <c r="C157" s="67" t="s">
        <v>118</v>
      </c>
      <c r="D157" s="60"/>
      <c r="E157" s="86">
        <v>0.0</v>
      </c>
      <c r="F157" s="19">
        <v>0.0</v>
      </c>
      <c r="G157" s="19">
        <v>0.0</v>
      </c>
      <c r="H157" s="19">
        <v>0.0</v>
      </c>
      <c r="I157" s="19">
        <v>0.0</v>
      </c>
      <c r="J157" s="19">
        <v>0.0</v>
      </c>
      <c r="K157" s="19">
        <v>1.0</v>
      </c>
      <c r="L157" s="19">
        <v>0.0</v>
      </c>
      <c r="M157" s="19">
        <v>0.0</v>
      </c>
      <c r="N157" s="19">
        <v>0.0</v>
      </c>
      <c r="O157" s="19">
        <v>0.0</v>
      </c>
      <c r="P157" s="13">
        <f t="shared" si="32"/>
        <v>1</v>
      </c>
    </row>
    <row r="158" ht="12.75" customHeight="1">
      <c r="A158" s="18"/>
      <c r="B158" s="56"/>
      <c r="C158" s="57"/>
      <c r="D158" s="62"/>
      <c r="E158" s="86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3">
        <f t="shared" si="32"/>
        <v>0</v>
      </c>
    </row>
    <row r="159" ht="12.75" customHeight="1">
      <c r="A159" s="18"/>
      <c r="B159" s="56"/>
      <c r="C159" s="57"/>
      <c r="D159" s="62"/>
      <c r="E159" s="86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3">
        <f t="shared" si="32"/>
        <v>0</v>
      </c>
    </row>
    <row r="160" ht="12.75" customHeight="1">
      <c r="A160" s="18"/>
      <c r="B160" s="56"/>
      <c r="C160" s="57"/>
      <c r="D160" s="62"/>
      <c r="E160" s="86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3">
        <f t="shared" si="32"/>
        <v>0</v>
      </c>
    </row>
    <row r="161" ht="12.75" customHeight="1">
      <c r="A161" s="18"/>
      <c r="B161" s="56"/>
      <c r="C161" s="68"/>
      <c r="D161" s="62"/>
      <c r="E161" s="86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3">
        <f t="shared" si="32"/>
        <v>0</v>
      </c>
    </row>
    <row r="162" ht="12.75" customHeight="1">
      <c r="A162" s="18"/>
      <c r="B162" s="56"/>
      <c r="C162" s="68"/>
      <c r="D162" s="62"/>
      <c r="E162" s="86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3">
        <f t="shared" si="32"/>
        <v>0</v>
      </c>
    </row>
    <row r="163" ht="12.75" customHeight="1">
      <c r="A163" s="19" t="s">
        <v>15</v>
      </c>
      <c r="B163" s="69" t="s">
        <v>47</v>
      </c>
      <c r="C163" s="44"/>
      <c r="D163" s="28"/>
      <c r="E163" s="13">
        <f t="shared" ref="E163:O163" si="33">SUM(E153:E162)</f>
        <v>0</v>
      </c>
      <c r="F163" s="13">
        <f t="shared" si="33"/>
        <v>0</v>
      </c>
      <c r="G163" s="13">
        <f t="shared" si="33"/>
        <v>0</v>
      </c>
      <c r="H163" s="13">
        <f t="shared" si="33"/>
        <v>0</v>
      </c>
      <c r="I163" s="13">
        <f t="shared" si="33"/>
        <v>1</v>
      </c>
      <c r="J163" s="13">
        <f t="shared" si="33"/>
        <v>0</v>
      </c>
      <c r="K163" s="13">
        <f t="shared" si="33"/>
        <v>1</v>
      </c>
      <c r="L163" s="13">
        <f t="shared" si="33"/>
        <v>0</v>
      </c>
      <c r="M163" s="13">
        <f t="shared" si="33"/>
        <v>1</v>
      </c>
      <c r="N163" s="13">
        <f t="shared" si="33"/>
        <v>1</v>
      </c>
      <c r="O163" s="13">
        <f t="shared" si="33"/>
        <v>1</v>
      </c>
      <c r="P163" s="13">
        <f t="shared" si="32"/>
        <v>5</v>
      </c>
    </row>
    <row r="164" ht="12.75" customHeight="1">
      <c r="A164" s="24"/>
      <c r="B164" s="15"/>
      <c r="C164" s="15"/>
      <c r="D164" s="15"/>
      <c r="E164" s="16"/>
      <c r="F164" s="84"/>
      <c r="G164" s="84"/>
      <c r="H164" s="84"/>
      <c r="I164" s="84"/>
      <c r="J164" s="84"/>
      <c r="K164" s="84"/>
      <c r="L164" s="84"/>
      <c r="M164" s="84"/>
      <c r="N164" s="84"/>
      <c r="O164" s="84"/>
      <c r="P164" s="84"/>
    </row>
    <row r="165" ht="12.75" customHeight="1">
      <c r="A165" s="30" t="s">
        <v>37</v>
      </c>
      <c r="B165" s="47" t="s">
        <v>119</v>
      </c>
      <c r="C165" s="48" t="s">
        <v>120</v>
      </c>
      <c r="D165" s="16"/>
      <c r="E165" s="19">
        <v>0.0</v>
      </c>
      <c r="F165" s="19">
        <v>0.0</v>
      </c>
      <c r="G165" s="19">
        <v>0.0</v>
      </c>
      <c r="H165" s="19">
        <v>0.0</v>
      </c>
      <c r="I165" s="19">
        <v>0.0</v>
      </c>
      <c r="J165" s="19">
        <v>0.0</v>
      </c>
      <c r="K165" s="19">
        <v>1.0</v>
      </c>
      <c r="L165" s="19">
        <v>0.0</v>
      </c>
      <c r="M165" s="19">
        <v>1.0</v>
      </c>
      <c r="N165" s="19">
        <v>0.0</v>
      </c>
      <c r="O165" s="19">
        <v>0.0</v>
      </c>
      <c r="P165" s="13">
        <f t="shared" ref="P165:P174" si="34">SUM(E165:O165)</f>
        <v>2</v>
      </c>
    </row>
    <row r="166" ht="12.75" customHeight="1">
      <c r="A166" s="30" t="s">
        <v>39</v>
      </c>
      <c r="B166" s="55">
        <v>1.0</v>
      </c>
      <c r="C166" s="50" t="s">
        <v>121</v>
      </c>
      <c r="D166" s="60"/>
      <c r="E166" s="19">
        <v>1.0</v>
      </c>
      <c r="F166" s="19">
        <v>0.0</v>
      </c>
      <c r="G166" s="19">
        <v>0.0</v>
      </c>
      <c r="H166" s="19">
        <v>0.0</v>
      </c>
      <c r="I166" s="19">
        <v>0.0</v>
      </c>
      <c r="J166" s="19">
        <v>0.0</v>
      </c>
      <c r="K166" s="19">
        <v>0.0</v>
      </c>
      <c r="L166" s="19">
        <v>0.0</v>
      </c>
      <c r="M166" s="19">
        <v>0.0</v>
      </c>
      <c r="N166" s="19">
        <v>0.0</v>
      </c>
      <c r="O166" s="19">
        <v>0.0</v>
      </c>
      <c r="P166" s="13">
        <f t="shared" si="34"/>
        <v>1</v>
      </c>
    </row>
    <row r="167" ht="12.75" customHeight="1">
      <c r="A167" s="18"/>
      <c r="B167" s="55">
        <v>2.0</v>
      </c>
      <c r="C167" s="50" t="s">
        <v>122</v>
      </c>
      <c r="D167" s="60"/>
      <c r="E167" s="19">
        <v>0.0</v>
      </c>
      <c r="F167" s="19">
        <v>0.0</v>
      </c>
      <c r="G167" s="19">
        <v>0.0</v>
      </c>
      <c r="H167" s="19">
        <v>0.0</v>
      </c>
      <c r="I167" s="19">
        <v>0.0</v>
      </c>
      <c r="J167" s="19">
        <v>0.0</v>
      </c>
      <c r="K167" s="19">
        <v>0.0</v>
      </c>
      <c r="L167" s="19">
        <v>0.0</v>
      </c>
      <c r="M167" s="19">
        <v>0.0</v>
      </c>
      <c r="N167" s="19">
        <v>0.0</v>
      </c>
      <c r="O167" s="19">
        <v>0.0</v>
      </c>
      <c r="P167" s="13">
        <f t="shared" si="34"/>
        <v>0</v>
      </c>
    </row>
    <row r="168" ht="12.75" customHeight="1">
      <c r="A168" s="18"/>
      <c r="B168" s="55">
        <v>3.0</v>
      </c>
      <c r="C168" s="50" t="s">
        <v>123</v>
      </c>
      <c r="D168" s="60"/>
      <c r="E168" s="19">
        <v>0.0</v>
      </c>
      <c r="F168" s="19">
        <v>0.0</v>
      </c>
      <c r="G168" s="19">
        <v>0.0</v>
      </c>
      <c r="H168" s="19">
        <v>0.0</v>
      </c>
      <c r="I168" s="19">
        <v>0.0</v>
      </c>
      <c r="J168" s="19">
        <v>0.0</v>
      </c>
      <c r="K168" s="19">
        <v>0.0</v>
      </c>
      <c r="L168" s="19">
        <v>0.0</v>
      </c>
      <c r="M168" s="19">
        <v>0.0</v>
      </c>
      <c r="N168" s="19">
        <v>0.0</v>
      </c>
      <c r="O168" s="19">
        <v>0.0</v>
      </c>
      <c r="P168" s="13">
        <f t="shared" si="34"/>
        <v>0</v>
      </c>
    </row>
    <row r="169" ht="12.75" customHeight="1">
      <c r="A169" s="18"/>
      <c r="B169" s="55">
        <v>4.0</v>
      </c>
      <c r="C169" s="50" t="s">
        <v>124</v>
      </c>
      <c r="D169" s="60"/>
      <c r="E169" s="19">
        <v>0.0</v>
      </c>
      <c r="F169" s="19">
        <v>0.0</v>
      </c>
      <c r="G169" s="19">
        <v>0.0</v>
      </c>
      <c r="H169" s="19">
        <v>0.0</v>
      </c>
      <c r="I169" s="19">
        <v>0.0</v>
      </c>
      <c r="J169" s="19">
        <v>0.0</v>
      </c>
      <c r="K169" s="19">
        <v>0.0</v>
      </c>
      <c r="L169" s="19">
        <v>0.0</v>
      </c>
      <c r="M169" s="19">
        <v>0.0</v>
      </c>
      <c r="N169" s="19">
        <v>0.0</v>
      </c>
      <c r="O169" s="19">
        <v>0.0</v>
      </c>
      <c r="P169" s="13">
        <f t="shared" si="34"/>
        <v>0</v>
      </c>
    </row>
    <row r="170" ht="12.75" customHeight="1">
      <c r="A170" s="18"/>
      <c r="B170" s="55">
        <v>5.0</v>
      </c>
      <c r="C170" s="50" t="s">
        <v>125</v>
      </c>
      <c r="D170" s="60"/>
      <c r="E170" s="19">
        <v>0.0</v>
      </c>
      <c r="F170" s="19">
        <v>0.0</v>
      </c>
      <c r="G170" s="19">
        <v>0.0</v>
      </c>
      <c r="H170" s="19">
        <v>0.0</v>
      </c>
      <c r="I170" s="19">
        <v>0.0</v>
      </c>
      <c r="J170" s="19">
        <v>0.0</v>
      </c>
      <c r="K170" s="19">
        <v>0.0</v>
      </c>
      <c r="L170" s="19">
        <v>0.0</v>
      </c>
      <c r="M170" s="19">
        <v>0.0</v>
      </c>
      <c r="N170" s="19">
        <v>0.0</v>
      </c>
      <c r="O170" s="19">
        <v>0.0</v>
      </c>
      <c r="P170" s="13">
        <f t="shared" si="34"/>
        <v>0</v>
      </c>
    </row>
    <row r="171" ht="12.75" customHeight="1">
      <c r="A171" s="18"/>
      <c r="B171" s="55">
        <v>6.0</v>
      </c>
      <c r="C171" s="50" t="s">
        <v>126</v>
      </c>
      <c r="D171" s="60"/>
      <c r="E171" s="19">
        <v>0.0</v>
      </c>
      <c r="F171" s="19">
        <v>0.0</v>
      </c>
      <c r="G171" s="19">
        <v>0.0</v>
      </c>
      <c r="H171" s="19">
        <v>0.0</v>
      </c>
      <c r="I171" s="19">
        <v>0.0</v>
      </c>
      <c r="J171" s="19">
        <v>0.0</v>
      </c>
      <c r="K171" s="19">
        <v>0.0</v>
      </c>
      <c r="L171" s="19">
        <v>0.0</v>
      </c>
      <c r="M171" s="19">
        <v>0.0</v>
      </c>
      <c r="N171" s="19">
        <v>0.0</v>
      </c>
      <c r="O171" s="19">
        <v>0.0</v>
      </c>
      <c r="P171" s="13">
        <f t="shared" si="34"/>
        <v>0</v>
      </c>
    </row>
    <row r="172" ht="12.75" customHeight="1">
      <c r="A172" s="18"/>
      <c r="B172" s="55">
        <v>7.0</v>
      </c>
      <c r="C172" s="50" t="s">
        <v>127</v>
      </c>
      <c r="D172" s="60"/>
      <c r="E172" s="19">
        <v>0.0</v>
      </c>
      <c r="F172" s="19">
        <v>0.0</v>
      </c>
      <c r="G172" s="19">
        <v>0.0</v>
      </c>
      <c r="H172" s="19">
        <v>0.0</v>
      </c>
      <c r="I172" s="19">
        <v>0.0</v>
      </c>
      <c r="J172" s="19">
        <v>0.0</v>
      </c>
      <c r="K172" s="19">
        <v>0.0</v>
      </c>
      <c r="L172" s="19">
        <v>0.0</v>
      </c>
      <c r="M172" s="19">
        <v>0.0</v>
      </c>
      <c r="N172" s="19">
        <v>0.0</v>
      </c>
      <c r="O172" s="19">
        <v>0.0</v>
      </c>
      <c r="P172" s="13">
        <f t="shared" si="34"/>
        <v>0</v>
      </c>
    </row>
    <row r="173" ht="12.75" customHeight="1">
      <c r="A173" s="18"/>
      <c r="B173" s="56"/>
      <c r="C173" s="57"/>
      <c r="D173" s="62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3">
        <f t="shared" si="34"/>
        <v>0</v>
      </c>
    </row>
    <row r="174" ht="12.75" customHeight="1">
      <c r="A174" s="18"/>
      <c r="B174" s="56"/>
      <c r="C174" s="57"/>
      <c r="D174" s="62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3">
        <f t="shared" si="34"/>
        <v>0</v>
      </c>
    </row>
    <row r="175" ht="12.75" customHeight="1">
      <c r="A175" s="19" t="s">
        <v>15</v>
      </c>
      <c r="B175" s="47" t="s">
        <v>47</v>
      </c>
      <c r="C175" s="15"/>
      <c r="D175" s="16"/>
      <c r="E175" s="13">
        <f t="shared" ref="E175:P175" si="35">SUM(E165:E174)</f>
        <v>1</v>
      </c>
      <c r="F175" s="13">
        <f t="shared" si="35"/>
        <v>0</v>
      </c>
      <c r="G175" s="13">
        <f t="shared" si="35"/>
        <v>0</v>
      </c>
      <c r="H175" s="13">
        <f t="shared" si="35"/>
        <v>0</v>
      </c>
      <c r="I175" s="13">
        <f t="shared" si="35"/>
        <v>0</v>
      </c>
      <c r="J175" s="13">
        <f t="shared" si="35"/>
        <v>0</v>
      </c>
      <c r="K175" s="13">
        <f t="shared" si="35"/>
        <v>1</v>
      </c>
      <c r="L175" s="13">
        <f t="shared" si="35"/>
        <v>0</v>
      </c>
      <c r="M175" s="13">
        <f t="shared" si="35"/>
        <v>1</v>
      </c>
      <c r="N175" s="13">
        <f t="shared" si="35"/>
        <v>0</v>
      </c>
      <c r="O175" s="13">
        <f t="shared" si="35"/>
        <v>0</v>
      </c>
      <c r="P175" s="13">
        <f t="shared" si="35"/>
        <v>3</v>
      </c>
    </row>
    <row r="176" ht="12.75" customHeight="1">
      <c r="A176" s="24"/>
      <c r="B176" s="15"/>
      <c r="C176" s="15"/>
      <c r="D176" s="15"/>
      <c r="E176" s="16"/>
      <c r="F176" s="84"/>
      <c r="G176" s="84"/>
      <c r="H176" s="84"/>
      <c r="I176" s="84"/>
      <c r="J176" s="84"/>
      <c r="K176" s="84"/>
      <c r="L176" s="84"/>
      <c r="M176" s="84"/>
      <c r="N176" s="84"/>
      <c r="O176" s="84"/>
      <c r="P176" s="84"/>
    </row>
    <row r="177" ht="12.75" customHeight="1">
      <c r="A177" s="30" t="s">
        <v>37</v>
      </c>
      <c r="B177" s="47" t="s">
        <v>128</v>
      </c>
      <c r="C177" s="48" t="s">
        <v>129</v>
      </c>
      <c r="D177" s="16"/>
      <c r="E177" s="19">
        <v>0.0</v>
      </c>
      <c r="F177" s="19">
        <v>0.0</v>
      </c>
      <c r="G177" s="19">
        <v>0.0</v>
      </c>
      <c r="H177" s="19">
        <v>0.0</v>
      </c>
      <c r="I177" s="19">
        <v>0.0</v>
      </c>
      <c r="J177" s="19">
        <v>0.0</v>
      </c>
      <c r="K177" s="19">
        <v>0.0</v>
      </c>
      <c r="L177" s="19">
        <v>0.0</v>
      </c>
      <c r="M177" s="19">
        <v>0.0</v>
      </c>
      <c r="N177" s="19">
        <v>1.0</v>
      </c>
      <c r="O177" s="19">
        <v>0.0</v>
      </c>
      <c r="P177" s="13">
        <f t="shared" ref="P177:P186" si="36">SUM(E177:O177)</f>
        <v>1</v>
      </c>
    </row>
    <row r="178" ht="12.75" customHeight="1">
      <c r="A178" s="30" t="s">
        <v>39</v>
      </c>
      <c r="B178" s="55">
        <v>1.0</v>
      </c>
      <c r="C178" s="50" t="s">
        <v>130</v>
      </c>
      <c r="D178" s="60"/>
      <c r="E178" s="19">
        <v>0.0</v>
      </c>
      <c r="F178" s="19">
        <v>0.0</v>
      </c>
      <c r="G178" s="19">
        <v>0.0</v>
      </c>
      <c r="H178" s="19">
        <v>0.0</v>
      </c>
      <c r="I178" s="19">
        <v>0.0</v>
      </c>
      <c r="J178" s="19">
        <v>0.0</v>
      </c>
      <c r="K178" s="19">
        <v>0.0</v>
      </c>
      <c r="L178" s="19">
        <v>0.0</v>
      </c>
      <c r="M178" s="19">
        <v>1.0</v>
      </c>
      <c r="N178" s="19">
        <v>1.0</v>
      </c>
      <c r="O178" s="19">
        <v>4.0</v>
      </c>
      <c r="P178" s="13">
        <f t="shared" si="36"/>
        <v>6</v>
      </c>
    </row>
    <row r="179" ht="12.75" customHeight="1">
      <c r="A179" s="18"/>
      <c r="B179" s="55">
        <v>2.0</v>
      </c>
      <c r="C179" s="50" t="s">
        <v>131</v>
      </c>
      <c r="D179" s="60"/>
      <c r="E179" s="19">
        <v>0.0</v>
      </c>
      <c r="F179" s="19">
        <v>0.0</v>
      </c>
      <c r="G179" s="19">
        <v>0.0</v>
      </c>
      <c r="H179" s="19">
        <v>0.0</v>
      </c>
      <c r="I179" s="19">
        <v>0.0</v>
      </c>
      <c r="J179" s="19">
        <v>0.0</v>
      </c>
      <c r="K179" s="19">
        <v>0.0</v>
      </c>
      <c r="L179" s="19">
        <v>0.0</v>
      </c>
      <c r="M179" s="19">
        <v>0.0</v>
      </c>
      <c r="N179" s="19">
        <v>0.0</v>
      </c>
      <c r="O179" s="19">
        <v>0.0</v>
      </c>
      <c r="P179" s="13">
        <f t="shared" si="36"/>
        <v>0</v>
      </c>
    </row>
    <row r="180" ht="12.75" customHeight="1">
      <c r="A180" s="18"/>
      <c r="B180" s="55">
        <v>3.0</v>
      </c>
      <c r="C180" s="50" t="s">
        <v>132</v>
      </c>
      <c r="D180" s="60"/>
      <c r="E180" s="19">
        <v>0.0</v>
      </c>
      <c r="F180" s="19">
        <v>0.0</v>
      </c>
      <c r="G180" s="19">
        <v>0.0</v>
      </c>
      <c r="H180" s="19">
        <v>0.0</v>
      </c>
      <c r="I180" s="19">
        <v>0.0</v>
      </c>
      <c r="J180" s="19">
        <v>0.0</v>
      </c>
      <c r="K180" s="19">
        <v>0.0</v>
      </c>
      <c r="L180" s="19">
        <v>0.0</v>
      </c>
      <c r="M180" s="19">
        <v>0.0</v>
      </c>
      <c r="N180" s="19">
        <v>0.0</v>
      </c>
      <c r="O180" s="19">
        <v>0.0</v>
      </c>
      <c r="P180" s="13">
        <f t="shared" si="36"/>
        <v>0</v>
      </c>
    </row>
    <row r="181" ht="12.75" customHeight="1">
      <c r="A181" s="18"/>
      <c r="B181" s="55">
        <v>4.0</v>
      </c>
      <c r="C181" s="50" t="s">
        <v>133</v>
      </c>
      <c r="D181" s="60"/>
      <c r="E181" s="19">
        <v>0.0</v>
      </c>
      <c r="F181" s="19">
        <v>0.0</v>
      </c>
      <c r="G181" s="19">
        <v>0.0</v>
      </c>
      <c r="H181" s="19">
        <v>0.0</v>
      </c>
      <c r="I181" s="19">
        <v>0.0</v>
      </c>
      <c r="J181" s="19">
        <v>0.0</v>
      </c>
      <c r="K181" s="19">
        <v>1.0</v>
      </c>
      <c r="L181" s="19">
        <v>0.0</v>
      </c>
      <c r="M181" s="19">
        <v>0.0</v>
      </c>
      <c r="N181" s="19">
        <v>0.0</v>
      </c>
      <c r="O181" s="19">
        <v>0.0</v>
      </c>
      <c r="P181" s="13">
        <f t="shared" si="36"/>
        <v>1</v>
      </c>
    </row>
    <row r="182" ht="12.75" customHeight="1">
      <c r="A182" s="18"/>
      <c r="B182" s="55">
        <v>5.0</v>
      </c>
      <c r="C182" s="50" t="s">
        <v>134</v>
      </c>
      <c r="D182" s="60"/>
      <c r="E182" s="19">
        <v>0.0</v>
      </c>
      <c r="F182" s="19">
        <v>0.0</v>
      </c>
      <c r="G182" s="19">
        <v>0.0</v>
      </c>
      <c r="H182" s="19">
        <v>0.0</v>
      </c>
      <c r="I182" s="19">
        <v>0.0</v>
      </c>
      <c r="J182" s="19">
        <v>0.0</v>
      </c>
      <c r="K182" s="19">
        <v>0.0</v>
      </c>
      <c r="L182" s="19">
        <v>0.0</v>
      </c>
      <c r="M182" s="19">
        <v>0.0</v>
      </c>
      <c r="N182" s="19">
        <v>0.0</v>
      </c>
      <c r="O182" s="19">
        <v>0.0</v>
      </c>
      <c r="P182" s="13">
        <f t="shared" si="36"/>
        <v>0</v>
      </c>
    </row>
    <row r="183" ht="12.75" customHeight="1">
      <c r="A183" s="18"/>
      <c r="B183" s="55">
        <v>6.0</v>
      </c>
      <c r="C183" s="50" t="s">
        <v>135</v>
      </c>
      <c r="D183" s="60"/>
      <c r="E183" s="19">
        <v>0.0</v>
      </c>
      <c r="F183" s="19">
        <v>0.0</v>
      </c>
      <c r="G183" s="19">
        <v>0.0</v>
      </c>
      <c r="H183" s="19">
        <v>0.0</v>
      </c>
      <c r="I183" s="19">
        <v>0.0</v>
      </c>
      <c r="J183" s="19">
        <v>0.0</v>
      </c>
      <c r="K183" s="19">
        <v>0.0</v>
      </c>
      <c r="L183" s="19">
        <v>0.0</v>
      </c>
      <c r="M183" s="19">
        <v>0.0</v>
      </c>
      <c r="N183" s="19">
        <v>0.0</v>
      </c>
      <c r="O183" s="19">
        <v>0.0</v>
      </c>
      <c r="P183" s="13">
        <f t="shared" si="36"/>
        <v>0</v>
      </c>
    </row>
    <row r="184" ht="12.75" customHeight="1">
      <c r="A184" s="18"/>
      <c r="B184" s="55">
        <v>7.0</v>
      </c>
      <c r="C184" s="50" t="s">
        <v>136</v>
      </c>
      <c r="D184" s="60"/>
      <c r="E184" s="19">
        <v>0.0</v>
      </c>
      <c r="F184" s="19">
        <v>0.0</v>
      </c>
      <c r="G184" s="19">
        <v>0.0</v>
      </c>
      <c r="H184" s="19">
        <v>0.0</v>
      </c>
      <c r="I184" s="19">
        <v>0.0</v>
      </c>
      <c r="J184" s="19">
        <v>0.0</v>
      </c>
      <c r="K184" s="19">
        <v>0.0</v>
      </c>
      <c r="L184" s="19">
        <v>0.0</v>
      </c>
      <c r="M184" s="19">
        <v>0.0</v>
      </c>
      <c r="N184" s="19">
        <v>0.0</v>
      </c>
      <c r="O184" s="19">
        <v>0.0</v>
      </c>
      <c r="P184" s="13">
        <f t="shared" si="36"/>
        <v>0</v>
      </c>
    </row>
    <row r="185" ht="12.75" customHeight="1">
      <c r="A185" s="18"/>
      <c r="B185" s="56"/>
      <c r="C185" s="57"/>
      <c r="D185" s="62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3">
        <f t="shared" si="36"/>
        <v>0</v>
      </c>
    </row>
    <row r="186" ht="12.75" customHeight="1">
      <c r="A186" s="18"/>
      <c r="B186" s="56"/>
      <c r="C186" s="57"/>
      <c r="D186" s="62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3">
        <f t="shared" si="36"/>
        <v>0</v>
      </c>
    </row>
    <row r="187" ht="12.75" customHeight="1">
      <c r="A187" s="19" t="s">
        <v>15</v>
      </c>
      <c r="B187" s="47" t="s">
        <v>47</v>
      </c>
      <c r="C187" s="15"/>
      <c r="D187" s="16"/>
      <c r="E187" s="13">
        <f t="shared" ref="E187:P187" si="37">SUM(E177:E186)</f>
        <v>0</v>
      </c>
      <c r="F187" s="13">
        <f t="shared" si="37"/>
        <v>0</v>
      </c>
      <c r="G187" s="13">
        <f t="shared" si="37"/>
        <v>0</v>
      </c>
      <c r="H187" s="13">
        <f t="shared" si="37"/>
        <v>0</v>
      </c>
      <c r="I187" s="13">
        <f t="shared" si="37"/>
        <v>0</v>
      </c>
      <c r="J187" s="13">
        <f t="shared" si="37"/>
        <v>0</v>
      </c>
      <c r="K187" s="13">
        <f t="shared" si="37"/>
        <v>1</v>
      </c>
      <c r="L187" s="13">
        <f t="shared" si="37"/>
        <v>0</v>
      </c>
      <c r="M187" s="13">
        <f t="shared" si="37"/>
        <v>1</v>
      </c>
      <c r="N187" s="13">
        <f t="shared" si="37"/>
        <v>2</v>
      </c>
      <c r="O187" s="13">
        <f t="shared" si="37"/>
        <v>4</v>
      </c>
      <c r="P187" s="13">
        <f t="shared" si="37"/>
        <v>8</v>
      </c>
    </row>
    <row r="188" ht="12.75" customHeight="1">
      <c r="A188" s="24"/>
      <c r="B188" s="15"/>
      <c r="C188" s="15"/>
      <c r="D188" s="15"/>
      <c r="E188" s="16"/>
      <c r="F188" s="84"/>
      <c r="G188" s="84"/>
      <c r="H188" s="84"/>
      <c r="I188" s="84"/>
      <c r="J188" s="84"/>
      <c r="K188" s="84"/>
      <c r="L188" s="84"/>
      <c r="M188" s="84"/>
      <c r="N188" s="84"/>
      <c r="P188" s="13"/>
    </row>
    <row r="189" ht="12.75" customHeight="1">
      <c r="A189" s="30" t="s">
        <v>37</v>
      </c>
      <c r="B189" s="47" t="s">
        <v>137</v>
      </c>
      <c r="C189" s="48" t="s">
        <v>138</v>
      </c>
      <c r="D189" s="16"/>
      <c r="E189" s="19">
        <v>0.0</v>
      </c>
      <c r="F189" s="19">
        <v>0.0</v>
      </c>
      <c r="G189" s="19">
        <v>1.0</v>
      </c>
      <c r="H189" s="19">
        <v>0.0</v>
      </c>
      <c r="I189" s="19">
        <v>0.0</v>
      </c>
      <c r="J189" s="19">
        <v>0.0</v>
      </c>
      <c r="K189" s="19">
        <v>0.0</v>
      </c>
      <c r="L189" s="19">
        <v>0.0</v>
      </c>
      <c r="M189" s="19">
        <v>0.0</v>
      </c>
      <c r="N189" s="19">
        <v>0.0</v>
      </c>
      <c r="O189" s="19">
        <v>0.0</v>
      </c>
      <c r="P189" s="13">
        <f t="shared" ref="P189:P198" si="38">SUM(E189:O189)</f>
        <v>1</v>
      </c>
    </row>
    <row r="190" ht="12.75" customHeight="1">
      <c r="A190" s="30" t="s">
        <v>39</v>
      </c>
      <c r="B190" s="55">
        <v>1.0</v>
      </c>
      <c r="C190" s="50" t="s">
        <v>139</v>
      </c>
      <c r="D190" s="60"/>
      <c r="E190" s="19">
        <v>0.0</v>
      </c>
      <c r="F190" s="19">
        <v>0.0</v>
      </c>
      <c r="G190" s="19">
        <v>0.0</v>
      </c>
      <c r="H190" s="19">
        <v>0.0</v>
      </c>
      <c r="I190" s="19">
        <v>0.0</v>
      </c>
      <c r="J190" s="19">
        <v>0.0</v>
      </c>
      <c r="K190" s="19">
        <v>0.0</v>
      </c>
      <c r="L190" s="19">
        <v>0.0</v>
      </c>
      <c r="M190" s="19">
        <v>0.0</v>
      </c>
      <c r="N190" s="19">
        <v>0.0</v>
      </c>
      <c r="O190" s="19">
        <v>1.0</v>
      </c>
      <c r="P190" s="13">
        <f t="shared" si="38"/>
        <v>1</v>
      </c>
    </row>
    <row r="191" ht="12.75" customHeight="1">
      <c r="A191" s="18"/>
      <c r="B191" s="55">
        <v>2.0</v>
      </c>
      <c r="C191" s="50" t="s">
        <v>140</v>
      </c>
      <c r="D191" s="60"/>
      <c r="E191" s="19">
        <v>0.0</v>
      </c>
      <c r="F191" s="19">
        <v>0.0</v>
      </c>
      <c r="G191" s="19">
        <v>0.0</v>
      </c>
      <c r="H191" s="19">
        <v>0.0</v>
      </c>
      <c r="I191" s="19">
        <v>0.0</v>
      </c>
      <c r="J191" s="19">
        <v>0.0</v>
      </c>
      <c r="K191" s="19">
        <v>0.0</v>
      </c>
      <c r="L191" s="19">
        <v>0.0</v>
      </c>
      <c r="M191" s="19">
        <v>0.0</v>
      </c>
      <c r="N191" s="19">
        <v>0.0</v>
      </c>
      <c r="O191" s="19">
        <v>0.0</v>
      </c>
      <c r="P191" s="13">
        <f t="shared" si="38"/>
        <v>0</v>
      </c>
    </row>
    <row r="192" ht="12.75" customHeight="1">
      <c r="A192" s="18"/>
      <c r="B192" s="55">
        <v>3.0</v>
      </c>
      <c r="C192" s="50" t="s">
        <v>141</v>
      </c>
      <c r="D192" s="60"/>
      <c r="E192" s="19">
        <v>0.0</v>
      </c>
      <c r="F192" s="19">
        <v>0.0</v>
      </c>
      <c r="G192" s="19">
        <v>0.0</v>
      </c>
      <c r="H192" s="19">
        <v>0.0</v>
      </c>
      <c r="I192" s="19">
        <v>0.0</v>
      </c>
      <c r="J192" s="19">
        <v>0.0</v>
      </c>
      <c r="K192" s="19">
        <v>0.0</v>
      </c>
      <c r="L192" s="19">
        <v>0.0</v>
      </c>
      <c r="M192" s="19">
        <v>0.0</v>
      </c>
      <c r="N192" s="19">
        <v>0.0</v>
      </c>
      <c r="O192" s="19">
        <v>0.0</v>
      </c>
      <c r="P192" s="13">
        <f t="shared" si="38"/>
        <v>0</v>
      </c>
    </row>
    <row r="193" ht="12.75" customHeight="1">
      <c r="A193" s="18"/>
      <c r="B193" s="55">
        <v>4.0</v>
      </c>
      <c r="C193" s="50" t="s">
        <v>142</v>
      </c>
      <c r="D193" s="60"/>
      <c r="E193" s="19">
        <v>0.0</v>
      </c>
      <c r="F193" s="19">
        <v>0.0</v>
      </c>
      <c r="G193" s="19">
        <v>0.0</v>
      </c>
      <c r="H193" s="19">
        <v>0.0</v>
      </c>
      <c r="I193" s="19">
        <v>0.0</v>
      </c>
      <c r="J193" s="19">
        <v>0.0</v>
      </c>
      <c r="K193" s="19">
        <v>0.0</v>
      </c>
      <c r="L193" s="19">
        <v>0.0</v>
      </c>
      <c r="M193" s="19">
        <v>0.0</v>
      </c>
      <c r="N193" s="19">
        <v>0.0</v>
      </c>
      <c r="O193" s="19">
        <v>0.0</v>
      </c>
      <c r="P193" s="13">
        <f t="shared" si="38"/>
        <v>0</v>
      </c>
    </row>
    <row r="194" ht="12.75" customHeight="1">
      <c r="A194" s="18"/>
      <c r="B194" s="55">
        <v>5.0</v>
      </c>
      <c r="C194" s="50" t="s">
        <v>143</v>
      </c>
      <c r="D194" s="60"/>
      <c r="E194" s="19">
        <v>0.0</v>
      </c>
      <c r="F194" s="19">
        <v>0.0</v>
      </c>
      <c r="G194" s="19">
        <v>0.0</v>
      </c>
      <c r="H194" s="19">
        <v>0.0</v>
      </c>
      <c r="I194" s="19">
        <v>0.0</v>
      </c>
      <c r="J194" s="19">
        <v>0.0</v>
      </c>
      <c r="K194" s="19">
        <v>0.0</v>
      </c>
      <c r="L194" s="19">
        <v>0.0</v>
      </c>
      <c r="M194" s="19">
        <v>0.0</v>
      </c>
      <c r="N194" s="19">
        <v>0.0</v>
      </c>
      <c r="O194" s="19">
        <v>0.0</v>
      </c>
      <c r="P194" s="13">
        <f t="shared" si="38"/>
        <v>0</v>
      </c>
    </row>
    <row r="195" ht="12.75" customHeight="1">
      <c r="A195" s="18"/>
      <c r="B195" s="55">
        <v>6.0</v>
      </c>
      <c r="C195" s="50" t="s">
        <v>144</v>
      </c>
      <c r="D195" s="60"/>
      <c r="E195" s="19">
        <v>0.0</v>
      </c>
      <c r="F195" s="19">
        <v>0.0</v>
      </c>
      <c r="G195" s="19">
        <v>0.0</v>
      </c>
      <c r="H195" s="19">
        <v>0.0</v>
      </c>
      <c r="I195" s="19">
        <v>0.0</v>
      </c>
      <c r="J195" s="19">
        <v>0.0</v>
      </c>
      <c r="K195" s="19">
        <v>0.0</v>
      </c>
      <c r="L195" s="19">
        <v>0.0</v>
      </c>
      <c r="M195" s="19">
        <v>0.0</v>
      </c>
      <c r="N195" s="19">
        <v>0.0</v>
      </c>
      <c r="O195" s="19">
        <v>0.0</v>
      </c>
      <c r="P195" s="13">
        <f t="shared" si="38"/>
        <v>0</v>
      </c>
    </row>
    <row r="196" ht="12.75" customHeight="1">
      <c r="A196" s="18"/>
      <c r="B196" s="55">
        <v>7.0</v>
      </c>
      <c r="C196" s="50" t="s">
        <v>145</v>
      </c>
      <c r="D196" s="60"/>
      <c r="E196" s="19">
        <v>1.0</v>
      </c>
      <c r="F196" s="19">
        <v>0.0</v>
      </c>
      <c r="G196" s="19">
        <v>0.0</v>
      </c>
      <c r="H196" s="19">
        <v>0.0</v>
      </c>
      <c r="I196" s="19">
        <v>0.0</v>
      </c>
      <c r="J196" s="19">
        <v>0.0</v>
      </c>
      <c r="K196" s="19">
        <v>0.0</v>
      </c>
      <c r="L196" s="19">
        <v>0.0</v>
      </c>
      <c r="M196" s="19">
        <v>0.0</v>
      </c>
      <c r="N196" s="19">
        <v>0.0</v>
      </c>
      <c r="O196" s="19">
        <v>0.0</v>
      </c>
      <c r="P196" s="13">
        <f t="shared" si="38"/>
        <v>1</v>
      </c>
    </row>
    <row r="197" ht="12.75" customHeight="1">
      <c r="A197" s="18"/>
      <c r="B197" s="56"/>
      <c r="C197" s="57"/>
      <c r="D197" s="62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3">
        <f t="shared" si="38"/>
        <v>0</v>
      </c>
    </row>
    <row r="198" ht="12.75" customHeight="1">
      <c r="A198" s="18"/>
      <c r="B198" s="56"/>
      <c r="C198" s="57"/>
      <c r="D198" s="62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3">
        <f t="shared" si="38"/>
        <v>0</v>
      </c>
    </row>
    <row r="199" ht="12.75" customHeight="1">
      <c r="A199" s="19" t="s">
        <v>15</v>
      </c>
      <c r="B199" s="47" t="s">
        <v>47</v>
      </c>
      <c r="C199" s="15"/>
      <c r="D199" s="16"/>
      <c r="E199" s="13">
        <f t="shared" ref="E199:P199" si="39">SUM(E189:E198)</f>
        <v>1</v>
      </c>
      <c r="F199" s="13">
        <f t="shared" si="39"/>
        <v>0</v>
      </c>
      <c r="G199" s="13">
        <f t="shared" si="39"/>
        <v>1</v>
      </c>
      <c r="H199" s="13">
        <f t="shared" si="39"/>
        <v>0</v>
      </c>
      <c r="I199" s="13">
        <f t="shared" si="39"/>
        <v>0</v>
      </c>
      <c r="J199" s="13">
        <f t="shared" si="39"/>
        <v>0</v>
      </c>
      <c r="K199" s="13">
        <f t="shared" si="39"/>
        <v>0</v>
      </c>
      <c r="L199" s="13">
        <f t="shared" si="39"/>
        <v>0</v>
      </c>
      <c r="M199" s="13">
        <f t="shared" si="39"/>
        <v>0</v>
      </c>
      <c r="N199" s="13">
        <f t="shared" si="39"/>
        <v>0</v>
      </c>
      <c r="O199" s="13">
        <f t="shared" si="39"/>
        <v>1</v>
      </c>
      <c r="P199" s="13">
        <f t="shared" si="39"/>
        <v>3</v>
      </c>
    </row>
    <row r="200" ht="12.75" customHeight="1">
      <c r="A200" s="24"/>
      <c r="B200" s="15"/>
      <c r="C200" s="15"/>
      <c r="D200" s="15"/>
      <c r="E200" s="16"/>
      <c r="F200" s="84"/>
      <c r="G200" s="84"/>
      <c r="H200" s="84"/>
      <c r="I200" s="84"/>
      <c r="J200" s="84"/>
      <c r="K200" s="84"/>
      <c r="L200" s="84"/>
      <c r="M200" s="84"/>
      <c r="N200" s="84"/>
      <c r="O200" s="84"/>
      <c r="P200" s="84"/>
    </row>
    <row r="201" ht="12.75" customHeight="1">
      <c r="A201" s="30" t="s">
        <v>37</v>
      </c>
      <c r="B201" s="47" t="s">
        <v>146</v>
      </c>
      <c r="C201" s="48" t="s">
        <v>147</v>
      </c>
      <c r="D201" s="16"/>
      <c r="E201" s="19">
        <v>1.0</v>
      </c>
      <c r="F201" s="19">
        <v>0.0</v>
      </c>
      <c r="G201" s="19">
        <v>0.0</v>
      </c>
      <c r="H201" s="19">
        <v>0.0</v>
      </c>
      <c r="I201" s="19">
        <v>1.0</v>
      </c>
      <c r="J201" s="19">
        <v>0.0</v>
      </c>
      <c r="K201" s="19">
        <v>1.0</v>
      </c>
      <c r="L201" s="19">
        <v>1.0</v>
      </c>
      <c r="M201" s="19">
        <v>1.0</v>
      </c>
      <c r="N201" s="19">
        <v>0.0</v>
      </c>
      <c r="O201" s="19">
        <v>1.0</v>
      </c>
      <c r="P201" s="13">
        <f t="shared" ref="P201:P210" si="40">SUM(E201:O201)</f>
        <v>6</v>
      </c>
    </row>
    <row r="202" ht="12.75" customHeight="1">
      <c r="A202" s="30" t="s">
        <v>39</v>
      </c>
      <c r="B202" s="55">
        <v>1.0</v>
      </c>
      <c r="C202" s="50" t="s">
        <v>148</v>
      </c>
      <c r="D202" s="60"/>
      <c r="E202" s="19">
        <v>0.0</v>
      </c>
      <c r="F202" s="19">
        <v>0.0</v>
      </c>
      <c r="G202" s="19">
        <v>0.0</v>
      </c>
      <c r="H202" s="19">
        <v>1.0</v>
      </c>
      <c r="I202" s="19">
        <v>0.0</v>
      </c>
      <c r="J202" s="19">
        <v>0.0</v>
      </c>
      <c r="K202" s="19">
        <v>0.0</v>
      </c>
      <c r="L202" s="19">
        <v>0.0</v>
      </c>
      <c r="M202" s="19">
        <v>0.0</v>
      </c>
      <c r="N202" s="19">
        <v>0.0</v>
      </c>
      <c r="O202" s="19">
        <v>1.0</v>
      </c>
      <c r="P202" s="13">
        <f t="shared" si="40"/>
        <v>2</v>
      </c>
    </row>
    <row r="203" ht="12.75" customHeight="1">
      <c r="A203" s="18"/>
      <c r="B203" s="55">
        <v>2.0</v>
      </c>
      <c r="C203" s="50" t="s">
        <v>149</v>
      </c>
      <c r="D203" s="60"/>
      <c r="E203" s="19">
        <v>0.0</v>
      </c>
      <c r="F203" s="19">
        <v>2.0</v>
      </c>
      <c r="G203" s="19">
        <v>0.0</v>
      </c>
      <c r="H203" s="19">
        <v>0.0</v>
      </c>
      <c r="I203" s="19">
        <v>0.0</v>
      </c>
      <c r="J203" s="19">
        <v>0.0</v>
      </c>
      <c r="K203" s="19">
        <v>0.0</v>
      </c>
      <c r="L203" s="19">
        <v>0.0</v>
      </c>
      <c r="M203" s="19">
        <v>0.0</v>
      </c>
      <c r="N203" s="19">
        <v>0.0</v>
      </c>
      <c r="O203" s="19">
        <v>0.0</v>
      </c>
      <c r="P203" s="13">
        <f t="shared" si="40"/>
        <v>2</v>
      </c>
    </row>
    <row r="204" ht="12.75" customHeight="1">
      <c r="A204" s="18"/>
      <c r="B204" s="55">
        <v>3.0</v>
      </c>
      <c r="C204" s="50" t="s">
        <v>150</v>
      </c>
      <c r="D204" s="60"/>
      <c r="E204" s="19">
        <v>0.0</v>
      </c>
      <c r="F204" s="19">
        <v>1.0</v>
      </c>
      <c r="G204" s="19">
        <v>0.0</v>
      </c>
      <c r="H204" s="19">
        <v>0.0</v>
      </c>
      <c r="I204" s="19">
        <v>0.0</v>
      </c>
      <c r="J204" s="19">
        <v>0.0</v>
      </c>
      <c r="K204" s="19">
        <v>0.0</v>
      </c>
      <c r="L204" s="19">
        <v>0.0</v>
      </c>
      <c r="M204" s="19">
        <v>0.0</v>
      </c>
      <c r="N204" s="19">
        <v>0.0</v>
      </c>
      <c r="O204" s="19">
        <v>0.0</v>
      </c>
      <c r="P204" s="13">
        <f t="shared" si="40"/>
        <v>1</v>
      </c>
    </row>
    <row r="205" ht="12.75" customHeight="1">
      <c r="A205" s="18"/>
      <c r="B205" s="55">
        <v>4.0</v>
      </c>
      <c r="C205" s="50" t="s">
        <v>151</v>
      </c>
      <c r="D205" s="60"/>
      <c r="E205" s="19">
        <v>0.0</v>
      </c>
      <c r="F205" s="19">
        <v>1.0</v>
      </c>
      <c r="G205" s="19">
        <v>0.0</v>
      </c>
      <c r="H205" s="19">
        <v>0.0</v>
      </c>
      <c r="I205" s="19">
        <v>10.0</v>
      </c>
      <c r="J205" s="19">
        <v>0.0</v>
      </c>
      <c r="K205" s="19">
        <v>0.0</v>
      </c>
      <c r="L205" s="19">
        <v>1.0</v>
      </c>
      <c r="M205" s="19">
        <v>0.0</v>
      </c>
      <c r="N205" s="19">
        <v>0.0</v>
      </c>
      <c r="O205" s="19">
        <v>0.0</v>
      </c>
      <c r="P205" s="13">
        <f t="shared" si="40"/>
        <v>12</v>
      </c>
    </row>
    <row r="206" ht="12.75" customHeight="1">
      <c r="A206" s="18"/>
      <c r="B206" s="55">
        <v>5.0</v>
      </c>
      <c r="C206" s="50" t="s">
        <v>152</v>
      </c>
      <c r="D206" s="60"/>
      <c r="E206" s="19">
        <v>0.0</v>
      </c>
      <c r="F206" s="19">
        <v>0.0</v>
      </c>
      <c r="G206" s="19">
        <v>0.0</v>
      </c>
      <c r="H206" s="19">
        <v>0.0</v>
      </c>
      <c r="I206" s="19">
        <v>0.0</v>
      </c>
      <c r="J206" s="19">
        <v>0.0</v>
      </c>
      <c r="K206" s="19">
        <v>0.0</v>
      </c>
      <c r="L206" s="19">
        <v>0.0</v>
      </c>
      <c r="M206" s="19">
        <v>0.0</v>
      </c>
      <c r="N206" s="19">
        <v>0.0</v>
      </c>
      <c r="O206" s="19">
        <v>0.0</v>
      </c>
      <c r="P206" s="13">
        <f t="shared" si="40"/>
        <v>0</v>
      </c>
    </row>
    <row r="207" ht="12.75" customHeight="1">
      <c r="A207" s="18"/>
      <c r="B207" s="55">
        <v>6.0</v>
      </c>
      <c r="C207" s="50" t="s">
        <v>153</v>
      </c>
      <c r="D207" s="60"/>
      <c r="E207" s="19">
        <v>0.0</v>
      </c>
      <c r="F207" s="19">
        <v>0.0</v>
      </c>
      <c r="G207" s="19">
        <v>0.0</v>
      </c>
      <c r="H207" s="19">
        <v>0.0</v>
      </c>
      <c r="I207" s="19">
        <v>0.0</v>
      </c>
      <c r="J207" s="19">
        <v>0.0</v>
      </c>
      <c r="K207" s="19">
        <v>0.0</v>
      </c>
      <c r="L207" s="19">
        <v>0.0</v>
      </c>
      <c r="M207" s="19">
        <v>0.0</v>
      </c>
      <c r="N207" s="19">
        <v>0.0</v>
      </c>
      <c r="O207" s="19">
        <v>0.0</v>
      </c>
      <c r="P207" s="13">
        <f t="shared" si="40"/>
        <v>0</v>
      </c>
    </row>
    <row r="208" ht="12.75" customHeight="1">
      <c r="A208" s="18"/>
      <c r="B208" s="55">
        <v>7.0</v>
      </c>
      <c r="C208" s="50" t="s">
        <v>154</v>
      </c>
      <c r="D208" s="60"/>
      <c r="E208" s="19">
        <v>0.0</v>
      </c>
      <c r="F208" s="19">
        <v>0.0</v>
      </c>
      <c r="G208" s="19">
        <v>0.0</v>
      </c>
      <c r="H208" s="19">
        <v>0.0</v>
      </c>
      <c r="I208" s="19">
        <v>0.0</v>
      </c>
      <c r="J208" s="19">
        <v>0.0</v>
      </c>
      <c r="K208" s="19">
        <v>0.0</v>
      </c>
      <c r="L208" s="19">
        <v>0.0</v>
      </c>
      <c r="M208" s="19">
        <v>0.0</v>
      </c>
      <c r="N208" s="19">
        <v>0.0</v>
      </c>
      <c r="O208" s="19">
        <v>0.0</v>
      </c>
      <c r="P208" s="13">
        <f t="shared" si="40"/>
        <v>0</v>
      </c>
    </row>
    <row r="209" ht="12.75" customHeight="1">
      <c r="A209" s="18"/>
      <c r="B209" s="56"/>
      <c r="C209" s="57"/>
      <c r="D209" s="62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3">
        <f t="shared" si="40"/>
        <v>0</v>
      </c>
    </row>
    <row r="210" ht="12.75" customHeight="1">
      <c r="A210" s="18"/>
      <c r="B210" s="56"/>
      <c r="C210" s="57"/>
      <c r="D210" s="62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3">
        <f t="shared" si="40"/>
        <v>0</v>
      </c>
    </row>
    <row r="211" ht="12.75" customHeight="1">
      <c r="A211" s="19" t="s">
        <v>15</v>
      </c>
      <c r="B211" s="47" t="s">
        <v>47</v>
      </c>
      <c r="C211" s="15"/>
      <c r="D211" s="16"/>
      <c r="E211" s="13">
        <f t="shared" ref="E211:P211" si="41">SUM(E201:E210)</f>
        <v>1</v>
      </c>
      <c r="F211" s="13">
        <f t="shared" si="41"/>
        <v>4</v>
      </c>
      <c r="G211" s="13">
        <f t="shared" si="41"/>
        <v>0</v>
      </c>
      <c r="H211" s="13">
        <f t="shared" si="41"/>
        <v>1</v>
      </c>
      <c r="I211" s="13">
        <f t="shared" si="41"/>
        <v>11</v>
      </c>
      <c r="J211" s="13">
        <f t="shared" si="41"/>
        <v>0</v>
      </c>
      <c r="K211" s="13">
        <f t="shared" si="41"/>
        <v>1</v>
      </c>
      <c r="L211" s="13">
        <f t="shared" si="41"/>
        <v>2</v>
      </c>
      <c r="M211" s="13">
        <f t="shared" si="41"/>
        <v>1</v>
      </c>
      <c r="N211" s="13">
        <f t="shared" si="41"/>
        <v>0</v>
      </c>
      <c r="O211" s="13">
        <f t="shared" si="41"/>
        <v>2</v>
      </c>
      <c r="P211" s="13">
        <f t="shared" si="41"/>
        <v>23</v>
      </c>
    </row>
    <row r="212" ht="12.75" customHeight="1">
      <c r="A212" s="24"/>
      <c r="B212" s="15"/>
      <c r="C212" s="15"/>
      <c r="D212" s="15"/>
      <c r="E212" s="16"/>
      <c r="F212" s="84"/>
      <c r="G212" s="84"/>
      <c r="H212" s="84"/>
      <c r="I212" s="84"/>
      <c r="J212" s="84"/>
      <c r="K212" s="84"/>
      <c r="L212" s="84"/>
      <c r="M212" s="84"/>
      <c r="N212" s="84"/>
      <c r="O212" s="84"/>
      <c r="P212" s="84"/>
    </row>
    <row r="213" ht="12.75" customHeight="1">
      <c r="A213" s="30" t="s">
        <v>37</v>
      </c>
      <c r="B213" s="47" t="s">
        <v>155</v>
      </c>
      <c r="C213" s="48" t="s">
        <v>156</v>
      </c>
      <c r="D213" s="16"/>
      <c r="E213" s="19">
        <v>3.0</v>
      </c>
      <c r="F213" s="19">
        <v>1.0</v>
      </c>
      <c r="G213" s="19">
        <v>4.0</v>
      </c>
      <c r="H213" s="19">
        <v>0.0</v>
      </c>
      <c r="I213" s="19">
        <v>0.0</v>
      </c>
      <c r="J213" s="19">
        <v>1.0</v>
      </c>
      <c r="K213" s="19">
        <v>2.0</v>
      </c>
      <c r="L213" s="19">
        <v>0.0</v>
      </c>
      <c r="M213" s="19">
        <v>0.0</v>
      </c>
      <c r="N213" s="19">
        <v>0.0</v>
      </c>
      <c r="O213" s="19">
        <v>1.0</v>
      </c>
      <c r="P213" s="13">
        <f t="shared" ref="P213:P222" si="42">SUM(E213:O213)</f>
        <v>12</v>
      </c>
    </row>
    <row r="214" ht="12.75" customHeight="1">
      <c r="A214" s="30" t="s">
        <v>39</v>
      </c>
      <c r="B214" s="55">
        <v>1.0</v>
      </c>
      <c r="C214" s="50" t="s">
        <v>157</v>
      </c>
      <c r="D214" s="59"/>
      <c r="E214" s="19">
        <v>2.0</v>
      </c>
      <c r="F214" s="19">
        <v>0.0</v>
      </c>
      <c r="G214" s="19">
        <v>1.0</v>
      </c>
      <c r="H214" s="19">
        <v>1.0</v>
      </c>
      <c r="I214" s="19">
        <v>1.0</v>
      </c>
      <c r="J214" s="19">
        <v>2.0</v>
      </c>
      <c r="K214" s="19">
        <v>0.0</v>
      </c>
      <c r="L214" s="19">
        <v>0.0</v>
      </c>
      <c r="M214" s="19">
        <v>1.0</v>
      </c>
      <c r="N214" s="19">
        <v>0.0</v>
      </c>
      <c r="O214" s="19">
        <v>1.0</v>
      </c>
      <c r="P214" s="13">
        <f t="shared" si="42"/>
        <v>9</v>
      </c>
    </row>
    <row r="215" ht="12.75" customHeight="1">
      <c r="A215" s="18"/>
      <c r="B215" s="55">
        <v>2.0</v>
      </c>
      <c r="C215" s="50" t="s">
        <v>158</v>
      </c>
      <c r="D215" s="59"/>
      <c r="E215" s="19">
        <v>132.0</v>
      </c>
      <c r="F215" s="19">
        <v>45.0</v>
      </c>
      <c r="G215" s="19">
        <v>113.0</v>
      </c>
      <c r="H215" s="19">
        <v>68.0</v>
      </c>
      <c r="I215" s="19">
        <v>12.0</v>
      </c>
      <c r="J215" s="19">
        <v>33.0</v>
      </c>
      <c r="K215" s="19">
        <v>6.0</v>
      </c>
      <c r="L215" s="19">
        <v>6.0</v>
      </c>
      <c r="M215" s="19">
        <v>4.0</v>
      </c>
      <c r="N215" s="19">
        <v>3.0</v>
      </c>
      <c r="O215" s="19">
        <v>5.0</v>
      </c>
      <c r="P215" s="13">
        <f t="shared" si="42"/>
        <v>427</v>
      </c>
    </row>
    <row r="216" ht="12.75" customHeight="1">
      <c r="A216" s="18"/>
      <c r="B216" s="55">
        <v>3.0</v>
      </c>
      <c r="C216" s="70" t="s">
        <v>159</v>
      </c>
      <c r="E216" s="19">
        <v>1.0</v>
      </c>
      <c r="F216" s="19">
        <v>1.0</v>
      </c>
      <c r="G216" s="19">
        <v>1.0</v>
      </c>
      <c r="H216" s="19">
        <v>0.0</v>
      </c>
      <c r="I216" s="19">
        <v>0.0</v>
      </c>
      <c r="J216" s="19">
        <v>1.0</v>
      </c>
      <c r="K216" s="19">
        <v>0.0</v>
      </c>
      <c r="L216" s="19">
        <v>0.0</v>
      </c>
      <c r="M216" s="19">
        <v>0.0</v>
      </c>
      <c r="N216" s="19">
        <v>0.0</v>
      </c>
      <c r="O216" s="19">
        <v>0.0</v>
      </c>
      <c r="P216" s="13">
        <f t="shared" si="42"/>
        <v>4</v>
      </c>
    </row>
    <row r="217" ht="12.75" customHeight="1">
      <c r="A217" s="18"/>
      <c r="B217" s="55">
        <v>4.0</v>
      </c>
      <c r="C217" s="50" t="s">
        <v>160</v>
      </c>
      <c r="D217" s="59"/>
      <c r="E217" s="19">
        <v>1.0</v>
      </c>
      <c r="F217" s="19">
        <v>0.0</v>
      </c>
      <c r="G217" s="19">
        <v>0.0</v>
      </c>
      <c r="H217" s="19">
        <v>0.0</v>
      </c>
      <c r="I217" s="19">
        <v>0.0</v>
      </c>
      <c r="J217" s="19">
        <v>0.0</v>
      </c>
      <c r="K217" s="19">
        <v>0.0</v>
      </c>
      <c r="L217" s="19">
        <v>0.0</v>
      </c>
      <c r="M217" s="19">
        <v>0.0</v>
      </c>
      <c r="N217" s="19">
        <v>0.0</v>
      </c>
      <c r="O217" s="19">
        <v>1.0</v>
      </c>
      <c r="P217" s="13">
        <f t="shared" si="42"/>
        <v>2</v>
      </c>
    </row>
    <row r="218" ht="12.75" customHeight="1">
      <c r="A218" s="18"/>
      <c r="B218" s="55">
        <v>5.0</v>
      </c>
      <c r="C218" s="50" t="s">
        <v>161</v>
      </c>
      <c r="D218" s="59"/>
      <c r="E218" s="19">
        <v>0.0</v>
      </c>
      <c r="F218" s="19">
        <v>0.0</v>
      </c>
      <c r="G218" s="19">
        <v>0.0</v>
      </c>
      <c r="H218" s="19">
        <v>0.0</v>
      </c>
      <c r="I218" s="19">
        <v>0.0</v>
      </c>
      <c r="J218" s="19">
        <v>0.0</v>
      </c>
      <c r="K218" s="19">
        <v>0.0</v>
      </c>
      <c r="L218" s="19">
        <v>0.0</v>
      </c>
      <c r="M218" s="19">
        <v>0.0</v>
      </c>
      <c r="N218" s="19">
        <v>0.0</v>
      </c>
      <c r="O218" s="19">
        <v>0.0</v>
      </c>
      <c r="P218" s="13">
        <f t="shared" si="42"/>
        <v>0</v>
      </c>
    </row>
    <row r="219" ht="12.75" customHeight="1">
      <c r="A219" s="18"/>
      <c r="B219" s="55">
        <v>6.0</v>
      </c>
      <c r="C219" s="50" t="s">
        <v>162</v>
      </c>
      <c r="D219" s="59"/>
      <c r="E219" s="19">
        <v>0.0</v>
      </c>
      <c r="F219" s="19">
        <v>0.0</v>
      </c>
      <c r="G219" s="19">
        <v>0.0</v>
      </c>
      <c r="H219" s="19">
        <v>0.0</v>
      </c>
      <c r="I219" s="19">
        <v>0.0</v>
      </c>
      <c r="J219" s="19">
        <v>0.0</v>
      </c>
      <c r="K219" s="19">
        <v>1.0</v>
      </c>
      <c r="L219" s="19">
        <v>0.0</v>
      </c>
      <c r="M219" s="19">
        <v>0.0</v>
      </c>
      <c r="N219" s="19">
        <v>0.0</v>
      </c>
      <c r="O219" s="19">
        <v>0.0</v>
      </c>
      <c r="P219" s="13">
        <f t="shared" si="42"/>
        <v>1</v>
      </c>
    </row>
    <row r="220" ht="12.75" customHeight="1">
      <c r="A220" s="18"/>
      <c r="B220" s="55">
        <v>7.0</v>
      </c>
      <c r="C220" s="50" t="s">
        <v>163</v>
      </c>
      <c r="D220" s="59"/>
      <c r="E220" s="19">
        <v>0.0</v>
      </c>
      <c r="F220" s="19">
        <v>0.0</v>
      </c>
      <c r="G220" s="19">
        <v>0.0</v>
      </c>
      <c r="H220" s="19">
        <v>0.0</v>
      </c>
      <c r="I220" s="19">
        <v>0.0</v>
      </c>
      <c r="J220" s="19">
        <v>0.0</v>
      </c>
      <c r="K220" s="19">
        <v>0.0</v>
      </c>
      <c r="L220" s="19">
        <v>0.0</v>
      </c>
      <c r="M220" s="19">
        <v>0.0</v>
      </c>
      <c r="N220" s="19">
        <v>0.0</v>
      </c>
      <c r="O220" s="19">
        <v>0.0</v>
      </c>
      <c r="P220" s="13">
        <f t="shared" si="42"/>
        <v>0</v>
      </c>
    </row>
    <row r="221" ht="12.75" customHeight="1">
      <c r="A221" s="18"/>
      <c r="B221" s="56"/>
      <c r="C221" s="57"/>
      <c r="D221" s="61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3">
        <f t="shared" si="42"/>
        <v>0</v>
      </c>
    </row>
    <row r="222" ht="12.75" customHeight="1">
      <c r="A222" s="18"/>
      <c r="B222" s="56"/>
      <c r="C222" s="57"/>
      <c r="D222" s="61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3">
        <f t="shared" si="42"/>
        <v>0</v>
      </c>
    </row>
    <row r="223" ht="12.75" customHeight="1">
      <c r="A223" s="19" t="s">
        <v>15</v>
      </c>
      <c r="B223" s="47" t="s">
        <v>47</v>
      </c>
      <c r="C223" s="15"/>
      <c r="D223" s="16"/>
      <c r="E223" s="13">
        <f t="shared" ref="E223:P223" si="43">SUM(E213:E222)</f>
        <v>139</v>
      </c>
      <c r="F223" s="13">
        <f t="shared" si="43"/>
        <v>47</v>
      </c>
      <c r="G223" s="13">
        <f t="shared" si="43"/>
        <v>119</v>
      </c>
      <c r="H223" s="13">
        <f t="shared" si="43"/>
        <v>69</v>
      </c>
      <c r="I223" s="13">
        <f t="shared" si="43"/>
        <v>13</v>
      </c>
      <c r="J223" s="13">
        <f t="shared" si="43"/>
        <v>37</v>
      </c>
      <c r="K223" s="13">
        <f t="shared" si="43"/>
        <v>9</v>
      </c>
      <c r="L223" s="13">
        <f t="shared" si="43"/>
        <v>6</v>
      </c>
      <c r="M223" s="13">
        <f t="shared" si="43"/>
        <v>5</v>
      </c>
      <c r="N223" s="13">
        <f t="shared" si="43"/>
        <v>3</v>
      </c>
      <c r="O223" s="13">
        <f t="shared" si="43"/>
        <v>8</v>
      </c>
      <c r="P223" s="13">
        <f t="shared" si="43"/>
        <v>455</v>
      </c>
    </row>
    <row r="224" ht="12.75" customHeight="1">
      <c r="A224" s="24"/>
      <c r="B224" s="15"/>
      <c r="C224" s="15"/>
      <c r="D224" s="15"/>
      <c r="E224" s="16"/>
      <c r="F224" s="84"/>
      <c r="G224" s="84"/>
      <c r="H224" s="84"/>
      <c r="I224" s="84"/>
      <c r="J224" s="84"/>
      <c r="K224" s="84"/>
      <c r="L224" s="84"/>
      <c r="M224" s="84"/>
      <c r="N224" s="84"/>
      <c r="O224" s="84"/>
      <c r="P224" s="84"/>
    </row>
    <row r="225" ht="12.75" customHeight="1">
      <c r="A225" s="30" t="s">
        <v>37</v>
      </c>
      <c r="B225" s="47" t="s">
        <v>164</v>
      </c>
      <c r="C225" s="48" t="s">
        <v>165</v>
      </c>
      <c r="D225" s="16"/>
      <c r="E225" s="19">
        <v>0.0</v>
      </c>
      <c r="F225" s="19">
        <v>0.0</v>
      </c>
      <c r="G225" s="19">
        <v>0.0</v>
      </c>
      <c r="H225" s="19">
        <v>0.0</v>
      </c>
      <c r="I225" s="19">
        <v>0.0</v>
      </c>
      <c r="J225" s="19">
        <v>0.0</v>
      </c>
      <c r="K225" s="19">
        <v>0.0</v>
      </c>
      <c r="L225" s="19">
        <v>0.0</v>
      </c>
      <c r="M225" s="19">
        <v>0.0</v>
      </c>
      <c r="N225" s="19">
        <v>0.0</v>
      </c>
      <c r="O225" s="19">
        <v>0.0</v>
      </c>
      <c r="P225" s="13">
        <f t="shared" ref="P225:P234" si="44">SUM(E225:O225)</f>
        <v>0</v>
      </c>
    </row>
    <row r="226" ht="12.75" customHeight="1">
      <c r="A226" s="30" t="s">
        <v>39</v>
      </c>
      <c r="B226" s="55">
        <v>1.0</v>
      </c>
      <c r="C226" s="50" t="s">
        <v>166</v>
      </c>
      <c r="D226" s="60"/>
      <c r="E226" s="19">
        <v>0.0</v>
      </c>
      <c r="F226" s="19">
        <v>0.0</v>
      </c>
      <c r="G226" s="19">
        <v>0.0</v>
      </c>
      <c r="H226" s="19">
        <v>0.0</v>
      </c>
      <c r="I226" s="19">
        <v>0.0</v>
      </c>
      <c r="J226" s="19">
        <v>0.0</v>
      </c>
      <c r="K226" s="19">
        <v>0.0</v>
      </c>
      <c r="L226" s="19">
        <v>0.0</v>
      </c>
      <c r="M226" s="19">
        <v>0.0</v>
      </c>
      <c r="N226" s="19">
        <v>0.0</v>
      </c>
      <c r="O226" s="19">
        <v>0.0</v>
      </c>
      <c r="P226" s="13">
        <f t="shared" si="44"/>
        <v>0</v>
      </c>
    </row>
    <row r="227" ht="12.75" customHeight="1">
      <c r="A227" s="18"/>
      <c r="B227" s="55">
        <v>2.0</v>
      </c>
      <c r="C227" s="50" t="s">
        <v>167</v>
      </c>
      <c r="D227" s="60"/>
      <c r="E227" s="19">
        <v>0.0</v>
      </c>
      <c r="F227" s="19">
        <v>0.0</v>
      </c>
      <c r="G227" s="19">
        <v>0.0</v>
      </c>
      <c r="H227" s="19">
        <v>0.0</v>
      </c>
      <c r="I227" s="19">
        <v>0.0</v>
      </c>
      <c r="J227" s="19">
        <v>0.0</v>
      </c>
      <c r="K227" s="19">
        <v>0.0</v>
      </c>
      <c r="L227" s="19">
        <v>0.0</v>
      </c>
      <c r="M227" s="19">
        <v>0.0</v>
      </c>
      <c r="N227" s="19">
        <v>0.0</v>
      </c>
      <c r="O227" s="19">
        <v>0.0</v>
      </c>
      <c r="P227" s="13">
        <f t="shared" si="44"/>
        <v>0</v>
      </c>
    </row>
    <row r="228" ht="12.75" customHeight="1">
      <c r="A228" s="18"/>
      <c r="B228" s="55">
        <v>3.0</v>
      </c>
      <c r="C228" s="50" t="s">
        <v>168</v>
      </c>
      <c r="D228" s="60"/>
      <c r="E228" s="19">
        <v>0.0</v>
      </c>
      <c r="F228" s="19">
        <v>0.0</v>
      </c>
      <c r="G228" s="19">
        <v>0.0</v>
      </c>
      <c r="H228" s="19">
        <v>0.0</v>
      </c>
      <c r="I228" s="19">
        <v>0.0</v>
      </c>
      <c r="J228" s="19">
        <v>0.0</v>
      </c>
      <c r="K228" s="19">
        <v>0.0</v>
      </c>
      <c r="L228" s="19">
        <v>0.0</v>
      </c>
      <c r="M228" s="19">
        <v>0.0</v>
      </c>
      <c r="N228" s="19">
        <v>0.0</v>
      </c>
      <c r="O228" s="19">
        <v>0.0</v>
      </c>
      <c r="P228" s="13">
        <f t="shared" si="44"/>
        <v>0</v>
      </c>
    </row>
    <row r="229" ht="12.75" customHeight="1">
      <c r="A229" s="18"/>
      <c r="B229" s="55">
        <v>4.0</v>
      </c>
      <c r="C229" s="50" t="s">
        <v>169</v>
      </c>
      <c r="D229" s="60"/>
      <c r="E229" s="19">
        <v>0.0</v>
      </c>
      <c r="F229" s="19">
        <v>0.0</v>
      </c>
      <c r="G229" s="19">
        <v>0.0</v>
      </c>
      <c r="H229" s="19">
        <v>0.0</v>
      </c>
      <c r="I229" s="19">
        <v>0.0</v>
      </c>
      <c r="J229" s="19">
        <v>0.0</v>
      </c>
      <c r="K229" s="19">
        <v>0.0</v>
      </c>
      <c r="L229" s="19">
        <v>0.0</v>
      </c>
      <c r="M229" s="19">
        <v>0.0</v>
      </c>
      <c r="N229" s="19">
        <v>0.0</v>
      </c>
      <c r="O229" s="19">
        <v>0.0</v>
      </c>
      <c r="P229" s="13">
        <f t="shared" si="44"/>
        <v>0</v>
      </c>
    </row>
    <row r="230" ht="12.75" customHeight="1">
      <c r="A230" s="18"/>
      <c r="B230" s="55">
        <v>5.0</v>
      </c>
      <c r="C230" s="50" t="s">
        <v>170</v>
      </c>
      <c r="D230" s="60"/>
      <c r="E230" s="19">
        <v>0.0</v>
      </c>
      <c r="F230" s="19">
        <v>0.0</v>
      </c>
      <c r="G230" s="19">
        <v>0.0</v>
      </c>
      <c r="H230" s="19">
        <v>0.0</v>
      </c>
      <c r="I230" s="19">
        <v>0.0</v>
      </c>
      <c r="J230" s="19">
        <v>0.0</v>
      </c>
      <c r="K230" s="19">
        <v>0.0</v>
      </c>
      <c r="L230" s="19">
        <v>0.0</v>
      </c>
      <c r="M230" s="19">
        <v>0.0</v>
      </c>
      <c r="N230" s="19">
        <v>0.0</v>
      </c>
      <c r="O230" s="19">
        <v>0.0</v>
      </c>
      <c r="P230" s="13">
        <f t="shared" si="44"/>
        <v>0</v>
      </c>
    </row>
    <row r="231" ht="12.75" customHeight="1">
      <c r="A231" s="18"/>
      <c r="B231" s="55">
        <v>6.0</v>
      </c>
      <c r="C231" s="50" t="s">
        <v>171</v>
      </c>
      <c r="D231" s="60"/>
      <c r="E231" s="19">
        <v>0.0</v>
      </c>
      <c r="F231" s="19">
        <v>0.0</v>
      </c>
      <c r="G231" s="19">
        <v>0.0</v>
      </c>
      <c r="H231" s="19">
        <v>0.0</v>
      </c>
      <c r="I231" s="19">
        <v>0.0</v>
      </c>
      <c r="J231" s="19">
        <v>0.0</v>
      </c>
      <c r="K231" s="19">
        <v>0.0</v>
      </c>
      <c r="L231" s="19">
        <v>0.0</v>
      </c>
      <c r="M231" s="19">
        <v>0.0</v>
      </c>
      <c r="N231" s="19">
        <v>0.0</v>
      </c>
      <c r="O231" s="19">
        <v>0.0</v>
      </c>
      <c r="P231" s="13">
        <f t="shared" si="44"/>
        <v>0</v>
      </c>
    </row>
    <row r="232" ht="12.75" customHeight="1">
      <c r="A232" s="18"/>
      <c r="B232" s="55">
        <v>7.0</v>
      </c>
      <c r="C232" s="50" t="s">
        <v>172</v>
      </c>
      <c r="D232" s="60"/>
      <c r="E232" s="19">
        <v>0.0</v>
      </c>
      <c r="F232" s="19">
        <v>0.0</v>
      </c>
      <c r="G232" s="19">
        <v>0.0</v>
      </c>
      <c r="H232" s="19">
        <v>0.0</v>
      </c>
      <c r="I232" s="19">
        <v>0.0</v>
      </c>
      <c r="J232" s="19">
        <v>0.0</v>
      </c>
      <c r="K232" s="19">
        <v>0.0</v>
      </c>
      <c r="L232" s="19">
        <v>0.0</v>
      </c>
      <c r="M232" s="19">
        <v>0.0</v>
      </c>
      <c r="N232" s="19">
        <v>0.0</v>
      </c>
      <c r="O232" s="19">
        <v>1.0</v>
      </c>
      <c r="P232" s="13">
        <f t="shared" si="44"/>
        <v>1</v>
      </c>
    </row>
    <row r="233" ht="12.75" customHeight="1">
      <c r="A233" s="18"/>
      <c r="B233" s="56"/>
      <c r="C233" s="57"/>
      <c r="D233" s="62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3">
        <f t="shared" si="44"/>
        <v>0</v>
      </c>
    </row>
    <row r="234" ht="12.75" customHeight="1">
      <c r="A234" s="18"/>
      <c r="B234" s="56"/>
      <c r="C234" s="57"/>
      <c r="D234" s="62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3">
        <f t="shared" si="44"/>
        <v>0</v>
      </c>
    </row>
    <row r="235" ht="12.75" customHeight="1">
      <c r="A235" s="19" t="s">
        <v>15</v>
      </c>
      <c r="B235" s="47" t="s">
        <v>47</v>
      </c>
      <c r="C235" s="15"/>
      <c r="D235" s="16"/>
      <c r="E235" s="13">
        <f t="shared" ref="E235:P235" si="45">SUM(E225:E234)</f>
        <v>0</v>
      </c>
      <c r="F235" s="13">
        <f t="shared" si="45"/>
        <v>0</v>
      </c>
      <c r="G235" s="13">
        <f t="shared" si="45"/>
        <v>0</v>
      </c>
      <c r="H235" s="13">
        <f t="shared" si="45"/>
        <v>0</v>
      </c>
      <c r="I235" s="13">
        <f t="shared" si="45"/>
        <v>0</v>
      </c>
      <c r="J235" s="13">
        <f t="shared" si="45"/>
        <v>0</v>
      </c>
      <c r="K235" s="13">
        <f t="shared" si="45"/>
        <v>0</v>
      </c>
      <c r="L235" s="13">
        <f t="shared" si="45"/>
        <v>0</v>
      </c>
      <c r="M235" s="13">
        <f t="shared" si="45"/>
        <v>0</v>
      </c>
      <c r="N235" s="13">
        <f t="shared" si="45"/>
        <v>0</v>
      </c>
      <c r="O235" s="13">
        <f t="shared" si="45"/>
        <v>1</v>
      </c>
      <c r="P235" s="13">
        <f t="shared" si="45"/>
        <v>1</v>
      </c>
    </row>
    <row r="236" ht="12.75" customHeight="1">
      <c r="A236" s="24"/>
      <c r="B236" s="15"/>
      <c r="C236" s="15"/>
      <c r="D236" s="15"/>
      <c r="E236" s="16"/>
      <c r="F236" s="84"/>
      <c r="G236" s="84"/>
      <c r="H236" s="84"/>
      <c r="I236" s="84"/>
      <c r="J236" s="84"/>
      <c r="K236" s="84"/>
      <c r="L236" s="84"/>
      <c r="M236" s="84"/>
      <c r="N236" s="84"/>
      <c r="O236" s="84"/>
      <c r="P236" s="84"/>
    </row>
    <row r="237" ht="12.75" customHeight="1">
      <c r="A237" s="30" t="s">
        <v>37</v>
      </c>
      <c r="B237" s="47" t="s">
        <v>173</v>
      </c>
      <c r="C237" s="48" t="s">
        <v>174</v>
      </c>
      <c r="D237" s="16"/>
      <c r="E237" s="19">
        <v>2.0</v>
      </c>
      <c r="F237" s="19">
        <v>2.0</v>
      </c>
      <c r="G237" s="19">
        <v>5.0</v>
      </c>
      <c r="H237" s="19">
        <v>2.0</v>
      </c>
      <c r="I237" s="19">
        <v>1.0</v>
      </c>
      <c r="J237" s="19">
        <v>3.0</v>
      </c>
      <c r="K237" s="19">
        <v>2.0</v>
      </c>
      <c r="L237" s="19">
        <v>5.0</v>
      </c>
      <c r="M237" s="19">
        <v>6.0</v>
      </c>
      <c r="N237" s="19">
        <v>6.0</v>
      </c>
      <c r="O237" s="19">
        <v>3.0</v>
      </c>
      <c r="P237" s="13">
        <f t="shared" ref="P237:P246" si="46">SUM(E237:O237)</f>
        <v>37</v>
      </c>
    </row>
    <row r="238" ht="12.75" customHeight="1">
      <c r="A238" s="30" t="s">
        <v>39</v>
      </c>
      <c r="B238" s="55">
        <v>1.0</v>
      </c>
      <c r="C238" s="50" t="s">
        <v>175</v>
      </c>
      <c r="D238" s="60"/>
      <c r="E238" s="19">
        <v>1.0</v>
      </c>
      <c r="F238" s="19">
        <v>1.0</v>
      </c>
      <c r="G238" s="19">
        <v>0.0</v>
      </c>
      <c r="H238" s="19">
        <v>0.0</v>
      </c>
      <c r="I238" s="19">
        <v>3.0</v>
      </c>
      <c r="J238" s="19">
        <v>5.0</v>
      </c>
      <c r="K238" s="19">
        <v>0.0</v>
      </c>
      <c r="L238" s="19">
        <v>0.0</v>
      </c>
      <c r="M238" s="19">
        <v>0.0</v>
      </c>
      <c r="N238" s="19">
        <v>1.0</v>
      </c>
      <c r="O238" s="19">
        <v>0.0</v>
      </c>
      <c r="P238" s="13">
        <f t="shared" si="46"/>
        <v>11</v>
      </c>
    </row>
    <row r="239" ht="12.75" customHeight="1">
      <c r="A239" s="18"/>
      <c r="B239" s="55">
        <v>2.0</v>
      </c>
      <c r="C239" s="50" t="s">
        <v>176</v>
      </c>
      <c r="D239" s="60"/>
      <c r="E239" s="19">
        <v>0.0</v>
      </c>
      <c r="F239" s="19">
        <v>15.0</v>
      </c>
      <c r="G239" s="19">
        <v>23.0</v>
      </c>
      <c r="H239" s="19">
        <v>30.0</v>
      </c>
      <c r="I239" s="19">
        <v>16.0</v>
      </c>
      <c r="J239" s="19">
        <v>66.0</v>
      </c>
      <c r="K239" s="19">
        <v>53.0</v>
      </c>
      <c r="L239" s="19">
        <v>39.0</v>
      </c>
      <c r="M239" s="19">
        <v>48.0</v>
      </c>
      <c r="N239" s="19">
        <v>45.0</v>
      </c>
      <c r="O239" s="19">
        <v>17.0</v>
      </c>
      <c r="P239" s="13">
        <f t="shared" si="46"/>
        <v>352</v>
      </c>
    </row>
    <row r="240" ht="12.75" customHeight="1">
      <c r="A240" s="18"/>
      <c r="B240" s="55">
        <v>3.0</v>
      </c>
      <c r="C240" s="50" t="s">
        <v>177</v>
      </c>
      <c r="D240" s="60"/>
      <c r="E240" s="19">
        <v>0.0</v>
      </c>
      <c r="F240" s="19">
        <v>0.0</v>
      </c>
      <c r="G240" s="19">
        <v>0.0</v>
      </c>
      <c r="H240" s="19">
        <v>0.0</v>
      </c>
      <c r="I240" s="19">
        <v>0.0</v>
      </c>
      <c r="J240" s="19">
        <v>0.0</v>
      </c>
      <c r="K240" s="19">
        <v>0.0</v>
      </c>
      <c r="L240" s="19">
        <v>0.0</v>
      </c>
      <c r="M240" s="19">
        <v>0.0</v>
      </c>
      <c r="N240" s="19">
        <v>0.0</v>
      </c>
      <c r="O240" s="19">
        <v>0.0</v>
      </c>
      <c r="P240" s="13">
        <f t="shared" si="46"/>
        <v>0</v>
      </c>
    </row>
    <row r="241" ht="12.75" customHeight="1">
      <c r="A241" s="18"/>
      <c r="B241" s="55">
        <v>4.0</v>
      </c>
      <c r="C241" s="50" t="s">
        <v>178</v>
      </c>
      <c r="D241" s="60"/>
      <c r="E241" s="19">
        <v>1.0</v>
      </c>
      <c r="F241" s="19">
        <v>0.0</v>
      </c>
      <c r="G241" s="19">
        <v>0.0</v>
      </c>
      <c r="H241" s="19">
        <v>0.0</v>
      </c>
      <c r="I241" s="19">
        <v>0.0</v>
      </c>
      <c r="J241" s="19">
        <v>0.0</v>
      </c>
      <c r="K241" s="19">
        <v>0.0</v>
      </c>
      <c r="L241" s="19">
        <v>0.0</v>
      </c>
      <c r="M241" s="19">
        <v>0.0</v>
      </c>
      <c r="N241" s="19">
        <v>0.0</v>
      </c>
      <c r="O241" s="19">
        <v>0.0</v>
      </c>
      <c r="P241" s="13">
        <f t="shared" si="46"/>
        <v>1</v>
      </c>
    </row>
    <row r="242" ht="12.75" customHeight="1">
      <c r="A242" s="18"/>
      <c r="B242" s="55">
        <v>5.0</v>
      </c>
      <c r="C242" s="50" t="s">
        <v>179</v>
      </c>
      <c r="D242" s="60"/>
      <c r="E242" s="19">
        <v>0.0</v>
      </c>
      <c r="F242" s="19">
        <v>0.0</v>
      </c>
      <c r="G242" s="19">
        <v>0.0</v>
      </c>
      <c r="H242" s="19">
        <v>0.0</v>
      </c>
      <c r="I242" s="19">
        <v>0.0</v>
      </c>
      <c r="J242" s="19">
        <v>0.0</v>
      </c>
      <c r="K242" s="19">
        <v>0.0</v>
      </c>
      <c r="L242" s="19">
        <v>0.0</v>
      </c>
      <c r="M242" s="19">
        <v>0.0</v>
      </c>
      <c r="N242" s="19">
        <v>0.0</v>
      </c>
      <c r="O242" s="19">
        <v>0.0</v>
      </c>
      <c r="P242" s="13">
        <f t="shared" si="46"/>
        <v>0</v>
      </c>
    </row>
    <row r="243" ht="12.75" customHeight="1">
      <c r="A243" s="18"/>
      <c r="B243" s="55">
        <v>6.0</v>
      </c>
      <c r="C243" s="50" t="s">
        <v>180</v>
      </c>
      <c r="D243" s="60"/>
      <c r="E243" s="19">
        <v>0.0</v>
      </c>
      <c r="F243" s="19">
        <v>0.0</v>
      </c>
      <c r="G243" s="19">
        <v>0.0</v>
      </c>
      <c r="H243" s="19">
        <v>0.0</v>
      </c>
      <c r="I243" s="19">
        <v>0.0</v>
      </c>
      <c r="J243" s="19">
        <v>0.0</v>
      </c>
      <c r="K243" s="19">
        <v>0.0</v>
      </c>
      <c r="L243" s="19">
        <v>0.0</v>
      </c>
      <c r="M243" s="19">
        <v>0.0</v>
      </c>
      <c r="N243" s="19">
        <v>1.0</v>
      </c>
      <c r="O243" s="19">
        <v>0.0</v>
      </c>
      <c r="P243" s="13">
        <f t="shared" si="46"/>
        <v>1</v>
      </c>
    </row>
    <row r="244" ht="12.75" customHeight="1">
      <c r="A244" s="18"/>
      <c r="B244" s="55">
        <v>7.0</v>
      </c>
      <c r="C244" s="50" t="s">
        <v>181</v>
      </c>
      <c r="D244" s="60"/>
      <c r="E244" s="19">
        <v>0.0</v>
      </c>
      <c r="F244" s="19">
        <v>0.0</v>
      </c>
      <c r="G244" s="19">
        <v>0.0</v>
      </c>
      <c r="H244" s="19">
        <v>0.0</v>
      </c>
      <c r="I244" s="19">
        <v>0.0</v>
      </c>
      <c r="J244" s="19">
        <v>0.0</v>
      </c>
      <c r="K244" s="19">
        <v>0.0</v>
      </c>
      <c r="L244" s="19">
        <v>0.0</v>
      </c>
      <c r="M244" s="19">
        <v>0.0</v>
      </c>
      <c r="N244" s="19">
        <v>2.0</v>
      </c>
      <c r="O244" s="19">
        <v>0.0</v>
      </c>
      <c r="P244" s="13">
        <f t="shared" si="46"/>
        <v>2</v>
      </c>
    </row>
    <row r="245" ht="12.75" customHeight="1">
      <c r="A245" s="18"/>
      <c r="B245" s="56"/>
      <c r="C245" s="57"/>
      <c r="D245" s="62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3">
        <f t="shared" si="46"/>
        <v>0</v>
      </c>
    </row>
    <row r="246" ht="12.75" customHeight="1">
      <c r="A246" s="18"/>
      <c r="B246" s="56"/>
      <c r="C246" s="57"/>
      <c r="D246" s="62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3">
        <f t="shared" si="46"/>
        <v>0</v>
      </c>
    </row>
    <row r="247" ht="12.75" customHeight="1">
      <c r="A247" s="19" t="s">
        <v>15</v>
      </c>
      <c r="B247" s="47" t="s">
        <v>47</v>
      </c>
      <c r="C247" s="15"/>
      <c r="D247" s="16"/>
      <c r="E247" s="13">
        <f t="shared" ref="E247:P247" si="47">SUM(E237:E246)</f>
        <v>4</v>
      </c>
      <c r="F247" s="13">
        <f t="shared" si="47"/>
        <v>18</v>
      </c>
      <c r="G247" s="13">
        <f t="shared" si="47"/>
        <v>28</v>
      </c>
      <c r="H247" s="13">
        <f t="shared" si="47"/>
        <v>32</v>
      </c>
      <c r="I247" s="13">
        <f t="shared" si="47"/>
        <v>20</v>
      </c>
      <c r="J247" s="13">
        <f t="shared" si="47"/>
        <v>74</v>
      </c>
      <c r="K247" s="13">
        <f t="shared" si="47"/>
        <v>55</v>
      </c>
      <c r="L247" s="13">
        <f t="shared" si="47"/>
        <v>44</v>
      </c>
      <c r="M247" s="13">
        <f t="shared" si="47"/>
        <v>54</v>
      </c>
      <c r="N247" s="13">
        <f t="shared" si="47"/>
        <v>55</v>
      </c>
      <c r="O247" s="13">
        <f t="shared" si="47"/>
        <v>20</v>
      </c>
      <c r="P247" s="13">
        <f t="shared" si="47"/>
        <v>404</v>
      </c>
    </row>
    <row r="248" ht="12.75" customHeight="1">
      <c r="A248" s="24"/>
      <c r="B248" s="15"/>
      <c r="C248" s="15"/>
      <c r="D248" s="15"/>
      <c r="E248" s="16"/>
    </row>
    <row r="249" ht="12.75" customHeight="1">
      <c r="A249" s="30" t="s">
        <v>37</v>
      </c>
      <c r="B249" s="47" t="s">
        <v>182</v>
      </c>
      <c r="C249" s="48" t="s">
        <v>183</v>
      </c>
      <c r="D249" s="16"/>
      <c r="E249" s="19">
        <v>0.0</v>
      </c>
      <c r="F249" s="19">
        <v>0.0</v>
      </c>
      <c r="G249" s="19">
        <v>0.0</v>
      </c>
      <c r="H249" s="19">
        <v>0.0</v>
      </c>
      <c r="I249" s="19">
        <v>0.0</v>
      </c>
      <c r="J249" s="19">
        <v>0.0</v>
      </c>
      <c r="K249" s="19">
        <v>0.0</v>
      </c>
      <c r="L249" s="19">
        <v>0.0</v>
      </c>
      <c r="M249" s="19">
        <v>0.0</v>
      </c>
      <c r="N249" s="19">
        <v>0.0</v>
      </c>
      <c r="O249" s="19">
        <v>0.0</v>
      </c>
      <c r="P249" s="13">
        <f t="shared" ref="P249:P258" si="48">SUM(E249:O249)</f>
        <v>0</v>
      </c>
    </row>
    <row r="250" ht="12.75" customHeight="1">
      <c r="A250" s="30" t="s">
        <v>39</v>
      </c>
      <c r="B250" s="55">
        <v>1.0</v>
      </c>
      <c r="C250" s="67" t="s">
        <v>184</v>
      </c>
      <c r="D250" s="60"/>
      <c r="E250" s="19">
        <v>0.0</v>
      </c>
      <c r="F250" s="19">
        <v>0.0</v>
      </c>
      <c r="G250" s="19">
        <v>0.0</v>
      </c>
      <c r="H250" s="19">
        <v>0.0</v>
      </c>
      <c r="I250" s="19">
        <v>0.0</v>
      </c>
      <c r="J250" s="19">
        <v>0.0</v>
      </c>
      <c r="K250" s="19">
        <v>0.0</v>
      </c>
      <c r="L250" s="19">
        <v>0.0</v>
      </c>
      <c r="M250" s="19">
        <v>0.0</v>
      </c>
      <c r="N250" s="19">
        <v>0.0</v>
      </c>
      <c r="O250" s="19">
        <v>0.0</v>
      </c>
      <c r="P250" s="13">
        <f t="shared" si="48"/>
        <v>0</v>
      </c>
    </row>
    <row r="251" ht="12.75" customHeight="1">
      <c r="A251" s="18"/>
      <c r="B251" s="55">
        <v>2.0</v>
      </c>
      <c r="C251" s="67" t="s">
        <v>185</v>
      </c>
      <c r="D251" s="60"/>
      <c r="E251" s="19">
        <v>0.0</v>
      </c>
      <c r="F251" s="19">
        <v>0.0</v>
      </c>
      <c r="G251" s="19">
        <v>0.0</v>
      </c>
      <c r="H251" s="19">
        <v>0.0</v>
      </c>
      <c r="I251" s="19">
        <v>0.0</v>
      </c>
      <c r="J251" s="19">
        <v>0.0</v>
      </c>
      <c r="K251" s="19">
        <v>0.0</v>
      </c>
      <c r="L251" s="19">
        <v>0.0</v>
      </c>
      <c r="M251" s="19">
        <v>1.0</v>
      </c>
      <c r="N251" s="19">
        <v>0.0</v>
      </c>
      <c r="O251" s="19">
        <v>0.0</v>
      </c>
      <c r="P251" s="13">
        <f t="shared" si="48"/>
        <v>1</v>
      </c>
    </row>
    <row r="252" ht="12.75" customHeight="1">
      <c r="A252" s="18"/>
      <c r="B252" s="55">
        <v>3.0</v>
      </c>
      <c r="C252" s="67" t="s">
        <v>186</v>
      </c>
      <c r="D252" s="60"/>
      <c r="E252" s="19">
        <v>0.0</v>
      </c>
      <c r="F252" s="19">
        <v>0.0</v>
      </c>
      <c r="G252" s="19">
        <v>0.0</v>
      </c>
      <c r="H252" s="19">
        <v>0.0</v>
      </c>
      <c r="I252" s="19">
        <v>0.0</v>
      </c>
      <c r="J252" s="19">
        <v>0.0</v>
      </c>
      <c r="K252" s="19">
        <v>0.0</v>
      </c>
      <c r="L252" s="19">
        <v>0.0</v>
      </c>
      <c r="M252" s="19">
        <v>0.0</v>
      </c>
      <c r="N252" s="19">
        <v>0.0</v>
      </c>
      <c r="O252" s="19">
        <v>0.0</v>
      </c>
      <c r="P252" s="13">
        <f t="shared" si="48"/>
        <v>0</v>
      </c>
    </row>
    <row r="253" ht="12.75" customHeight="1">
      <c r="A253" s="18"/>
      <c r="B253" s="55">
        <v>4.0</v>
      </c>
      <c r="C253" s="67" t="s">
        <v>187</v>
      </c>
      <c r="D253" s="60"/>
      <c r="E253" s="19">
        <v>0.0</v>
      </c>
      <c r="F253" s="19">
        <v>0.0</v>
      </c>
      <c r="G253" s="19">
        <v>0.0</v>
      </c>
      <c r="H253" s="19">
        <v>0.0</v>
      </c>
      <c r="I253" s="19">
        <v>0.0</v>
      </c>
      <c r="J253" s="19">
        <v>0.0</v>
      </c>
      <c r="K253" s="19">
        <v>0.0</v>
      </c>
      <c r="L253" s="19">
        <v>0.0</v>
      </c>
      <c r="M253" s="19">
        <v>0.0</v>
      </c>
      <c r="N253" s="19">
        <v>0.0</v>
      </c>
      <c r="O253" s="19">
        <v>0.0</v>
      </c>
      <c r="P253" s="13">
        <f t="shared" si="48"/>
        <v>0</v>
      </c>
    </row>
    <row r="254" ht="12.75" customHeight="1">
      <c r="A254" s="18"/>
      <c r="B254" s="55">
        <v>5.0</v>
      </c>
      <c r="C254" s="67" t="s">
        <v>188</v>
      </c>
      <c r="D254" s="60"/>
      <c r="E254" s="19">
        <v>0.0</v>
      </c>
      <c r="F254" s="19">
        <v>0.0</v>
      </c>
      <c r="G254" s="19">
        <v>0.0</v>
      </c>
      <c r="H254" s="19">
        <v>0.0</v>
      </c>
      <c r="I254" s="19">
        <v>0.0</v>
      </c>
      <c r="J254" s="19">
        <v>0.0</v>
      </c>
      <c r="K254" s="19">
        <v>0.0</v>
      </c>
      <c r="L254" s="19">
        <v>0.0</v>
      </c>
      <c r="M254" s="19">
        <v>0.0</v>
      </c>
      <c r="N254" s="19">
        <v>0.0</v>
      </c>
      <c r="O254" s="19">
        <v>0.0</v>
      </c>
      <c r="P254" s="13">
        <f t="shared" si="48"/>
        <v>0</v>
      </c>
    </row>
    <row r="255" ht="12.75" customHeight="1">
      <c r="A255" s="18"/>
      <c r="B255" s="55">
        <v>6.0</v>
      </c>
      <c r="C255" s="67" t="s">
        <v>189</v>
      </c>
      <c r="D255" s="60"/>
      <c r="E255" s="19">
        <v>0.0</v>
      </c>
      <c r="F255" s="19">
        <v>0.0</v>
      </c>
      <c r="G255" s="19">
        <v>0.0</v>
      </c>
      <c r="H255" s="19">
        <v>0.0</v>
      </c>
      <c r="I255" s="19">
        <v>0.0</v>
      </c>
      <c r="J255" s="19">
        <v>0.0</v>
      </c>
      <c r="K255" s="19">
        <v>0.0</v>
      </c>
      <c r="L255" s="19">
        <v>0.0</v>
      </c>
      <c r="M255" s="19">
        <v>0.0</v>
      </c>
      <c r="N255" s="19">
        <v>1.0</v>
      </c>
      <c r="O255" s="19">
        <v>0.0</v>
      </c>
      <c r="P255" s="13">
        <f t="shared" si="48"/>
        <v>1</v>
      </c>
    </row>
    <row r="256" ht="12.75" customHeight="1">
      <c r="A256" s="18"/>
      <c r="B256" s="56"/>
      <c r="C256" s="68"/>
      <c r="D256" s="62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3">
        <f t="shared" si="48"/>
        <v>0</v>
      </c>
    </row>
    <row r="257" ht="12.75" customHeight="1">
      <c r="A257" s="18"/>
      <c r="B257" s="56"/>
      <c r="C257" s="68"/>
      <c r="D257" s="62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3">
        <f t="shared" si="48"/>
        <v>0</v>
      </c>
    </row>
    <row r="258" ht="12.75" customHeight="1">
      <c r="A258" s="18"/>
      <c r="B258" s="56"/>
      <c r="C258" s="68"/>
      <c r="D258" s="62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3">
        <f t="shared" si="48"/>
        <v>0</v>
      </c>
    </row>
    <row r="259" ht="12.75" customHeight="1">
      <c r="A259" s="19" t="s">
        <v>15</v>
      </c>
      <c r="B259" s="47" t="s">
        <v>47</v>
      </c>
      <c r="C259" s="15"/>
      <c r="D259" s="16"/>
      <c r="E259" s="13">
        <f t="shared" ref="E259:P259" si="49">SUM(E249:E258)</f>
        <v>0</v>
      </c>
      <c r="F259" s="13">
        <f t="shared" si="49"/>
        <v>0</v>
      </c>
      <c r="G259" s="13">
        <f t="shared" si="49"/>
        <v>0</v>
      </c>
      <c r="H259" s="13">
        <f t="shared" si="49"/>
        <v>0</v>
      </c>
      <c r="I259" s="13">
        <f t="shared" si="49"/>
        <v>0</v>
      </c>
      <c r="J259" s="13">
        <f t="shared" si="49"/>
        <v>0</v>
      </c>
      <c r="K259" s="13">
        <f t="shared" si="49"/>
        <v>0</v>
      </c>
      <c r="L259" s="13">
        <f t="shared" si="49"/>
        <v>0</v>
      </c>
      <c r="M259" s="13">
        <f t="shared" si="49"/>
        <v>1</v>
      </c>
      <c r="N259" s="13">
        <f t="shared" si="49"/>
        <v>1</v>
      </c>
      <c r="O259" s="13">
        <f t="shared" si="49"/>
        <v>0</v>
      </c>
      <c r="P259" s="13">
        <f t="shared" si="49"/>
        <v>2</v>
      </c>
    </row>
    <row r="260" ht="12.75" customHeight="1"/>
    <row r="261" ht="12.75" customHeight="1">
      <c r="A261" s="42" t="s">
        <v>190</v>
      </c>
      <c r="B261" s="14" t="s">
        <v>191</v>
      </c>
      <c r="C261" s="15"/>
      <c r="D261" s="16"/>
      <c r="E261" s="13"/>
      <c r="F261" s="13"/>
      <c r="G261" s="13"/>
      <c r="H261" s="13"/>
      <c r="I261" s="13"/>
      <c r="J261" s="13"/>
      <c r="K261" s="13"/>
      <c r="L261" s="13"/>
      <c r="M261" s="13"/>
      <c r="N261" s="78"/>
      <c r="O261" s="78"/>
      <c r="P261" s="13"/>
    </row>
    <row r="262" ht="12.75" customHeight="1">
      <c r="A262" s="42"/>
      <c r="B262" s="71" t="s">
        <v>192</v>
      </c>
      <c r="C262" s="72" t="s">
        <v>193</v>
      </c>
      <c r="D262" s="16"/>
      <c r="E262" s="19">
        <f t="shared" ref="E262:O262" si="50">E55+E67+E79+E91+E103+E115+E127+E139+E151+E163+E175+E187+E199+E211+E223+E235+E247+E259</f>
        <v>223</v>
      </c>
      <c r="F262" s="19">
        <f t="shared" si="50"/>
        <v>191</v>
      </c>
      <c r="G262" s="19">
        <f t="shared" si="50"/>
        <v>218</v>
      </c>
      <c r="H262" s="19">
        <f t="shared" si="50"/>
        <v>163</v>
      </c>
      <c r="I262" s="19">
        <f t="shared" si="50"/>
        <v>191</v>
      </c>
      <c r="J262" s="19">
        <f t="shared" si="50"/>
        <v>196</v>
      </c>
      <c r="K262" s="19">
        <f t="shared" si="50"/>
        <v>145</v>
      </c>
      <c r="L262" s="19">
        <f t="shared" si="50"/>
        <v>161</v>
      </c>
      <c r="M262" s="19">
        <f t="shared" si="50"/>
        <v>196</v>
      </c>
      <c r="N262" s="19">
        <f t="shared" si="50"/>
        <v>191</v>
      </c>
      <c r="O262" s="19">
        <f t="shared" si="50"/>
        <v>181</v>
      </c>
      <c r="P262" s="13">
        <f t="shared" ref="P262:P264" si="51">SUM(E262:O262)</f>
        <v>2056</v>
      </c>
    </row>
    <row r="263" ht="12.75" customHeight="1">
      <c r="A263" s="35"/>
      <c r="B263" s="71" t="s">
        <v>194</v>
      </c>
      <c r="C263" s="72" t="s">
        <v>195</v>
      </c>
      <c r="D263" s="16"/>
      <c r="E263" s="19">
        <v>12.0</v>
      </c>
      <c r="F263" s="19">
        <v>6.0</v>
      </c>
      <c r="G263" s="19">
        <v>10.0</v>
      </c>
      <c r="H263" s="19">
        <v>3.0</v>
      </c>
      <c r="I263" s="19">
        <v>5.0</v>
      </c>
      <c r="J263" s="19">
        <v>11.0</v>
      </c>
      <c r="K263" s="19">
        <v>22.0</v>
      </c>
      <c r="L263" s="19">
        <v>20.0</v>
      </c>
      <c r="M263" s="19">
        <v>12.0</v>
      </c>
      <c r="N263" s="19">
        <v>33.0</v>
      </c>
      <c r="O263" s="19">
        <v>8.0</v>
      </c>
      <c r="P263" s="13">
        <f t="shared" si="51"/>
        <v>142</v>
      </c>
    </row>
    <row r="264" ht="12.75" customHeight="1">
      <c r="A264" s="41"/>
      <c r="B264" s="71" t="s">
        <v>196</v>
      </c>
      <c r="C264" s="72" t="s">
        <v>197</v>
      </c>
      <c r="D264" s="16"/>
      <c r="E264" s="13">
        <f t="shared" ref="E264:O264" si="52">SUM(E262:E263)</f>
        <v>235</v>
      </c>
      <c r="F264" s="13">
        <f t="shared" si="52"/>
        <v>197</v>
      </c>
      <c r="G264" s="13">
        <f t="shared" si="52"/>
        <v>228</v>
      </c>
      <c r="H264" s="13">
        <f t="shared" si="52"/>
        <v>166</v>
      </c>
      <c r="I264" s="13">
        <f t="shared" si="52"/>
        <v>196</v>
      </c>
      <c r="J264" s="13">
        <f t="shared" si="52"/>
        <v>207</v>
      </c>
      <c r="K264" s="13">
        <f t="shared" si="52"/>
        <v>167</v>
      </c>
      <c r="L264" s="13">
        <f t="shared" si="52"/>
        <v>181</v>
      </c>
      <c r="M264" s="13">
        <f t="shared" si="52"/>
        <v>208</v>
      </c>
      <c r="N264" s="13">
        <f t="shared" si="52"/>
        <v>224</v>
      </c>
      <c r="O264" s="13">
        <f t="shared" si="52"/>
        <v>189</v>
      </c>
      <c r="P264" s="13">
        <f t="shared" si="51"/>
        <v>2198</v>
      </c>
    </row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93">
    <mergeCell ref="B55:D55"/>
    <mergeCell ref="A56:E56"/>
    <mergeCell ref="C57:D57"/>
    <mergeCell ref="B67:D67"/>
    <mergeCell ref="A68:E68"/>
    <mergeCell ref="C69:D69"/>
    <mergeCell ref="B79:D79"/>
    <mergeCell ref="A80:E80"/>
    <mergeCell ref="C81:D81"/>
    <mergeCell ref="B91:D91"/>
    <mergeCell ref="A92:E92"/>
    <mergeCell ref="C93:D93"/>
    <mergeCell ref="B103:D103"/>
    <mergeCell ref="A104:E104"/>
    <mergeCell ref="B127:D127"/>
    <mergeCell ref="A128:E128"/>
    <mergeCell ref="C129:D129"/>
    <mergeCell ref="B139:D139"/>
    <mergeCell ref="A140:E140"/>
    <mergeCell ref="C141:D141"/>
    <mergeCell ref="B151:D151"/>
    <mergeCell ref="A152:E152"/>
    <mergeCell ref="C153:D153"/>
    <mergeCell ref="B163:D163"/>
    <mergeCell ref="A164:E164"/>
    <mergeCell ref="C165:D165"/>
    <mergeCell ref="B175:D175"/>
    <mergeCell ref="A176:E176"/>
    <mergeCell ref="C177:D177"/>
    <mergeCell ref="B187:D187"/>
    <mergeCell ref="A188:E188"/>
    <mergeCell ref="C189:D189"/>
    <mergeCell ref="B199:D199"/>
    <mergeCell ref="A200:E200"/>
    <mergeCell ref="C201:D201"/>
    <mergeCell ref="B211:D211"/>
    <mergeCell ref="A212:E212"/>
    <mergeCell ref="C213:D213"/>
    <mergeCell ref="B223:D223"/>
    <mergeCell ref="A224:E224"/>
    <mergeCell ref="C225:D225"/>
    <mergeCell ref="B235:D235"/>
    <mergeCell ref="C262:D262"/>
    <mergeCell ref="C263:D263"/>
    <mergeCell ref="C264:D264"/>
    <mergeCell ref="A236:E236"/>
    <mergeCell ref="C237:D237"/>
    <mergeCell ref="B247:D247"/>
    <mergeCell ref="A248:E248"/>
    <mergeCell ref="C249:D249"/>
    <mergeCell ref="B259:D259"/>
    <mergeCell ref="B261:D261"/>
    <mergeCell ref="B12:D12"/>
    <mergeCell ref="E12:O12"/>
    <mergeCell ref="P12:P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B38:D38"/>
    <mergeCell ref="B39:C41"/>
    <mergeCell ref="A42:D42"/>
    <mergeCell ref="E42:I42"/>
    <mergeCell ref="B43:D43"/>
    <mergeCell ref="A44:D44"/>
    <mergeCell ref="C45:D45"/>
    <mergeCell ref="C46:D46"/>
    <mergeCell ref="C47:D47"/>
    <mergeCell ref="C48:D48"/>
    <mergeCell ref="C49:D49"/>
    <mergeCell ref="C50:D50"/>
    <mergeCell ref="C51:D51"/>
    <mergeCell ref="C52:D52"/>
    <mergeCell ref="C105:D105"/>
    <mergeCell ref="B115:D115"/>
    <mergeCell ref="A116:E116"/>
    <mergeCell ref="C117:D117"/>
  </mergeCells>
  <conditionalFormatting sqref="E14:O15">
    <cfRule type="containsBlanks" dxfId="1" priority="1">
      <formula>LEN(TRIM(E14))=0</formula>
    </cfRule>
  </conditionalFormatting>
  <conditionalFormatting sqref="E19:O20">
    <cfRule type="containsBlanks" dxfId="1" priority="2">
      <formula>LEN(TRIM(E19))=0</formula>
    </cfRule>
  </conditionalFormatting>
  <conditionalFormatting sqref="E22:O23 E25:O26 E33:O33 E35:O35 E39:O40">
    <cfRule type="containsBlanks" dxfId="1" priority="3">
      <formula>LEN(TRIM(E22))=0</formula>
    </cfRule>
  </conditionalFormatting>
  <conditionalFormatting sqref="E30:O30">
    <cfRule type="expression" dxfId="0" priority="4">
      <formula>E30&lt;&gt;E47</formula>
    </cfRule>
  </conditionalFormatting>
  <conditionalFormatting sqref="E30:O30">
    <cfRule type="expression" dxfId="0" priority="5">
      <formula>E30&lt;&gt;E34</formula>
    </cfRule>
  </conditionalFormatting>
  <conditionalFormatting sqref="E34:O34">
    <cfRule type="expression" dxfId="2" priority="6">
      <formula>E30&lt;&gt;E34</formula>
    </cfRule>
  </conditionalFormatting>
  <conditionalFormatting sqref="E34:O34">
    <cfRule type="expression" dxfId="3" priority="7">
      <formula>E30=E34</formula>
    </cfRule>
  </conditionalFormatting>
  <conditionalFormatting sqref="E34:O34">
    <cfRule type="expression" dxfId="0" priority="8">
      <formula>E34&lt;&gt;E30</formula>
    </cfRule>
  </conditionalFormatting>
  <conditionalFormatting sqref="E34:O34">
    <cfRule type="expression" dxfId="0" priority="9">
      <formula>E34&lt;&gt;E64</formula>
    </cfRule>
  </conditionalFormatting>
  <conditionalFormatting sqref="E45:O54">
    <cfRule type="containsBlanks" dxfId="1" priority="10">
      <formula>LEN(TRIM(E45))=0</formula>
    </cfRule>
  </conditionalFormatting>
  <conditionalFormatting sqref="E57:O66">
    <cfRule type="containsBlanks" dxfId="1" priority="11">
      <formula>LEN(TRIM(E57))=0</formula>
    </cfRule>
  </conditionalFormatting>
  <conditionalFormatting sqref="E69:O78">
    <cfRule type="containsBlanks" dxfId="1" priority="12">
      <formula>LEN(TRIM(E69))=0</formula>
    </cfRule>
  </conditionalFormatting>
  <conditionalFormatting sqref="E81:O90">
    <cfRule type="containsBlanks" dxfId="1" priority="13">
      <formula>LEN(TRIM(E81))=0</formula>
    </cfRule>
  </conditionalFormatting>
  <conditionalFormatting sqref="E93:O102">
    <cfRule type="containsBlanks" dxfId="1" priority="14">
      <formula>LEN(TRIM(E93))=0</formula>
    </cfRule>
  </conditionalFormatting>
  <conditionalFormatting sqref="E105:O114">
    <cfRule type="containsBlanks" dxfId="1" priority="15">
      <formula>LEN(TRIM(E105))=0</formula>
    </cfRule>
  </conditionalFormatting>
  <conditionalFormatting sqref="E117:O126">
    <cfRule type="containsBlanks" dxfId="1" priority="16">
      <formula>LEN(TRIM(E117))=0</formula>
    </cfRule>
  </conditionalFormatting>
  <conditionalFormatting sqref="E129:O138">
    <cfRule type="containsBlanks" dxfId="1" priority="17">
      <formula>LEN(TRIM(E129))=0</formula>
    </cfRule>
  </conditionalFormatting>
  <conditionalFormatting sqref="E141:O150">
    <cfRule type="containsBlanks" dxfId="1" priority="18">
      <formula>LEN(TRIM(E141))=0</formula>
    </cfRule>
  </conditionalFormatting>
  <conditionalFormatting sqref="E153:O162">
    <cfRule type="containsBlanks" dxfId="1" priority="19">
      <formula>LEN(TRIM(E153))=0</formula>
    </cfRule>
  </conditionalFormatting>
  <conditionalFormatting sqref="E165:O174">
    <cfRule type="containsBlanks" dxfId="1" priority="20">
      <formula>LEN(TRIM(E165))=0</formula>
    </cfRule>
  </conditionalFormatting>
  <conditionalFormatting sqref="E177:O186">
    <cfRule type="containsBlanks" dxfId="1" priority="21">
      <formula>LEN(TRIM(E177))=0</formula>
    </cfRule>
  </conditionalFormatting>
  <conditionalFormatting sqref="E189:O198">
    <cfRule type="containsBlanks" dxfId="1" priority="22">
      <formula>LEN(TRIM(E189))=0</formula>
    </cfRule>
  </conditionalFormatting>
  <conditionalFormatting sqref="E201:O210">
    <cfRule type="containsBlanks" dxfId="1" priority="23">
      <formula>LEN(TRIM(E201))=0</formula>
    </cfRule>
  </conditionalFormatting>
  <conditionalFormatting sqref="E213:O222">
    <cfRule type="containsBlanks" dxfId="1" priority="24">
      <formula>LEN(TRIM(E213))=0</formula>
    </cfRule>
  </conditionalFormatting>
  <conditionalFormatting sqref="E225:O234">
    <cfRule type="containsBlanks" dxfId="1" priority="25">
      <formula>LEN(TRIM(E225))=0</formula>
    </cfRule>
  </conditionalFormatting>
  <conditionalFormatting sqref="E237:O246">
    <cfRule type="containsBlanks" dxfId="1" priority="26">
      <formula>LEN(TRIM(E237))=0</formula>
    </cfRule>
  </conditionalFormatting>
  <conditionalFormatting sqref="E249:O258">
    <cfRule type="containsBlanks" dxfId="1" priority="27">
      <formula>LEN(TRIM(E249))=0</formula>
    </cfRule>
  </conditionalFormatting>
  <conditionalFormatting sqref="E262:O263">
    <cfRule type="containsBlanks" dxfId="1" priority="28">
      <formula>LEN(TRIM(E262))=0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13" width="8.71"/>
    <col customWidth="1" min="14" max="14" width="13.29"/>
    <col customWidth="1" min="15" max="26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198</v>
      </c>
      <c r="D9" s="8" t="s">
        <v>242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75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200</v>
      </c>
      <c r="F13" s="13" t="s">
        <v>201</v>
      </c>
      <c r="G13" s="13" t="s">
        <v>202</v>
      </c>
      <c r="H13" s="13" t="s">
        <v>203</v>
      </c>
      <c r="I13" s="13" t="s">
        <v>204</v>
      </c>
      <c r="J13" s="13" t="s">
        <v>205</v>
      </c>
      <c r="K13" s="13" t="s">
        <v>206</v>
      </c>
      <c r="L13" s="13" t="s">
        <v>207</v>
      </c>
      <c r="M13" s="13" t="s">
        <v>208</v>
      </c>
      <c r="N13" s="36"/>
    </row>
    <row r="14" ht="12.75" customHeight="1">
      <c r="A14" s="18"/>
      <c r="B14" s="22" t="s">
        <v>11</v>
      </c>
      <c r="C14" s="23"/>
      <c r="D14" s="19" t="s">
        <v>12</v>
      </c>
      <c r="E14" s="19">
        <v>97.0</v>
      </c>
      <c r="F14" s="19">
        <v>146.0</v>
      </c>
      <c r="G14" s="19">
        <v>123.0</v>
      </c>
      <c r="H14" s="19">
        <v>104.0</v>
      </c>
      <c r="I14" s="19">
        <v>122.0</v>
      </c>
      <c r="J14" s="19">
        <v>138.0</v>
      </c>
      <c r="K14" s="19">
        <v>129.0</v>
      </c>
      <c r="L14" s="19">
        <v>99.0</v>
      </c>
      <c r="M14" s="19">
        <v>134.0</v>
      </c>
      <c r="N14" s="13">
        <f t="shared" ref="N14:N16" si="1">SUM(E14:M14)</f>
        <v>1092</v>
      </c>
    </row>
    <row r="15" ht="12.75" customHeight="1">
      <c r="A15" s="18"/>
      <c r="B15" s="26"/>
      <c r="C15" s="27"/>
      <c r="D15" s="19" t="s">
        <v>13</v>
      </c>
      <c r="E15" s="19">
        <v>93.0</v>
      </c>
      <c r="F15" s="19">
        <v>147.0</v>
      </c>
      <c r="G15" s="19">
        <v>130.0</v>
      </c>
      <c r="H15" s="19">
        <v>114.0</v>
      </c>
      <c r="I15" s="19">
        <v>129.0</v>
      </c>
      <c r="J15" s="19">
        <v>124.0</v>
      </c>
      <c r="K15" s="19">
        <v>124.0</v>
      </c>
      <c r="L15" s="19">
        <v>97.0</v>
      </c>
      <c r="M15" s="19">
        <v>129.0</v>
      </c>
      <c r="N15" s="13">
        <f t="shared" si="1"/>
        <v>1087</v>
      </c>
    </row>
    <row r="16" ht="12.75" customHeight="1">
      <c r="A16" s="25"/>
      <c r="B16" s="21"/>
      <c r="C16" s="28"/>
      <c r="D16" s="13" t="s">
        <v>14</v>
      </c>
      <c r="E16" s="13">
        <f t="shared" ref="E16:M16" si="2">SUM(E14:E15)</f>
        <v>190</v>
      </c>
      <c r="F16" s="13">
        <f t="shared" si="2"/>
        <v>293</v>
      </c>
      <c r="G16" s="13">
        <f t="shared" si="2"/>
        <v>253</v>
      </c>
      <c r="H16" s="13">
        <f t="shared" si="2"/>
        <v>218</v>
      </c>
      <c r="I16" s="13">
        <f t="shared" si="2"/>
        <v>251</v>
      </c>
      <c r="J16" s="13">
        <f t="shared" si="2"/>
        <v>262</v>
      </c>
      <c r="K16" s="13">
        <f t="shared" si="2"/>
        <v>253</v>
      </c>
      <c r="L16" s="13">
        <f t="shared" si="2"/>
        <v>196</v>
      </c>
      <c r="M16" s="13">
        <f t="shared" si="2"/>
        <v>263</v>
      </c>
      <c r="N16" s="13">
        <f t="shared" si="1"/>
        <v>2179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77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77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19">
        <v>74.0</v>
      </c>
      <c r="F19" s="19">
        <v>115.0</v>
      </c>
      <c r="G19" s="19">
        <v>102.0</v>
      </c>
      <c r="H19" s="19">
        <v>81.0</v>
      </c>
      <c r="I19" s="19">
        <v>90.0</v>
      </c>
      <c r="J19" s="19">
        <v>113.0</v>
      </c>
      <c r="K19" s="19">
        <v>94.0</v>
      </c>
      <c r="L19" s="19">
        <v>79.0</v>
      </c>
      <c r="M19" s="19">
        <v>97.0</v>
      </c>
      <c r="N19" s="13">
        <f t="shared" ref="N19:N30" si="3">SUM(E19:M19)</f>
        <v>845</v>
      </c>
    </row>
    <row r="20" ht="12.75" customHeight="1">
      <c r="A20" s="33"/>
      <c r="B20" s="27"/>
      <c r="C20" s="34"/>
      <c r="D20" s="19" t="s">
        <v>13</v>
      </c>
      <c r="E20" s="19">
        <v>74.0</v>
      </c>
      <c r="F20" s="19">
        <v>120.0</v>
      </c>
      <c r="G20" s="19">
        <v>110.0</v>
      </c>
      <c r="H20" s="19">
        <v>89.0</v>
      </c>
      <c r="I20" s="19">
        <v>106.0</v>
      </c>
      <c r="J20" s="19">
        <v>98.0</v>
      </c>
      <c r="K20" s="19">
        <v>91.0</v>
      </c>
      <c r="L20" s="19">
        <v>81.0</v>
      </c>
      <c r="M20" s="19">
        <v>112.0</v>
      </c>
      <c r="N20" s="13">
        <f t="shared" si="3"/>
        <v>881</v>
      </c>
    </row>
    <row r="21" ht="12.75" customHeight="1">
      <c r="A21" s="35"/>
      <c r="B21" s="28"/>
      <c r="C21" s="36"/>
      <c r="D21" s="13" t="s">
        <v>14</v>
      </c>
      <c r="E21" s="13">
        <f t="shared" ref="E21:M21" si="4">SUM(E19:E20)</f>
        <v>148</v>
      </c>
      <c r="F21" s="13">
        <f t="shared" si="4"/>
        <v>235</v>
      </c>
      <c r="G21" s="13">
        <f t="shared" si="4"/>
        <v>212</v>
      </c>
      <c r="H21" s="13">
        <f t="shared" si="4"/>
        <v>170</v>
      </c>
      <c r="I21" s="13">
        <f t="shared" si="4"/>
        <v>196</v>
      </c>
      <c r="J21" s="13">
        <f t="shared" si="4"/>
        <v>211</v>
      </c>
      <c r="K21" s="13">
        <f t="shared" si="4"/>
        <v>185</v>
      </c>
      <c r="L21" s="13">
        <f t="shared" si="4"/>
        <v>160</v>
      </c>
      <c r="M21" s="13">
        <f t="shared" si="4"/>
        <v>209</v>
      </c>
      <c r="N21" s="13">
        <f t="shared" si="3"/>
        <v>1726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19"/>
      <c r="F22" s="19"/>
      <c r="G22" s="19"/>
      <c r="H22" s="19"/>
      <c r="I22" s="19"/>
      <c r="J22" s="19"/>
      <c r="K22" s="19"/>
      <c r="L22" s="19"/>
      <c r="M22" s="19"/>
      <c r="N22" s="13">
        <f t="shared" si="3"/>
        <v>0</v>
      </c>
    </row>
    <row r="23" ht="12.75" customHeight="1">
      <c r="A23" s="33"/>
      <c r="B23" s="27"/>
      <c r="C23" s="34"/>
      <c r="D23" s="19" t="s">
        <v>13</v>
      </c>
      <c r="E23" s="19"/>
      <c r="F23" s="19"/>
      <c r="G23" s="19"/>
      <c r="H23" s="19"/>
      <c r="I23" s="19"/>
      <c r="J23" s="19"/>
      <c r="K23" s="19"/>
      <c r="L23" s="19"/>
      <c r="M23" s="19"/>
      <c r="N23" s="13">
        <f t="shared" si="3"/>
        <v>0</v>
      </c>
    </row>
    <row r="24" ht="12.75" customHeight="1">
      <c r="A24" s="35"/>
      <c r="B24" s="28"/>
      <c r="C24" s="36"/>
      <c r="D24" s="13" t="s">
        <v>14</v>
      </c>
      <c r="E24" s="13">
        <f t="shared" ref="E24:M24" si="5">SUM(E22:E23)</f>
        <v>0</v>
      </c>
      <c r="F24" s="13">
        <f t="shared" si="5"/>
        <v>0</v>
      </c>
      <c r="G24" s="13">
        <f t="shared" si="5"/>
        <v>0</v>
      </c>
      <c r="H24" s="13">
        <f t="shared" si="5"/>
        <v>0</v>
      </c>
      <c r="I24" s="13">
        <f t="shared" si="5"/>
        <v>0</v>
      </c>
      <c r="J24" s="13">
        <f t="shared" si="5"/>
        <v>0</v>
      </c>
      <c r="K24" s="13">
        <f t="shared" si="5"/>
        <v>0</v>
      </c>
      <c r="L24" s="13">
        <f t="shared" si="5"/>
        <v>0</v>
      </c>
      <c r="M24" s="13">
        <f t="shared" si="5"/>
        <v>0</v>
      </c>
      <c r="N24" s="13">
        <f t="shared" si="3"/>
        <v>0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19"/>
      <c r="F25" s="19"/>
      <c r="G25" s="19"/>
      <c r="H25" s="19"/>
      <c r="I25" s="19"/>
      <c r="J25" s="19"/>
      <c r="K25" s="19">
        <v>1.0</v>
      </c>
      <c r="L25" s="19"/>
      <c r="M25" s="19"/>
      <c r="N25" s="13">
        <f t="shared" si="3"/>
        <v>1</v>
      </c>
    </row>
    <row r="26" ht="12.75" customHeight="1">
      <c r="A26" s="33"/>
      <c r="B26" s="27"/>
      <c r="C26" s="34"/>
      <c r="D26" s="19" t="s">
        <v>13</v>
      </c>
      <c r="E26" s="19"/>
      <c r="F26" s="19"/>
      <c r="G26" s="19"/>
      <c r="H26" s="19"/>
      <c r="I26" s="19"/>
      <c r="J26" s="19"/>
      <c r="K26" s="19">
        <v>1.0</v>
      </c>
      <c r="L26" s="19"/>
      <c r="M26" s="19"/>
      <c r="N26" s="13">
        <f t="shared" si="3"/>
        <v>1</v>
      </c>
    </row>
    <row r="27" ht="12.75" customHeight="1">
      <c r="A27" s="35"/>
      <c r="B27" s="28"/>
      <c r="C27" s="36"/>
      <c r="D27" s="13" t="s">
        <v>14</v>
      </c>
      <c r="E27" s="13">
        <f t="shared" ref="E27:M27" si="6">SUM(E25:E26)</f>
        <v>0</v>
      </c>
      <c r="F27" s="13">
        <f t="shared" si="6"/>
        <v>0</v>
      </c>
      <c r="G27" s="13">
        <f t="shared" si="6"/>
        <v>0</v>
      </c>
      <c r="H27" s="13">
        <f t="shared" si="6"/>
        <v>0</v>
      </c>
      <c r="I27" s="13">
        <f t="shared" si="6"/>
        <v>0</v>
      </c>
      <c r="J27" s="13">
        <f t="shared" si="6"/>
        <v>0</v>
      </c>
      <c r="K27" s="13">
        <f t="shared" si="6"/>
        <v>2</v>
      </c>
      <c r="L27" s="13">
        <f t="shared" si="6"/>
        <v>0</v>
      </c>
      <c r="M27" s="13">
        <f t="shared" si="6"/>
        <v>0</v>
      </c>
      <c r="N27" s="13">
        <f t="shared" si="3"/>
        <v>2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M28" si="7">SUM(E19,E22,E25)</f>
        <v>74</v>
      </c>
      <c r="F28" s="13">
        <f t="shared" si="7"/>
        <v>115</v>
      </c>
      <c r="G28" s="13">
        <f t="shared" si="7"/>
        <v>102</v>
      </c>
      <c r="H28" s="13">
        <f t="shared" si="7"/>
        <v>81</v>
      </c>
      <c r="I28" s="13">
        <f t="shared" si="7"/>
        <v>90</v>
      </c>
      <c r="J28" s="13">
        <f t="shared" si="7"/>
        <v>113</v>
      </c>
      <c r="K28" s="13">
        <f t="shared" si="7"/>
        <v>95</v>
      </c>
      <c r="L28" s="13">
        <f t="shared" si="7"/>
        <v>79</v>
      </c>
      <c r="M28" s="13">
        <f t="shared" si="7"/>
        <v>97</v>
      </c>
      <c r="N28" s="13">
        <f t="shared" si="3"/>
        <v>846</v>
      </c>
    </row>
    <row r="29" ht="12.75" customHeight="1">
      <c r="A29" s="35"/>
      <c r="B29" s="27"/>
      <c r="C29" s="34"/>
      <c r="D29" s="13" t="s">
        <v>13</v>
      </c>
      <c r="E29" s="13">
        <f t="shared" ref="E29:M29" si="8">SUM(E20,E23,E26)</f>
        <v>74</v>
      </c>
      <c r="F29" s="13">
        <f t="shared" si="8"/>
        <v>120</v>
      </c>
      <c r="G29" s="13">
        <f t="shared" si="8"/>
        <v>110</v>
      </c>
      <c r="H29" s="13">
        <f t="shared" si="8"/>
        <v>89</v>
      </c>
      <c r="I29" s="13">
        <f t="shared" si="8"/>
        <v>106</v>
      </c>
      <c r="J29" s="13">
        <f t="shared" si="8"/>
        <v>98</v>
      </c>
      <c r="K29" s="13">
        <f t="shared" si="8"/>
        <v>92</v>
      </c>
      <c r="L29" s="13">
        <f t="shared" si="8"/>
        <v>81</v>
      </c>
      <c r="M29" s="13">
        <f t="shared" si="8"/>
        <v>112</v>
      </c>
      <c r="N29" s="13">
        <f t="shared" si="3"/>
        <v>882</v>
      </c>
    </row>
    <row r="30" ht="12.75" customHeight="1">
      <c r="A30" s="35"/>
      <c r="B30" s="28"/>
      <c r="C30" s="36"/>
      <c r="D30" s="13" t="s">
        <v>14</v>
      </c>
      <c r="E30" s="13">
        <f t="shared" ref="E30:M30" si="9">SUM(E28:E29)</f>
        <v>148</v>
      </c>
      <c r="F30" s="13">
        <f t="shared" si="9"/>
        <v>235</v>
      </c>
      <c r="G30" s="13">
        <f t="shared" si="9"/>
        <v>212</v>
      </c>
      <c r="H30" s="13">
        <f t="shared" si="9"/>
        <v>170</v>
      </c>
      <c r="I30" s="13">
        <f t="shared" si="9"/>
        <v>196</v>
      </c>
      <c r="J30" s="13">
        <f t="shared" si="9"/>
        <v>211</v>
      </c>
      <c r="K30" s="13">
        <f t="shared" si="9"/>
        <v>187</v>
      </c>
      <c r="L30" s="13">
        <f t="shared" si="9"/>
        <v>160</v>
      </c>
      <c r="M30" s="13">
        <f t="shared" si="9"/>
        <v>209</v>
      </c>
      <c r="N30" s="13">
        <f t="shared" si="3"/>
        <v>1728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77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77"/>
    </row>
    <row r="33" ht="12.75" customHeight="1">
      <c r="A33" s="19">
        <v>1.0</v>
      </c>
      <c r="B33" s="20" t="s">
        <v>27</v>
      </c>
      <c r="C33" s="15"/>
      <c r="D33" s="16"/>
      <c r="E33" s="19">
        <v>194.0</v>
      </c>
      <c r="F33" s="19">
        <v>299.0</v>
      </c>
      <c r="G33" s="19">
        <v>259.0</v>
      </c>
      <c r="H33" s="19">
        <v>223.0</v>
      </c>
      <c r="I33" s="19">
        <v>257.0</v>
      </c>
      <c r="J33" s="19">
        <v>268.0</v>
      </c>
      <c r="K33" s="19">
        <v>259.0</v>
      </c>
      <c r="L33" s="19">
        <v>200.0</v>
      </c>
      <c r="M33" s="19">
        <v>269.0</v>
      </c>
      <c r="N33" s="13">
        <v>2228.0</v>
      </c>
    </row>
    <row r="34" ht="12.75" customHeight="1">
      <c r="A34" s="19">
        <v>2.0</v>
      </c>
      <c r="B34" s="20" t="s">
        <v>28</v>
      </c>
      <c r="C34" s="15"/>
      <c r="D34" s="16"/>
      <c r="E34" s="13">
        <v>148.0</v>
      </c>
      <c r="F34" s="13">
        <v>235.0</v>
      </c>
      <c r="G34" s="13">
        <v>212.0</v>
      </c>
      <c r="H34" s="13">
        <v>170.0</v>
      </c>
      <c r="I34" s="13">
        <v>196.0</v>
      </c>
      <c r="J34" s="13">
        <v>211.0</v>
      </c>
      <c r="K34" s="13">
        <v>187.0</v>
      </c>
      <c r="L34" s="13">
        <v>160.0</v>
      </c>
      <c r="M34" s="13">
        <v>209.0</v>
      </c>
      <c r="N34" s="13">
        <v>1728.0</v>
      </c>
    </row>
    <row r="35" ht="12.75" customHeight="1">
      <c r="A35" s="19">
        <v>3.0</v>
      </c>
      <c r="B35" s="20" t="s">
        <v>29</v>
      </c>
      <c r="C35" s="15"/>
      <c r="D35" s="16"/>
      <c r="E35" s="19">
        <v>2.0</v>
      </c>
      <c r="F35" s="19">
        <v>0.0</v>
      </c>
      <c r="G35" s="19">
        <v>0.0</v>
      </c>
      <c r="H35" s="19">
        <v>0.0</v>
      </c>
      <c r="I35" s="19">
        <v>0.0</v>
      </c>
      <c r="J35" s="19">
        <v>2.0</v>
      </c>
      <c r="K35" s="19">
        <v>0.0</v>
      </c>
      <c r="L35" s="19">
        <v>0.0</v>
      </c>
      <c r="M35" s="19">
        <v>1.0</v>
      </c>
      <c r="N35" s="13">
        <v>5.0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M36" si="10">E33-(E34+E35)</f>
        <v>44</v>
      </c>
      <c r="F36" s="13">
        <f t="shared" si="10"/>
        <v>64</v>
      </c>
      <c r="G36" s="13">
        <f t="shared" si="10"/>
        <v>47</v>
      </c>
      <c r="H36" s="13">
        <f t="shared" si="10"/>
        <v>53</v>
      </c>
      <c r="I36" s="13">
        <f t="shared" si="10"/>
        <v>61</v>
      </c>
      <c r="J36" s="13">
        <f t="shared" si="10"/>
        <v>55</v>
      </c>
      <c r="K36" s="13">
        <f t="shared" si="10"/>
        <v>72</v>
      </c>
      <c r="L36" s="13">
        <f t="shared" si="10"/>
        <v>40</v>
      </c>
      <c r="M36" s="13">
        <f t="shared" si="10"/>
        <v>59</v>
      </c>
      <c r="N36" s="13">
        <f>SUM(E36:M36)</f>
        <v>495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19"/>
      <c r="N37" s="77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77"/>
    </row>
    <row r="39" ht="12.75" customHeight="1">
      <c r="A39" s="30"/>
      <c r="B39" s="43" t="s">
        <v>33</v>
      </c>
      <c r="C39" s="23"/>
      <c r="D39" s="19" t="s">
        <v>12</v>
      </c>
      <c r="E39" s="19">
        <v>0.0</v>
      </c>
      <c r="F39" s="19">
        <v>0.0</v>
      </c>
      <c r="G39" s="19">
        <v>0.0</v>
      </c>
      <c r="H39" s="19">
        <v>0.0</v>
      </c>
      <c r="I39" s="19">
        <v>0.0</v>
      </c>
      <c r="J39" s="19">
        <v>0.0</v>
      </c>
      <c r="K39" s="19">
        <v>0.0</v>
      </c>
      <c r="L39" s="19">
        <v>0.0</v>
      </c>
      <c r="M39" s="19">
        <v>1.0</v>
      </c>
      <c r="N39" s="13">
        <v>1.0</v>
      </c>
    </row>
    <row r="40" ht="12.75" customHeight="1">
      <c r="A40" s="33"/>
      <c r="C40" s="27"/>
      <c r="D40" s="19" t="s">
        <v>13</v>
      </c>
      <c r="E40" s="19">
        <v>0.0</v>
      </c>
      <c r="F40" s="19">
        <v>0.0</v>
      </c>
      <c r="G40" s="19">
        <v>0.0</v>
      </c>
      <c r="H40" s="19">
        <v>0.0</v>
      </c>
      <c r="I40" s="19">
        <v>0.0</v>
      </c>
      <c r="J40" s="19">
        <v>0.0</v>
      </c>
      <c r="K40" s="19">
        <v>1.0</v>
      </c>
      <c r="L40" s="19">
        <v>0.0</v>
      </c>
      <c r="M40" s="19">
        <v>0.0</v>
      </c>
      <c r="N40" s="13">
        <v>1.0</v>
      </c>
    </row>
    <row r="41" ht="12.75" customHeight="1">
      <c r="A41" s="41"/>
      <c r="B41" s="44"/>
      <c r="C41" s="28"/>
      <c r="D41" s="13" t="s">
        <v>14</v>
      </c>
      <c r="E41" s="13">
        <f t="shared" ref="E41:M41" si="11">SUM(E39:E40)</f>
        <v>0</v>
      </c>
      <c r="F41" s="13">
        <f t="shared" si="11"/>
        <v>0</v>
      </c>
      <c r="G41" s="13">
        <f t="shared" si="11"/>
        <v>0</v>
      </c>
      <c r="H41" s="13">
        <f t="shared" si="11"/>
        <v>0</v>
      </c>
      <c r="I41" s="13">
        <f t="shared" si="11"/>
        <v>0</v>
      </c>
      <c r="J41" s="13">
        <f t="shared" si="11"/>
        <v>0</v>
      </c>
      <c r="K41" s="13">
        <f t="shared" si="11"/>
        <v>1</v>
      </c>
      <c r="L41" s="13">
        <f t="shared" si="11"/>
        <v>0</v>
      </c>
      <c r="M41" s="13">
        <f t="shared" si="11"/>
        <v>1</v>
      </c>
      <c r="N41" s="13">
        <f>SUM(E41:M41)</f>
        <v>2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9"/>
      <c r="N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13"/>
    </row>
    <row r="45" ht="12.75" customHeight="1">
      <c r="A45" s="30" t="s">
        <v>37</v>
      </c>
      <c r="B45" s="47" t="s">
        <v>17</v>
      </c>
      <c r="C45" s="48" t="s">
        <v>38</v>
      </c>
      <c r="D45" s="16"/>
      <c r="E45" s="19">
        <v>7.0</v>
      </c>
      <c r="F45" s="19">
        <v>8.0</v>
      </c>
      <c r="G45" s="19">
        <v>4.0</v>
      </c>
      <c r="H45" s="19">
        <v>0.0</v>
      </c>
      <c r="I45" s="19">
        <v>8.0</v>
      </c>
      <c r="J45" s="19">
        <v>7.0</v>
      </c>
      <c r="K45" s="19">
        <v>7.0</v>
      </c>
      <c r="L45" s="19">
        <v>4.0</v>
      </c>
      <c r="M45" s="19">
        <v>12.0</v>
      </c>
      <c r="N45" s="13">
        <f t="shared" ref="N45:N54" si="12">SUM(E45:M45)</f>
        <v>57</v>
      </c>
    </row>
    <row r="46" ht="12.75" customHeight="1">
      <c r="A46" s="30" t="s">
        <v>39</v>
      </c>
      <c r="B46" s="49">
        <v>1.0</v>
      </c>
      <c r="C46" s="50" t="s">
        <v>40</v>
      </c>
      <c r="D46" s="16"/>
      <c r="E46" s="19">
        <v>9.0</v>
      </c>
      <c r="F46" s="19">
        <v>6.0</v>
      </c>
      <c r="G46" s="19">
        <v>14.0</v>
      </c>
      <c r="H46" s="19">
        <v>10.0</v>
      </c>
      <c r="I46" s="19">
        <v>17.0</v>
      </c>
      <c r="J46" s="19">
        <v>7.0</v>
      </c>
      <c r="K46" s="19">
        <v>16.0</v>
      </c>
      <c r="L46" s="19">
        <v>24.0</v>
      </c>
      <c r="M46" s="19">
        <v>20.0</v>
      </c>
      <c r="N46" s="13">
        <f t="shared" si="12"/>
        <v>123</v>
      </c>
    </row>
    <row r="47" ht="12.75" customHeight="1">
      <c r="A47" s="18"/>
      <c r="B47" s="55">
        <v>2.0</v>
      </c>
      <c r="C47" s="50" t="s">
        <v>41</v>
      </c>
      <c r="D47" s="16"/>
      <c r="E47" s="19">
        <v>6.0</v>
      </c>
      <c r="F47" s="19">
        <v>7.0</v>
      </c>
      <c r="G47" s="19">
        <v>4.0</v>
      </c>
      <c r="H47" s="19">
        <v>9.0</v>
      </c>
      <c r="I47" s="19">
        <v>4.0</v>
      </c>
      <c r="J47" s="19">
        <v>5.0</v>
      </c>
      <c r="K47" s="19">
        <v>3.0</v>
      </c>
      <c r="L47" s="19">
        <v>6.0</v>
      </c>
      <c r="M47" s="19">
        <v>9.0</v>
      </c>
      <c r="N47" s="13">
        <f t="shared" si="12"/>
        <v>53</v>
      </c>
    </row>
    <row r="48" ht="12.75" customHeight="1">
      <c r="A48" s="18"/>
      <c r="B48" s="55">
        <v>3.0</v>
      </c>
      <c r="C48" s="50" t="s">
        <v>42</v>
      </c>
      <c r="D48" s="16"/>
      <c r="E48" s="19">
        <v>0.0</v>
      </c>
      <c r="F48" s="19">
        <v>1.0</v>
      </c>
      <c r="G48" s="19">
        <v>0.0</v>
      </c>
      <c r="H48" s="19">
        <v>0.0</v>
      </c>
      <c r="I48" s="19">
        <v>1.0</v>
      </c>
      <c r="J48" s="19">
        <v>0.0</v>
      </c>
      <c r="K48" s="19">
        <v>1.0</v>
      </c>
      <c r="L48" s="19">
        <v>1.0</v>
      </c>
      <c r="M48" s="19">
        <v>0.0</v>
      </c>
      <c r="N48" s="13">
        <f t="shared" si="12"/>
        <v>4</v>
      </c>
    </row>
    <row r="49" ht="12.75" customHeight="1">
      <c r="A49" s="18"/>
      <c r="B49" s="55">
        <v>4.0</v>
      </c>
      <c r="C49" s="50" t="s">
        <v>43</v>
      </c>
      <c r="D49" s="16"/>
      <c r="E49" s="19">
        <v>0.0</v>
      </c>
      <c r="F49" s="19">
        <v>0.0</v>
      </c>
      <c r="G49" s="19">
        <v>0.0</v>
      </c>
      <c r="H49" s="19">
        <v>0.0</v>
      </c>
      <c r="I49" s="19">
        <v>0.0</v>
      </c>
      <c r="J49" s="19">
        <v>2.0</v>
      </c>
      <c r="K49" s="19">
        <v>0.0</v>
      </c>
      <c r="L49" s="19">
        <v>0.0</v>
      </c>
      <c r="M49" s="19">
        <v>3.0</v>
      </c>
      <c r="N49" s="13">
        <f t="shared" si="12"/>
        <v>5</v>
      </c>
    </row>
    <row r="50" ht="12.75" customHeight="1">
      <c r="A50" s="18"/>
      <c r="B50" s="55">
        <v>5.0</v>
      </c>
      <c r="C50" s="50" t="s">
        <v>44</v>
      </c>
      <c r="D50" s="16"/>
      <c r="E50" s="19">
        <v>0.0</v>
      </c>
      <c r="F50" s="19">
        <v>0.0</v>
      </c>
      <c r="G50" s="19">
        <v>0.0</v>
      </c>
      <c r="H50" s="19">
        <v>0.0</v>
      </c>
      <c r="I50" s="19">
        <v>0.0</v>
      </c>
      <c r="J50" s="19">
        <v>0.0</v>
      </c>
      <c r="K50" s="19">
        <v>0.0</v>
      </c>
      <c r="L50" s="19">
        <v>0.0</v>
      </c>
      <c r="M50" s="19">
        <v>1.0</v>
      </c>
      <c r="N50" s="13">
        <f t="shared" si="12"/>
        <v>1</v>
      </c>
    </row>
    <row r="51" ht="12.75" customHeight="1">
      <c r="A51" s="18"/>
      <c r="B51" s="55">
        <v>6.0</v>
      </c>
      <c r="C51" s="50" t="s">
        <v>45</v>
      </c>
      <c r="D51" s="16"/>
      <c r="E51" s="19"/>
      <c r="F51" s="19"/>
      <c r="G51" s="19"/>
      <c r="H51" s="19"/>
      <c r="I51" s="19"/>
      <c r="J51" s="19"/>
      <c r="K51" s="19"/>
      <c r="L51" s="19"/>
      <c r="M51" s="19"/>
      <c r="N51" s="13">
        <f t="shared" si="12"/>
        <v>0</v>
      </c>
    </row>
    <row r="52" ht="12.75" customHeight="1">
      <c r="A52" s="18"/>
      <c r="B52" s="55">
        <v>7.0</v>
      </c>
      <c r="C52" s="50" t="s">
        <v>46</v>
      </c>
      <c r="D52" s="16"/>
      <c r="E52" s="19"/>
      <c r="F52" s="19"/>
      <c r="G52" s="19"/>
      <c r="H52" s="19"/>
      <c r="I52" s="19"/>
      <c r="J52" s="19"/>
      <c r="K52" s="19"/>
      <c r="L52" s="19"/>
      <c r="M52" s="19"/>
      <c r="N52" s="13">
        <f t="shared" si="12"/>
        <v>0</v>
      </c>
    </row>
    <row r="53" ht="12.75" customHeight="1">
      <c r="A53" s="18"/>
      <c r="B53" s="56"/>
      <c r="C53" s="57"/>
      <c r="D53" s="57"/>
      <c r="E53" s="19"/>
      <c r="F53" s="19"/>
      <c r="G53" s="19"/>
      <c r="H53" s="19"/>
      <c r="I53" s="19"/>
      <c r="J53" s="19"/>
      <c r="K53" s="19"/>
      <c r="L53" s="19"/>
      <c r="M53" s="19"/>
      <c r="N53" s="13">
        <f t="shared" si="12"/>
        <v>0</v>
      </c>
    </row>
    <row r="54" ht="12.75" customHeight="1">
      <c r="A54" s="18"/>
      <c r="B54" s="56"/>
      <c r="C54" s="57"/>
      <c r="D54" s="57"/>
      <c r="E54" s="19"/>
      <c r="F54" s="19"/>
      <c r="G54" s="19"/>
      <c r="H54" s="19"/>
      <c r="I54" s="19"/>
      <c r="J54" s="19"/>
      <c r="K54" s="19"/>
      <c r="L54" s="19"/>
      <c r="M54" s="19"/>
      <c r="N54" s="13">
        <f t="shared" si="12"/>
        <v>0</v>
      </c>
    </row>
    <row r="55" ht="12.75" customHeight="1">
      <c r="A55" s="19" t="s">
        <v>15</v>
      </c>
      <c r="B55" s="47" t="s">
        <v>47</v>
      </c>
      <c r="C55" s="15"/>
      <c r="D55" s="16"/>
      <c r="E55" s="13">
        <f t="shared" ref="E55:N55" si="13">SUM(E45:E54)</f>
        <v>22</v>
      </c>
      <c r="F55" s="13">
        <f t="shared" si="13"/>
        <v>22</v>
      </c>
      <c r="G55" s="13">
        <f t="shared" si="13"/>
        <v>22</v>
      </c>
      <c r="H55" s="13">
        <f t="shared" si="13"/>
        <v>19</v>
      </c>
      <c r="I55" s="13">
        <f t="shared" si="13"/>
        <v>30</v>
      </c>
      <c r="J55" s="13">
        <f t="shared" si="13"/>
        <v>21</v>
      </c>
      <c r="K55" s="13">
        <f t="shared" si="13"/>
        <v>27</v>
      </c>
      <c r="L55" s="13">
        <f t="shared" si="13"/>
        <v>35</v>
      </c>
      <c r="M55" s="13">
        <f t="shared" si="13"/>
        <v>45</v>
      </c>
      <c r="N55" s="13">
        <f t="shared" si="13"/>
        <v>243</v>
      </c>
    </row>
    <row r="56" ht="12.75" customHeight="1">
      <c r="A56" s="45"/>
      <c r="B56" s="44"/>
      <c r="C56" s="44"/>
      <c r="D56" s="44"/>
      <c r="E56" s="44"/>
      <c r="N56" s="13"/>
    </row>
    <row r="57" ht="12.75" customHeight="1">
      <c r="A57" s="30" t="s">
        <v>37</v>
      </c>
      <c r="B57" s="47" t="s">
        <v>19</v>
      </c>
      <c r="C57" s="48" t="s">
        <v>48</v>
      </c>
      <c r="D57" s="16"/>
      <c r="E57" s="19">
        <v>7.0</v>
      </c>
      <c r="F57" s="19">
        <v>12.0</v>
      </c>
      <c r="G57" s="19">
        <v>13.0</v>
      </c>
      <c r="H57" s="19">
        <v>9.0</v>
      </c>
      <c r="I57" s="19">
        <v>8.0</v>
      </c>
      <c r="J57" s="19">
        <v>6.0</v>
      </c>
      <c r="K57" s="19">
        <v>14.0</v>
      </c>
      <c r="L57" s="19">
        <v>4.0</v>
      </c>
      <c r="M57" s="19">
        <v>33.0</v>
      </c>
      <c r="N57" s="13">
        <f t="shared" ref="N57:N66" si="14">SUM(E57:M57)</f>
        <v>106</v>
      </c>
    </row>
    <row r="58" ht="12.75" customHeight="1">
      <c r="A58" s="30" t="s">
        <v>39</v>
      </c>
      <c r="B58" s="55">
        <v>1.0</v>
      </c>
      <c r="C58" s="50" t="s">
        <v>49</v>
      </c>
      <c r="D58" s="59"/>
      <c r="E58" s="19">
        <v>24.0</v>
      </c>
      <c r="F58" s="19">
        <v>28.0</v>
      </c>
      <c r="G58" s="19">
        <v>66.0</v>
      </c>
      <c r="H58" s="19">
        <v>32.0</v>
      </c>
      <c r="I58" s="19">
        <v>37.0</v>
      </c>
      <c r="J58" s="19">
        <v>22.0</v>
      </c>
      <c r="K58" s="19">
        <v>29.0</v>
      </c>
      <c r="L58" s="19">
        <v>54.0</v>
      </c>
      <c r="M58" s="19">
        <v>33.0</v>
      </c>
      <c r="N58" s="13">
        <f t="shared" si="14"/>
        <v>325</v>
      </c>
    </row>
    <row r="59" ht="12.75" customHeight="1">
      <c r="A59" s="18"/>
      <c r="B59" s="55">
        <v>2.0</v>
      </c>
      <c r="C59" s="50" t="s">
        <v>50</v>
      </c>
      <c r="D59" s="59"/>
      <c r="E59" s="19">
        <v>11.0</v>
      </c>
      <c r="F59" s="19">
        <v>26.0</v>
      </c>
      <c r="G59" s="19">
        <v>15.0</v>
      </c>
      <c r="H59" s="19">
        <v>41.0</v>
      </c>
      <c r="I59" s="19">
        <v>18.0</v>
      </c>
      <c r="J59" s="19">
        <v>44.0</v>
      </c>
      <c r="K59" s="19">
        <v>52.0</v>
      </c>
      <c r="L59" s="19">
        <v>5.0</v>
      </c>
      <c r="M59" s="19">
        <v>14.0</v>
      </c>
      <c r="N59" s="13">
        <f t="shared" si="14"/>
        <v>226</v>
      </c>
    </row>
    <row r="60" ht="12.75" customHeight="1">
      <c r="A60" s="18"/>
      <c r="B60" s="55">
        <v>3.0</v>
      </c>
      <c r="C60" s="50" t="s">
        <v>51</v>
      </c>
      <c r="D60" s="59"/>
      <c r="E60" s="19">
        <v>0.0</v>
      </c>
      <c r="F60" s="19">
        <v>0.0</v>
      </c>
      <c r="G60" s="19">
        <v>0.0</v>
      </c>
      <c r="H60" s="19">
        <v>0.0</v>
      </c>
      <c r="I60" s="19">
        <v>0.0</v>
      </c>
      <c r="J60" s="19">
        <v>1.0</v>
      </c>
      <c r="K60" s="19">
        <v>0.0</v>
      </c>
      <c r="L60" s="19">
        <v>0.0</v>
      </c>
      <c r="M60" s="19">
        <v>0.0</v>
      </c>
      <c r="N60" s="13">
        <f t="shared" si="14"/>
        <v>1</v>
      </c>
    </row>
    <row r="61" ht="12.75" customHeight="1">
      <c r="A61" s="18"/>
      <c r="B61" s="55">
        <v>4.0</v>
      </c>
      <c r="C61" s="50" t="s">
        <v>52</v>
      </c>
      <c r="D61" s="59"/>
      <c r="E61" s="19">
        <v>0.0</v>
      </c>
      <c r="F61" s="19">
        <v>1.0</v>
      </c>
      <c r="G61" s="19">
        <v>1.0</v>
      </c>
      <c r="H61" s="19">
        <v>0.0</v>
      </c>
      <c r="I61" s="19">
        <v>0.0</v>
      </c>
      <c r="J61" s="19">
        <v>1.0</v>
      </c>
      <c r="K61" s="19">
        <v>0.0</v>
      </c>
      <c r="L61" s="19">
        <v>1.0</v>
      </c>
      <c r="M61" s="19">
        <v>1.0</v>
      </c>
      <c r="N61" s="13">
        <f t="shared" si="14"/>
        <v>5</v>
      </c>
    </row>
    <row r="62" ht="12.75" customHeight="1">
      <c r="A62" s="18"/>
      <c r="B62" s="55">
        <v>5.0</v>
      </c>
      <c r="C62" s="50" t="s">
        <v>53</v>
      </c>
      <c r="D62" s="59"/>
      <c r="E62" s="19">
        <v>0.0</v>
      </c>
      <c r="F62" s="19">
        <v>0.0</v>
      </c>
      <c r="G62" s="19">
        <v>0.0</v>
      </c>
      <c r="H62" s="19">
        <v>0.0</v>
      </c>
      <c r="I62" s="19">
        <v>0.0</v>
      </c>
      <c r="J62" s="19">
        <v>0.0</v>
      </c>
      <c r="K62" s="19">
        <v>0.0</v>
      </c>
      <c r="L62" s="19">
        <v>0.0</v>
      </c>
      <c r="M62" s="19">
        <v>1.0</v>
      </c>
      <c r="N62" s="13">
        <f t="shared" si="14"/>
        <v>1</v>
      </c>
    </row>
    <row r="63" ht="12.75" customHeight="1">
      <c r="A63" s="18"/>
      <c r="B63" s="55">
        <v>6.0</v>
      </c>
      <c r="C63" s="50" t="s">
        <v>54</v>
      </c>
      <c r="D63" s="60"/>
      <c r="E63" s="19">
        <v>0.0</v>
      </c>
      <c r="F63" s="19">
        <v>0.0</v>
      </c>
      <c r="G63" s="19">
        <v>0.0</v>
      </c>
      <c r="H63" s="19">
        <v>1.0</v>
      </c>
      <c r="I63" s="19">
        <v>0.0</v>
      </c>
      <c r="J63" s="19">
        <v>0.0</v>
      </c>
      <c r="K63" s="19">
        <v>1.0</v>
      </c>
      <c r="L63" s="19">
        <v>0.0</v>
      </c>
      <c r="M63" s="19">
        <v>1.0</v>
      </c>
      <c r="N63" s="13">
        <f t="shared" si="14"/>
        <v>3</v>
      </c>
    </row>
    <row r="64" ht="12.75" customHeight="1">
      <c r="A64" s="18"/>
      <c r="B64" s="55">
        <v>7.0</v>
      </c>
      <c r="C64" s="50" t="s">
        <v>55</v>
      </c>
      <c r="D64" s="59"/>
      <c r="E64" s="19"/>
      <c r="F64" s="19"/>
      <c r="G64" s="19"/>
      <c r="H64" s="19"/>
      <c r="I64" s="19"/>
      <c r="J64" s="19"/>
      <c r="K64" s="19"/>
      <c r="L64" s="19"/>
      <c r="M64" s="19"/>
      <c r="N64" s="13">
        <f t="shared" si="14"/>
        <v>0</v>
      </c>
    </row>
    <row r="65" ht="12.75" customHeight="1">
      <c r="A65" s="18"/>
      <c r="B65" s="56"/>
      <c r="C65" s="57"/>
      <c r="D65" s="61"/>
      <c r="E65" s="19"/>
      <c r="F65" s="19"/>
      <c r="G65" s="19"/>
      <c r="H65" s="19"/>
      <c r="I65" s="19"/>
      <c r="J65" s="19"/>
      <c r="K65" s="19"/>
      <c r="L65" s="19"/>
      <c r="M65" s="19"/>
      <c r="N65" s="13">
        <f t="shared" si="14"/>
        <v>0</v>
      </c>
    </row>
    <row r="66" ht="12.75" customHeight="1">
      <c r="A66" s="18"/>
      <c r="B66" s="56"/>
      <c r="C66" s="57"/>
      <c r="D66" s="61"/>
      <c r="E66" s="19"/>
      <c r="F66" s="19"/>
      <c r="G66" s="19"/>
      <c r="H66" s="19"/>
      <c r="I66" s="19"/>
      <c r="J66" s="19"/>
      <c r="K66" s="19"/>
      <c r="L66" s="19"/>
      <c r="M66" s="19"/>
      <c r="N66" s="13">
        <f t="shared" si="14"/>
        <v>0</v>
      </c>
    </row>
    <row r="67" ht="12.75" customHeight="1">
      <c r="A67" s="19" t="s">
        <v>15</v>
      </c>
      <c r="B67" s="47" t="s">
        <v>47</v>
      </c>
      <c r="C67" s="15"/>
      <c r="D67" s="16"/>
      <c r="E67" s="13">
        <f t="shared" ref="E67:N67" si="15">SUM(E57:E66)</f>
        <v>42</v>
      </c>
      <c r="F67" s="13">
        <f t="shared" si="15"/>
        <v>67</v>
      </c>
      <c r="G67" s="13">
        <f t="shared" si="15"/>
        <v>95</v>
      </c>
      <c r="H67" s="13">
        <f t="shared" si="15"/>
        <v>83</v>
      </c>
      <c r="I67" s="13">
        <f t="shared" si="15"/>
        <v>63</v>
      </c>
      <c r="J67" s="13">
        <f t="shared" si="15"/>
        <v>74</v>
      </c>
      <c r="K67" s="13">
        <f t="shared" si="15"/>
        <v>96</v>
      </c>
      <c r="L67" s="13">
        <f t="shared" si="15"/>
        <v>64</v>
      </c>
      <c r="M67" s="13">
        <f t="shared" si="15"/>
        <v>83</v>
      </c>
      <c r="N67" s="13">
        <f t="shared" si="15"/>
        <v>667</v>
      </c>
    </row>
    <row r="68" ht="12.75" customHeight="1">
      <c r="A68" s="45"/>
      <c r="B68" s="44"/>
      <c r="C68" s="44"/>
      <c r="D68" s="44"/>
      <c r="E68" s="44"/>
    </row>
    <row r="69" ht="12.75" customHeight="1">
      <c r="A69" s="30" t="s">
        <v>37</v>
      </c>
      <c r="B69" s="47" t="s">
        <v>21</v>
      </c>
      <c r="C69" s="48" t="s">
        <v>56</v>
      </c>
      <c r="D69" s="16"/>
      <c r="E69" s="19">
        <v>1.0</v>
      </c>
      <c r="F69" s="19">
        <v>1.0</v>
      </c>
      <c r="G69" s="19">
        <v>0.0</v>
      </c>
      <c r="H69" s="19">
        <v>1.0</v>
      </c>
      <c r="I69" s="19">
        <v>9.0</v>
      </c>
      <c r="J69" s="19">
        <v>6.0</v>
      </c>
      <c r="K69" s="19">
        <v>6.0</v>
      </c>
      <c r="L69" s="19">
        <v>2.0</v>
      </c>
      <c r="M69" s="19">
        <v>6.0</v>
      </c>
      <c r="N69" s="13">
        <f t="shared" ref="N69:N78" si="16">SUM(E69:M69)</f>
        <v>32</v>
      </c>
    </row>
    <row r="70" ht="12.75" customHeight="1">
      <c r="A70" s="30" t="s">
        <v>39</v>
      </c>
      <c r="B70" s="55">
        <v>1.0</v>
      </c>
      <c r="C70" s="50" t="s">
        <v>57</v>
      </c>
      <c r="D70" s="60"/>
      <c r="E70" s="19">
        <v>0.0</v>
      </c>
      <c r="F70" s="19">
        <v>1.0</v>
      </c>
      <c r="G70" s="19">
        <v>1.0</v>
      </c>
      <c r="H70" s="19">
        <v>3.0</v>
      </c>
      <c r="I70" s="19">
        <v>1.0</v>
      </c>
      <c r="J70" s="19">
        <v>4.0</v>
      </c>
      <c r="K70" s="19">
        <v>1.0</v>
      </c>
      <c r="L70" s="19">
        <v>2.0</v>
      </c>
      <c r="M70" s="19">
        <v>5.0</v>
      </c>
      <c r="N70" s="13">
        <f t="shared" si="16"/>
        <v>18</v>
      </c>
    </row>
    <row r="71" ht="12.75" customHeight="1">
      <c r="A71" s="18"/>
      <c r="B71" s="55">
        <v>2.0</v>
      </c>
      <c r="C71" s="50" t="s">
        <v>58</v>
      </c>
      <c r="D71" s="60"/>
      <c r="E71" s="19">
        <v>0.0</v>
      </c>
      <c r="F71" s="19">
        <v>1.0</v>
      </c>
      <c r="G71" s="19">
        <v>0.0</v>
      </c>
      <c r="H71" s="19">
        <v>0.0</v>
      </c>
      <c r="I71" s="19">
        <v>2.0</v>
      </c>
      <c r="J71" s="19">
        <v>2.0</v>
      </c>
      <c r="K71" s="19">
        <v>1.0</v>
      </c>
      <c r="L71" s="19">
        <v>1.0</v>
      </c>
      <c r="M71" s="19">
        <v>2.0</v>
      </c>
      <c r="N71" s="13">
        <f t="shared" si="16"/>
        <v>9</v>
      </c>
    </row>
    <row r="72" ht="12.75" customHeight="1">
      <c r="A72" s="18"/>
      <c r="B72" s="55">
        <v>3.0</v>
      </c>
      <c r="C72" s="50" t="s">
        <v>59</v>
      </c>
      <c r="D72" s="60"/>
      <c r="E72" s="19">
        <v>0.0</v>
      </c>
      <c r="F72" s="19">
        <v>0.0</v>
      </c>
      <c r="G72" s="19">
        <v>1.0</v>
      </c>
      <c r="H72" s="19">
        <v>1.0</v>
      </c>
      <c r="I72" s="19">
        <v>26.0</v>
      </c>
      <c r="J72" s="19">
        <v>21.0</v>
      </c>
      <c r="K72" s="19">
        <v>22.0</v>
      </c>
      <c r="L72" s="19">
        <v>3.0</v>
      </c>
      <c r="M72" s="19">
        <v>0.0</v>
      </c>
      <c r="N72" s="13">
        <f t="shared" si="16"/>
        <v>74</v>
      </c>
    </row>
    <row r="73" ht="12.75" customHeight="1">
      <c r="A73" s="18"/>
      <c r="B73" s="55">
        <v>4.0</v>
      </c>
      <c r="C73" s="50" t="s">
        <v>60</v>
      </c>
      <c r="D73" s="60"/>
      <c r="E73" s="19">
        <v>1.0</v>
      </c>
      <c r="F73" s="19">
        <v>0.0</v>
      </c>
      <c r="G73" s="19">
        <v>1.0</v>
      </c>
      <c r="H73" s="19">
        <v>2.0</v>
      </c>
      <c r="I73" s="19">
        <v>0.0</v>
      </c>
      <c r="J73" s="19">
        <v>0.0</v>
      </c>
      <c r="K73" s="19">
        <v>1.0</v>
      </c>
      <c r="L73" s="19">
        <v>0.0</v>
      </c>
      <c r="M73" s="19">
        <v>0.0</v>
      </c>
      <c r="N73" s="13">
        <f t="shared" si="16"/>
        <v>5</v>
      </c>
    </row>
    <row r="74" ht="12.75" customHeight="1">
      <c r="A74" s="18"/>
      <c r="B74" s="55">
        <v>5.0</v>
      </c>
      <c r="C74" s="50" t="s">
        <v>61</v>
      </c>
      <c r="D74" s="60"/>
      <c r="E74" s="19">
        <v>2.0</v>
      </c>
      <c r="F74" s="19">
        <v>0.0</v>
      </c>
      <c r="G74" s="19">
        <v>0.0</v>
      </c>
      <c r="H74" s="19">
        <v>0.0</v>
      </c>
      <c r="I74" s="19">
        <v>0.0</v>
      </c>
      <c r="J74" s="19">
        <v>1.0</v>
      </c>
      <c r="K74" s="19">
        <v>0.0</v>
      </c>
      <c r="L74" s="19">
        <v>1.0</v>
      </c>
      <c r="M74" s="19">
        <v>4.0</v>
      </c>
      <c r="N74" s="13">
        <f t="shared" si="16"/>
        <v>8</v>
      </c>
    </row>
    <row r="75" ht="12.75" customHeight="1">
      <c r="A75" s="18"/>
      <c r="B75" s="55">
        <v>6.0</v>
      </c>
      <c r="C75" s="50" t="s">
        <v>62</v>
      </c>
      <c r="D75" s="60"/>
      <c r="E75" s="19">
        <v>0.0</v>
      </c>
      <c r="F75" s="19">
        <v>0.0</v>
      </c>
      <c r="G75" s="19">
        <v>0.0</v>
      </c>
      <c r="H75" s="19">
        <v>0.0</v>
      </c>
      <c r="I75" s="19">
        <v>1.0</v>
      </c>
      <c r="J75" s="19">
        <v>1.0</v>
      </c>
      <c r="K75" s="19">
        <v>1.0</v>
      </c>
      <c r="L75" s="19">
        <v>0.0</v>
      </c>
      <c r="M75" s="19">
        <v>0.0</v>
      </c>
      <c r="N75" s="13">
        <f t="shared" si="16"/>
        <v>3</v>
      </c>
    </row>
    <row r="76" ht="12.75" customHeight="1">
      <c r="A76" s="18"/>
      <c r="B76" s="55">
        <v>7.0</v>
      </c>
      <c r="C76" s="50" t="s">
        <v>63</v>
      </c>
      <c r="D76" s="60"/>
      <c r="E76" s="19">
        <v>3.0</v>
      </c>
      <c r="F76" s="19">
        <v>9.0</v>
      </c>
      <c r="G76" s="19">
        <v>7.0</v>
      </c>
      <c r="H76" s="19">
        <v>4.0</v>
      </c>
      <c r="I76" s="19">
        <v>5.0</v>
      </c>
      <c r="J76" s="19">
        <v>6.0</v>
      </c>
      <c r="K76" s="19">
        <v>3.0</v>
      </c>
      <c r="L76" s="19">
        <v>9.0</v>
      </c>
      <c r="M76" s="19">
        <v>3.0</v>
      </c>
      <c r="N76" s="13">
        <f t="shared" si="16"/>
        <v>49</v>
      </c>
    </row>
    <row r="77" ht="12.75" customHeight="1">
      <c r="A77" s="18"/>
      <c r="B77" s="56"/>
      <c r="C77" s="57"/>
      <c r="D77" s="62"/>
      <c r="E77" s="19"/>
      <c r="F77" s="19"/>
      <c r="G77" s="19"/>
      <c r="H77" s="19"/>
      <c r="I77" s="19"/>
      <c r="J77" s="19"/>
      <c r="K77" s="19"/>
      <c r="L77" s="19"/>
      <c r="M77" s="19"/>
      <c r="N77" s="13">
        <f t="shared" si="16"/>
        <v>0</v>
      </c>
    </row>
    <row r="78" ht="12.75" customHeight="1">
      <c r="A78" s="18"/>
      <c r="B78" s="56"/>
      <c r="C78" s="57"/>
      <c r="D78" s="62"/>
      <c r="E78" s="19"/>
      <c r="F78" s="19"/>
      <c r="G78" s="19"/>
      <c r="H78" s="19"/>
      <c r="I78" s="19"/>
      <c r="J78" s="19"/>
      <c r="K78" s="19"/>
      <c r="L78" s="19"/>
      <c r="M78" s="19"/>
      <c r="N78" s="13">
        <f t="shared" si="16"/>
        <v>0</v>
      </c>
    </row>
    <row r="79" ht="12.75" customHeight="1">
      <c r="A79" s="19" t="s">
        <v>15</v>
      </c>
      <c r="B79" s="47" t="s">
        <v>47</v>
      </c>
      <c r="C79" s="15"/>
      <c r="D79" s="16"/>
      <c r="E79" s="13">
        <f t="shared" ref="E79:N79" si="17">SUM(E69:E78)</f>
        <v>7</v>
      </c>
      <c r="F79" s="13">
        <f t="shared" si="17"/>
        <v>12</v>
      </c>
      <c r="G79" s="13">
        <f t="shared" si="17"/>
        <v>10</v>
      </c>
      <c r="H79" s="13">
        <f t="shared" si="17"/>
        <v>11</v>
      </c>
      <c r="I79" s="13">
        <f t="shared" si="17"/>
        <v>44</v>
      </c>
      <c r="J79" s="13">
        <f t="shared" si="17"/>
        <v>41</v>
      </c>
      <c r="K79" s="13">
        <f t="shared" si="17"/>
        <v>35</v>
      </c>
      <c r="L79" s="13">
        <f t="shared" si="17"/>
        <v>18</v>
      </c>
      <c r="M79" s="13">
        <f t="shared" si="17"/>
        <v>20</v>
      </c>
      <c r="N79" s="13">
        <f t="shared" si="17"/>
        <v>198</v>
      </c>
    </row>
    <row r="80" ht="12.75" customHeight="1">
      <c r="A80" s="45"/>
      <c r="B80" s="44"/>
      <c r="C80" s="44"/>
      <c r="D80" s="44"/>
      <c r="E80" s="44"/>
    </row>
    <row r="81" ht="12.75" customHeight="1">
      <c r="A81" s="30" t="s">
        <v>37</v>
      </c>
      <c r="B81" s="47" t="s">
        <v>23</v>
      </c>
      <c r="C81" s="48" t="s">
        <v>64</v>
      </c>
      <c r="D81" s="16"/>
      <c r="E81" s="19">
        <v>0.0</v>
      </c>
      <c r="F81" s="19">
        <v>4.0</v>
      </c>
      <c r="G81" s="19">
        <v>0.0</v>
      </c>
      <c r="H81" s="19">
        <v>1.0</v>
      </c>
      <c r="I81" s="19">
        <v>6.0</v>
      </c>
      <c r="J81" s="19">
        <v>0.0</v>
      </c>
      <c r="K81" s="19">
        <v>1.0</v>
      </c>
      <c r="L81" s="19">
        <v>1.0</v>
      </c>
      <c r="M81" s="19">
        <v>1.0</v>
      </c>
      <c r="N81" s="13">
        <f t="shared" ref="N81:N90" si="18">SUM(E81:M81)</f>
        <v>14</v>
      </c>
    </row>
    <row r="82" ht="12.75" customHeight="1">
      <c r="A82" s="30" t="s">
        <v>39</v>
      </c>
      <c r="B82" s="55">
        <v>1.0</v>
      </c>
      <c r="C82" s="50" t="s">
        <v>65</v>
      </c>
      <c r="D82" s="60"/>
      <c r="E82" s="19">
        <v>0.0</v>
      </c>
      <c r="F82" s="19">
        <v>13.0</v>
      </c>
      <c r="G82" s="19">
        <v>3.0</v>
      </c>
      <c r="H82" s="19">
        <v>0.0</v>
      </c>
      <c r="I82" s="19">
        <v>4.0</v>
      </c>
      <c r="J82" s="19">
        <v>1.0</v>
      </c>
      <c r="K82" s="19">
        <v>6.0</v>
      </c>
      <c r="L82" s="19">
        <v>17.0</v>
      </c>
      <c r="M82" s="19">
        <v>11.0</v>
      </c>
      <c r="N82" s="13">
        <f t="shared" si="18"/>
        <v>55</v>
      </c>
    </row>
    <row r="83" ht="12.75" customHeight="1">
      <c r="A83" s="18"/>
      <c r="B83" s="55">
        <v>2.0</v>
      </c>
      <c r="C83" s="50" t="s">
        <v>66</v>
      </c>
      <c r="D83" s="60"/>
      <c r="E83" s="19">
        <v>1.0</v>
      </c>
      <c r="F83" s="19">
        <v>1.0</v>
      </c>
      <c r="G83" s="19">
        <v>4.0</v>
      </c>
      <c r="H83" s="19">
        <v>19.0</v>
      </c>
      <c r="I83" s="19">
        <v>12.0</v>
      </c>
      <c r="J83" s="19">
        <v>1.0</v>
      </c>
      <c r="K83" s="19">
        <v>0.0</v>
      </c>
      <c r="L83" s="19">
        <v>6.0</v>
      </c>
      <c r="M83" s="19">
        <v>4.0</v>
      </c>
      <c r="N83" s="13">
        <f t="shared" si="18"/>
        <v>48</v>
      </c>
    </row>
    <row r="84" ht="12.75" customHeight="1">
      <c r="A84" s="18"/>
      <c r="B84" s="55">
        <v>3.0</v>
      </c>
      <c r="C84" s="50" t="s">
        <v>67</v>
      </c>
      <c r="D84" s="60"/>
      <c r="E84" s="19">
        <v>2.0</v>
      </c>
      <c r="F84" s="19">
        <v>0.0</v>
      </c>
      <c r="G84" s="19">
        <v>0.0</v>
      </c>
      <c r="H84" s="19">
        <v>3.0</v>
      </c>
      <c r="I84" s="19">
        <v>1.0</v>
      </c>
      <c r="J84" s="19">
        <v>0.0</v>
      </c>
      <c r="K84" s="19">
        <v>2.0</v>
      </c>
      <c r="L84" s="19">
        <v>0.0</v>
      </c>
      <c r="M84" s="19">
        <v>0.0</v>
      </c>
      <c r="N84" s="13">
        <f t="shared" si="18"/>
        <v>8</v>
      </c>
    </row>
    <row r="85" ht="12.75" customHeight="1">
      <c r="A85" s="18"/>
      <c r="B85" s="55">
        <v>4.0</v>
      </c>
      <c r="C85" s="50" t="s">
        <v>68</v>
      </c>
      <c r="D85" s="60"/>
      <c r="E85" s="19">
        <v>0.0</v>
      </c>
      <c r="F85" s="19">
        <v>0.0</v>
      </c>
      <c r="G85" s="19">
        <v>1.0</v>
      </c>
      <c r="H85" s="19">
        <v>0.0</v>
      </c>
      <c r="I85" s="19">
        <v>0.0</v>
      </c>
      <c r="J85" s="19">
        <v>0.0</v>
      </c>
      <c r="K85" s="19">
        <v>0.0</v>
      </c>
      <c r="L85" s="19">
        <v>0.0</v>
      </c>
      <c r="M85" s="19">
        <v>0.0</v>
      </c>
      <c r="N85" s="13">
        <f t="shared" si="18"/>
        <v>1</v>
      </c>
    </row>
    <row r="86" ht="12.75" customHeight="1">
      <c r="A86" s="18"/>
      <c r="B86" s="55">
        <v>5.0</v>
      </c>
      <c r="C86" s="50" t="s">
        <v>69</v>
      </c>
      <c r="D86" s="60"/>
      <c r="E86" s="19">
        <v>1.0</v>
      </c>
      <c r="F86" s="19">
        <v>0.0</v>
      </c>
      <c r="G86" s="19">
        <v>0.0</v>
      </c>
      <c r="H86" s="19">
        <v>1.0</v>
      </c>
      <c r="I86" s="19">
        <v>0.0</v>
      </c>
      <c r="J86" s="19">
        <v>0.0</v>
      </c>
      <c r="K86" s="19">
        <v>0.0</v>
      </c>
      <c r="L86" s="19">
        <v>0.0</v>
      </c>
      <c r="M86" s="19">
        <v>1.0</v>
      </c>
      <c r="N86" s="13">
        <f t="shared" si="18"/>
        <v>3</v>
      </c>
    </row>
    <row r="87" ht="12.75" customHeight="1">
      <c r="A87" s="18"/>
      <c r="B87" s="55">
        <v>6.0</v>
      </c>
      <c r="C87" s="50" t="s">
        <v>70</v>
      </c>
      <c r="D87" s="60"/>
      <c r="E87" s="19"/>
      <c r="F87" s="19"/>
      <c r="G87" s="19"/>
      <c r="H87" s="19"/>
      <c r="I87" s="19"/>
      <c r="J87" s="19"/>
      <c r="K87" s="19"/>
      <c r="L87" s="19"/>
      <c r="M87" s="19"/>
      <c r="N87" s="13">
        <f t="shared" si="18"/>
        <v>0</v>
      </c>
    </row>
    <row r="88" ht="12.75" customHeight="1">
      <c r="A88" s="18"/>
      <c r="B88" s="55">
        <v>7.0</v>
      </c>
      <c r="C88" s="50" t="s">
        <v>71</v>
      </c>
      <c r="D88" s="60"/>
      <c r="E88" s="19"/>
      <c r="F88" s="19"/>
      <c r="G88" s="19"/>
      <c r="H88" s="19"/>
      <c r="I88" s="19"/>
      <c r="J88" s="19"/>
      <c r="K88" s="19"/>
      <c r="L88" s="19"/>
      <c r="M88" s="19"/>
      <c r="N88" s="13">
        <f t="shared" si="18"/>
        <v>0</v>
      </c>
    </row>
    <row r="89" ht="12.75" customHeight="1">
      <c r="A89" s="18"/>
      <c r="B89" s="56"/>
      <c r="C89" s="57"/>
      <c r="D89" s="62"/>
      <c r="E89" s="19"/>
      <c r="F89" s="19"/>
      <c r="G89" s="19"/>
      <c r="H89" s="19"/>
      <c r="I89" s="19"/>
      <c r="J89" s="19"/>
      <c r="K89" s="19"/>
      <c r="L89" s="19"/>
      <c r="M89" s="19"/>
      <c r="N89" s="13">
        <f t="shared" si="18"/>
        <v>0</v>
      </c>
    </row>
    <row r="90" ht="12.75" customHeight="1">
      <c r="A90" s="18"/>
      <c r="B90" s="56"/>
      <c r="C90" s="57"/>
      <c r="D90" s="62"/>
      <c r="E90" s="19"/>
      <c r="F90" s="19"/>
      <c r="G90" s="19"/>
      <c r="H90" s="19"/>
      <c r="I90" s="19"/>
      <c r="J90" s="19"/>
      <c r="K90" s="19"/>
      <c r="L90" s="19"/>
      <c r="M90" s="19"/>
      <c r="N90" s="13">
        <f t="shared" si="18"/>
        <v>0</v>
      </c>
    </row>
    <row r="91" ht="12.75" customHeight="1">
      <c r="A91" s="19" t="s">
        <v>15</v>
      </c>
      <c r="B91" s="47" t="s">
        <v>47</v>
      </c>
      <c r="C91" s="15"/>
      <c r="D91" s="16"/>
      <c r="E91" s="13">
        <f t="shared" ref="E91:N91" si="19">SUM(E81:E90)</f>
        <v>4</v>
      </c>
      <c r="F91" s="13">
        <f t="shared" si="19"/>
        <v>18</v>
      </c>
      <c r="G91" s="13">
        <f t="shared" si="19"/>
        <v>8</v>
      </c>
      <c r="H91" s="13">
        <f t="shared" si="19"/>
        <v>24</v>
      </c>
      <c r="I91" s="13">
        <f t="shared" si="19"/>
        <v>23</v>
      </c>
      <c r="J91" s="13">
        <f t="shared" si="19"/>
        <v>2</v>
      </c>
      <c r="K91" s="13">
        <f t="shared" si="19"/>
        <v>9</v>
      </c>
      <c r="L91" s="13">
        <f t="shared" si="19"/>
        <v>24</v>
      </c>
      <c r="M91" s="13">
        <f t="shared" si="19"/>
        <v>17</v>
      </c>
      <c r="N91" s="13">
        <f t="shared" si="19"/>
        <v>129</v>
      </c>
    </row>
    <row r="92" ht="12.75" customHeight="1">
      <c r="A92" s="45"/>
      <c r="B92" s="44"/>
      <c r="C92" s="44"/>
      <c r="D92" s="44"/>
      <c r="E92" s="44"/>
    </row>
    <row r="93" ht="12.75" customHeight="1">
      <c r="A93" s="30" t="s">
        <v>37</v>
      </c>
      <c r="B93" s="47" t="s">
        <v>72</v>
      </c>
      <c r="C93" s="48" t="s">
        <v>73</v>
      </c>
      <c r="D93" s="16"/>
      <c r="E93" s="19">
        <v>0.0</v>
      </c>
      <c r="F93" s="19">
        <v>5.0</v>
      </c>
      <c r="G93" s="19">
        <v>4.0</v>
      </c>
      <c r="H93" s="19">
        <v>0.0</v>
      </c>
      <c r="I93" s="19">
        <v>0.0</v>
      </c>
      <c r="J93" s="19">
        <v>1.0</v>
      </c>
      <c r="K93" s="19">
        <v>0.0</v>
      </c>
      <c r="L93" s="19">
        <v>0.0</v>
      </c>
      <c r="M93" s="19">
        <v>2.0</v>
      </c>
      <c r="N93" s="13">
        <f t="shared" ref="N93:N102" si="20">SUM(E93:M93)</f>
        <v>12</v>
      </c>
    </row>
    <row r="94" ht="12.75" customHeight="1">
      <c r="A94" s="30" t="s">
        <v>39</v>
      </c>
      <c r="B94" s="55">
        <v>1.0</v>
      </c>
      <c r="C94" s="50" t="s">
        <v>74</v>
      </c>
      <c r="D94" s="60"/>
      <c r="E94" s="19">
        <v>6.0</v>
      </c>
      <c r="F94" s="19">
        <v>1.0</v>
      </c>
      <c r="G94" s="19">
        <v>2.0</v>
      </c>
      <c r="H94" s="19">
        <v>4.0</v>
      </c>
      <c r="I94" s="19">
        <v>3.0</v>
      </c>
      <c r="J94" s="19">
        <v>0.0</v>
      </c>
      <c r="K94" s="19">
        <v>0.0</v>
      </c>
      <c r="L94" s="19">
        <v>1.0</v>
      </c>
      <c r="M94" s="19">
        <v>0.0</v>
      </c>
      <c r="N94" s="13">
        <f t="shared" si="20"/>
        <v>17</v>
      </c>
    </row>
    <row r="95" ht="12.75" customHeight="1">
      <c r="A95" s="18"/>
      <c r="B95" s="55">
        <v>2.0</v>
      </c>
      <c r="C95" s="50" t="s">
        <v>75</v>
      </c>
      <c r="D95" s="60"/>
      <c r="E95" s="19">
        <v>2.0</v>
      </c>
      <c r="F95" s="19">
        <v>0.0</v>
      </c>
      <c r="G95" s="19">
        <v>1.0</v>
      </c>
      <c r="H95" s="19">
        <v>0.0</v>
      </c>
      <c r="I95" s="19">
        <v>0.0</v>
      </c>
      <c r="J95" s="19">
        <v>0.0</v>
      </c>
      <c r="K95" s="19">
        <v>0.0</v>
      </c>
      <c r="L95" s="19">
        <v>0.0</v>
      </c>
      <c r="M95" s="19">
        <v>0.0</v>
      </c>
      <c r="N95" s="13">
        <f t="shared" si="20"/>
        <v>3</v>
      </c>
    </row>
    <row r="96" ht="12.75" customHeight="1">
      <c r="A96" s="18"/>
      <c r="B96" s="55">
        <v>3.0</v>
      </c>
      <c r="C96" s="50" t="s">
        <v>76</v>
      </c>
      <c r="D96" s="60"/>
      <c r="E96" s="19">
        <v>0.0</v>
      </c>
      <c r="F96" s="19">
        <v>0.0</v>
      </c>
      <c r="G96" s="19">
        <v>0.0</v>
      </c>
      <c r="H96" s="19">
        <v>1.0</v>
      </c>
      <c r="I96" s="19">
        <v>0.0</v>
      </c>
      <c r="J96" s="19">
        <v>0.0</v>
      </c>
      <c r="K96" s="19">
        <v>0.0</v>
      </c>
      <c r="L96" s="19">
        <v>0.0</v>
      </c>
      <c r="M96" s="19">
        <v>0.0</v>
      </c>
      <c r="N96" s="13">
        <f t="shared" si="20"/>
        <v>1</v>
      </c>
    </row>
    <row r="97" ht="12.75" customHeight="1">
      <c r="A97" s="18"/>
      <c r="B97" s="55">
        <v>4.0</v>
      </c>
      <c r="C97" s="50" t="s">
        <v>77</v>
      </c>
      <c r="D97" s="60"/>
      <c r="E97" s="19">
        <v>0.0</v>
      </c>
      <c r="F97" s="19">
        <v>2.0</v>
      </c>
      <c r="G97" s="19">
        <v>0.0</v>
      </c>
      <c r="H97" s="19">
        <v>2.0</v>
      </c>
      <c r="I97" s="19">
        <v>0.0</v>
      </c>
      <c r="J97" s="19">
        <v>0.0</v>
      </c>
      <c r="K97" s="19">
        <v>1.0</v>
      </c>
      <c r="L97" s="19">
        <v>0.0</v>
      </c>
      <c r="M97" s="19">
        <v>0.0</v>
      </c>
      <c r="N97" s="13">
        <f t="shared" si="20"/>
        <v>5</v>
      </c>
    </row>
    <row r="98" ht="12.75" customHeight="1">
      <c r="A98" s="18"/>
      <c r="B98" s="55">
        <v>5.0</v>
      </c>
      <c r="C98" s="50" t="s">
        <v>78</v>
      </c>
      <c r="D98" s="60"/>
      <c r="E98" s="19"/>
      <c r="F98" s="19"/>
      <c r="G98" s="19"/>
      <c r="H98" s="19"/>
      <c r="I98" s="19"/>
      <c r="J98" s="19"/>
      <c r="K98" s="19"/>
      <c r="L98" s="19"/>
      <c r="M98" s="19"/>
      <c r="N98" s="13">
        <f t="shared" si="20"/>
        <v>0</v>
      </c>
    </row>
    <row r="99" ht="12.75" customHeight="1">
      <c r="A99" s="18"/>
      <c r="B99" s="55">
        <v>6.0</v>
      </c>
      <c r="C99" s="50" t="s">
        <v>79</v>
      </c>
      <c r="D99" s="60"/>
      <c r="E99" s="19"/>
      <c r="F99" s="19"/>
      <c r="G99" s="19"/>
      <c r="H99" s="19"/>
      <c r="I99" s="19"/>
      <c r="J99" s="19"/>
      <c r="K99" s="19"/>
      <c r="L99" s="19"/>
      <c r="M99" s="19"/>
      <c r="N99" s="13">
        <f t="shared" si="20"/>
        <v>0</v>
      </c>
    </row>
    <row r="100" ht="12.75" customHeight="1">
      <c r="A100" s="18"/>
      <c r="B100" s="55">
        <v>7.0</v>
      </c>
      <c r="C100" s="50" t="s">
        <v>80</v>
      </c>
      <c r="D100" s="60"/>
      <c r="E100" s="19"/>
      <c r="F100" s="19"/>
      <c r="G100" s="19"/>
      <c r="H100" s="19"/>
      <c r="I100" s="19"/>
      <c r="J100" s="19"/>
      <c r="K100" s="19"/>
      <c r="L100" s="19"/>
      <c r="M100" s="19"/>
      <c r="N100" s="13">
        <f t="shared" si="20"/>
        <v>0</v>
      </c>
    </row>
    <row r="101" ht="12.75" customHeight="1">
      <c r="A101" s="18"/>
      <c r="B101" s="56"/>
      <c r="C101" s="57"/>
      <c r="D101" s="62"/>
      <c r="E101" s="19"/>
      <c r="F101" s="19"/>
      <c r="G101" s="19"/>
      <c r="H101" s="19"/>
      <c r="I101" s="19"/>
      <c r="J101" s="19"/>
      <c r="K101" s="19"/>
      <c r="L101" s="19"/>
      <c r="M101" s="19"/>
      <c r="N101" s="13">
        <f t="shared" si="20"/>
        <v>0</v>
      </c>
    </row>
    <row r="102" ht="12.75" customHeight="1">
      <c r="A102" s="18"/>
      <c r="B102" s="56"/>
      <c r="C102" s="57"/>
      <c r="D102" s="62"/>
      <c r="E102" s="19"/>
      <c r="F102" s="19"/>
      <c r="G102" s="19"/>
      <c r="H102" s="19"/>
      <c r="I102" s="19"/>
      <c r="J102" s="19"/>
      <c r="K102" s="19"/>
      <c r="L102" s="19"/>
      <c r="M102" s="19"/>
      <c r="N102" s="13">
        <f t="shared" si="20"/>
        <v>0</v>
      </c>
    </row>
    <row r="103" ht="12.75" customHeight="1">
      <c r="A103" s="19" t="s">
        <v>15</v>
      </c>
      <c r="B103" s="47" t="s">
        <v>47</v>
      </c>
      <c r="C103" s="15"/>
      <c r="D103" s="16"/>
      <c r="E103" s="13">
        <f t="shared" ref="E103:N103" si="21">SUM(E93:E102)</f>
        <v>8</v>
      </c>
      <c r="F103" s="13">
        <f t="shared" si="21"/>
        <v>8</v>
      </c>
      <c r="G103" s="13">
        <f t="shared" si="21"/>
        <v>7</v>
      </c>
      <c r="H103" s="13">
        <f t="shared" si="21"/>
        <v>7</v>
      </c>
      <c r="I103" s="13">
        <f t="shared" si="21"/>
        <v>3</v>
      </c>
      <c r="J103" s="13">
        <f t="shared" si="21"/>
        <v>1</v>
      </c>
      <c r="K103" s="13">
        <f t="shared" si="21"/>
        <v>1</v>
      </c>
      <c r="L103" s="13">
        <f t="shared" si="21"/>
        <v>1</v>
      </c>
      <c r="M103" s="13">
        <f t="shared" si="21"/>
        <v>2</v>
      </c>
      <c r="N103" s="13">
        <f t="shared" si="21"/>
        <v>38</v>
      </c>
    </row>
    <row r="104" ht="12.75" customHeight="1">
      <c r="A104" s="45"/>
      <c r="B104" s="44"/>
      <c r="C104" s="44"/>
      <c r="D104" s="44"/>
      <c r="E104" s="44"/>
      <c r="F104" s="84"/>
      <c r="G104" s="84"/>
      <c r="H104" s="84"/>
      <c r="I104" s="84"/>
      <c r="J104" s="84"/>
      <c r="K104" s="84"/>
      <c r="L104" s="84"/>
      <c r="M104" s="84"/>
      <c r="N104" s="84"/>
    </row>
    <row r="105" ht="12.75" customHeight="1">
      <c r="A105" s="30" t="s">
        <v>37</v>
      </c>
      <c r="B105" s="47" t="s">
        <v>81</v>
      </c>
      <c r="C105" s="48" t="s">
        <v>82</v>
      </c>
      <c r="D105" s="16"/>
      <c r="E105" s="19">
        <v>0.0</v>
      </c>
      <c r="F105" s="19">
        <v>1.0</v>
      </c>
      <c r="G105" s="19">
        <v>1.0</v>
      </c>
      <c r="H105" s="19">
        <v>0.0</v>
      </c>
      <c r="I105" s="19">
        <v>2.0</v>
      </c>
      <c r="J105" s="19">
        <v>0.0</v>
      </c>
      <c r="K105" s="19">
        <v>1.0</v>
      </c>
      <c r="L105" s="19">
        <v>0.0</v>
      </c>
      <c r="M105" s="19">
        <v>0.0</v>
      </c>
      <c r="N105" s="13">
        <f t="shared" ref="N105:N114" si="22">SUM(E105:M105)</f>
        <v>5</v>
      </c>
    </row>
    <row r="106" ht="12.75" customHeight="1">
      <c r="A106" s="30" t="s">
        <v>39</v>
      </c>
      <c r="B106" s="55">
        <v>1.0</v>
      </c>
      <c r="C106" s="50" t="s">
        <v>83</v>
      </c>
      <c r="D106" s="60"/>
      <c r="E106" s="19">
        <v>1.0</v>
      </c>
      <c r="F106" s="19">
        <v>0.0</v>
      </c>
      <c r="G106" s="19">
        <v>0.0</v>
      </c>
      <c r="H106" s="19">
        <v>0.0</v>
      </c>
      <c r="I106" s="19">
        <v>0.0</v>
      </c>
      <c r="J106" s="19">
        <v>0.0</v>
      </c>
      <c r="K106" s="19">
        <v>0.0</v>
      </c>
      <c r="L106" s="19">
        <v>0.0</v>
      </c>
      <c r="M106" s="19">
        <v>0.0</v>
      </c>
      <c r="N106" s="13">
        <f t="shared" si="22"/>
        <v>1</v>
      </c>
    </row>
    <row r="107" ht="12.75" customHeight="1">
      <c r="A107" s="18"/>
      <c r="B107" s="55">
        <v>2.0</v>
      </c>
      <c r="C107" s="50" t="s">
        <v>84</v>
      </c>
      <c r="D107" s="60"/>
      <c r="E107" s="19">
        <v>0.0</v>
      </c>
      <c r="F107" s="19">
        <v>0.0</v>
      </c>
      <c r="G107" s="19">
        <v>0.0</v>
      </c>
      <c r="H107" s="19">
        <v>0.0</v>
      </c>
      <c r="I107" s="19">
        <v>0.0</v>
      </c>
      <c r="J107" s="19">
        <v>2.0</v>
      </c>
      <c r="K107" s="19">
        <v>0.0</v>
      </c>
      <c r="L107" s="19">
        <v>0.0</v>
      </c>
      <c r="M107" s="19">
        <v>0.0</v>
      </c>
      <c r="N107" s="13">
        <f t="shared" si="22"/>
        <v>2</v>
      </c>
    </row>
    <row r="108" ht="12.75" customHeight="1">
      <c r="A108" s="18"/>
      <c r="B108" s="55">
        <v>3.0</v>
      </c>
      <c r="C108" s="50" t="s">
        <v>85</v>
      </c>
      <c r="D108" s="60"/>
      <c r="E108" s="85"/>
      <c r="F108" s="19"/>
      <c r="G108" s="19"/>
      <c r="H108" s="19"/>
      <c r="I108" s="19"/>
      <c r="J108" s="19"/>
      <c r="K108" s="19"/>
      <c r="L108" s="19"/>
      <c r="M108" s="19"/>
      <c r="N108" s="13">
        <f t="shared" si="22"/>
        <v>0</v>
      </c>
    </row>
    <row r="109" ht="12.75" customHeight="1">
      <c r="A109" s="18"/>
      <c r="B109" s="55">
        <v>4.0</v>
      </c>
      <c r="C109" s="50" t="s">
        <v>86</v>
      </c>
      <c r="D109" s="60"/>
      <c r="E109" s="85"/>
      <c r="F109" s="19"/>
      <c r="G109" s="19"/>
      <c r="H109" s="19"/>
      <c r="I109" s="19"/>
      <c r="J109" s="19"/>
      <c r="K109" s="19"/>
      <c r="L109" s="19"/>
      <c r="M109" s="19"/>
      <c r="N109" s="13">
        <f t="shared" si="22"/>
        <v>0</v>
      </c>
    </row>
    <row r="110" ht="12.75" customHeight="1">
      <c r="A110" s="18"/>
      <c r="B110" s="55">
        <v>5.0</v>
      </c>
      <c r="C110" s="50" t="s">
        <v>87</v>
      </c>
      <c r="D110" s="60"/>
      <c r="E110" s="85"/>
      <c r="F110" s="19"/>
      <c r="G110" s="19"/>
      <c r="H110" s="19"/>
      <c r="I110" s="19"/>
      <c r="J110" s="19"/>
      <c r="K110" s="19"/>
      <c r="L110" s="19"/>
      <c r="M110" s="19"/>
      <c r="N110" s="13">
        <f t="shared" si="22"/>
        <v>0</v>
      </c>
    </row>
    <row r="111" ht="12.75" customHeight="1">
      <c r="A111" s="18"/>
      <c r="B111" s="55">
        <v>6.0</v>
      </c>
      <c r="C111" s="50" t="s">
        <v>88</v>
      </c>
      <c r="D111" s="60"/>
      <c r="E111" s="85"/>
      <c r="F111" s="19"/>
      <c r="G111" s="19"/>
      <c r="H111" s="19"/>
      <c r="I111" s="19"/>
      <c r="J111" s="19"/>
      <c r="K111" s="19"/>
      <c r="L111" s="19"/>
      <c r="M111" s="19"/>
      <c r="N111" s="13">
        <f t="shared" si="22"/>
        <v>0</v>
      </c>
    </row>
    <row r="112" ht="12.75" customHeight="1">
      <c r="A112" s="18"/>
      <c r="B112" s="55">
        <v>7.0</v>
      </c>
      <c r="C112" s="50" t="s">
        <v>89</v>
      </c>
      <c r="D112" s="60"/>
      <c r="E112" s="85"/>
      <c r="F112" s="19"/>
      <c r="G112" s="19"/>
      <c r="H112" s="19"/>
      <c r="I112" s="19"/>
      <c r="J112" s="19"/>
      <c r="K112" s="19"/>
      <c r="L112" s="19"/>
      <c r="M112" s="19"/>
      <c r="N112" s="13">
        <f t="shared" si="22"/>
        <v>0</v>
      </c>
    </row>
    <row r="113" ht="12.75" customHeight="1">
      <c r="A113" s="18"/>
      <c r="B113" s="56"/>
      <c r="C113" s="57"/>
      <c r="D113" s="62"/>
      <c r="E113" s="85"/>
      <c r="F113" s="19"/>
      <c r="G113" s="19"/>
      <c r="H113" s="19"/>
      <c r="I113" s="19"/>
      <c r="J113" s="19"/>
      <c r="K113" s="19"/>
      <c r="L113" s="19"/>
      <c r="M113" s="19"/>
      <c r="N113" s="13">
        <f t="shared" si="22"/>
        <v>0</v>
      </c>
    </row>
    <row r="114" ht="12.75" customHeight="1">
      <c r="A114" s="18"/>
      <c r="B114" s="56"/>
      <c r="C114" s="57"/>
      <c r="D114" s="62"/>
      <c r="E114" s="85"/>
      <c r="F114" s="19"/>
      <c r="G114" s="19"/>
      <c r="H114" s="19"/>
      <c r="I114" s="19"/>
      <c r="J114" s="19"/>
      <c r="K114" s="19"/>
      <c r="L114" s="19"/>
      <c r="M114" s="19"/>
      <c r="N114" s="13">
        <f t="shared" si="22"/>
        <v>0</v>
      </c>
    </row>
    <row r="115" ht="12.75" customHeight="1">
      <c r="A115" s="19" t="s">
        <v>15</v>
      </c>
      <c r="B115" s="47" t="s">
        <v>47</v>
      </c>
      <c r="C115" s="15"/>
      <c r="D115" s="16"/>
      <c r="E115" s="13">
        <f t="shared" ref="E115:N115" si="23">SUM(E105:E114)</f>
        <v>1</v>
      </c>
      <c r="F115" s="13">
        <f t="shared" si="23"/>
        <v>1</v>
      </c>
      <c r="G115" s="13">
        <f t="shared" si="23"/>
        <v>1</v>
      </c>
      <c r="H115" s="13">
        <f t="shared" si="23"/>
        <v>0</v>
      </c>
      <c r="I115" s="13">
        <f t="shared" si="23"/>
        <v>2</v>
      </c>
      <c r="J115" s="13">
        <f t="shared" si="23"/>
        <v>2</v>
      </c>
      <c r="K115" s="13">
        <f t="shared" si="23"/>
        <v>1</v>
      </c>
      <c r="L115" s="13">
        <f t="shared" si="23"/>
        <v>0</v>
      </c>
      <c r="M115" s="13">
        <f t="shared" si="23"/>
        <v>0</v>
      </c>
      <c r="N115" s="13">
        <f t="shared" si="23"/>
        <v>8</v>
      </c>
    </row>
    <row r="116" ht="12.75" customHeight="1">
      <c r="A116" s="24"/>
      <c r="B116" s="15"/>
      <c r="C116" s="15"/>
      <c r="D116" s="15"/>
      <c r="E116" s="16"/>
      <c r="F116" s="84"/>
      <c r="G116" s="84"/>
      <c r="H116" s="84"/>
      <c r="I116" s="84"/>
      <c r="J116" s="84"/>
      <c r="K116" s="84"/>
      <c r="L116" s="84"/>
      <c r="M116" s="84"/>
      <c r="N116" s="13"/>
    </row>
    <row r="117" ht="12.75" customHeight="1">
      <c r="A117" s="30" t="s">
        <v>37</v>
      </c>
      <c r="B117" s="47" t="s">
        <v>90</v>
      </c>
      <c r="C117" s="48" t="s">
        <v>91</v>
      </c>
      <c r="D117" s="16"/>
      <c r="E117" s="19">
        <v>0.0</v>
      </c>
      <c r="F117" s="19">
        <v>1.0</v>
      </c>
      <c r="G117" s="19">
        <v>1.0</v>
      </c>
      <c r="H117" s="19">
        <v>0.0</v>
      </c>
      <c r="I117" s="19">
        <v>2.0</v>
      </c>
      <c r="J117" s="19">
        <v>0.0</v>
      </c>
      <c r="K117" s="19">
        <v>0.0</v>
      </c>
      <c r="L117" s="19">
        <v>0.0</v>
      </c>
      <c r="M117" s="19">
        <v>1.0</v>
      </c>
      <c r="N117" s="13">
        <f t="shared" ref="N117:N126" si="24">SUM(E117:M117)</f>
        <v>5</v>
      </c>
    </row>
    <row r="118" ht="12.75" customHeight="1">
      <c r="A118" s="30" t="s">
        <v>39</v>
      </c>
      <c r="B118" s="55">
        <v>1.0</v>
      </c>
      <c r="C118" s="50" t="s">
        <v>92</v>
      </c>
      <c r="D118" s="60"/>
      <c r="E118" s="19">
        <v>0.0</v>
      </c>
      <c r="F118" s="19">
        <v>0.0</v>
      </c>
      <c r="G118" s="19">
        <v>0.0</v>
      </c>
      <c r="H118" s="19">
        <v>0.0</v>
      </c>
      <c r="I118" s="19">
        <v>0.0</v>
      </c>
      <c r="J118" s="19">
        <v>0.0</v>
      </c>
      <c r="K118" s="19">
        <v>0.0</v>
      </c>
      <c r="L118" s="19">
        <v>1.0</v>
      </c>
      <c r="M118" s="19">
        <v>0.0</v>
      </c>
      <c r="N118" s="13">
        <f t="shared" si="24"/>
        <v>1</v>
      </c>
    </row>
    <row r="119" ht="12.75" customHeight="1">
      <c r="A119" s="18"/>
      <c r="B119" s="55">
        <v>2.0</v>
      </c>
      <c r="C119" s="50" t="s">
        <v>93</v>
      </c>
      <c r="D119" s="60"/>
      <c r="E119" s="19"/>
      <c r="F119" s="19"/>
      <c r="G119" s="19"/>
      <c r="H119" s="19"/>
      <c r="I119" s="19"/>
      <c r="J119" s="19"/>
      <c r="K119" s="19"/>
      <c r="L119" s="19"/>
      <c r="M119" s="19"/>
      <c r="N119" s="13">
        <f t="shared" si="24"/>
        <v>0</v>
      </c>
    </row>
    <row r="120" ht="12.75" customHeight="1">
      <c r="A120" s="18"/>
      <c r="B120" s="55">
        <v>3.0</v>
      </c>
      <c r="C120" s="50" t="s">
        <v>94</v>
      </c>
      <c r="D120" s="60"/>
      <c r="E120" s="19"/>
      <c r="F120" s="19"/>
      <c r="G120" s="19"/>
      <c r="H120" s="19"/>
      <c r="I120" s="19"/>
      <c r="J120" s="19"/>
      <c r="K120" s="19"/>
      <c r="L120" s="19"/>
      <c r="M120" s="19"/>
      <c r="N120" s="13">
        <f t="shared" si="24"/>
        <v>0</v>
      </c>
    </row>
    <row r="121" ht="12.75" customHeight="1">
      <c r="A121" s="18"/>
      <c r="B121" s="56"/>
      <c r="C121" s="57"/>
      <c r="D121" s="62"/>
      <c r="E121" s="19"/>
      <c r="F121" s="19"/>
      <c r="G121" s="19"/>
      <c r="H121" s="19"/>
      <c r="I121" s="19"/>
      <c r="J121" s="19"/>
      <c r="K121" s="19"/>
      <c r="L121" s="19"/>
      <c r="M121" s="19"/>
      <c r="N121" s="13">
        <f t="shared" si="24"/>
        <v>0</v>
      </c>
    </row>
    <row r="122" ht="12.75" customHeight="1">
      <c r="A122" s="18"/>
      <c r="B122" s="56"/>
      <c r="C122" s="57"/>
      <c r="D122" s="62"/>
      <c r="E122" s="19"/>
      <c r="F122" s="19"/>
      <c r="G122" s="19"/>
      <c r="H122" s="19"/>
      <c r="I122" s="19"/>
      <c r="J122" s="19"/>
      <c r="K122" s="19"/>
      <c r="L122" s="19"/>
      <c r="M122" s="19"/>
      <c r="N122" s="13">
        <f t="shared" si="24"/>
        <v>0</v>
      </c>
    </row>
    <row r="123" ht="12.75" customHeight="1">
      <c r="A123" s="18"/>
      <c r="B123" s="56"/>
      <c r="C123" s="57"/>
      <c r="D123" s="62"/>
      <c r="E123" s="63"/>
      <c r="F123" s="40"/>
      <c r="G123" s="40"/>
      <c r="H123" s="40"/>
      <c r="I123" s="40"/>
      <c r="J123" s="40"/>
      <c r="K123" s="40"/>
      <c r="L123" s="40"/>
      <c r="M123" s="40"/>
      <c r="N123" s="13">
        <f t="shared" si="24"/>
        <v>0</v>
      </c>
    </row>
    <row r="124" ht="12.75" customHeight="1">
      <c r="A124" s="18"/>
      <c r="B124" s="56"/>
      <c r="C124" s="57"/>
      <c r="D124" s="62"/>
      <c r="E124" s="63"/>
      <c r="F124" s="40"/>
      <c r="G124" s="40"/>
      <c r="H124" s="40"/>
      <c r="I124" s="40"/>
      <c r="J124" s="40"/>
      <c r="K124" s="40"/>
      <c r="L124" s="40"/>
      <c r="M124" s="40"/>
      <c r="N124" s="13">
        <f t="shared" si="24"/>
        <v>0</v>
      </c>
    </row>
    <row r="125" ht="12.75" customHeight="1">
      <c r="A125" s="18"/>
      <c r="B125" s="56"/>
      <c r="C125" s="57"/>
      <c r="D125" s="62"/>
      <c r="E125" s="63"/>
      <c r="F125" s="40"/>
      <c r="G125" s="40"/>
      <c r="H125" s="40"/>
      <c r="I125" s="40"/>
      <c r="J125" s="40"/>
      <c r="K125" s="40"/>
      <c r="L125" s="40"/>
      <c r="M125" s="40"/>
      <c r="N125" s="13">
        <f t="shared" si="24"/>
        <v>0</v>
      </c>
    </row>
    <row r="126" ht="12.75" customHeight="1">
      <c r="A126" s="18"/>
      <c r="B126" s="56"/>
      <c r="C126" s="57"/>
      <c r="D126" s="62"/>
      <c r="E126" s="63"/>
      <c r="F126" s="40"/>
      <c r="G126" s="40"/>
      <c r="H126" s="40"/>
      <c r="I126" s="40"/>
      <c r="J126" s="40"/>
      <c r="K126" s="40"/>
      <c r="L126" s="40"/>
      <c r="M126" s="40"/>
      <c r="N126" s="13">
        <f t="shared" si="24"/>
        <v>0</v>
      </c>
    </row>
    <row r="127" ht="12.75" customHeight="1">
      <c r="A127" s="19" t="s">
        <v>15</v>
      </c>
      <c r="B127" s="47" t="s">
        <v>47</v>
      </c>
      <c r="C127" s="15"/>
      <c r="D127" s="16"/>
      <c r="E127" s="13">
        <f t="shared" ref="E127:N127" si="25">SUM(E117:E126)</f>
        <v>0</v>
      </c>
      <c r="F127" s="13">
        <f t="shared" si="25"/>
        <v>1</v>
      </c>
      <c r="G127" s="13">
        <f t="shared" si="25"/>
        <v>1</v>
      </c>
      <c r="H127" s="13">
        <f t="shared" si="25"/>
        <v>0</v>
      </c>
      <c r="I127" s="13">
        <f t="shared" si="25"/>
        <v>2</v>
      </c>
      <c r="J127" s="13">
        <f t="shared" si="25"/>
        <v>0</v>
      </c>
      <c r="K127" s="13">
        <f t="shared" si="25"/>
        <v>0</v>
      </c>
      <c r="L127" s="13">
        <f t="shared" si="25"/>
        <v>1</v>
      </c>
      <c r="M127" s="13">
        <f t="shared" si="25"/>
        <v>1</v>
      </c>
      <c r="N127" s="13">
        <f t="shared" si="25"/>
        <v>6</v>
      </c>
    </row>
    <row r="128" ht="12.75" customHeight="1">
      <c r="A128" s="24"/>
      <c r="B128" s="15"/>
      <c r="C128" s="15"/>
      <c r="D128" s="15"/>
      <c r="E128" s="16"/>
      <c r="F128" s="84"/>
      <c r="G128" s="84"/>
      <c r="H128" s="84"/>
      <c r="I128" s="84"/>
      <c r="J128" s="84"/>
      <c r="K128" s="84"/>
      <c r="L128" s="84"/>
      <c r="M128" s="84"/>
      <c r="N128" s="84"/>
    </row>
    <row r="129" ht="12.75" customHeight="1">
      <c r="A129" s="30" t="s">
        <v>37</v>
      </c>
      <c r="B129" s="47" t="s">
        <v>95</v>
      </c>
      <c r="C129" s="48" t="s">
        <v>96</v>
      </c>
      <c r="D129" s="16"/>
      <c r="E129" s="19">
        <v>0.0</v>
      </c>
      <c r="F129" s="19">
        <v>0.0</v>
      </c>
      <c r="G129" s="19">
        <v>0.0</v>
      </c>
      <c r="H129" s="19">
        <v>2.0</v>
      </c>
      <c r="I129" s="19">
        <v>1.0</v>
      </c>
      <c r="J129" s="19">
        <v>0.0</v>
      </c>
      <c r="K129" s="19">
        <v>1.0</v>
      </c>
      <c r="L129" s="19">
        <v>0.0</v>
      </c>
      <c r="M129" s="19">
        <v>1.0</v>
      </c>
      <c r="N129" s="13">
        <v>5.0</v>
      </c>
    </row>
    <row r="130" ht="12.75" customHeight="1">
      <c r="A130" s="30" t="s">
        <v>39</v>
      </c>
      <c r="B130" s="55">
        <v>1.0</v>
      </c>
      <c r="C130" s="50" t="s">
        <v>97</v>
      </c>
      <c r="D130" s="59"/>
      <c r="E130" s="19">
        <v>1.0</v>
      </c>
      <c r="F130" s="19">
        <v>0.0</v>
      </c>
      <c r="G130" s="19">
        <v>0.0</v>
      </c>
      <c r="H130" s="19">
        <v>0.0</v>
      </c>
      <c r="I130" s="19">
        <v>0.0</v>
      </c>
      <c r="J130" s="19">
        <v>3.0</v>
      </c>
      <c r="K130" s="19">
        <v>1.0</v>
      </c>
      <c r="L130" s="19">
        <v>1.0</v>
      </c>
      <c r="M130" s="19">
        <v>0.0</v>
      </c>
      <c r="N130" s="13">
        <v>6.0</v>
      </c>
    </row>
    <row r="131" ht="12.75" customHeight="1">
      <c r="A131" s="18"/>
      <c r="B131" s="55">
        <v>2.0</v>
      </c>
      <c r="C131" s="50" t="s">
        <v>98</v>
      </c>
      <c r="D131" s="59"/>
      <c r="E131" s="19">
        <v>0.0</v>
      </c>
      <c r="F131" s="19">
        <v>0.0</v>
      </c>
      <c r="G131" s="19">
        <v>0.0</v>
      </c>
      <c r="H131" s="19">
        <v>2.0</v>
      </c>
      <c r="I131" s="19">
        <v>0.0</v>
      </c>
      <c r="J131" s="19">
        <v>0.0</v>
      </c>
      <c r="K131" s="19">
        <v>0.0</v>
      </c>
      <c r="L131" s="19">
        <v>0.0</v>
      </c>
      <c r="M131" s="19">
        <v>0.0</v>
      </c>
      <c r="N131" s="13">
        <f t="shared" ref="N131:N138" si="26">SUM(E131:M131)</f>
        <v>2</v>
      </c>
    </row>
    <row r="132" ht="12.75" customHeight="1">
      <c r="A132" s="18"/>
      <c r="B132" s="55">
        <v>3.0</v>
      </c>
      <c r="C132" s="50" t="s">
        <v>99</v>
      </c>
      <c r="D132" s="59"/>
      <c r="E132" s="19"/>
      <c r="F132" s="19"/>
      <c r="G132" s="19"/>
      <c r="H132" s="19"/>
      <c r="I132" s="19"/>
      <c r="J132" s="19"/>
      <c r="K132" s="19"/>
      <c r="L132" s="19"/>
      <c r="M132" s="19"/>
      <c r="N132" s="13">
        <f t="shared" si="26"/>
        <v>0</v>
      </c>
    </row>
    <row r="133" ht="12.75" customHeight="1">
      <c r="A133" s="18"/>
      <c r="B133" s="55">
        <v>4.0</v>
      </c>
      <c r="C133" s="50" t="s">
        <v>100</v>
      </c>
      <c r="D133" s="59"/>
      <c r="E133" s="19">
        <v>0.0</v>
      </c>
      <c r="F133" s="19">
        <v>0.0</v>
      </c>
      <c r="G133" s="19">
        <v>0.0</v>
      </c>
      <c r="H133" s="19">
        <v>1.0</v>
      </c>
      <c r="I133" s="19">
        <v>0.0</v>
      </c>
      <c r="J133" s="19">
        <v>0.0</v>
      </c>
      <c r="K133" s="19">
        <v>0.0</v>
      </c>
      <c r="L133" s="19">
        <v>0.0</v>
      </c>
      <c r="M133" s="19">
        <v>0.0</v>
      </c>
      <c r="N133" s="13">
        <f t="shared" si="26"/>
        <v>1</v>
      </c>
    </row>
    <row r="134" ht="12.75" customHeight="1">
      <c r="A134" s="18"/>
      <c r="B134" s="55">
        <v>5.0</v>
      </c>
      <c r="C134" s="50" t="s">
        <v>101</v>
      </c>
      <c r="D134" s="59"/>
      <c r="E134" s="19">
        <v>0.0</v>
      </c>
      <c r="F134" s="19">
        <v>0.0</v>
      </c>
      <c r="G134" s="19">
        <v>0.0</v>
      </c>
      <c r="H134" s="19">
        <v>0.0</v>
      </c>
      <c r="I134" s="19">
        <v>1.0</v>
      </c>
      <c r="J134" s="19">
        <v>0.0</v>
      </c>
      <c r="K134" s="19">
        <v>0.0</v>
      </c>
      <c r="L134" s="19">
        <v>0.0</v>
      </c>
      <c r="M134" s="19">
        <v>0.0</v>
      </c>
      <c r="N134" s="13">
        <f t="shared" si="26"/>
        <v>1</v>
      </c>
    </row>
    <row r="135" ht="12.75" customHeight="1">
      <c r="A135" s="18"/>
      <c r="B135" s="55">
        <v>6.0</v>
      </c>
      <c r="C135" s="50" t="s">
        <v>102</v>
      </c>
      <c r="D135" s="60"/>
      <c r="E135" s="19"/>
      <c r="F135" s="19"/>
      <c r="G135" s="19"/>
      <c r="H135" s="19"/>
      <c r="I135" s="19"/>
      <c r="J135" s="19"/>
      <c r="K135" s="19"/>
      <c r="L135" s="19"/>
      <c r="M135" s="19"/>
      <c r="N135" s="13">
        <f t="shared" si="26"/>
        <v>0</v>
      </c>
    </row>
    <row r="136" ht="12.75" customHeight="1">
      <c r="A136" s="18"/>
      <c r="B136" s="55">
        <v>7.0</v>
      </c>
      <c r="C136" s="50" t="s">
        <v>103</v>
      </c>
      <c r="D136" s="59"/>
      <c r="E136" s="19"/>
      <c r="F136" s="19"/>
      <c r="G136" s="19"/>
      <c r="H136" s="19"/>
      <c r="I136" s="19"/>
      <c r="J136" s="19"/>
      <c r="K136" s="19"/>
      <c r="L136" s="19"/>
      <c r="M136" s="19"/>
      <c r="N136" s="13">
        <f t="shared" si="26"/>
        <v>0</v>
      </c>
    </row>
    <row r="137" ht="12.75" customHeight="1">
      <c r="A137" s="18"/>
      <c r="B137" s="56"/>
      <c r="C137" s="57"/>
      <c r="D137" s="61"/>
      <c r="E137" s="19"/>
      <c r="F137" s="19"/>
      <c r="G137" s="19"/>
      <c r="H137" s="19"/>
      <c r="I137" s="19"/>
      <c r="J137" s="19"/>
      <c r="K137" s="19"/>
      <c r="L137" s="19"/>
      <c r="M137" s="19"/>
      <c r="N137" s="13">
        <f t="shared" si="26"/>
        <v>0</v>
      </c>
    </row>
    <row r="138" ht="12.75" customHeight="1">
      <c r="A138" s="18"/>
      <c r="B138" s="56"/>
      <c r="C138" s="57"/>
      <c r="D138" s="61"/>
      <c r="E138" s="19"/>
      <c r="F138" s="19"/>
      <c r="G138" s="19"/>
      <c r="H138" s="19"/>
      <c r="I138" s="19"/>
      <c r="J138" s="19"/>
      <c r="K138" s="19"/>
      <c r="L138" s="19"/>
      <c r="M138" s="19"/>
      <c r="N138" s="13">
        <f t="shared" si="26"/>
        <v>0</v>
      </c>
    </row>
    <row r="139" ht="12.75" customHeight="1">
      <c r="A139" s="19" t="s">
        <v>15</v>
      </c>
      <c r="B139" s="47" t="s">
        <v>47</v>
      </c>
      <c r="C139" s="15"/>
      <c r="D139" s="16"/>
      <c r="E139" s="13">
        <f t="shared" ref="E139:N139" si="27">SUM(E129:E138)</f>
        <v>1</v>
      </c>
      <c r="F139" s="13">
        <f t="shared" si="27"/>
        <v>0</v>
      </c>
      <c r="G139" s="13">
        <f t="shared" si="27"/>
        <v>0</v>
      </c>
      <c r="H139" s="13">
        <f t="shared" si="27"/>
        <v>5</v>
      </c>
      <c r="I139" s="13">
        <f t="shared" si="27"/>
        <v>2</v>
      </c>
      <c r="J139" s="13">
        <f t="shared" si="27"/>
        <v>3</v>
      </c>
      <c r="K139" s="13">
        <f t="shared" si="27"/>
        <v>2</v>
      </c>
      <c r="L139" s="13">
        <f t="shared" si="27"/>
        <v>1</v>
      </c>
      <c r="M139" s="13">
        <f t="shared" si="27"/>
        <v>1</v>
      </c>
      <c r="N139" s="13">
        <f t="shared" si="27"/>
        <v>15</v>
      </c>
    </row>
    <row r="140" ht="12.75" customHeight="1">
      <c r="A140" s="24"/>
      <c r="B140" s="15"/>
      <c r="C140" s="15"/>
      <c r="D140" s="15"/>
      <c r="E140" s="16"/>
      <c r="F140" s="84"/>
      <c r="G140" s="84"/>
      <c r="H140" s="84"/>
      <c r="I140" s="84"/>
      <c r="J140" s="84"/>
      <c r="K140" s="84"/>
      <c r="L140" s="84"/>
      <c r="M140" s="84"/>
      <c r="N140" s="84"/>
    </row>
    <row r="141" ht="12.75" customHeight="1">
      <c r="A141" s="30" t="s">
        <v>37</v>
      </c>
      <c r="B141" s="47" t="s">
        <v>104</v>
      </c>
      <c r="C141" s="48" t="s">
        <v>105</v>
      </c>
      <c r="D141" s="16"/>
      <c r="E141" s="19"/>
      <c r="F141" s="19"/>
      <c r="G141" s="19"/>
      <c r="H141" s="19"/>
      <c r="I141" s="19"/>
      <c r="J141" s="19"/>
      <c r="K141" s="19"/>
      <c r="L141" s="19"/>
      <c r="M141" s="19"/>
      <c r="N141" s="13">
        <f t="shared" ref="N141:N150" si="28">SUM(E141:M141)</f>
        <v>0</v>
      </c>
    </row>
    <row r="142" ht="12.75" customHeight="1">
      <c r="A142" s="30" t="s">
        <v>39</v>
      </c>
      <c r="B142" s="55">
        <v>1.0</v>
      </c>
      <c r="C142" s="50" t="s">
        <v>106</v>
      </c>
      <c r="D142" s="60"/>
      <c r="E142" s="19"/>
      <c r="F142" s="19"/>
      <c r="G142" s="19"/>
      <c r="H142" s="19"/>
      <c r="I142" s="19"/>
      <c r="J142" s="19"/>
      <c r="K142" s="19"/>
      <c r="L142" s="19"/>
      <c r="M142" s="19"/>
      <c r="N142" s="13">
        <f t="shared" si="28"/>
        <v>0</v>
      </c>
    </row>
    <row r="143" ht="12.75" customHeight="1">
      <c r="A143" s="18"/>
      <c r="B143" s="55">
        <v>2.0</v>
      </c>
      <c r="C143" s="50" t="s">
        <v>107</v>
      </c>
      <c r="D143" s="60"/>
      <c r="E143" s="19"/>
      <c r="F143" s="19"/>
      <c r="G143" s="19"/>
      <c r="H143" s="19"/>
      <c r="I143" s="19"/>
      <c r="J143" s="19"/>
      <c r="K143" s="19"/>
      <c r="L143" s="19"/>
      <c r="M143" s="19"/>
      <c r="N143" s="13">
        <f t="shared" si="28"/>
        <v>0</v>
      </c>
    </row>
    <row r="144" ht="12.75" customHeight="1">
      <c r="A144" s="18"/>
      <c r="B144" s="55">
        <v>3.0</v>
      </c>
      <c r="C144" s="50" t="s">
        <v>108</v>
      </c>
      <c r="D144" s="60"/>
      <c r="E144" s="19"/>
      <c r="F144" s="19"/>
      <c r="G144" s="19"/>
      <c r="H144" s="19"/>
      <c r="I144" s="19"/>
      <c r="J144" s="19"/>
      <c r="K144" s="19"/>
      <c r="L144" s="19"/>
      <c r="M144" s="19"/>
      <c r="N144" s="13">
        <f t="shared" si="28"/>
        <v>0</v>
      </c>
    </row>
    <row r="145" ht="12.75" customHeight="1">
      <c r="A145" s="18"/>
      <c r="B145" s="55">
        <v>4.0</v>
      </c>
      <c r="C145" s="50" t="s">
        <v>109</v>
      </c>
      <c r="D145" s="60"/>
      <c r="E145" s="19"/>
      <c r="F145" s="19"/>
      <c r="G145" s="19"/>
      <c r="H145" s="19"/>
      <c r="I145" s="19"/>
      <c r="J145" s="19"/>
      <c r="K145" s="19"/>
      <c r="L145" s="19"/>
      <c r="M145" s="19"/>
      <c r="N145" s="13">
        <f t="shared" si="28"/>
        <v>0</v>
      </c>
    </row>
    <row r="146" ht="12.75" customHeight="1">
      <c r="A146" s="18"/>
      <c r="B146" s="55">
        <v>5.0</v>
      </c>
      <c r="C146" s="50" t="s">
        <v>110</v>
      </c>
      <c r="D146" s="60"/>
      <c r="E146" s="19"/>
      <c r="F146" s="19"/>
      <c r="G146" s="19"/>
      <c r="H146" s="19"/>
      <c r="I146" s="19"/>
      <c r="J146" s="19"/>
      <c r="K146" s="19"/>
      <c r="L146" s="19"/>
      <c r="M146" s="19"/>
      <c r="N146" s="13">
        <f t="shared" si="28"/>
        <v>0</v>
      </c>
    </row>
    <row r="147" ht="12.75" customHeight="1">
      <c r="A147" s="18"/>
      <c r="B147" s="55">
        <v>6.0</v>
      </c>
      <c r="C147" s="50" t="s">
        <v>111</v>
      </c>
      <c r="D147" s="60"/>
      <c r="E147" s="19"/>
      <c r="F147" s="19"/>
      <c r="G147" s="19"/>
      <c r="H147" s="19"/>
      <c r="I147" s="19"/>
      <c r="J147" s="19"/>
      <c r="K147" s="19"/>
      <c r="L147" s="19"/>
      <c r="M147" s="19"/>
      <c r="N147" s="13">
        <f t="shared" si="28"/>
        <v>0</v>
      </c>
    </row>
    <row r="148" ht="12.75" customHeight="1">
      <c r="A148" s="18"/>
      <c r="B148" s="55">
        <v>7.0</v>
      </c>
      <c r="C148" s="50" t="s">
        <v>112</v>
      </c>
      <c r="D148" s="60"/>
      <c r="E148" s="19"/>
      <c r="F148" s="19"/>
      <c r="G148" s="19"/>
      <c r="H148" s="19"/>
      <c r="I148" s="19"/>
      <c r="J148" s="19"/>
      <c r="K148" s="19"/>
      <c r="L148" s="19"/>
      <c r="M148" s="19"/>
      <c r="N148" s="13">
        <f t="shared" si="28"/>
        <v>0</v>
      </c>
    </row>
    <row r="149" ht="12.75" customHeight="1">
      <c r="A149" s="18"/>
      <c r="B149" s="56"/>
      <c r="C149" s="57"/>
      <c r="D149" s="62"/>
      <c r="E149" s="19"/>
      <c r="F149" s="19"/>
      <c r="G149" s="19"/>
      <c r="H149" s="19"/>
      <c r="I149" s="19"/>
      <c r="J149" s="19"/>
      <c r="K149" s="19"/>
      <c r="L149" s="19"/>
      <c r="M149" s="19"/>
      <c r="N149" s="13">
        <f t="shared" si="28"/>
        <v>0</v>
      </c>
    </row>
    <row r="150" ht="12.75" customHeight="1">
      <c r="A150" s="18"/>
      <c r="B150" s="56"/>
      <c r="C150" s="57"/>
      <c r="D150" s="62"/>
      <c r="E150" s="19"/>
      <c r="F150" s="19"/>
      <c r="G150" s="19"/>
      <c r="H150" s="19"/>
      <c r="I150" s="19"/>
      <c r="J150" s="19"/>
      <c r="K150" s="19"/>
      <c r="L150" s="19"/>
      <c r="M150" s="19"/>
      <c r="N150" s="13">
        <f t="shared" si="28"/>
        <v>0</v>
      </c>
    </row>
    <row r="151" ht="12.75" customHeight="1">
      <c r="A151" s="19" t="s">
        <v>15</v>
      </c>
      <c r="B151" s="47" t="s">
        <v>47</v>
      </c>
      <c r="C151" s="15"/>
      <c r="D151" s="16"/>
      <c r="E151" s="13">
        <f t="shared" ref="E151:N151" si="29">SUM(E141:E150)</f>
        <v>0</v>
      </c>
      <c r="F151" s="13">
        <f t="shared" si="29"/>
        <v>0</v>
      </c>
      <c r="G151" s="13">
        <f t="shared" si="29"/>
        <v>0</v>
      </c>
      <c r="H151" s="13">
        <f t="shared" si="29"/>
        <v>0</v>
      </c>
      <c r="I151" s="13">
        <f t="shared" si="29"/>
        <v>0</v>
      </c>
      <c r="J151" s="13">
        <f t="shared" si="29"/>
        <v>0</v>
      </c>
      <c r="K151" s="13">
        <f t="shared" si="29"/>
        <v>0</v>
      </c>
      <c r="L151" s="13">
        <f t="shared" si="29"/>
        <v>0</v>
      </c>
      <c r="M151" s="13">
        <f t="shared" si="29"/>
        <v>0</v>
      </c>
      <c r="N151" s="13">
        <f t="shared" si="29"/>
        <v>0</v>
      </c>
    </row>
    <row r="152" ht="12.75" customHeight="1">
      <c r="A152" s="24"/>
      <c r="B152" s="15"/>
      <c r="C152" s="15"/>
      <c r="D152" s="15"/>
      <c r="E152" s="16"/>
      <c r="F152" s="84"/>
      <c r="G152" s="84"/>
      <c r="H152" s="84"/>
      <c r="I152" s="84"/>
      <c r="J152" s="84"/>
      <c r="K152" s="84"/>
      <c r="L152" s="84"/>
      <c r="M152" s="84"/>
      <c r="N152" s="13"/>
    </row>
    <row r="153" ht="12.75" customHeight="1">
      <c r="A153" s="30" t="s">
        <v>37</v>
      </c>
      <c r="B153" s="17" t="s">
        <v>113</v>
      </c>
      <c r="C153" s="65" t="s">
        <v>114</v>
      </c>
      <c r="D153" s="23"/>
      <c r="E153" s="19">
        <v>0.0</v>
      </c>
      <c r="F153" s="19">
        <v>0.0</v>
      </c>
      <c r="G153" s="19">
        <v>0.0</v>
      </c>
      <c r="H153" s="19">
        <v>0.0</v>
      </c>
      <c r="I153" s="19">
        <v>0.0</v>
      </c>
      <c r="J153" s="19">
        <v>0.0</v>
      </c>
      <c r="K153" s="19">
        <v>0.0</v>
      </c>
      <c r="L153" s="19">
        <v>0.0</v>
      </c>
      <c r="M153" s="19">
        <v>0.0</v>
      </c>
      <c r="N153" s="13">
        <f t="shared" ref="N153:N163" si="30">SUM(E153:M153)</f>
        <v>0</v>
      </c>
    </row>
    <row r="154" ht="12.75" customHeight="1">
      <c r="A154" s="66" t="s">
        <v>39</v>
      </c>
      <c r="B154" s="55">
        <v>1.0</v>
      </c>
      <c r="C154" s="67" t="s">
        <v>115</v>
      </c>
      <c r="D154" s="60"/>
      <c r="E154" s="86">
        <v>0.0</v>
      </c>
      <c r="F154" s="19">
        <v>0.0</v>
      </c>
      <c r="G154" s="19">
        <v>0.0</v>
      </c>
      <c r="H154" s="19">
        <v>0.0</v>
      </c>
      <c r="I154" s="19">
        <v>0.0</v>
      </c>
      <c r="J154" s="19">
        <v>0.0</v>
      </c>
      <c r="K154" s="19">
        <v>0.0</v>
      </c>
      <c r="L154" s="19">
        <v>0.0</v>
      </c>
      <c r="M154" s="19">
        <v>0.0</v>
      </c>
      <c r="N154" s="13">
        <f t="shared" si="30"/>
        <v>0</v>
      </c>
    </row>
    <row r="155" ht="12.75" customHeight="1">
      <c r="A155" s="18"/>
      <c r="B155" s="55">
        <v>2.0</v>
      </c>
      <c r="C155" s="67" t="s">
        <v>116</v>
      </c>
      <c r="D155" s="60"/>
      <c r="E155" s="86">
        <v>0.0</v>
      </c>
      <c r="F155" s="19">
        <v>1.0</v>
      </c>
      <c r="G155" s="19">
        <v>0.0</v>
      </c>
      <c r="H155" s="19">
        <v>1.0</v>
      </c>
      <c r="I155" s="19">
        <v>0.0</v>
      </c>
      <c r="J155" s="19">
        <v>0.0</v>
      </c>
      <c r="K155" s="19">
        <v>0.0</v>
      </c>
      <c r="L155" s="19">
        <v>0.0</v>
      </c>
      <c r="M155" s="19">
        <v>0.0</v>
      </c>
      <c r="N155" s="13">
        <f t="shared" si="30"/>
        <v>2</v>
      </c>
    </row>
    <row r="156" ht="12.75" customHeight="1">
      <c r="A156" s="18"/>
      <c r="B156" s="55">
        <v>3.0</v>
      </c>
      <c r="C156" s="67" t="s">
        <v>117</v>
      </c>
      <c r="D156" s="60"/>
      <c r="E156" s="86">
        <v>0.0</v>
      </c>
      <c r="F156" s="19">
        <v>0.0</v>
      </c>
      <c r="G156" s="19">
        <v>0.0</v>
      </c>
      <c r="H156" s="19">
        <v>0.0</v>
      </c>
      <c r="I156" s="19">
        <v>0.0</v>
      </c>
      <c r="J156" s="19">
        <v>0.0</v>
      </c>
      <c r="K156" s="19">
        <v>2.0</v>
      </c>
      <c r="L156" s="19">
        <v>0.0</v>
      </c>
      <c r="M156" s="19">
        <v>0.0</v>
      </c>
      <c r="N156" s="13">
        <f t="shared" si="30"/>
        <v>2</v>
      </c>
    </row>
    <row r="157" ht="12.75" customHeight="1">
      <c r="A157" s="18"/>
      <c r="B157" s="55">
        <v>4.0</v>
      </c>
      <c r="C157" s="67" t="s">
        <v>118</v>
      </c>
      <c r="D157" s="60"/>
      <c r="E157" s="86">
        <v>0.0</v>
      </c>
      <c r="F157" s="19">
        <v>0.0</v>
      </c>
      <c r="G157" s="19">
        <v>0.0</v>
      </c>
      <c r="H157" s="19">
        <v>1.0</v>
      </c>
      <c r="I157" s="19">
        <v>0.0</v>
      </c>
      <c r="J157" s="19">
        <v>0.0</v>
      </c>
      <c r="K157" s="19">
        <v>0.0</v>
      </c>
      <c r="L157" s="19">
        <v>1.0</v>
      </c>
      <c r="M157" s="19">
        <v>0.0</v>
      </c>
      <c r="N157" s="13">
        <f t="shared" si="30"/>
        <v>2</v>
      </c>
    </row>
    <row r="158" ht="12.75" customHeight="1">
      <c r="A158" s="18"/>
      <c r="B158" s="56"/>
      <c r="C158" s="57"/>
      <c r="D158" s="62"/>
      <c r="E158" s="86"/>
      <c r="F158" s="19"/>
      <c r="G158" s="19"/>
      <c r="H158" s="19"/>
      <c r="I158" s="19"/>
      <c r="J158" s="19"/>
      <c r="K158" s="19"/>
      <c r="L158" s="19"/>
      <c r="M158" s="19"/>
      <c r="N158" s="13">
        <f t="shared" si="30"/>
        <v>0</v>
      </c>
    </row>
    <row r="159" ht="12.75" customHeight="1">
      <c r="A159" s="18"/>
      <c r="B159" s="56"/>
      <c r="C159" s="57"/>
      <c r="D159" s="62"/>
      <c r="E159" s="86"/>
      <c r="F159" s="19"/>
      <c r="G159" s="19"/>
      <c r="H159" s="19"/>
      <c r="I159" s="19"/>
      <c r="J159" s="19"/>
      <c r="K159" s="19"/>
      <c r="L159" s="19"/>
      <c r="M159" s="19"/>
      <c r="N159" s="13">
        <f t="shared" si="30"/>
        <v>0</v>
      </c>
    </row>
    <row r="160" ht="12.75" customHeight="1">
      <c r="A160" s="18"/>
      <c r="B160" s="56"/>
      <c r="C160" s="57"/>
      <c r="D160" s="62"/>
      <c r="E160" s="86"/>
      <c r="F160" s="19"/>
      <c r="G160" s="19"/>
      <c r="H160" s="19"/>
      <c r="I160" s="19"/>
      <c r="J160" s="19"/>
      <c r="K160" s="19"/>
      <c r="L160" s="19"/>
      <c r="M160" s="19"/>
      <c r="N160" s="13">
        <f t="shared" si="30"/>
        <v>0</v>
      </c>
    </row>
    <row r="161" ht="12.75" customHeight="1">
      <c r="A161" s="18"/>
      <c r="B161" s="56"/>
      <c r="C161" s="68"/>
      <c r="D161" s="62"/>
      <c r="E161" s="86"/>
      <c r="F161" s="19"/>
      <c r="G161" s="19"/>
      <c r="H161" s="19"/>
      <c r="I161" s="19"/>
      <c r="J161" s="19"/>
      <c r="K161" s="19"/>
      <c r="L161" s="19"/>
      <c r="M161" s="19"/>
      <c r="N161" s="13">
        <f t="shared" si="30"/>
        <v>0</v>
      </c>
    </row>
    <row r="162" ht="12.75" customHeight="1">
      <c r="A162" s="18"/>
      <c r="B162" s="56"/>
      <c r="C162" s="68"/>
      <c r="D162" s="62"/>
      <c r="E162" s="86"/>
      <c r="F162" s="19"/>
      <c r="G162" s="19"/>
      <c r="H162" s="19"/>
      <c r="I162" s="19"/>
      <c r="J162" s="19"/>
      <c r="K162" s="19"/>
      <c r="L162" s="19"/>
      <c r="M162" s="19"/>
      <c r="N162" s="13">
        <f t="shared" si="30"/>
        <v>0</v>
      </c>
    </row>
    <row r="163" ht="12.75" customHeight="1">
      <c r="A163" s="19" t="s">
        <v>15</v>
      </c>
      <c r="B163" s="69" t="s">
        <v>47</v>
      </c>
      <c r="C163" s="44"/>
      <c r="D163" s="28"/>
      <c r="E163" s="13">
        <f t="shared" ref="E163:M163" si="31">SUM(E153:E162)</f>
        <v>0</v>
      </c>
      <c r="F163" s="13">
        <f t="shared" si="31"/>
        <v>1</v>
      </c>
      <c r="G163" s="13">
        <f t="shared" si="31"/>
        <v>0</v>
      </c>
      <c r="H163" s="13">
        <f t="shared" si="31"/>
        <v>2</v>
      </c>
      <c r="I163" s="13">
        <f t="shared" si="31"/>
        <v>0</v>
      </c>
      <c r="J163" s="13">
        <f t="shared" si="31"/>
        <v>0</v>
      </c>
      <c r="K163" s="13">
        <f t="shared" si="31"/>
        <v>2</v>
      </c>
      <c r="L163" s="13">
        <f t="shared" si="31"/>
        <v>1</v>
      </c>
      <c r="M163" s="13">
        <f t="shared" si="31"/>
        <v>0</v>
      </c>
      <c r="N163" s="13">
        <f t="shared" si="30"/>
        <v>6</v>
      </c>
    </row>
    <row r="164" ht="12.75" customHeight="1">
      <c r="A164" s="24"/>
      <c r="B164" s="15"/>
      <c r="C164" s="15"/>
      <c r="D164" s="15"/>
      <c r="E164" s="16"/>
      <c r="F164" s="84"/>
      <c r="G164" s="84"/>
      <c r="H164" s="84"/>
      <c r="I164" s="84"/>
      <c r="J164" s="84"/>
      <c r="K164" s="84"/>
      <c r="L164" s="84"/>
      <c r="M164" s="84"/>
      <c r="N164" s="84"/>
    </row>
    <row r="165" ht="12.75" customHeight="1">
      <c r="A165" s="30" t="s">
        <v>37</v>
      </c>
      <c r="B165" s="47" t="s">
        <v>119</v>
      </c>
      <c r="C165" s="48" t="s">
        <v>120</v>
      </c>
      <c r="D165" s="16"/>
      <c r="E165" s="19">
        <v>0.0</v>
      </c>
      <c r="F165" s="19">
        <v>0.0</v>
      </c>
      <c r="G165" s="19">
        <v>0.0</v>
      </c>
      <c r="H165" s="19">
        <v>0.0</v>
      </c>
      <c r="I165" s="19">
        <v>0.0</v>
      </c>
      <c r="J165" s="19">
        <v>0.0</v>
      </c>
      <c r="K165" s="19">
        <v>0.0</v>
      </c>
      <c r="L165" s="19">
        <v>0.0</v>
      </c>
      <c r="M165" s="19">
        <v>0.0</v>
      </c>
      <c r="N165" s="13">
        <f t="shared" ref="N165:N174" si="32">SUM(E165:M165)</f>
        <v>0</v>
      </c>
    </row>
    <row r="166" ht="12.75" customHeight="1">
      <c r="A166" s="30" t="s">
        <v>39</v>
      </c>
      <c r="B166" s="55">
        <v>1.0</v>
      </c>
      <c r="C166" s="50" t="s">
        <v>121</v>
      </c>
      <c r="D166" s="60"/>
      <c r="E166" s="19">
        <v>0.0</v>
      </c>
      <c r="F166" s="19">
        <v>0.0</v>
      </c>
      <c r="G166" s="19">
        <v>1.0</v>
      </c>
      <c r="H166" s="19">
        <v>0.0</v>
      </c>
      <c r="I166" s="19">
        <v>0.0</v>
      </c>
      <c r="J166" s="19">
        <v>0.0</v>
      </c>
      <c r="K166" s="19">
        <v>0.0</v>
      </c>
      <c r="L166" s="19">
        <v>0.0</v>
      </c>
      <c r="M166" s="19">
        <v>0.0</v>
      </c>
      <c r="N166" s="13">
        <f t="shared" si="32"/>
        <v>1</v>
      </c>
    </row>
    <row r="167" ht="12.75" customHeight="1">
      <c r="A167" s="18"/>
      <c r="B167" s="55">
        <v>2.0</v>
      </c>
      <c r="C167" s="50" t="s">
        <v>122</v>
      </c>
      <c r="D167" s="60"/>
      <c r="E167" s="19">
        <v>0.0</v>
      </c>
      <c r="F167" s="19">
        <v>0.0</v>
      </c>
      <c r="G167" s="19">
        <v>0.0</v>
      </c>
      <c r="H167" s="19">
        <v>0.0</v>
      </c>
      <c r="I167" s="19">
        <v>0.0</v>
      </c>
      <c r="J167" s="19">
        <v>0.0</v>
      </c>
      <c r="K167" s="19">
        <v>0.0</v>
      </c>
      <c r="L167" s="19">
        <v>0.0</v>
      </c>
      <c r="M167" s="19">
        <v>0.0</v>
      </c>
      <c r="N167" s="13">
        <f t="shared" si="32"/>
        <v>0</v>
      </c>
    </row>
    <row r="168" ht="12.75" customHeight="1">
      <c r="A168" s="18"/>
      <c r="B168" s="55">
        <v>3.0</v>
      </c>
      <c r="C168" s="50" t="s">
        <v>123</v>
      </c>
      <c r="D168" s="60"/>
      <c r="E168" s="19">
        <v>0.0</v>
      </c>
      <c r="F168" s="19">
        <v>0.0</v>
      </c>
      <c r="G168" s="19">
        <v>0.0</v>
      </c>
      <c r="H168" s="19">
        <v>0.0</v>
      </c>
      <c r="I168" s="19">
        <v>0.0</v>
      </c>
      <c r="J168" s="19">
        <v>0.0</v>
      </c>
      <c r="K168" s="19">
        <v>0.0</v>
      </c>
      <c r="L168" s="19">
        <v>0.0</v>
      </c>
      <c r="M168" s="19">
        <v>0.0</v>
      </c>
      <c r="N168" s="13">
        <f t="shared" si="32"/>
        <v>0</v>
      </c>
    </row>
    <row r="169" ht="12.75" customHeight="1">
      <c r="A169" s="18"/>
      <c r="B169" s="55">
        <v>4.0</v>
      </c>
      <c r="C169" s="50" t="s">
        <v>124</v>
      </c>
      <c r="D169" s="60"/>
      <c r="E169" s="19">
        <v>0.0</v>
      </c>
      <c r="F169" s="19">
        <v>0.0</v>
      </c>
      <c r="G169" s="19">
        <v>0.0</v>
      </c>
      <c r="H169" s="19">
        <v>0.0</v>
      </c>
      <c r="I169" s="19">
        <v>0.0</v>
      </c>
      <c r="J169" s="19">
        <v>0.0</v>
      </c>
      <c r="K169" s="19">
        <v>0.0</v>
      </c>
      <c r="L169" s="19">
        <v>0.0</v>
      </c>
      <c r="M169" s="19">
        <v>0.0</v>
      </c>
      <c r="N169" s="13">
        <f t="shared" si="32"/>
        <v>0</v>
      </c>
    </row>
    <row r="170" ht="12.75" customHeight="1">
      <c r="A170" s="18"/>
      <c r="B170" s="55">
        <v>5.0</v>
      </c>
      <c r="C170" s="50" t="s">
        <v>125</v>
      </c>
      <c r="D170" s="60"/>
      <c r="E170" s="19">
        <v>0.0</v>
      </c>
      <c r="F170" s="19">
        <v>0.0</v>
      </c>
      <c r="G170" s="19">
        <v>0.0</v>
      </c>
      <c r="H170" s="19">
        <v>0.0</v>
      </c>
      <c r="I170" s="19">
        <v>0.0</v>
      </c>
      <c r="J170" s="19">
        <v>0.0</v>
      </c>
      <c r="K170" s="19">
        <v>0.0</v>
      </c>
      <c r="L170" s="19">
        <v>0.0</v>
      </c>
      <c r="M170" s="19">
        <v>0.0</v>
      </c>
      <c r="N170" s="13">
        <f t="shared" si="32"/>
        <v>0</v>
      </c>
    </row>
    <row r="171" ht="12.75" customHeight="1">
      <c r="A171" s="18"/>
      <c r="B171" s="55">
        <v>6.0</v>
      </c>
      <c r="C171" s="50" t="s">
        <v>126</v>
      </c>
      <c r="D171" s="60"/>
      <c r="E171" s="19">
        <v>0.0</v>
      </c>
      <c r="F171" s="19">
        <v>0.0</v>
      </c>
      <c r="G171" s="19">
        <v>0.0</v>
      </c>
      <c r="H171" s="19">
        <v>0.0</v>
      </c>
      <c r="I171" s="19">
        <v>0.0</v>
      </c>
      <c r="J171" s="19">
        <v>0.0</v>
      </c>
      <c r="K171" s="19">
        <v>0.0</v>
      </c>
      <c r="L171" s="19">
        <v>0.0</v>
      </c>
      <c r="M171" s="19">
        <v>0.0</v>
      </c>
      <c r="N171" s="13">
        <f t="shared" si="32"/>
        <v>0</v>
      </c>
    </row>
    <row r="172" ht="12.75" customHeight="1">
      <c r="A172" s="18"/>
      <c r="B172" s="55">
        <v>7.0</v>
      </c>
      <c r="C172" s="50" t="s">
        <v>127</v>
      </c>
      <c r="D172" s="60"/>
      <c r="E172" s="19">
        <v>0.0</v>
      </c>
      <c r="F172" s="19">
        <v>0.0</v>
      </c>
      <c r="G172" s="19">
        <v>0.0</v>
      </c>
      <c r="H172" s="19">
        <v>0.0</v>
      </c>
      <c r="I172" s="19">
        <v>0.0</v>
      </c>
      <c r="J172" s="19">
        <v>0.0</v>
      </c>
      <c r="K172" s="19">
        <v>0.0</v>
      </c>
      <c r="L172" s="19">
        <v>0.0</v>
      </c>
      <c r="M172" s="19">
        <v>0.0</v>
      </c>
      <c r="N172" s="13">
        <f t="shared" si="32"/>
        <v>0</v>
      </c>
    </row>
    <row r="173" ht="12.75" customHeight="1">
      <c r="A173" s="18"/>
      <c r="B173" s="56"/>
      <c r="C173" s="57"/>
      <c r="D173" s="62"/>
      <c r="E173" s="19"/>
      <c r="F173" s="19"/>
      <c r="G173" s="19"/>
      <c r="H173" s="19"/>
      <c r="I173" s="19"/>
      <c r="J173" s="19"/>
      <c r="K173" s="19"/>
      <c r="L173" s="19"/>
      <c r="M173" s="19"/>
      <c r="N173" s="13">
        <f t="shared" si="32"/>
        <v>0</v>
      </c>
    </row>
    <row r="174" ht="12.75" customHeight="1">
      <c r="A174" s="18"/>
      <c r="B174" s="56"/>
      <c r="C174" s="57"/>
      <c r="D174" s="62"/>
      <c r="E174" s="19"/>
      <c r="F174" s="19"/>
      <c r="G174" s="19"/>
      <c r="H174" s="19"/>
      <c r="I174" s="19"/>
      <c r="J174" s="19"/>
      <c r="K174" s="19"/>
      <c r="L174" s="19"/>
      <c r="M174" s="19"/>
      <c r="N174" s="13">
        <f t="shared" si="32"/>
        <v>0</v>
      </c>
    </row>
    <row r="175" ht="12.75" customHeight="1">
      <c r="A175" s="19" t="s">
        <v>15</v>
      </c>
      <c r="B175" s="47" t="s">
        <v>47</v>
      </c>
      <c r="C175" s="15"/>
      <c r="D175" s="16"/>
      <c r="E175" s="13">
        <f t="shared" ref="E175:N175" si="33">SUM(E165:E174)</f>
        <v>0</v>
      </c>
      <c r="F175" s="13">
        <f t="shared" si="33"/>
        <v>0</v>
      </c>
      <c r="G175" s="13">
        <f t="shared" si="33"/>
        <v>1</v>
      </c>
      <c r="H175" s="13">
        <f t="shared" si="33"/>
        <v>0</v>
      </c>
      <c r="I175" s="13">
        <f t="shared" si="33"/>
        <v>0</v>
      </c>
      <c r="J175" s="13">
        <f t="shared" si="33"/>
        <v>0</v>
      </c>
      <c r="K175" s="13">
        <f t="shared" si="33"/>
        <v>0</v>
      </c>
      <c r="L175" s="13">
        <f t="shared" si="33"/>
        <v>0</v>
      </c>
      <c r="M175" s="13">
        <f t="shared" si="33"/>
        <v>0</v>
      </c>
      <c r="N175" s="13">
        <f t="shared" si="33"/>
        <v>1</v>
      </c>
    </row>
    <row r="176" ht="12.75" customHeight="1">
      <c r="A176" s="24"/>
      <c r="B176" s="15"/>
      <c r="C176" s="15"/>
      <c r="D176" s="15"/>
      <c r="E176" s="16"/>
      <c r="F176" s="84"/>
      <c r="G176" s="84"/>
      <c r="H176" s="84"/>
      <c r="I176" s="84"/>
      <c r="J176" s="84"/>
      <c r="K176" s="84"/>
      <c r="L176" s="84"/>
      <c r="M176" s="84"/>
      <c r="N176" s="84"/>
    </row>
    <row r="177" ht="12.75" customHeight="1">
      <c r="A177" s="30" t="s">
        <v>37</v>
      </c>
      <c r="B177" s="47" t="s">
        <v>128</v>
      </c>
      <c r="C177" s="48" t="s">
        <v>129</v>
      </c>
      <c r="D177" s="16"/>
      <c r="E177" s="19">
        <v>0.0</v>
      </c>
      <c r="F177" s="19">
        <v>0.0</v>
      </c>
      <c r="G177" s="19">
        <v>0.0</v>
      </c>
      <c r="H177" s="19">
        <v>0.0</v>
      </c>
      <c r="I177" s="19">
        <v>0.0</v>
      </c>
      <c r="J177" s="19">
        <v>0.0</v>
      </c>
      <c r="K177" s="19">
        <v>0.0</v>
      </c>
      <c r="L177" s="19">
        <v>0.0</v>
      </c>
      <c r="M177" s="19">
        <v>0.0</v>
      </c>
      <c r="N177" s="13">
        <f t="shared" ref="N177:N186" si="34">SUM(E177:M177)</f>
        <v>0</v>
      </c>
    </row>
    <row r="178" ht="12.75" customHeight="1">
      <c r="A178" s="30" t="s">
        <v>39</v>
      </c>
      <c r="B178" s="55">
        <v>1.0</v>
      </c>
      <c r="C178" s="50" t="s">
        <v>130</v>
      </c>
      <c r="D178" s="60"/>
      <c r="E178" s="19">
        <v>0.0</v>
      </c>
      <c r="F178" s="19">
        <v>1.0</v>
      </c>
      <c r="G178" s="19">
        <v>0.0</v>
      </c>
      <c r="H178" s="19">
        <v>0.0</v>
      </c>
      <c r="I178" s="19">
        <v>0.0</v>
      </c>
      <c r="J178" s="19">
        <v>0.0</v>
      </c>
      <c r="K178" s="19">
        <v>0.0</v>
      </c>
      <c r="L178" s="19">
        <v>0.0</v>
      </c>
      <c r="M178" s="19">
        <v>0.0</v>
      </c>
      <c r="N178" s="13">
        <f t="shared" si="34"/>
        <v>1</v>
      </c>
    </row>
    <row r="179" ht="12.75" customHeight="1">
      <c r="A179" s="18"/>
      <c r="B179" s="55">
        <v>2.0</v>
      </c>
      <c r="C179" s="50" t="s">
        <v>131</v>
      </c>
      <c r="D179" s="60"/>
      <c r="E179" s="19">
        <v>0.0</v>
      </c>
      <c r="F179" s="19">
        <v>0.0</v>
      </c>
      <c r="G179" s="19">
        <v>0.0</v>
      </c>
      <c r="H179" s="19">
        <v>0.0</v>
      </c>
      <c r="I179" s="19">
        <v>0.0</v>
      </c>
      <c r="J179" s="19">
        <v>0.0</v>
      </c>
      <c r="K179" s="19">
        <v>0.0</v>
      </c>
      <c r="L179" s="19">
        <v>0.0</v>
      </c>
      <c r="M179" s="19">
        <v>0.0</v>
      </c>
      <c r="N179" s="13">
        <f t="shared" si="34"/>
        <v>0</v>
      </c>
    </row>
    <row r="180" ht="12.75" customHeight="1">
      <c r="A180" s="18"/>
      <c r="B180" s="55">
        <v>3.0</v>
      </c>
      <c r="C180" s="50" t="s">
        <v>132</v>
      </c>
      <c r="D180" s="60"/>
      <c r="E180" s="19">
        <v>0.0</v>
      </c>
      <c r="F180" s="19">
        <v>0.0</v>
      </c>
      <c r="G180" s="19">
        <v>1.0</v>
      </c>
      <c r="H180" s="19">
        <v>0.0</v>
      </c>
      <c r="I180" s="19">
        <v>0.0</v>
      </c>
      <c r="J180" s="19">
        <v>0.0</v>
      </c>
      <c r="K180" s="19">
        <v>0.0</v>
      </c>
      <c r="L180" s="19">
        <v>0.0</v>
      </c>
      <c r="M180" s="19">
        <v>0.0</v>
      </c>
      <c r="N180" s="13">
        <f t="shared" si="34"/>
        <v>1</v>
      </c>
    </row>
    <row r="181" ht="12.75" customHeight="1">
      <c r="A181" s="18"/>
      <c r="B181" s="55">
        <v>4.0</v>
      </c>
      <c r="C181" s="50" t="s">
        <v>133</v>
      </c>
      <c r="D181" s="60"/>
      <c r="E181" s="19">
        <v>0.0</v>
      </c>
      <c r="F181" s="19">
        <v>0.0</v>
      </c>
      <c r="G181" s="19">
        <v>0.0</v>
      </c>
      <c r="H181" s="19">
        <v>0.0</v>
      </c>
      <c r="I181" s="19">
        <v>0.0</v>
      </c>
      <c r="J181" s="19">
        <v>0.0</v>
      </c>
      <c r="K181" s="19">
        <v>0.0</v>
      </c>
      <c r="L181" s="19">
        <v>0.0</v>
      </c>
      <c r="M181" s="19">
        <v>0.0</v>
      </c>
      <c r="N181" s="13">
        <f t="shared" si="34"/>
        <v>0</v>
      </c>
    </row>
    <row r="182" ht="12.75" customHeight="1">
      <c r="A182" s="18"/>
      <c r="B182" s="55">
        <v>5.0</v>
      </c>
      <c r="C182" s="50" t="s">
        <v>134</v>
      </c>
      <c r="D182" s="60"/>
      <c r="E182" s="19">
        <v>0.0</v>
      </c>
      <c r="F182" s="19">
        <v>0.0</v>
      </c>
      <c r="G182" s="19">
        <v>0.0</v>
      </c>
      <c r="H182" s="19">
        <v>0.0</v>
      </c>
      <c r="I182" s="19">
        <v>1.0</v>
      </c>
      <c r="J182" s="19">
        <v>0.0</v>
      </c>
      <c r="K182" s="19">
        <v>0.0</v>
      </c>
      <c r="L182" s="19">
        <v>0.0</v>
      </c>
      <c r="M182" s="19">
        <v>1.0</v>
      </c>
      <c r="N182" s="13">
        <f t="shared" si="34"/>
        <v>2</v>
      </c>
    </row>
    <row r="183" ht="12.75" customHeight="1">
      <c r="A183" s="18"/>
      <c r="B183" s="55">
        <v>6.0</v>
      </c>
      <c r="C183" s="50" t="s">
        <v>135</v>
      </c>
      <c r="D183" s="60"/>
      <c r="E183" s="19">
        <v>0.0</v>
      </c>
      <c r="F183" s="19">
        <v>0.0</v>
      </c>
      <c r="G183" s="19">
        <v>0.0</v>
      </c>
      <c r="H183" s="19">
        <v>0.0</v>
      </c>
      <c r="I183" s="19">
        <v>0.0</v>
      </c>
      <c r="J183" s="19">
        <v>0.0</v>
      </c>
      <c r="K183" s="19">
        <v>0.0</v>
      </c>
      <c r="L183" s="19">
        <v>0.0</v>
      </c>
      <c r="M183" s="19">
        <v>0.0</v>
      </c>
      <c r="N183" s="13">
        <f t="shared" si="34"/>
        <v>0</v>
      </c>
    </row>
    <row r="184" ht="12.75" customHeight="1">
      <c r="A184" s="18"/>
      <c r="B184" s="55">
        <v>7.0</v>
      </c>
      <c r="C184" s="50" t="s">
        <v>136</v>
      </c>
      <c r="D184" s="60"/>
      <c r="E184" s="19">
        <v>0.0</v>
      </c>
      <c r="F184" s="19">
        <v>0.0</v>
      </c>
      <c r="G184" s="19">
        <v>0.0</v>
      </c>
      <c r="H184" s="19">
        <v>0.0</v>
      </c>
      <c r="I184" s="19">
        <v>0.0</v>
      </c>
      <c r="J184" s="19">
        <v>0.0</v>
      </c>
      <c r="K184" s="19">
        <v>0.0</v>
      </c>
      <c r="L184" s="19">
        <v>0.0</v>
      </c>
      <c r="M184" s="19">
        <v>1.0</v>
      </c>
      <c r="N184" s="13">
        <f t="shared" si="34"/>
        <v>1</v>
      </c>
    </row>
    <row r="185" ht="12.75" customHeight="1">
      <c r="A185" s="18"/>
      <c r="B185" s="56"/>
      <c r="C185" s="57"/>
      <c r="D185" s="62"/>
      <c r="E185" s="19"/>
      <c r="F185" s="19"/>
      <c r="G185" s="19"/>
      <c r="H185" s="19"/>
      <c r="I185" s="19"/>
      <c r="J185" s="19"/>
      <c r="K185" s="19"/>
      <c r="L185" s="19"/>
      <c r="M185" s="19"/>
      <c r="N185" s="13">
        <f t="shared" si="34"/>
        <v>0</v>
      </c>
    </row>
    <row r="186" ht="12.75" customHeight="1">
      <c r="A186" s="18"/>
      <c r="B186" s="56"/>
      <c r="C186" s="57"/>
      <c r="D186" s="62"/>
      <c r="E186" s="19"/>
      <c r="F186" s="19"/>
      <c r="G186" s="19"/>
      <c r="H186" s="19"/>
      <c r="I186" s="19"/>
      <c r="J186" s="19"/>
      <c r="K186" s="19"/>
      <c r="L186" s="19"/>
      <c r="M186" s="19"/>
      <c r="N186" s="13">
        <f t="shared" si="34"/>
        <v>0</v>
      </c>
    </row>
    <row r="187" ht="12.75" customHeight="1">
      <c r="A187" s="19" t="s">
        <v>15</v>
      </c>
      <c r="B187" s="47" t="s">
        <v>47</v>
      </c>
      <c r="C187" s="15"/>
      <c r="D187" s="16"/>
      <c r="E187" s="13">
        <f t="shared" ref="E187:N187" si="35">SUM(E177:E186)</f>
        <v>0</v>
      </c>
      <c r="F187" s="13">
        <f t="shared" si="35"/>
        <v>1</v>
      </c>
      <c r="G187" s="13">
        <f t="shared" si="35"/>
        <v>1</v>
      </c>
      <c r="H187" s="13">
        <f t="shared" si="35"/>
        <v>0</v>
      </c>
      <c r="I187" s="13">
        <f t="shared" si="35"/>
        <v>1</v>
      </c>
      <c r="J187" s="13">
        <f t="shared" si="35"/>
        <v>0</v>
      </c>
      <c r="K187" s="13">
        <f t="shared" si="35"/>
        <v>0</v>
      </c>
      <c r="L187" s="13">
        <f t="shared" si="35"/>
        <v>0</v>
      </c>
      <c r="M187" s="13">
        <f t="shared" si="35"/>
        <v>2</v>
      </c>
      <c r="N187" s="13">
        <f t="shared" si="35"/>
        <v>5</v>
      </c>
    </row>
    <row r="188" ht="12.75" customHeight="1">
      <c r="A188" s="24"/>
      <c r="B188" s="15"/>
      <c r="C188" s="15"/>
      <c r="D188" s="15"/>
      <c r="E188" s="16"/>
      <c r="F188" s="84"/>
      <c r="G188" s="84"/>
      <c r="H188" s="84"/>
      <c r="I188" s="84"/>
      <c r="J188" s="84"/>
      <c r="K188" s="84"/>
      <c r="L188" s="84"/>
      <c r="M188" s="84"/>
      <c r="N188" s="13"/>
    </row>
    <row r="189" ht="12.75" customHeight="1">
      <c r="A189" s="30" t="s">
        <v>37</v>
      </c>
      <c r="B189" s="47" t="s">
        <v>137</v>
      </c>
      <c r="C189" s="48" t="s">
        <v>138</v>
      </c>
      <c r="D189" s="16"/>
      <c r="E189" s="19">
        <v>0.0</v>
      </c>
      <c r="F189" s="19">
        <v>0.0</v>
      </c>
      <c r="G189" s="19">
        <v>0.0</v>
      </c>
      <c r="H189" s="19">
        <v>0.0</v>
      </c>
      <c r="I189" s="19">
        <v>0.0</v>
      </c>
      <c r="J189" s="19">
        <v>0.0</v>
      </c>
      <c r="K189" s="19">
        <v>0.0</v>
      </c>
      <c r="L189" s="19">
        <v>0.0</v>
      </c>
      <c r="M189" s="19">
        <v>2.0</v>
      </c>
      <c r="N189" s="13">
        <f t="shared" ref="N189:N198" si="36">SUM(E189:M189)</f>
        <v>2</v>
      </c>
    </row>
    <row r="190" ht="12.75" customHeight="1">
      <c r="A190" s="30" t="s">
        <v>39</v>
      </c>
      <c r="B190" s="55">
        <v>1.0</v>
      </c>
      <c r="C190" s="50" t="s">
        <v>139</v>
      </c>
      <c r="D190" s="60"/>
      <c r="E190" s="19">
        <v>0.0</v>
      </c>
      <c r="F190" s="19">
        <v>1.0</v>
      </c>
      <c r="G190" s="19">
        <v>0.0</v>
      </c>
      <c r="H190" s="19">
        <v>0.0</v>
      </c>
      <c r="I190" s="19">
        <v>0.0</v>
      </c>
      <c r="J190" s="19">
        <v>0.0</v>
      </c>
      <c r="K190" s="19">
        <v>0.0</v>
      </c>
      <c r="L190" s="19">
        <v>0.0</v>
      </c>
      <c r="M190" s="19">
        <v>0.0</v>
      </c>
      <c r="N190" s="13">
        <f t="shared" si="36"/>
        <v>1</v>
      </c>
    </row>
    <row r="191" ht="12.75" customHeight="1">
      <c r="A191" s="18"/>
      <c r="B191" s="55">
        <v>2.0</v>
      </c>
      <c r="C191" s="50" t="s">
        <v>140</v>
      </c>
      <c r="D191" s="60"/>
      <c r="E191" s="19">
        <v>0.0</v>
      </c>
      <c r="F191" s="19">
        <v>0.0</v>
      </c>
      <c r="G191" s="19">
        <v>0.0</v>
      </c>
      <c r="H191" s="19">
        <v>1.0</v>
      </c>
      <c r="I191" s="19">
        <v>0.0</v>
      </c>
      <c r="J191" s="19">
        <v>0.0</v>
      </c>
      <c r="K191" s="19">
        <v>0.0</v>
      </c>
      <c r="L191" s="19">
        <v>0.0</v>
      </c>
      <c r="M191" s="19">
        <v>0.0</v>
      </c>
      <c r="N191" s="13">
        <f t="shared" si="36"/>
        <v>1</v>
      </c>
    </row>
    <row r="192" ht="12.75" customHeight="1">
      <c r="A192" s="18"/>
      <c r="B192" s="55">
        <v>3.0</v>
      </c>
      <c r="C192" s="50" t="s">
        <v>141</v>
      </c>
      <c r="D192" s="60"/>
      <c r="E192" s="19"/>
      <c r="F192" s="19"/>
      <c r="G192" s="19"/>
      <c r="H192" s="19"/>
      <c r="I192" s="19"/>
      <c r="J192" s="19"/>
      <c r="K192" s="19"/>
      <c r="L192" s="19"/>
      <c r="M192" s="19"/>
      <c r="N192" s="13">
        <f t="shared" si="36"/>
        <v>0</v>
      </c>
    </row>
    <row r="193" ht="12.75" customHeight="1">
      <c r="A193" s="18"/>
      <c r="B193" s="55">
        <v>4.0</v>
      </c>
      <c r="C193" s="50" t="s">
        <v>142</v>
      </c>
      <c r="D193" s="60"/>
      <c r="E193" s="19"/>
      <c r="F193" s="19"/>
      <c r="G193" s="19"/>
      <c r="H193" s="19"/>
      <c r="I193" s="19"/>
      <c r="J193" s="19"/>
      <c r="K193" s="19"/>
      <c r="L193" s="19"/>
      <c r="M193" s="19"/>
      <c r="N193" s="13">
        <f t="shared" si="36"/>
        <v>0</v>
      </c>
    </row>
    <row r="194" ht="12.75" customHeight="1">
      <c r="A194" s="18"/>
      <c r="B194" s="55">
        <v>5.0</v>
      </c>
      <c r="C194" s="50" t="s">
        <v>143</v>
      </c>
      <c r="D194" s="60"/>
      <c r="E194" s="19"/>
      <c r="F194" s="19"/>
      <c r="G194" s="19"/>
      <c r="H194" s="19"/>
      <c r="I194" s="19"/>
      <c r="J194" s="19"/>
      <c r="K194" s="19"/>
      <c r="L194" s="19"/>
      <c r="M194" s="19"/>
      <c r="N194" s="13">
        <f t="shared" si="36"/>
        <v>0</v>
      </c>
    </row>
    <row r="195" ht="12.75" customHeight="1">
      <c r="A195" s="18"/>
      <c r="B195" s="55">
        <v>6.0</v>
      </c>
      <c r="C195" s="50" t="s">
        <v>144</v>
      </c>
      <c r="D195" s="60"/>
      <c r="E195" s="19">
        <v>0.0</v>
      </c>
      <c r="F195" s="19">
        <v>1.0</v>
      </c>
      <c r="G195" s="19">
        <v>0.0</v>
      </c>
      <c r="H195" s="19">
        <v>0.0</v>
      </c>
      <c r="I195" s="19">
        <v>1.0</v>
      </c>
      <c r="J195" s="19">
        <v>0.0</v>
      </c>
      <c r="K195" s="19">
        <v>0.0</v>
      </c>
      <c r="L195" s="19">
        <v>0.0</v>
      </c>
      <c r="M195" s="19">
        <v>0.0</v>
      </c>
      <c r="N195" s="13">
        <f t="shared" si="36"/>
        <v>2</v>
      </c>
    </row>
    <row r="196" ht="12.75" customHeight="1">
      <c r="A196" s="18"/>
      <c r="B196" s="55">
        <v>7.0</v>
      </c>
      <c r="C196" s="50" t="s">
        <v>145</v>
      </c>
      <c r="D196" s="60"/>
      <c r="E196" s="19"/>
      <c r="F196" s="19"/>
      <c r="G196" s="19"/>
      <c r="H196" s="19"/>
      <c r="I196" s="19"/>
      <c r="J196" s="19"/>
      <c r="K196" s="19"/>
      <c r="L196" s="19"/>
      <c r="M196" s="19"/>
      <c r="N196" s="13">
        <f t="shared" si="36"/>
        <v>0</v>
      </c>
    </row>
    <row r="197" ht="12.75" customHeight="1">
      <c r="A197" s="18"/>
      <c r="B197" s="56"/>
      <c r="C197" s="57"/>
      <c r="D197" s="62"/>
      <c r="E197" s="19"/>
      <c r="F197" s="19"/>
      <c r="G197" s="19"/>
      <c r="H197" s="19"/>
      <c r="I197" s="19"/>
      <c r="J197" s="19"/>
      <c r="K197" s="19"/>
      <c r="L197" s="19"/>
      <c r="M197" s="19"/>
      <c r="N197" s="13">
        <f t="shared" si="36"/>
        <v>0</v>
      </c>
    </row>
    <row r="198" ht="12.75" customHeight="1">
      <c r="A198" s="18"/>
      <c r="B198" s="56"/>
      <c r="C198" s="57"/>
      <c r="D198" s="62"/>
      <c r="E198" s="19"/>
      <c r="F198" s="19"/>
      <c r="G198" s="19"/>
      <c r="H198" s="19"/>
      <c r="I198" s="19"/>
      <c r="J198" s="19"/>
      <c r="K198" s="19"/>
      <c r="L198" s="19"/>
      <c r="M198" s="19"/>
      <c r="N198" s="13">
        <f t="shared" si="36"/>
        <v>0</v>
      </c>
    </row>
    <row r="199" ht="12.75" customHeight="1">
      <c r="A199" s="19" t="s">
        <v>15</v>
      </c>
      <c r="B199" s="47" t="s">
        <v>47</v>
      </c>
      <c r="C199" s="15"/>
      <c r="D199" s="16"/>
      <c r="E199" s="13">
        <f t="shared" ref="E199:N199" si="37">SUM(E189:E198)</f>
        <v>0</v>
      </c>
      <c r="F199" s="13">
        <f t="shared" si="37"/>
        <v>2</v>
      </c>
      <c r="G199" s="13">
        <f t="shared" si="37"/>
        <v>0</v>
      </c>
      <c r="H199" s="13">
        <f t="shared" si="37"/>
        <v>1</v>
      </c>
      <c r="I199" s="13">
        <f t="shared" si="37"/>
        <v>1</v>
      </c>
      <c r="J199" s="13">
        <f t="shared" si="37"/>
        <v>0</v>
      </c>
      <c r="K199" s="13">
        <f t="shared" si="37"/>
        <v>0</v>
      </c>
      <c r="L199" s="13">
        <f t="shared" si="37"/>
        <v>0</v>
      </c>
      <c r="M199" s="13">
        <f t="shared" si="37"/>
        <v>2</v>
      </c>
      <c r="N199" s="13">
        <f t="shared" si="37"/>
        <v>6</v>
      </c>
    </row>
    <row r="200" ht="12.75" customHeight="1">
      <c r="A200" s="24"/>
      <c r="B200" s="15"/>
      <c r="C200" s="15"/>
      <c r="D200" s="15"/>
      <c r="E200" s="16"/>
      <c r="F200" s="84"/>
      <c r="G200" s="84"/>
      <c r="H200" s="84"/>
      <c r="I200" s="84"/>
      <c r="J200" s="84"/>
      <c r="K200" s="84"/>
      <c r="L200" s="84"/>
      <c r="M200" s="84"/>
      <c r="N200" s="84"/>
    </row>
    <row r="201" ht="12.75" customHeight="1">
      <c r="A201" s="30" t="s">
        <v>37</v>
      </c>
      <c r="B201" s="47" t="s">
        <v>146</v>
      </c>
      <c r="C201" s="48" t="s">
        <v>147</v>
      </c>
      <c r="D201" s="16"/>
      <c r="E201" s="19">
        <v>0.0</v>
      </c>
      <c r="F201" s="19">
        <v>4.0</v>
      </c>
      <c r="G201" s="19">
        <v>0.0</v>
      </c>
      <c r="H201" s="19">
        <v>1.0</v>
      </c>
      <c r="I201" s="19">
        <v>0.0</v>
      </c>
      <c r="J201" s="19">
        <v>0.0</v>
      </c>
      <c r="K201" s="19">
        <v>0.0</v>
      </c>
      <c r="L201" s="19">
        <v>0.0</v>
      </c>
      <c r="M201" s="19">
        <v>1.0</v>
      </c>
      <c r="N201" s="13">
        <f t="shared" ref="N201:N210" si="38">SUM(E201:M201)</f>
        <v>6</v>
      </c>
    </row>
    <row r="202" ht="12.75" customHeight="1">
      <c r="A202" s="30" t="s">
        <v>39</v>
      </c>
      <c r="B202" s="55">
        <v>1.0</v>
      </c>
      <c r="C202" s="50" t="s">
        <v>148</v>
      </c>
      <c r="D202" s="60"/>
      <c r="E202" s="19">
        <v>0.0</v>
      </c>
      <c r="F202" s="19">
        <v>1.0</v>
      </c>
      <c r="G202" s="19">
        <v>0.0</v>
      </c>
      <c r="H202" s="19">
        <v>0.0</v>
      </c>
      <c r="I202" s="19">
        <v>1.0</v>
      </c>
      <c r="J202" s="19">
        <v>0.0</v>
      </c>
      <c r="K202" s="19">
        <v>2.0</v>
      </c>
      <c r="L202" s="19">
        <v>1.0</v>
      </c>
      <c r="M202" s="19">
        <v>1.0</v>
      </c>
      <c r="N202" s="13">
        <f t="shared" si="38"/>
        <v>6</v>
      </c>
    </row>
    <row r="203" ht="12.75" customHeight="1">
      <c r="A203" s="18"/>
      <c r="B203" s="55">
        <v>2.0</v>
      </c>
      <c r="C203" s="50" t="s">
        <v>149</v>
      </c>
      <c r="D203" s="60"/>
      <c r="E203" s="19">
        <v>0.0</v>
      </c>
      <c r="F203" s="19">
        <v>3.0</v>
      </c>
      <c r="G203" s="19">
        <v>0.0</v>
      </c>
      <c r="H203" s="19">
        <v>0.0</v>
      </c>
      <c r="I203" s="19">
        <v>3.0</v>
      </c>
      <c r="J203" s="19">
        <v>1.0</v>
      </c>
      <c r="K203" s="19">
        <v>0.0</v>
      </c>
      <c r="L203" s="19">
        <v>0.0</v>
      </c>
      <c r="M203" s="19">
        <v>0.0</v>
      </c>
      <c r="N203" s="13">
        <f t="shared" si="38"/>
        <v>7</v>
      </c>
    </row>
    <row r="204" ht="12.75" customHeight="1">
      <c r="A204" s="18"/>
      <c r="B204" s="55">
        <v>3.0</v>
      </c>
      <c r="C204" s="50" t="s">
        <v>150</v>
      </c>
      <c r="D204" s="60"/>
      <c r="E204" s="19">
        <v>0.0</v>
      </c>
      <c r="F204" s="19">
        <v>1.0</v>
      </c>
      <c r="G204" s="19">
        <v>0.0</v>
      </c>
      <c r="H204" s="19">
        <v>0.0</v>
      </c>
      <c r="I204" s="19">
        <v>1.0</v>
      </c>
      <c r="J204" s="19">
        <v>0.0</v>
      </c>
      <c r="K204" s="19">
        <v>0.0</v>
      </c>
      <c r="L204" s="19">
        <v>0.0</v>
      </c>
      <c r="M204" s="19">
        <v>2.0</v>
      </c>
      <c r="N204" s="13">
        <f t="shared" si="38"/>
        <v>4</v>
      </c>
    </row>
    <row r="205" ht="12.75" customHeight="1">
      <c r="A205" s="18"/>
      <c r="B205" s="55">
        <v>4.0</v>
      </c>
      <c r="C205" s="50" t="s">
        <v>151</v>
      </c>
      <c r="D205" s="60"/>
      <c r="E205" s="19"/>
      <c r="F205" s="19"/>
      <c r="G205" s="19"/>
      <c r="H205" s="19"/>
      <c r="I205" s="19"/>
      <c r="J205" s="19"/>
      <c r="K205" s="19"/>
      <c r="L205" s="19"/>
      <c r="M205" s="19"/>
      <c r="N205" s="13">
        <f t="shared" si="38"/>
        <v>0</v>
      </c>
    </row>
    <row r="206" ht="12.75" customHeight="1">
      <c r="A206" s="18"/>
      <c r="B206" s="55">
        <v>5.0</v>
      </c>
      <c r="C206" s="50" t="s">
        <v>152</v>
      </c>
      <c r="D206" s="60"/>
      <c r="E206" s="19"/>
      <c r="F206" s="19"/>
      <c r="G206" s="19"/>
      <c r="H206" s="19"/>
      <c r="I206" s="19"/>
      <c r="J206" s="19"/>
      <c r="K206" s="19"/>
      <c r="L206" s="19"/>
      <c r="M206" s="19"/>
      <c r="N206" s="13">
        <f t="shared" si="38"/>
        <v>0</v>
      </c>
    </row>
    <row r="207" ht="12.75" customHeight="1">
      <c r="A207" s="18"/>
      <c r="B207" s="55">
        <v>6.0</v>
      </c>
      <c r="C207" s="50" t="s">
        <v>153</v>
      </c>
      <c r="D207" s="60"/>
      <c r="E207" s="19"/>
      <c r="F207" s="19"/>
      <c r="G207" s="19"/>
      <c r="H207" s="19"/>
      <c r="I207" s="19"/>
      <c r="J207" s="19"/>
      <c r="K207" s="19"/>
      <c r="L207" s="19"/>
      <c r="M207" s="19"/>
      <c r="N207" s="13">
        <f t="shared" si="38"/>
        <v>0</v>
      </c>
    </row>
    <row r="208" ht="12.75" customHeight="1">
      <c r="A208" s="18"/>
      <c r="B208" s="55">
        <v>7.0</v>
      </c>
      <c r="C208" s="50" t="s">
        <v>154</v>
      </c>
      <c r="D208" s="60"/>
      <c r="E208" s="19"/>
      <c r="F208" s="19"/>
      <c r="G208" s="19"/>
      <c r="H208" s="19"/>
      <c r="I208" s="19"/>
      <c r="J208" s="19"/>
      <c r="K208" s="19"/>
      <c r="L208" s="19"/>
      <c r="M208" s="19"/>
      <c r="N208" s="13">
        <f t="shared" si="38"/>
        <v>0</v>
      </c>
    </row>
    <row r="209" ht="12.75" customHeight="1">
      <c r="A209" s="18"/>
      <c r="B209" s="56"/>
      <c r="C209" s="57"/>
      <c r="D209" s="62"/>
      <c r="E209" s="19"/>
      <c r="F209" s="19"/>
      <c r="G209" s="19"/>
      <c r="H209" s="19"/>
      <c r="I209" s="19"/>
      <c r="J209" s="19"/>
      <c r="K209" s="19"/>
      <c r="L209" s="19"/>
      <c r="M209" s="19"/>
      <c r="N209" s="13">
        <f t="shared" si="38"/>
        <v>0</v>
      </c>
    </row>
    <row r="210" ht="12.75" customHeight="1">
      <c r="A210" s="18"/>
      <c r="B210" s="56"/>
      <c r="C210" s="57"/>
      <c r="D210" s="62"/>
      <c r="E210" s="19"/>
      <c r="F210" s="19"/>
      <c r="G210" s="19"/>
      <c r="H210" s="19"/>
      <c r="I210" s="19"/>
      <c r="J210" s="19"/>
      <c r="K210" s="19"/>
      <c r="L210" s="19"/>
      <c r="M210" s="19"/>
      <c r="N210" s="13">
        <f t="shared" si="38"/>
        <v>0</v>
      </c>
    </row>
    <row r="211" ht="12.75" customHeight="1">
      <c r="A211" s="19" t="s">
        <v>15</v>
      </c>
      <c r="B211" s="47" t="s">
        <v>47</v>
      </c>
      <c r="C211" s="15"/>
      <c r="D211" s="16"/>
      <c r="E211" s="13">
        <f t="shared" ref="E211:N211" si="39">SUM(E201:E210)</f>
        <v>0</v>
      </c>
      <c r="F211" s="13">
        <f t="shared" si="39"/>
        <v>9</v>
      </c>
      <c r="G211" s="13">
        <f t="shared" si="39"/>
        <v>0</v>
      </c>
      <c r="H211" s="13">
        <f t="shared" si="39"/>
        <v>1</v>
      </c>
      <c r="I211" s="13">
        <f t="shared" si="39"/>
        <v>5</v>
      </c>
      <c r="J211" s="13">
        <f t="shared" si="39"/>
        <v>1</v>
      </c>
      <c r="K211" s="13">
        <f t="shared" si="39"/>
        <v>2</v>
      </c>
      <c r="L211" s="13">
        <f t="shared" si="39"/>
        <v>1</v>
      </c>
      <c r="M211" s="13">
        <f t="shared" si="39"/>
        <v>4</v>
      </c>
      <c r="N211" s="13">
        <f t="shared" si="39"/>
        <v>23</v>
      </c>
    </row>
    <row r="212" ht="12.75" customHeight="1">
      <c r="A212" s="24"/>
      <c r="B212" s="15"/>
      <c r="C212" s="15"/>
      <c r="D212" s="15"/>
      <c r="E212" s="16"/>
      <c r="F212" s="84"/>
      <c r="G212" s="84"/>
      <c r="H212" s="84"/>
      <c r="I212" s="84"/>
      <c r="J212" s="84"/>
      <c r="K212" s="84"/>
      <c r="L212" s="84"/>
      <c r="M212" s="84"/>
      <c r="N212" s="84"/>
    </row>
    <row r="213" ht="12.75" customHeight="1">
      <c r="A213" s="30" t="s">
        <v>37</v>
      </c>
      <c r="B213" s="47" t="s">
        <v>155</v>
      </c>
      <c r="C213" s="48" t="s">
        <v>156</v>
      </c>
      <c r="D213" s="16"/>
      <c r="E213" s="19">
        <v>1.0</v>
      </c>
      <c r="F213" s="19">
        <v>4.0</v>
      </c>
      <c r="G213" s="19">
        <v>0.0</v>
      </c>
      <c r="H213" s="19">
        <v>1.0</v>
      </c>
      <c r="I213" s="19">
        <v>3.0</v>
      </c>
      <c r="J213" s="19">
        <v>1.0</v>
      </c>
      <c r="K213" s="19">
        <v>0.0</v>
      </c>
      <c r="L213" s="19">
        <v>1.0</v>
      </c>
      <c r="M213" s="19">
        <v>0.0</v>
      </c>
      <c r="N213" s="13">
        <f t="shared" ref="N213:N222" si="40">SUM(E213:M213)</f>
        <v>11</v>
      </c>
    </row>
    <row r="214" ht="12.75" customHeight="1">
      <c r="A214" s="30" t="s">
        <v>39</v>
      </c>
      <c r="B214" s="55">
        <v>1.0</v>
      </c>
      <c r="C214" s="50" t="s">
        <v>157</v>
      </c>
      <c r="D214" s="59"/>
      <c r="E214" s="19">
        <v>1.0</v>
      </c>
      <c r="F214" s="19">
        <v>7.0</v>
      </c>
      <c r="G214" s="19">
        <v>4.0</v>
      </c>
      <c r="H214" s="19">
        <v>1.0</v>
      </c>
      <c r="I214" s="19">
        <v>5.0</v>
      </c>
      <c r="J214" s="19">
        <v>0.0</v>
      </c>
      <c r="K214" s="19">
        <v>2.0</v>
      </c>
      <c r="L214" s="19">
        <v>4.0</v>
      </c>
      <c r="M214" s="19">
        <v>2.0</v>
      </c>
      <c r="N214" s="13">
        <f t="shared" si="40"/>
        <v>26</v>
      </c>
    </row>
    <row r="215" ht="12.75" customHeight="1">
      <c r="A215" s="18"/>
      <c r="B215" s="55">
        <v>2.0</v>
      </c>
      <c r="C215" s="50" t="s">
        <v>158</v>
      </c>
      <c r="D215" s="59"/>
      <c r="E215" s="19">
        <v>6.0</v>
      </c>
      <c r="F215" s="19">
        <v>5.0</v>
      </c>
      <c r="G215" s="19">
        <v>6.0</v>
      </c>
      <c r="H215" s="19">
        <v>4.0</v>
      </c>
      <c r="I215" s="19">
        <v>3.0</v>
      </c>
      <c r="J215" s="19">
        <v>1.0</v>
      </c>
      <c r="K215" s="19">
        <v>0.0</v>
      </c>
      <c r="L215" s="19">
        <v>3.0</v>
      </c>
      <c r="M215" s="19">
        <v>1.0</v>
      </c>
      <c r="N215" s="13">
        <f t="shared" si="40"/>
        <v>29</v>
      </c>
    </row>
    <row r="216" ht="12.75" customHeight="1">
      <c r="A216" s="18"/>
      <c r="B216" s="55">
        <v>3.0</v>
      </c>
      <c r="C216" s="70" t="s">
        <v>159</v>
      </c>
      <c r="E216" s="19">
        <v>0.0</v>
      </c>
      <c r="F216" s="19">
        <v>0.0</v>
      </c>
      <c r="G216" s="19">
        <v>0.0</v>
      </c>
      <c r="H216" s="19">
        <v>0.0</v>
      </c>
      <c r="I216" s="19">
        <v>5.0</v>
      </c>
      <c r="J216" s="19">
        <v>0.0</v>
      </c>
      <c r="K216" s="19">
        <v>0.0</v>
      </c>
      <c r="L216" s="19">
        <v>0.0</v>
      </c>
      <c r="M216" s="19">
        <v>0.0</v>
      </c>
      <c r="N216" s="13">
        <f t="shared" si="40"/>
        <v>5</v>
      </c>
    </row>
    <row r="217" ht="12.75" customHeight="1">
      <c r="A217" s="18"/>
      <c r="B217" s="55">
        <v>4.0</v>
      </c>
      <c r="C217" s="50" t="s">
        <v>160</v>
      </c>
      <c r="D217" s="59"/>
      <c r="E217" s="19"/>
      <c r="F217" s="19"/>
      <c r="G217" s="19"/>
      <c r="H217" s="19"/>
      <c r="I217" s="19"/>
      <c r="J217" s="19"/>
      <c r="K217" s="19"/>
      <c r="L217" s="19"/>
      <c r="M217" s="19"/>
      <c r="N217" s="13">
        <f t="shared" si="40"/>
        <v>0</v>
      </c>
    </row>
    <row r="218" ht="12.75" customHeight="1">
      <c r="A218" s="18"/>
      <c r="B218" s="55">
        <v>5.0</v>
      </c>
      <c r="C218" s="50" t="s">
        <v>161</v>
      </c>
      <c r="D218" s="59"/>
      <c r="E218" s="19"/>
      <c r="F218" s="19"/>
      <c r="G218" s="19"/>
      <c r="H218" s="19"/>
      <c r="I218" s="19"/>
      <c r="J218" s="19"/>
      <c r="K218" s="19"/>
      <c r="L218" s="19"/>
      <c r="M218" s="19"/>
      <c r="N218" s="13">
        <f t="shared" si="40"/>
        <v>0</v>
      </c>
    </row>
    <row r="219" ht="12.75" customHeight="1">
      <c r="A219" s="18"/>
      <c r="B219" s="55">
        <v>6.0</v>
      </c>
      <c r="C219" s="50" t="s">
        <v>162</v>
      </c>
      <c r="D219" s="59"/>
      <c r="E219" s="19"/>
      <c r="F219" s="19"/>
      <c r="G219" s="19"/>
      <c r="H219" s="19"/>
      <c r="I219" s="19"/>
      <c r="J219" s="19"/>
      <c r="K219" s="19"/>
      <c r="L219" s="19"/>
      <c r="M219" s="19"/>
      <c r="N219" s="13">
        <f t="shared" si="40"/>
        <v>0</v>
      </c>
    </row>
    <row r="220" ht="12.75" customHeight="1">
      <c r="A220" s="18"/>
      <c r="B220" s="55">
        <v>7.0</v>
      </c>
      <c r="C220" s="50" t="s">
        <v>163</v>
      </c>
      <c r="D220" s="59"/>
      <c r="E220" s="19"/>
      <c r="F220" s="19"/>
      <c r="G220" s="19"/>
      <c r="H220" s="19"/>
      <c r="I220" s="19"/>
      <c r="J220" s="19"/>
      <c r="K220" s="19"/>
      <c r="L220" s="19"/>
      <c r="M220" s="19"/>
      <c r="N220" s="13">
        <f t="shared" si="40"/>
        <v>0</v>
      </c>
    </row>
    <row r="221" ht="12.75" customHeight="1">
      <c r="A221" s="18"/>
      <c r="B221" s="56"/>
      <c r="C221" s="57"/>
      <c r="D221" s="61"/>
      <c r="E221" s="19"/>
      <c r="F221" s="19"/>
      <c r="G221" s="19"/>
      <c r="H221" s="19"/>
      <c r="I221" s="19"/>
      <c r="J221" s="19"/>
      <c r="K221" s="19"/>
      <c r="L221" s="19"/>
      <c r="M221" s="19"/>
      <c r="N221" s="13">
        <f t="shared" si="40"/>
        <v>0</v>
      </c>
    </row>
    <row r="222" ht="12.75" customHeight="1">
      <c r="A222" s="18"/>
      <c r="B222" s="56"/>
      <c r="C222" s="57"/>
      <c r="D222" s="61"/>
      <c r="E222" s="19"/>
      <c r="F222" s="19"/>
      <c r="G222" s="19"/>
      <c r="H222" s="19"/>
      <c r="I222" s="19"/>
      <c r="J222" s="19"/>
      <c r="K222" s="19"/>
      <c r="L222" s="19"/>
      <c r="M222" s="19"/>
      <c r="N222" s="13">
        <f t="shared" si="40"/>
        <v>0</v>
      </c>
    </row>
    <row r="223" ht="12.75" customHeight="1">
      <c r="A223" s="19" t="s">
        <v>15</v>
      </c>
      <c r="B223" s="47" t="s">
        <v>47</v>
      </c>
      <c r="C223" s="15"/>
      <c r="D223" s="16"/>
      <c r="E223" s="13">
        <f t="shared" ref="E223:N223" si="41">SUM(E213:E222)</f>
        <v>8</v>
      </c>
      <c r="F223" s="13">
        <f t="shared" si="41"/>
        <v>16</v>
      </c>
      <c r="G223" s="13">
        <f t="shared" si="41"/>
        <v>10</v>
      </c>
      <c r="H223" s="13">
        <f t="shared" si="41"/>
        <v>6</v>
      </c>
      <c r="I223" s="13">
        <f t="shared" si="41"/>
        <v>16</v>
      </c>
      <c r="J223" s="13">
        <f t="shared" si="41"/>
        <v>2</v>
      </c>
      <c r="K223" s="13">
        <f t="shared" si="41"/>
        <v>2</v>
      </c>
      <c r="L223" s="13">
        <f t="shared" si="41"/>
        <v>8</v>
      </c>
      <c r="M223" s="13">
        <f t="shared" si="41"/>
        <v>3</v>
      </c>
      <c r="N223" s="13">
        <f t="shared" si="41"/>
        <v>71</v>
      </c>
    </row>
    <row r="224" ht="12.75" customHeight="1">
      <c r="A224" s="24"/>
      <c r="B224" s="15"/>
      <c r="C224" s="15"/>
      <c r="D224" s="15"/>
      <c r="E224" s="16"/>
      <c r="F224" s="84"/>
      <c r="G224" s="84"/>
      <c r="H224" s="84"/>
      <c r="I224" s="84"/>
      <c r="J224" s="84"/>
      <c r="K224" s="84"/>
      <c r="L224" s="84"/>
      <c r="M224" s="84"/>
      <c r="N224" s="84"/>
    </row>
    <row r="225" ht="12.75" customHeight="1">
      <c r="A225" s="30" t="s">
        <v>37</v>
      </c>
      <c r="B225" s="47" t="s">
        <v>164</v>
      </c>
      <c r="C225" s="48" t="s">
        <v>165</v>
      </c>
      <c r="D225" s="16"/>
      <c r="E225" s="19">
        <v>1.0</v>
      </c>
      <c r="F225" s="19">
        <v>0.0</v>
      </c>
      <c r="G225" s="19">
        <v>0.0</v>
      </c>
      <c r="H225" s="19">
        <v>0.0</v>
      </c>
      <c r="I225" s="19">
        <v>0.0</v>
      </c>
      <c r="J225" s="19">
        <v>0.0</v>
      </c>
      <c r="K225" s="19">
        <v>0.0</v>
      </c>
      <c r="L225" s="19">
        <v>0.0</v>
      </c>
      <c r="M225" s="19">
        <v>0.0</v>
      </c>
      <c r="N225" s="13">
        <f t="shared" ref="N225:N234" si="42">SUM(E225:M225)</f>
        <v>1</v>
      </c>
    </row>
    <row r="226" ht="12.75" customHeight="1">
      <c r="A226" s="30" t="s">
        <v>39</v>
      </c>
      <c r="B226" s="55">
        <v>1.0</v>
      </c>
      <c r="C226" s="50" t="s">
        <v>166</v>
      </c>
      <c r="D226" s="60"/>
      <c r="E226" s="19">
        <v>0.0</v>
      </c>
      <c r="F226" s="19">
        <v>0.0</v>
      </c>
      <c r="G226" s="19">
        <v>2.0</v>
      </c>
      <c r="H226" s="19">
        <v>2.0</v>
      </c>
      <c r="I226" s="19">
        <v>0.0</v>
      </c>
      <c r="J226" s="19">
        <v>0.0</v>
      </c>
      <c r="K226" s="19">
        <v>0.0</v>
      </c>
      <c r="L226" s="19">
        <v>0.0</v>
      </c>
      <c r="M226" s="19">
        <v>0.0</v>
      </c>
      <c r="N226" s="13">
        <f t="shared" si="42"/>
        <v>4</v>
      </c>
    </row>
    <row r="227" ht="12.75" customHeight="1">
      <c r="A227" s="18"/>
      <c r="B227" s="55">
        <v>2.0</v>
      </c>
      <c r="C227" s="50" t="s">
        <v>167</v>
      </c>
      <c r="D227" s="60"/>
      <c r="E227" s="19"/>
      <c r="F227" s="19"/>
      <c r="G227" s="19"/>
      <c r="H227" s="19"/>
      <c r="I227" s="19"/>
      <c r="J227" s="19"/>
      <c r="K227" s="19"/>
      <c r="L227" s="19"/>
      <c r="M227" s="19"/>
      <c r="N227" s="13">
        <f t="shared" si="42"/>
        <v>0</v>
      </c>
    </row>
    <row r="228" ht="12.75" customHeight="1">
      <c r="A228" s="18"/>
      <c r="B228" s="55">
        <v>3.0</v>
      </c>
      <c r="C228" s="50" t="s">
        <v>168</v>
      </c>
      <c r="D228" s="60"/>
      <c r="E228" s="19"/>
      <c r="F228" s="19"/>
      <c r="G228" s="19"/>
      <c r="H228" s="19"/>
      <c r="I228" s="19"/>
      <c r="J228" s="19"/>
      <c r="K228" s="19"/>
      <c r="L228" s="19"/>
      <c r="M228" s="19"/>
      <c r="N228" s="13">
        <f t="shared" si="42"/>
        <v>0</v>
      </c>
    </row>
    <row r="229" ht="12.75" customHeight="1">
      <c r="A229" s="18"/>
      <c r="B229" s="55">
        <v>4.0</v>
      </c>
      <c r="C229" s="50" t="s">
        <v>169</v>
      </c>
      <c r="D229" s="60"/>
      <c r="E229" s="19"/>
      <c r="F229" s="19"/>
      <c r="G229" s="19"/>
      <c r="H229" s="19"/>
      <c r="I229" s="19"/>
      <c r="J229" s="19"/>
      <c r="K229" s="19"/>
      <c r="L229" s="19"/>
      <c r="M229" s="19"/>
      <c r="N229" s="13">
        <f t="shared" si="42"/>
        <v>0</v>
      </c>
    </row>
    <row r="230" ht="12.75" customHeight="1">
      <c r="A230" s="18"/>
      <c r="B230" s="55">
        <v>5.0</v>
      </c>
      <c r="C230" s="50" t="s">
        <v>170</v>
      </c>
      <c r="D230" s="60"/>
      <c r="E230" s="19"/>
      <c r="F230" s="19"/>
      <c r="G230" s="19"/>
      <c r="H230" s="19"/>
      <c r="I230" s="19"/>
      <c r="J230" s="19"/>
      <c r="K230" s="19"/>
      <c r="L230" s="19"/>
      <c r="M230" s="19"/>
      <c r="N230" s="13">
        <f t="shared" si="42"/>
        <v>0</v>
      </c>
    </row>
    <row r="231" ht="12.75" customHeight="1">
      <c r="A231" s="18"/>
      <c r="B231" s="55">
        <v>6.0</v>
      </c>
      <c r="C231" s="50" t="s">
        <v>171</v>
      </c>
      <c r="D231" s="60"/>
      <c r="E231" s="19"/>
      <c r="F231" s="19"/>
      <c r="G231" s="19"/>
      <c r="H231" s="19"/>
      <c r="I231" s="19"/>
      <c r="J231" s="19"/>
      <c r="K231" s="19"/>
      <c r="L231" s="19"/>
      <c r="M231" s="19"/>
      <c r="N231" s="13">
        <f t="shared" si="42"/>
        <v>0</v>
      </c>
    </row>
    <row r="232" ht="12.75" customHeight="1">
      <c r="A232" s="18"/>
      <c r="B232" s="55">
        <v>7.0</v>
      </c>
      <c r="C232" s="50" t="s">
        <v>172</v>
      </c>
      <c r="D232" s="60"/>
      <c r="E232" s="19"/>
      <c r="F232" s="19"/>
      <c r="G232" s="19"/>
      <c r="H232" s="19"/>
      <c r="I232" s="19"/>
      <c r="J232" s="19"/>
      <c r="K232" s="19"/>
      <c r="L232" s="19"/>
      <c r="M232" s="19"/>
      <c r="N232" s="13">
        <f t="shared" si="42"/>
        <v>0</v>
      </c>
    </row>
    <row r="233" ht="12.75" customHeight="1">
      <c r="A233" s="18"/>
      <c r="B233" s="56"/>
      <c r="C233" s="57"/>
      <c r="D233" s="62"/>
      <c r="E233" s="19"/>
      <c r="F233" s="19"/>
      <c r="G233" s="19"/>
      <c r="H233" s="19"/>
      <c r="I233" s="19"/>
      <c r="J233" s="19"/>
      <c r="K233" s="19"/>
      <c r="L233" s="19"/>
      <c r="M233" s="19"/>
      <c r="N233" s="13">
        <f t="shared" si="42"/>
        <v>0</v>
      </c>
    </row>
    <row r="234" ht="12.75" customHeight="1">
      <c r="A234" s="18"/>
      <c r="B234" s="56"/>
      <c r="C234" s="57"/>
      <c r="D234" s="62"/>
      <c r="E234" s="19"/>
      <c r="F234" s="19"/>
      <c r="G234" s="19"/>
      <c r="H234" s="19"/>
      <c r="I234" s="19"/>
      <c r="J234" s="19"/>
      <c r="K234" s="19"/>
      <c r="L234" s="19"/>
      <c r="M234" s="19"/>
      <c r="N234" s="13">
        <f t="shared" si="42"/>
        <v>0</v>
      </c>
    </row>
    <row r="235" ht="12.75" customHeight="1">
      <c r="A235" s="19" t="s">
        <v>15</v>
      </c>
      <c r="B235" s="47" t="s">
        <v>47</v>
      </c>
      <c r="C235" s="15"/>
      <c r="D235" s="16"/>
      <c r="E235" s="13">
        <f t="shared" ref="E235:N235" si="43">SUM(E225:E234)</f>
        <v>1</v>
      </c>
      <c r="F235" s="13">
        <f t="shared" si="43"/>
        <v>0</v>
      </c>
      <c r="G235" s="13">
        <f t="shared" si="43"/>
        <v>2</v>
      </c>
      <c r="H235" s="13">
        <f t="shared" si="43"/>
        <v>2</v>
      </c>
      <c r="I235" s="13">
        <f t="shared" si="43"/>
        <v>0</v>
      </c>
      <c r="J235" s="13">
        <f t="shared" si="43"/>
        <v>0</v>
      </c>
      <c r="K235" s="13">
        <f t="shared" si="43"/>
        <v>0</v>
      </c>
      <c r="L235" s="13">
        <f t="shared" si="43"/>
        <v>0</v>
      </c>
      <c r="M235" s="13">
        <f t="shared" si="43"/>
        <v>0</v>
      </c>
      <c r="N235" s="13">
        <f t="shared" si="43"/>
        <v>5</v>
      </c>
    </row>
    <row r="236" ht="12.75" customHeight="1">
      <c r="A236" s="24"/>
      <c r="B236" s="15"/>
      <c r="C236" s="15"/>
      <c r="D236" s="15"/>
      <c r="E236" s="16"/>
      <c r="F236" s="84"/>
      <c r="G236" s="84"/>
      <c r="H236" s="84"/>
      <c r="I236" s="84"/>
      <c r="J236" s="84"/>
      <c r="K236" s="84"/>
      <c r="L236" s="84"/>
      <c r="M236" s="84"/>
      <c r="N236" s="84"/>
    </row>
    <row r="237" ht="12.75" customHeight="1">
      <c r="A237" s="30" t="s">
        <v>37</v>
      </c>
      <c r="B237" s="47" t="s">
        <v>173</v>
      </c>
      <c r="C237" s="48" t="s">
        <v>174</v>
      </c>
      <c r="D237" s="16"/>
      <c r="E237" s="19">
        <v>5.0</v>
      </c>
      <c r="F237" s="19">
        <v>2.0</v>
      </c>
      <c r="G237" s="19">
        <v>1.0</v>
      </c>
      <c r="H237" s="19">
        <v>0.0</v>
      </c>
      <c r="I237" s="19">
        <v>0.0</v>
      </c>
      <c r="J237" s="19">
        <v>3.0</v>
      </c>
      <c r="K237" s="19">
        <v>0.0</v>
      </c>
      <c r="L237" s="19">
        <v>0.0</v>
      </c>
      <c r="M237" s="19">
        <v>4.0</v>
      </c>
      <c r="N237" s="13">
        <f t="shared" ref="N237:N246" si="44">SUM(E237:M237)</f>
        <v>15</v>
      </c>
    </row>
    <row r="238" ht="12.75" customHeight="1">
      <c r="A238" s="30" t="s">
        <v>39</v>
      </c>
      <c r="B238" s="55">
        <v>1.0</v>
      </c>
      <c r="C238" s="50" t="s">
        <v>175</v>
      </c>
      <c r="D238" s="60"/>
      <c r="E238" s="19">
        <v>2.0</v>
      </c>
      <c r="F238" s="19">
        <v>1.0</v>
      </c>
      <c r="G238" s="19">
        <v>1.0</v>
      </c>
      <c r="H238" s="19">
        <v>0.0</v>
      </c>
      <c r="I238" s="19">
        <v>0.0</v>
      </c>
      <c r="J238" s="19">
        <v>1.0</v>
      </c>
      <c r="K238" s="19">
        <v>0.0</v>
      </c>
      <c r="L238" s="19">
        <v>0.0</v>
      </c>
      <c r="M238" s="19">
        <v>1.0</v>
      </c>
      <c r="N238" s="13">
        <f t="shared" si="44"/>
        <v>6</v>
      </c>
    </row>
    <row r="239" ht="12.75" customHeight="1">
      <c r="A239" s="18"/>
      <c r="B239" s="55">
        <v>2.0</v>
      </c>
      <c r="C239" s="50" t="s">
        <v>176</v>
      </c>
      <c r="D239" s="60"/>
      <c r="E239" s="19">
        <v>43.0</v>
      </c>
      <c r="F239" s="19">
        <v>55.0</v>
      </c>
      <c r="G239" s="19">
        <v>35.0</v>
      </c>
      <c r="H239" s="19">
        <v>1.0</v>
      </c>
      <c r="I239" s="19">
        <v>0.0</v>
      </c>
      <c r="J239" s="19">
        <v>40.0</v>
      </c>
      <c r="K239" s="19">
        <v>1.0</v>
      </c>
      <c r="L239" s="19">
        <v>0.0</v>
      </c>
      <c r="M239" s="19">
        <v>7.0</v>
      </c>
      <c r="N239" s="13">
        <f t="shared" si="44"/>
        <v>182</v>
      </c>
    </row>
    <row r="240" ht="12.75" customHeight="1">
      <c r="A240" s="18"/>
      <c r="B240" s="55">
        <v>3.0</v>
      </c>
      <c r="C240" s="50" t="s">
        <v>177</v>
      </c>
      <c r="D240" s="60"/>
      <c r="E240" s="19">
        <v>0.0</v>
      </c>
      <c r="F240" s="19">
        <v>0.0</v>
      </c>
      <c r="G240" s="19">
        <v>1.0</v>
      </c>
      <c r="H240" s="19">
        <v>1.0</v>
      </c>
      <c r="I240" s="19">
        <v>0.0</v>
      </c>
      <c r="J240" s="19">
        <v>2.0</v>
      </c>
      <c r="K240" s="19">
        <v>0.0</v>
      </c>
      <c r="L240" s="19">
        <v>0.0</v>
      </c>
      <c r="M240" s="19">
        <v>0.0</v>
      </c>
      <c r="N240" s="13">
        <f t="shared" si="44"/>
        <v>4</v>
      </c>
    </row>
    <row r="241" ht="12.75" customHeight="1">
      <c r="A241" s="18"/>
      <c r="B241" s="55">
        <v>4.0</v>
      </c>
      <c r="C241" s="50" t="s">
        <v>178</v>
      </c>
      <c r="D241" s="60"/>
      <c r="E241" s="19">
        <v>0.0</v>
      </c>
      <c r="F241" s="19">
        <v>0.0</v>
      </c>
      <c r="G241" s="19">
        <v>0.0</v>
      </c>
      <c r="H241" s="19">
        <v>0.0</v>
      </c>
      <c r="I241" s="19">
        <v>0.0</v>
      </c>
      <c r="J241" s="19">
        <v>1.0</v>
      </c>
      <c r="K241" s="19">
        <v>0.0</v>
      </c>
      <c r="L241" s="19">
        <v>0.0</v>
      </c>
      <c r="M241" s="19">
        <v>0.0</v>
      </c>
      <c r="N241" s="13">
        <f t="shared" si="44"/>
        <v>1</v>
      </c>
    </row>
    <row r="242" ht="12.75" customHeight="1">
      <c r="A242" s="18"/>
      <c r="B242" s="55">
        <v>5.0</v>
      </c>
      <c r="C242" s="50" t="s">
        <v>179</v>
      </c>
      <c r="D242" s="60"/>
      <c r="E242" s="19"/>
      <c r="F242" s="19"/>
      <c r="G242" s="19"/>
      <c r="H242" s="19"/>
      <c r="I242" s="19"/>
      <c r="J242" s="19"/>
      <c r="K242" s="19"/>
      <c r="L242" s="19"/>
      <c r="M242" s="19"/>
      <c r="N242" s="13">
        <f t="shared" si="44"/>
        <v>0</v>
      </c>
    </row>
    <row r="243" ht="12.75" customHeight="1">
      <c r="A243" s="18"/>
      <c r="B243" s="55">
        <v>6.0</v>
      </c>
      <c r="C243" s="50" t="s">
        <v>180</v>
      </c>
      <c r="D243" s="60"/>
      <c r="E243" s="19"/>
      <c r="F243" s="19"/>
      <c r="G243" s="19"/>
      <c r="H243" s="19"/>
      <c r="I243" s="19"/>
      <c r="J243" s="19"/>
      <c r="K243" s="19"/>
      <c r="L243" s="19"/>
      <c r="M243" s="19"/>
      <c r="N243" s="13">
        <f t="shared" si="44"/>
        <v>0</v>
      </c>
    </row>
    <row r="244" ht="12.75" customHeight="1">
      <c r="A244" s="18"/>
      <c r="B244" s="55">
        <v>7.0</v>
      </c>
      <c r="C244" s="50" t="s">
        <v>181</v>
      </c>
      <c r="D244" s="60"/>
      <c r="E244" s="19"/>
      <c r="F244" s="19"/>
      <c r="G244" s="19"/>
      <c r="H244" s="19"/>
      <c r="I244" s="19"/>
      <c r="J244" s="19"/>
      <c r="K244" s="19"/>
      <c r="L244" s="19"/>
      <c r="M244" s="19"/>
      <c r="N244" s="13">
        <f t="shared" si="44"/>
        <v>0</v>
      </c>
    </row>
    <row r="245" ht="12.75" customHeight="1">
      <c r="A245" s="18"/>
      <c r="B245" s="56"/>
      <c r="C245" s="57"/>
      <c r="D245" s="62"/>
      <c r="E245" s="19"/>
      <c r="F245" s="19"/>
      <c r="G245" s="19"/>
      <c r="H245" s="19"/>
      <c r="I245" s="19"/>
      <c r="J245" s="19"/>
      <c r="K245" s="19"/>
      <c r="L245" s="19"/>
      <c r="M245" s="19"/>
      <c r="N245" s="13">
        <f t="shared" si="44"/>
        <v>0</v>
      </c>
    </row>
    <row r="246" ht="12.75" customHeight="1">
      <c r="A246" s="18"/>
      <c r="B246" s="56"/>
      <c r="C246" s="57"/>
      <c r="D246" s="62"/>
      <c r="E246" s="19"/>
      <c r="F246" s="19"/>
      <c r="G246" s="19"/>
      <c r="H246" s="19"/>
      <c r="I246" s="19"/>
      <c r="J246" s="19"/>
      <c r="K246" s="19"/>
      <c r="L246" s="19"/>
      <c r="M246" s="19"/>
      <c r="N246" s="13">
        <f t="shared" si="44"/>
        <v>0</v>
      </c>
    </row>
    <row r="247" ht="12.75" customHeight="1">
      <c r="A247" s="19" t="s">
        <v>15</v>
      </c>
      <c r="B247" s="47" t="s">
        <v>47</v>
      </c>
      <c r="C247" s="15"/>
      <c r="D247" s="16"/>
      <c r="E247" s="13">
        <f t="shared" ref="E247:N247" si="45">SUM(E237:E246)</f>
        <v>50</v>
      </c>
      <c r="F247" s="13">
        <f t="shared" si="45"/>
        <v>58</v>
      </c>
      <c r="G247" s="13">
        <f t="shared" si="45"/>
        <v>38</v>
      </c>
      <c r="H247" s="13">
        <f t="shared" si="45"/>
        <v>2</v>
      </c>
      <c r="I247" s="13">
        <f t="shared" si="45"/>
        <v>0</v>
      </c>
      <c r="J247" s="13">
        <f t="shared" si="45"/>
        <v>47</v>
      </c>
      <c r="K247" s="13">
        <f t="shared" si="45"/>
        <v>1</v>
      </c>
      <c r="L247" s="13">
        <f t="shared" si="45"/>
        <v>0</v>
      </c>
      <c r="M247" s="13">
        <f t="shared" si="45"/>
        <v>12</v>
      </c>
      <c r="N247" s="13">
        <f t="shared" si="45"/>
        <v>208</v>
      </c>
    </row>
    <row r="248" ht="12.75" customHeight="1">
      <c r="A248" s="24"/>
      <c r="B248" s="15"/>
      <c r="C248" s="15"/>
      <c r="D248" s="15"/>
      <c r="E248" s="16"/>
    </row>
    <row r="249" ht="12.75" customHeight="1">
      <c r="A249" s="30" t="s">
        <v>37</v>
      </c>
      <c r="B249" s="47" t="s">
        <v>182</v>
      </c>
      <c r="C249" s="48" t="s">
        <v>183</v>
      </c>
      <c r="D249" s="16"/>
      <c r="E249" s="19">
        <v>0.0</v>
      </c>
      <c r="F249" s="19">
        <v>0.0</v>
      </c>
      <c r="G249" s="19">
        <v>0.0</v>
      </c>
      <c r="H249" s="19">
        <v>0.0</v>
      </c>
      <c r="I249" s="19">
        <v>1.0</v>
      </c>
      <c r="J249" s="19">
        <v>0.0</v>
      </c>
      <c r="K249" s="19">
        <v>0.0</v>
      </c>
      <c r="L249" s="19">
        <v>0.0</v>
      </c>
      <c r="M249" s="19">
        <v>0.0</v>
      </c>
      <c r="N249" s="13">
        <f t="shared" ref="N249:N258" si="46">SUM(E249:M249)</f>
        <v>1</v>
      </c>
    </row>
    <row r="250" ht="12.75" customHeight="1">
      <c r="A250" s="30" t="s">
        <v>39</v>
      </c>
      <c r="B250" s="55">
        <v>1.0</v>
      </c>
      <c r="C250" s="67" t="s">
        <v>184</v>
      </c>
      <c r="D250" s="60"/>
      <c r="E250" s="19">
        <v>1.0</v>
      </c>
      <c r="F250" s="19">
        <v>0.0</v>
      </c>
      <c r="G250" s="19">
        <v>0.0</v>
      </c>
      <c r="H250" s="19">
        <v>0.0</v>
      </c>
      <c r="I250" s="19">
        <v>0.0</v>
      </c>
      <c r="J250" s="19">
        <v>0.0</v>
      </c>
      <c r="K250" s="19">
        <v>0.0</v>
      </c>
      <c r="L250" s="19">
        <v>0.0</v>
      </c>
      <c r="M250" s="19">
        <v>0.0</v>
      </c>
      <c r="N250" s="13">
        <f t="shared" si="46"/>
        <v>1</v>
      </c>
    </row>
    <row r="251" ht="12.75" customHeight="1">
      <c r="A251" s="18"/>
      <c r="B251" s="55">
        <v>2.0</v>
      </c>
      <c r="C251" s="67" t="s">
        <v>185</v>
      </c>
      <c r="D251" s="60"/>
      <c r="E251" s="19"/>
      <c r="F251" s="19"/>
      <c r="G251" s="19"/>
      <c r="H251" s="19"/>
      <c r="I251" s="19"/>
      <c r="J251" s="19"/>
      <c r="K251" s="19"/>
      <c r="L251" s="19"/>
      <c r="M251" s="19"/>
      <c r="N251" s="13">
        <f t="shared" si="46"/>
        <v>0</v>
      </c>
    </row>
    <row r="252" ht="12.75" customHeight="1">
      <c r="A252" s="18"/>
      <c r="B252" s="55">
        <v>3.0</v>
      </c>
      <c r="C252" s="67" t="s">
        <v>186</v>
      </c>
      <c r="D252" s="60"/>
      <c r="E252" s="19"/>
      <c r="F252" s="19"/>
      <c r="G252" s="19"/>
      <c r="H252" s="19"/>
      <c r="I252" s="19"/>
      <c r="J252" s="19"/>
      <c r="K252" s="19"/>
      <c r="L252" s="19"/>
      <c r="M252" s="19"/>
      <c r="N252" s="13">
        <f t="shared" si="46"/>
        <v>0</v>
      </c>
    </row>
    <row r="253" ht="12.75" customHeight="1">
      <c r="A253" s="18"/>
      <c r="B253" s="55">
        <v>4.0</v>
      </c>
      <c r="C253" s="67" t="s">
        <v>187</v>
      </c>
      <c r="D253" s="60"/>
      <c r="E253" s="19"/>
      <c r="F253" s="19"/>
      <c r="G253" s="19"/>
      <c r="H253" s="19"/>
      <c r="I253" s="19"/>
      <c r="J253" s="19"/>
      <c r="K253" s="19"/>
      <c r="L253" s="19"/>
      <c r="M253" s="19"/>
      <c r="N253" s="13">
        <f t="shared" si="46"/>
        <v>0</v>
      </c>
    </row>
    <row r="254" ht="12.75" customHeight="1">
      <c r="A254" s="18"/>
      <c r="B254" s="55">
        <v>5.0</v>
      </c>
      <c r="C254" s="67" t="s">
        <v>188</v>
      </c>
      <c r="D254" s="60"/>
      <c r="E254" s="19"/>
      <c r="F254" s="19"/>
      <c r="G254" s="19"/>
      <c r="H254" s="19"/>
      <c r="I254" s="19"/>
      <c r="J254" s="19"/>
      <c r="K254" s="19"/>
      <c r="L254" s="19"/>
      <c r="M254" s="19"/>
      <c r="N254" s="13">
        <f t="shared" si="46"/>
        <v>0</v>
      </c>
    </row>
    <row r="255" ht="12.75" customHeight="1">
      <c r="A255" s="18"/>
      <c r="B255" s="55">
        <v>6.0</v>
      </c>
      <c r="C255" s="67" t="s">
        <v>189</v>
      </c>
      <c r="D255" s="60"/>
      <c r="E255" s="19"/>
      <c r="F255" s="19"/>
      <c r="G255" s="19"/>
      <c r="H255" s="19"/>
      <c r="I255" s="19"/>
      <c r="J255" s="19"/>
      <c r="K255" s="19"/>
      <c r="L255" s="19"/>
      <c r="M255" s="19"/>
      <c r="N255" s="13">
        <f t="shared" si="46"/>
        <v>0</v>
      </c>
    </row>
    <row r="256" ht="12.75" customHeight="1">
      <c r="A256" s="18"/>
      <c r="B256" s="56"/>
      <c r="C256" s="68"/>
      <c r="D256" s="62"/>
      <c r="E256" s="19"/>
      <c r="F256" s="19"/>
      <c r="G256" s="19"/>
      <c r="H256" s="19"/>
      <c r="I256" s="19"/>
      <c r="J256" s="19"/>
      <c r="K256" s="19"/>
      <c r="L256" s="19"/>
      <c r="M256" s="19"/>
      <c r="N256" s="13">
        <f t="shared" si="46"/>
        <v>0</v>
      </c>
    </row>
    <row r="257" ht="12.75" customHeight="1">
      <c r="A257" s="18"/>
      <c r="B257" s="56"/>
      <c r="C257" s="68"/>
      <c r="D257" s="62"/>
      <c r="E257" s="19"/>
      <c r="F257" s="19"/>
      <c r="G257" s="19"/>
      <c r="H257" s="19"/>
      <c r="I257" s="19"/>
      <c r="J257" s="19"/>
      <c r="K257" s="19"/>
      <c r="L257" s="19"/>
      <c r="M257" s="19"/>
      <c r="N257" s="13">
        <f t="shared" si="46"/>
        <v>0</v>
      </c>
    </row>
    <row r="258" ht="12.75" customHeight="1">
      <c r="A258" s="18"/>
      <c r="B258" s="56"/>
      <c r="C258" s="68"/>
      <c r="D258" s="62"/>
      <c r="E258" s="19"/>
      <c r="F258" s="19"/>
      <c r="G258" s="19"/>
      <c r="H258" s="19"/>
      <c r="I258" s="19"/>
      <c r="J258" s="19"/>
      <c r="K258" s="19"/>
      <c r="L258" s="19"/>
      <c r="M258" s="19"/>
      <c r="N258" s="13">
        <f t="shared" si="46"/>
        <v>0</v>
      </c>
    </row>
    <row r="259" ht="12.75" customHeight="1">
      <c r="A259" s="19" t="s">
        <v>15</v>
      </c>
      <c r="B259" s="47" t="s">
        <v>47</v>
      </c>
      <c r="C259" s="15"/>
      <c r="D259" s="16"/>
      <c r="E259" s="13">
        <f t="shared" ref="E259:N259" si="47">SUM(E249:E258)</f>
        <v>1</v>
      </c>
      <c r="F259" s="13">
        <f t="shared" si="47"/>
        <v>0</v>
      </c>
      <c r="G259" s="13">
        <f t="shared" si="47"/>
        <v>0</v>
      </c>
      <c r="H259" s="13">
        <f t="shared" si="47"/>
        <v>0</v>
      </c>
      <c r="I259" s="13">
        <f t="shared" si="47"/>
        <v>1</v>
      </c>
      <c r="J259" s="13">
        <f t="shared" si="47"/>
        <v>0</v>
      </c>
      <c r="K259" s="13">
        <f t="shared" si="47"/>
        <v>0</v>
      </c>
      <c r="L259" s="13">
        <f t="shared" si="47"/>
        <v>0</v>
      </c>
      <c r="M259" s="13">
        <f t="shared" si="47"/>
        <v>0</v>
      </c>
      <c r="N259" s="13">
        <f t="shared" si="47"/>
        <v>2</v>
      </c>
    </row>
    <row r="260" ht="12.75" customHeight="1"/>
    <row r="261" ht="12.75" customHeight="1">
      <c r="A261" s="42" t="s">
        <v>190</v>
      </c>
      <c r="B261" s="14" t="s">
        <v>191</v>
      </c>
      <c r="C261" s="15"/>
      <c r="D261" s="16"/>
      <c r="E261" s="13"/>
      <c r="F261" s="13"/>
      <c r="G261" s="13"/>
      <c r="H261" s="13"/>
      <c r="I261" s="13"/>
      <c r="J261" s="13"/>
      <c r="K261" s="13"/>
      <c r="L261" s="13"/>
      <c r="M261" s="13"/>
      <c r="N261" s="13"/>
    </row>
    <row r="262" ht="12.75" customHeight="1">
      <c r="A262" s="42"/>
      <c r="B262" s="71" t="s">
        <v>192</v>
      </c>
      <c r="C262" s="72" t="s">
        <v>193</v>
      </c>
      <c r="D262" s="16"/>
      <c r="E262" s="19">
        <f t="shared" ref="E262:M262" si="48">E55+E67+E79+E91+E103+E115+E127+E139+E151+E163+E175+E187+E199+E211+E223+E235+E247+E259</f>
        <v>145</v>
      </c>
      <c r="F262" s="19">
        <f t="shared" si="48"/>
        <v>216</v>
      </c>
      <c r="G262" s="19">
        <f t="shared" si="48"/>
        <v>196</v>
      </c>
      <c r="H262" s="19">
        <f t="shared" si="48"/>
        <v>163</v>
      </c>
      <c r="I262" s="19">
        <f t="shared" si="48"/>
        <v>193</v>
      </c>
      <c r="J262" s="19">
        <f t="shared" si="48"/>
        <v>194</v>
      </c>
      <c r="K262" s="19">
        <f t="shared" si="48"/>
        <v>178</v>
      </c>
      <c r="L262" s="19">
        <f t="shared" si="48"/>
        <v>154</v>
      </c>
      <c r="M262" s="19">
        <f t="shared" si="48"/>
        <v>192</v>
      </c>
      <c r="N262" s="13">
        <f t="shared" ref="N262:N264" si="49">SUM(E262:M262)</f>
        <v>1631</v>
      </c>
    </row>
    <row r="263" ht="12.75" customHeight="1">
      <c r="A263" s="35"/>
      <c r="B263" s="71" t="s">
        <v>194</v>
      </c>
      <c r="C263" s="72" t="s">
        <v>195</v>
      </c>
      <c r="D263" s="16"/>
      <c r="E263" s="19">
        <v>3.0</v>
      </c>
      <c r="F263" s="19">
        <v>18.0</v>
      </c>
      <c r="G263" s="19">
        <v>17.0</v>
      </c>
      <c r="H263" s="19">
        <v>7.0</v>
      </c>
      <c r="I263" s="19">
        <v>3.0</v>
      </c>
      <c r="J263" s="19">
        <v>17.0</v>
      </c>
      <c r="K263" s="19">
        <v>9.0</v>
      </c>
      <c r="L263" s="19">
        <v>6.0</v>
      </c>
      <c r="M263" s="19">
        <v>17.0</v>
      </c>
      <c r="N263" s="13">
        <f t="shared" si="49"/>
        <v>97</v>
      </c>
    </row>
    <row r="264" ht="12.75" customHeight="1">
      <c r="A264" s="41"/>
      <c r="B264" s="71" t="s">
        <v>196</v>
      </c>
      <c r="C264" s="72" t="s">
        <v>197</v>
      </c>
      <c r="D264" s="16"/>
      <c r="E264" s="13">
        <f t="shared" ref="E264:M264" si="50">SUM(E262:E263)</f>
        <v>148</v>
      </c>
      <c r="F264" s="13">
        <f t="shared" si="50"/>
        <v>234</v>
      </c>
      <c r="G264" s="13">
        <f t="shared" si="50"/>
        <v>213</v>
      </c>
      <c r="H264" s="13">
        <f t="shared" si="50"/>
        <v>170</v>
      </c>
      <c r="I264" s="13">
        <f t="shared" si="50"/>
        <v>196</v>
      </c>
      <c r="J264" s="13">
        <f t="shared" si="50"/>
        <v>211</v>
      </c>
      <c r="K264" s="13">
        <f t="shared" si="50"/>
        <v>187</v>
      </c>
      <c r="L264" s="13">
        <f t="shared" si="50"/>
        <v>160</v>
      </c>
      <c r="M264" s="13">
        <f t="shared" si="50"/>
        <v>209</v>
      </c>
      <c r="N264" s="13">
        <f t="shared" si="49"/>
        <v>1728</v>
      </c>
    </row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93">
    <mergeCell ref="B55:D55"/>
    <mergeCell ref="A56:E56"/>
    <mergeCell ref="C57:D57"/>
    <mergeCell ref="B67:D67"/>
    <mergeCell ref="A68:E68"/>
    <mergeCell ref="C69:D69"/>
    <mergeCell ref="B79:D79"/>
    <mergeCell ref="A80:E80"/>
    <mergeCell ref="C81:D81"/>
    <mergeCell ref="B91:D91"/>
    <mergeCell ref="A92:E92"/>
    <mergeCell ref="C93:D93"/>
    <mergeCell ref="B103:D103"/>
    <mergeCell ref="A104:E104"/>
    <mergeCell ref="B127:D127"/>
    <mergeCell ref="A128:E128"/>
    <mergeCell ref="C129:D129"/>
    <mergeCell ref="B139:D139"/>
    <mergeCell ref="A140:E140"/>
    <mergeCell ref="C141:D141"/>
    <mergeCell ref="B151:D151"/>
    <mergeCell ref="A152:E152"/>
    <mergeCell ref="C153:D153"/>
    <mergeCell ref="B163:D163"/>
    <mergeCell ref="A164:E164"/>
    <mergeCell ref="C165:D165"/>
    <mergeCell ref="B175:D175"/>
    <mergeCell ref="A176:E176"/>
    <mergeCell ref="C177:D177"/>
    <mergeCell ref="B187:D187"/>
    <mergeCell ref="A188:E188"/>
    <mergeCell ref="C189:D189"/>
    <mergeCell ref="B199:D199"/>
    <mergeCell ref="A200:E200"/>
    <mergeCell ref="C201:D201"/>
    <mergeCell ref="B211:D211"/>
    <mergeCell ref="A212:E212"/>
    <mergeCell ref="C213:D213"/>
    <mergeCell ref="B223:D223"/>
    <mergeCell ref="A224:E224"/>
    <mergeCell ref="C225:D225"/>
    <mergeCell ref="B235:D235"/>
    <mergeCell ref="C262:D262"/>
    <mergeCell ref="C263:D263"/>
    <mergeCell ref="C264:D264"/>
    <mergeCell ref="A236:E236"/>
    <mergeCell ref="C237:D237"/>
    <mergeCell ref="B247:D247"/>
    <mergeCell ref="A248:E248"/>
    <mergeCell ref="C249:D249"/>
    <mergeCell ref="B259:D259"/>
    <mergeCell ref="B261:D261"/>
    <mergeCell ref="B12:D12"/>
    <mergeCell ref="E12:M12"/>
    <mergeCell ref="N12:N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B38:D38"/>
    <mergeCell ref="B39:C41"/>
    <mergeCell ref="A42:D42"/>
    <mergeCell ref="E42:I42"/>
    <mergeCell ref="B43:D43"/>
    <mergeCell ref="A44:D44"/>
    <mergeCell ref="C45:D45"/>
    <mergeCell ref="C46:D46"/>
    <mergeCell ref="C47:D47"/>
    <mergeCell ref="C48:D48"/>
    <mergeCell ref="C49:D49"/>
    <mergeCell ref="C50:D50"/>
    <mergeCell ref="C51:D51"/>
    <mergeCell ref="C52:D52"/>
    <mergeCell ref="C105:D105"/>
    <mergeCell ref="B115:D115"/>
    <mergeCell ref="A116:E116"/>
    <mergeCell ref="C117:D117"/>
  </mergeCells>
  <conditionalFormatting sqref="E14:M15">
    <cfRule type="containsBlanks" dxfId="1" priority="1">
      <formula>LEN(TRIM(E14))=0</formula>
    </cfRule>
  </conditionalFormatting>
  <conditionalFormatting sqref="E19:M20">
    <cfRule type="containsBlanks" dxfId="1" priority="2">
      <formula>LEN(TRIM(E19))=0</formula>
    </cfRule>
  </conditionalFormatting>
  <conditionalFormatting sqref="E22:M23 E25:M26 E33:M33 E35:M35 E39:M40">
    <cfRule type="containsBlanks" dxfId="1" priority="3">
      <formula>LEN(TRIM(E22))=0</formula>
    </cfRule>
  </conditionalFormatting>
  <conditionalFormatting sqref="E30:M30">
    <cfRule type="expression" dxfId="0" priority="4">
      <formula>E30&lt;&gt;E47</formula>
    </cfRule>
  </conditionalFormatting>
  <conditionalFormatting sqref="E30:M30">
    <cfRule type="expression" dxfId="0" priority="5">
      <formula>E30&lt;&gt;E34</formula>
    </cfRule>
  </conditionalFormatting>
  <conditionalFormatting sqref="E34:M34">
    <cfRule type="expression" dxfId="2" priority="6">
      <formula>E30&lt;&gt;E34</formula>
    </cfRule>
  </conditionalFormatting>
  <conditionalFormatting sqref="E34:M34">
    <cfRule type="expression" dxfId="3" priority="7">
      <formula>E30=E34</formula>
    </cfRule>
  </conditionalFormatting>
  <conditionalFormatting sqref="E34:M34">
    <cfRule type="expression" dxfId="0" priority="8">
      <formula>E34&lt;&gt;E30</formula>
    </cfRule>
  </conditionalFormatting>
  <conditionalFormatting sqref="E34:M34">
    <cfRule type="expression" dxfId="0" priority="9">
      <formula>E34&lt;&gt;E64</formula>
    </cfRule>
  </conditionalFormatting>
  <conditionalFormatting sqref="E45:M54">
    <cfRule type="containsBlanks" dxfId="1" priority="10">
      <formula>LEN(TRIM(E45))=0</formula>
    </cfRule>
  </conditionalFormatting>
  <conditionalFormatting sqref="E57:M66">
    <cfRule type="containsBlanks" dxfId="1" priority="11">
      <formula>LEN(TRIM(E57))=0</formula>
    </cfRule>
  </conditionalFormatting>
  <conditionalFormatting sqref="E69:M78">
    <cfRule type="containsBlanks" dxfId="1" priority="12">
      <formula>LEN(TRIM(E69))=0</formula>
    </cfRule>
  </conditionalFormatting>
  <conditionalFormatting sqref="E81:M90">
    <cfRule type="containsBlanks" dxfId="1" priority="13">
      <formula>LEN(TRIM(E81))=0</formula>
    </cfRule>
  </conditionalFormatting>
  <conditionalFormatting sqref="E93:M102">
    <cfRule type="containsBlanks" dxfId="1" priority="14">
      <formula>LEN(TRIM(E93))=0</formula>
    </cfRule>
  </conditionalFormatting>
  <conditionalFormatting sqref="E105:M114">
    <cfRule type="containsBlanks" dxfId="1" priority="15">
      <formula>LEN(TRIM(E105))=0</formula>
    </cfRule>
  </conditionalFormatting>
  <conditionalFormatting sqref="E117:M126">
    <cfRule type="containsBlanks" dxfId="1" priority="16">
      <formula>LEN(TRIM(E117))=0</formula>
    </cfRule>
  </conditionalFormatting>
  <conditionalFormatting sqref="E129:M138">
    <cfRule type="containsBlanks" dxfId="1" priority="17">
      <formula>LEN(TRIM(E129))=0</formula>
    </cfRule>
  </conditionalFormatting>
  <conditionalFormatting sqref="E141:M150">
    <cfRule type="containsBlanks" dxfId="1" priority="18">
      <formula>LEN(TRIM(E141))=0</formula>
    </cfRule>
  </conditionalFormatting>
  <conditionalFormatting sqref="E153:M162">
    <cfRule type="containsBlanks" dxfId="1" priority="19">
      <formula>LEN(TRIM(E153))=0</formula>
    </cfRule>
  </conditionalFormatting>
  <conditionalFormatting sqref="E165:M174">
    <cfRule type="containsBlanks" dxfId="1" priority="20">
      <formula>LEN(TRIM(E165))=0</formula>
    </cfRule>
  </conditionalFormatting>
  <conditionalFormatting sqref="E177:M186">
    <cfRule type="containsBlanks" dxfId="1" priority="21">
      <formula>LEN(TRIM(E177))=0</formula>
    </cfRule>
  </conditionalFormatting>
  <conditionalFormatting sqref="E189:M198">
    <cfRule type="containsBlanks" dxfId="1" priority="22">
      <formula>LEN(TRIM(E189))=0</formula>
    </cfRule>
  </conditionalFormatting>
  <conditionalFormatting sqref="E201:M210">
    <cfRule type="containsBlanks" dxfId="1" priority="23">
      <formula>LEN(TRIM(E201))=0</formula>
    </cfRule>
  </conditionalFormatting>
  <conditionalFormatting sqref="E213:M222">
    <cfRule type="containsBlanks" dxfId="1" priority="24">
      <formula>LEN(TRIM(E213))=0</formula>
    </cfRule>
  </conditionalFormatting>
  <conditionalFormatting sqref="E225:M234">
    <cfRule type="containsBlanks" dxfId="1" priority="25">
      <formula>LEN(TRIM(E225))=0</formula>
    </cfRule>
  </conditionalFormatting>
  <conditionalFormatting sqref="E237:M246">
    <cfRule type="containsBlanks" dxfId="1" priority="26">
      <formula>LEN(TRIM(E237))=0</formula>
    </cfRule>
  </conditionalFormatting>
  <conditionalFormatting sqref="E249:M258">
    <cfRule type="containsBlanks" dxfId="1" priority="27">
      <formula>LEN(TRIM(E249))=0</formula>
    </cfRule>
  </conditionalFormatting>
  <conditionalFormatting sqref="E262:M263">
    <cfRule type="containsBlanks" dxfId="1" priority="28">
      <formula>LEN(TRIM(E262))=0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17" width="8.71"/>
    <col customWidth="1" min="18" max="18" width="13.29"/>
    <col customWidth="1" min="19" max="26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198</v>
      </c>
      <c r="D9" s="8" t="s">
        <v>243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75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200</v>
      </c>
      <c r="F13" s="13" t="s">
        <v>201</v>
      </c>
      <c r="G13" s="13" t="s">
        <v>202</v>
      </c>
      <c r="H13" s="13" t="s">
        <v>203</v>
      </c>
      <c r="I13" s="13" t="s">
        <v>204</v>
      </c>
      <c r="J13" s="13" t="s">
        <v>205</v>
      </c>
      <c r="K13" s="13" t="s">
        <v>206</v>
      </c>
      <c r="L13" s="13" t="s">
        <v>207</v>
      </c>
      <c r="M13" s="13" t="s">
        <v>208</v>
      </c>
      <c r="N13" s="13" t="s">
        <v>209</v>
      </c>
      <c r="O13" s="13" t="s">
        <v>210</v>
      </c>
      <c r="P13" s="13" t="s">
        <v>211</v>
      </c>
      <c r="Q13" s="13" t="s">
        <v>212</v>
      </c>
      <c r="R13" s="36"/>
    </row>
    <row r="14" ht="12.75" customHeight="1">
      <c r="A14" s="18"/>
      <c r="B14" s="22" t="s">
        <v>11</v>
      </c>
      <c r="C14" s="23"/>
      <c r="D14" s="19" t="s">
        <v>12</v>
      </c>
      <c r="E14" s="19">
        <v>126.0</v>
      </c>
      <c r="F14" s="19">
        <v>132.0</v>
      </c>
      <c r="G14" s="19">
        <v>125.0</v>
      </c>
      <c r="H14" s="19">
        <v>131.0</v>
      </c>
      <c r="I14" s="19">
        <v>111.0</v>
      </c>
      <c r="J14" s="19">
        <v>132.0</v>
      </c>
      <c r="K14" s="19">
        <v>130.0</v>
      </c>
      <c r="L14" s="19">
        <v>143.0</v>
      </c>
      <c r="M14" s="19">
        <v>130.0</v>
      </c>
      <c r="N14" s="19">
        <v>128.0</v>
      </c>
      <c r="O14" s="19">
        <v>144.0</v>
      </c>
      <c r="P14" s="19">
        <v>134.0</v>
      </c>
      <c r="Q14" s="19">
        <v>135.0</v>
      </c>
      <c r="R14" s="13">
        <f t="shared" ref="R14:R16" si="1">SUM(E14:Q14)</f>
        <v>1701</v>
      </c>
    </row>
    <row r="15" ht="12.75" customHeight="1">
      <c r="A15" s="18"/>
      <c r="B15" s="26"/>
      <c r="C15" s="27"/>
      <c r="D15" s="19" t="s">
        <v>13</v>
      </c>
      <c r="E15" s="19">
        <v>135.0</v>
      </c>
      <c r="F15" s="19">
        <v>127.0</v>
      </c>
      <c r="G15" s="19">
        <v>129.0</v>
      </c>
      <c r="H15" s="19">
        <v>130.0</v>
      </c>
      <c r="I15" s="19">
        <v>110.0</v>
      </c>
      <c r="J15" s="19">
        <v>124.0</v>
      </c>
      <c r="K15" s="19">
        <v>130.0</v>
      </c>
      <c r="L15" s="19">
        <v>117.0</v>
      </c>
      <c r="M15" s="19">
        <v>142.0</v>
      </c>
      <c r="N15" s="19">
        <v>134.0</v>
      </c>
      <c r="O15" s="19">
        <v>123.0</v>
      </c>
      <c r="P15" s="19">
        <v>126.0</v>
      </c>
      <c r="Q15" s="19">
        <v>125.0</v>
      </c>
      <c r="R15" s="13">
        <f t="shared" si="1"/>
        <v>1652</v>
      </c>
    </row>
    <row r="16" ht="12.75" customHeight="1">
      <c r="A16" s="25"/>
      <c r="B16" s="21"/>
      <c r="C16" s="28"/>
      <c r="D16" s="13" t="s">
        <v>14</v>
      </c>
      <c r="E16" s="13">
        <f t="shared" ref="E16:Q16" si="2">SUM(E14:E15)</f>
        <v>261</v>
      </c>
      <c r="F16" s="13">
        <f t="shared" si="2"/>
        <v>259</v>
      </c>
      <c r="G16" s="13">
        <f t="shared" si="2"/>
        <v>254</v>
      </c>
      <c r="H16" s="13">
        <f t="shared" si="2"/>
        <v>261</v>
      </c>
      <c r="I16" s="13">
        <f t="shared" si="2"/>
        <v>221</v>
      </c>
      <c r="J16" s="13">
        <f t="shared" si="2"/>
        <v>256</v>
      </c>
      <c r="K16" s="13">
        <f t="shared" si="2"/>
        <v>260</v>
      </c>
      <c r="L16" s="13">
        <f t="shared" si="2"/>
        <v>260</v>
      </c>
      <c r="M16" s="13">
        <f t="shared" si="2"/>
        <v>272</v>
      </c>
      <c r="N16" s="13">
        <f t="shared" si="2"/>
        <v>262</v>
      </c>
      <c r="O16" s="13">
        <f t="shared" si="2"/>
        <v>267</v>
      </c>
      <c r="P16" s="13">
        <f t="shared" si="2"/>
        <v>260</v>
      </c>
      <c r="Q16" s="13">
        <f t="shared" si="2"/>
        <v>260</v>
      </c>
      <c r="R16" s="13">
        <f t="shared" si="1"/>
        <v>3353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76"/>
      <c r="O17" s="76"/>
      <c r="P17" s="76"/>
      <c r="Q17" s="76"/>
      <c r="R17" s="77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76"/>
      <c r="O18" s="76"/>
      <c r="P18" s="76"/>
      <c r="Q18" s="76"/>
      <c r="R18" s="77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19">
        <v>102.0</v>
      </c>
      <c r="F19" s="19">
        <v>98.0</v>
      </c>
      <c r="G19" s="19">
        <v>88.0</v>
      </c>
      <c r="H19" s="19">
        <v>90.0</v>
      </c>
      <c r="I19" s="19">
        <v>73.0</v>
      </c>
      <c r="J19" s="19">
        <v>81.0</v>
      </c>
      <c r="K19" s="19">
        <v>90.0</v>
      </c>
      <c r="L19" s="19">
        <v>95.0</v>
      </c>
      <c r="M19" s="19">
        <v>92.0</v>
      </c>
      <c r="N19" s="19">
        <v>88.0</v>
      </c>
      <c r="O19" s="19">
        <v>100.0</v>
      </c>
      <c r="P19" s="19">
        <v>88.0</v>
      </c>
      <c r="Q19" s="19">
        <v>89.0</v>
      </c>
      <c r="R19" s="13">
        <f t="shared" ref="R19:R30" si="3">SUM(E19:Q19)</f>
        <v>1174</v>
      </c>
    </row>
    <row r="20" ht="12.75" customHeight="1">
      <c r="A20" s="33"/>
      <c r="B20" s="27"/>
      <c r="C20" s="34"/>
      <c r="D20" s="19" t="s">
        <v>13</v>
      </c>
      <c r="E20" s="19">
        <v>115.0</v>
      </c>
      <c r="F20" s="19">
        <v>98.0</v>
      </c>
      <c r="G20" s="19">
        <v>107.0</v>
      </c>
      <c r="H20" s="19">
        <v>107.0</v>
      </c>
      <c r="I20" s="19">
        <v>90.0</v>
      </c>
      <c r="J20" s="19">
        <v>104.0</v>
      </c>
      <c r="K20" s="19">
        <v>110.0</v>
      </c>
      <c r="L20" s="19">
        <v>100.0</v>
      </c>
      <c r="M20" s="19">
        <v>106.0</v>
      </c>
      <c r="N20" s="19">
        <v>108.0</v>
      </c>
      <c r="O20" s="19">
        <v>99.0</v>
      </c>
      <c r="P20" s="19">
        <v>93.0</v>
      </c>
      <c r="Q20" s="19">
        <v>92.0</v>
      </c>
      <c r="R20" s="13">
        <f t="shared" si="3"/>
        <v>1329</v>
      </c>
    </row>
    <row r="21" ht="12.75" customHeight="1">
      <c r="A21" s="35"/>
      <c r="B21" s="28"/>
      <c r="C21" s="36"/>
      <c r="D21" s="13" t="s">
        <v>14</v>
      </c>
      <c r="E21" s="13">
        <f t="shared" ref="E21:Q21" si="4">SUM(E19:E20)</f>
        <v>217</v>
      </c>
      <c r="F21" s="13">
        <f t="shared" si="4"/>
        <v>196</v>
      </c>
      <c r="G21" s="13">
        <f t="shared" si="4"/>
        <v>195</v>
      </c>
      <c r="H21" s="13">
        <f t="shared" si="4"/>
        <v>197</v>
      </c>
      <c r="I21" s="13">
        <f t="shared" si="4"/>
        <v>163</v>
      </c>
      <c r="J21" s="13">
        <f t="shared" si="4"/>
        <v>185</v>
      </c>
      <c r="K21" s="13">
        <f t="shared" si="4"/>
        <v>200</v>
      </c>
      <c r="L21" s="13">
        <f t="shared" si="4"/>
        <v>195</v>
      </c>
      <c r="M21" s="13">
        <f t="shared" si="4"/>
        <v>198</v>
      </c>
      <c r="N21" s="13">
        <f t="shared" si="4"/>
        <v>196</v>
      </c>
      <c r="O21" s="13">
        <f t="shared" si="4"/>
        <v>199</v>
      </c>
      <c r="P21" s="13">
        <f t="shared" si="4"/>
        <v>181</v>
      </c>
      <c r="Q21" s="13">
        <f t="shared" si="4"/>
        <v>181</v>
      </c>
      <c r="R21" s="13">
        <f t="shared" si="3"/>
        <v>2503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19">
        <v>1.0</v>
      </c>
      <c r="F22" s="19"/>
      <c r="G22" s="19"/>
      <c r="H22" s="19"/>
      <c r="I22" s="19"/>
      <c r="J22" s="19">
        <v>1.0</v>
      </c>
      <c r="K22" s="19">
        <v>1.0</v>
      </c>
      <c r="L22" s="19"/>
      <c r="M22" s="19"/>
      <c r="N22" s="19"/>
      <c r="O22" s="19"/>
      <c r="P22" s="19"/>
      <c r="Q22" s="19"/>
      <c r="R22" s="13">
        <f t="shared" si="3"/>
        <v>3</v>
      </c>
    </row>
    <row r="23" ht="12.75" customHeight="1">
      <c r="A23" s="33"/>
      <c r="B23" s="27"/>
      <c r="C23" s="34"/>
      <c r="D23" s="19" t="s">
        <v>13</v>
      </c>
      <c r="E23" s="19"/>
      <c r="F23" s="19"/>
      <c r="G23" s="19"/>
      <c r="H23" s="19"/>
      <c r="I23" s="19">
        <v>1.0</v>
      </c>
      <c r="J23" s="19">
        <v>1.0</v>
      </c>
      <c r="K23" s="19"/>
      <c r="L23" s="19"/>
      <c r="M23" s="19"/>
      <c r="N23" s="19"/>
      <c r="O23" s="19"/>
      <c r="P23" s="19"/>
      <c r="Q23" s="19"/>
      <c r="R23" s="13">
        <f t="shared" si="3"/>
        <v>2</v>
      </c>
    </row>
    <row r="24" ht="12.75" customHeight="1">
      <c r="A24" s="35"/>
      <c r="B24" s="28"/>
      <c r="C24" s="36"/>
      <c r="D24" s="13" t="s">
        <v>14</v>
      </c>
      <c r="E24" s="13">
        <f t="shared" ref="E24:Q24" si="5">SUM(E22:E23)</f>
        <v>1</v>
      </c>
      <c r="F24" s="13">
        <f t="shared" si="5"/>
        <v>0</v>
      </c>
      <c r="G24" s="13">
        <f t="shared" si="5"/>
        <v>0</v>
      </c>
      <c r="H24" s="13">
        <f t="shared" si="5"/>
        <v>0</v>
      </c>
      <c r="I24" s="13">
        <f t="shared" si="5"/>
        <v>1</v>
      </c>
      <c r="J24" s="13">
        <f t="shared" si="5"/>
        <v>2</v>
      </c>
      <c r="K24" s="13">
        <f t="shared" si="5"/>
        <v>1</v>
      </c>
      <c r="L24" s="13">
        <f t="shared" si="5"/>
        <v>0</v>
      </c>
      <c r="M24" s="13">
        <f t="shared" si="5"/>
        <v>0</v>
      </c>
      <c r="N24" s="13">
        <f t="shared" si="5"/>
        <v>0</v>
      </c>
      <c r="O24" s="13">
        <f t="shared" si="5"/>
        <v>0</v>
      </c>
      <c r="P24" s="13">
        <f t="shared" si="5"/>
        <v>0</v>
      </c>
      <c r="Q24" s="13">
        <f t="shared" si="5"/>
        <v>0</v>
      </c>
      <c r="R24" s="13">
        <f t="shared" si="3"/>
        <v>5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19"/>
      <c r="F25" s="19">
        <v>1.0</v>
      </c>
      <c r="G25" s="19"/>
      <c r="H25" s="19"/>
      <c r="I25" s="19">
        <v>1.0</v>
      </c>
      <c r="J25" s="19"/>
      <c r="K25" s="19">
        <v>1.0</v>
      </c>
      <c r="L25" s="19"/>
      <c r="M25" s="19"/>
      <c r="N25" s="19">
        <v>1.0</v>
      </c>
      <c r="O25" s="19">
        <v>1.0</v>
      </c>
      <c r="P25" s="19"/>
      <c r="Q25" s="19"/>
      <c r="R25" s="13">
        <f t="shared" si="3"/>
        <v>5</v>
      </c>
    </row>
    <row r="26" ht="12.75" customHeight="1">
      <c r="A26" s="33"/>
      <c r="B26" s="27"/>
      <c r="C26" s="34"/>
      <c r="D26" s="19" t="s">
        <v>13</v>
      </c>
      <c r="E26" s="19">
        <v>3.0</v>
      </c>
      <c r="F26" s="19"/>
      <c r="G26" s="19"/>
      <c r="H26" s="19"/>
      <c r="I26" s="19">
        <v>2.0</v>
      </c>
      <c r="J26" s="19"/>
      <c r="K26" s="19">
        <v>1.0</v>
      </c>
      <c r="L26" s="19"/>
      <c r="M26" s="19"/>
      <c r="N26" s="19">
        <v>1.0</v>
      </c>
      <c r="O26" s="19">
        <v>3.0</v>
      </c>
      <c r="P26" s="19"/>
      <c r="Q26" s="19"/>
      <c r="R26" s="13">
        <f t="shared" si="3"/>
        <v>10</v>
      </c>
    </row>
    <row r="27" ht="12.75" customHeight="1">
      <c r="A27" s="35"/>
      <c r="B27" s="28"/>
      <c r="C27" s="36"/>
      <c r="D27" s="13" t="s">
        <v>14</v>
      </c>
      <c r="E27" s="13">
        <f t="shared" ref="E27:Q27" si="6">SUM(E25:E26)</f>
        <v>3</v>
      </c>
      <c r="F27" s="13">
        <f t="shared" si="6"/>
        <v>1</v>
      </c>
      <c r="G27" s="13">
        <f t="shared" si="6"/>
        <v>0</v>
      </c>
      <c r="H27" s="13">
        <f t="shared" si="6"/>
        <v>0</v>
      </c>
      <c r="I27" s="13">
        <f t="shared" si="6"/>
        <v>3</v>
      </c>
      <c r="J27" s="13">
        <f t="shared" si="6"/>
        <v>0</v>
      </c>
      <c r="K27" s="13">
        <f t="shared" si="6"/>
        <v>2</v>
      </c>
      <c r="L27" s="13">
        <f t="shared" si="6"/>
        <v>0</v>
      </c>
      <c r="M27" s="13">
        <f t="shared" si="6"/>
        <v>0</v>
      </c>
      <c r="N27" s="13">
        <f t="shared" si="6"/>
        <v>2</v>
      </c>
      <c r="O27" s="13">
        <f t="shared" si="6"/>
        <v>4</v>
      </c>
      <c r="P27" s="13">
        <f t="shared" si="6"/>
        <v>0</v>
      </c>
      <c r="Q27" s="13">
        <f t="shared" si="6"/>
        <v>0</v>
      </c>
      <c r="R27" s="13">
        <f t="shared" si="3"/>
        <v>15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Q28" si="7">SUM(E19,E22,E25)</f>
        <v>103</v>
      </c>
      <c r="F28" s="13">
        <f t="shared" si="7"/>
        <v>99</v>
      </c>
      <c r="G28" s="13">
        <f t="shared" si="7"/>
        <v>88</v>
      </c>
      <c r="H28" s="13">
        <f t="shared" si="7"/>
        <v>90</v>
      </c>
      <c r="I28" s="13">
        <f t="shared" si="7"/>
        <v>74</v>
      </c>
      <c r="J28" s="13">
        <f t="shared" si="7"/>
        <v>82</v>
      </c>
      <c r="K28" s="13">
        <f t="shared" si="7"/>
        <v>92</v>
      </c>
      <c r="L28" s="13">
        <f t="shared" si="7"/>
        <v>95</v>
      </c>
      <c r="M28" s="13">
        <f t="shared" si="7"/>
        <v>92</v>
      </c>
      <c r="N28" s="13">
        <f t="shared" si="7"/>
        <v>89</v>
      </c>
      <c r="O28" s="13">
        <f t="shared" si="7"/>
        <v>101</v>
      </c>
      <c r="P28" s="13">
        <f t="shared" si="7"/>
        <v>88</v>
      </c>
      <c r="Q28" s="13">
        <f t="shared" si="7"/>
        <v>89</v>
      </c>
      <c r="R28" s="13">
        <f t="shared" si="3"/>
        <v>1182</v>
      </c>
    </row>
    <row r="29" ht="12.75" customHeight="1">
      <c r="A29" s="35"/>
      <c r="B29" s="27"/>
      <c r="C29" s="34"/>
      <c r="D29" s="13" t="s">
        <v>13</v>
      </c>
      <c r="E29" s="13">
        <f t="shared" ref="E29:Q29" si="8">SUM(E20,E23,E26)</f>
        <v>118</v>
      </c>
      <c r="F29" s="13">
        <f t="shared" si="8"/>
        <v>98</v>
      </c>
      <c r="G29" s="13">
        <f t="shared" si="8"/>
        <v>107</v>
      </c>
      <c r="H29" s="13">
        <f t="shared" si="8"/>
        <v>107</v>
      </c>
      <c r="I29" s="13">
        <f t="shared" si="8"/>
        <v>93</v>
      </c>
      <c r="J29" s="13">
        <f t="shared" si="8"/>
        <v>105</v>
      </c>
      <c r="K29" s="13">
        <f t="shared" si="8"/>
        <v>111</v>
      </c>
      <c r="L29" s="13">
        <f t="shared" si="8"/>
        <v>100</v>
      </c>
      <c r="M29" s="13">
        <f t="shared" si="8"/>
        <v>106</v>
      </c>
      <c r="N29" s="13">
        <f t="shared" si="8"/>
        <v>109</v>
      </c>
      <c r="O29" s="13">
        <f t="shared" si="8"/>
        <v>102</v>
      </c>
      <c r="P29" s="13">
        <f t="shared" si="8"/>
        <v>93</v>
      </c>
      <c r="Q29" s="13">
        <f t="shared" si="8"/>
        <v>92</v>
      </c>
      <c r="R29" s="13">
        <f t="shared" si="3"/>
        <v>1341</v>
      </c>
    </row>
    <row r="30" ht="12.75" customHeight="1">
      <c r="A30" s="35"/>
      <c r="B30" s="28"/>
      <c r="C30" s="36"/>
      <c r="D30" s="13" t="s">
        <v>14</v>
      </c>
      <c r="E30" s="13">
        <f t="shared" ref="E30:Q30" si="9">SUM(E28:E29)</f>
        <v>221</v>
      </c>
      <c r="F30" s="13">
        <f t="shared" si="9"/>
        <v>197</v>
      </c>
      <c r="G30" s="13">
        <f t="shared" si="9"/>
        <v>195</v>
      </c>
      <c r="H30" s="13">
        <f t="shared" si="9"/>
        <v>197</v>
      </c>
      <c r="I30" s="13">
        <f t="shared" si="9"/>
        <v>167</v>
      </c>
      <c r="J30" s="13">
        <f t="shared" si="9"/>
        <v>187</v>
      </c>
      <c r="K30" s="13">
        <f t="shared" si="9"/>
        <v>203</v>
      </c>
      <c r="L30" s="13">
        <f t="shared" si="9"/>
        <v>195</v>
      </c>
      <c r="M30" s="13">
        <f t="shared" si="9"/>
        <v>198</v>
      </c>
      <c r="N30" s="13">
        <f t="shared" si="9"/>
        <v>198</v>
      </c>
      <c r="O30" s="13">
        <f t="shared" si="9"/>
        <v>203</v>
      </c>
      <c r="P30" s="13">
        <f t="shared" si="9"/>
        <v>181</v>
      </c>
      <c r="Q30" s="13">
        <f t="shared" si="9"/>
        <v>181</v>
      </c>
      <c r="R30" s="13">
        <f t="shared" si="3"/>
        <v>2523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76"/>
      <c r="O31" s="76"/>
      <c r="P31" s="76"/>
      <c r="Q31" s="76"/>
      <c r="R31" s="77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78"/>
      <c r="O32" s="78"/>
      <c r="P32" s="78"/>
      <c r="Q32" s="78"/>
      <c r="R32" s="77"/>
    </row>
    <row r="33" ht="12.75" customHeight="1">
      <c r="A33" s="19">
        <v>1.0</v>
      </c>
      <c r="B33" s="20" t="s">
        <v>27</v>
      </c>
      <c r="C33" s="15"/>
      <c r="D33" s="16"/>
      <c r="E33" s="19">
        <v>267.0</v>
      </c>
      <c r="F33" s="19">
        <v>265.0</v>
      </c>
      <c r="G33" s="19">
        <v>260.0</v>
      </c>
      <c r="H33" s="19">
        <v>267.0</v>
      </c>
      <c r="I33" s="19">
        <v>226.0</v>
      </c>
      <c r="J33" s="19">
        <v>262.0</v>
      </c>
      <c r="K33" s="19">
        <v>266.0</v>
      </c>
      <c r="L33" s="19">
        <v>266.0</v>
      </c>
      <c r="M33" s="19">
        <v>278.0</v>
      </c>
      <c r="N33" s="19">
        <v>268.0</v>
      </c>
      <c r="O33" s="19">
        <v>273.0</v>
      </c>
      <c r="P33" s="19">
        <v>266.0</v>
      </c>
      <c r="Q33" s="19">
        <v>267.0</v>
      </c>
      <c r="R33" s="13">
        <f t="shared" ref="R33:R36" si="10">SUM(E33:Q33)</f>
        <v>3431</v>
      </c>
    </row>
    <row r="34" ht="12.75" customHeight="1">
      <c r="A34" s="19">
        <v>2.0</v>
      </c>
      <c r="B34" s="20" t="s">
        <v>28</v>
      </c>
      <c r="C34" s="15"/>
      <c r="D34" s="16"/>
      <c r="E34" s="13">
        <v>221.0</v>
      </c>
      <c r="F34" s="13">
        <v>197.0</v>
      </c>
      <c r="G34" s="13">
        <v>195.0</v>
      </c>
      <c r="H34" s="13">
        <v>197.0</v>
      </c>
      <c r="I34" s="13">
        <v>167.0</v>
      </c>
      <c r="J34" s="13">
        <v>187.0</v>
      </c>
      <c r="K34" s="13">
        <v>203.0</v>
      </c>
      <c r="L34" s="13">
        <v>195.0</v>
      </c>
      <c r="M34" s="13">
        <v>198.0</v>
      </c>
      <c r="N34" s="13">
        <v>198.0</v>
      </c>
      <c r="O34" s="13">
        <v>203.0</v>
      </c>
      <c r="P34" s="13">
        <v>181.0</v>
      </c>
      <c r="Q34" s="13">
        <v>181.0</v>
      </c>
      <c r="R34" s="13">
        <f t="shared" si="10"/>
        <v>2523</v>
      </c>
    </row>
    <row r="35" ht="12.75" customHeight="1">
      <c r="A35" s="19">
        <v>3.0</v>
      </c>
      <c r="B35" s="20" t="s">
        <v>29</v>
      </c>
      <c r="C35" s="15"/>
      <c r="D35" s="16"/>
      <c r="E35" s="19">
        <v>1.0</v>
      </c>
      <c r="F35" s="19">
        <v>1.0</v>
      </c>
      <c r="G35" s="19">
        <v>0.0</v>
      </c>
      <c r="H35" s="19">
        <v>0.0</v>
      </c>
      <c r="I35" s="19">
        <v>0.0</v>
      </c>
      <c r="J35" s="19">
        <v>0.0</v>
      </c>
      <c r="K35" s="19">
        <v>0.0</v>
      </c>
      <c r="L35" s="19">
        <v>0.0</v>
      </c>
      <c r="M35" s="19">
        <v>3.0</v>
      </c>
      <c r="N35" s="19">
        <v>0.0</v>
      </c>
      <c r="O35" s="19">
        <v>15.0</v>
      </c>
      <c r="P35" s="19">
        <v>0.0</v>
      </c>
      <c r="Q35" s="19">
        <v>0.0</v>
      </c>
      <c r="R35" s="13">
        <f t="shared" si="10"/>
        <v>20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Q36" si="11">E33-(E34+E35)</f>
        <v>45</v>
      </c>
      <c r="F36" s="13">
        <f t="shared" si="11"/>
        <v>67</v>
      </c>
      <c r="G36" s="13">
        <f t="shared" si="11"/>
        <v>65</v>
      </c>
      <c r="H36" s="13">
        <f t="shared" si="11"/>
        <v>70</v>
      </c>
      <c r="I36" s="13">
        <f t="shared" si="11"/>
        <v>59</v>
      </c>
      <c r="J36" s="13">
        <f t="shared" si="11"/>
        <v>75</v>
      </c>
      <c r="K36" s="13">
        <f t="shared" si="11"/>
        <v>63</v>
      </c>
      <c r="L36" s="13">
        <f t="shared" si="11"/>
        <v>71</v>
      </c>
      <c r="M36" s="13">
        <f t="shared" si="11"/>
        <v>77</v>
      </c>
      <c r="N36" s="13">
        <f t="shared" si="11"/>
        <v>70</v>
      </c>
      <c r="O36" s="13">
        <f t="shared" si="11"/>
        <v>55</v>
      </c>
      <c r="P36" s="13">
        <f t="shared" si="11"/>
        <v>85</v>
      </c>
      <c r="Q36" s="13">
        <f t="shared" si="11"/>
        <v>86</v>
      </c>
      <c r="R36" s="13">
        <f t="shared" si="10"/>
        <v>888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19"/>
      <c r="N37" s="76"/>
      <c r="O37" s="79"/>
      <c r="P37" s="79"/>
      <c r="Q37" s="79"/>
      <c r="R37" s="77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78"/>
      <c r="O38" s="78"/>
      <c r="P38" s="78"/>
      <c r="Q38" s="78"/>
      <c r="R38" s="77"/>
    </row>
    <row r="39" ht="12.75" customHeight="1">
      <c r="A39" s="30"/>
      <c r="B39" s="43" t="s">
        <v>33</v>
      </c>
      <c r="C39" s="23"/>
      <c r="D39" s="19" t="s">
        <v>12</v>
      </c>
      <c r="E39" s="19">
        <v>1.0</v>
      </c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3">
        <f t="shared" ref="R39:R41" si="12">SUM(E39:Q39)</f>
        <v>1</v>
      </c>
    </row>
    <row r="40" ht="12.75" customHeight="1">
      <c r="A40" s="33"/>
      <c r="C40" s="27"/>
      <c r="D40" s="19" t="s">
        <v>13</v>
      </c>
      <c r="E40" s="19">
        <v>2.0</v>
      </c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3">
        <f t="shared" si="12"/>
        <v>2</v>
      </c>
    </row>
    <row r="41" ht="12.75" customHeight="1">
      <c r="A41" s="41"/>
      <c r="B41" s="44"/>
      <c r="C41" s="28"/>
      <c r="D41" s="13" t="s">
        <v>14</v>
      </c>
      <c r="E41" s="13">
        <f t="shared" ref="E41:Q41" si="13">SUM(E39:E40)</f>
        <v>3</v>
      </c>
      <c r="F41" s="13">
        <f t="shared" si="13"/>
        <v>0</v>
      </c>
      <c r="G41" s="13">
        <f t="shared" si="13"/>
        <v>0</v>
      </c>
      <c r="H41" s="13">
        <f t="shared" si="13"/>
        <v>0</v>
      </c>
      <c r="I41" s="13">
        <f t="shared" si="13"/>
        <v>0</v>
      </c>
      <c r="J41" s="13">
        <f t="shared" si="13"/>
        <v>0</v>
      </c>
      <c r="K41" s="13">
        <f t="shared" si="13"/>
        <v>0</v>
      </c>
      <c r="L41" s="13">
        <f t="shared" si="13"/>
        <v>0</v>
      </c>
      <c r="M41" s="13">
        <f t="shared" si="13"/>
        <v>0</v>
      </c>
      <c r="N41" s="13">
        <f t="shared" si="13"/>
        <v>0</v>
      </c>
      <c r="O41" s="13">
        <f t="shared" si="13"/>
        <v>0</v>
      </c>
      <c r="P41" s="13">
        <f t="shared" si="13"/>
        <v>0</v>
      </c>
      <c r="Q41" s="13">
        <f t="shared" si="13"/>
        <v>0</v>
      </c>
      <c r="R41" s="13">
        <f t="shared" si="12"/>
        <v>3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9"/>
      <c r="N42" s="76"/>
      <c r="O42" s="19"/>
      <c r="P42" s="76"/>
      <c r="Q42" s="19"/>
      <c r="R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78"/>
      <c r="O43" s="13"/>
      <c r="P43" s="78"/>
      <c r="Q43" s="13"/>
      <c r="R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76"/>
      <c r="O44" s="19"/>
      <c r="P44" s="76"/>
      <c r="Q44" s="19"/>
      <c r="R44" s="13"/>
    </row>
    <row r="45" ht="12.75" customHeight="1">
      <c r="A45" s="30" t="s">
        <v>37</v>
      </c>
      <c r="B45" s="47" t="s">
        <v>17</v>
      </c>
      <c r="C45" s="48" t="s">
        <v>38</v>
      </c>
      <c r="D45" s="16"/>
      <c r="E45" s="19">
        <v>7.0</v>
      </c>
      <c r="F45" s="19">
        <v>9.0</v>
      </c>
      <c r="G45" s="19">
        <v>7.0</v>
      </c>
      <c r="H45" s="19">
        <v>6.0</v>
      </c>
      <c r="I45" s="19">
        <v>4.0</v>
      </c>
      <c r="J45" s="19">
        <v>13.0</v>
      </c>
      <c r="K45" s="19">
        <v>15.0</v>
      </c>
      <c r="L45" s="19">
        <v>15.0</v>
      </c>
      <c r="M45" s="19">
        <v>18.0</v>
      </c>
      <c r="N45" s="19">
        <v>4.0</v>
      </c>
      <c r="O45" s="19">
        <v>9.0</v>
      </c>
      <c r="P45" s="19">
        <v>9.0</v>
      </c>
      <c r="Q45" s="19">
        <v>7.0</v>
      </c>
      <c r="R45" s="13">
        <f t="shared" ref="R45:R54" si="14">SUM(E45:Q45)</f>
        <v>123</v>
      </c>
    </row>
    <row r="46" ht="12.75" customHeight="1">
      <c r="A46" s="30" t="s">
        <v>39</v>
      </c>
      <c r="B46" s="49">
        <v>1.0</v>
      </c>
      <c r="C46" s="50" t="s">
        <v>40</v>
      </c>
      <c r="D46" s="16"/>
      <c r="E46" s="19">
        <v>18.0</v>
      </c>
      <c r="F46" s="19">
        <v>6.0</v>
      </c>
      <c r="G46" s="19">
        <v>11.0</v>
      </c>
      <c r="H46" s="19">
        <v>10.0</v>
      </c>
      <c r="I46" s="19">
        <v>11.0</v>
      </c>
      <c r="J46" s="19">
        <v>26.0</v>
      </c>
      <c r="K46" s="19">
        <v>26.0</v>
      </c>
      <c r="L46" s="19">
        <v>16.0</v>
      </c>
      <c r="M46" s="19">
        <v>35.0</v>
      </c>
      <c r="N46" s="19">
        <v>33.0</v>
      </c>
      <c r="O46" s="19">
        <v>14.0</v>
      </c>
      <c r="P46" s="19">
        <v>12.0</v>
      </c>
      <c r="Q46" s="19">
        <v>10.0</v>
      </c>
      <c r="R46" s="13">
        <f t="shared" si="14"/>
        <v>228</v>
      </c>
    </row>
    <row r="47" ht="12.75" customHeight="1">
      <c r="A47" s="18"/>
      <c r="B47" s="55">
        <v>2.0</v>
      </c>
      <c r="C47" s="50" t="s">
        <v>41</v>
      </c>
      <c r="D47" s="16"/>
      <c r="E47" s="19">
        <v>3.0</v>
      </c>
      <c r="F47" s="19">
        <v>11.0</v>
      </c>
      <c r="G47" s="19">
        <v>3.0</v>
      </c>
      <c r="H47" s="19">
        <v>4.0</v>
      </c>
      <c r="I47" s="19">
        <v>0.0</v>
      </c>
      <c r="J47" s="19">
        <v>2.0</v>
      </c>
      <c r="K47" s="19">
        <v>1.0</v>
      </c>
      <c r="L47" s="19">
        <v>9.0</v>
      </c>
      <c r="M47" s="19">
        <v>3.0</v>
      </c>
      <c r="N47" s="19">
        <v>8.0</v>
      </c>
      <c r="O47" s="19">
        <v>1.0</v>
      </c>
      <c r="P47" s="19">
        <v>2.0</v>
      </c>
      <c r="Q47" s="19">
        <v>1.0</v>
      </c>
      <c r="R47" s="13">
        <f t="shared" si="14"/>
        <v>48</v>
      </c>
    </row>
    <row r="48" ht="12.75" customHeight="1">
      <c r="A48" s="18"/>
      <c r="B48" s="55">
        <v>3.0</v>
      </c>
      <c r="C48" s="50" t="s">
        <v>42</v>
      </c>
      <c r="D48" s="16"/>
      <c r="E48" s="19">
        <v>0.0</v>
      </c>
      <c r="F48" s="19">
        <v>0.0</v>
      </c>
      <c r="G48" s="19">
        <v>0.0</v>
      </c>
      <c r="H48" s="19">
        <v>0.0</v>
      </c>
      <c r="I48" s="19">
        <v>0.0</v>
      </c>
      <c r="J48" s="19">
        <v>3.0</v>
      </c>
      <c r="K48" s="19">
        <v>0.0</v>
      </c>
      <c r="L48" s="19">
        <v>0.0</v>
      </c>
      <c r="M48" s="19">
        <v>0.0</v>
      </c>
      <c r="N48" s="19">
        <v>1.0</v>
      </c>
      <c r="O48" s="19">
        <v>0.0</v>
      </c>
      <c r="P48" s="19">
        <v>0.0</v>
      </c>
      <c r="Q48" s="19">
        <v>2.0</v>
      </c>
      <c r="R48" s="13">
        <f t="shared" si="14"/>
        <v>6</v>
      </c>
    </row>
    <row r="49" ht="12.75" customHeight="1">
      <c r="A49" s="18"/>
      <c r="B49" s="55">
        <v>4.0</v>
      </c>
      <c r="C49" s="50" t="s">
        <v>43</v>
      </c>
      <c r="D49" s="16"/>
      <c r="E49" s="19">
        <v>2.0</v>
      </c>
      <c r="F49" s="19">
        <v>1.0</v>
      </c>
      <c r="G49" s="19">
        <v>0.0</v>
      </c>
      <c r="H49" s="19">
        <v>1.0</v>
      </c>
      <c r="I49" s="19">
        <v>2.0</v>
      </c>
      <c r="J49" s="19">
        <v>2.0</v>
      </c>
      <c r="K49" s="19">
        <v>5.0</v>
      </c>
      <c r="L49" s="19">
        <v>2.0</v>
      </c>
      <c r="M49" s="19">
        <v>4.0</v>
      </c>
      <c r="N49" s="19">
        <v>3.0</v>
      </c>
      <c r="O49" s="19">
        <v>3.0</v>
      </c>
      <c r="P49" s="19">
        <v>0.0</v>
      </c>
      <c r="Q49" s="19">
        <v>2.0</v>
      </c>
      <c r="R49" s="13">
        <f t="shared" si="14"/>
        <v>27</v>
      </c>
    </row>
    <row r="50" ht="12.75" customHeight="1">
      <c r="A50" s="18"/>
      <c r="B50" s="55">
        <v>5.0</v>
      </c>
      <c r="C50" s="50" t="s">
        <v>44</v>
      </c>
      <c r="D50" s="16"/>
      <c r="E50" s="19">
        <v>0.0</v>
      </c>
      <c r="F50" s="19">
        <v>0.0</v>
      </c>
      <c r="G50" s="19">
        <v>0.0</v>
      </c>
      <c r="H50" s="19">
        <v>1.0</v>
      </c>
      <c r="I50" s="19">
        <v>0.0</v>
      </c>
      <c r="J50" s="19">
        <v>0.0</v>
      </c>
      <c r="K50" s="19">
        <v>0.0</v>
      </c>
      <c r="L50" s="19">
        <v>1.0</v>
      </c>
      <c r="M50" s="19">
        <v>0.0</v>
      </c>
      <c r="N50" s="19">
        <v>0.0</v>
      </c>
      <c r="O50" s="19">
        <v>0.0</v>
      </c>
      <c r="P50" s="19">
        <v>0.0</v>
      </c>
      <c r="Q50" s="19">
        <v>0.0</v>
      </c>
      <c r="R50" s="13">
        <f t="shared" si="14"/>
        <v>2</v>
      </c>
    </row>
    <row r="51" ht="12.75" customHeight="1">
      <c r="A51" s="18"/>
      <c r="B51" s="55">
        <v>6.0</v>
      </c>
      <c r="C51" s="50" t="s">
        <v>45</v>
      </c>
      <c r="D51" s="16"/>
      <c r="E51" s="19">
        <v>0.0</v>
      </c>
      <c r="F51" s="19">
        <v>0.0</v>
      </c>
      <c r="G51" s="19">
        <v>0.0</v>
      </c>
      <c r="H51" s="19">
        <v>0.0</v>
      </c>
      <c r="I51" s="19">
        <v>0.0</v>
      </c>
      <c r="J51" s="19">
        <v>1.0</v>
      </c>
      <c r="K51" s="19">
        <v>0.0</v>
      </c>
      <c r="L51" s="19">
        <v>1.0</v>
      </c>
      <c r="M51" s="19">
        <v>0.0</v>
      </c>
      <c r="N51" s="19">
        <v>0.0</v>
      </c>
      <c r="O51" s="19">
        <v>0.0</v>
      </c>
      <c r="P51" s="19">
        <v>0.0</v>
      </c>
      <c r="Q51" s="19">
        <v>1.0</v>
      </c>
      <c r="R51" s="13">
        <f t="shared" si="14"/>
        <v>3</v>
      </c>
    </row>
    <row r="52" ht="12.75" customHeight="1">
      <c r="A52" s="18"/>
      <c r="B52" s="55">
        <v>7.0</v>
      </c>
      <c r="C52" s="50" t="s">
        <v>46</v>
      </c>
      <c r="D52" s="16"/>
      <c r="E52" s="19">
        <v>0.0</v>
      </c>
      <c r="F52" s="19">
        <v>0.0</v>
      </c>
      <c r="G52" s="19">
        <v>0.0</v>
      </c>
      <c r="H52" s="19">
        <v>0.0</v>
      </c>
      <c r="I52" s="19">
        <v>0.0</v>
      </c>
      <c r="J52" s="19">
        <v>0.0</v>
      </c>
      <c r="K52" s="19">
        <v>0.0</v>
      </c>
      <c r="L52" s="19">
        <v>0.0</v>
      </c>
      <c r="M52" s="19">
        <v>0.0</v>
      </c>
      <c r="N52" s="19">
        <v>1.0</v>
      </c>
      <c r="O52" s="19">
        <v>0.0</v>
      </c>
      <c r="P52" s="19">
        <v>0.0</v>
      </c>
      <c r="Q52" s="19">
        <v>0.0</v>
      </c>
      <c r="R52" s="13">
        <f t="shared" si="14"/>
        <v>1</v>
      </c>
    </row>
    <row r="53" ht="12.75" customHeight="1">
      <c r="A53" s="18"/>
      <c r="B53" s="56"/>
      <c r="C53" s="57"/>
      <c r="D53" s="57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3">
        <f t="shared" si="14"/>
        <v>0</v>
      </c>
    </row>
    <row r="54" ht="12.75" customHeight="1">
      <c r="A54" s="18"/>
      <c r="B54" s="56"/>
      <c r="C54" s="57"/>
      <c r="D54" s="57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3">
        <f t="shared" si="14"/>
        <v>0</v>
      </c>
    </row>
    <row r="55" ht="12.75" customHeight="1">
      <c r="A55" s="19" t="s">
        <v>15</v>
      </c>
      <c r="B55" s="47" t="s">
        <v>47</v>
      </c>
      <c r="C55" s="15"/>
      <c r="D55" s="16"/>
      <c r="E55" s="13">
        <f t="shared" ref="E55:R55" si="15">SUM(E45:E54)</f>
        <v>30</v>
      </c>
      <c r="F55" s="13">
        <f t="shared" si="15"/>
        <v>27</v>
      </c>
      <c r="G55" s="13">
        <f t="shared" si="15"/>
        <v>21</v>
      </c>
      <c r="H55" s="13">
        <f t="shared" si="15"/>
        <v>22</v>
      </c>
      <c r="I55" s="13">
        <f t="shared" si="15"/>
        <v>17</v>
      </c>
      <c r="J55" s="13">
        <f t="shared" si="15"/>
        <v>47</v>
      </c>
      <c r="K55" s="13">
        <f t="shared" si="15"/>
        <v>47</v>
      </c>
      <c r="L55" s="13">
        <f t="shared" si="15"/>
        <v>44</v>
      </c>
      <c r="M55" s="13">
        <f t="shared" si="15"/>
        <v>60</v>
      </c>
      <c r="N55" s="13">
        <f t="shared" si="15"/>
        <v>50</v>
      </c>
      <c r="O55" s="13">
        <f t="shared" si="15"/>
        <v>27</v>
      </c>
      <c r="P55" s="13">
        <f t="shared" si="15"/>
        <v>23</v>
      </c>
      <c r="Q55" s="13">
        <f t="shared" si="15"/>
        <v>23</v>
      </c>
      <c r="R55" s="13">
        <f t="shared" si="15"/>
        <v>438</v>
      </c>
    </row>
    <row r="56" ht="12.75" customHeight="1">
      <c r="A56" s="45"/>
      <c r="B56" s="44"/>
      <c r="C56" s="44"/>
      <c r="D56" s="44"/>
      <c r="E56" s="44"/>
      <c r="R56" s="13"/>
    </row>
    <row r="57" ht="12.75" customHeight="1">
      <c r="A57" s="30" t="s">
        <v>37</v>
      </c>
      <c r="B57" s="47" t="s">
        <v>19</v>
      </c>
      <c r="C57" s="48" t="s">
        <v>48</v>
      </c>
      <c r="D57" s="16"/>
      <c r="E57" s="19">
        <v>13.0</v>
      </c>
      <c r="F57" s="19">
        <v>21.0</v>
      </c>
      <c r="G57" s="19">
        <v>8.0</v>
      </c>
      <c r="H57" s="19">
        <v>14.0</v>
      </c>
      <c r="I57" s="19">
        <v>12.0</v>
      </c>
      <c r="J57" s="19">
        <v>13.0</v>
      </c>
      <c r="K57" s="19">
        <v>19.0</v>
      </c>
      <c r="L57" s="19">
        <v>15.0</v>
      </c>
      <c r="M57" s="19">
        <v>17.0</v>
      </c>
      <c r="N57" s="19">
        <v>5.0</v>
      </c>
      <c r="O57" s="19">
        <v>26.0</v>
      </c>
      <c r="P57" s="19">
        <v>22.0</v>
      </c>
      <c r="Q57" s="19">
        <v>15.0</v>
      </c>
      <c r="R57" s="13">
        <f t="shared" ref="R57:R66" si="16">SUM(E57:Q57)</f>
        <v>200</v>
      </c>
    </row>
    <row r="58" ht="12.75" customHeight="1">
      <c r="A58" s="30" t="s">
        <v>39</v>
      </c>
      <c r="B58" s="55">
        <v>1.0</v>
      </c>
      <c r="C58" s="50" t="s">
        <v>49</v>
      </c>
      <c r="D58" s="59"/>
      <c r="E58" s="19">
        <v>51.0</v>
      </c>
      <c r="F58" s="19">
        <v>48.0</v>
      </c>
      <c r="G58" s="19">
        <v>82.0</v>
      </c>
      <c r="H58" s="19">
        <v>57.0</v>
      </c>
      <c r="I58" s="19">
        <v>57.0</v>
      </c>
      <c r="J58" s="19">
        <v>47.0</v>
      </c>
      <c r="K58" s="19">
        <v>28.0</v>
      </c>
      <c r="L58" s="19">
        <v>47.0</v>
      </c>
      <c r="M58" s="19">
        <v>43.0</v>
      </c>
      <c r="N58" s="19">
        <v>54.0</v>
      </c>
      <c r="O58" s="19">
        <v>81.0</v>
      </c>
      <c r="P58" s="19">
        <v>40.0</v>
      </c>
      <c r="Q58" s="19">
        <v>22.0</v>
      </c>
      <c r="R58" s="13">
        <f t="shared" si="16"/>
        <v>657</v>
      </c>
    </row>
    <row r="59" ht="12.75" customHeight="1">
      <c r="A59" s="18"/>
      <c r="B59" s="55">
        <v>2.0</v>
      </c>
      <c r="C59" s="50" t="s">
        <v>50</v>
      </c>
      <c r="D59" s="59"/>
      <c r="E59" s="19">
        <v>0.0</v>
      </c>
      <c r="F59" s="19">
        <v>2.0</v>
      </c>
      <c r="G59" s="19">
        <v>0.0</v>
      </c>
      <c r="H59" s="19">
        <v>0.0</v>
      </c>
      <c r="I59" s="19">
        <v>4.0</v>
      </c>
      <c r="J59" s="19">
        <v>4.0</v>
      </c>
      <c r="K59" s="19">
        <v>3.0</v>
      </c>
      <c r="L59" s="19">
        <v>5.0</v>
      </c>
      <c r="M59" s="19">
        <v>3.0</v>
      </c>
      <c r="N59" s="19">
        <v>1.0</v>
      </c>
      <c r="O59" s="19">
        <v>3.0</v>
      </c>
      <c r="P59" s="19">
        <v>4.0</v>
      </c>
      <c r="Q59" s="19">
        <v>1.0</v>
      </c>
      <c r="R59" s="13">
        <f t="shared" si="16"/>
        <v>30</v>
      </c>
    </row>
    <row r="60" ht="12.75" customHeight="1">
      <c r="A60" s="18"/>
      <c r="B60" s="55">
        <v>3.0</v>
      </c>
      <c r="C60" s="50" t="s">
        <v>51</v>
      </c>
      <c r="D60" s="59"/>
      <c r="E60" s="19">
        <v>0.0</v>
      </c>
      <c r="F60" s="19">
        <v>0.0</v>
      </c>
      <c r="G60" s="19">
        <v>0.0</v>
      </c>
      <c r="H60" s="19">
        <v>0.0</v>
      </c>
      <c r="I60" s="19">
        <v>0.0</v>
      </c>
      <c r="J60" s="19">
        <v>2.0</v>
      </c>
      <c r="K60" s="19">
        <v>0.0</v>
      </c>
      <c r="L60" s="19">
        <v>2.0</v>
      </c>
      <c r="M60" s="19">
        <v>1.0</v>
      </c>
      <c r="N60" s="19">
        <v>2.0</v>
      </c>
      <c r="O60" s="19">
        <v>0.0</v>
      </c>
      <c r="P60" s="19">
        <v>1.0</v>
      </c>
      <c r="Q60" s="19">
        <v>1.0</v>
      </c>
      <c r="R60" s="13">
        <f t="shared" si="16"/>
        <v>9</v>
      </c>
    </row>
    <row r="61" ht="12.75" customHeight="1">
      <c r="A61" s="18"/>
      <c r="B61" s="55">
        <v>4.0</v>
      </c>
      <c r="C61" s="50" t="s">
        <v>52</v>
      </c>
      <c r="D61" s="59"/>
      <c r="E61" s="19">
        <v>0.0</v>
      </c>
      <c r="F61" s="19">
        <v>0.0</v>
      </c>
      <c r="G61" s="19">
        <v>0.0</v>
      </c>
      <c r="H61" s="19">
        <v>3.0</v>
      </c>
      <c r="I61" s="19">
        <v>0.0</v>
      </c>
      <c r="J61" s="19">
        <v>1.0</v>
      </c>
      <c r="K61" s="19">
        <v>1.0</v>
      </c>
      <c r="L61" s="19">
        <v>1.0</v>
      </c>
      <c r="M61" s="19">
        <v>0.0</v>
      </c>
      <c r="N61" s="19">
        <v>0.0</v>
      </c>
      <c r="O61" s="19">
        <v>0.0</v>
      </c>
      <c r="P61" s="19">
        <v>3.0</v>
      </c>
      <c r="Q61" s="19">
        <v>2.0</v>
      </c>
      <c r="R61" s="13">
        <f t="shared" si="16"/>
        <v>11</v>
      </c>
    </row>
    <row r="62" ht="12.75" customHeight="1">
      <c r="A62" s="18"/>
      <c r="B62" s="55">
        <v>5.0</v>
      </c>
      <c r="C62" s="50" t="s">
        <v>53</v>
      </c>
      <c r="D62" s="59"/>
      <c r="E62" s="19">
        <v>0.0</v>
      </c>
      <c r="F62" s="19">
        <v>0.0</v>
      </c>
      <c r="G62" s="19">
        <v>0.0</v>
      </c>
      <c r="H62" s="19">
        <v>1.0</v>
      </c>
      <c r="I62" s="19">
        <v>0.0</v>
      </c>
      <c r="J62" s="19">
        <v>0.0</v>
      </c>
      <c r="K62" s="19">
        <v>0.0</v>
      </c>
      <c r="L62" s="19">
        <v>0.0</v>
      </c>
      <c r="M62" s="19">
        <v>0.0</v>
      </c>
      <c r="N62" s="19">
        <v>0.0</v>
      </c>
      <c r="O62" s="19">
        <v>0.0</v>
      </c>
      <c r="P62" s="19">
        <v>0.0</v>
      </c>
      <c r="Q62" s="19">
        <v>1.0</v>
      </c>
      <c r="R62" s="13">
        <f t="shared" si="16"/>
        <v>2</v>
      </c>
    </row>
    <row r="63" ht="12.75" customHeight="1">
      <c r="A63" s="18"/>
      <c r="B63" s="55">
        <v>6.0</v>
      </c>
      <c r="C63" s="50" t="s">
        <v>54</v>
      </c>
      <c r="D63" s="60"/>
      <c r="E63" s="19">
        <v>0.0</v>
      </c>
      <c r="F63" s="19">
        <v>0.0</v>
      </c>
      <c r="G63" s="19">
        <v>0.0</v>
      </c>
      <c r="H63" s="19">
        <v>0.0</v>
      </c>
      <c r="I63" s="19">
        <v>0.0</v>
      </c>
      <c r="J63" s="19">
        <v>1.0</v>
      </c>
      <c r="K63" s="19">
        <v>1.0</v>
      </c>
      <c r="L63" s="19">
        <v>0.0</v>
      </c>
      <c r="M63" s="19">
        <v>0.0</v>
      </c>
      <c r="N63" s="19">
        <v>0.0</v>
      </c>
      <c r="O63" s="19">
        <v>0.0</v>
      </c>
      <c r="P63" s="19">
        <v>2.0</v>
      </c>
      <c r="Q63" s="19">
        <v>0.0</v>
      </c>
      <c r="R63" s="13">
        <f t="shared" si="16"/>
        <v>4</v>
      </c>
    </row>
    <row r="64" ht="12.75" customHeight="1">
      <c r="A64" s="18"/>
      <c r="B64" s="55">
        <v>7.0</v>
      </c>
      <c r="C64" s="50" t="s">
        <v>55</v>
      </c>
      <c r="D64" s="59"/>
      <c r="E64" s="19">
        <v>2.0</v>
      </c>
      <c r="F64" s="19">
        <v>1.0</v>
      </c>
      <c r="G64" s="19">
        <v>0.0</v>
      </c>
      <c r="H64" s="19">
        <v>0.0</v>
      </c>
      <c r="I64" s="19">
        <v>0.0</v>
      </c>
      <c r="J64" s="19">
        <v>0.0</v>
      </c>
      <c r="K64" s="19">
        <v>0.0</v>
      </c>
      <c r="L64" s="19">
        <v>0.0</v>
      </c>
      <c r="M64" s="19">
        <v>0.0</v>
      </c>
      <c r="N64" s="19">
        <v>0.0</v>
      </c>
      <c r="O64" s="19">
        <v>0.0</v>
      </c>
      <c r="P64" s="19">
        <v>0.0</v>
      </c>
      <c r="Q64" s="19">
        <v>0.0</v>
      </c>
      <c r="R64" s="13">
        <f t="shared" si="16"/>
        <v>3</v>
      </c>
    </row>
    <row r="65" ht="12.75" customHeight="1">
      <c r="A65" s="18"/>
      <c r="B65" s="56"/>
      <c r="C65" s="57"/>
      <c r="D65" s="61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3">
        <f t="shared" si="16"/>
        <v>0</v>
      </c>
    </row>
    <row r="66" ht="12.75" customHeight="1">
      <c r="A66" s="18"/>
      <c r="B66" s="56"/>
      <c r="C66" s="57"/>
      <c r="D66" s="61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3">
        <f t="shared" si="16"/>
        <v>0</v>
      </c>
    </row>
    <row r="67" ht="12.75" customHeight="1">
      <c r="A67" s="19" t="s">
        <v>15</v>
      </c>
      <c r="B67" s="47" t="s">
        <v>47</v>
      </c>
      <c r="C67" s="15"/>
      <c r="D67" s="16"/>
      <c r="E67" s="13">
        <f t="shared" ref="E67:R67" si="17">SUM(E57:E66)</f>
        <v>66</v>
      </c>
      <c r="F67" s="13">
        <f t="shared" si="17"/>
        <v>72</v>
      </c>
      <c r="G67" s="13">
        <f t="shared" si="17"/>
        <v>90</v>
      </c>
      <c r="H67" s="13">
        <f t="shared" si="17"/>
        <v>75</v>
      </c>
      <c r="I67" s="13">
        <f t="shared" si="17"/>
        <v>73</v>
      </c>
      <c r="J67" s="13">
        <f t="shared" si="17"/>
        <v>68</v>
      </c>
      <c r="K67" s="13">
        <f t="shared" si="17"/>
        <v>52</v>
      </c>
      <c r="L67" s="13">
        <f t="shared" si="17"/>
        <v>70</v>
      </c>
      <c r="M67" s="13">
        <f t="shared" si="17"/>
        <v>64</v>
      </c>
      <c r="N67" s="13">
        <f t="shared" si="17"/>
        <v>62</v>
      </c>
      <c r="O67" s="13">
        <f t="shared" si="17"/>
        <v>110</v>
      </c>
      <c r="P67" s="13">
        <f t="shared" si="17"/>
        <v>72</v>
      </c>
      <c r="Q67" s="13">
        <f t="shared" si="17"/>
        <v>42</v>
      </c>
      <c r="R67" s="13">
        <f t="shared" si="17"/>
        <v>916</v>
      </c>
    </row>
    <row r="68" ht="12.75" customHeight="1">
      <c r="A68" s="45"/>
      <c r="B68" s="44"/>
      <c r="C68" s="44"/>
      <c r="D68" s="44"/>
      <c r="E68" s="44"/>
    </row>
    <row r="69" ht="12.75" customHeight="1">
      <c r="A69" s="30" t="s">
        <v>37</v>
      </c>
      <c r="B69" s="47" t="s">
        <v>21</v>
      </c>
      <c r="C69" s="48" t="s">
        <v>56</v>
      </c>
      <c r="D69" s="16"/>
      <c r="E69" s="19">
        <v>3.0</v>
      </c>
      <c r="F69" s="19">
        <v>3.0</v>
      </c>
      <c r="G69" s="19">
        <v>7.0</v>
      </c>
      <c r="H69" s="19">
        <v>10.0</v>
      </c>
      <c r="I69" s="19">
        <v>6.0</v>
      </c>
      <c r="J69" s="19">
        <v>3.0</v>
      </c>
      <c r="K69" s="19">
        <v>5.0</v>
      </c>
      <c r="L69" s="19">
        <v>4.0</v>
      </c>
      <c r="M69" s="19">
        <v>3.0</v>
      </c>
      <c r="N69" s="19">
        <v>1.0</v>
      </c>
      <c r="O69" s="19">
        <v>5.0</v>
      </c>
      <c r="P69" s="19">
        <v>7.0</v>
      </c>
      <c r="Q69" s="19">
        <v>6.0</v>
      </c>
      <c r="R69" s="13">
        <f t="shared" ref="R69:R78" si="18">SUM(E69:Q69)</f>
        <v>63</v>
      </c>
    </row>
    <row r="70" ht="12.75" customHeight="1">
      <c r="A70" s="30" t="s">
        <v>39</v>
      </c>
      <c r="B70" s="55">
        <v>1.0</v>
      </c>
      <c r="C70" s="50" t="s">
        <v>57</v>
      </c>
      <c r="D70" s="60"/>
      <c r="E70" s="19">
        <v>0.0</v>
      </c>
      <c r="F70" s="19">
        <v>1.0</v>
      </c>
      <c r="G70" s="19">
        <v>1.0</v>
      </c>
      <c r="H70" s="19">
        <v>3.0</v>
      </c>
      <c r="I70" s="19">
        <v>4.0</v>
      </c>
      <c r="J70" s="19">
        <v>2.0</v>
      </c>
      <c r="K70" s="19">
        <v>3.0</v>
      </c>
      <c r="L70" s="19">
        <v>0.0</v>
      </c>
      <c r="M70" s="19">
        <v>1.0</v>
      </c>
      <c r="N70" s="19">
        <v>0.0</v>
      </c>
      <c r="O70" s="19">
        <v>0.0</v>
      </c>
      <c r="P70" s="19">
        <v>1.0</v>
      </c>
      <c r="Q70" s="19">
        <v>1.0</v>
      </c>
      <c r="R70" s="13">
        <f t="shared" si="18"/>
        <v>17</v>
      </c>
    </row>
    <row r="71" ht="12.75" customHeight="1">
      <c r="A71" s="18"/>
      <c r="B71" s="55">
        <v>2.0</v>
      </c>
      <c r="C71" s="50" t="s">
        <v>58</v>
      </c>
      <c r="D71" s="60"/>
      <c r="E71" s="19">
        <v>1.0</v>
      </c>
      <c r="F71" s="19">
        <v>0.0</v>
      </c>
      <c r="G71" s="19">
        <v>3.0</v>
      </c>
      <c r="H71" s="19">
        <v>5.0</v>
      </c>
      <c r="I71" s="19">
        <v>2.0</v>
      </c>
      <c r="J71" s="19">
        <v>1.0</v>
      </c>
      <c r="K71" s="19">
        <v>1.0</v>
      </c>
      <c r="L71" s="19">
        <v>3.0</v>
      </c>
      <c r="M71" s="19">
        <v>5.0</v>
      </c>
      <c r="N71" s="19">
        <v>3.0</v>
      </c>
      <c r="O71" s="19">
        <v>2.0</v>
      </c>
      <c r="P71" s="19">
        <v>3.0</v>
      </c>
      <c r="Q71" s="19">
        <v>0.0</v>
      </c>
      <c r="R71" s="13">
        <f t="shared" si="18"/>
        <v>29</v>
      </c>
    </row>
    <row r="72" ht="12.75" customHeight="1">
      <c r="A72" s="18"/>
      <c r="B72" s="55">
        <v>3.0</v>
      </c>
      <c r="C72" s="50" t="s">
        <v>59</v>
      </c>
      <c r="D72" s="60"/>
      <c r="E72" s="19">
        <v>2.0</v>
      </c>
      <c r="F72" s="19">
        <v>0.0</v>
      </c>
      <c r="G72" s="19">
        <v>2.0</v>
      </c>
      <c r="H72" s="19">
        <v>5.0</v>
      </c>
      <c r="I72" s="19">
        <v>5.0</v>
      </c>
      <c r="J72" s="19">
        <v>1.0</v>
      </c>
      <c r="K72" s="19">
        <v>1.0</v>
      </c>
      <c r="L72" s="19">
        <v>3.0</v>
      </c>
      <c r="M72" s="19">
        <v>2.0</v>
      </c>
      <c r="N72" s="19">
        <v>5.0</v>
      </c>
      <c r="O72" s="19">
        <v>0.0</v>
      </c>
      <c r="P72" s="19">
        <v>1.0</v>
      </c>
      <c r="Q72" s="19">
        <v>1.0</v>
      </c>
      <c r="R72" s="13">
        <f t="shared" si="18"/>
        <v>28</v>
      </c>
    </row>
    <row r="73" ht="12.75" customHeight="1">
      <c r="A73" s="18"/>
      <c r="B73" s="55">
        <v>4.0</v>
      </c>
      <c r="C73" s="50" t="s">
        <v>60</v>
      </c>
      <c r="D73" s="60"/>
      <c r="E73" s="19">
        <v>0.0</v>
      </c>
      <c r="F73" s="19">
        <v>0.0</v>
      </c>
      <c r="G73" s="19">
        <v>1.0</v>
      </c>
      <c r="H73" s="19">
        <v>0.0</v>
      </c>
      <c r="I73" s="19">
        <v>1.0</v>
      </c>
      <c r="J73" s="19">
        <v>1.0</v>
      </c>
      <c r="K73" s="19">
        <v>0.0</v>
      </c>
      <c r="L73" s="19">
        <v>0.0</v>
      </c>
      <c r="M73" s="19">
        <v>0.0</v>
      </c>
      <c r="N73" s="19">
        <v>0.0</v>
      </c>
      <c r="O73" s="19">
        <v>0.0</v>
      </c>
      <c r="P73" s="19">
        <v>0.0</v>
      </c>
      <c r="Q73" s="19">
        <v>0.0</v>
      </c>
      <c r="R73" s="13">
        <f t="shared" si="18"/>
        <v>3</v>
      </c>
    </row>
    <row r="74" ht="12.75" customHeight="1">
      <c r="A74" s="18"/>
      <c r="B74" s="55">
        <v>5.0</v>
      </c>
      <c r="C74" s="50" t="s">
        <v>61</v>
      </c>
      <c r="D74" s="60"/>
      <c r="E74" s="19">
        <v>0.0</v>
      </c>
      <c r="F74" s="19">
        <v>1.0</v>
      </c>
      <c r="G74" s="19">
        <v>0.0</v>
      </c>
      <c r="H74" s="19">
        <v>1.0</v>
      </c>
      <c r="I74" s="19">
        <v>0.0</v>
      </c>
      <c r="J74" s="19">
        <v>1.0</v>
      </c>
      <c r="K74" s="19">
        <v>1.0</v>
      </c>
      <c r="L74" s="19">
        <v>0.0</v>
      </c>
      <c r="M74" s="19">
        <v>0.0</v>
      </c>
      <c r="N74" s="19">
        <v>0.0</v>
      </c>
      <c r="O74" s="19">
        <v>0.0</v>
      </c>
      <c r="P74" s="19">
        <v>0.0</v>
      </c>
      <c r="Q74" s="19">
        <v>1.0</v>
      </c>
      <c r="R74" s="13">
        <f t="shared" si="18"/>
        <v>5</v>
      </c>
    </row>
    <row r="75" ht="12.75" customHeight="1">
      <c r="A75" s="18"/>
      <c r="B75" s="55">
        <v>6.0</v>
      </c>
      <c r="C75" s="50" t="s">
        <v>62</v>
      </c>
      <c r="D75" s="60"/>
      <c r="E75" s="19">
        <v>1.0</v>
      </c>
      <c r="F75" s="19">
        <v>0.0</v>
      </c>
      <c r="G75" s="19">
        <v>1.0</v>
      </c>
      <c r="H75" s="19">
        <v>0.0</v>
      </c>
      <c r="I75" s="19">
        <v>0.0</v>
      </c>
      <c r="J75" s="19">
        <v>1.0</v>
      </c>
      <c r="K75" s="19">
        <v>0.0</v>
      </c>
      <c r="L75" s="19">
        <v>0.0</v>
      </c>
      <c r="M75" s="19">
        <v>0.0</v>
      </c>
      <c r="N75" s="19">
        <v>0.0</v>
      </c>
      <c r="O75" s="19">
        <v>0.0</v>
      </c>
      <c r="P75" s="19">
        <v>0.0</v>
      </c>
      <c r="Q75" s="19">
        <v>0.0</v>
      </c>
      <c r="R75" s="13">
        <f t="shared" si="18"/>
        <v>3</v>
      </c>
    </row>
    <row r="76" ht="12.75" customHeight="1">
      <c r="A76" s="18"/>
      <c r="B76" s="55">
        <v>7.0</v>
      </c>
      <c r="C76" s="50" t="s">
        <v>63</v>
      </c>
      <c r="D76" s="60"/>
      <c r="E76" s="19">
        <v>5.0</v>
      </c>
      <c r="F76" s="19">
        <v>2.0</v>
      </c>
      <c r="G76" s="19">
        <v>5.0</v>
      </c>
      <c r="H76" s="19">
        <v>10.0</v>
      </c>
      <c r="I76" s="19">
        <v>7.0</v>
      </c>
      <c r="J76" s="19">
        <v>5.0</v>
      </c>
      <c r="K76" s="19">
        <v>5.0</v>
      </c>
      <c r="L76" s="19">
        <v>9.0</v>
      </c>
      <c r="M76" s="19">
        <v>12.0</v>
      </c>
      <c r="N76" s="19">
        <v>10.0</v>
      </c>
      <c r="O76" s="19">
        <v>2.0</v>
      </c>
      <c r="P76" s="19">
        <v>2.0</v>
      </c>
      <c r="Q76" s="19">
        <v>3.0</v>
      </c>
      <c r="R76" s="13">
        <f t="shared" si="18"/>
        <v>77</v>
      </c>
    </row>
    <row r="77" ht="12.75" customHeight="1">
      <c r="A77" s="18"/>
      <c r="B77" s="56"/>
      <c r="C77" s="57"/>
      <c r="D77" s="62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3">
        <f t="shared" si="18"/>
        <v>0</v>
      </c>
    </row>
    <row r="78" ht="12.75" customHeight="1">
      <c r="A78" s="18"/>
      <c r="B78" s="56"/>
      <c r="C78" s="57"/>
      <c r="D78" s="62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3">
        <f t="shared" si="18"/>
        <v>0</v>
      </c>
    </row>
    <row r="79" ht="12.75" customHeight="1">
      <c r="A79" s="19" t="s">
        <v>15</v>
      </c>
      <c r="B79" s="47" t="s">
        <v>47</v>
      </c>
      <c r="C79" s="15"/>
      <c r="D79" s="16"/>
      <c r="E79" s="13">
        <f t="shared" ref="E79:R79" si="19">SUM(E69:E78)</f>
        <v>12</v>
      </c>
      <c r="F79" s="13">
        <f t="shared" si="19"/>
        <v>7</v>
      </c>
      <c r="G79" s="13">
        <f t="shared" si="19"/>
        <v>20</v>
      </c>
      <c r="H79" s="13">
        <f t="shared" si="19"/>
        <v>34</v>
      </c>
      <c r="I79" s="13">
        <f t="shared" si="19"/>
        <v>25</v>
      </c>
      <c r="J79" s="13">
        <f t="shared" si="19"/>
        <v>15</v>
      </c>
      <c r="K79" s="13">
        <f t="shared" si="19"/>
        <v>16</v>
      </c>
      <c r="L79" s="13">
        <f t="shared" si="19"/>
        <v>19</v>
      </c>
      <c r="M79" s="13">
        <f t="shared" si="19"/>
        <v>23</v>
      </c>
      <c r="N79" s="13">
        <f t="shared" si="19"/>
        <v>19</v>
      </c>
      <c r="O79" s="13">
        <f t="shared" si="19"/>
        <v>9</v>
      </c>
      <c r="P79" s="13">
        <f t="shared" si="19"/>
        <v>14</v>
      </c>
      <c r="Q79" s="13">
        <f t="shared" si="19"/>
        <v>12</v>
      </c>
      <c r="R79" s="13">
        <f t="shared" si="19"/>
        <v>225</v>
      </c>
    </row>
    <row r="80" ht="12.75" customHeight="1">
      <c r="A80" s="45"/>
      <c r="B80" s="44"/>
      <c r="C80" s="44"/>
      <c r="D80" s="44"/>
      <c r="E80" s="44"/>
    </row>
    <row r="81" ht="12.75" customHeight="1">
      <c r="A81" s="30" t="s">
        <v>37</v>
      </c>
      <c r="B81" s="47" t="s">
        <v>23</v>
      </c>
      <c r="C81" s="48" t="s">
        <v>64</v>
      </c>
      <c r="D81" s="16"/>
      <c r="E81" s="19">
        <v>3.0</v>
      </c>
      <c r="F81" s="19">
        <v>4.0</v>
      </c>
      <c r="G81" s="19">
        <v>3.0</v>
      </c>
      <c r="H81" s="19">
        <v>5.0</v>
      </c>
      <c r="I81" s="19">
        <v>5.0</v>
      </c>
      <c r="J81" s="19">
        <v>2.0</v>
      </c>
      <c r="K81" s="19">
        <v>3.0</v>
      </c>
      <c r="L81" s="19">
        <v>1.0</v>
      </c>
      <c r="M81" s="19">
        <v>3.0</v>
      </c>
      <c r="N81" s="19">
        <v>0.0</v>
      </c>
      <c r="O81" s="19">
        <v>1.0</v>
      </c>
      <c r="P81" s="19">
        <v>2.0</v>
      </c>
      <c r="Q81" s="19">
        <v>4.0</v>
      </c>
      <c r="R81" s="13">
        <f t="shared" ref="R81:R90" si="20">SUM(E81:Q81)</f>
        <v>36</v>
      </c>
    </row>
    <row r="82" ht="12.75" customHeight="1">
      <c r="A82" s="30" t="s">
        <v>39</v>
      </c>
      <c r="B82" s="55">
        <v>1.0</v>
      </c>
      <c r="C82" s="50" t="s">
        <v>65</v>
      </c>
      <c r="D82" s="60"/>
      <c r="E82" s="19">
        <v>31.0</v>
      </c>
      <c r="F82" s="19">
        <v>18.0</v>
      </c>
      <c r="G82" s="19">
        <v>23.0</v>
      </c>
      <c r="H82" s="19">
        <v>25.0</v>
      </c>
      <c r="I82" s="19">
        <v>13.0</v>
      </c>
      <c r="J82" s="19">
        <v>8.0</v>
      </c>
      <c r="K82" s="19">
        <v>8.0</v>
      </c>
      <c r="L82" s="19">
        <v>3.0</v>
      </c>
      <c r="M82" s="19">
        <v>9.0</v>
      </c>
      <c r="N82" s="19">
        <v>5.0</v>
      </c>
      <c r="O82" s="19">
        <v>7.0</v>
      </c>
      <c r="P82" s="19">
        <v>13.0</v>
      </c>
      <c r="Q82" s="19">
        <v>7.0</v>
      </c>
      <c r="R82" s="13">
        <f t="shared" si="20"/>
        <v>170</v>
      </c>
    </row>
    <row r="83" ht="12.75" customHeight="1">
      <c r="A83" s="18"/>
      <c r="B83" s="55">
        <v>2.0</v>
      </c>
      <c r="C83" s="50" t="s">
        <v>66</v>
      </c>
      <c r="D83" s="60"/>
      <c r="E83" s="19">
        <v>2.0</v>
      </c>
      <c r="F83" s="19">
        <v>2.0</v>
      </c>
      <c r="G83" s="19">
        <v>0.0</v>
      </c>
      <c r="H83" s="19">
        <v>3.0</v>
      </c>
      <c r="I83" s="19">
        <v>0.0</v>
      </c>
      <c r="J83" s="19">
        <v>0.0</v>
      </c>
      <c r="K83" s="19">
        <v>1.0</v>
      </c>
      <c r="L83" s="19">
        <v>0.0</v>
      </c>
      <c r="M83" s="19">
        <v>0.0</v>
      </c>
      <c r="N83" s="19">
        <v>2.0</v>
      </c>
      <c r="O83" s="19">
        <v>3.0</v>
      </c>
      <c r="P83" s="19">
        <v>1.0</v>
      </c>
      <c r="Q83" s="19">
        <v>2.0</v>
      </c>
      <c r="R83" s="13">
        <f t="shared" si="20"/>
        <v>16</v>
      </c>
    </row>
    <row r="84" ht="12.75" customHeight="1">
      <c r="A84" s="18"/>
      <c r="B84" s="55">
        <v>3.0</v>
      </c>
      <c r="C84" s="50" t="s">
        <v>67</v>
      </c>
      <c r="D84" s="60"/>
      <c r="E84" s="19">
        <v>0.0</v>
      </c>
      <c r="F84" s="19">
        <v>1.0</v>
      </c>
      <c r="G84" s="19">
        <v>0.0</v>
      </c>
      <c r="H84" s="19">
        <v>0.0</v>
      </c>
      <c r="I84" s="19">
        <v>1.0</v>
      </c>
      <c r="J84" s="19">
        <v>0.0</v>
      </c>
      <c r="K84" s="19">
        <v>1.0</v>
      </c>
      <c r="L84" s="19">
        <v>0.0</v>
      </c>
      <c r="M84" s="19">
        <v>0.0</v>
      </c>
      <c r="N84" s="19">
        <v>1.0</v>
      </c>
      <c r="O84" s="19">
        <v>0.0</v>
      </c>
      <c r="P84" s="19">
        <v>0.0</v>
      </c>
      <c r="Q84" s="19">
        <v>0.0</v>
      </c>
      <c r="R84" s="13">
        <f t="shared" si="20"/>
        <v>4</v>
      </c>
    </row>
    <row r="85" ht="12.75" customHeight="1">
      <c r="A85" s="18"/>
      <c r="B85" s="55">
        <v>4.0</v>
      </c>
      <c r="C85" s="50" t="s">
        <v>68</v>
      </c>
      <c r="D85" s="60"/>
      <c r="E85" s="19">
        <v>1.0</v>
      </c>
      <c r="F85" s="19">
        <v>0.0</v>
      </c>
      <c r="G85" s="19">
        <v>0.0</v>
      </c>
      <c r="H85" s="19">
        <v>0.0</v>
      </c>
      <c r="I85" s="19">
        <v>1.0</v>
      </c>
      <c r="J85" s="19">
        <v>2.0</v>
      </c>
      <c r="K85" s="19">
        <v>0.0</v>
      </c>
      <c r="L85" s="19">
        <v>0.0</v>
      </c>
      <c r="M85" s="19">
        <v>0.0</v>
      </c>
      <c r="N85" s="19">
        <v>0.0</v>
      </c>
      <c r="O85" s="19">
        <v>1.0</v>
      </c>
      <c r="P85" s="19">
        <v>0.0</v>
      </c>
      <c r="Q85" s="19">
        <v>0.0</v>
      </c>
      <c r="R85" s="13">
        <f t="shared" si="20"/>
        <v>5</v>
      </c>
    </row>
    <row r="86" ht="12.75" customHeight="1">
      <c r="A86" s="18"/>
      <c r="B86" s="55">
        <v>5.0</v>
      </c>
      <c r="C86" s="50" t="s">
        <v>69</v>
      </c>
      <c r="D86" s="60"/>
      <c r="E86" s="19">
        <v>1.0</v>
      </c>
      <c r="F86" s="19">
        <v>0.0</v>
      </c>
      <c r="G86" s="19">
        <v>1.0</v>
      </c>
      <c r="H86" s="19">
        <v>0.0</v>
      </c>
      <c r="I86" s="19">
        <v>0.0</v>
      </c>
      <c r="J86" s="19">
        <v>0.0</v>
      </c>
      <c r="K86" s="19">
        <v>0.0</v>
      </c>
      <c r="L86" s="19">
        <v>0.0</v>
      </c>
      <c r="M86" s="19">
        <v>3.0</v>
      </c>
      <c r="N86" s="19">
        <v>0.0</v>
      </c>
      <c r="O86" s="19">
        <v>0.0</v>
      </c>
      <c r="P86" s="19">
        <v>0.0</v>
      </c>
      <c r="Q86" s="19">
        <v>0.0</v>
      </c>
      <c r="R86" s="13">
        <f t="shared" si="20"/>
        <v>5</v>
      </c>
    </row>
    <row r="87" ht="12.75" customHeight="1">
      <c r="A87" s="18"/>
      <c r="B87" s="55">
        <v>6.0</v>
      </c>
      <c r="C87" s="50" t="s">
        <v>70</v>
      </c>
      <c r="D87" s="60"/>
      <c r="E87" s="19">
        <v>0.0</v>
      </c>
      <c r="F87" s="19">
        <v>0.0</v>
      </c>
      <c r="G87" s="19">
        <v>0.0</v>
      </c>
      <c r="H87" s="19">
        <v>0.0</v>
      </c>
      <c r="I87" s="19">
        <v>0.0</v>
      </c>
      <c r="J87" s="19">
        <v>0.0</v>
      </c>
      <c r="K87" s="19">
        <v>0.0</v>
      </c>
      <c r="L87" s="19">
        <v>0.0</v>
      </c>
      <c r="M87" s="19">
        <v>0.0</v>
      </c>
      <c r="N87" s="19">
        <v>1.0</v>
      </c>
      <c r="O87" s="19">
        <v>0.0</v>
      </c>
      <c r="P87" s="19">
        <v>0.0</v>
      </c>
      <c r="Q87" s="19">
        <v>0.0</v>
      </c>
      <c r="R87" s="13">
        <f t="shared" si="20"/>
        <v>1</v>
      </c>
    </row>
    <row r="88" ht="12.75" customHeight="1">
      <c r="A88" s="18"/>
      <c r="B88" s="55">
        <v>7.0</v>
      </c>
      <c r="C88" s="50" t="s">
        <v>71</v>
      </c>
      <c r="D88" s="60"/>
      <c r="E88" s="19">
        <v>0.0</v>
      </c>
      <c r="F88" s="19">
        <v>0.0</v>
      </c>
      <c r="G88" s="19">
        <v>0.0</v>
      </c>
      <c r="H88" s="19">
        <v>0.0</v>
      </c>
      <c r="I88" s="19">
        <v>0.0</v>
      </c>
      <c r="J88" s="19">
        <v>0.0</v>
      </c>
      <c r="K88" s="19">
        <v>0.0</v>
      </c>
      <c r="L88" s="19">
        <v>0.0</v>
      </c>
      <c r="M88" s="19">
        <v>0.0</v>
      </c>
      <c r="N88" s="19">
        <v>0.0</v>
      </c>
      <c r="O88" s="19">
        <v>0.0</v>
      </c>
      <c r="P88" s="19">
        <v>0.0</v>
      </c>
      <c r="Q88" s="19">
        <v>0.0</v>
      </c>
      <c r="R88" s="13">
        <f t="shared" si="20"/>
        <v>0</v>
      </c>
    </row>
    <row r="89" ht="12.75" customHeight="1">
      <c r="A89" s="18"/>
      <c r="B89" s="56"/>
      <c r="C89" s="57"/>
      <c r="D89" s="62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3">
        <f t="shared" si="20"/>
        <v>0</v>
      </c>
    </row>
    <row r="90" ht="12.75" customHeight="1">
      <c r="A90" s="18"/>
      <c r="B90" s="56"/>
      <c r="C90" s="57"/>
      <c r="D90" s="62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3">
        <f t="shared" si="20"/>
        <v>0</v>
      </c>
    </row>
    <row r="91" ht="12.75" customHeight="1">
      <c r="A91" s="19" t="s">
        <v>15</v>
      </c>
      <c r="B91" s="47" t="s">
        <v>47</v>
      </c>
      <c r="C91" s="15"/>
      <c r="D91" s="16"/>
      <c r="E91" s="13">
        <f t="shared" ref="E91:R91" si="21">SUM(E81:E90)</f>
        <v>38</v>
      </c>
      <c r="F91" s="13">
        <f t="shared" si="21"/>
        <v>25</v>
      </c>
      <c r="G91" s="13">
        <f t="shared" si="21"/>
        <v>27</v>
      </c>
      <c r="H91" s="13">
        <f t="shared" si="21"/>
        <v>33</v>
      </c>
      <c r="I91" s="13">
        <f t="shared" si="21"/>
        <v>20</v>
      </c>
      <c r="J91" s="13">
        <f t="shared" si="21"/>
        <v>12</v>
      </c>
      <c r="K91" s="13">
        <f t="shared" si="21"/>
        <v>13</v>
      </c>
      <c r="L91" s="13">
        <f t="shared" si="21"/>
        <v>4</v>
      </c>
      <c r="M91" s="13">
        <f t="shared" si="21"/>
        <v>15</v>
      </c>
      <c r="N91" s="13">
        <f t="shared" si="21"/>
        <v>9</v>
      </c>
      <c r="O91" s="13">
        <f t="shared" si="21"/>
        <v>12</v>
      </c>
      <c r="P91" s="13">
        <f t="shared" si="21"/>
        <v>16</v>
      </c>
      <c r="Q91" s="13">
        <f t="shared" si="21"/>
        <v>13</v>
      </c>
      <c r="R91" s="13">
        <f t="shared" si="21"/>
        <v>237</v>
      </c>
    </row>
    <row r="92" ht="12.75" customHeight="1">
      <c r="A92" s="45"/>
      <c r="B92" s="44"/>
      <c r="C92" s="44"/>
      <c r="D92" s="44"/>
      <c r="E92" s="44"/>
    </row>
    <row r="93" ht="12.75" customHeight="1">
      <c r="A93" s="30" t="s">
        <v>37</v>
      </c>
      <c r="B93" s="47" t="s">
        <v>72</v>
      </c>
      <c r="C93" s="48" t="s">
        <v>73</v>
      </c>
      <c r="D93" s="16"/>
      <c r="E93" s="19">
        <v>1.0</v>
      </c>
      <c r="F93" s="19">
        <v>0.0</v>
      </c>
      <c r="G93" s="19">
        <v>0.0</v>
      </c>
      <c r="H93" s="19">
        <v>2.0</v>
      </c>
      <c r="I93" s="19">
        <v>0.0</v>
      </c>
      <c r="J93" s="19">
        <v>0.0</v>
      </c>
      <c r="K93" s="19">
        <v>1.0</v>
      </c>
      <c r="L93" s="19">
        <v>1.0</v>
      </c>
      <c r="M93" s="19">
        <v>0.0</v>
      </c>
      <c r="N93" s="19">
        <v>1.0</v>
      </c>
      <c r="O93" s="19">
        <v>1.0</v>
      </c>
      <c r="P93" s="19">
        <v>0.0</v>
      </c>
      <c r="Q93" s="19">
        <v>0.0</v>
      </c>
      <c r="R93" s="13">
        <f t="shared" ref="R93:R102" si="22">SUM(E93:Q93)</f>
        <v>7</v>
      </c>
    </row>
    <row r="94" ht="12.75" customHeight="1">
      <c r="A94" s="30" t="s">
        <v>39</v>
      </c>
      <c r="B94" s="55">
        <v>1.0</v>
      </c>
      <c r="C94" s="50" t="s">
        <v>74</v>
      </c>
      <c r="D94" s="60"/>
      <c r="E94" s="19">
        <v>2.0</v>
      </c>
      <c r="F94" s="19">
        <v>0.0</v>
      </c>
      <c r="G94" s="19">
        <v>0.0</v>
      </c>
      <c r="H94" s="19">
        <v>0.0</v>
      </c>
      <c r="I94" s="19">
        <v>0.0</v>
      </c>
      <c r="J94" s="19">
        <v>0.0</v>
      </c>
      <c r="K94" s="19">
        <v>0.0</v>
      </c>
      <c r="L94" s="19">
        <v>2.0</v>
      </c>
      <c r="M94" s="19">
        <v>0.0</v>
      </c>
      <c r="N94" s="19">
        <v>0.0</v>
      </c>
      <c r="O94" s="19">
        <v>0.0</v>
      </c>
      <c r="P94" s="19">
        <v>0.0</v>
      </c>
      <c r="Q94" s="19">
        <v>0.0</v>
      </c>
      <c r="R94" s="13">
        <f t="shared" si="22"/>
        <v>4</v>
      </c>
    </row>
    <row r="95" ht="12.75" customHeight="1">
      <c r="A95" s="18"/>
      <c r="B95" s="55">
        <v>2.0</v>
      </c>
      <c r="C95" s="50" t="s">
        <v>75</v>
      </c>
      <c r="D95" s="60"/>
      <c r="E95" s="19">
        <v>0.0</v>
      </c>
      <c r="F95" s="19">
        <v>0.0</v>
      </c>
      <c r="G95" s="19">
        <v>0.0</v>
      </c>
      <c r="H95" s="19">
        <v>0.0</v>
      </c>
      <c r="I95" s="19">
        <v>1.0</v>
      </c>
      <c r="J95" s="19">
        <v>1.0</v>
      </c>
      <c r="K95" s="19">
        <v>0.0</v>
      </c>
      <c r="L95" s="19">
        <v>0.0</v>
      </c>
      <c r="M95" s="19">
        <v>0.0</v>
      </c>
      <c r="N95" s="19">
        <v>0.0</v>
      </c>
      <c r="O95" s="19">
        <v>0.0</v>
      </c>
      <c r="P95" s="19">
        <v>0.0</v>
      </c>
      <c r="Q95" s="19">
        <v>0.0</v>
      </c>
      <c r="R95" s="13">
        <f t="shared" si="22"/>
        <v>2</v>
      </c>
    </row>
    <row r="96" ht="12.75" customHeight="1">
      <c r="A96" s="18"/>
      <c r="B96" s="55">
        <v>3.0</v>
      </c>
      <c r="C96" s="50" t="s">
        <v>76</v>
      </c>
      <c r="D96" s="60"/>
      <c r="E96" s="19">
        <v>1.0</v>
      </c>
      <c r="F96" s="19">
        <v>0.0</v>
      </c>
      <c r="G96" s="19">
        <v>0.0</v>
      </c>
      <c r="H96" s="19">
        <v>0.0</v>
      </c>
      <c r="I96" s="19">
        <v>0.0</v>
      </c>
      <c r="J96" s="19">
        <v>0.0</v>
      </c>
      <c r="K96" s="19">
        <v>0.0</v>
      </c>
      <c r="L96" s="19">
        <v>0.0</v>
      </c>
      <c r="M96" s="19">
        <v>0.0</v>
      </c>
      <c r="N96" s="19">
        <v>0.0</v>
      </c>
      <c r="O96" s="19">
        <v>0.0</v>
      </c>
      <c r="P96" s="19">
        <v>0.0</v>
      </c>
      <c r="Q96" s="19">
        <v>0.0</v>
      </c>
      <c r="R96" s="13">
        <f t="shared" si="22"/>
        <v>1</v>
      </c>
    </row>
    <row r="97" ht="12.75" customHeight="1">
      <c r="A97" s="18"/>
      <c r="B97" s="55">
        <v>4.0</v>
      </c>
      <c r="C97" s="50" t="s">
        <v>77</v>
      </c>
      <c r="D97" s="60"/>
      <c r="E97" s="19">
        <v>0.0</v>
      </c>
      <c r="F97" s="19">
        <v>0.0</v>
      </c>
      <c r="G97" s="19">
        <v>0.0</v>
      </c>
      <c r="H97" s="19">
        <v>0.0</v>
      </c>
      <c r="I97" s="19">
        <v>0.0</v>
      </c>
      <c r="J97" s="19">
        <v>2.0</v>
      </c>
      <c r="K97" s="19">
        <v>0.0</v>
      </c>
      <c r="L97" s="19">
        <v>0.0</v>
      </c>
      <c r="M97" s="19">
        <v>0.0</v>
      </c>
      <c r="N97" s="19">
        <v>0.0</v>
      </c>
      <c r="O97" s="19">
        <v>0.0</v>
      </c>
      <c r="P97" s="19">
        <v>0.0</v>
      </c>
      <c r="Q97" s="19">
        <v>0.0</v>
      </c>
      <c r="R97" s="13">
        <f t="shared" si="22"/>
        <v>2</v>
      </c>
    </row>
    <row r="98" ht="12.75" customHeight="1">
      <c r="A98" s="18"/>
      <c r="B98" s="55">
        <v>5.0</v>
      </c>
      <c r="C98" s="50" t="s">
        <v>78</v>
      </c>
      <c r="D98" s="60"/>
      <c r="E98" s="19">
        <v>0.0</v>
      </c>
      <c r="F98" s="19">
        <v>0.0</v>
      </c>
      <c r="G98" s="19">
        <v>0.0</v>
      </c>
      <c r="H98" s="19">
        <v>0.0</v>
      </c>
      <c r="I98" s="19">
        <v>0.0</v>
      </c>
      <c r="J98" s="19">
        <v>0.0</v>
      </c>
      <c r="K98" s="19">
        <v>0.0</v>
      </c>
      <c r="L98" s="19">
        <v>0.0</v>
      </c>
      <c r="M98" s="19">
        <v>0.0</v>
      </c>
      <c r="N98" s="19">
        <v>0.0</v>
      </c>
      <c r="O98" s="19">
        <v>0.0</v>
      </c>
      <c r="P98" s="19">
        <v>0.0</v>
      </c>
      <c r="Q98" s="19">
        <v>0.0</v>
      </c>
      <c r="R98" s="13">
        <f t="shared" si="22"/>
        <v>0</v>
      </c>
    </row>
    <row r="99" ht="12.75" customHeight="1">
      <c r="A99" s="18"/>
      <c r="B99" s="55">
        <v>6.0</v>
      </c>
      <c r="C99" s="50" t="s">
        <v>79</v>
      </c>
      <c r="D99" s="60"/>
      <c r="E99" s="19">
        <v>0.0</v>
      </c>
      <c r="F99" s="19">
        <v>0.0</v>
      </c>
      <c r="G99" s="19">
        <v>0.0</v>
      </c>
      <c r="H99" s="19">
        <v>0.0</v>
      </c>
      <c r="I99" s="19">
        <v>0.0</v>
      </c>
      <c r="J99" s="19">
        <v>0.0</v>
      </c>
      <c r="K99" s="19">
        <v>0.0</v>
      </c>
      <c r="L99" s="19">
        <v>0.0</v>
      </c>
      <c r="M99" s="19">
        <v>0.0</v>
      </c>
      <c r="N99" s="19">
        <v>0.0</v>
      </c>
      <c r="O99" s="19">
        <v>0.0</v>
      </c>
      <c r="P99" s="19">
        <v>0.0</v>
      </c>
      <c r="Q99" s="19">
        <v>0.0</v>
      </c>
      <c r="R99" s="13">
        <f t="shared" si="22"/>
        <v>0</v>
      </c>
    </row>
    <row r="100" ht="12.75" customHeight="1">
      <c r="A100" s="18"/>
      <c r="B100" s="55">
        <v>7.0</v>
      </c>
      <c r="C100" s="50" t="s">
        <v>80</v>
      </c>
      <c r="D100" s="60"/>
      <c r="E100" s="19">
        <v>0.0</v>
      </c>
      <c r="F100" s="19">
        <v>0.0</v>
      </c>
      <c r="G100" s="19">
        <v>0.0</v>
      </c>
      <c r="H100" s="19">
        <v>0.0</v>
      </c>
      <c r="I100" s="19">
        <v>1.0</v>
      </c>
      <c r="J100" s="19">
        <v>0.0</v>
      </c>
      <c r="K100" s="19">
        <v>0.0</v>
      </c>
      <c r="L100" s="19">
        <v>0.0</v>
      </c>
      <c r="M100" s="19">
        <v>0.0</v>
      </c>
      <c r="N100" s="19">
        <v>0.0</v>
      </c>
      <c r="O100" s="19">
        <v>0.0</v>
      </c>
      <c r="P100" s="19">
        <v>1.0</v>
      </c>
      <c r="Q100" s="19">
        <v>0.0</v>
      </c>
      <c r="R100" s="13">
        <f t="shared" si="22"/>
        <v>2</v>
      </c>
    </row>
    <row r="101" ht="12.75" customHeight="1">
      <c r="A101" s="18"/>
      <c r="B101" s="56"/>
      <c r="C101" s="57"/>
      <c r="D101" s="62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3">
        <f t="shared" si="22"/>
        <v>0</v>
      </c>
    </row>
    <row r="102" ht="12.75" customHeight="1">
      <c r="A102" s="18"/>
      <c r="B102" s="56"/>
      <c r="C102" s="57"/>
      <c r="D102" s="62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3">
        <f t="shared" si="22"/>
        <v>0</v>
      </c>
    </row>
    <row r="103" ht="12.75" customHeight="1">
      <c r="A103" s="19" t="s">
        <v>15</v>
      </c>
      <c r="B103" s="47" t="s">
        <v>47</v>
      </c>
      <c r="C103" s="15"/>
      <c r="D103" s="16"/>
      <c r="E103" s="13">
        <f t="shared" ref="E103:R103" si="23">SUM(E93:E102)</f>
        <v>4</v>
      </c>
      <c r="F103" s="13">
        <f t="shared" si="23"/>
        <v>0</v>
      </c>
      <c r="G103" s="13">
        <f t="shared" si="23"/>
        <v>0</v>
      </c>
      <c r="H103" s="13">
        <f t="shared" si="23"/>
        <v>2</v>
      </c>
      <c r="I103" s="13">
        <f t="shared" si="23"/>
        <v>2</v>
      </c>
      <c r="J103" s="13">
        <f t="shared" si="23"/>
        <v>3</v>
      </c>
      <c r="K103" s="13">
        <f t="shared" si="23"/>
        <v>1</v>
      </c>
      <c r="L103" s="13">
        <f t="shared" si="23"/>
        <v>3</v>
      </c>
      <c r="M103" s="13">
        <f t="shared" si="23"/>
        <v>0</v>
      </c>
      <c r="N103" s="13">
        <f t="shared" si="23"/>
        <v>1</v>
      </c>
      <c r="O103" s="13">
        <f t="shared" si="23"/>
        <v>1</v>
      </c>
      <c r="P103" s="13">
        <f t="shared" si="23"/>
        <v>1</v>
      </c>
      <c r="Q103" s="13">
        <f t="shared" si="23"/>
        <v>0</v>
      </c>
      <c r="R103" s="13">
        <f t="shared" si="23"/>
        <v>18</v>
      </c>
    </row>
    <row r="104" ht="12.75" customHeight="1">
      <c r="A104" s="45"/>
      <c r="B104" s="44"/>
      <c r="C104" s="44"/>
      <c r="D104" s="44"/>
      <c r="E104" s="44"/>
      <c r="F104" s="84"/>
      <c r="G104" s="84"/>
      <c r="H104" s="84"/>
      <c r="I104" s="84"/>
      <c r="J104" s="84"/>
      <c r="K104" s="84"/>
      <c r="L104" s="84"/>
      <c r="M104" s="84"/>
      <c r="N104" s="84"/>
      <c r="O104" s="84"/>
      <c r="P104" s="84"/>
      <c r="Q104" s="84"/>
      <c r="R104" s="84"/>
    </row>
    <row r="105" ht="12.75" customHeight="1">
      <c r="A105" s="30" t="s">
        <v>37</v>
      </c>
      <c r="B105" s="47" t="s">
        <v>81</v>
      </c>
      <c r="C105" s="48" t="s">
        <v>82</v>
      </c>
      <c r="D105" s="16"/>
      <c r="E105" s="19">
        <v>0.0</v>
      </c>
      <c r="F105" s="19">
        <v>0.0</v>
      </c>
      <c r="G105" s="19">
        <v>0.0</v>
      </c>
      <c r="H105" s="19">
        <v>1.0</v>
      </c>
      <c r="I105" s="19">
        <v>1.0</v>
      </c>
      <c r="J105" s="19">
        <v>0.0</v>
      </c>
      <c r="K105" s="19">
        <v>0.0</v>
      </c>
      <c r="L105" s="19">
        <v>1.0</v>
      </c>
      <c r="M105" s="19">
        <v>0.0</v>
      </c>
      <c r="N105" s="19">
        <v>0.0</v>
      </c>
      <c r="O105" s="19">
        <v>0.0</v>
      </c>
      <c r="P105" s="19">
        <v>0.0</v>
      </c>
      <c r="Q105" s="19">
        <v>0.0</v>
      </c>
      <c r="R105" s="13">
        <f t="shared" ref="R105:R114" si="24">SUM(E105:Q105)</f>
        <v>3</v>
      </c>
    </row>
    <row r="106" ht="12.75" customHeight="1">
      <c r="A106" s="30" t="s">
        <v>39</v>
      </c>
      <c r="B106" s="55">
        <v>1.0</v>
      </c>
      <c r="C106" s="50" t="s">
        <v>83</v>
      </c>
      <c r="D106" s="60"/>
      <c r="E106" s="19">
        <v>0.0</v>
      </c>
      <c r="F106" s="19">
        <v>0.0</v>
      </c>
      <c r="G106" s="19">
        <v>0.0</v>
      </c>
      <c r="H106" s="19">
        <v>0.0</v>
      </c>
      <c r="I106" s="19">
        <v>0.0</v>
      </c>
      <c r="J106" s="19">
        <v>0.0</v>
      </c>
      <c r="K106" s="19">
        <v>0.0</v>
      </c>
      <c r="L106" s="19">
        <v>0.0</v>
      </c>
      <c r="M106" s="19">
        <v>0.0</v>
      </c>
      <c r="N106" s="19">
        <v>0.0</v>
      </c>
      <c r="O106" s="19">
        <v>0.0</v>
      </c>
      <c r="P106" s="19">
        <v>0.0</v>
      </c>
      <c r="Q106" s="19">
        <v>0.0</v>
      </c>
      <c r="R106" s="13">
        <f t="shared" si="24"/>
        <v>0</v>
      </c>
    </row>
    <row r="107" ht="12.75" customHeight="1">
      <c r="A107" s="18"/>
      <c r="B107" s="55">
        <v>2.0</v>
      </c>
      <c r="C107" s="50" t="s">
        <v>84</v>
      </c>
      <c r="D107" s="60"/>
      <c r="E107" s="19">
        <v>0.0</v>
      </c>
      <c r="F107" s="19">
        <v>1.0</v>
      </c>
      <c r="G107" s="19">
        <v>1.0</v>
      </c>
      <c r="H107" s="19">
        <v>0.0</v>
      </c>
      <c r="I107" s="19">
        <v>0.0</v>
      </c>
      <c r="J107" s="19">
        <v>0.0</v>
      </c>
      <c r="K107" s="19">
        <v>0.0</v>
      </c>
      <c r="L107" s="19">
        <v>0.0</v>
      </c>
      <c r="M107" s="19">
        <v>0.0</v>
      </c>
      <c r="N107" s="19">
        <v>0.0</v>
      </c>
      <c r="O107" s="19">
        <v>0.0</v>
      </c>
      <c r="P107" s="19">
        <v>0.0</v>
      </c>
      <c r="Q107" s="19">
        <v>0.0</v>
      </c>
      <c r="R107" s="13">
        <f t="shared" si="24"/>
        <v>2</v>
      </c>
    </row>
    <row r="108" ht="12.75" customHeight="1">
      <c r="A108" s="18"/>
      <c r="B108" s="55">
        <v>3.0</v>
      </c>
      <c r="C108" s="50" t="s">
        <v>85</v>
      </c>
      <c r="D108" s="60"/>
      <c r="E108" s="85">
        <v>0.0</v>
      </c>
      <c r="F108" s="19">
        <v>0.0</v>
      </c>
      <c r="G108" s="19">
        <v>0.0</v>
      </c>
      <c r="H108" s="19">
        <v>0.0</v>
      </c>
      <c r="I108" s="19">
        <v>0.0</v>
      </c>
      <c r="J108" s="19">
        <v>0.0</v>
      </c>
      <c r="K108" s="19">
        <v>0.0</v>
      </c>
      <c r="L108" s="19">
        <v>0.0</v>
      </c>
      <c r="M108" s="19">
        <v>0.0</v>
      </c>
      <c r="N108" s="19">
        <v>0.0</v>
      </c>
      <c r="O108" s="19">
        <v>0.0</v>
      </c>
      <c r="P108" s="19">
        <v>0.0</v>
      </c>
      <c r="Q108" s="19">
        <v>0.0</v>
      </c>
      <c r="R108" s="13">
        <f t="shared" si="24"/>
        <v>0</v>
      </c>
    </row>
    <row r="109" ht="12.75" customHeight="1">
      <c r="A109" s="18"/>
      <c r="B109" s="55">
        <v>4.0</v>
      </c>
      <c r="C109" s="50" t="s">
        <v>86</v>
      </c>
      <c r="D109" s="60"/>
      <c r="E109" s="85">
        <v>0.0</v>
      </c>
      <c r="F109" s="19">
        <v>0.0</v>
      </c>
      <c r="G109" s="19">
        <v>0.0</v>
      </c>
      <c r="H109" s="19">
        <v>0.0</v>
      </c>
      <c r="I109" s="19">
        <v>0.0</v>
      </c>
      <c r="J109" s="19">
        <v>0.0</v>
      </c>
      <c r="K109" s="19">
        <v>0.0</v>
      </c>
      <c r="L109" s="19">
        <v>0.0</v>
      </c>
      <c r="M109" s="19">
        <v>0.0</v>
      </c>
      <c r="N109" s="19">
        <v>0.0</v>
      </c>
      <c r="O109" s="19">
        <v>0.0</v>
      </c>
      <c r="P109" s="19">
        <v>0.0</v>
      </c>
      <c r="Q109" s="19">
        <v>0.0</v>
      </c>
      <c r="R109" s="13">
        <f t="shared" si="24"/>
        <v>0</v>
      </c>
    </row>
    <row r="110" ht="12.75" customHeight="1">
      <c r="A110" s="18"/>
      <c r="B110" s="55">
        <v>5.0</v>
      </c>
      <c r="C110" s="50" t="s">
        <v>87</v>
      </c>
      <c r="D110" s="60"/>
      <c r="E110" s="85">
        <v>0.0</v>
      </c>
      <c r="F110" s="19">
        <v>0.0</v>
      </c>
      <c r="G110" s="19">
        <v>0.0</v>
      </c>
      <c r="H110" s="19">
        <v>0.0</v>
      </c>
      <c r="I110" s="19">
        <v>0.0</v>
      </c>
      <c r="J110" s="19">
        <v>0.0</v>
      </c>
      <c r="K110" s="19">
        <v>0.0</v>
      </c>
      <c r="L110" s="19">
        <v>0.0</v>
      </c>
      <c r="M110" s="19">
        <v>0.0</v>
      </c>
      <c r="N110" s="19">
        <v>0.0</v>
      </c>
      <c r="O110" s="19">
        <v>0.0</v>
      </c>
      <c r="P110" s="19">
        <v>0.0</v>
      </c>
      <c r="Q110" s="19">
        <v>0.0</v>
      </c>
      <c r="R110" s="13">
        <f t="shared" si="24"/>
        <v>0</v>
      </c>
    </row>
    <row r="111" ht="12.75" customHeight="1">
      <c r="A111" s="18"/>
      <c r="B111" s="55">
        <v>6.0</v>
      </c>
      <c r="C111" s="50" t="s">
        <v>88</v>
      </c>
      <c r="D111" s="60"/>
      <c r="E111" s="85">
        <v>0.0</v>
      </c>
      <c r="F111" s="19">
        <v>0.0</v>
      </c>
      <c r="G111" s="19">
        <v>0.0</v>
      </c>
      <c r="H111" s="19">
        <v>0.0</v>
      </c>
      <c r="I111" s="19">
        <v>0.0</v>
      </c>
      <c r="J111" s="19">
        <v>0.0</v>
      </c>
      <c r="K111" s="19">
        <v>0.0</v>
      </c>
      <c r="L111" s="19">
        <v>0.0</v>
      </c>
      <c r="M111" s="19">
        <v>0.0</v>
      </c>
      <c r="N111" s="19">
        <v>0.0</v>
      </c>
      <c r="O111" s="19">
        <v>0.0</v>
      </c>
      <c r="P111" s="19">
        <v>0.0</v>
      </c>
      <c r="Q111" s="19">
        <v>0.0</v>
      </c>
      <c r="R111" s="13">
        <f t="shared" si="24"/>
        <v>0</v>
      </c>
    </row>
    <row r="112" ht="12.75" customHeight="1">
      <c r="A112" s="18"/>
      <c r="B112" s="55">
        <v>7.0</v>
      </c>
      <c r="C112" s="50" t="s">
        <v>89</v>
      </c>
      <c r="D112" s="60"/>
      <c r="E112" s="85">
        <v>0.0</v>
      </c>
      <c r="F112" s="19">
        <v>0.0</v>
      </c>
      <c r="G112" s="19">
        <v>0.0</v>
      </c>
      <c r="H112" s="19">
        <v>0.0</v>
      </c>
      <c r="I112" s="19">
        <v>0.0</v>
      </c>
      <c r="J112" s="19">
        <v>0.0</v>
      </c>
      <c r="K112" s="19">
        <v>0.0</v>
      </c>
      <c r="L112" s="19">
        <v>0.0</v>
      </c>
      <c r="M112" s="19">
        <v>0.0</v>
      </c>
      <c r="N112" s="19">
        <v>0.0</v>
      </c>
      <c r="O112" s="19">
        <v>0.0</v>
      </c>
      <c r="P112" s="19">
        <v>0.0</v>
      </c>
      <c r="Q112" s="19">
        <v>0.0</v>
      </c>
      <c r="R112" s="13">
        <f t="shared" si="24"/>
        <v>0</v>
      </c>
    </row>
    <row r="113" ht="12.75" customHeight="1">
      <c r="A113" s="18"/>
      <c r="B113" s="56"/>
      <c r="C113" s="57"/>
      <c r="D113" s="62"/>
      <c r="E113" s="85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3">
        <f t="shared" si="24"/>
        <v>0</v>
      </c>
    </row>
    <row r="114" ht="12.75" customHeight="1">
      <c r="A114" s="18"/>
      <c r="B114" s="56"/>
      <c r="C114" s="57"/>
      <c r="D114" s="62"/>
      <c r="E114" s="85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3">
        <f t="shared" si="24"/>
        <v>0</v>
      </c>
    </row>
    <row r="115" ht="12.75" customHeight="1">
      <c r="A115" s="19" t="s">
        <v>15</v>
      </c>
      <c r="B115" s="47" t="s">
        <v>47</v>
      </c>
      <c r="C115" s="15"/>
      <c r="D115" s="16"/>
      <c r="E115" s="13">
        <f t="shared" ref="E115:R115" si="25">SUM(E105:E114)</f>
        <v>0</v>
      </c>
      <c r="F115" s="13">
        <f t="shared" si="25"/>
        <v>1</v>
      </c>
      <c r="G115" s="13">
        <f t="shared" si="25"/>
        <v>1</v>
      </c>
      <c r="H115" s="13">
        <f t="shared" si="25"/>
        <v>1</v>
      </c>
      <c r="I115" s="13">
        <f t="shared" si="25"/>
        <v>1</v>
      </c>
      <c r="J115" s="13">
        <f t="shared" si="25"/>
        <v>0</v>
      </c>
      <c r="K115" s="13">
        <f t="shared" si="25"/>
        <v>0</v>
      </c>
      <c r="L115" s="13">
        <f t="shared" si="25"/>
        <v>1</v>
      </c>
      <c r="M115" s="13">
        <f t="shared" si="25"/>
        <v>0</v>
      </c>
      <c r="N115" s="13">
        <f t="shared" si="25"/>
        <v>0</v>
      </c>
      <c r="O115" s="13">
        <f t="shared" si="25"/>
        <v>0</v>
      </c>
      <c r="P115" s="13">
        <f t="shared" si="25"/>
        <v>0</v>
      </c>
      <c r="Q115" s="13">
        <f t="shared" si="25"/>
        <v>0</v>
      </c>
      <c r="R115" s="13">
        <f t="shared" si="25"/>
        <v>5</v>
      </c>
    </row>
    <row r="116" ht="12.75" customHeight="1">
      <c r="A116" s="24"/>
      <c r="B116" s="15"/>
      <c r="C116" s="15"/>
      <c r="D116" s="15"/>
      <c r="E116" s="16"/>
      <c r="F116" s="84"/>
      <c r="G116" s="84"/>
      <c r="H116" s="84"/>
      <c r="I116" s="84"/>
      <c r="J116" s="84"/>
      <c r="K116" s="84"/>
      <c r="L116" s="84"/>
      <c r="M116" s="84"/>
      <c r="N116" s="84"/>
      <c r="O116" s="84"/>
      <c r="P116" s="84"/>
      <c r="Q116" s="84"/>
      <c r="R116" s="13"/>
    </row>
    <row r="117" ht="12.75" customHeight="1">
      <c r="A117" s="30" t="s">
        <v>37</v>
      </c>
      <c r="B117" s="47" t="s">
        <v>90</v>
      </c>
      <c r="C117" s="48" t="s">
        <v>91</v>
      </c>
      <c r="D117" s="16"/>
      <c r="E117" s="19">
        <v>0.0</v>
      </c>
      <c r="F117" s="19">
        <v>0.0</v>
      </c>
      <c r="G117" s="19">
        <v>0.0</v>
      </c>
      <c r="H117" s="19">
        <v>2.0</v>
      </c>
      <c r="I117" s="19">
        <v>0.0</v>
      </c>
      <c r="J117" s="19">
        <v>0.0</v>
      </c>
      <c r="K117" s="19">
        <v>0.0</v>
      </c>
      <c r="L117" s="19">
        <v>0.0</v>
      </c>
      <c r="M117" s="19">
        <v>0.0</v>
      </c>
      <c r="N117" s="19">
        <v>0.0</v>
      </c>
      <c r="O117" s="19">
        <v>0.0</v>
      </c>
      <c r="P117" s="19">
        <v>1.0</v>
      </c>
      <c r="Q117" s="19">
        <v>0.0</v>
      </c>
      <c r="R117" s="13">
        <f t="shared" ref="R117:R126" si="26">SUM(E117:Q117)</f>
        <v>3</v>
      </c>
    </row>
    <row r="118" ht="12.75" customHeight="1">
      <c r="A118" s="30" t="s">
        <v>39</v>
      </c>
      <c r="B118" s="55">
        <v>1.0</v>
      </c>
      <c r="C118" s="50" t="s">
        <v>92</v>
      </c>
      <c r="D118" s="60"/>
      <c r="E118" s="19">
        <v>0.0</v>
      </c>
      <c r="F118" s="19">
        <v>0.0</v>
      </c>
      <c r="G118" s="19">
        <v>0.0</v>
      </c>
      <c r="H118" s="19">
        <v>0.0</v>
      </c>
      <c r="I118" s="19">
        <v>0.0</v>
      </c>
      <c r="J118" s="19">
        <v>1.0</v>
      </c>
      <c r="K118" s="19">
        <v>0.0</v>
      </c>
      <c r="L118" s="19">
        <v>0.0</v>
      </c>
      <c r="M118" s="19">
        <v>0.0</v>
      </c>
      <c r="N118" s="19">
        <v>0.0</v>
      </c>
      <c r="O118" s="19">
        <v>1.0</v>
      </c>
      <c r="P118" s="19">
        <v>0.0</v>
      </c>
      <c r="Q118" s="19">
        <v>0.0</v>
      </c>
      <c r="R118" s="13">
        <f t="shared" si="26"/>
        <v>2</v>
      </c>
    </row>
    <row r="119" ht="12.75" customHeight="1">
      <c r="A119" s="18"/>
      <c r="B119" s="55">
        <v>2.0</v>
      </c>
      <c r="C119" s="50" t="s">
        <v>93</v>
      </c>
      <c r="D119" s="60"/>
      <c r="E119" s="19">
        <v>0.0</v>
      </c>
      <c r="F119" s="19">
        <v>0.0</v>
      </c>
      <c r="G119" s="19">
        <v>0.0</v>
      </c>
      <c r="H119" s="19">
        <v>0.0</v>
      </c>
      <c r="I119" s="19">
        <v>0.0</v>
      </c>
      <c r="J119" s="19">
        <v>0.0</v>
      </c>
      <c r="K119" s="19">
        <v>0.0</v>
      </c>
      <c r="L119" s="19">
        <v>0.0</v>
      </c>
      <c r="M119" s="19">
        <v>0.0</v>
      </c>
      <c r="N119" s="19">
        <v>0.0</v>
      </c>
      <c r="O119" s="19">
        <v>0.0</v>
      </c>
      <c r="P119" s="19">
        <v>0.0</v>
      </c>
      <c r="Q119" s="19">
        <v>0.0</v>
      </c>
      <c r="R119" s="13">
        <f t="shared" si="26"/>
        <v>0</v>
      </c>
    </row>
    <row r="120" ht="12.75" customHeight="1">
      <c r="A120" s="18"/>
      <c r="B120" s="55">
        <v>3.0</v>
      </c>
      <c r="C120" s="50" t="s">
        <v>94</v>
      </c>
      <c r="D120" s="60"/>
      <c r="E120" s="19">
        <v>0.0</v>
      </c>
      <c r="F120" s="19">
        <v>0.0</v>
      </c>
      <c r="G120" s="19">
        <v>0.0</v>
      </c>
      <c r="H120" s="19">
        <v>0.0</v>
      </c>
      <c r="I120" s="19">
        <v>0.0</v>
      </c>
      <c r="J120" s="19">
        <v>0.0</v>
      </c>
      <c r="K120" s="19">
        <v>0.0</v>
      </c>
      <c r="L120" s="19">
        <v>1.0</v>
      </c>
      <c r="M120" s="19">
        <v>0.0</v>
      </c>
      <c r="N120" s="19">
        <v>0.0</v>
      </c>
      <c r="O120" s="19">
        <v>0.0</v>
      </c>
      <c r="P120" s="19">
        <v>0.0</v>
      </c>
      <c r="Q120" s="19">
        <v>0.0</v>
      </c>
      <c r="R120" s="13">
        <f t="shared" si="26"/>
        <v>1</v>
      </c>
    </row>
    <row r="121" ht="12.75" customHeight="1">
      <c r="A121" s="18"/>
      <c r="B121" s="56"/>
      <c r="C121" s="57"/>
      <c r="D121" s="62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3">
        <f t="shared" si="26"/>
        <v>0</v>
      </c>
    </row>
    <row r="122" ht="12.75" customHeight="1">
      <c r="A122" s="18"/>
      <c r="B122" s="56"/>
      <c r="C122" s="57"/>
      <c r="D122" s="62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3">
        <f t="shared" si="26"/>
        <v>0</v>
      </c>
    </row>
    <row r="123" ht="12.75" customHeight="1">
      <c r="A123" s="18"/>
      <c r="B123" s="56"/>
      <c r="C123" s="57"/>
      <c r="D123" s="62"/>
      <c r="E123" s="63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13">
        <f t="shared" si="26"/>
        <v>0</v>
      </c>
    </row>
    <row r="124" ht="12.75" customHeight="1">
      <c r="A124" s="18"/>
      <c r="B124" s="56"/>
      <c r="C124" s="57"/>
      <c r="D124" s="62"/>
      <c r="E124" s="63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13">
        <f t="shared" si="26"/>
        <v>0</v>
      </c>
    </row>
    <row r="125" ht="12.75" customHeight="1">
      <c r="A125" s="18"/>
      <c r="B125" s="56"/>
      <c r="C125" s="57"/>
      <c r="D125" s="62"/>
      <c r="E125" s="63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13">
        <f t="shared" si="26"/>
        <v>0</v>
      </c>
    </row>
    <row r="126" ht="12.75" customHeight="1">
      <c r="A126" s="18"/>
      <c r="B126" s="56"/>
      <c r="C126" s="57"/>
      <c r="D126" s="62"/>
      <c r="E126" s="63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13">
        <f t="shared" si="26"/>
        <v>0</v>
      </c>
    </row>
    <row r="127" ht="12.75" customHeight="1">
      <c r="A127" s="19" t="s">
        <v>15</v>
      </c>
      <c r="B127" s="47" t="s">
        <v>47</v>
      </c>
      <c r="C127" s="15"/>
      <c r="D127" s="16"/>
      <c r="E127" s="13">
        <f t="shared" ref="E127:R127" si="27">SUM(E117:E126)</f>
        <v>0</v>
      </c>
      <c r="F127" s="13">
        <f t="shared" si="27"/>
        <v>0</v>
      </c>
      <c r="G127" s="13">
        <f t="shared" si="27"/>
        <v>0</v>
      </c>
      <c r="H127" s="13">
        <f t="shared" si="27"/>
        <v>2</v>
      </c>
      <c r="I127" s="13">
        <f t="shared" si="27"/>
        <v>0</v>
      </c>
      <c r="J127" s="13">
        <f t="shared" si="27"/>
        <v>1</v>
      </c>
      <c r="K127" s="13">
        <f t="shared" si="27"/>
        <v>0</v>
      </c>
      <c r="L127" s="13">
        <f t="shared" si="27"/>
        <v>1</v>
      </c>
      <c r="M127" s="13">
        <f t="shared" si="27"/>
        <v>0</v>
      </c>
      <c r="N127" s="13">
        <f t="shared" si="27"/>
        <v>0</v>
      </c>
      <c r="O127" s="13">
        <f t="shared" si="27"/>
        <v>1</v>
      </c>
      <c r="P127" s="13">
        <f t="shared" si="27"/>
        <v>1</v>
      </c>
      <c r="Q127" s="13">
        <f t="shared" si="27"/>
        <v>0</v>
      </c>
      <c r="R127" s="13">
        <f t="shared" si="27"/>
        <v>6</v>
      </c>
    </row>
    <row r="128" ht="12.75" customHeight="1">
      <c r="A128" s="24"/>
      <c r="B128" s="15"/>
      <c r="C128" s="15"/>
      <c r="D128" s="15"/>
      <c r="E128" s="16"/>
      <c r="F128" s="84"/>
      <c r="G128" s="84"/>
      <c r="H128" s="84"/>
      <c r="I128" s="84"/>
      <c r="J128" s="84"/>
      <c r="K128" s="84"/>
      <c r="L128" s="84"/>
      <c r="M128" s="84"/>
      <c r="N128" s="84"/>
      <c r="O128" s="84"/>
      <c r="P128" s="84"/>
      <c r="Q128" s="84"/>
      <c r="R128" s="84"/>
    </row>
    <row r="129" ht="12.75" customHeight="1">
      <c r="A129" s="30" t="s">
        <v>37</v>
      </c>
      <c r="B129" s="47" t="s">
        <v>95</v>
      </c>
      <c r="C129" s="48" t="s">
        <v>96</v>
      </c>
      <c r="D129" s="16"/>
      <c r="E129" s="19">
        <v>0.0</v>
      </c>
      <c r="F129" s="19">
        <v>0.0</v>
      </c>
      <c r="G129" s="19">
        <v>0.0</v>
      </c>
      <c r="H129" s="19">
        <v>0.0</v>
      </c>
      <c r="I129" s="19">
        <v>0.0</v>
      </c>
      <c r="J129" s="19">
        <v>0.0</v>
      </c>
      <c r="K129" s="19">
        <v>0.0</v>
      </c>
      <c r="L129" s="19">
        <v>1.0</v>
      </c>
      <c r="M129" s="19">
        <v>0.0</v>
      </c>
      <c r="N129" s="19">
        <v>0.0</v>
      </c>
      <c r="O129" s="19">
        <v>0.0</v>
      </c>
      <c r="P129" s="19">
        <v>2.0</v>
      </c>
      <c r="Q129" s="19">
        <v>1.0</v>
      </c>
      <c r="R129" s="13">
        <f t="shared" ref="R129:R138" si="28">SUM(E129:Q129)</f>
        <v>4</v>
      </c>
    </row>
    <row r="130" ht="12.75" customHeight="1">
      <c r="A130" s="30" t="s">
        <v>39</v>
      </c>
      <c r="B130" s="55">
        <v>1.0</v>
      </c>
      <c r="C130" s="50" t="s">
        <v>97</v>
      </c>
      <c r="D130" s="59"/>
      <c r="E130" s="19">
        <v>0.0</v>
      </c>
      <c r="F130" s="19">
        <v>0.0</v>
      </c>
      <c r="G130" s="19">
        <v>0.0</v>
      </c>
      <c r="H130" s="19">
        <v>0.0</v>
      </c>
      <c r="I130" s="19">
        <v>0.0</v>
      </c>
      <c r="J130" s="19">
        <v>0.0</v>
      </c>
      <c r="K130" s="19">
        <v>0.0</v>
      </c>
      <c r="L130" s="19">
        <v>1.0</v>
      </c>
      <c r="M130" s="19">
        <v>0.0</v>
      </c>
      <c r="N130" s="19">
        <v>0.0</v>
      </c>
      <c r="O130" s="19">
        <v>0.0</v>
      </c>
      <c r="P130" s="19">
        <v>0.0</v>
      </c>
      <c r="Q130" s="19">
        <v>0.0</v>
      </c>
      <c r="R130" s="13">
        <f t="shared" si="28"/>
        <v>1</v>
      </c>
    </row>
    <row r="131" ht="12.75" customHeight="1">
      <c r="A131" s="18"/>
      <c r="B131" s="55">
        <v>2.0</v>
      </c>
      <c r="C131" s="50" t="s">
        <v>98</v>
      </c>
      <c r="D131" s="59"/>
      <c r="E131" s="19">
        <v>0.0</v>
      </c>
      <c r="F131" s="19">
        <v>0.0</v>
      </c>
      <c r="G131" s="19">
        <v>0.0</v>
      </c>
      <c r="H131" s="19">
        <v>0.0</v>
      </c>
      <c r="I131" s="19">
        <v>0.0</v>
      </c>
      <c r="J131" s="19">
        <v>0.0</v>
      </c>
      <c r="K131" s="19">
        <v>0.0</v>
      </c>
      <c r="L131" s="19">
        <v>0.0</v>
      </c>
      <c r="M131" s="19">
        <v>0.0</v>
      </c>
      <c r="N131" s="19">
        <v>0.0</v>
      </c>
      <c r="O131" s="19">
        <v>0.0</v>
      </c>
      <c r="P131" s="19">
        <v>0.0</v>
      </c>
      <c r="Q131" s="19">
        <v>0.0</v>
      </c>
      <c r="R131" s="13">
        <f t="shared" si="28"/>
        <v>0</v>
      </c>
    </row>
    <row r="132" ht="12.75" customHeight="1">
      <c r="A132" s="18"/>
      <c r="B132" s="55">
        <v>3.0</v>
      </c>
      <c r="C132" s="50" t="s">
        <v>99</v>
      </c>
      <c r="D132" s="59"/>
      <c r="E132" s="19">
        <v>0.0</v>
      </c>
      <c r="F132" s="19">
        <v>0.0</v>
      </c>
      <c r="G132" s="19">
        <v>0.0</v>
      </c>
      <c r="H132" s="19">
        <v>0.0</v>
      </c>
      <c r="I132" s="19">
        <v>0.0</v>
      </c>
      <c r="J132" s="19">
        <v>0.0</v>
      </c>
      <c r="K132" s="19">
        <v>0.0</v>
      </c>
      <c r="L132" s="19">
        <v>0.0</v>
      </c>
      <c r="M132" s="19">
        <v>0.0</v>
      </c>
      <c r="N132" s="19">
        <v>0.0</v>
      </c>
      <c r="O132" s="19">
        <v>0.0</v>
      </c>
      <c r="P132" s="19">
        <v>0.0</v>
      </c>
      <c r="Q132" s="19">
        <v>0.0</v>
      </c>
      <c r="R132" s="13">
        <f t="shared" si="28"/>
        <v>0</v>
      </c>
    </row>
    <row r="133" ht="12.75" customHeight="1">
      <c r="A133" s="18"/>
      <c r="B133" s="55">
        <v>4.0</v>
      </c>
      <c r="C133" s="50" t="s">
        <v>100</v>
      </c>
      <c r="D133" s="59"/>
      <c r="E133" s="19">
        <v>0.0</v>
      </c>
      <c r="F133" s="19">
        <v>0.0</v>
      </c>
      <c r="G133" s="19">
        <v>0.0</v>
      </c>
      <c r="H133" s="19">
        <v>0.0</v>
      </c>
      <c r="I133" s="19">
        <v>0.0</v>
      </c>
      <c r="J133" s="19">
        <v>0.0</v>
      </c>
      <c r="K133" s="19">
        <v>0.0</v>
      </c>
      <c r="L133" s="19">
        <v>0.0</v>
      </c>
      <c r="M133" s="19">
        <v>0.0</v>
      </c>
      <c r="N133" s="19">
        <v>1.0</v>
      </c>
      <c r="O133" s="19">
        <v>0.0</v>
      </c>
      <c r="P133" s="19">
        <v>0.0</v>
      </c>
      <c r="Q133" s="19">
        <v>0.0</v>
      </c>
      <c r="R133" s="13">
        <f t="shared" si="28"/>
        <v>1</v>
      </c>
    </row>
    <row r="134" ht="12.75" customHeight="1">
      <c r="A134" s="18"/>
      <c r="B134" s="55">
        <v>5.0</v>
      </c>
      <c r="C134" s="50" t="s">
        <v>101</v>
      </c>
      <c r="D134" s="59"/>
      <c r="E134" s="19">
        <v>0.0</v>
      </c>
      <c r="F134" s="19">
        <v>0.0</v>
      </c>
      <c r="G134" s="19">
        <v>0.0</v>
      </c>
      <c r="H134" s="19">
        <v>0.0</v>
      </c>
      <c r="I134" s="19">
        <v>0.0</v>
      </c>
      <c r="J134" s="19">
        <v>0.0</v>
      </c>
      <c r="K134" s="19">
        <v>0.0</v>
      </c>
      <c r="L134" s="19">
        <v>0.0</v>
      </c>
      <c r="M134" s="19">
        <v>0.0</v>
      </c>
      <c r="N134" s="19">
        <v>0.0</v>
      </c>
      <c r="O134" s="19">
        <v>0.0</v>
      </c>
      <c r="P134" s="19">
        <v>0.0</v>
      </c>
      <c r="Q134" s="19">
        <v>0.0</v>
      </c>
      <c r="R134" s="13">
        <f t="shared" si="28"/>
        <v>0</v>
      </c>
    </row>
    <row r="135" ht="12.75" customHeight="1">
      <c r="A135" s="18"/>
      <c r="B135" s="55">
        <v>6.0</v>
      </c>
      <c r="C135" s="50" t="s">
        <v>102</v>
      </c>
      <c r="D135" s="60"/>
      <c r="E135" s="19">
        <v>0.0</v>
      </c>
      <c r="F135" s="19">
        <v>0.0</v>
      </c>
      <c r="G135" s="19">
        <v>0.0</v>
      </c>
      <c r="H135" s="19">
        <v>0.0</v>
      </c>
      <c r="I135" s="19">
        <v>0.0</v>
      </c>
      <c r="J135" s="19">
        <v>0.0</v>
      </c>
      <c r="K135" s="19">
        <v>0.0</v>
      </c>
      <c r="L135" s="19">
        <v>0.0</v>
      </c>
      <c r="M135" s="19">
        <v>0.0</v>
      </c>
      <c r="N135" s="19">
        <v>0.0</v>
      </c>
      <c r="O135" s="19">
        <v>0.0</v>
      </c>
      <c r="P135" s="19">
        <v>0.0</v>
      </c>
      <c r="Q135" s="19">
        <v>0.0</v>
      </c>
      <c r="R135" s="13">
        <f t="shared" si="28"/>
        <v>0</v>
      </c>
    </row>
    <row r="136" ht="12.75" customHeight="1">
      <c r="A136" s="18"/>
      <c r="B136" s="55">
        <v>7.0</v>
      </c>
      <c r="C136" s="50" t="s">
        <v>103</v>
      </c>
      <c r="D136" s="59"/>
      <c r="E136" s="19">
        <v>0.0</v>
      </c>
      <c r="F136" s="19">
        <v>0.0</v>
      </c>
      <c r="G136" s="19">
        <v>0.0</v>
      </c>
      <c r="H136" s="19">
        <v>0.0</v>
      </c>
      <c r="I136" s="19">
        <v>0.0</v>
      </c>
      <c r="J136" s="19">
        <v>0.0</v>
      </c>
      <c r="K136" s="19">
        <v>0.0</v>
      </c>
      <c r="L136" s="19">
        <v>0.0</v>
      </c>
      <c r="M136" s="19">
        <v>0.0</v>
      </c>
      <c r="N136" s="19">
        <v>0.0</v>
      </c>
      <c r="O136" s="19">
        <v>0.0</v>
      </c>
      <c r="P136" s="19">
        <v>0.0</v>
      </c>
      <c r="Q136" s="19">
        <v>0.0</v>
      </c>
      <c r="R136" s="13">
        <f t="shared" si="28"/>
        <v>0</v>
      </c>
    </row>
    <row r="137" ht="12.75" customHeight="1">
      <c r="A137" s="18"/>
      <c r="B137" s="56"/>
      <c r="C137" s="57"/>
      <c r="D137" s="61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3">
        <f t="shared" si="28"/>
        <v>0</v>
      </c>
    </row>
    <row r="138" ht="12.75" customHeight="1">
      <c r="A138" s="18"/>
      <c r="B138" s="56"/>
      <c r="C138" s="57"/>
      <c r="D138" s="61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3">
        <f t="shared" si="28"/>
        <v>0</v>
      </c>
    </row>
    <row r="139" ht="12.75" customHeight="1">
      <c r="A139" s="19" t="s">
        <v>15</v>
      </c>
      <c r="B139" s="47" t="s">
        <v>47</v>
      </c>
      <c r="C139" s="15"/>
      <c r="D139" s="16"/>
      <c r="E139" s="13">
        <f t="shared" ref="E139:R139" si="29">SUM(E129:E138)</f>
        <v>0</v>
      </c>
      <c r="F139" s="13">
        <f t="shared" si="29"/>
        <v>0</v>
      </c>
      <c r="G139" s="13">
        <f t="shared" si="29"/>
        <v>0</v>
      </c>
      <c r="H139" s="13">
        <f t="shared" si="29"/>
        <v>0</v>
      </c>
      <c r="I139" s="13">
        <f t="shared" si="29"/>
        <v>0</v>
      </c>
      <c r="J139" s="13">
        <f t="shared" si="29"/>
        <v>0</v>
      </c>
      <c r="K139" s="13">
        <f t="shared" si="29"/>
        <v>0</v>
      </c>
      <c r="L139" s="13">
        <f t="shared" si="29"/>
        <v>2</v>
      </c>
      <c r="M139" s="13">
        <f t="shared" si="29"/>
        <v>0</v>
      </c>
      <c r="N139" s="13">
        <f t="shared" si="29"/>
        <v>1</v>
      </c>
      <c r="O139" s="13">
        <f t="shared" si="29"/>
        <v>0</v>
      </c>
      <c r="P139" s="13">
        <f t="shared" si="29"/>
        <v>2</v>
      </c>
      <c r="Q139" s="13">
        <f t="shared" si="29"/>
        <v>1</v>
      </c>
      <c r="R139" s="13">
        <f t="shared" si="29"/>
        <v>6</v>
      </c>
    </row>
    <row r="140" ht="12.75" customHeight="1">
      <c r="A140" s="24"/>
      <c r="B140" s="15"/>
      <c r="C140" s="15"/>
      <c r="D140" s="15"/>
      <c r="E140" s="16"/>
      <c r="F140" s="84"/>
      <c r="G140" s="84"/>
      <c r="H140" s="84"/>
      <c r="I140" s="84"/>
      <c r="J140" s="84"/>
      <c r="K140" s="84"/>
      <c r="L140" s="84"/>
      <c r="M140" s="84"/>
      <c r="N140" s="84"/>
      <c r="O140" s="84"/>
      <c r="P140" s="84"/>
      <c r="Q140" s="84"/>
      <c r="R140" s="84"/>
    </row>
    <row r="141" ht="12.75" customHeight="1">
      <c r="A141" s="30" t="s">
        <v>37</v>
      </c>
      <c r="B141" s="47" t="s">
        <v>104</v>
      </c>
      <c r="C141" s="48" t="s">
        <v>105</v>
      </c>
      <c r="D141" s="16"/>
      <c r="E141" s="19">
        <v>0.0</v>
      </c>
      <c r="F141" s="19">
        <v>0.0</v>
      </c>
      <c r="G141" s="19">
        <v>0.0</v>
      </c>
      <c r="H141" s="19">
        <v>0.0</v>
      </c>
      <c r="I141" s="19">
        <v>0.0</v>
      </c>
      <c r="J141" s="19">
        <v>0.0</v>
      </c>
      <c r="K141" s="19">
        <v>0.0</v>
      </c>
      <c r="L141" s="19">
        <v>0.0</v>
      </c>
      <c r="M141" s="19">
        <v>0.0</v>
      </c>
      <c r="N141" s="19">
        <v>0.0</v>
      </c>
      <c r="O141" s="19">
        <v>0.0</v>
      </c>
      <c r="P141" s="19">
        <v>0.0</v>
      </c>
      <c r="Q141" s="19">
        <v>0.0</v>
      </c>
      <c r="R141" s="13">
        <f t="shared" ref="R141:R150" si="30">SUM(E141:Q141)</f>
        <v>0</v>
      </c>
    </row>
    <row r="142" ht="12.75" customHeight="1">
      <c r="A142" s="30" t="s">
        <v>39</v>
      </c>
      <c r="B142" s="55">
        <v>1.0</v>
      </c>
      <c r="C142" s="50" t="s">
        <v>106</v>
      </c>
      <c r="D142" s="60"/>
      <c r="E142" s="19">
        <v>0.0</v>
      </c>
      <c r="F142" s="19">
        <v>0.0</v>
      </c>
      <c r="G142" s="19">
        <v>0.0</v>
      </c>
      <c r="H142" s="19">
        <v>0.0</v>
      </c>
      <c r="I142" s="19">
        <v>0.0</v>
      </c>
      <c r="J142" s="19">
        <v>0.0</v>
      </c>
      <c r="K142" s="19">
        <v>0.0</v>
      </c>
      <c r="L142" s="19">
        <v>0.0</v>
      </c>
      <c r="M142" s="19">
        <v>0.0</v>
      </c>
      <c r="N142" s="19">
        <v>0.0</v>
      </c>
      <c r="O142" s="19">
        <v>0.0</v>
      </c>
      <c r="P142" s="19">
        <v>0.0</v>
      </c>
      <c r="Q142" s="19">
        <v>0.0</v>
      </c>
      <c r="R142" s="13">
        <f t="shared" si="30"/>
        <v>0</v>
      </c>
    </row>
    <row r="143" ht="12.75" customHeight="1">
      <c r="A143" s="18"/>
      <c r="B143" s="55">
        <v>2.0</v>
      </c>
      <c r="C143" s="50" t="s">
        <v>107</v>
      </c>
      <c r="D143" s="60"/>
      <c r="E143" s="19">
        <v>0.0</v>
      </c>
      <c r="F143" s="19">
        <v>0.0</v>
      </c>
      <c r="G143" s="19">
        <v>0.0</v>
      </c>
      <c r="H143" s="19">
        <v>0.0</v>
      </c>
      <c r="I143" s="19">
        <v>0.0</v>
      </c>
      <c r="J143" s="19">
        <v>0.0</v>
      </c>
      <c r="K143" s="19">
        <v>0.0</v>
      </c>
      <c r="L143" s="19">
        <v>0.0</v>
      </c>
      <c r="M143" s="19">
        <v>0.0</v>
      </c>
      <c r="N143" s="19">
        <v>0.0</v>
      </c>
      <c r="O143" s="19">
        <v>0.0</v>
      </c>
      <c r="P143" s="19">
        <v>0.0</v>
      </c>
      <c r="Q143" s="19">
        <v>0.0</v>
      </c>
      <c r="R143" s="13">
        <f t="shared" si="30"/>
        <v>0</v>
      </c>
    </row>
    <row r="144" ht="12.75" customHeight="1">
      <c r="A144" s="18"/>
      <c r="B144" s="55">
        <v>3.0</v>
      </c>
      <c r="C144" s="50" t="s">
        <v>108</v>
      </c>
      <c r="D144" s="60"/>
      <c r="E144" s="19">
        <v>0.0</v>
      </c>
      <c r="F144" s="19">
        <v>0.0</v>
      </c>
      <c r="G144" s="19">
        <v>0.0</v>
      </c>
      <c r="H144" s="19">
        <v>0.0</v>
      </c>
      <c r="I144" s="19">
        <v>0.0</v>
      </c>
      <c r="J144" s="19">
        <v>0.0</v>
      </c>
      <c r="K144" s="19">
        <v>0.0</v>
      </c>
      <c r="L144" s="19">
        <v>0.0</v>
      </c>
      <c r="M144" s="19">
        <v>0.0</v>
      </c>
      <c r="N144" s="19">
        <v>0.0</v>
      </c>
      <c r="O144" s="19">
        <v>0.0</v>
      </c>
      <c r="P144" s="19">
        <v>0.0</v>
      </c>
      <c r="Q144" s="19">
        <v>0.0</v>
      </c>
      <c r="R144" s="13">
        <f t="shared" si="30"/>
        <v>0</v>
      </c>
    </row>
    <row r="145" ht="12.75" customHeight="1">
      <c r="A145" s="18"/>
      <c r="B145" s="55">
        <v>4.0</v>
      </c>
      <c r="C145" s="50" t="s">
        <v>109</v>
      </c>
      <c r="D145" s="60"/>
      <c r="E145" s="19">
        <v>0.0</v>
      </c>
      <c r="F145" s="19">
        <v>0.0</v>
      </c>
      <c r="G145" s="19">
        <v>0.0</v>
      </c>
      <c r="H145" s="19">
        <v>0.0</v>
      </c>
      <c r="I145" s="19">
        <v>0.0</v>
      </c>
      <c r="J145" s="19">
        <v>0.0</v>
      </c>
      <c r="K145" s="19">
        <v>0.0</v>
      </c>
      <c r="L145" s="19">
        <v>0.0</v>
      </c>
      <c r="M145" s="19">
        <v>0.0</v>
      </c>
      <c r="N145" s="19">
        <v>0.0</v>
      </c>
      <c r="O145" s="19">
        <v>0.0</v>
      </c>
      <c r="P145" s="19">
        <v>0.0</v>
      </c>
      <c r="Q145" s="19">
        <v>0.0</v>
      </c>
      <c r="R145" s="13">
        <f t="shared" si="30"/>
        <v>0</v>
      </c>
    </row>
    <row r="146" ht="12.75" customHeight="1">
      <c r="A146" s="18"/>
      <c r="B146" s="55">
        <v>5.0</v>
      </c>
      <c r="C146" s="50" t="s">
        <v>110</v>
      </c>
      <c r="D146" s="60"/>
      <c r="E146" s="19">
        <v>0.0</v>
      </c>
      <c r="F146" s="19">
        <v>0.0</v>
      </c>
      <c r="G146" s="19">
        <v>0.0</v>
      </c>
      <c r="H146" s="19">
        <v>0.0</v>
      </c>
      <c r="I146" s="19">
        <v>0.0</v>
      </c>
      <c r="J146" s="19">
        <v>0.0</v>
      </c>
      <c r="K146" s="19">
        <v>1.0</v>
      </c>
      <c r="L146" s="19">
        <v>0.0</v>
      </c>
      <c r="M146" s="19">
        <v>0.0</v>
      </c>
      <c r="N146" s="19">
        <v>0.0</v>
      </c>
      <c r="O146" s="19">
        <v>0.0</v>
      </c>
      <c r="P146" s="19">
        <v>0.0</v>
      </c>
      <c r="Q146" s="19">
        <v>0.0</v>
      </c>
      <c r="R146" s="13">
        <f t="shared" si="30"/>
        <v>1</v>
      </c>
    </row>
    <row r="147" ht="12.75" customHeight="1">
      <c r="A147" s="18"/>
      <c r="B147" s="55">
        <v>6.0</v>
      </c>
      <c r="C147" s="50" t="s">
        <v>111</v>
      </c>
      <c r="D147" s="60"/>
      <c r="E147" s="19">
        <v>0.0</v>
      </c>
      <c r="F147" s="19">
        <v>0.0</v>
      </c>
      <c r="G147" s="19">
        <v>0.0</v>
      </c>
      <c r="H147" s="19">
        <v>0.0</v>
      </c>
      <c r="I147" s="19">
        <v>0.0</v>
      </c>
      <c r="J147" s="19">
        <v>0.0</v>
      </c>
      <c r="K147" s="19">
        <v>0.0</v>
      </c>
      <c r="L147" s="19">
        <v>0.0</v>
      </c>
      <c r="M147" s="19">
        <v>0.0</v>
      </c>
      <c r="N147" s="19">
        <v>0.0</v>
      </c>
      <c r="O147" s="19">
        <v>0.0</v>
      </c>
      <c r="P147" s="19">
        <v>0.0</v>
      </c>
      <c r="Q147" s="19">
        <v>0.0</v>
      </c>
      <c r="R147" s="13">
        <f t="shared" si="30"/>
        <v>0</v>
      </c>
    </row>
    <row r="148" ht="12.75" customHeight="1">
      <c r="A148" s="18"/>
      <c r="B148" s="55">
        <v>7.0</v>
      </c>
      <c r="C148" s="50" t="s">
        <v>112</v>
      </c>
      <c r="D148" s="60"/>
      <c r="E148" s="19">
        <v>0.0</v>
      </c>
      <c r="F148" s="19">
        <v>0.0</v>
      </c>
      <c r="G148" s="19">
        <v>0.0</v>
      </c>
      <c r="H148" s="19">
        <v>0.0</v>
      </c>
      <c r="I148" s="19">
        <v>0.0</v>
      </c>
      <c r="J148" s="19">
        <v>0.0</v>
      </c>
      <c r="K148" s="19">
        <v>0.0</v>
      </c>
      <c r="L148" s="19">
        <v>0.0</v>
      </c>
      <c r="M148" s="19">
        <v>0.0</v>
      </c>
      <c r="N148" s="19">
        <v>0.0</v>
      </c>
      <c r="O148" s="19">
        <v>0.0</v>
      </c>
      <c r="P148" s="19">
        <v>0.0</v>
      </c>
      <c r="Q148" s="19">
        <v>0.0</v>
      </c>
      <c r="R148" s="13">
        <f t="shared" si="30"/>
        <v>0</v>
      </c>
    </row>
    <row r="149" ht="12.75" customHeight="1">
      <c r="A149" s="18"/>
      <c r="B149" s="56"/>
      <c r="C149" s="57"/>
      <c r="D149" s="62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3">
        <f t="shared" si="30"/>
        <v>0</v>
      </c>
    </row>
    <row r="150" ht="12.75" customHeight="1">
      <c r="A150" s="18"/>
      <c r="B150" s="56"/>
      <c r="C150" s="57"/>
      <c r="D150" s="62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3">
        <f t="shared" si="30"/>
        <v>0</v>
      </c>
    </row>
    <row r="151" ht="12.75" customHeight="1">
      <c r="A151" s="19" t="s">
        <v>15</v>
      </c>
      <c r="B151" s="47" t="s">
        <v>47</v>
      </c>
      <c r="C151" s="15"/>
      <c r="D151" s="16"/>
      <c r="E151" s="13">
        <f t="shared" ref="E151:R151" si="31">SUM(E141:E150)</f>
        <v>0</v>
      </c>
      <c r="F151" s="13">
        <f t="shared" si="31"/>
        <v>0</v>
      </c>
      <c r="G151" s="13">
        <f t="shared" si="31"/>
        <v>0</v>
      </c>
      <c r="H151" s="13">
        <f t="shared" si="31"/>
        <v>0</v>
      </c>
      <c r="I151" s="13">
        <f t="shared" si="31"/>
        <v>0</v>
      </c>
      <c r="J151" s="13">
        <f t="shared" si="31"/>
        <v>0</v>
      </c>
      <c r="K151" s="13">
        <f t="shared" si="31"/>
        <v>1</v>
      </c>
      <c r="L151" s="13">
        <f t="shared" si="31"/>
        <v>0</v>
      </c>
      <c r="M151" s="13">
        <f t="shared" si="31"/>
        <v>0</v>
      </c>
      <c r="N151" s="13">
        <f t="shared" si="31"/>
        <v>0</v>
      </c>
      <c r="O151" s="13">
        <f t="shared" si="31"/>
        <v>0</v>
      </c>
      <c r="P151" s="13">
        <f t="shared" si="31"/>
        <v>0</v>
      </c>
      <c r="Q151" s="13">
        <f t="shared" si="31"/>
        <v>0</v>
      </c>
      <c r="R151" s="13">
        <f t="shared" si="31"/>
        <v>1</v>
      </c>
    </row>
    <row r="152" ht="12.75" customHeight="1">
      <c r="A152" s="24"/>
      <c r="B152" s="15"/>
      <c r="C152" s="15"/>
      <c r="D152" s="15"/>
      <c r="E152" s="16"/>
      <c r="F152" s="84"/>
      <c r="G152" s="84"/>
      <c r="H152" s="84"/>
      <c r="I152" s="84"/>
      <c r="J152" s="84"/>
      <c r="K152" s="84"/>
      <c r="L152" s="84"/>
      <c r="M152" s="84"/>
      <c r="N152" s="84"/>
      <c r="O152" s="84"/>
      <c r="P152" s="84"/>
      <c r="Q152" s="84"/>
      <c r="R152" s="13"/>
    </row>
    <row r="153" ht="12.75" customHeight="1">
      <c r="A153" s="30" t="s">
        <v>37</v>
      </c>
      <c r="B153" s="17" t="s">
        <v>113</v>
      </c>
      <c r="C153" s="65" t="s">
        <v>114</v>
      </c>
      <c r="D153" s="23"/>
      <c r="E153" s="19">
        <v>0.0</v>
      </c>
      <c r="F153" s="19">
        <v>0.0</v>
      </c>
      <c r="G153" s="19">
        <v>0.0</v>
      </c>
      <c r="H153" s="19">
        <v>0.0</v>
      </c>
      <c r="I153" s="19">
        <v>0.0</v>
      </c>
      <c r="J153" s="19">
        <v>0.0</v>
      </c>
      <c r="K153" s="19">
        <v>0.0</v>
      </c>
      <c r="L153" s="19">
        <v>0.0</v>
      </c>
      <c r="M153" s="19">
        <v>0.0</v>
      </c>
      <c r="N153" s="19">
        <v>0.0</v>
      </c>
      <c r="O153" s="19">
        <v>0.0</v>
      </c>
      <c r="P153" s="19">
        <v>0.0</v>
      </c>
      <c r="Q153" s="19">
        <v>0.0</v>
      </c>
      <c r="R153" s="13">
        <f t="shared" ref="R153:R163" si="32">SUM(E153:Q153)</f>
        <v>0</v>
      </c>
    </row>
    <row r="154" ht="12.75" customHeight="1">
      <c r="A154" s="66" t="s">
        <v>39</v>
      </c>
      <c r="B154" s="55">
        <v>1.0</v>
      </c>
      <c r="C154" s="67" t="s">
        <v>115</v>
      </c>
      <c r="D154" s="60"/>
      <c r="E154" s="86">
        <v>0.0</v>
      </c>
      <c r="F154" s="19">
        <v>1.0</v>
      </c>
      <c r="G154" s="19">
        <v>0.0</v>
      </c>
      <c r="H154" s="19">
        <v>0.0</v>
      </c>
      <c r="I154" s="19">
        <v>0.0</v>
      </c>
      <c r="J154" s="19">
        <v>0.0</v>
      </c>
      <c r="K154" s="19">
        <v>0.0</v>
      </c>
      <c r="L154" s="19">
        <v>0.0</v>
      </c>
      <c r="M154" s="19">
        <v>0.0</v>
      </c>
      <c r="N154" s="19">
        <v>0.0</v>
      </c>
      <c r="O154" s="19">
        <v>0.0</v>
      </c>
      <c r="P154" s="19">
        <v>0.0</v>
      </c>
      <c r="Q154" s="19">
        <v>0.0</v>
      </c>
      <c r="R154" s="13">
        <f t="shared" si="32"/>
        <v>1</v>
      </c>
    </row>
    <row r="155" ht="12.75" customHeight="1">
      <c r="A155" s="18"/>
      <c r="B155" s="55">
        <v>2.0</v>
      </c>
      <c r="C155" s="67" t="s">
        <v>116</v>
      </c>
      <c r="D155" s="60"/>
      <c r="E155" s="86">
        <v>0.0</v>
      </c>
      <c r="F155" s="19">
        <v>0.0</v>
      </c>
      <c r="G155" s="19">
        <v>0.0</v>
      </c>
      <c r="H155" s="19">
        <v>0.0</v>
      </c>
      <c r="I155" s="19">
        <v>0.0</v>
      </c>
      <c r="J155" s="19">
        <v>0.0</v>
      </c>
      <c r="K155" s="19">
        <v>1.0</v>
      </c>
      <c r="L155" s="19">
        <v>0.0</v>
      </c>
      <c r="M155" s="19">
        <v>0.0</v>
      </c>
      <c r="N155" s="19">
        <v>0.0</v>
      </c>
      <c r="O155" s="19">
        <v>0.0</v>
      </c>
      <c r="P155" s="19">
        <v>0.0</v>
      </c>
      <c r="Q155" s="19">
        <v>0.0</v>
      </c>
      <c r="R155" s="13">
        <f t="shared" si="32"/>
        <v>1</v>
      </c>
    </row>
    <row r="156" ht="12.75" customHeight="1">
      <c r="A156" s="18"/>
      <c r="B156" s="55">
        <v>3.0</v>
      </c>
      <c r="C156" s="67" t="s">
        <v>117</v>
      </c>
      <c r="D156" s="60"/>
      <c r="E156" s="86">
        <v>0.0</v>
      </c>
      <c r="F156" s="19">
        <v>0.0</v>
      </c>
      <c r="G156" s="19">
        <v>0.0</v>
      </c>
      <c r="H156" s="19">
        <v>0.0</v>
      </c>
      <c r="I156" s="19">
        <v>0.0</v>
      </c>
      <c r="J156" s="19">
        <v>0.0</v>
      </c>
      <c r="K156" s="19">
        <v>0.0</v>
      </c>
      <c r="L156" s="19">
        <v>0.0</v>
      </c>
      <c r="M156" s="19">
        <v>0.0</v>
      </c>
      <c r="N156" s="19">
        <v>0.0</v>
      </c>
      <c r="O156" s="19">
        <v>0.0</v>
      </c>
      <c r="P156" s="19">
        <v>0.0</v>
      </c>
      <c r="Q156" s="19">
        <v>0.0</v>
      </c>
      <c r="R156" s="13">
        <f t="shared" si="32"/>
        <v>0</v>
      </c>
    </row>
    <row r="157" ht="12.75" customHeight="1">
      <c r="A157" s="18"/>
      <c r="B157" s="55">
        <v>4.0</v>
      </c>
      <c r="C157" s="67" t="s">
        <v>118</v>
      </c>
      <c r="D157" s="60"/>
      <c r="E157" s="86">
        <v>0.0</v>
      </c>
      <c r="F157" s="19">
        <v>0.0</v>
      </c>
      <c r="G157" s="19">
        <v>0.0</v>
      </c>
      <c r="H157" s="19">
        <v>0.0</v>
      </c>
      <c r="I157" s="19">
        <v>0.0</v>
      </c>
      <c r="J157" s="19">
        <v>0.0</v>
      </c>
      <c r="K157" s="19">
        <v>0.0</v>
      </c>
      <c r="L157" s="19">
        <v>1.0</v>
      </c>
      <c r="M157" s="19">
        <v>0.0</v>
      </c>
      <c r="N157" s="19">
        <v>0.0</v>
      </c>
      <c r="O157" s="19">
        <v>0.0</v>
      </c>
      <c r="P157" s="19">
        <v>0.0</v>
      </c>
      <c r="Q157" s="19">
        <v>0.0</v>
      </c>
      <c r="R157" s="13">
        <f t="shared" si="32"/>
        <v>1</v>
      </c>
    </row>
    <row r="158" ht="12.75" customHeight="1">
      <c r="A158" s="18"/>
      <c r="B158" s="56"/>
      <c r="C158" s="57"/>
      <c r="D158" s="62"/>
      <c r="E158" s="86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3">
        <f t="shared" si="32"/>
        <v>0</v>
      </c>
    </row>
    <row r="159" ht="12.75" customHeight="1">
      <c r="A159" s="18"/>
      <c r="B159" s="56"/>
      <c r="C159" s="57"/>
      <c r="D159" s="62"/>
      <c r="E159" s="86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3">
        <f t="shared" si="32"/>
        <v>0</v>
      </c>
    </row>
    <row r="160" ht="12.75" customHeight="1">
      <c r="A160" s="18"/>
      <c r="B160" s="56"/>
      <c r="C160" s="57"/>
      <c r="D160" s="62"/>
      <c r="E160" s="86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3">
        <f t="shared" si="32"/>
        <v>0</v>
      </c>
    </row>
    <row r="161" ht="12.75" customHeight="1">
      <c r="A161" s="18"/>
      <c r="B161" s="56"/>
      <c r="C161" s="68"/>
      <c r="D161" s="62"/>
      <c r="E161" s="86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3">
        <f t="shared" si="32"/>
        <v>0</v>
      </c>
    </row>
    <row r="162" ht="12.75" customHeight="1">
      <c r="A162" s="18"/>
      <c r="B162" s="56"/>
      <c r="C162" s="68"/>
      <c r="D162" s="62"/>
      <c r="E162" s="86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3">
        <f t="shared" si="32"/>
        <v>0</v>
      </c>
    </row>
    <row r="163" ht="12.75" customHeight="1">
      <c r="A163" s="19" t="s">
        <v>15</v>
      </c>
      <c r="B163" s="69" t="s">
        <v>47</v>
      </c>
      <c r="C163" s="44"/>
      <c r="D163" s="28"/>
      <c r="E163" s="13">
        <f t="shared" ref="E163:Q163" si="33">SUM(E153:E162)</f>
        <v>0</v>
      </c>
      <c r="F163" s="13">
        <f t="shared" si="33"/>
        <v>1</v>
      </c>
      <c r="G163" s="13">
        <f t="shared" si="33"/>
        <v>0</v>
      </c>
      <c r="H163" s="13">
        <f t="shared" si="33"/>
        <v>0</v>
      </c>
      <c r="I163" s="13">
        <f t="shared" si="33"/>
        <v>0</v>
      </c>
      <c r="J163" s="13">
        <f t="shared" si="33"/>
        <v>0</v>
      </c>
      <c r="K163" s="13">
        <f t="shared" si="33"/>
        <v>1</v>
      </c>
      <c r="L163" s="13">
        <f t="shared" si="33"/>
        <v>1</v>
      </c>
      <c r="M163" s="13">
        <f t="shared" si="33"/>
        <v>0</v>
      </c>
      <c r="N163" s="13">
        <f t="shared" si="33"/>
        <v>0</v>
      </c>
      <c r="O163" s="13">
        <f t="shared" si="33"/>
        <v>0</v>
      </c>
      <c r="P163" s="13">
        <f t="shared" si="33"/>
        <v>0</v>
      </c>
      <c r="Q163" s="13">
        <f t="shared" si="33"/>
        <v>0</v>
      </c>
      <c r="R163" s="13">
        <f t="shared" si="32"/>
        <v>3</v>
      </c>
    </row>
    <row r="164" ht="12.75" customHeight="1">
      <c r="A164" s="24"/>
      <c r="B164" s="15"/>
      <c r="C164" s="15"/>
      <c r="D164" s="15"/>
      <c r="E164" s="16"/>
      <c r="F164" s="84"/>
      <c r="G164" s="84"/>
      <c r="H164" s="84"/>
      <c r="I164" s="84"/>
      <c r="J164" s="84"/>
      <c r="K164" s="84"/>
      <c r="L164" s="84"/>
      <c r="M164" s="84"/>
      <c r="N164" s="84"/>
      <c r="O164" s="84"/>
      <c r="P164" s="84"/>
      <c r="Q164" s="84"/>
      <c r="R164" s="84"/>
    </row>
    <row r="165" ht="12.75" customHeight="1">
      <c r="A165" s="30" t="s">
        <v>37</v>
      </c>
      <c r="B165" s="47" t="s">
        <v>119</v>
      </c>
      <c r="C165" s="48" t="s">
        <v>120</v>
      </c>
      <c r="D165" s="16"/>
      <c r="E165" s="19">
        <v>0.0</v>
      </c>
      <c r="F165" s="19">
        <v>0.0</v>
      </c>
      <c r="G165" s="19">
        <v>0.0</v>
      </c>
      <c r="H165" s="19">
        <v>0.0</v>
      </c>
      <c r="I165" s="19">
        <v>0.0</v>
      </c>
      <c r="J165" s="19">
        <v>0.0</v>
      </c>
      <c r="K165" s="19">
        <v>0.0</v>
      </c>
      <c r="L165" s="19">
        <v>0.0</v>
      </c>
      <c r="M165" s="19">
        <v>0.0</v>
      </c>
      <c r="N165" s="19">
        <v>0.0</v>
      </c>
      <c r="O165" s="19">
        <v>0.0</v>
      </c>
      <c r="P165" s="19">
        <v>1.0</v>
      </c>
      <c r="Q165" s="19">
        <v>0.0</v>
      </c>
      <c r="R165" s="13">
        <f t="shared" ref="R165:R174" si="34">SUM(E165:Q165)</f>
        <v>1</v>
      </c>
    </row>
    <row r="166" ht="12.75" customHeight="1">
      <c r="A166" s="30" t="s">
        <v>39</v>
      </c>
      <c r="B166" s="55">
        <v>1.0</v>
      </c>
      <c r="C166" s="50" t="s">
        <v>121</v>
      </c>
      <c r="D166" s="60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3">
        <f t="shared" si="34"/>
        <v>0</v>
      </c>
    </row>
    <row r="167" ht="12.75" customHeight="1">
      <c r="A167" s="18"/>
      <c r="B167" s="55">
        <v>2.0</v>
      </c>
      <c r="C167" s="50" t="s">
        <v>122</v>
      </c>
      <c r="D167" s="60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3">
        <f t="shared" si="34"/>
        <v>0</v>
      </c>
    </row>
    <row r="168" ht="12.75" customHeight="1">
      <c r="A168" s="18"/>
      <c r="B168" s="55">
        <v>3.0</v>
      </c>
      <c r="C168" s="50" t="s">
        <v>123</v>
      </c>
      <c r="D168" s="60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3">
        <f t="shared" si="34"/>
        <v>0</v>
      </c>
    </row>
    <row r="169" ht="12.75" customHeight="1">
      <c r="A169" s="18"/>
      <c r="B169" s="55">
        <v>4.0</v>
      </c>
      <c r="C169" s="50" t="s">
        <v>124</v>
      </c>
      <c r="D169" s="60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3">
        <f t="shared" si="34"/>
        <v>0</v>
      </c>
    </row>
    <row r="170" ht="12.75" customHeight="1">
      <c r="A170" s="18"/>
      <c r="B170" s="55">
        <v>5.0</v>
      </c>
      <c r="C170" s="50" t="s">
        <v>125</v>
      </c>
      <c r="D170" s="60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3">
        <f t="shared" si="34"/>
        <v>0</v>
      </c>
    </row>
    <row r="171" ht="12.75" customHeight="1">
      <c r="A171" s="18"/>
      <c r="B171" s="55">
        <v>6.0</v>
      </c>
      <c r="C171" s="50" t="s">
        <v>126</v>
      </c>
      <c r="D171" s="60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3">
        <f t="shared" si="34"/>
        <v>0</v>
      </c>
    </row>
    <row r="172" ht="12.75" customHeight="1">
      <c r="A172" s="18"/>
      <c r="B172" s="55">
        <v>7.0</v>
      </c>
      <c r="C172" s="50" t="s">
        <v>127</v>
      </c>
      <c r="D172" s="60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3">
        <f t="shared" si="34"/>
        <v>0</v>
      </c>
    </row>
    <row r="173" ht="12.75" customHeight="1">
      <c r="A173" s="18"/>
      <c r="B173" s="56"/>
      <c r="C173" s="57"/>
      <c r="D173" s="62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3">
        <f t="shared" si="34"/>
        <v>0</v>
      </c>
    </row>
    <row r="174" ht="12.75" customHeight="1">
      <c r="A174" s="18"/>
      <c r="B174" s="56"/>
      <c r="C174" s="57"/>
      <c r="D174" s="62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3">
        <f t="shared" si="34"/>
        <v>0</v>
      </c>
    </row>
    <row r="175" ht="12.75" customHeight="1">
      <c r="A175" s="19" t="s">
        <v>15</v>
      </c>
      <c r="B175" s="47" t="s">
        <v>47</v>
      </c>
      <c r="C175" s="15"/>
      <c r="D175" s="16"/>
      <c r="E175" s="13">
        <f t="shared" ref="E175:R175" si="35">SUM(E165:E174)</f>
        <v>0</v>
      </c>
      <c r="F175" s="13">
        <f t="shared" si="35"/>
        <v>0</v>
      </c>
      <c r="G175" s="13">
        <f t="shared" si="35"/>
        <v>0</v>
      </c>
      <c r="H175" s="13">
        <f t="shared" si="35"/>
        <v>0</v>
      </c>
      <c r="I175" s="13">
        <f t="shared" si="35"/>
        <v>0</v>
      </c>
      <c r="J175" s="13">
        <f t="shared" si="35"/>
        <v>0</v>
      </c>
      <c r="K175" s="13">
        <f t="shared" si="35"/>
        <v>0</v>
      </c>
      <c r="L175" s="13">
        <f t="shared" si="35"/>
        <v>0</v>
      </c>
      <c r="M175" s="13">
        <f t="shared" si="35"/>
        <v>0</v>
      </c>
      <c r="N175" s="13">
        <f t="shared" si="35"/>
        <v>0</v>
      </c>
      <c r="O175" s="13">
        <f t="shared" si="35"/>
        <v>0</v>
      </c>
      <c r="P175" s="13">
        <f t="shared" si="35"/>
        <v>1</v>
      </c>
      <c r="Q175" s="13">
        <f t="shared" si="35"/>
        <v>0</v>
      </c>
      <c r="R175" s="13">
        <f t="shared" si="35"/>
        <v>1</v>
      </c>
    </row>
    <row r="176" ht="12.75" customHeight="1">
      <c r="A176" s="24"/>
      <c r="B176" s="15"/>
      <c r="C176" s="15"/>
      <c r="D176" s="15"/>
      <c r="E176" s="16"/>
      <c r="F176" s="84"/>
      <c r="G176" s="84"/>
      <c r="H176" s="84"/>
      <c r="I176" s="84"/>
      <c r="J176" s="84"/>
      <c r="K176" s="84"/>
      <c r="L176" s="84"/>
      <c r="M176" s="84"/>
      <c r="N176" s="84"/>
      <c r="O176" s="84"/>
      <c r="P176" s="84"/>
      <c r="Q176" s="84"/>
      <c r="R176" s="84"/>
    </row>
    <row r="177" ht="12.75" customHeight="1">
      <c r="A177" s="30" t="s">
        <v>37</v>
      </c>
      <c r="B177" s="47" t="s">
        <v>128</v>
      </c>
      <c r="C177" s="48" t="s">
        <v>129</v>
      </c>
      <c r="D177" s="16"/>
      <c r="E177" s="19">
        <v>2.0</v>
      </c>
      <c r="F177" s="19">
        <v>0.0</v>
      </c>
      <c r="G177" s="19">
        <v>0.0</v>
      </c>
      <c r="H177" s="19">
        <v>0.0</v>
      </c>
      <c r="I177" s="19">
        <v>0.0</v>
      </c>
      <c r="J177" s="19">
        <v>0.0</v>
      </c>
      <c r="K177" s="19">
        <v>0.0</v>
      </c>
      <c r="L177" s="19">
        <v>1.0</v>
      </c>
      <c r="M177" s="19">
        <v>1.0</v>
      </c>
      <c r="N177" s="19">
        <v>0.0</v>
      </c>
      <c r="O177" s="19">
        <v>0.0</v>
      </c>
      <c r="P177" s="19">
        <v>0.0</v>
      </c>
      <c r="Q177" s="19">
        <v>0.0</v>
      </c>
      <c r="R177" s="13">
        <f t="shared" ref="R177:R186" si="36">SUM(E177:Q177)</f>
        <v>4</v>
      </c>
    </row>
    <row r="178" ht="12.75" customHeight="1">
      <c r="A178" s="30" t="s">
        <v>39</v>
      </c>
      <c r="B178" s="55">
        <v>1.0</v>
      </c>
      <c r="C178" s="50" t="s">
        <v>130</v>
      </c>
      <c r="D178" s="60"/>
      <c r="E178" s="19">
        <v>0.0</v>
      </c>
      <c r="F178" s="19">
        <v>0.0</v>
      </c>
      <c r="G178" s="19">
        <v>4.0</v>
      </c>
      <c r="H178" s="19">
        <v>4.0</v>
      </c>
      <c r="I178" s="19">
        <v>3.0</v>
      </c>
      <c r="J178" s="19">
        <v>0.0</v>
      </c>
      <c r="K178" s="19">
        <v>1.0</v>
      </c>
      <c r="L178" s="19">
        <v>0.0</v>
      </c>
      <c r="M178" s="19">
        <v>0.0</v>
      </c>
      <c r="N178" s="19">
        <v>1.0</v>
      </c>
      <c r="O178" s="19">
        <v>0.0</v>
      </c>
      <c r="P178" s="19">
        <v>0.0</v>
      </c>
      <c r="Q178" s="19">
        <v>2.0</v>
      </c>
      <c r="R178" s="13">
        <f t="shared" si="36"/>
        <v>15</v>
      </c>
    </row>
    <row r="179" ht="12.75" customHeight="1">
      <c r="A179" s="18"/>
      <c r="B179" s="55">
        <v>2.0</v>
      </c>
      <c r="C179" s="50" t="s">
        <v>131</v>
      </c>
      <c r="D179" s="60"/>
      <c r="E179" s="19">
        <v>0.0</v>
      </c>
      <c r="F179" s="19">
        <v>0.0</v>
      </c>
      <c r="G179" s="19">
        <v>0.0</v>
      </c>
      <c r="H179" s="19">
        <v>0.0</v>
      </c>
      <c r="I179" s="19">
        <v>0.0</v>
      </c>
      <c r="J179" s="19">
        <v>0.0</v>
      </c>
      <c r="K179" s="19">
        <v>1.0</v>
      </c>
      <c r="L179" s="19">
        <v>0.0</v>
      </c>
      <c r="M179" s="19">
        <v>0.0</v>
      </c>
      <c r="N179" s="19">
        <v>0.0</v>
      </c>
      <c r="O179" s="19">
        <v>0.0</v>
      </c>
      <c r="P179" s="19">
        <v>0.0</v>
      </c>
      <c r="Q179" s="19">
        <v>0.0</v>
      </c>
      <c r="R179" s="13">
        <f t="shared" si="36"/>
        <v>1</v>
      </c>
    </row>
    <row r="180" ht="12.75" customHeight="1">
      <c r="A180" s="18"/>
      <c r="B180" s="55">
        <v>3.0</v>
      </c>
      <c r="C180" s="50" t="s">
        <v>132</v>
      </c>
      <c r="D180" s="60"/>
      <c r="E180" s="19">
        <v>1.0</v>
      </c>
      <c r="F180" s="19">
        <v>0.0</v>
      </c>
      <c r="G180" s="19">
        <v>0.0</v>
      </c>
      <c r="H180" s="19">
        <v>0.0</v>
      </c>
      <c r="I180" s="19">
        <v>0.0</v>
      </c>
      <c r="J180" s="19">
        <v>0.0</v>
      </c>
      <c r="K180" s="19">
        <v>0.0</v>
      </c>
      <c r="L180" s="19">
        <v>0.0</v>
      </c>
      <c r="M180" s="19">
        <v>0.0</v>
      </c>
      <c r="N180" s="19">
        <v>0.0</v>
      </c>
      <c r="O180" s="19">
        <v>0.0</v>
      </c>
      <c r="P180" s="19">
        <v>0.0</v>
      </c>
      <c r="Q180" s="19">
        <v>0.0</v>
      </c>
      <c r="R180" s="13">
        <f t="shared" si="36"/>
        <v>1</v>
      </c>
    </row>
    <row r="181" ht="12.75" customHeight="1">
      <c r="A181" s="18"/>
      <c r="B181" s="55">
        <v>4.0</v>
      </c>
      <c r="C181" s="50" t="s">
        <v>133</v>
      </c>
      <c r="D181" s="60"/>
      <c r="E181" s="19">
        <v>0.0</v>
      </c>
      <c r="F181" s="19">
        <v>0.0</v>
      </c>
      <c r="G181" s="19">
        <v>0.0</v>
      </c>
      <c r="H181" s="19">
        <v>0.0</v>
      </c>
      <c r="I181" s="19">
        <v>0.0</v>
      </c>
      <c r="J181" s="19">
        <v>0.0</v>
      </c>
      <c r="K181" s="19">
        <v>1.0</v>
      </c>
      <c r="L181" s="19">
        <v>0.0</v>
      </c>
      <c r="M181" s="19">
        <v>0.0</v>
      </c>
      <c r="N181" s="19">
        <v>0.0</v>
      </c>
      <c r="O181" s="19">
        <v>0.0</v>
      </c>
      <c r="P181" s="19">
        <v>0.0</v>
      </c>
      <c r="Q181" s="19">
        <v>0.0</v>
      </c>
      <c r="R181" s="13">
        <f t="shared" si="36"/>
        <v>1</v>
      </c>
    </row>
    <row r="182" ht="12.75" customHeight="1">
      <c r="A182" s="18"/>
      <c r="B182" s="55">
        <v>5.0</v>
      </c>
      <c r="C182" s="50" t="s">
        <v>134</v>
      </c>
      <c r="D182" s="60"/>
      <c r="E182" s="19">
        <v>0.0</v>
      </c>
      <c r="F182" s="19">
        <v>0.0</v>
      </c>
      <c r="G182" s="19">
        <v>0.0</v>
      </c>
      <c r="H182" s="19">
        <v>1.0</v>
      </c>
      <c r="I182" s="19">
        <v>0.0</v>
      </c>
      <c r="J182" s="19">
        <v>0.0</v>
      </c>
      <c r="K182" s="19">
        <v>0.0</v>
      </c>
      <c r="L182" s="19">
        <v>0.0</v>
      </c>
      <c r="M182" s="19">
        <v>0.0</v>
      </c>
      <c r="N182" s="19">
        <v>0.0</v>
      </c>
      <c r="O182" s="19">
        <v>0.0</v>
      </c>
      <c r="P182" s="19">
        <v>0.0</v>
      </c>
      <c r="Q182" s="19">
        <v>0.0</v>
      </c>
      <c r="R182" s="13">
        <f t="shared" si="36"/>
        <v>1</v>
      </c>
    </row>
    <row r="183" ht="12.75" customHeight="1">
      <c r="A183" s="18"/>
      <c r="B183" s="55">
        <v>6.0</v>
      </c>
      <c r="C183" s="50" t="s">
        <v>135</v>
      </c>
      <c r="D183" s="60"/>
      <c r="E183" s="19">
        <v>0.0</v>
      </c>
      <c r="F183" s="19">
        <v>0.0</v>
      </c>
      <c r="G183" s="19">
        <v>0.0</v>
      </c>
      <c r="H183" s="19">
        <v>0.0</v>
      </c>
      <c r="I183" s="19">
        <v>0.0</v>
      </c>
      <c r="J183" s="19">
        <v>0.0</v>
      </c>
      <c r="K183" s="19">
        <v>0.0</v>
      </c>
      <c r="L183" s="19">
        <v>0.0</v>
      </c>
      <c r="M183" s="19">
        <v>0.0</v>
      </c>
      <c r="N183" s="19">
        <v>0.0</v>
      </c>
      <c r="O183" s="19">
        <v>0.0</v>
      </c>
      <c r="P183" s="19">
        <v>0.0</v>
      </c>
      <c r="Q183" s="19">
        <v>0.0</v>
      </c>
      <c r="R183" s="13">
        <f t="shared" si="36"/>
        <v>0</v>
      </c>
    </row>
    <row r="184" ht="12.75" customHeight="1">
      <c r="A184" s="18"/>
      <c r="B184" s="55">
        <v>7.0</v>
      </c>
      <c r="C184" s="50" t="s">
        <v>136</v>
      </c>
      <c r="D184" s="60"/>
      <c r="E184" s="19">
        <v>0.0</v>
      </c>
      <c r="F184" s="19">
        <v>0.0</v>
      </c>
      <c r="G184" s="19">
        <v>0.0</v>
      </c>
      <c r="H184" s="19">
        <v>0.0</v>
      </c>
      <c r="I184" s="19">
        <v>0.0</v>
      </c>
      <c r="J184" s="19">
        <v>0.0</v>
      </c>
      <c r="K184" s="19">
        <v>0.0</v>
      </c>
      <c r="L184" s="19">
        <v>0.0</v>
      </c>
      <c r="M184" s="19">
        <v>0.0</v>
      </c>
      <c r="N184" s="19">
        <v>0.0</v>
      </c>
      <c r="O184" s="19">
        <v>0.0</v>
      </c>
      <c r="P184" s="19">
        <v>0.0</v>
      </c>
      <c r="Q184" s="19">
        <v>0.0</v>
      </c>
      <c r="R184" s="13">
        <f t="shared" si="36"/>
        <v>0</v>
      </c>
    </row>
    <row r="185" ht="12.75" customHeight="1">
      <c r="A185" s="18"/>
      <c r="B185" s="56"/>
      <c r="C185" s="57"/>
      <c r="D185" s="62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3">
        <f t="shared" si="36"/>
        <v>0</v>
      </c>
    </row>
    <row r="186" ht="12.75" customHeight="1">
      <c r="A186" s="18"/>
      <c r="B186" s="56"/>
      <c r="C186" s="57"/>
      <c r="D186" s="62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3">
        <f t="shared" si="36"/>
        <v>0</v>
      </c>
    </row>
    <row r="187" ht="12.75" customHeight="1">
      <c r="A187" s="19" t="s">
        <v>15</v>
      </c>
      <c r="B187" s="47" t="s">
        <v>47</v>
      </c>
      <c r="C187" s="15"/>
      <c r="D187" s="16"/>
      <c r="E187" s="13">
        <f t="shared" ref="E187:R187" si="37">SUM(E177:E186)</f>
        <v>3</v>
      </c>
      <c r="F187" s="13">
        <f t="shared" si="37"/>
        <v>0</v>
      </c>
      <c r="G187" s="13">
        <f t="shared" si="37"/>
        <v>4</v>
      </c>
      <c r="H187" s="13">
        <f t="shared" si="37"/>
        <v>5</v>
      </c>
      <c r="I187" s="13">
        <f t="shared" si="37"/>
        <v>3</v>
      </c>
      <c r="J187" s="13">
        <f t="shared" si="37"/>
        <v>0</v>
      </c>
      <c r="K187" s="13">
        <f t="shared" si="37"/>
        <v>3</v>
      </c>
      <c r="L187" s="13">
        <f t="shared" si="37"/>
        <v>1</v>
      </c>
      <c r="M187" s="13">
        <f t="shared" si="37"/>
        <v>1</v>
      </c>
      <c r="N187" s="13">
        <f t="shared" si="37"/>
        <v>1</v>
      </c>
      <c r="O187" s="13">
        <f t="shared" si="37"/>
        <v>0</v>
      </c>
      <c r="P187" s="13">
        <f t="shared" si="37"/>
        <v>0</v>
      </c>
      <c r="Q187" s="13">
        <f t="shared" si="37"/>
        <v>2</v>
      </c>
      <c r="R187" s="13">
        <f t="shared" si="37"/>
        <v>23</v>
      </c>
    </row>
    <row r="188" ht="12.75" customHeight="1">
      <c r="A188" s="24"/>
      <c r="B188" s="15"/>
      <c r="C188" s="15"/>
      <c r="D188" s="15"/>
      <c r="E188" s="16"/>
      <c r="F188" s="84"/>
      <c r="G188" s="84"/>
      <c r="H188" s="84"/>
      <c r="I188" s="84"/>
      <c r="J188" s="84"/>
      <c r="K188" s="84"/>
      <c r="L188" s="84"/>
      <c r="M188" s="84"/>
      <c r="N188" s="84"/>
      <c r="R188" s="13"/>
    </row>
    <row r="189" ht="12.75" customHeight="1">
      <c r="A189" s="30" t="s">
        <v>37</v>
      </c>
      <c r="B189" s="47" t="s">
        <v>137</v>
      </c>
      <c r="C189" s="48" t="s">
        <v>138</v>
      </c>
      <c r="D189" s="16"/>
      <c r="E189" s="19">
        <v>0.0</v>
      </c>
      <c r="F189" s="19">
        <v>1.0</v>
      </c>
      <c r="G189" s="19">
        <v>1.0</v>
      </c>
      <c r="H189" s="19">
        <v>0.0</v>
      </c>
      <c r="I189" s="19">
        <v>0.0</v>
      </c>
      <c r="J189" s="19">
        <v>0.0</v>
      </c>
      <c r="K189" s="19">
        <v>0.0</v>
      </c>
      <c r="L189" s="19">
        <v>0.0</v>
      </c>
      <c r="M189" s="19">
        <v>1.0</v>
      </c>
      <c r="N189" s="19">
        <v>0.0</v>
      </c>
      <c r="O189" s="19">
        <v>1.0</v>
      </c>
      <c r="P189" s="19">
        <v>0.0</v>
      </c>
      <c r="Q189" s="19">
        <v>0.0</v>
      </c>
      <c r="R189" s="13">
        <f t="shared" ref="R189:R198" si="38">SUM(E189:Q189)</f>
        <v>4</v>
      </c>
    </row>
    <row r="190" ht="12.75" customHeight="1">
      <c r="A190" s="30" t="s">
        <v>39</v>
      </c>
      <c r="B190" s="55">
        <v>1.0</v>
      </c>
      <c r="C190" s="50" t="s">
        <v>139</v>
      </c>
      <c r="D190" s="60"/>
      <c r="E190" s="19">
        <v>0.0</v>
      </c>
      <c r="F190" s="19">
        <v>0.0</v>
      </c>
      <c r="G190" s="19">
        <v>0.0</v>
      </c>
      <c r="H190" s="19">
        <v>0.0</v>
      </c>
      <c r="I190" s="19">
        <v>0.0</v>
      </c>
      <c r="J190" s="19">
        <v>0.0</v>
      </c>
      <c r="K190" s="19">
        <v>0.0</v>
      </c>
      <c r="L190" s="19">
        <v>0.0</v>
      </c>
      <c r="M190" s="19">
        <v>0.0</v>
      </c>
      <c r="N190" s="19">
        <v>0.0</v>
      </c>
      <c r="O190" s="19">
        <v>0.0</v>
      </c>
      <c r="P190" s="19">
        <v>0.0</v>
      </c>
      <c r="Q190" s="19">
        <v>0.0</v>
      </c>
      <c r="R190" s="13">
        <f t="shared" si="38"/>
        <v>0</v>
      </c>
    </row>
    <row r="191" ht="12.75" customHeight="1">
      <c r="A191" s="18"/>
      <c r="B191" s="55">
        <v>2.0</v>
      </c>
      <c r="C191" s="50" t="s">
        <v>140</v>
      </c>
      <c r="D191" s="60"/>
      <c r="E191" s="19">
        <v>0.0</v>
      </c>
      <c r="F191" s="19">
        <v>0.0</v>
      </c>
      <c r="G191" s="19">
        <v>0.0</v>
      </c>
      <c r="H191" s="19">
        <v>0.0</v>
      </c>
      <c r="I191" s="19">
        <v>0.0</v>
      </c>
      <c r="J191" s="19">
        <v>0.0</v>
      </c>
      <c r="K191" s="19">
        <v>0.0</v>
      </c>
      <c r="L191" s="19">
        <v>0.0</v>
      </c>
      <c r="M191" s="19">
        <v>0.0</v>
      </c>
      <c r="N191" s="19">
        <v>0.0</v>
      </c>
      <c r="O191" s="19">
        <v>0.0</v>
      </c>
      <c r="P191" s="19">
        <v>0.0</v>
      </c>
      <c r="Q191" s="19">
        <v>0.0</v>
      </c>
      <c r="R191" s="13">
        <f t="shared" si="38"/>
        <v>0</v>
      </c>
    </row>
    <row r="192" ht="12.75" customHeight="1">
      <c r="A192" s="18"/>
      <c r="B192" s="55">
        <v>3.0</v>
      </c>
      <c r="C192" s="50" t="s">
        <v>141</v>
      </c>
      <c r="D192" s="60"/>
      <c r="E192" s="19">
        <v>0.0</v>
      </c>
      <c r="F192" s="19">
        <v>0.0</v>
      </c>
      <c r="G192" s="19">
        <v>0.0</v>
      </c>
      <c r="H192" s="19">
        <v>0.0</v>
      </c>
      <c r="I192" s="19">
        <v>0.0</v>
      </c>
      <c r="J192" s="19">
        <v>0.0</v>
      </c>
      <c r="K192" s="19">
        <v>0.0</v>
      </c>
      <c r="L192" s="19">
        <v>0.0</v>
      </c>
      <c r="M192" s="19">
        <v>0.0</v>
      </c>
      <c r="N192" s="19">
        <v>1.0</v>
      </c>
      <c r="O192" s="19">
        <v>0.0</v>
      </c>
      <c r="P192" s="19">
        <v>0.0</v>
      </c>
      <c r="Q192" s="19">
        <v>0.0</v>
      </c>
      <c r="R192" s="13">
        <f t="shared" si="38"/>
        <v>1</v>
      </c>
    </row>
    <row r="193" ht="12.75" customHeight="1">
      <c r="A193" s="18"/>
      <c r="B193" s="55">
        <v>4.0</v>
      </c>
      <c r="C193" s="50" t="s">
        <v>142</v>
      </c>
      <c r="D193" s="60"/>
      <c r="E193" s="19">
        <v>0.0</v>
      </c>
      <c r="F193" s="19">
        <v>0.0</v>
      </c>
      <c r="G193" s="19">
        <v>0.0</v>
      </c>
      <c r="H193" s="19">
        <v>0.0</v>
      </c>
      <c r="I193" s="19">
        <v>0.0</v>
      </c>
      <c r="J193" s="19">
        <v>0.0</v>
      </c>
      <c r="K193" s="19">
        <v>0.0</v>
      </c>
      <c r="L193" s="19">
        <v>0.0</v>
      </c>
      <c r="M193" s="19">
        <v>0.0</v>
      </c>
      <c r="N193" s="19">
        <v>0.0</v>
      </c>
      <c r="O193" s="19">
        <v>0.0</v>
      </c>
      <c r="P193" s="19">
        <v>0.0</v>
      </c>
      <c r="Q193" s="19">
        <v>0.0</v>
      </c>
      <c r="R193" s="13">
        <f t="shared" si="38"/>
        <v>0</v>
      </c>
    </row>
    <row r="194" ht="12.75" customHeight="1">
      <c r="A194" s="18"/>
      <c r="B194" s="55">
        <v>5.0</v>
      </c>
      <c r="C194" s="50" t="s">
        <v>143</v>
      </c>
      <c r="D194" s="60"/>
      <c r="E194" s="19">
        <v>0.0</v>
      </c>
      <c r="F194" s="19">
        <v>0.0</v>
      </c>
      <c r="G194" s="19">
        <v>0.0</v>
      </c>
      <c r="H194" s="19">
        <v>0.0</v>
      </c>
      <c r="I194" s="19">
        <v>0.0</v>
      </c>
      <c r="J194" s="19">
        <v>0.0</v>
      </c>
      <c r="K194" s="19">
        <v>0.0</v>
      </c>
      <c r="L194" s="19">
        <v>0.0</v>
      </c>
      <c r="M194" s="19">
        <v>0.0</v>
      </c>
      <c r="N194" s="19">
        <v>0.0</v>
      </c>
      <c r="O194" s="19">
        <v>0.0</v>
      </c>
      <c r="P194" s="19">
        <v>0.0</v>
      </c>
      <c r="Q194" s="19">
        <v>0.0</v>
      </c>
      <c r="R194" s="13">
        <f t="shared" si="38"/>
        <v>0</v>
      </c>
    </row>
    <row r="195" ht="12.75" customHeight="1">
      <c r="A195" s="18"/>
      <c r="B195" s="55">
        <v>6.0</v>
      </c>
      <c r="C195" s="50" t="s">
        <v>144</v>
      </c>
      <c r="D195" s="60"/>
      <c r="E195" s="19">
        <v>0.0</v>
      </c>
      <c r="F195" s="19">
        <v>0.0</v>
      </c>
      <c r="G195" s="19">
        <v>0.0</v>
      </c>
      <c r="H195" s="19">
        <v>0.0</v>
      </c>
      <c r="I195" s="19">
        <v>0.0</v>
      </c>
      <c r="J195" s="19">
        <v>0.0</v>
      </c>
      <c r="K195" s="19">
        <v>0.0</v>
      </c>
      <c r="L195" s="19">
        <v>0.0</v>
      </c>
      <c r="M195" s="19">
        <v>0.0</v>
      </c>
      <c r="N195" s="19">
        <v>0.0</v>
      </c>
      <c r="O195" s="19">
        <v>0.0</v>
      </c>
      <c r="P195" s="19">
        <v>0.0</v>
      </c>
      <c r="Q195" s="19">
        <v>0.0</v>
      </c>
      <c r="R195" s="13">
        <f t="shared" si="38"/>
        <v>0</v>
      </c>
    </row>
    <row r="196" ht="12.75" customHeight="1">
      <c r="A196" s="18"/>
      <c r="B196" s="55">
        <v>7.0</v>
      </c>
      <c r="C196" s="50" t="s">
        <v>145</v>
      </c>
      <c r="D196" s="60"/>
      <c r="E196" s="19">
        <v>0.0</v>
      </c>
      <c r="F196" s="19">
        <v>0.0</v>
      </c>
      <c r="G196" s="19">
        <v>1.0</v>
      </c>
      <c r="H196" s="19">
        <v>0.0</v>
      </c>
      <c r="I196" s="19">
        <v>0.0</v>
      </c>
      <c r="J196" s="19">
        <v>0.0</v>
      </c>
      <c r="K196" s="19">
        <v>0.0</v>
      </c>
      <c r="L196" s="19">
        <v>0.0</v>
      </c>
      <c r="M196" s="19">
        <v>0.0</v>
      </c>
      <c r="N196" s="19">
        <v>0.0</v>
      </c>
      <c r="O196" s="19">
        <v>0.0</v>
      </c>
      <c r="P196" s="19">
        <v>0.0</v>
      </c>
      <c r="Q196" s="19">
        <v>0.0</v>
      </c>
      <c r="R196" s="13">
        <f t="shared" si="38"/>
        <v>1</v>
      </c>
    </row>
    <row r="197" ht="12.75" customHeight="1">
      <c r="A197" s="18"/>
      <c r="B197" s="56"/>
      <c r="C197" s="57"/>
      <c r="D197" s="62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3">
        <f t="shared" si="38"/>
        <v>0</v>
      </c>
    </row>
    <row r="198" ht="12.75" customHeight="1">
      <c r="A198" s="18"/>
      <c r="B198" s="56"/>
      <c r="C198" s="57"/>
      <c r="D198" s="62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3">
        <f t="shared" si="38"/>
        <v>0</v>
      </c>
    </row>
    <row r="199" ht="12.75" customHeight="1">
      <c r="A199" s="19" t="s">
        <v>15</v>
      </c>
      <c r="B199" s="47" t="s">
        <v>47</v>
      </c>
      <c r="C199" s="15"/>
      <c r="D199" s="16"/>
      <c r="E199" s="13">
        <f t="shared" ref="E199:R199" si="39">SUM(E189:E198)</f>
        <v>0</v>
      </c>
      <c r="F199" s="13">
        <f t="shared" si="39"/>
        <v>1</v>
      </c>
      <c r="G199" s="13">
        <f t="shared" si="39"/>
        <v>2</v>
      </c>
      <c r="H199" s="13">
        <f t="shared" si="39"/>
        <v>0</v>
      </c>
      <c r="I199" s="13">
        <f t="shared" si="39"/>
        <v>0</v>
      </c>
      <c r="J199" s="13">
        <f t="shared" si="39"/>
        <v>0</v>
      </c>
      <c r="K199" s="13">
        <f t="shared" si="39"/>
        <v>0</v>
      </c>
      <c r="L199" s="13">
        <f t="shared" si="39"/>
        <v>0</v>
      </c>
      <c r="M199" s="13">
        <f t="shared" si="39"/>
        <v>1</v>
      </c>
      <c r="N199" s="13">
        <f t="shared" si="39"/>
        <v>1</v>
      </c>
      <c r="O199" s="13">
        <f t="shared" si="39"/>
        <v>1</v>
      </c>
      <c r="P199" s="13">
        <f t="shared" si="39"/>
        <v>0</v>
      </c>
      <c r="Q199" s="13">
        <f t="shared" si="39"/>
        <v>0</v>
      </c>
      <c r="R199" s="13">
        <f t="shared" si="39"/>
        <v>6</v>
      </c>
    </row>
    <row r="200" ht="12.75" customHeight="1">
      <c r="A200" s="24"/>
      <c r="B200" s="15"/>
      <c r="C200" s="15"/>
      <c r="D200" s="15"/>
      <c r="E200" s="16"/>
      <c r="F200" s="84"/>
      <c r="G200" s="84"/>
      <c r="H200" s="84"/>
      <c r="I200" s="84"/>
      <c r="J200" s="84"/>
      <c r="K200" s="84"/>
      <c r="L200" s="84"/>
      <c r="M200" s="84"/>
      <c r="N200" s="84"/>
      <c r="O200" s="84"/>
      <c r="P200" s="84"/>
      <c r="Q200" s="84"/>
      <c r="R200" s="84"/>
    </row>
    <row r="201" ht="12.75" customHeight="1">
      <c r="A201" s="30" t="s">
        <v>37</v>
      </c>
      <c r="B201" s="47" t="s">
        <v>146</v>
      </c>
      <c r="C201" s="48" t="s">
        <v>147</v>
      </c>
      <c r="D201" s="16"/>
      <c r="E201" s="19">
        <v>1.0</v>
      </c>
      <c r="F201" s="19">
        <v>1.0</v>
      </c>
      <c r="G201" s="19">
        <v>1.0</v>
      </c>
      <c r="H201" s="19">
        <v>1.0</v>
      </c>
      <c r="I201" s="19">
        <v>1.0</v>
      </c>
      <c r="J201" s="19">
        <v>2.0</v>
      </c>
      <c r="K201" s="19">
        <v>2.0</v>
      </c>
      <c r="L201" s="19">
        <v>1.0</v>
      </c>
      <c r="M201" s="19">
        <v>2.0</v>
      </c>
      <c r="N201" s="19">
        <v>0.0</v>
      </c>
      <c r="O201" s="19">
        <v>0.0</v>
      </c>
      <c r="P201" s="19">
        <v>2.0</v>
      </c>
      <c r="Q201" s="19">
        <v>2.0</v>
      </c>
      <c r="R201" s="13">
        <f t="shared" ref="R201:R210" si="40">SUM(E201:Q201)</f>
        <v>16</v>
      </c>
    </row>
    <row r="202" ht="12.75" customHeight="1">
      <c r="A202" s="30" t="s">
        <v>39</v>
      </c>
      <c r="B202" s="55">
        <v>1.0</v>
      </c>
      <c r="C202" s="50" t="s">
        <v>148</v>
      </c>
      <c r="D202" s="60"/>
      <c r="E202" s="19">
        <v>3.0</v>
      </c>
      <c r="F202" s="19">
        <v>5.0</v>
      </c>
      <c r="G202" s="19">
        <v>2.0</v>
      </c>
      <c r="H202" s="19">
        <v>1.0</v>
      </c>
      <c r="I202" s="19">
        <v>1.0</v>
      </c>
      <c r="J202" s="19">
        <v>0.0</v>
      </c>
      <c r="K202" s="19">
        <v>1.0</v>
      </c>
      <c r="L202" s="19">
        <v>0.0</v>
      </c>
      <c r="M202" s="19">
        <v>2.0</v>
      </c>
      <c r="N202" s="19">
        <v>1.0</v>
      </c>
      <c r="O202" s="19">
        <v>2.0</v>
      </c>
      <c r="P202" s="19">
        <v>0.0</v>
      </c>
      <c r="Q202" s="19">
        <v>2.0</v>
      </c>
      <c r="R202" s="13">
        <f t="shared" si="40"/>
        <v>20</v>
      </c>
    </row>
    <row r="203" ht="12.75" customHeight="1">
      <c r="A203" s="18"/>
      <c r="B203" s="55">
        <v>2.0</v>
      </c>
      <c r="C203" s="50" t="s">
        <v>149</v>
      </c>
      <c r="D203" s="60"/>
      <c r="E203" s="19">
        <v>0.0</v>
      </c>
      <c r="F203" s="19">
        <v>0.0</v>
      </c>
      <c r="G203" s="19">
        <v>0.0</v>
      </c>
      <c r="H203" s="19">
        <v>1.0</v>
      </c>
      <c r="I203" s="19">
        <v>0.0</v>
      </c>
      <c r="J203" s="19">
        <v>1.0</v>
      </c>
      <c r="K203" s="19">
        <v>8.0</v>
      </c>
      <c r="L203" s="19">
        <v>0.0</v>
      </c>
      <c r="M203" s="19">
        <v>0.0</v>
      </c>
      <c r="N203" s="19">
        <v>0.0</v>
      </c>
      <c r="O203" s="19">
        <v>0.0</v>
      </c>
      <c r="P203" s="19">
        <v>0.0</v>
      </c>
      <c r="Q203" s="19">
        <v>0.0</v>
      </c>
      <c r="R203" s="13">
        <f t="shared" si="40"/>
        <v>10</v>
      </c>
    </row>
    <row r="204" ht="12.75" customHeight="1">
      <c r="A204" s="18"/>
      <c r="B204" s="55">
        <v>3.0</v>
      </c>
      <c r="C204" s="50" t="s">
        <v>150</v>
      </c>
      <c r="D204" s="60"/>
      <c r="E204" s="19">
        <v>2.0</v>
      </c>
      <c r="F204" s="19">
        <v>0.0</v>
      </c>
      <c r="G204" s="19">
        <v>1.0</v>
      </c>
      <c r="H204" s="19">
        <v>1.0</v>
      </c>
      <c r="I204" s="19">
        <v>0.0</v>
      </c>
      <c r="J204" s="19">
        <v>1.0</v>
      </c>
      <c r="K204" s="19">
        <v>0.0</v>
      </c>
      <c r="L204" s="19">
        <v>0.0</v>
      </c>
      <c r="M204" s="19">
        <v>0.0</v>
      </c>
      <c r="N204" s="19">
        <v>0.0</v>
      </c>
      <c r="O204" s="19">
        <v>0.0</v>
      </c>
      <c r="P204" s="19">
        <v>0.0</v>
      </c>
      <c r="Q204" s="19">
        <v>0.0</v>
      </c>
      <c r="R204" s="13">
        <f t="shared" si="40"/>
        <v>5</v>
      </c>
    </row>
    <row r="205" ht="12.75" customHeight="1">
      <c r="A205" s="18"/>
      <c r="B205" s="55">
        <v>4.0</v>
      </c>
      <c r="C205" s="50" t="s">
        <v>151</v>
      </c>
      <c r="D205" s="60"/>
      <c r="E205" s="19">
        <v>0.0</v>
      </c>
      <c r="F205" s="19">
        <v>1.0</v>
      </c>
      <c r="G205" s="19">
        <v>0.0</v>
      </c>
      <c r="H205" s="19">
        <v>0.0</v>
      </c>
      <c r="I205" s="19">
        <v>1.0</v>
      </c>
      <c r="J205" s="19">
        <v>5.0</v>
      </c>
      <c r="K205" s="19">
        <v>7.0</v>
      </c>
      <c r="L205" s="19">
        <v>0.0</v>
      </c>
      <c r="M205" s="19">
        <v>0.0</v>
      </c>
      <c r="N205" s="19">
        <v>0.0</v>
      </c>
      <c r="O205" s="19">
        <v>0.0</v>
      </c>
      <c r="P205" s="19">
        <v>0.0</v>
      </c>
      <c r="Q205" s="19">
        <v>0.0</v>
      </c>
      <c r="R205" s="13">
        <f t="shared" si="40"/>
        <v>14</v>
      </c>
    </row>
    <row r="206" ht="12.75" customHeight="1">
      <c r="A206" s="18"/>
      <c r="B206" s="55">
        <v>5.0</v>
      </c>
      <c r="C206" s="50" t="s">
        <v>152</v>
      </c>
      <c r="D206" s="60"/>
      <c r="E206" s="19">
        <v>0.0</v>
      </c>
      <c r="F206" s="19">
        <v>0.0</v>
      </c>
      <c r="G206" s="19">
        <v>0.0</v>
      </c>
      <c r="H206" s="19">
        <v>1.0</v>
      </c>
      <c r="I206" s="19">
        <v>1.0</v>
      </c>
      <c r="J206" s="19">
        <v>0.0</v>
      </c>
      <c r="K206" s="19">
        <v>1.0</v>
      </c>
      <c r="L206" s="19">
        <v>0.0</v>
      </c>
      <c r="M206" s="19">
        <v>0.0</v>
      </c>
      <c r="N206" s="19">
        <v>0.0</v>
      </c>
      <c r="O206" s="19">
        <v>0.0</v>
      </c>
      <c r="P206" s="19">
        <v>0.0</v>
      </c>
      <c r="Q206" s="19">
        <v>0.0</v>
      </c>
      <c r="R206" s="13">
        <f t="shared" si="40"/>
        <v>3</v>
      </c>
    </row>
    <row r="207" ht="12.75" customHeight="1">
      <c r="A207" s="18"/>
      <c r="B207" s="55">
        <v>6.0</v>
      </c>
      <c r="C207" s="50" t="s">
        <v>153</v>
      </c>
      <c r="D207" s="60"/>
      <c r="E207" s="19">
        <v>0.0</v>
      </c>
      <c r="F207" s="19">
        <v>0.0</v>
      </c>
      <c r="G207" s="19">
        <v>0.0</v>
      </c>
      <c r="H207" s="19">
        <v>0.0</v>
      </c>
      <c r="I207" s="19">
        <v>0.0</v>
      </c>
      <c r="J207" s="19">
        <v>0.0</v>
      </c>
      <c r="K207" s="19">
        <v>0.0</v>
      </c>
      <c r="L207" s="19">
        <v>0.0</v>
      </c>
      <c r="M207" s="19">
        <v>0.0</v>
      </c>
      <c r="N207" s="19">
        <v>0.0</v>
      </c>
      <c r="O207" s="19">
        <v>0.0</v>
      </c>
      <c r="P207" s="19">
        <v>0.0</v>
      </c>
      <c r="Q207" s="19">
        <v>0.0</v>
      </c>
      <c r="R207" s="13">
        <f t="shared" si="40"/>
        <v>0</v>
      </c>
    </row>
    <row r="208" ht="12.75" customHeight="1">
      <c r="A208" s="18"/>
      <c r="B208" s="55">
        <v>7.0</v>
      </c>
      <c r="C208" s="50" t="s">
        <v>154</v>
      </c>
      <c r="D208" s="60"/>
      <c r="E208" s="19">
        <v>0.0</v>
      </c>
      <c r="F208" s="19">
        <v>0.0</v>
      </c>
      <c r="G208" s="19">
        <v>0.0</v>
      </c>
      <c r="H208" s="19">
        <v>0.0</v>
      </c>
      <c r="I208" s="19">
        <v>0.0</v>
      </c>
      <c r="J208" s="19">
        <v>0.0</v>
      </c>
      <c r="K208" s="19">
        <v>0.0</v>
      </c>
      <c r="L208" s="19">
        <v>0.0</v>
      </c>
      <c r="M208" s="19">
        <v>0.0</v>
      </c>
      <c r="N208" s="19">
        <v>0.0</v>
      </c>
      <c r="O208" s="19">
        <v>0.0</v>
      </c>
      <c r="P208" s="19">
        <v>0.0</v>
      </c>
      <c r="Q208" s="19">
        <v>0.0</v>
      </c>
      <c r="R208" s="13">
        <f t="shared" si="40"/>
        <v>0</v>
      </c>
    </row>
    <row r="209" ht="12.75" customHeight="1">
      <c r="A209" s="18"/>
      <c r="B209" s="56"/>
      <c r="C209" s="57"/>
      <c r="D209" s="62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3">
        <f t="shared" si="40"/>
        <v>0</v>
      </c>
    </row>
    <row r="210" ht="12.75" customHeight="1">
      <c r="A210" s="18"/>
      <c r="B210" s="56"/>
      <c r="C210" s="57"/>
      <c r="D210" s="62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3">
        <f t="shared" si="40"/>
        <v>0</v>
      </c>
    </row>
    <row r="211" ht="12.75" customHeight="1">
      <c r="A211" s="19" t="s">
        <v>15</v>
      </c>
      <c r="B211" s="47" t="s">
        <v>47</v>
      </c>
      <c r="C211" s="15"/>
      <c r="D211" s="16"/>
      <c r="E211" s="13">
        <f t="shared" ref="E211:R211" si="41">SUM(E201:E210)</f>
        <v>6</v>
      </c>
      <c r="F211" s="13">
        <f t="shared" si="41"/>
        <v>7</v>
      </c>
      <c r="G211" s="13">
        <f t="shared" si="41"/>
        <v>4</v>
      </c>
      <c r="H211" s="13">
        <f t="shared" si="41"/>
        <v>5</v>
      </c>
      <c r="I211" s="13">
        <f t="shared" si="41"/>
        <v>4</v>
      </c>
      <c r="J211" s="13">
        <f t="shared" si="41"/>
        <v>9</v>
      </c>
      <c r="K211" s="13">
        <f t="shared" si="41"/>
        <v>19</v>
      </c>
      <c r="L211" s="13">
        <f t="shared" si="41"/>
        <v>1</v>
      </c>
      <c r="M211" s="13">
        <f t="shared" si="41"/>
        <v>4</v>
      </c>
      <c r="N211" s="13">
        <f t="shared" si="41"/>
        <v>1</v>
      </c>
      <c r="O211" s="13">
        <f t="shared" si="41"/>
        <v>2</v>
      </c>
      <c r="P211" s="13">
        <f t="shared" si="41"/>
        <v>2</v>
      </c>
      <c r="Q211" s="13">
        <f t="shared" si="41"/>
        <v>4</v>
      </c>
      <c r="R211" s="13">
        <f t="shared" si="41"/>
        <v>68</v>
      </c>
    </row>
    <row r="212" ht="12.75" customHeight="1">
      <c r="A212" s="24"/>
      <c r="B212" s="15"/>
      <c r="C212" s="15"/>
      <c r="D212" s="15"/>
      <c r="E212" s="16"/>
      <c r="F212" s="84"/>
      <c r="G212" s="84"/>
      <c r="H212" s="84"/>
      <c r="I212" s="84"/>
      <c r="J212" s="84"/>
      <c r="K212" s="84"/>
      <c r="L212" s="84"/>
      <c r="M212" s="84"/>
      <c r="N212" s="84"/>
      <c r="O212" s="84"/>
      <c r="P212" s="84"/>
      <c r="Q212" s="84"/>
      <c r="R212" s="84"/>
    </row>
    <row r="213" ht="12.75" customHeight="1">
      <c r="A213" s="30" t="s">
        <v>37</v>
      </c>
      <c r="B213" s="47" t="s">
        <v>155</v>
      </c>
      <c r="C213" s="48" t="s">
        <v>156</v>
      </c>
      <c r="D213" s="16"/>
      <c r="E213" s="19">
        <v>2.0</v>
      </c>
      <c r="F213" s="19">
        <v>4.0</v>
      </c>
      <c r="G213" s="19">
        <v>1.0</v>
      </c>
      <c r="H213" s="19">
        <v>3.0</v>
      </c>
      <c r="I213" s="19">
        <v>1.0</v>
      </c>
      <c r="J213" s="19">
        <v>0.0</v>
      </c>
      <c r="K213" s="19">
        <v>0.0</v>
      </c>
      <c r="L213" s="19">
        <v>1.0</v>
      </c>
      <c r="M213" s="19">
        <v>0.0</v>
      </c>
      <c r="N213" s="19">
        <v>0.0</v>
      </c>
      <c r="O213" s="19">
        <v>1.0</v>
      </c>
      <c r="P213" s="19">
        <v>0.0</v>
      </c>
      <c r="Q213" s="19">
        <v>1.0</v>
      </c>
      <c r="R213" s="13">
        <f t="shared" ref="R213:R222" si="42">SUM(E213:Q213)</f>
        <v>14</v>
      </c>
    </row>
    <row r="214" ht="12.75" customHeight="1">
      <c r="A214" s="30" t="s">
        <v>39</v>
      </c>
      <c r="B214" s="55">
        <v>1.0</v>
      </c>
      <c r="C214" s="50" t="s">
        <v>157</v>
      </c>
      <c r="D214" s="59"/>
      <c r="E214" s="19">
        <v>1.0</v>
      </c>
      <c r="F214" s="19">
        <v>1.0</v>
      </c>
      <c r="G214" s="19">
        <v>1.0</v>
      </c>
      <c r="H214" s="19">
        <v>0.0</v>
      </c>
      <c r="I214" s="19">
        <v>0.0</v>
      </c>
      <c r="J214" s="19">
        <v>0.0</v>
      </c>
      <c r="K214" s="19">
        <v>2.0</v>
      </c>
      <c r="L214" s="19">
        <v>2.0</v>
      </c>
      <c r="M214" s="19">
        <v>0.0</v>
      </c>
      <c r="N214" s="19">
        <v>3.0</v>
      </c>
      <c r="O214" s="19">
        <v>3.0</v>
      </c>
      <c r="P214" s="19">
        <v>1.0</v>
      </c>
      <c r="Q214" s="19">
        <v>4.0</v>
      </c>
      <c r="R214" s="13">
        <f t="shared" si="42"/>
        <v>18</v>
      </c>
    </row>
    <row r="215" ht="12.75" customHeight="1">
      <c r="A215" s="18"/>
      <c r="B215" s="55">
        <v>2.0</v>
      </c>
      <c r="C215" s="50" t="s">
        <v>158</v>
      </c>
      <c r="D215" s="59"/>
      <c r="E215" s="19">
        <v>26.0</v>
      </c>
      <c r="F215" s="19">
        <v>20.0</v>
      </c>
      <c r="G215" s="19">
        <v>8.0</v>
      </c>
      <c r="H215" s="19">
        <v>2.0</v>
      </c>
      <c r="I215" s="19">
        <v>3.0</v>
      </c>
      <c r="J215" s="19">
        <v>2.0</v>
      </c>
      <c r="K215" s="19">
        <v>1.0</v>
      </c>
      <c r="L215" s="19">
        <v>9.0</v>
      </c>
      <c r="M215" s="19">
        <v>3.0</v>
      </c>
      <c r="N215" s="19">
        <v>1.0</v>
      </c>
      <c r="O215" s="19">
        <v>0.0</v>
      </c>
      <c r="P215" s="19">
        <v>1.0</v>
      </c>
      <c r="Q215" s="19">
        <v>9.0</v>
      </c>
      <c r="R215" s="13">
        <f t="shared" si="42"/>
        <v>85</v>
      </c>
    </row>
    <row r="216" ht="12.75" customHeight="1">
      <c r="A216" s="18"/>
      <c r="B216" s="55">
        <v>3.0</v>
      </c>
      <c r="C216" s="70" t="s">
        <v>159</v>
      </c>
      <c r="E216" s="19">
        <v>0.0</v>
      </c>
      <c r="F216" s="19">
        <v>0.0</v>
      </c>
      <c r="G216" s="19">
        <v>0.0</v>
      </c>
      <c r="H216" s="19">
        <v>0.0</v>
      </c>
      <c r="I216" s="19">
        <v>1.0</v>
      </c>
      <c r="J216" s="19">
        <v>0.0</v>
      </c>
      <c r="K216" s="19">
        <v>0.0</v>
      </c>
      <c r="L216" s="19">
        <v>0.0</v>
      </c>
      <c r="M216" s="19">
        <v>0.0</v>
      </c>
      <c r="N216" s="19">
        <v>0.0</v>
      </c>
      <c r="O216" s="19">
        <v>1.0</v>
      </c>
      <c r="P216" s="19">
        <v>0.0</v>
      </c>
      <c r="Q216" s="19">
        <v>1.0</v>
      </c>
      <c r="R216" s="13">
        <f t="shared" si="42"/>
        <v>3</v>
      </c>
    </row>
    <row r="217" ht="12.75" customHeight="1">
      <c r="A217" s="18"/>
      <c r="B217" s="55">
        <v>4.0</v>
      </c>
      <c r="C217" s="50" t="s">
        <v>160</v>
      </c>
      <c r="D217" s="59"/>
      <c r="E217" s="19">
        <v>0.0</v>
      </c>
      <c r="F217" s="19">
        <v>0.0</v>
      </c>
      <c r="G217" s="19">
        <v>0.0</v>
      </c>
      <c r="H217" s="19">
        <v>0.0</v>
      </c>
      <c r="I217" s="19">
        <v>0.0</v>
      </c>
      <c r="J217" s="19">
        <v>0.0</v>
      </c>
      <c r="K217" s="19">
        <v>0.0</v>
      </c>
      <c r="L217" s="19">
        <v>0.0</v>
      </c>
      <c r="M217" s="19">
        <v>0.0</v>
      </c>
      <c r="N217" s="19">
        <v>0.0</v>
      </c>
      <c r="O217" s="19">
        <v>0.0</v>
      </c>
      <c r="P217" s="19">
        <v>0.0</v>
      </c>
      <c r="Q217" s="19">
        <v>0.0</v>
      </c>
      <c r="R217" s="13">
        <f t="shared" si="42"/>
        <v>0</v>
      </c>
    </row>
    <row r="218" ht="12.75" customHeight="1">
      <c r="A218" s="18"/>
      <c r="B218" s="55">
        <v>5.0</v>
      </c>
      <c r="C218" s="50" t="s">
        <v>161</v>
      </c>
      <c r="D218" s="59"/>
      <c r="E218" s="19">
        <v>0.0</v>
      </c>
      <c r="F218" s="19">
        <v>0.0</v>
      </c>
      <c r="G218" s="19">
        <v>0.0</v>
      </c>
      <c r="H218" s="19">
        <v>0.0</v>
      </c>
      <c r="I218" s="19">
        <v>0.0</v>
      </c>
      <c r="J218" s="19">
        <v>0.0</v>
      </c>
      <c r="K218" s="19">
        <v>0.0</v>
      </c>
      <c r="L218" s="19">
        <v>0.0</v>
      </c>
      <c r="M218" s="19">
        <v>0.0</v>
      </c>
      <c r="N218" s="19">
        <v>0.0</v>
      </c>
      <c r="O218" s="19">
        <v>0.0</v>
      </c>
      <c r="P218" s="19">
        <v>0.0</v>
      </c>
      <c r="Q218" s="19">
        <v>0.0</v>
      </c>
      <c r="R218" s="13">
        <f t="shared" si="42"/>
        <v>0</v>
      </c>
    </row>
    <row r="219" ht="12.75" customHeight="1">
      <c r="A219" s="18"/>
      <c r="B219" s="55">
        <v>6.0</v>
      </c>
      <c r="C219" s="50" t="s">
        <v>162</v>
      </c>
      <c r="D219" s="59"/>
      <c r="E219" s="19">
        <v>0.0</v>
      </c>
      <c r="F219" s="19">
        <v>0.0</v>
      </c>
      <c r="G219" s="19">
        <v>0.0</v>
      </c>
      <c r="H219" s="19">
        <v>0.0</v>
      </c>
      <c r="I219" s="19">
        <v>0.0</v>
      </c>
      <c r="J219" s="19">
        <v>0.0</v>
      </c>
      <c r="K219" s="19">
        <v>0.0</v>
      </c>
      <c r="L219" s="19">
        <v>0.0</v>
      </c>
      <c r="M219" s="19">
        <v>0.0</v>
      </c>
      <c r="N219" s="19">
        <v>0.0</v>
      </c>
      <c r="O219" s="19">
        <v>0.0</v>
      </c>
      <c r="P219" s="19">
        <v>0.0</v>
      </c>
      <c r="Q219" s="19">
        <v>0.0</v>
      </c>
      <c r="R219" s="13">
        <f t="shared" si="42"/>
        <v>0</v>
      </c>
    </row>
    <row r="220" ht="12.75" customHeight="1">
      <c r="A220" s="18"/>
      <c r="B220" s="55">
        <v>7.0</v>
      </c>
      <c r="C220" s="50" t="s">
        <v>163</v>
      </c>
      <c r="D220" s="59"/>
      <c r="E220" s="19">
        <v>0.0</v>
      </c>
      <c r="F220" s="19">
        <v>0.0</v>
      </c>
      <c r="G220" s="19">
        <v>0.0</v>
      </c>
      <c r="H220" s="19">
        <v>0.0</v>
      </c>
      <c r="I220" s="19">
        <v>0.0</v>
      </c>
      <c r="J220" s="19">
        <v>1.0</v>
      </c>
      <c r="K220" s="19">
        <v>1.0</v>
      </c>
      <c r="L220" s="19">
        <v>0.0</v>
      </c>
      <c r="M220" s="19">
        <v>0.0</v>
      </c>
      <c r="N220" s="19">
        <v>1.0</v>
      </c>
      <c r="O220" s="19">
        <v>0.0</v>
      </c>
      <c r="P220" s="19">
        <v>0.0</v>
      </c>
      <c r="Q220" s="19">
        <v>0.0</v>
      </c>
      <c r="R220" s="13">
        <f t="shared" si="42"/>
        <v>3</v>
      </c>
    </row>
    <row r="221" ht="12.75" customHeight="1">
      <c r="A221" s="18"/>
      <c r="B221" s="56"/>
      <c r="C221" s="57"/>
      <c r="D221" s="61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3">
        <f t="shared" si="42"/>
        <v>0</v>
      </c>
    </row>
    <row r="222" ht="12.75" customHeight="1">
      <c r="A222" s="18"/>
      <c r="B222" s="56"/>
      <c r="C222" s="57"/>
      <c r="D222" s="61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3">
        <f t="shared" si="42"/>
        <v>0</v>
      </c>
    </row>
    <row r="223" ht="12.75" customHeight="1">
      <c r="A223" s="19" t="s">
        <v>15</v>
      </c>
      <c r="B223" s="47" t="s">
        <v>47</v>
      </c>
      <c r="C223" s="15"/>
      <c r="D223" s="16"/>
      <c r="E223" s="13">
        <f t="shared" ref="E223:R223" si="43">SUM(E213:E222)</f>
        <v>29</v>
      </c>
      <c r="F223" s="13">
        <f t="shared" si="43"/>
        <v>25</v>
      </c>
      <c r="G223" s="13">
        <f t="shared" si="43"/>
        <v>10</v>
      </c>
      <c r="H223" s="13">
        <f t="shared" si="43"/>
        <v>5</v>
      </c>
      <c r="I223" s="13">
        <f t="shared" si="43"/>
        <v>5</v>
      </c>
      <c r="J223" s="13">
        <f t="shared" si="43"/>
        <v>3</v>
      </c>
      <c r="K223" s="13">
        <f t="shared" si="43"/>
        <v>4</v>
      </c>
      <c r="L223" s="13">
        <f t="shared" si="43"/>
        <v>12</v>
      </c>
      <c r="M223" s="13">
        <f t="shared" si="43"/>
        <v>3</v>
      </c>
      <c r="N223" s="13">
        <f t="shared" si="43"/>
        <v>5</v>
      </c>
      <c r="O223" s="13">
        <f t="shared" si="43"/>
        <v>5</v>
      </c>
      <c r="P223" s="13">
        <f t="shared" si="43"/>
        <v>2</v>
      </c>
      <c r="Q223" s="13">
        <f t="shared" si="43"/>
        <v>15</v>
      </c>
      <c r="R223" s="13">
        <f t="shared" si="43"/>
        <v>123</v>
      </c>
    </row>
    <row r="224" ht="12.75" customHeight="1">
      <c r="A224" s="24"/>
      <c r="B224" s="15"/>
      <c r="C224" s="15"/>
      <c r="D224" s="15"/>
      <c r="E224" s="16"/>
      <c r="F224" s="84"/>
      <c r="G224" s="84"/>
      <c r="H224" s="84"/>
      <c r="I224" s="84"/>
      <c r="J224" s="84"/>
      <c r="K224" s="84"/>
      <c r="L224" s="84"/>
      <c r="M224" s="84"/>
      <c r="N224" s="84"/>
      <c r="O224" s="84"/>
      <c r="P224" s="84"/>
      <c r="Q224" s="84"/>
      <c r="R224" s="84"/>
    </row>
    <row r="225" ht="12.75" customHeight="1">
      <c r="A225" s="30" t="s">
        <v>37</v>
      </c>
      <c r="B225" s="47" t="s">
        <v>164</v>
      </c>
      <c r="C225" s="48" t="s">
        <v>165</v>
      </c>
      <c r="D225" s="16"/>
      <c r="E225" s="19">
        <v>0.0</v>
      </c>
      <c r="F225" s="19">
        <v>0.0</v>
      </c>
      <c r="G225" s="19">
        <v>0.0</v>
      </c>
      <c r="H225" s="19">
        <v>0.0</v>
      </c>
      <c r="I225" s="19">
        <v>0.0</v>
      </c>
      <c r="J225" s="19">
        <v>0.0</v>
      </c>
      <c r="K225" s="19">
        <v>0.0</v>
      </c>
      <c r="L225" s="19">
        <v>0.0</v>
      </c>
      <c r="M225" s="19">
        <v>0.0</v>
      </c>
      <c r="N225" s="19">
        <v>0.0</v>
      </c>
      <c r="O225" s="19">
        <v>0.0</v>
      </c>
      <c r="P225" s="19">
        <v>1.0</v>
      </c>
      <c r="Q225" s="19">
        <v>0.0</v>
      </c>
      <c r="R225" s="13">
        <f t="shared" ref="R225:R234" si="44">SUM(E225:Q225)</f>
        <v>1</v>
      </c>
    </row>
    <row r="226" ht="12.75" customHeight="1">
      <c r="A226" s="30" t="s">
        <v>39</v>
      </c>
      <c r="B226" s="55">
        <v>1.0</v>
      </c>
      <c r="C226" s="50" t="s">
        <v>166</v>
      </c>
      <c r="D226" s="60"/>
      <c r="E226" s="19">
        <v>0.0</v>
      </c>
      <c r="F226" s="19">
        <v>0.0</v>
      </c>
      <c r="G226" s="19">
        <v>1.0</v>
      </c>
      <c r="H226" s="19">
        <v>0.0</v>
      </c>
      <c r="I226" s="19">
        <v>0.0</v>
      </c>
      <c r="J226" s="19">
        <v>0.0</v>
      </c>
      <c r="K226" s="19">
        <v>0.0</v>
      </c>
      <c r="L226" s="19">
        <v>0.0</v>
      </c>
      <c r="M226" s="19">
        <v>0.0</v>
      </c>
      <c r="N226" s="19">
        <v>0.0</v>
      </c>
      <c r="O226" s="19">
        <v>0.0</v>
      </c>
      <c r="P226" s="19">
        <v>0.0</v>
      </c>
      <c r="Q226" s="19">
        <v>0.0</v>
      </c>
      <c r="R226" s="13">
        <f t="shared" si="44"/>
        <v>1</v>
      </c>
    </row>
    <row r="227" ht="12.75" customHeight="1">
      <c r="A227" s="18"/>
      <c r="B227" s="55">
        <v>2.0</v>
      </c>
      <c r="C227" s="50" t="s">
        <v>167</v>
      </c>
      <c r="D227" s="60"/>
      <c r="E227" s="19">
        <v>0.0</v>
      </c>
      <c r="F227" s="19">
        <v>0.0</v>
      </c>
      <c r="G227" s="19">
        <v>0.0</v>
      </c>
      <c r="H227" s="19">
        <v>0.0</v>
      </c>
      <c r="I227" s="19">
        <v>0.0</v>
      </c>
      <c r="J227" s="19">
        <v>0.0</v>
      </c>
      <c r="K227" s="19">
        <v>0.0</v>
      </c>
      <c r="L227" s="19">
        <v>0.0</v>
      </c>
      <c r="M227" s="19">
        <v>0.0</v>
      </c>
      <c r="N227" s="19">
        <v>0.0</v>
      </c>
      <c r="O227" s="19">
        <v>0.0</v>
      </c>
      <c r="P227" s="19">
        <v>0.0</v>
      </c>
      <c r="Q227" s="19">
        <v>0.0</v>
      </c>
      <c r="R227" s="13">
        <f t="shared" si="44"/>
        <v>0</v>
      </c>
    </row>
    <row r="228" ht="12.75" customHeight="1">
      <c r="A228" s="18"/>
      <c r="B228" s="55">
        <v>3.0</v>
      </c>
      <c r="C228" s="50" t="s">
        <v>168</v>
      </c>
      <c r="D228" s="60"/>
      <c r="E228" s="19">
        <v>0.0</v>
      </c>
      <c r="F228" s="19">
        <v>0.0</v>
      </c>
      <c r="G228" s="19">
        <v>0.0</v>
      </c>
      <c r="H228" s="19">
        <v>0.0</v>
      </c>
      <c r="I228" s="19">
        <v>0.0</v>
      </c>
      <c r="J228" s="19">
        <v>0.0</v>
      </c>
      <c r="K228" s="19">
        <v>0.0</v>
      </c>
      <c r="L228" s="19">
        <v>0.0</v>
      </c>
      <c r="M228" s="19">
        <v>0.0</v>
      </c>
      <c r="N228" s="19">
        <v>0.0</v>
      </c>
      <c r="O228" s="19">
        <v>0.0</v>
      </c>
      <c r="P228" s="19">
        <v>0.0</v>
      </c>
      <c r="Q228" s="19">
        <v>0.0</v>
      </c>
      <c r="R228" s="13">
        <f t="shared" si="44"/>
        <v>0</v>
      </c>
    </row>
    <row r="229" ht="12.75" customHeight="1">
      <c r="A229" s="18"/>
      <c r="B229" s="55">
        <v>4.0</v>
      </c>
      <c r="C229" s="50" t="s">
        <v>169</v>
      </c>
      <c r="D229" s="60"/>
      <c r="E229" s="19">
        <v>0.0</v>
      </c>
      <c r="F229" s="19">
        <v>0.0</v>
      </c>
      <c r="G229" s="19">
        <v>0.0</v>
      </c>
      <c r="H229" s="19">
        <v>0.0</v>
      </c>
      <c r="I229" s="19">
        <v>0.0</v>
      </c>
      <c r="J229" s="19">
        <v>0.0</v>
      </c>
      <c r="K229" s="19">
        <v>0.0</v>
      </c>
      <c r="L229" s="19">
        <v>0.0</v>
      </c>
      <c r="M229" s="19">
        <v>0.0</v>
      </c>
      <c r="N229" s="19">
        <v>0.0</v>
      </c>
      <c r="O229" s="19">
        <v>0.0</v>
      </c>
      <c r="P229" s="19">
        <v>0.0</v>
      </c>
      <c r="Q229" s="19">
        <v>0.0</v>
      </c>
      <c r="R229" s="13">
        <f t="shared" si="44"/>
        <v>0</v>
      </c>
    </row>
    <row r="230" ht="12.75" customHeight="1">
      <c r="A230" s="18"/>
      <c r="B230" s="55">
        <v>5.0</v>
      </c>
      <c r="C230" s="50" t="s">
        <v>170</v>
      </c>
      <c r="D230" s="60"/>
      <c r="E230" s="19">
        <v>0.0</v>
      </c>
      <c r="F230" s="19">
        <v>0.0</v>
      </c>
      <c r="G230" s="19">
        <v>0.0</v>
      </c>
      <c r="H230" s="19">
        <v>0.0</v>
      </c>
      <c r="I230" s="19">
        <v>0.0</v>
      </c>
      <c r="J230" s="19">
        <v>0.0</v>
      </c>
      <c r="K230" s="19">
        <v>0.0</v>
      </c>
      <c r="L230" s="19">
        <v>0.0</v>
      </c>
      <c r="M230" s="19">
        <v>0.0</v>
      </c>
      <c r="N230" s="19">
        <v>0.0</v>
      </c>
      <c r="O230" s="19">
        <v>0.0</v>
      </c>
      <c r="P230" s="19">
        <v>0.0</v>
      </c>
      <c r="Q230" s="19">
        <v>0.0</v>
      </c>
      <c r="R230" s="13">
        <f t="shared" si="44"/>
        <v>0</v>
      </c>
    </row>
    <row r="231" ht="12.75" customHeight="1">
      <c r="A231" s="18"/>
      <c r="B231" s="55">
        <v>6.0</v>
      </c>
      <c r="C231" s="50" t="s">
        <v>171</v>
      </c>
      <c r="D231" s="60"/>
      <c r="E231" s="19">
        <v>0.0</v>
      </c>
      <c r="F231" s="19">
        <v>0.0</v>
      </c>
      <c r="G231" s="19">
        <v>0.0</v>
      </c>
      <c r="H231" s="19">
        <v>0.0</v>
      </c>
      <c r="I231" s="19">
        <v>0.0</v>
      </c>
      <c r="J231" s="19">
        <v>0.0</v>
      </c>
      <c r="K231" s="19">
        <v>0.0</v>
      </c>
      <c r="L231" s="19">
        <v>0.0</v>
      </c>
      <c r="M231" s="19">
        <v>0.0</v>
      </c>
      <c r="N231" s="19">
        <v>0.0</v>
      </c>
      <c r="O231" s="19">
        <v>0.0</v>
      </c>
      <c r="P231" s="19">
        <v>0.0</v>
      </c>
      <c r="Q231" s="19">
        <v>0.0</v>
      </c>
      <c r="R231" s="13">
        <f t="shared" si="44"/>
        <v>0</v>
      </c>
    </row>
    <row r="232" ht="12.75" customHeight="1">
      <c r="A232" s="18"/>
      <c r="B232" s="55">
        <v>7.0</v>
      </c>
      <c r="C232" s="50" t="s">
        <v>172</v>
      </c>
      <c r="D232" s="60"/>
      <c r="E232" s="19">
        <v>0.0</v>
      </c>
      <c r="F232" s="19">
        <v>0.0</v>
      </c>
      <c r="G232" s="19">
        <v>0.0</v>
      </c>
      <c r="H232" s="19">
        <v>0.0</v>
      </c>
      <c r="I232" s="19">
        <v>0.0</v>
      </c>
      <c r="J232" s="19">
        <v>0.0</v>
      </c>
      <c r="K232" s="19">
        <v>0.0</v>
      </c>
      <c r="L232" s="19">
        <v>0.0</v>
      </c>
      <c r="M232" s="19">
        <v>0.0</v>
      </c>
      <c r="N232" s="19">
        <v>0.0</v>
      </c>
      <c r="O232" s="19">
        <v>1.0</v>
      </c>
      <c r="P232" s="19">
        <v>0.0</v>
      </c>
      <c r="Q232" s="19">
        <v>0.0</v>
      </c>
      <c r="R232" s="13">
        <f t="shared" si="44"/>
        <v>1</v>
      </c>
    </row>
    <row r="233" ht="12.75" customHeight="1">
      <c r="A233" s="18"/>
      <c r="B233" s="56"/>
      <c r="C233" s="57"/>
      <c r="D233" s="62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3">
        <f t="shared" si="44"/>
        <v>0</v>
      </c>
    </row>
    <row r="234" ht="12.75" customHeight="1">
      <c r="A234" s="18"/>
      <c r="B234" s="56"/>
      <c r="C234" s="57"/>
      <c r="D234" s="62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3">
        <f t="shared" si="44"/>
        <v>0</v>
      </c>
    </row>
    <row r="235" ht="12.75" customHeight="1">
      <c r="A235" s="19" t="s">
        <v>15</v>
      </c>
      <c r="B235" s="47" t="s">
        <v>47</v>
      </c>
      <c r="C235" s="15"/>
      <c r="D235" s="16"/>
      <c r="E235" s="13">
        <f t="shared" ref="E235:R235" si="45">SUM(E225:E234)</f>
        <v>0</v>
      </c>
      <c r="F235" s="13">
        <f t="shared" si="45"/>
        <v>0</v>
      </c>
      <c r="G235" s="13">
        <f t="shared" si="45"/>
        <v>1</v>
      </c>
      <c r="H235" s="13">
        <f t="shared" si="45"/>
        <v>0</v>
      </c>
      <c r="I235" s="13">
        <f t="shared" si="45"/>
        <v>0</v>
      </c>
      <c r="J235" s="13">
        <f t="shared" si="45"/>
        <v>0</v>
      </c>
      <c r="K235" s="13">
        <f t="shared" si="45"/>
        <v>0</v>
      </c>
      <c r="L235" s="13">
        <f t="shared" si="45"/>
        <v>0</v>
      </c>
      <c r="M235" s="13">
        <f t="shared" si="45"/>
        <v>0</v>
      </c>
      <c r="N235" s="13">
        <f t="shared" si="45"/>
        <v>0</v>
      </c>
      <c r="O235" s="13">
        <f t="shared" si="45"/>
        <v>1</v>
      </c>
      <c r="P235" s="13">
        <f t="shared" si="45"/>
        <v>1</v>
      </c>
      <c r="Q235" s="13">
        <f t="shared" si="45"/>
        <v>0</v>
      </c>
      <c r="R235" s="13">
        <f t="shared" si="45"/>
        <v>3</v>
      </c>
    </row>
    <row r="236" ht="12.75" customHeight="1">
      <c r="A236" s="24"/>
      <c r="B236" s="15"/>
      <c r="C236" s="15"/>
      <c r="D236" s="15"/>
      <c r="E236" s="16"/>
      <c r="F236" s="84"/>
      <c r="G236" s="84"/>
      <c r="H236" s="84"/>
      <c r="I236" s="84"/>
      <c r="J236" s="84"/>
      <c r="K236" s="84"/>
      <c r="L236" s="84"/>
      <c r="M236" s="84"/>
      <c r="N236" s="84"/>
      <c r="O236" s="84"/>
      <c r="P236" s="84"/>
      <c r="Q236" s="84"/>
      <c r="R236" s="84"/>
    </row>
    <row r="237" ht="12.75" customHeight="1">
      <c r="A237" s="30" t="s">
        <v>37</v>
      </c>
      <c r="B237" s="47" t="s">
        <v>173</v>
      </c>
      <c r="C237" s="48" t="s">
        <v>174</v>
      </c>
      <c r="D237" s="16"/>
      <c r="E237" s="19">
        <v>2.0</v>
      </c>
      <c r="F237" s="19">
        <v>1.0</v>
      </c>
      <c r="G237" s="19">
        <v>0.0</v>
      </c>
      <c r="H237" s="19">
        <v>1.0</v>
      </c>
      <c r="I237" s="19">
        <v>1.0</v>
      </c>
      <c r="J237" s="19">
        <v>1.0</v>
      </c>
      <c r="K237" s="19">
        <v>1.0</v>
      </c>
      <c r="L237" s="19">
        <v>7.0</v>
      </c>
      <c r="M237" s="19">
        <v>2.0</v>
      </c>
      <c r="N237" s="19">
        <v>2.0</v>
      </c>
      <c r="O237" s="19">
        <v>3.0</v>
      </c>
      <c r="P237" s="19">
        <v>8.0</v>
      </c>
      <c r="Q237" s="19">
        <v>2.0</v>
      </c>
      <c r="R237" s="13">
        <f t="shared" ref="R237:R246" si="46">SUM(E237:Q237)</f>
        <v>31</v>
      </c>
    </row>
    <row r="238" ht="12.75" customHeight="1">
      <c r="A238" s="30" t="s">
        <v>39</v>
      </c>
      <c r="B238" s="55">
        <v>1.0</v>
      </c>
      <c r="C238" s="50" t="s">
        <v>175</v>
      </c>
      <c r="D238" s="60"/>
      <c r="E238" s="19">
        <v>0.0</v>
      </c>
      <c r="F238" s="19">
        <v>0.0</v>
      </c>
      <c r="G238" s="19">
        <v>0.0</v>
      </c>
      <c r="H238" s="19">
        <v>0.0</v>
      </c>
      <c r="I238" s="19">
        <v>0.0</v>
      </c>
      <c r="J238" s="19">
        <v>0.0</v>
      </c>
      <c r="K238" s="19">
        <v>0.0</v>
      </c>
      <c r="L238" s="19">
        <v>0.0</v>
      </c>
      <c r="M238" s="19">
        <v>0.0</v>
      </c>
      <c r="N238" s="19">
        <v>0.0</v>
      </c>
      <c r="O238" s="19">
        <v>0.0</v>
      </c>
      <c r="P238" s="19">
        <v>1.0</v>
      </c>
      <c r="Q238" s="19">
        <v>1.0</v>
      </c>
      <c r="R238" s="13">
        <f t="shared" si="46"/>
        <v>2</v>
      </c>
    </row>
    <row r="239" ht="12.75" customHeight="1">
      <c r="A239" s="18"/>
      <c r="B239" s="55">
        <v>2.0</v>
      </c>
      <c r="C239" s="50" t="s">
        <v>176</v>
      </c>
      <c r="D239" s="60"/>
      <c r="E239" s="19">
        <v>5.0</v>
      </c>
      <c r="F239" s="19">
        <v>11.0</v>
      </c>
      <c r="G239" s="19">
        <v>4.0</v>
      </c>
      <c r="H239" s="19">
        <v>0.0</v>
      </c>
      <c r="I239" s="19">
        <v>1.0</v>
      </c>
      <c r="J239" s="19">
        <v>1.0</v>
      </c>
      <c r="K239" s="19">
        <v>23.0</v>
      </c>
      <c r="L239" s="19">
        <v>24.0</v>
      </c>
      <c r="M239" s="19">
        <v>16.0</v>
      </c>
      <c r="N239" s="19">
        <v>34.0</v>
      </c>
      <c r="O239" s="19">
        <v>15.0</v>
      </c>
      <c r="P239" s="19">
        <v>22.0</v>
      </c>
      <c r="Q239" s="19">
        <v>40.0</v>
      </c>
      <c r="R239" s="13">
        <f t="shared" si="46"/>
        <v>196</v>
      </c>
    </row>
    <row r="240" ht="12.75" customHeight="1">
      <c r="A240" s="18"/>
      <c r="B240" s="55">
        <v>3.0</v>
      </c>
      <c r="C240" s="50" t="s">
        <v>177</v>
      </c>
      <c r="D240" s="60"/>
      <c r="E240" s="19">
        <v>0.0</v>
      </c>
      <c r="F240" s="19">
        <v>0.0</v>
      </c>
      <c r="G240" s="19">
        <v>0.0</v>
      </c>
      <c r="H240" s="19">
        <v>0.0</v>
      </c>
      <c r="I240" s="19">
        <v>0.0</v>
      </c>
      <c r="J240" s="19">
        <v>0.0</v>
      </c>
      <c r="K240" s="19">
        <v>0.0</v>
      </c>
      <c r="L240" s="19">
        <v>0.0</v>
      </c>
      <c r="M240" s="19">
        <v>1.0</v>
      </c>
      <c r="N240" s="19">
        <v>1.0</v>
      </c>
      <c r="O240" s="19">
        <v>0.0</v>
      </c>
      <c r="P240" s="19">
        <v>0.0</v>
      </c>
      <c r="Q240" s="19">
        <v>0.0</v>
      </c>
      <c r="R240" s="13">
        <f t="shared" si="46"/>
        <v>2</v>
      </c>
    </row>
    <row r="241" ht="12.75" customHeight="1">
      <c r="A241" s="18"/>
      <c r="B241" s="55">
        <v>4.0</v>
      </c>
      <c r="C241" s="50" t="s">
        <v>178</v>
      </c>
      <c r="D241" s="60"/>
      <c r="E241" s="19">
        <v>0.0</v>
      </c>
      <c r="F241" s="19">
        <v>0.0</v>
      </c>
      <c r="G241" s="19">
        <v>0.0</v>
      </c>
      <c r="H241" s="19">
        <v>0.0</v>
      </c>
      <c r="I241" s="19">
        <v>0.0</v>
      </c>
      <c r="J241" s="19">
        <v>0.0</v>
      </c>
      <c r="K241" s="19">
        <v>0.0</v>
      </c>
      <c r="L241" s="19">
        <v>0.0</v>
      </c>
      <c r="M241" s="19">
        <v>0.0</v>
      </c>
      <c r="N241" s="19">
        <v>0.0</v>
      </c>
      <c r="O241" s="19">
        <v>0.0</v>
      </c>
      <c r="P241" s="19">
        <v>1.0</v>
      </c>
      <c r="Q241" s="19">
        <v>0.0</v>
      </c>
      <c r="R241" s="13">
        <f t="shared" si="46"/>
        <v>1</v>
      </c>
    </row>
    <row r="242" ht="12.75" customHeight="1">
      <c r="A242" s="18"/>
      <c r="B242" s="55">
        <v>5.0</v>
      </c>
      <c r="C242" s="50" t="s">
        <v>179</v>
      </c>
      <c r="D242" s="60"/>
      <c r="E242" s="19">
        <v>0.0</v>
      </c>
      <c r="F242" s="19">
        <v>0.0</v>
      </c>
      <c r="G242" s="19">
        <v>0.0</v>
      </c>
      <c r="H242" s="19">
        <v>0.0</v>
      </c>
      <c r="I242" s="19">
        <v>0.0</v>
      </c>
      <c r="J242" s="19">
        <v>0.0</v>
      </c>
      <c r="K242" s="19">
        <v>0.0</v>
      </c>
      <c r="L242" s="19">
        <v>0.0</v>
      </c>
      <c r="M242" s="19">
        <v>0.0</v>
      </c>
      <c r="N242" s="19">
        <v>0.0</v>
      </c>
      <c r="O242" s="19">
        <v>0.0</v>
      </c>
      <c r="P242" s="19">
        <v>1.0</v>
      </c>
      <c r="Q242" s="19">
        <v>0.0</v>
      </c>
      <c r="R242" s="13">
        <f t="shared" si="46"/>
        <v>1</v>
      </c>
    </row>
    <row r="243" ht="12.75" customHeight="1">
      <c r="A243" s="18"/>
      <c r="B243" s="55">
        <v>6.0</v>
      </c>
      <c r="C243" s="50" t="s">
        <v>180</v>
      </c>
      <c r="D243" s="60"/>
      <c r="E243" s="19">
        <v>0.0</v>
      </c>
      <c r="F243" s="19">
        <v>0.0</v>
      </c>
      <c r="G243" s="19">
        <v>0.0</v>
      </c>
      <c r="H243" s="19">
        <v>0.0</v>
      </c>
      <c r="I243" s="19">
        <v>0.0</v>
      </c>
      <c r="J243" s="19">
        <v>0.0</v>
      </c>
      <c r="K243" s="19">
        <v>0.0</v>
      </c>
      <c r="L243" s="19">
        <v>0.0</v>
      </c>
      <c r="M243" s="19">
        <v>0.0</v>
      </c>
      <c r="N243" s="19">
        <v>0.0</v>
      </c>
      <c r="O243" s="19">
        <v>0.0</v>
      </c>
      <c r="P243" s="19">
        <v>0.0</v>
      </c>
      <c r="Q243" s="19">
        <v>0.0</v>
      </c>
      <c r="R243" s="13">
        <f t="shared" si="46"/>
        <v>0</v>
      </c>
    </row>
    <row r="244" ht="12.75" customHeight="1">
      <c r="A244" s="18"/>
      <c r="B244" s="55">
        <v>7.0</v>
      </c>
      <c r="C244" s="50" t="s">
        <v>181</v>
      </c>
      <c r="D244" s="60"/>
      <c r="E244" s="19">
        <v>0.0</v>
      </c>
      <c r="F244" s="19">
        <v>0.0</v>
      </c>
      <c r="G244" s="19">
        <v>0.0</v>
      </c>
      <c r="H244" s="19">
        <v>0.0</v>
      </c>
      <c r="I244" s="19">
        <v>0.0</v>
      </c>
      <c r="J244" s="19">
        <v>0.0</v>
      </c>
      <c r="K244" s="19">
        <v>0.0</v>
      </c>
      <c r="L244" s="19">
        <v>0.0</v>
      </c>
      <c r="M244" s="19">
        <v>0.0</v>
      </c>
      <c r="N244" s="19">
        <v>0.0</v>
      </c>
      <c r="O244" s="19">
        <v>1.0</v>
      </c>
      <c r="P244" s="19">
        <v>0.0</v>
      </c>
      <c r="Q244" s="19">
        <v>0.0</v>
      </c>
      <c r="R244" s="13">
        <f t="shared" si="46"/>
        <v>1</v>
      </c>
    </row>
    <row r="245" ht="12.75" customHeight="1">
      <c r="A245" s="18"/>
      <c r="B245" s="56"/>
      <c r="C245" s="57"/>
      <c r="D245" s="62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3">
        <f t="shared" si="46"/>
        <v>0</v>
      </c>
    </row>
    <row r="246" ht="12.75" customHeight="1">
      <c r="A246" s="18"/>
      <c r="B246" s="56"/>
      <c r="C246" s="57"/>
      <c r="D246" s="62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3">
        <f t="shared" si="46"/>
        <v>0</v>
      </c>
    </row>
    <row r="247" ht="12.75" customHeight="1">
      <c r="A247" s="19" t="s">
        <v>15</v>
      </c>
      <c r="B247" s="47" t="s">
        <v>47</v>
      </c>
      <c r="C247" s="15"/>
      <c r="D247" s="16"/>
      <c r="E247" s="13">
        <f t="shared" ref="E247:R247" si="47">SUM(E237:E246)</f>
        <v>7</v>
      </c>
      <c r="F247" s="13">
        <f t="shared" si="47"/>
        <v>12</v>
      </c>
      <c r="G247" s="13">
        <f t="shared" si="47"/>
        <v>4</v>
      </c>
      <c r="H247" s="13">
        <f t="shared" si="47"/>
        <v>1</v>
      </c>
      <c r="I247" s="13">
        <f t="shared" si="47"/>
        <v>2</v>
      </c>
      <c r="J247" s="13">
        <f t="shared" si="47"/>
        <v>2</v>
      </c>
      <c r="K247" s="13">
        <f t="shared" si="47"/>
        <v>24</v>
      </c>
      <c r="L247" s="13">
        <f t="shared" si="47"/>
        <v>31</v>
      </c>
      <c r="M247" s="13">
        <f t="shared" si="47"/>
        <v>19</v>
      </c>
      <c r="N247" s="13">
        <f t="shared" si="47"/>
        <v>37</v>
      </c>
      <c r="O247" s="13">
        <f t="shared" si="47"/>
        <v>19</v>
      </c>
      <c r="P247" s="13">
        <f t="shared" si="47"/>
        <v>33</v>
      </c>
      <c r="Q247" s="13">
        <f t="shared" si="47"/>
        <v>43</v>
      </c>
      <c r="R247" s="13">
        <f t="shared" si="47"/>
        <v>234</v>
      </c>
    </row>
    <row r="248" ht="12.75" customHeight="1">
      <c r="A248" s="24"/>
      <c r="B248" s="15"/>
      <c r="C248" s="15"/>
      <c r="D248" s="15"/>
      <c r="E248" s="16"/>
    </row>
    <row r="249" ht="12.75" customHeight="1">
      <c r="A249" s="30" t="s">
        <v>37</v>
      </c>
      <c r="B249" s="47" t="s">
        <v>182</v>
      </c>
      <c r="C249" s="48" t="s">
        <v>183</v>
      </c>
      <c r="D249" s="16"/>
      <c r="E249" s="19">
        <v>0.0</v>
      </c>
      <c r="F249" s="19">
        <v>0.0</v>
      </c>
      <c r="G249" s="19">
        <v>0.0</v>
      </c>
      <c r="H249" s="19">
        <v>1.0</v>
      </c>
      <c r="I249" s="19">
        <v>0.0</v>
      </c>
      <c r="J249" s="19">
        <v>0.0</v>
      </c>
      <c r="K249" s="19">
        <v>0.0</v>
      </c>
      <c r="L249" s="19">
        <v>0.0</v>
      </c>
      <c r="M249" s="19">
        <v>0.0</v>
      </c>
      <c r="N249" s="19">
        <v>0.0</v>
      </c>
      <c r="O249" s="19">
        <v>0.0</v>
      </c>
      <c r="P249" s="19">
        <v>0.0</v>
      </c>
      <c r="Q249" s="19">
        <v>0.0</v>
      </c>
      <c r="R249" s="13">
        <f t="shared" ref="R249:R258" si="48">SUM(E249:Q249)</f>
        <v>1</v>
      </c>
    </row>
    <row r="250" ht="12.75" customHeight="1">
      <c r="A250" s="30" t="s">
        <v>39</v>
      </c>
      <c r="B250" s="55">
        <v>1.0</v>
      </c>
      <c r="C250" s="67" t="s">
        <v>184</v>
      </c>
      <c r="D250" s="60"/>
      <c r="E250" s="19">
        <v>0.0</v>
      </c>
      <c r="F250" s="19">
        <v>0.0</v>
      </c>
      <c r="G250" s="19">
        <v>0.0</v>
      </c>
      <c r="H250" s="19">
        <v>0.0</v>
      </c>
      <c r="I250" s="19">
        <v>0.0</v>
      </c>
      <c r="J250" s="19">
        <v>0.0</v>
      </c>
      <c r="K250" s="19">
        <v>0.0</v>
      </c>
      <c r="L250" s="19">
        <v>1.0</v>
      </c>
      <c r="M250" s="19">
        <v>0.0</v>
      </c>
      <c r="N250" s="19">
        <v>0.0</v>
      </c>
      <c r="O250" s="19">
        <v>0.0</v>
      </c>
      <c r="P250" s="19">
        <v>0.0</v>
      </c>
      <c r="Q250" s="19">
        <v>0.0</v>
      </c>
      <c r="R250" s="13">
        <f t="shared" si="48"/>
        <v>1</v>
      </c>
    </row>
    <row r="251" ht="12.75" customHeight="1">
      <c r="A251" s="18"/>
      <c r="B251" s="55">
        <v>2.0</v>
      </c>
      <c r="C251" s="67" t="s">
        <v>185</v>
      </c>
      <c r="D251" s="60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3">
        <f t="shared" si="48"/>
        <v>0</v>
      </c>
    </row>
    <row r="252" ht="12.75" customHeight="1">
      <c r="A252" s="18"/>
      <c r="B252" s="55">
        <v>3.0</v>
      </c>
      <c r="C252" s="67" t="s">
        <v>186</v>
      </c>
      <c r="D252" s="60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3">
        <f t="shared" si="48"/>
        <v>0</v>
      </c>
    </row>
    <row r="253" ht="12.75" customHeight="1">
      <c r="A253" s="18"/>
      <c r="B253" s="55">
        <v>4.0</v>
      </c>
      <c r="C253" s="67" t="s">
        <v>187</v>
      </c>
      <c r="D253" s="60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3">
        <f t="shared" si="48"/>
        <v>0</v>
      </c>
    </row>
    <row r="254" ht="12.75" customHeight="1">
      <c r="A254" s="18"/>
      <c r="B254" s="55">
        <v>5.0</v>
      </c>
      <c r="C254" s="67" t="s">
        <v>188</v>
      </c>
      <c r="D254" s="60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3">
        <f t="shared" si="48"/>
        <v>0</v>
      </c>
    </row>
    <row r="255" ht="12.75" customHeight="1">
      <c r="A255" s="18"/>
      <c r="B255" s="55">
        <v>6.0</v>
      </c>
      <c r="C255" s="67" t="s">
        <v>189</v>
      </c>
      <c r="D255" s="60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3">
        <f t="shared" si="48"/>
        <v>0</v>
      </c>
    </row>
    <row r="256" ht="12.75" customHeight="1">
      <c r="A256" s="18"/>
      <c r="B256" s="56"/>
      <c r="C256" s="68"/>
      <c r="D256" s="62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3">
        <f t="shared" si="48"/>
        <v>0</v>
      </c>
    </row>
    <row r="257" ht="12.75" customHeight="1">
      <c r="A257" s="18"/>
      <c r="B257" s="56"/>
      <c r="C257" s="68"/>
      <c r="D257" s="62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3">
        <f t="shared" si="48"/>
        <v>0</v>
      </c>
    </row>
    <row r="258" ht="12.75" customHeight="1">
      <c r="A258" s="18"/>
      <c r="B258" s="56"/>
      <c r="C258" s="68"/>
      <c r="D258" s="62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3">
        <f t="shared" si="48"/>
        <v>0</v>
      </c>
    </row>
    <row r="259" ht="12.75" customHeight="1">
      <c r="A259" s="19" t="s">
        <v>15</v>
      </c>
      <c r="B259" s="47" t="s">
        <v>47</v>
      </c>
      <c r="C259" s="15"/>
      <c r="D259" s="16"/>
      <c r="E259" s="13">
        <f t="shared" ref="E259:R259" si="49">SUM(E249:E258)</f>
        <v>0</v>
      </c>
      <c r="F259" s="13">
        <f t="shared" si="49"/>
        <v>0</v>
      </c>
      <c r="G259" s="13">
        <f t="shared" si="49"/>
        <v>0</v>
      </c>
      <c r="H259" s="13">
        <f t="shared" si="49"/>
        <v>1</v>
      </c>
      <c r="I259" s="13">
        <f t="shared" si="49"/>
        <v>0</v>
      </c>
      <c r="J259" s="13">
        <f t="shared" si="49"/>
        <v>0</v>
      </c>
      <c r="K259" s="13">
        <f t="shared" si="49"/>
        <v>0</v>
      </c>
      <c r="L259" s="13">
        <f t="shared" si="49"/>
        <v>1</v>
      </c>
      <c r="M259" s="13">
        <f t="shared" si="49"/>
        <v>0</v>
      </c>
      <c r="N259" s="13">
        <f t="shared" si="49"/>
        <v>0</v>
      </c>
      <c r="O259" s="13">
        <f t="shared" si="49"/>
        <v>0</v>
      </c>
      <c r="P259" s="13">
        <f t="shared" si="49"/>
        <v>0</v>
      </c>
      <c r="Q259" s="13">
        <f t="shared" si="49"/>
        <v>0</v>
      </c>
      <c r="R259" s="13">
        <f t="shared" si="49"/>
        <v>2</v>
      </c>
    </row>
    <row r="260" ht="12.75" customHeight="1"/>
    <row r="261" ht="12.75" customHeight="1">
      <c r="A261" s="42" t="s">
        <v>190</v>
      </c>
      <c r="B261" s="14" t="s">
        <v>191</v>
      </c>
      <c r="C261" s="15"/>
      <c r="D261" s="16"/>
      <c r="E261" s="13"/>
      <c r="F261" s="13"/>
      <c r="G261" s="13"/>
      <c r="H261" s="13"/>
      <c r="I261" s="13"/>
      <c r="J261" s="13"/>
      <c r="K261" s="13"/>
      <c r="L261" s="13"/>
      <c r="M261" s="13"/>
      <c r="N261" s="78"/>
      <c r="O261" s="78"/>
      <c r="P261" s="78"/>
      <c r="Q261" s="78"/>
      <c r="R261" s="13"/>
    </row>
    <row r="262" ht="12.75" customHeight="1">
      <c r="A262" s="42"/>
      <c r="B262" s="71" t="s">
        <v>192</v>
      </c>
      <c r="C262" s="72" t="s">
        <v>193</v>
      </c>
      <c r="D262" s="16"/>
      <c r="E262" s="19">
        <f t="shared" ref="E262:Q262" si="50">E55+E67+E79+E91+E103+E115+E127+E139+E151+E163+E175+E187+E199+E211+E223+E235+E247+E259</f>
        <v>195</v>
      </c>
      <c r="F262" s="19">
        <f t="shared" si="50"/>
        <v>178</v>
      </c>
      <c r="G262" s="19">
        <f t="shared" si="50"/>
        <v>184</v>
      </c>
      <c r="H262" s="19">
        <f t="shared" si="50"/>
        <v>186</v>
      </c>
      <c r="I262" s="19">
        <f t="shared" si="50"/>
        <v>152</v>
      </c>
      <c r="J262" s="19">
        <f t="shared" si="50"/>
        <v>160</v>
      </c>
      <c r="K262" s="19">
        <f t="shared" si="50"/>
        <v>181</v>
      </c>
      <c r="L262" s="19">
        <f t="shared" si="50"/>
        <v>191</v>
      </c>
      <c r="M262" s="19">
        <f t="shared" si="50"/>
        <v>190</v>
      </c>
      <c r="N262" s="19">
        <f t="shared" si="50"/>
        <v>187</v>
      </c>
      <c r="O262" s="19">
        <f t="shared" si="50"/>
        <v>188</v>
      </c>
      <c r="P262" s="19">
        <f t="shared" si="50"/>
        <v>168</v>
      </c>
      <c r="Q262" s="19">
        <f t="shared" si="50"/>
        <v>155</v>
      </c>
      <c r="R262" s="13">
        <f t="shared" ref="R262:R264" si="51">SUM(E262:Q262)</f>
        <v>2315</v>
      </c>
    </row>
    <row r="263" ht="12.75" customHeight="1">
      <c r="A263" s="35"/>
      <c r="B263" s="71" t="s">
        <v>194</v>
      </c>
      <c r="C263" s="72" t="s">
        <v>195</v>
      </c>
      <c r="D263" s="16"/>
      <c r="E263" s="19">
        <v>26.0</v>
      </c>
      <c r="F263" s="19">
        <v>19.0</v>
      </c>
      <c r="G263" s="19">
        <v>11.0</v>
      </c>
      <c r="H263" s="19">
        <v>11.0</v>
      </c>
      <c r="I263" s="19">
        <v>15.0</v>
      </c>
      <c r="J263" s="19">
        <v>27.0</v>
      </c>
      <c r="K263" s="19">
        <v>22.0</v>
      </c>
      <c r="L263" s="19">
        <v>4.0</v>
      </c>
      <c r="M263" s="19">
        <v>8.0</v>
      </c>
      <c r="N263" s="19">
        <v>11.0</v>
      </c>
      <c r="O263" s="19">
        <v>15.0</v>
      </c>
      <c r="P263" s="19">
        <v>13.0</v>
      </c>
      <c r="Q263" s="19">
        <v>26.0</v>
      </c>
      <c r="R263" s="13">
        <f t="shared" si="51"/>
        <v>208</v>
      </c>
    </row>
    <row r="264" ht="12.75" customHeight="1">
      <c r="A264" s="41"/>
      <c r="B264" s="71" t="s">
        <v>196</v>
      </c>
      <c r="C264" s="72" t="s">
        <v>197</v>
      </c>
      <c r="D264" s="16"/>
      <c r="E264" s="13">
        <f t="shared" ref="E264:Q264" si="52">SUM(E262:E263)</f>
        <v>221</v>
      </c>
      <c r="F264" s="13">
        <f t="shared" si="52"/>
        <v>197</v>
      </c>
      <c r="G264" s="13">
        <f t="shared" si="52"/>
        <v>195</v>
      </c>
      <c r="H264" s="13">
        <f t="shared" si="52"/>
        <v>197</v>
      </c>
      <c r="I264" s="13">
        <f t="shared" si="52"/>
        <v>167</v>
      </c>
      <c r="J264" s="13">
        <f t="shared" si="52"/>
        <v>187</v>
      </c>
      <c r="K264" s="13">
        <f t="shared" si="52"/>
        <v>203</v>
      </c>
      <c r="L264" s="13">
        <f t="shared" si="52"/>
        <v>195</v>
      </c>
      <c r="M264" s="13">
        <f t="shared" si="52"/>
        <v>198</v>
      </c>
      <c r="N264" s="13">
        <f t="shared" si="52"/>
        <v>198</v>
      </c>
      <c r="O264" s="13">
        <f t="shared" si="52"/>
        <v>203</v>
      </c>
      <c r="P264" s="13">
        <f t="shared" si="52"/>
        <v>181</v>
      </c>
      <c r="Q264" s="13">
        <f t="shared" si="52"/>
        <v>181</v>
      </c>
      <c r="R264" s="13">
        <f t="shared" si="51"/>
        <v>2523</v>
      </c>
    </row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93">
    <mergeCell ref="B55:D55"/>
    <mergeCell ref="A56:E56"/>
    <mergeCell ref="C57:D57"/>
    <mergeCell ref="B67:D67"/>
    <mergeCell ref="A68:E68"/>
    <mergeCell ref="C69:D69"/>
    <mergeCell ref="B79:D79"/>
    <mergeCell ref="A80:E80"/>
    <mergeCell ref="C81:D81"/>
    <mergeCell ref="B91:D91"/>
    <mergeCell ref="A92:E92"/>
    <mergeCell ref="C93:D93"/>
    <mergeCell ref="B103:D103"/>
    <mergeCell ref="A104:E104"/>
    <mergeCell ref="B127:D127"/>
    <mergeCell ref="A128:E128"/>
    <mergeCell ref="C129:D129"/>
    <mergeCell ref="B139:D139"/>
    <mergeCell ref="A140:E140"/>
    <mergeCell ref="C141:D141"/>
    <mergeCell ref="B151:D151"/>
    <mergeCell ref="A152:E152"/>
    <mergeCell ref="C153:D153"/>
    <mergeCell ref="B163:D163"/>
    <mergeCell ref="A164:E164"/>
    <mergeCell ref="C165:D165"/>
    <mergeCell ref="B175:D175"/>
    <mergeCell ref="A176:E176"/>
    <mergeCell ref="C177:D177"/>
    <mergeCell ref="B187:D187"/>
    <mergeCell ref="A188:E188"/>
    <mergeCell ref="C189:D189"/>
    <mergeCell ref="B199:D199"/>
    <mergeCell ref="A200:E200"/>
    <mergeCell ref="C201:D201"/>
    <mergeCell ref="B211:D211"/>
    <mergeCell ref="A212:E212"/>
    <mergeCell ref="C213:D213"/>
    <mergeCell ref="B223:D223"/>
    <mergeCell ref="A224:E224"/>
    <mergeCell ref="C225:D225"/>
    <mergeCell ref="B235:D235"/>
    <mergeCell ref="C262:D262"/>
    <mergeCell ref="C263:D263"/>
    <mergeCell ref="C264:D264"/>
    <mergeCell ref="A236:E236"/>
    <mergeCell ref="C237:D237"/>
    <mergeCell ref="B247:D247"/>
    <mergeCell ref="A248:E248"/>
    <mergeCell ref="C249:D249"/>
    <mergeCell ref="B259:D259"/>
    <mergeCell ref="B261:D261"/>
    <mergeCell ref="B12:D12"/>
    <mergeCell ref="E12:Q12"/>
    <mergeCell ref="R12:R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B38:D38"/>
    <mergeCell ref="B39:C41"/>
    <mergeCell ref="A42:D42"/>
    <mergeCell ref="E42:I42"/>
    <mergeCell ref="B43:D43"/>
    <mergeCell ref="A44:D44"/>
    <mergeCell ref="C45:D45"/>
    <mergeCell ref="C46:D46"/>
    <mergeCell ref="C47:D47"/>
    <mergeCell ref="C48:D48"/>
    <mergeCell ref="C49:D49"/>
    <mergeCell ref="C50:D50"/>
    <mergeCell ref="C51:D51"/>
    <mergeCell ref="C52:D52"/>
    <mergeCell ref="C105:D105"/>
    <mergeCell ref="B115:D115"/>
    <mergeCell ref="A116:E116"/>
    <mergeCell ref="C117:D117"/>
  </mergeCells>
  <conditionalFormatting sqref="E14:Q15">
    <cfRule type="containsBlanks" dxfId="1" priority="1">
      <formula>LEN(TRIM(E14))=0</formula>
    </cfRule>
  </conditionalFormatting>
  <conditionalFormatting sqref="E19:Q20">
    <cfRule type="containsBlanks" dxfId="1" priority="2">
      <formula>LEN(TRIM(E19))=0</formula>
    </cfRule>
  </conditionalFormatting>
  <conditionalFormatting sqref="E22:Q23 E25:Q26 E33:Q33 E35:Q35 E39:Q40">
    <cfRule type="containsBlanks" dxfId="1" priority="3">
      <formula>LEN(TRIM(E22))=0</formula>
    </cfRule>
  </conditionalFormatting>
  <conditionalFormatting sqref="E30:Q30">
    <cfRule type="expression" dxfId="0" priority="4">
      <formula>E30&lt;&gt;E47</formula>
    </cfRule>
  </conditionalFormatting>
  <conditionalFormatting sqref="E30:Q30">
    <cfRule type="expression" dxfId="0" priority="5">
      <formula>E30&lt;&gt;E34</formula>
    </cfRule>
  </conditionalFormatting>
  <conditionalFormatting sqref="E34:Q34">
    <cfRule type="expression" dxfId="2" priority="6">
      <formula>E30&lt;&gt;E34</formula>
    </cfRule>
  </conditionalFormatting>
  <conditionalFormatting sqref="E34:Q34">
    <cfRule type="expression" dxfId="3" priority="7">
      <formula>E30=E34</formula>
    </cfRule>
  </conditionalFormatting>
  <conditionalFormatting sqref="E34:Q34">
    <cfRule type="expression" dxfId="0" priority="8">
      <formula>E34&lt;&gt;E30</formula>
    </cfRule>
  </conditionalFormatting>
  <conditionalFormatting sqref="E34:Q34">
    <cfRule type="expression" dxfId="0" priority="9">
      <formula>E34&lt;&gt;E64</formula>
    </cfRule>
  </conditionalFormatting>
  <conditionalFormatting sqref="E45:Q54">
    <cfRule type="containsBlanks" dxfId="1" priority="10">
      <formula>LEN(TRIM(E45))=0</formula>
    </cfRule>
  </conditionalFormatting>
  <conditionalFormatting sqref="E57:Q66">
    <cfRule type="containsBlanks" dxfId="1" priority="11">
      <formula>LEN(TRIM(E57))=0</formula>
    </cfRule>
  </conditionalFormatting>
  <conditionalFormatting sqref="E69:Q78">
    <cfRule type="containsBlanks" dxfId="1" priority="12">
      <formula>LEN(TRIM(E69))=0</formula>
    </cfRule>
  </conditionalFormatting>
  <conditionalFormatting sqref="E81:Q90">
    <cfRule type="containsBlanks" dxfId="1" priority="13">
      <formula>LEN(TRIM(E81))=0</formula>
    </cfRule>
  </conditionalFormatting>
  <conditionalFormatting sqref="E93:Q102">
    <cfRule type="containsBlanks" dxfId="1" priority="14">
      <formula>LEN(TRIM(E93))=0</formula>
    </cfRule>
  </conditionalFormatting>
  <conditionalFormatting sqref="E105:Q114">
    <cfRule type="containsBlanks" dxfId="1" priority="15">
      <formula>LEN(TRIM(E105))=0</formula>
    </cfRule>
  </conditionalFormatting>
  <conditionalFormatting sqref="E117:Q126">
    <cfRule type="containsBlanks" dxfId="1" priority="16">
      <formula>LEN(TRIM(E117))=0</formula>
    </cfRule>
  </conditionalFormatting>
  <conditionalFormatting sqref="E129:Q138">
    <cfRule type="containsBlanks" dxfId="1" priority="17">
      <formula>LEN(TRIM(E129))=0</formula>
    </cfRule>
  </conditionalFormatting>
  <conditionalFormatting sqref="E141:Q150">
    <cfRule type="containsBlanks" dxfId="1" priority="18">
      <formula>LEN(TRIM(E141))=0</formula>
    </cfRule>
  </conditionalFormatting>
  <conditionalFormatting sqref="E153:Q162">
    <cfRule type="containsBlanks" dxfId="1" priority="19">
      <formula>LEN(TRIM(E153))=0</formula>
    </cfRule>
  </conditionalFormatting>
  <conditionalFormatting sqref="E165:Q174">
    <cfRule type="containsBlanks" dxfId="1" priority="20">
      <formula>LEN(TRIM(E165))=0</formula>
    </cfRule>
  </conditionalFormatting>
  <conditionalFormatting sqref="E177:Q186">
    <cfRule type="containsBlanks" dxfId="1" priority="21">
      <formula>LEN(TRIM(E177))=0</formula>
    </cfRule>
  </conditionalFormatting>
  <conditionalFormatting sqref="E189:Q198">
    <cfRule type="containsBlanks" dxfId="1" priority="22">
      <formula>LEN(TRIM(E189))=0</formula>
    </cfRule>
  </conditionalFormatting>
  <conditionalFormatting sqref="E201:Q210">
    <cfRule type="containsBlanks" dxfId="1" priority="23">
      <formula>LEN(TRIM(E201))=0</formula>
    </cfRule>
  </conditionalFormatting>
  <conditionalFormatting sqref="E213:Q222">
    <cfRule type="containsBlanks" dxfId="1" priority="24">
      <formula>LEN(TRIM(E213))=0</formula>
    </cfRule>
  </conditionalFormatting>
  <conditionalFormatting sqref="E225:Q234">
    <cfRule type="containsBlanks" dxfId="1" priority="25">
      <formula>LEN(TRIM(E225))=0</formula>
    </cfRule>
  </conditionalFormatting>
  <conditionalFormatting sqref="E237:Q246">
    <cfRule type="containsBlanks" dxfId="1" priority="26">
      <formula>LEN(TRIM(E237))=0</formula>
    </cfRule>
  </conditionalFormatting>
  <conditionalFormatting sqref="E249:Q258">
    <cfRule type="containsBlanks" dxfId="1" priority="27">
      <formula>LEN(TRIM(E249))=0</formula>
    </cfRule>
  </conditionalFormatting>
  <conditionalFormatting sqref="E262:Q263">
    <cfRule type="containsBlanks" dxfId="1" priority="28">
      <formula>LEN(TRIM(E262))=0</formula>
    </cfRule>
  </conditionalFormatting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2026-01-14T02:26:01Z</dcterms:created>
  <dc:creator>TEKHUM KPU BWI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2026-01-30T07:28:29Z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d18b1b96-d49b-4a22-9852-e04dc9909c7d</vt:lpwstr>
  </property>
  <property fmtid="{D5CDD505-2E9C-101B-9397-08002B2CF9AE}" pid="7" name="MSIP_Label_defa4170-0d19-0005-0004-bc88714345d2_ActionId">
    <vt:lpwstr>5b8512b3-750c-47ce-9c47-222452aa2497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